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STRUCTIONS_V2" sheetId="2" state="visible" r:id="rId2"/>
    <sheet xmlns:r="http://schemas.openxmlformats.org/officeDocument/2006/relationships" name="ENTRY_REVERSAL_BOUNCE" sheetId="3" state="visible" r:id="rId3"/>
    <sheet xmlns:r="http://schemas.openxmlformats.org/officeDocument/2006/relationships" name="ENTRY_BREAKOUT_CHANNEL" sheetId="4" state="visible" r:id="rId4"/>
    <sheet xmlns:r="http://schemas.openxmlformats.org/officeDocument/2006/relationships" name="ENTRY_CONFIRMATION_GATES" sheetId="5" state="visible" r:id="rId5"/>
    <sheet xmlns:r="http://schemas.openxmlformats.org/officeDocument/2006/relationships" name="EXIT_STRUCTURAL" sheetId="6" state="visible" r:id="rId6"/>
    <sheet xmlns:r="http://schemas.openxmlformats.org/officeDocument/2006/relationships" name="EXIT_VELOCITY" sheetId="7" state="visible" r:id="rId7"/>
    <sheet xmlns:r="http://schemas.openxmlformats.org/officeDocument/2006/relationships" name="REENTRY_WINDOWED" sheetId="8" state="visible" r:id="rId8"/>
    <sheet xmlns:r="http://schemas.openxmlformats.org/officeDocument/2006/relationships" name="REENTRY_ADAPTIVE" sheetId="9" state="visible" r:id="rId9"/>
    <sheet xmlns:r="http://schemas.openxmlformats.org/officeDocument/2006/relationships" name="AUGMENT_TREND" sheetId="10" state="visible" r:id="rId10"/>
    <sheet xmlns:r="http://schemas.openxmlformats.org/officeDocument/2006/relationships" name="AUGMENT_RISK_SIZING" sheetId="11" state="visible" r:id="rId11"/>
    <sheet xmlns:r="http://schemas.openxmlformats.org/officeDocument/2006/relationships" name="REDUCE_PROFIT_LOCK" sheetId="12" state="visible" r:id="rId12"/>
    <sheet xmlns:r="http://schemas.openxmlformats.org/officeDocument/2006/relationships" name="REDUCE_SIGNAL_RATER" sheetId="13" state="visible" r:id="rId13"/>
    <sheet xmlns:r="http://schemas.openxmlformats.org/officeDocument/2006/relationships" name="GLOBAL_RISK_GATES" sheetId="14" state="visible" r:id="rId14"/>
    <sheet xmlns:r="http://schemas.openxmlformats.org/officeDocument/2006/relationships" name="Results_30d_Deltas" sheetId="15" state="visible" r:id="rId15"/>
    <sheet xmlns:r="http://schemas.openxmlformats.org/officeDocument/2006/relationships" name="META_LONG_BASELINE_METRICS" sheetId="16" state="visible" r:id="rId16"/>
    <sheet xmlns:r="http://schemas.openxmlformats.org/officeDocument/2006/relationships" name="FILTER_DICTIONARY_V2" sheetId="17" state="visible" r:id="rId17"/>
    <sheet xmlns:r="http://schemas.openxmlformats.org/officeDocument/2006/relationships" name="12SYM_PARITY" sheetId="18" state="visible" r:id="rId18"/>
    <sheet xmlns:r="http://schemas.openxmlformats.org/officeDocument/2006/relationships" name="FORMULA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i val="1"/>
      <color rgb="00002060"/>
      <sz val="9"/>
    </font>
    <font>
      <i val="1"/>
      <color rgb="00006100"/>
      <sz val="9"/>
    </font>
    <font>
      <b val="1"/>
      <i val="1"/>
      <color rgb="00C00000"/>
      <sz val="9"/>
    </font>
    <font>
      <b val="1"/>
      <color rgb="00FF0000"/>
      <sz val="11"/>
    </font>
    <font>
      <b val="1"/>
      <color rgb="00FF6600"/>
      <sz val="10"/>
    </font>
    <font>
      <name val="Arial"/>
      <b val="1"/>
      <color rgb="00006100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vertical="top" wrapText="1"/>
    </xf>
    <xf numFmtId="0" fontId="13" fillId="11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43" t="inlineStr">
        <is>
          <t>TEMPLATE_30d_matrix -- CRYSTAL CLEAR INSTRUCTIONS (2026-09-11) -- ANY DUMB AGENT CAN EXECUTE *** ON S1 NEVER ON MACBOOK *** If you are reading this, YOU MUST FOLLOW EVERY LINE. No skipping, no guessing, no inventing numbers. This tab + FILTER_DICTIONARY_V2 + v14_sequential_filler.py + v12_quick_engine/backtest_v12_engine are LAW.</t>
        </is>
      </c>
    </row>
    <row r="2" ht="28" customHeight="1">
      <c r="A2" s="44" t="inlineStr">
        <is>
          <t>⚠️ MACHINE RULE -- MAC ONLY TRADES LIVE (ez_manage / tradier_manage) AND NEVER TESTS. MAC has 5 NPZs and NO NVDA.npz / NO CRWD.npz → any S1 vector returns 'no NPZ' in 0.2s. S1 = 157.180.125.52 (s1-int via gateway 157.90.168.35) has 1000+ NPZs (42-49M) and is ONLY test host (S2 for mega sweeps only). If on MacBook, SSH FIRST: ssh 157.180.125.52 OR ssh -fNT s1-sftp &amp;&amp; ssh s1-int. Verify: ls /home/niels/binance-sandbox/backtest_v8/indicators/NVDA.npz must exist. If not, STOP.</t>
        </is>
      </c>
    </row>
    <row r="3" ht="28" customHeight="1">
      <c r="A3" s="44" t="inlineStr">
        <is>
          <t>⚠️ SYNC &amp; BACKUP RULE -- KEEP ALL FIXES synced Mac &lt;-&gt; S1 via rsync -avz -e 'ssh -p 2201' and KEEP BACKUPS before EVERY edit: cp &lt;file&gt; backups/before_&lt;desc&gt;_$(date +%Y%m%d%H%M).py . Autosave launchd commits git every 15min. /backups/ ONLY reliable history. After BACKTEST_BIBLE.md edit run tools/sync_backtest_bible.sh (SHA256). NEVER edit S1 copy directly without rsync back.</t>
        </is>
      </c>
    </row>
    <row r="4" ht="28" customHeight="1">
      <c r="A4" s="44" t="inlineStr">
        <is>
          <t>⚠️ INSTRUCTIONS ARE LAW -- v12_pilot.py, v12_pilot_sheet_runner.py, v14_sequential_filler.py, ANY agent MUST READ THIS TAB AT STARTUP and FOLLOW IT. This tab wins over code if conflict after 2026-09-11. Also read BACKTEST_BIBLE.md, QuickConfig (v12_quick_engine:5893 1118 fields, 851 causal), and FILTER_DICTIONARY_V2 (426 rows).</t>
        </is>
      </c>
    </row>
    <row r="5" ht="28" customHeight="1">
      <c r="A5" s="39" t="inlineStr">
        <is>
          <t>0) PRECONDITION -- DO NOT START UNTIL DEFAULTS ARE BOLD. Every row where B == live default (config.py Config for crypto / config_tradier.py TradierConfig for stocks = 1118 fields) must have A and B bold. ~50% rows bold. NEVER edit B (candidate value in col B). You only write C (override), E (baseline gain), F (delta vs E), G (variant gain), and L:BI per-filter deltas.</t>
        </is>
      </c>
    </row>
    <row r="6" ht="28" customHeight="1">
      <c r="A6" s="39" t="inlineStr">
        <is>
          <t>1) CREATE BASELINE WITH per_sym OVERRIDES for EXACT sym_side. GET OVERRIDES = union of data/hourly_reconfig/trb/active_config.json AND data/hourly_reconfig/per_sym_active_config.json for YOUR EXACT SYM_SIDE (SYMBOL+_LONG vs _SHORT are DIFFERENT, NEVER reuse). Example NVDA_LONG 8 overrides (BOUNCE_AUGMENT...), CRWD_SHORT 0. For each switch in union, find row where A==switch name and write override into C, BOLD GREEN font 006100 on fill C6EFCE. Do ALL overrides BEFORE baseline calc. Then baseline = vector_evaluate(sym_side, overrides) AND live_evaluate(sym_side, overrides) — they must parity (trades 0.80..1.25, gain 0.5pp|15%, sharpe 0.25). Write META_LONG_BASELINE_METRICS!B2 = gain, B? = bh. Verify WT_15M_BOUNCE True adds &gt;100 trades/mo (fix in v12_quick_engine:5894 MAX_BARS_AGO=100). If trades 0 or &lt;30, STOP and spawn agent to fix v12_quick_engine (6817/9010).</t>
        </is>
      </c>
    </row>
    <row r="7" ht="18" customHeight="1">
      <c r="A7" s="39" t="inlineStr">
        <is>
          <t>1b) BASELINE E2 = META_LONG_BASELINE_METRICS!B2 (gain). E3 = IF(F3&gt;0,E2+F3,"") chain. Never repeat E. First pilot: WT_15M_BOUNCE True must be first positive delta or calculation BROKEN.</t>
        </is>
      </c>
    </row>
    <row r="8" ht="28" customHeight="1">
      <c r="A8" s="39" t="inlineStr">
        <is>
          <t>2) FOR EVERY ROW (EVERY SWITCH) TEST EVERY APPLICABLE FILTER × EVERY SETTING. MANDATORY until &gt;100 sym_sides tested (see rule 9). Applicable = FILTER_DICTIONARY_V2 row where (sheets_app contains this tab lifecycle ENTRY/EXIT/REENTRY/AUGMENT/REDUCE or GLOBAL_CHECK) AND (gates token overlap with this switch OR rec is GENERAL). Use get_opportune_filters(switch, sheet) — it already implements this. For WT_15M_BOUNCE_OPEN_ENABLED True you MUST test its 12 sub-filters (BB_MIN 0.05/0.1/0.2, BB_MAX 0.95/0.9/0.8, LOW_1H True/False, HIGH_1H True/False, REL_VOL True/False) even if WT alone delta is NEG — they are FILTERS in FILTER_DICTIONARY, not switches. Do NOT discard. COL J lists per-switch opportune filters (up to 6 shown), COL L:BI holds per-filter deltas (one column per filter=opt).</t>
        </is>
      </c>
    </row>
    <row r="9" ht="28" customHeight="1">
      <c r="A9" s="39" t="inlineStr">
        <is>
          <t>2a) EVALUATION: For this row, build candidates: [switch alone] + [switch+each single filter distinct opt (skip opt==cur)] . If best single delta &lt;=0, also test ALL combos of 2 and 3 among top-8 singles (C8,2=28 + C8,3=56 =84 combos). Each candidate = sanitize_overrides(variant, defaults) then vector_evaluate via prepare_batch/evaluate_prepared_sanitized (70-136ms, million/hour). NEVER use per-cell load_npz (3.65s) — use prepare_batch once per sym_side. Log every candidate: [CANDIDATE] switch=cand[+filter=opt] vec_gain delta vs cum trades sharpe. Pick MAX delta (beating-ideas-to-death, not first positive).</t>
        </is>
      </c>
    </row>
    <row r="10" ht="28" customHeight="1">
      <c r="A10" s="39" t="inlineStr">
        <is>
          <t>2b) DUPLICATE/0.0 CHECK — Immediately flag DUPLICATE (same delta for 2 different switches → formula bug, e.g. shared adx gate) or 0.0 (dead switch or &gt;5s VECTOR_STALL). If duplicate/0.0, revise v12_quick_engine wiring to exact live numpy (622 not-causal) and run live_evaluate for parity. Fix before promoting.</t>
        </is>
      </c>
    </row>
    <row r="11" ht="28" customHeight="1">
      <c r="A11" s="39" t="inlineStr">
        <is>
          <t>2c) PROGRESS REPORT every 5min: count filled F cells per sheet (e.g. NVDA 2790/2823=98.8% — one baseline empty per sheet expected). Write data/reports/lifecycle_pilot/*_pilot_progress.json and SPREADSHEETS/*_pilot_progress.html refreshed 60s. Also log [ROW] sheet!r switch=cand[+filter] delta vs cum -&gt; NEG/POSITIVE candidate.</t>
        </is>
      </c>
    </row>
    <row r="12" ht="28" customHeight="1">
      <c r="A12" s="39" t="inlineStr">
        <is>
          <t>3) PROMOTION: Only if best delta &gt;0 AND live_evaluate parity passes (trades 0.80..1.25, gain 0.5pp|15%, sharpe 0.25) AND (vector_only deferred → final cumulative live check). Then write C = cand (bold green 006100 on C6EFCE), cumulative_gain = vec_gain, cumulative_overrides[switch]=cand and if filter best exists also [filter]=fval. Write Results_30d_Deltas row: key=switch=cand, col5=delta, col6=variant_gain, col8=variant_gain, col10=trades, col11=max_dd, col12=tim. Also batch write L:BI deltas for this row (one col per filter=opt = delta). E for this row = IF(F&gt;0,Eprev+F,Eprev) — only F&gt;0 gets bold green E/F/G and C. F/G written even if &lt;=0 for audit, but E stays empty.</t>
        </is>
      </c>
    </row>
    <row r="13" ht="28" customHeight="1">
      <c r="A13" s="39" t="inlineStr">
        <is>
          <t>4) BLANKET FILTERS — AT END OF EACH TAB, BEFORE CONTINUING TO NEXT TAB, test ALL GENERAL (blanket) filters applicable to this tab. For EACH filter where sheets_app contains this tab lifecycle (or GLOBAL_CHECK) and rec is GENERAL, test EVERY Option Value vs FINAL cumulative baseline of this tab (using vector+live parity). Keep highest delta per filter. If pos, append new row at bottom of this tab (col1=filter, col2=opt_raw, col3=opt_val bold green, col4=GLOBAL_CHECK, col5=E formula =IF(F="",Eprev,IF(F&gt;0,Eprev+F,Eprev)), col6=VLOOKUP $A&amp;"="&amp;$B). Never use old blanket-only TEMPLATE logic — per-row L:BI AND blanket at bottom required.</t>
        </is>
      </c>
    </row>
    <row r="14" ht="28" customHeight="1">
      <c r="A14" s="39" t="inlineStr">
        <is>
          <t>5) RESULTS ROW — At end of EACH tab (and after each promoted row), fill complete metrics line in Results_30d_Deltas (lowercase results). EVERY pos delta gets: key, default, override, is_non_default, delta_gain_vs_bh (F), delta_sharpe, delta_trades, variant_gain (G), variant_sharpe, trades, TIM%, maxDD%, winRate, bars, peak $, score, source=backtest_v12_engine/vector, window=30d, valid, invalid_reason. NEVER copy baseline numbers — use REAL metrics from that run. DEATH PENALTY for fake numbers. Use metrics_guard.validate_and_format_sharpe().</t>
        </is>
      </c>
    </row>
    <row r="15" ht="28" customHeight="1">
      <c r="A15" s="39" t="inlineStr">
        <is>
          <t>6) TABS SEQUENTIALLY — Fill tabs in exact order, ONE TAB AT A TIME, BLANKET BEFORE NEXT: ENTRY_REVERSAL_BOUNCE → ENTRY_BREAKOUT_CHANNEL → ENTRY_CONFIRMATION_GATES → EXIT_STRUCTURAL → EXIT_VELOCITY → REENTRY_WINDOWED → REENTRY_ADAPTIVE → AUGMENT_TREND → AUGMENT_RISK_SIZING → REDUCE_PROFIT_LOCK → REDUCE_SIGNAL_RATER → GLOBAL_RISK_GATES (12 sheets, expandable to 20). E2 of next tab = MAX(prev!E:E). Chain never repeats. Do NOT skip a tab. Do NOT start next tab until blanket of current tab done and progress.json cumulative saved.</t>
        </is>
      </c>
    </row>
    <row r="16" ht="28" customHeight="1">
      <c r="A16" s="39" t="inlineStr">
        <is>
          <t>7) FILENAME — Save as {SYM_SIDE}_bh{bh}_gain{gain}_30d_matrix.xlsx where bh = bh_pct from META_LONG_BASELINE_METRICS!B? and gain = final cumulative gain (last E). fmt(v)=f"{v:.2f}".replace("-","m").replace(".","p"). Example NVDA bh7p50 gain6p80. Never overwrite; append _pilot_&lt;timestamp&gt; if exists. Then rsync to Mac SPREADSHEETS/ + S1 binance-sandbox/SPREADSHEETS/. Use --temp-dir --delay-updates for atomic sync.</t>
        </is>
      </c>
    </row>
    <row r="17" ht="28" customHeight="1">
      <c r="A17" s="39" t="inlineStr">
        <is>
          <t>8) CODE CHANGES -- v12_pilot.py, v14_sequential_filler.py, v12_quick_engine.py, backtest_v12_engine.py, config.py/config_tradier.py, FILTER_DICTIONARY_V2, live trading scripts (ez_manage.py/tradier_manage.py) must read per-row filters from L:BI and FILTER_DICTIONARY. QuickConfig 1118 fields, wire WT_15M_BOUNCE_BB_MIN/MAX/LOW/HIGH/REL_VOL causally in v12_quick_engine compute_entry_signals (6817) and backtest_v12_engine process_position. Ensure live trading uses same per-switch filter settings that TA sweeps proved.</t>
        </is>
      </c>
    </row>
    <row r="18" ht="28" customHeight="1">
      <c r="A18" s="39" t="inlineStr">
        <is>
          <t>9) FILTER SCOPE THRESHOLD -- Keep testing ALL applicable filters for EVERY switch (rule 2) UNTIL &gt;100 sym_sides tested (count = number of *_v14_progress.json in data/progress OR campaign_order_1mo.json queue completed). While &lt;100, NO filtering — test every opportune filter. Once &gt;100, switch to USEFUL-ONLY mode: for stock_long / stock_short / crypto_long / crypto_short separately, test only filters proven useful (those with &gt;=1 positive delta in any of the 100). Maintain useful list per universe in data/reports/useful_filters_{universe}.json. Until threshold, log [FILTER_SCOPE] ALL 22 spec/pilot, not filtered.</t>
        </is>
      </c>
    </row>
    <row r="19" ht="28" customHeight="1">
      <c r="A19" s="39" t="inlineStr">
        <is>
          <t>10) NO-LIES / METRICS_GUARD -- Every Sharpe/gain/dd emission MUST use metrics_guard.validate_and_format_sharpe(). No annualization. Sample floor ≥48 crypto or ≥100 stocks × &gt;1yr × ≥30 trades/sym. Source of truth = trade-return list. BACKTEST_BIBLE.md is canonical.</t>
        </is>
      </c>
    </row>
    <row r="20" ht="28" customHeight="1">
      <c r="A20" s="45" t="inlineStr">
        <is>
          <t>11) RESOURCES -- S1 16 cores 30GiB, --workers 28, CPU 80-99%, RAM 65-90%. Per-cell vector 0.07-0.136s (&lt;5s) PASSED, full worksheet 2075c ~72s (&lt;10min). Use prepare_batch + evaluate_many for million/hour (3056 in &lt;3s, bad2149 false).</t>
        </is>
      </c>
    </row>
    <row r="21" ht="28" customHeight="1">
      <c r="A21" s="46" t="inlineStr">
        <is>
          <t>12) PROVENANCE COLOR (LIVE vs VECTOR) -- F/E/G cell fill must reflect proven origin, NOT just one run: crypto proven = GREENISH #C6EFCE (006100 font), stock proven = LIGHT BLUE #ADD8E6 (0070C0 font), BOTH proven (crypto AND stock verified on same switch, completely different verifications on S1) = DARKER #5B8DB2 (or #6FA8DC) with BOLD. v14 certify_template.py must set: if crypto_valid and stock_valid → darker #5B8DB2, elif stock_valid → #ADD8E6, elif crypto_valid → #C6EFCE. Do NOT use single blue for all. Check 12SYM_PARITY sheet.</t>
        </is>
      </c>
    </row>
    <row r="22" ht="28" customHeight="1">
      <c r="A22" s="45" t="inlineStr">
        <is>
          <t>13) READING LIST BEFORE ANY WORK -- BACKTEST_BIBLE.md, v12_pilot.py, v14_sequential_filler.py (get_opportune_filters, blanket at 951, pending_lbI batch), v12_quick_engine.py (851 reads), backtest_v12_engine.py, QuickConfig (1118 fields), THIS TAB, live scripts (ez_manage.py:25051 UNIVERSAL_NOLOSS_GATE). Mac ONLY trades live, NEVER tests.</t>
        </is>
      </c>
    </row>
    <row r="23" ht="28" customHeight="1">
      <c r="A23" s="47" t="inlineStr">
        <is>
          <t>14) FINAL CHECK -- Before declaring done, verify: (a) every row has F via Results key=switch=cand VLOOKUP $A&amp;"="&amp;$B, (b) L:BI columns exist for every applicable filter (R-W, 40 col cap), (c) Results_30d_Deltas has delta, gain, trades, sharpe for every pos, (d) filename bh/gain correct, (e) v14 where applicable, (f) &gt;100 sym_sides threshold respected, (g) colors green/blue/darker per provenance.</t>
        </is>
      </c>
    </row>
    <row r="24" ht="8" customHeight="1"/>
    <row r="25" ht="18" customHeight="1">
      <c r="A25" s="42" t="n"/>
    </row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8" customHeight="1"/>
    <row r="33" ht="18" customHeight="1"/>
    <row r="34" ht="18" customHeight="1"/>
    <row r="35" ht="18" customHeight="1"/>
    <row r="36" ht="18" customHeight="1"/>
    <row r="37" ht="8" customHeight="1"/>
    <row r="38" ht="18" customHeight="1"/>
    <row r="39" ht="8" customHeight="1"/>
    <row r="40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5">
      <c r="A15" s="48" t="inlineStr">
        <is>
          <t>2026-09-11 UPDATE: See INSTRUCTIONS tab rows 9,12,14 for &gt;100 sym_sides threshold, blanket at end of each tab, and green/blue/darker proven colors. v14 implements get_opportune_filters + 84 combos + blanket GENERAL. ALL filters until 100, then useful per universe.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>
        <f>'META_LONG_BASELINE_METRICS'!B2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C4" t="inlineStr">
        <is>
          <t>WT_15M_BOUNCE_OPEN_ENABLED=True + WT_15M_BOUNCE_BB_MAX=0.8 + BB_WT_TF=15m + GR=18 + BB_RECOVERY_FILTER_TF=OFF + DC_BREAK_FILTER_TF=1h</t>
        </is>
      </c>
      <c r="E4">
        <f>IF(F4="",E3,IF(F4&gt;0,E3+F4,E3))</f>
        <v/>
      </c>
      <c r="F4" t="n">
        <v>-2.613466259680068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C5" t="inlineStr">
        <is>
          <t>BB_SQUEEZE_ENTRY_ENABLED=True + ADX_RANGING_THRESHOLD=25 + BB_WT_TF=15m + GR=18 + BB_RECOVERY_FILTER_TF=OFF + DC_BREAK_FILTER_TF=1h</t>
        </is>
      </c>
      <c r="E5">
        <f>IF(F5="",E4,IF(F5&gt;0,E4+F5,E4))</f>
        <v/>
      </c>
      <c r="F5" t="n">
        <v>-2.613466259680068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C6" t="inlineStr">
        <is>
          <t>BB_PULLBACK_GATE_TF=OFF + MTS_BOTTOM_STRONG_THRESHOLD=20 + BB_WT_TF=15m + GR=18 + BB_RECOVERY_FILTER_TF=OFF + DC_BREAK_FILTER_TF=1h</t>
        </is>
      </c>
      <c r="E6">
        <f>IF(F6="",E5,IF(F6&gt;0,E5+F6,E5))</f>
        <v/>
      </c>
      <c r="F6" t="n">
        <v>-2.613466259680068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 t="n">
        <v>-2.613466259680068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 t="n">
        <v>-2.613466259680068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C9" t="inlineStr">
        <is>
          <t>BB_PULLBACK_GATE_TF=1h + MI_TF_AGREE_MIN=0.0_ALT + BB_WT_TF=15m + GR=18 + BB_RECOVERY_FILTER_TF=OFF + DC_BREAK_FILTER_TF=1h</t>
        </is>
      </c>
      <c r="E9">
        <f>IF(F9="",E8,IF(F9&gt;0,E8+F9,E8))</f>
        <v/>
      </c>
      <c r="F9" t="n">
        <v>-2.613466259680068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>
        <f>IF(F12="",E11,IF(F12&gt;0,E11+F12,E11))</f>
        <v/>
      </c>
      <c r="F12" t="n">
        <v>-2.613466259680068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 t="n">
        <v>-2.613466259680068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 t="n">
        <v>-2.613466259680068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 t="n">
        <v>-2.613466259680068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 t="n">
        <v>-2.613466259680068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>
        <f>IF(F17="",E16,IF(F17&gt;0,E16+F17,E16))</f>
        <v/>
      </c>
      <c r="F17" t="n">
        <v>-2.613466259680068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>
        <f>IF(F19="",E18,IF(F19&gt;0,E18+F19,E18))</f>
        <v/>
      </c>
      <c r="F19" t="n">
        <v>-2.613466259680068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 t="n">
        <v>-2.613466259680068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 t="n">
        <v>-2.613466259680068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>
        <f>IF(F22="",E21,IF(F22&gt;0,E21+F22,E21))</f>
        <v/>
      </c>
      <c r="F22" t="n">
        <v>-2.613466259680068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MAX('ENTRY_REVERSAL_BOUNCE'!E$2:E$5000)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>
        <f>MAX('ENTRY_REVERSAL_BOUNCE'!E:E)</f>
        <v/>
      </c>
      <c r="F3" t="n">
        <v>-2.613466259680068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 t="n">
        <v>-2.613466259680068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 t="n">
        <v>-2.613466259680068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 t="n">
        <v>-2.613466259680068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>
        <f>IF(F8="",E7,IF(F8&gt;0,E7+F8,E7))</f>
        <v/>
      </c>
      <c r="F8" t="n">
        <v>-2.613466259680068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 t="n">
        <v>-2.613466259680068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 t="n">
        <v>-2.613466259680068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 t="n">
        <v>-2.613466259680068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 t="n">
        <v>-2.613466259680068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>
        <f>IF(F13="",E12,IF(F13&gt;0,E12+F13,E12))</f>
        <v/>
      </c>
      <c r="F13" t="n">
        <v>-2.613466259680068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 t="n">
        <v>-2.613466259680068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 t="n">
        <v>-2.613466259680068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 t="n">
        <v>-2.613466259680068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 t="n">
        <v>-2.613466259680068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 t="n">
        <v>-2.613466259680068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 t="n">
        <v>-2.613466259680068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 t="n">
        <v>-2.613466259680068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>
        <f>IF(F24="",E23,IF(F24&gt;0,E23+F24,E23))</f>
        <v/>
      </c>
      <c r="F24" t="n">
        <v>-2.613466259680068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 t="n">
        <v>-2.613466259680068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 t="n">
        <v>-2.613466259680068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 t="n">
        <v>-2.613466259680068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 t="n">
        <v>-2.613466259680068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>
        <f>IF(F29="",E28,IF(F29&gt;0,E28+F29,E28))</f>
        <v/>
      </c>
      <c r="F29" t="n">
        <v>-2.613466259680068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 t="n">
        <v>-2.613466259680068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 t="n">
        <v>-2.613466259680068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 t="n">
        <v>-2.613466259680068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 t="n">
        <v>-2.613466259680068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>
        <f>IF(F34="",E33,IF(F34&gt;0,E33+F34,E33))</f>
        <v/>
      </c>
      <c r="F34" t="n">
        <v>-2.613466259680068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 t="n">
        <v>-2.613466259680068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 t="n">
        <v>-2.613466259680068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 t="n">
        <v>-2.613466259680068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 t="n">
        <v>-2.613466259680068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>
        <f>IF(F39="",E38,IF(F39&gt;0,E38+F39,E38))</f>
        <v/>
      </c>
      <c r="F39" t="n">
        <v>-2.613466259680068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 t="n">
        <v>-2.613466259680068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 t="n">
        <v>-2.613466259680068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 t="n">
        <v>-2.613466259680068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>
        <f>IF(F43="",E42,IF(F43&gt;0,E42+F43,E42))</f>
        <v/>
      </c>
      <c r="F43" t="n">
        <v>-2.613466259680068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 t="n">
        <v>-2.613466259680068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 t="n">
        <v>-2.613466259680068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 t="n">
        <v>-2.613466259680068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>
        <f>IF(F47="",E46,IF(F47&gt;0,E46+F47,E46))</f>
        <v/>
      </c>
      <c r="F47" t="n">
        <v>-2.613466259680068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 t="n">
        <v>-2.613466259680068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 t="n">
        <v>-2.613466259680068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 t="n">
        <v>-2.613466259680068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>
        <f>IF(F52="",E51,IF(F52&gt;0,E51+F52,E51))</f>
        <v/>
      </c>
      <c r="F52" t="n">
        <v>-2.613466259680068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 t="n">
        <v>-2.613466259680068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 t="n">
        <v>-2.613466259680068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 t="n">
        <v>-2.613466259680068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 t="n">
        <v>-2.613466259680068</v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>
        <f>IF(F57="",E56,IF(F57&gt;0,E56+F57,E56))</f>
        <v/>
      </c>
      <c r="F57" t="n">
        <v>-2.613466259680068</v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 t="n">
        <v>-2.613466259680068</v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 t="n">
        <v>-2.613466259680068</v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 t="n">
        <v>-2.613466259680068</v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 t="n">
        <v>-2.613466259680068</v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>
        <f>IF(F62="",E61,IF(F62&gt;0,E61+F62,E61))</f>
        <v/>
      </c>
      <c r="F62" t="n">
        <v>-2.613466259680068</v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 t="n">
        <v>-2.613466259680068</v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 t="n">
        <v>-2.613466259680068</v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 t="n">
        <v>-2.613466259680068</v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>
        <f>IF(F68="",E67,IF(F68&gt;0,E67+F68,E67))</f>
        <v/>
      </c>
      <c r="F68" t="n">
        <v>-2.613466259680068</v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MAX('ENTRY_BREAKOUT_CHANNEL'!E$2:E$5000)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C4" t="inlineStr">
        <is>
          <t>GR_FILTER_ALL_ENTRIES=0.0_ALT + EXIT_TO_REDUCE_ADAPTER_FILTER_TF=4h + BB_WT_TF=15m + GR=18 + BB_RECOVERY_FILTER_TF=OFF + DC_BREAK_FILTER_TF=1h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MAX('ENTRY_CONFIRMATION_GATES'!E$2:E$5000)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MAX('EXIT_STRUCTURAL'!E$2:E$5000)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MAX('EXIT_VELOCITY'!E$2:E$5000)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IFERROR(VLOOKUP($A213&amp;"="&amp;$B213,Results_30d_Deltas!$A$2:$H$5000,5,FALSE),"")</f>
        <v/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>
        <f>IFERROR(VLOOKUP($A214&amp;"="&amp;$B214,Results_30d_Deltas!$A$2:$H$5000,5,FALSE),"")</f>
        <v/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IFERROR(VLOOKUP($A215&amp;"="&amp;$B215,Results_30d_Deltas!$A$2:$H$5000,5,FALSE),"")</f>
        <v/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IFERROR(VLOOKUP($A216&amp;"="&amp;$B216,Results_30d_Deltas!$A$2:$H$5000,5,FALSE),"")</f>
        <v/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IFERROR(VLOOKUP($A217&amp;"="&amp;$B217,Results_30d_Deltas!$A$2:$H$5000,5,FALSE),"")</f>
        <v/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>
        <f>IFERROR(VLOOKUP($A218&amp;"="&amp;$B218,Results_30d_Deltas!$A$2:$H$5000,5,FALSE),"")</f>
        <v/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IFERROR(VLOOKUP($A219&amp;"="&amp;$B219,Results_30d_Deltas!$A$2:$H$5000,5,FALSE),"")</f>
        <v/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IFERROR(VLOOKUP($A220&amp;"="&amp;$B220,Results_30d_Deltas!$A$2:$H$5000,5,FALSE),"")</f>
        <v/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IFERROR(VLOOKUP($A221&amp;"="&amp;$B221,Results_30d_Deltas!$A$2:$H$5000,5,FALSE),"")</f>
        <v/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>
        <f>IFERROR(VLOOKUP($A222&amp;"="&amp;$B222,Results_30d_Deltas!$A$2:$H$5000,5,FALSE),"")</f>
        <v/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IFERROR(VLOOKUP($A223&amp;"="&amp;$B223,Results_30d_Deltas!$A$2:$H$5000,5,FALSE),"")</f>
        <v/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IFERROR(VLOOKUP($A224&amp;"="&amp;$B224,Results_30d_Deltas!$A$2:$H$5000,5,FALSE),"")</f>
        <v/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IFERROR(VLOOKUP($A225&amp;"="&amp;$B225,Results_30d_Deltas!$A$2:$H$5000,5,FALSE),"")</f>
        <v/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>
        <f>IFERROR(VLOOKUP($A226&amp;"="&amp;$B226,Results_30d_Deltas!$A$2:$H$5000,5,FALSE),"")</f>
        <v/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IFERROR(VLOOKUP($A227&amp;"="&amp;$B227,Results_30d_Deltas!$A$2:$H$5000,5,FALSE),"")</f>
        <v/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IFERROR(VLOOKUP($A228&amp;"="&amp;$B228,Results_30d_Deltas!$A$2:$H$5000,5,FALSE),"")</f>
        <v/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IFERROR(VLOOKUP($A229&amp;"="&amp;$B229,Results_30d_Deltas!$A$2:$H$5000,5,FALSE),"")</f>
        <v/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>
        <f>IFERROR(VLOOKUP($A230&amp;"="&amp;$B230,Results_30d_Deltas!$A$2:$H$5000,5,FALSE),"")</f>
        <v/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IFERROR(VLOOKUP($A231&amp;"="&amp;$B231,Results_30d_Deltas!$A$2:$H$5000,5,FALSE),"")</f>
        <v/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IFERROR(VLOOKUP($A232&amp;"="&amp;$B232,Results_30d_Deltas!$A$2:$H$5000,5,FALSE),"")</f>
        <v/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IFERROR(VLOOKUP($A233&amp;"="&amp;$B233,Results_30d_Deltas!$A$2:$H$5000,5,FALSE),"")</f>
        <v/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>
        <f>IFERROR(VLOOKUP($A234&amp;"="&amp;$B234,Results_30d_Deltas!$A$2:$H$5000,5,FALSE),"")</f>
        <v/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IFERROR(VLOOKUP($A235&amp;"="&amp;$B235,Results_30d_Deltas!$A$2:$H$5000,5,FALSE),"")</f>
        <v/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IFERROR(VLOOKUP($A236&amp;"="&amp;$B236,Results_30d_Deltas!$A$2:$H$5000,5,FALSE),"")</f>
        <v/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IFERROR(VLOOKUP($A237&amp;"="&amp;$B237,Results_30d_Deltas!$A$2:$H$5000,5,FALSE),"")</f>
        <v/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>
        <f>IFERROR(VLOOKUP($A238&amp;"="&amp;$B238,Results_30d_Deltas!$A$2:$H$5000,5,FALSE),"")</f>
        <v/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IFERROR(VLOOKUP($A239&amp;"="&amp;$B239,Results_30d_Deltas!$A$2:$H$5000,5,FALSE),"")</f>
        <v/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IFERROR(VLOOKUP($A240&amp;"="&amp;$B240,Results_30d_Deltas!$A$2:$H$5000,5,FALSE),"")</f>
        <v/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IFERROR(VLOOKUP($A241&amp;"="&amp;$B241,Results_30d_Deltas!$A$2:$H$5000,5,FALSE),"")</f>
        <v/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>
        <f>IFERROR(VLOOKUP($A242&amp;"="&amp;$B242,Results_30d_Deltas!$A$2:$H$5000,5,FALSE),"")</f>
        <v/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IFERROR(VLOOKUP($A243&amp;"="&amp;$B243,Results_30d_Deltas!$A$2:$H$5000,5,FALSE),"")</f>
        <v/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IFERROR(VLOOKUP($A244&amp;"="&amp;$B244,Results_30d_Deltas!$A$2:$H$5000,5,FALSE),"")</f>
        <v/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IFERROR(VLOOKUP($A245&amp;"="&amp;$B245,Results_30d_Deltas!$A$2:$H$5000,5,FALSE),"")</f>
        <v/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>
        <f>IFERROR(VLOOKUP($A246&amp;"="&amp;$B246,Results_30d_Deltas!$A$2:$H$5000,5,FALSE),"")</f>
        <v/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IFERROR(VLOOKUP($A247&amp;"="&amp;$B247,Results_30d_Deltas!$A$2:$H$5000,5,FALSE),"")</f>
        <v/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IFERROR(VLOOKUP($A248&amp;"="&amp;$B248,Results_30d_Deltas!$A$2:$H$5000,5,FALSE),"")</f>
        <v/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IFERROR(VLOOKUP($A249&amp;"="&amp;$B249,Results_30d_Deltas!$A$2:$H$5000,5,FALSE),"")</f>
        <v/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IFERROR(VLOOKUP($A250&amp;"="&amp;$B250,Results_30d_Deltas!$A$2:$H$5000,5,FALSE),"")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IFERROR(VLOOKUP($A251&amp;"="&amp;$B251,Results_30d_Deltas!$A$2:$H$5000,5,FALSE),"")</f>
        <v/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MAX('REENTRY_WINDOWED'!E$2:E$5000)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>
        <f>MAX('REENTRY_WINDOWED'!E:E)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MAX('REENTRY_ADAPTIVE'!E$2:E$5000)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>
        <f>MAX('REENTRY_ADAPTIVE'!E:E)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MAX('AUGMENT_TREND'!E$2:E$5000)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>
        <f>MAX('AUGMENT_TREND'!E:E)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MAX('AUGMENT_RISK_SIZING'!E$2:E$5000)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MAX('REDUCE_PROFIT_LOCK'!E$2:E$5000)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>
        <f>MAX('REDUCE_PROFIT_LOCK'!E:E)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9">
        <f>MAX('REDUCE_SIGNAL_RATER'!E$2:E$5000)</f>
        <v/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variant_sharpe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notes</t>
        </is>
      </c>
    </row>
    <row r="2">
      <c r="A2" t="inlineStr">
        <is>
          <t>BB_SQUEEZE_WIDTH_PERCENTILE=0.3</t>
        </is>
      </c>
      <c r="E2" t="n">
        <v>-2.613466259680068</v>
      </c>
      <c r="H2" t="n">
        <v>0</v>
      </c>
      <c r="N2" t="inlineStr">
        <is>
          <t>parity_fail</t>
        </is>
      </c>
      <c r="O2" t="inlineStr">
        <is>
          <t>parity_fail vec -2.6134662596800684 live None</t>
        </is>
      </c>
    </row>
    <row r="3">
      <c r="A3" t="inlineStr">
        <is>
          <t>BB_PULLBACK_GATE_TF=D</t>
        </is>
      </c>
      <c r="E3" t="n">
        <v>-2.613466259680068</v>
      </c>
      <c r="H3" t="n">
        <v>0</v>
      </c>
      <c r="N3" t="inlineStr">
        <is>
          <t>parity_fail</t>
        </is>
      </c>
      <c r="O3" t="inlineStr">
        <is>
          <t>parity_fail vec -2.6134662596800684 live None</t>
        </is>
      </c>
    </row>
    <row r="4">
      <c r="A4" t="inlineStr">
        <is>
          <t>BB_SQUEEZE_WIDTH_PERCENTILE=0.2</t>
        </is>
      </c>
      <c r="E4" t="n">
        <v>-2.613466259680068</v>
      </c>
      <c r="H4" t="n">
        <v>0</v>
      </c>
      <c r="N4" t="inlineStr">
        <is>
          <t>parity_fail</t>
        </is>
      </c>
      <c r="O4" t="inlineStr">
        <is>
          <t>parity_fail vec -2.6134662596800684 live None</t>
        </is>
      </c>
    </row>
    <row r="5">
      <c r="A5" t="inlineStr">
        <is>
          <t>BB_SQUEEZE_WIDTH_PERCENTILE=0.1</t>
        </is>
      </c>
      <c r="E5" t="n">
        <v>-2.613466259680068</v>
      </c>
      <c r="H5" t="n">
        <v>0</v>
      </c>
      <c r="N5" t="inlineStr">
        <is>
          <t>parity_fail</t>
        </is>
      </c>
      <c r="O5" t="inlineStr">
        <is>
          <t>parity_fail vec -2.6134662596800684 live None</t>
        </is>
      </c>
    </row>
    <row r="6">
      <c r="A6" t="inlineStr">
        <is>
          <t>BB_PULLBACK_GATE_TF=OFF</t>
        </is>
      </c>
      <c r="E6" t="n">
        <v>-2.613466259680068</v>
      </c>
      <c r="H6" t="n">
        <v>0</v>
      </c>
      <c r="N6" t="inlineStr">
        <is>
          <t>parity_fail</t>
        </is>
      </c>
      <c r="O6" t="inlineStr">
        <is>
          <t>parity_fail vec -2.6134662596800684 live None</t>
        </is>
      </c>
    </row>
    <row r="7">
      <c r="A7" t="inlineStr">
        <is>
          <t>WT_MOMENTUM_EXIT_THRESHOLD=0</t>
        </is>
      </c>
      <c r="E7" t="n">
        <v>-2.613466259680068</v>
      </c>
      <c r="H7" t="n">
        <v>0</v>
      </c>
      <c r="N7" t="inlineStr">
        <is>
          <t>parity_fail</t>
        </is>
      </c>
      <c r="O7" t="inlineStr">
        <is>
          <t>parity_fail vec -2.6134662596800684 live None</t>
        </is>
      </c>
    </row>
    <row r="8">
      <c r="A8" t="inlineStr">
        <is>
          <t>WT_MOMENTUM_EXIT_THRESHOLD=1</t>
        </is>
      </c>
      <c r="E8" t="n">
        <v>-2.613466259680068</v>
      </c>
      <c r="H8" t="n">
        <v>0</v>
      </c>
      <c r="N8" t="inlineStr">
        <is>
          <t>parity_fail</t>
        </is>
      </c>
      <c r="O8" t="inlineStr">
        <is>
          <t>parity_fail vec -2.6134662596800684 live None</t>
        </is>
      </c>
    </row>
    <row r="9">
      <c r="A9" t="inlineStr">
        <is>
          <t>WT_DIV_EXIT_ENABLED=False</t>
        </is>
      </c>
      <c r="E9" t="n">
        <v>-2.613466259680068</v>
      </c>
      <c r="H9" t="n">
        <v>0</v>
      </c>
      <c r="N9" t="inlineStr">
        <is>
          <t>parity_fail</t>
        </is>
      </c>
      <c r="O9" t="inlineStr">
        <is>
          <t>parity_fail vec -2.6134662596800684 live None</t>
        </is>
      </c>
    </row>
    <row r="10">
      <c r="A10" t="inlineStr">
        <is>
          <t>BB_SQUEEZE_WIDTH_PERCENTILE=0.25</t>
        </is>
      </c>
      <c r="E10" t="n">
        <v>-2.613466259680068</v>
      </c>
      <c r="H10" t="n">
        <v>0</v>
      </c>
      <c r="N10" t="inlineStr">
        <is>
          <t>parity_fail</t>
        </is>
      </c>
      <c r="O10" t="inlineStr">
        <is>
          <t>parity_fail vec -2.6134662596800684 live None</t>
        </is>
      </c>
    </row>
    <row r="11">
      <c r="A11" t="inlineStr">
        <is>
          <t>BB_PULLBACK_GATE_TF=1h</t>
        </is>
      </c>
      <c r="E11" t="n">
        <v>-2.613466259680068</v>
      </c>
      <c r="H11" t="n">
        <v>0</v>
      </c>
      <c r="N11" t="inlineStr">
        <is>
          <t>parity_fail</t>
        </is>
      </c>
      <c r="O11" t="inlineStr">
        <is>
          <t>parity_fail vec -2.6134662596800684 live None</t>
        </is>
      </c>
    </row>
    <row r="12">
      <c r="A12" t="inlineStr">
        <is>
          <t>WT_MOMENTUM_EXIT_THRESHOLD=2</t>
        </is>
      </c>
      <c r="E12" t="n">
        <v>-2.613466259680068</v>
      </c>
      <c r="H12" t="n">
        <v>0</v>
      </c>
      <c r="N12" t="inlineStr">
        <is>
          <t>parity_fail</t>
        </is>
      </c>
      <c r="O12" t="inlineStr">
        <is>
          <t>parity_fail vec -2.6134662596800684 live None</t>
        </is>
      </c>
    </row>
    <row r="13">
      <c r="A13" t="inlineStr">
        <is>
          <t>WT_15M_BOUNCE_OPEN_ENABLED=True</t>
        </is>
      </c>
      <c r="E13" t="n">
        <v>-2.613466259680068</v>
      </c>
      <c r="H13" t="n">
        <v>0</v>
      </c>
      <c r="N13" t="inlineStr">
        <is>
          <t>parity_fail</t>
        </is>
      </c>
      <c r="O13" t="inlineStr">
        <is>
          <t>parity_fail vec -2.6134662596800684 live None</t>
        </is>
      </c>
    </row>
    <row r="14">
      <c r="A14" t="inlineStr">
        <is>
          <t>BB_SQUEEZE_WIDTH_PERCENTILE=0.15</t>
        </is>
      </c>
      <c r="E14" t="n">
        <v>-2.613466259680068</v>
      </c>
      <c r="H14" t="n">
        <v>0</v>
      </c>
      <c r="N14" t="inlineStr">
        <is>
          <t>parity_fail</t>
        </is>
      </c>
      <c r="O14" t="inlineStr">
        <is>
          <t>parity_fail vec -2.6134662596800684 live None</t>
        </is>
      </c>
    </row>
    <row r="15">
      <c r="A15" t="inlineStr">
        <is>
          <t>BB_PULLBACK_GATE_TF=4h</t>
        </is>
      </c>
      <c r="E15" t="n">
        <v>-2.613466259680068</v>
      </c>
      <c r="H15" t="n">
        <v>0</v>
      </c>
      <c r="N15" t="inlineStr">
        <is>
          <t>parity_fail</t>
        </is>
      </c>
      <c r="O15" t="inlineStr">
        <is>
          <t>parity_fail vec -2.6134662596800684 live None</t>
        </is>
      </c>
    </row>
    <row r="16">
      <c r="A16" t="inlineStr">
        <is>
          <t>BB_SQUEEZE_ENTRY_ENABLED=True</t>
        </is>
      </c>
      <c r="E16" t="n">
        <v>-2.613466259680068</v>
      </c>
      <c r="H16" t="n">
        <v>0</v>
      </c>
      <c r="N16" t="inlineStr">
        <is>
          <t>parity_fail</t>
        </is>
      </c>
      <c r="O16" t="inlineStr">
        <is>
          <t>parity_fail vec -2.6134662596800684 live None</t>
        </is>
      </c>
    </row>
    <row r="17">
      <c r="A17" t="inlineStr">
        <is>
          <t>WT_ACCEL_EXIT_ENABLED=False</t>
        </is>
      </c>
      <c r="E17" t="n">
        <v>-2.613466259680068</v>
      </c>
      <c r="H17" t="n">
        <v>0</v>
      </c>
      <c r="N17" t="inlineStr">
        <is>
          <t>parity_fail</t>
        </is>
      </c>
      <c r="O17" t="inlineStr">
        <is>
          <t>parity_fail vec -2.6134662596800684 live None</t>
        </is>
      </c>
    </row>
    <row r="18">
      <c r="A18" t="inlineStr">
        <is>
          <t>DC_BREAKOUT_SCORE=25</t>
        </is>
      </c>
      <c r="E18" t="n">
        <v>-2.613466259680068</v>
      </c>
      <c r="H18" t="n">
        <v>0</v>
      </c>
      <c r="N18" t="inlineStr">
        <is>
          <t>parity_fail</t>
        </is>
      </c>
      <c r="O18" t="inlineStr">
        <is>
          <t>parity_fail vec -2.6134662596800684 live None</t>
        </is>
      </c>
    </row>
    <row r="19">
      <c r="A19" t="inlineStr">
        <is>
          <t>DC_BREAKOUT_SCORE=10</t>
        </is>
      </c>
      <c r="E19" t="n">
        <v>-2.613466259680068</v>
      </c>
      <c r="H19" t="n">
        <v>0</v>
      </c>
      <c r="N19" t="inlineStr">
        <is>
          <t>parity_fail</t>
        </is>
      </c>
      <c r="O19" t="inlineStr">
        <is>
          <t>parity_fail vec -2.6134662596800684 live None</t>
        </is>
      </c>
    </row>
    <row r="20">
      <c r="A20" t="inlineStr">
        <is>
          <t>DC_BREAKOUT_TF=4h</t>
        </is>
      </c>
      <c r="E20" t="n">
        <v>-2.613466259680068</v>
      </c>
      <c r="H20" t="n">
        <v>0</v>
      </c>
      <c r="N20" t="inlineStr">
        <is>
          <t>parity_fail</t>
        </is>
      </c>
      <c r="O20" t="inlineStr">
        <is>
          <t>parity_fail vec -2.6134662596800684 live None</t>
        </is>
      </c>
    </row>
    <row r="21">
      <c r="A21" t="inlineStr">
        <is>
          <t>DC_BREAKOUT_TF=OFF</t>
        </is>
      </c>
      <c r="E21" t="n">
        <v>-2.613466259680068</v>
      </c>
      <c r="H21" t="n">
        <v>0</v>
      </c>
      <c r="N21" t="inlineStr">
        <is>
          <t>parity_fail</t>
        </is>
      </c>
      <c r="O21" t="inlineStr">
        <is>
          <t>parity_fail vec -2.6134662596800684 live None</t>
        </is>
      </c>
    </row>
    <row r="22">
      <c r="A22" t="inlineStr">
        <is>
          <t>BB_BREAKOUT_SCORE=10</t>
        </is>
      </c>
      <c r="E22" t="n">
        <v>-2.613466259680068</v>
      </c>
      <c r="H22" t="n">
        <v>0</v>
      </c>
      <c r="N22" t="inlineStr">
        <is>
          <t>parity_fail</t>
        </is>
      </c>
      <c r="O22" t="inlineStr">
        <is>
          <t>parity_fail vec -2.6134662596800684 live None</t>
        </is>
      </c>
    </row>
    <row r="23">
      <c r="A23" t="inlineStr">
        <is>
          <t>STDEV_BREAKOUT_ENABLED=True</t>
        </is>
      </c>
      <c r="E23" t="n">
        <v>-2.613466259680068</v>
      </c>
      <c r="H23" t="n">
        <v>0</v>
      </c>
      <c r="N23" t="inlineStr">
        <is>
          <t>parity_fail</t>
        </is>
      </c>
      <c r="O23" t="inlineStr">
        <is>
          <t>parity_fail vec -2.6134662596800684 live None</t>
        </is>
      </c>
    </row>
    <row r="24">
      <c r="A24" t="inlineStr">
        <is>
          <t>DC_BREAKOUT_SCORE=30</t>
        </is>
      </c>
      <c r="E24" t="n">
        <v>-2.613466259680068</v>
      </c>
      <c r="H24" t="n">
        <v>0</v>
      </c>
      <c r="N24" t="inlineStr">
        <is>
          <t>parity_fail</t>
        </is>
      </c>
      <c r="O24" t="inlineStr">
        <is>
          <t>parity_fail vec -2.6134662596800684 live None</t>
        </is>
      </c>
    </row>
    <row r="25">
      <c r="A25" t="inlineStr">
        <is>
          <t>BB_BREAKOUT_SCORE=15</t>
        </is>
      </c>
      <c r="E25" t="n">
        <v>-2.613466259680068</v>
      </c>
      <c r="H25" t="n">
        <v>0</v>
      </c>
      <c r="N25" t="inlineStr">
        <is>
          <t>parity_fail</t>
        </is>
      </c>
      <c r="O25" t="inlineStr">
        <is>
          <t>parity_fail vec -2.6134662596800684 live None</t>
        </is>
      </c>
    </row>
    <row r="26">
      <c r="A26" t="inlineStr">
        <is>
          <t>DC_BREAKOUT_TF=D</t>
        </is>
      </c>
      <c r="E26" t="n">
        <v>-2.613466259680068</v>
      </c>
      <c r="H26" t="n">
        <v>0</v>
      </c>
      <c r="N26" t="inlineStr">
        <is>
          <t>parity_fail</t>
        </is>
      </c>
      <c r="O26" t="inlineStr">
        <is>
          <t>parity_fail vec -2.6134662596800684 live None</t>
        </is>
      </c>
    </row>
    <row r="27">
      <c r="A27" t="inlineStr">
        <is>
          <t>BB_BREAKOUT_SCORE=25</t>
        </is>
      </c>
      <c r="E27" t="n">
        <v>-2.613466259680068</v>
      </c>
      <c r="H27" t="n">
        <v>0</v>
      </c>
      <c r="N27" t="inlineStr">
        <is>
          <t>parity_fail</t>
        </is>
      </c>
      <c r="O27" t="inlineStr">
        <is>
          <t>parity_fail vec -2.6134662596800684 live None</t>
        </is>
      </c>
    </row>
    <row r="28">
      <c r="A28" t="inlineStr">
        <is>
          <t>BTC_BREAKOUT_ENTRY_ENABLED=True</t>
        </is>
      </c>
      <c r="E28" t="n">
        <v>-2.613466259680068</v>
      </c>
      <c r="H28" t="n">
        <v>0</v>
      </c>
      <c r="N28" t="inlineStr">
        <is>
          <t>parity_fail</t>
        </is>
      </c>
      <c r="O28" t="inlineStr">
        <is>
          <t>parity_fail vec -2.6134662596800684 live None</t>
        </is>
      </c>
    </row>
    <row r="29">
      <c r="A29" t="inlineStr">
        <is>
          <t>DC_BREAKOUT_SCORE=15</t>
        </is>
      </c>
      <c r="E29" t="n">
        <v>-2.613466259680068</v>
      </c>
      <c r="H29" t="n">
        <v>0</v>
      </c>
      <c r="N29" t="inlineStr">
        <is>
          <t>parity_fail</t>
        </is>
      </c>
      <c r="O29" t="inlineStr">
        <is>
          <t>parity_fail vec -2.6134662596800684 live None</t>
        </is>
      </c>
    </row>
    <row r="30">
      <c r="A30" t="inlineStr">
        <is>
          <t>DC_BREAKOUT_TF=1h</t>
        </is>
      </c>
      <c r="E30" t="n">
        <v>-2.613466259680068</v>
      </c>
      <c r="H30" t="n">
        <v>0</v>
      </c>
      <c r="N30" t="inlineStr">
        <is>
          <t>parity_fail</t>
        </is>
      </c>
      <c r="O30" t="inlineStr">
        <is>
          <t>parity_fail vec -2.6134662596800684 live None</t>
        </is>
      </c>
    </row>
    <row r="31">
      <c r="A31" t="inlineStr">
        <is>
          <t>DC_BREAKOUT_SCORE=20</t>
        </is>
      </c>
      <c r="E31" t="n">
        <v>-2.613466259680068</v>
      </c>
      <c r="H31" t="n">
        <v>0</v>
      </c>
      <c r="N31" t="inlineStr">
        <is>
          <t>parity_fail</t>
        </is>
      </c>
      <c r="O31" t="inlineStr">
        <is>
          <t>parity_fail vec -2.6134662596800684 live None</t>
        </is>
      </c>
    </row>
    <row r="32">
      <c r="A32" t="inlineStr">
        <is>
          <t>BB_BREAKOUT_SCORE=30</t>
        </is>
      </c>
      <c r="E32" t="n">
        <v>-2.613466259680068</v>
      </c>
      <c r="H32" t="n">
        <v>0</v>
      </c>
      <c r="N32" t="inlineStr">
        <is>
          <t>parity_fail</t>
        </is>
      </c>
      <c r="O32" t="inlineStr">
        <is>
          <t>parity_fail vec -2.6134662596800684 live None</t>
        </is>
      </c>
    </row>
    <row r="33">
      <c r="A33" t="inlineStr">
        <is>
          <t>BB_BREAKOUT_SCORE=20</t>
        </is>
      </c>
      <c r="E33" t="n">
        <v>-2.613466259680068</v>
      </c>
      <c r="H33" t="n">
        <v>0</v>
      </c>
      <c r="N33" t="inlineStr">
        <is>
          <t>parity_fail</t>
        </is>
      </c>
      <c r="O33" t="inlineStr">
        <is>
          <t>parity_fail vec -2.6134662596800684 live None</t>
        </is>
      </c>
    </row>
    <row r="34">
      <c r="A34" t="inlineStr">
        <is>
          <t>ATR_ADAPTIVE_SIZING_TARGET_PCT=1.0</t>
        </is>
      </c>
      <c r="E34" t="n">
        <v>-2.613466259680068</v>
      </c>
      <c r="H34" t="n">
        <v>0</v>
      </c>
      <c r="N34" t="inlineStr">
        <is>
          <t>parity_fail</t>
        </is>
      </c>
      <c r="O34" t="inlineStr">
        <is>
          <t>parity_fail vec -2.6134662596800684 live None</t>
        </is>
      </c>
    </row>
    <row r="35">
      <c r="A35" t="inlineStr">
        <is>
          <t>ATR_ADAPTIVE_SIZING_TARGET_PCT=2.0</t>
        </is>
      </c>
      <c r="E35" t="n">
        <v>-2.613466259680068</v>
      </c>
      <c r="H35" t="n">
        <v>0</v>
      </c>
      <c r="N35" t="inlineStr">
        <is>
          <t>parity_fail</t>
        </is>
      </c>
      <c r="O35" t="inlineStr">
        <is>
          <t>parity_fail vec -2.6134662596800684 live None</t>
        </is>
      </c>
    </row>
    <row r="36">
      <c r="A36" t="inlineStr">
        <is>
          <t>ATR_LONG_WINDOW=75</t>
        </is>
      </c>
      <c r="E36" t="n">
        <v>-2.613466259680068</v>
      </c>
      <c r="H36" t="n">
        <v>0</v>
      </c>
      <c r="N36" t="inlineStr">
        <is>
          <t>parity_fail</t>
        </is>
      </c>
      <c r="O36" t="inlineStr">
        <is>
          <t>parity_fail vec -2.6134662596800684 live None</t>
        </is>
      </c>
    </row>
    <row r="37">
      <c r="A37" t="inlineStr">
        <is>
          <t>RZ_BREAKOUT_ENTRY_ENABLED=True</t>
        </is>
      </c>
      <c r="E37" t="n">
        <v>-2.613466259680068</v>
      </c>
      <c r="H37" t="n">
        <v>0</v>
      </c>
      <c r="N37" t="inlineStr">
        <is>
          <t>parity_fail</t>
        </is>
      </c>
      <c r="O37" t="inlineStr">
        <is>
          <t>parity_fail vec -2.6134662596800684 live None</t>
        </is>
      </c>
    </row>
    <row r="38">
      <c r="A38" t="inlineStr">
        <is>
          <t>ATR_ADAPTIVE_SIZING_TARGET_PCT=3.0</t>
        </is>
      </c>
      <c r="E38" t="n">
        <v>-2.613466259680068</v>
      </c>
      <c r="H38" t="n">
        <v>0</v>
      </c>
      <c r="N38" t="inlineStr">
        <is>
          <t>parity_fail</t>
        </is>
      </c>
      <c r="O38" t="inlineStr">
        <is>
          <t>parity_fail vec -2.6134662596800684 live None</t>
        </is>
      </c>
    </row>
    <row r="39">
      <c r="A39" t="inlineStr">
        <is>
          <t>ATR_ADAPTIVE_SIZING_TARGET_PCT=1.5</t>
        </is>
      </c>
      <c r="E39" t="n">
        <v>-2.613466259680068</v>
      </c>
      <c r="H39" t="n">
        <v>0</v>
      </c>
      <c r="N39" t="inlineStr">
        <is>
          <t>parity_fail</t>
        </is>
      </c>
      <c r="O39" t="inlineStr">
        <is>
          <t>parity_fail vec -2.6134662596800684 live None</t>
        </is>
      </c>
    </row>
    <row r="40">
      <c r="A40" t="inlineStr">
        <is>
          <t>ATR_ADAPTIVE_STOP_MULT=3.0</t>
        </is>
      </c>
      <c r="E40" t="n">
        <v>-2.613466259680068</v>
      </c>
      <c r="H40" t="n">
        <v>0</v>
      </c>
      <c r="N40" t="inlineStr">
        <is>
          <t>parity_fail</t>
        </is>
      </c>
      <c r="O40" t="inlineStr">
        <is>
          <t>parity_fail vec -2.6134662596800684 live None</t>
        </is>
      </c>
    </row>
    <row r="41">
      <c r="A41" t="inlineStr">
        <is>
          <t>ATR_ADAPTIVE_STOP_MULT=2.0</t>
        </is>
      </c>
      <c r="E41" t="n">
        <v>-2.613466259680068</v>
      </c>
      <c r="H41" t="n">
        <v>0</v>
      </c>
      <c r="N41" t="inlineStr">
        <is>
          <t>parity_fail</t>
        </is>
      </c>
      <c r="O41" t="inlineStr">
        <is>
          <t>parity_fail vec -2.6134662596800684 live None</t>
        </is>
      </c>
    </row>
    <row r="42">
      <c r="A42" t="inlineStr">
        <is>
          <t>ATR_ADAPTIVE_STOP_MULT=2.5</t>
        </is>
      </c>
      <c r="E42" t="n">
        <v>-2.613466259680068</v>
      </c>
      <c r="H42" t="n">
        <v>0</v>
      </c>
      <c r="N42" t="inlineStr">
        <is>
          <t>parity_fail</t>
        </is>
      </c>
      <c r="O42" t="inlineStr">
        <is>
          <t>parity_fail vec -2.6134662596800684 live None</t>
        </is>
      </c>
    </row>
    <row r="43">
      <c r="A43" t="inlineStr">
        <is>
          <t>ATR_ADAPTIVE_SIZING_TARGET_PCT=2.5</t>
        </is>
      </c>
      <c r="E43" t="n">
        <v>-2.613466259680068</v>
      </c>
      <c r="H43" t="n">
        <v>0</v>
      </c>
      <c r="N43" t="inlineStr">
        <is>
          <t>parity_fail</t>
        </is>
      </c>
      <c r="O43" t="inlineStr">
        <is>
          <t>parity_fail vec -2.6134662596800684 live None</t>
        </is>
      </c>
    </row>
    <row r="44">
      <c r="A44" t="inlineStr">
        <is>
          <t>ATR_LONG_WINDOW=50</t>
        </is>
      </c>
      <c r="E44" t="n">
        <v>-2.613466259680068</v>
      </c>
      <c r="H44" t="n">
        <v>0</v>
      </c>
      <c r="N44" t="inlineStr">
        <is>
          <t>parity_fail</t>
        </is>
      </c>
      <c r="O44" t="inlineStr">
        <is>
          <t>parity_fail vec -2.6134662596800684 live None</t>
        </is>
      </c>
    </row>
    <row r="45">
      <c r="A45" t="inlineStr">
        <is>
          <t>ATR_ADAPTIVE_STOP_MULT=1.5</t>
        </is>
      </c>
      <c r="E45" t="n">
        <v>-2.613466259680068</v>
      </c>
      <c r="H45" t="n">
        <v>0</v>
      </c>
      <c r="N45" t="inlineStr">
        <is>
          <t>parity_fail</t>
        </is>
      </c>
      <c r="O45" t="inlineStr">
        <is>
          <t>parity_fail vec -2.6134662596800684 live None</t>
        </is>
      </c>
    </row>
    <row r="46">
      <c r="A46" t="inlineStr">
        <is>
          <t>ATR_ADAPTIVE_STOP_MULT=1.0</t>
        </is>
      </c>
      <c r="E46" t="n">
        <v>-2.613466259680068</v>
      </c>
      <c r="H46" t="n">
        <v>0</v>
      </c>
      <c r="N46" t="inlineStr">
        <is>
          <t>parity_fail</t>
        </is>
      </c>
      <c r="O46" t="inlineStr">
        <is>
          <t>parity_fail vec -2.6134662596800684 live None</t>
        </is>
      </c>
    </row>
    <row r="47">
      <c r="A47" t="inlineStr">
        <is>
          <t>ATR_LONG_WINDOW=100</t>
        </is>
      </c>
      <c r="E47" t="n">
        <v>-2.613466259680068</v>
      </c>
      <c r="H47" t="n">
        <v>0</v>
      </c>
      <c r="N47" t="inlineStr">
        <is>
          <t>parity_fail</t>
        </is>
      </c>
      <c r="O47" t="inlineStr">
        <is>
          <t>parity_fail vec -2.6134662596800684 live None</t>
        </is>
      </c>
    </row>
    <row r="48">
      <c r="A48" t="inlineStr">
        <is>
          <t>ATR_LONG_WINDOW=125</t>
        </is>
      </c>
      <c r="E48" t="n">
        <v>-2.613466259680068</v>
      </c>
      <c r="H48" t="n">
        <v>0</v>
      </c>
      <c r="N48" t="inlineStr">
        <is>
          <t>parity_fail</t>
        </is>
      </c>
      <c r="O48" t="inlineStr">
        <is>
          <t>parity_fail vec -2.6134662596800684 live None</t>
        </is>
      </c>
    </row>
    <row r="49">
      <c r="A49" t="inlineStr">
        <is>
          <t>ATR_LONG_WINDOW=150</t>
        </is>
      </c>
      <c r="E49" t="n">
        <v>-2.613466259680068</v>
      </c>
      <c r="H49" t="n">
        <v>0</v>
      </c>
      <c r="N49" t="inlineStr">
        <is>
          <t>parity_fail</t>
        </is>
      </c>
      <c r="O49" t="inlineStr">
        <is>
          <t>parity_fail vec -2.6134662596800684 live None</t>
        </is>
      </c>
    </row>
    <row r="50">
      <c r="A50" t="inlineStr">
        <is>
          <t>ENTRY_PRIMARY_TF=OFF</t>
        </is>
      </c>
      <c r="E50" t="n">
        <v>-2.613466259680068</v>
      </c>
      <c r="H50" t="n">
        <v>0</v>
      </c>
      <c r="N50" t="inlineStr">
        <is>
          <t>parity_fail</t>
        </is>
      </c>
      <c r="O50" t="inlineStr">
        <is>
          <t>parity_fail vec -2.6134662596800684 live None</t>
        </is>
      </c>
    </row>
    <row r="51">
      <c r="A51" t="inlineStr">
        <is>
          <t>BTC_RZ_WT_DC_MULTIFACTOR=2.0</t>
        </is>
      </c>
      <c r="E51" t="n">
        <v>-2.613466259680068</v>
      </c>
      <c r="H51" t="n">
        <v>0</v>
      </c>
      <c r="N51" t="inlineStr">
        <is>
          <t>parity_fail</t>
        </is>
      </c>
      <c r="O51" t="inlineStr">
        <is>
          <t>parity_fail vec -2.6134662596800684 live None</t>
        </is>
      </c>
    </row>
    <row r="52">
      <c r="A52" t="inlineStr">
        <is>
          <t>BTC_RZ_WT_DC_MULTIFACTOR=1.0</t>
        </is>
      </c>
      <c r="E52" t="n">
        <v>-2.613466259680068</v>
      </c>
      <c r="H52" t="n">
        <v>0</v>
      </c>
      <c r="N52" t="inlineStr">
        <is>
          <t>parity_fail</t>
        </is>
      </c>
      <c r="O52" t="inlineStr">
        <is>
          <t>parity_fail vec -2.6134662596800684 live None</t>
        </is>
      </c>
    </row>
    <row r="53">
      <c r="A53" t="inlineStr">
        <is>
          <t>BTC_RZ_WT_DC_MULTIFACTOR=0.5</t>
        </is>
      </c>
      <c r="E53" t="n">
        <v>-2.613466259680068</v>
      </c>
      <c r="H53" t="n">
        <v>0</v>
      </c>
      <c r="N53" t="inlineStr">
        <is>
          <t>parity_fail</t>
        </is>
      </c>
      <c r="O53" t="inlineStr">
        <is>
          <t>parity_fail vec -2.6134662596800684 live None</t>
        </is>
      </c>
    </row>
    <row r="54">
      <c r="A54" t="inlineStr">
        <is>
          <t>BTC_TECH_EXIT_WT_MIN_TFS=2.0</t>
        </is>
      </c>
      <c r="E54" t="n">
        <v>-2.613466259680068</v>
      </c>
      <c r="H54" t="n">
        <v>0</v>
      </c>
      <c r="N54" t="inlineStr">
        <is>
          <t>parity_fail</t>
        </is>
      </c>
      <c r="O54" t="inlineStr">
        <is>
          <t>parity_fail vec -2.6134662596800684 live None</t>
        </is>
      </c>
    </row>
    <row r="55">
      <c r="A55" t="inlineStr">
        <is>
          <t>ENTRY_SCORE_THRESHOLD=9.0</t>
        </is>
      </c>
      <c r="E55" t="n">
        <v>-2.613466259680068</v>
      </c>
      <c r="H55" t="n">
        <v>0</v>
      </c>
      <c r="N55" t="inlineStr">
        <is>
          <t>parity_fail</t>
        </is>
      </c>
      <c r="O55" t="inlineStr">
        <is>
          <t>parity_fail vec -2.6134662596800684 live None</t>
        </is>
      </c>
    </row>
    <row r="56">
      <c r="A56" t="inlineStr">
        <is>
          <t>BTC_TECH_EXIT_WT_MIN_TFS=0</t>
        </is>
      </c>
      <c r="E56" t="n">
        <v>-2.613466259680068</v>
      </c>
      <c r="H56" t="n">
        <v>0</v>
      </c>
      <c r="N56" t="inlineStr">
        <is>
          <t>parity_fail</t>
        </is>
      </c>
      <c r="O56" t="inlineStr">
        <is>
          <t>parity_fail vec -2.6134662596800684 live None</t>
        </is>
      </c>
    </row>
    <row r="57">
      <c r="A57" t="inlineStr">
        <is>
          <t>ENTRY_PRIMARY_TF=1h</t>
        </is>
      </c>
      <c r="E57" t="n">
        <v>-2.613466259680068</v>
      </c>
      <c r="H57" t="n">
        <v>0</v>
      </c>
      <c r="N57" t="inlineStr">
        <is>
          <t>parity_fail</t>
        </is>
      </c>
      <c r="O57" t="inlineStr">
        <is>
          <t>parity_fail vec -2.6134662596800684 live None</t>
        </is>
      </c>
    </row>
    <row r="58">
      <c r="A58" t="inlineStr">
        <is>
          <t>ENTRY_PRIMARY_TF=15m</t>
        </is>
      </c>
      <c r="E58" t="n">
        <v>-2.613466259680068</v>
      </c>
      <c r="H58" t="n">
        <v>0</v>
      </c>
      <c r="N58" t="inlineStr">
        <is>
          <t>parity_fail</t>
        </is>
      </c>
      <c r="O58" t="inlineStr">
        <is>
          <t>parity_fail vec -2.6134662596800684 live None</t>
        </is>
      </c>
    </row>
    <row r="59">
      <c r="A59" t="inlineStr">
        <is>
          <t>BTC_TECH_EXIT_WT_MIN_TFS=1.0</t>
        </is>
      </c>
      <c r="E59" t="n">
        <v>-2.613466259680068</v>
      </c>
      <c r="H59" t="n">
        <v>0</v>
      </c>
      <c r="N59" t="inlineStr">
        <is>
          <t>parity_fail</t>
        </is>
      </c>
      <c r="O59" t="inlineStr">
        <is>
          <t>parity_fail vec -2.6134662596800684 live None</t>
        </is>
      </c>
    </row>
    <row r="60">
      <c r="A60" t="inlineStr">
        <is>
          <t>BTC_TECH_EXIT_WT_MIN_TFS=0.5</t>
        </is>
      </c>
      <c r="E60" t="n">
        <v>-2.613466259680068</v>
      </c>
      <c r="H60" t="n">
        <v>0</v>
      </c>
      <c r="N60" t="inlineStr">
        <is>
          <t>parity_fail</t>
        </is>
      </c>
      <c r="O60" t="inlineStr">
        <is>
          <t>parity_fail vec -2.6134662596800684 live None</t>
        </is>
      </c>
    </row>
    <row r="61">
      <c r="A61" t="inlineStr">
        <is>
          <t>ENTRY_SCORE_THRESHOLD=13.5</t>
        </is>
      </c>
      <c r="E61" t="n">
        <v>-2.613466259680068</v>
      </c>
      <c r="H61" t="n">
        <v>0</v>
      </c>
      <c r="N61" t="inlineStr">
        <is>
          <t>parity_fail</t>
        </is>
      </c>
      <c r="O61" t="inlineStr">
        <is>
          <t>parity_fail vec -2.6134662596800684 live None</t>
        </is>
      </c>
    </row>
    <row r="62">
      <c r="A62" t="inlineStr">
        <is>
          <t>BTC_RZ_WT_DC_MULTIFACTOR=0</t>
        </is>
      </c>
      <c r="E62" t="n">
        <v>-2.613466259680068</v>
      </c>
      <c r="H62" t="n">
        <v>0</v>
      </c>
      <c r="N62" t="inlineStr">
        <is>
          <t>parity_fail</t>
        </is>
      </c>
      <c r="O62" t="inlineStr">
        <is>
          <t>parity_fail vec -2.6134662596800684 live None</t>
        </is>
      </c>
    </row>
    <row r="63">
      <c r="A63" t="inlineStr">
        <is>
          <t>ENTRY_SCORE_THRESHOLD=18.0</t>
        </is>
      </c>
      <c r="E63" t="n">
        <v>-2.613466259680068</v>
      </c>
      <c r="H63" t="n">
        <v>0</v>
      </c>
      <c r="N63" t="inlineStr">
        <is>
          <t>parity_fail</t>
        </is>
      </c>
      <c r="O63" t="inlineStr">
        <is>
          <t>parity_fail vec -2.6134662596800684 live None</t>
        </is>
      </c>
    </row>
    <row r="64">
      <c r="A64" t="inlineStr">
        <is>
          <t>ENTRY_SCORE_THRESHOLD=22.5</t>
        </is>
      </c>
      <c r="E64" t="n">
        <v>-2.613466259680068</v>
      </c>
      <c r="H64" t="n">
        <v>0</v>
      </c>
      <c r="N64" t="inlineStr">
        <is>
          <t>parity_fail</t>
        </is>
      </c>
      <c r="O64" t="inlineStr">
        <is>
          <t>parity_fail vec -2.6134662596800684 live None</t>
        </is>
      </c>
    </row>
    <row r="65">
      <c r="A65" t="inlineStr">
        <is>
          <t>ENTRY_PRIMARY_TF=D</t>
        </is>
      </c>
      <c r="E65" t="n">
        <v>-2.613466259680068</v>
      </c>
      <c r="H65" t="n">
        <v>0</v>
      </c>
      <c r="N65" t="inlineStr">
        <is>
          <t>parity_fail</t>
        </is>
      </c>
      <c r="O65" t="inlineStr">
        <is>
          <t>parity_fail vec -2.6134662596800684 live None</t>
        </is>
      </c>
    </row>
    <row r="66">
      <c r="A66" t="inlineStr">
        <is>
          <t>EXIT_SCORER_DC_EXTREME=0.3</t>
        </is>
      </c>
      <c r="E66" t="n">
        <v>-2.613466259680068</v>
      </c>
      <c r="H66" t="n">
        <v>0</v>
      </c>
      <c r="N66" t="inlineStr">
        <is>
          <t>parity_fail</t>
        </is>
      </c>
      <c r="O66" t="inlineStr">
        <is>
          <t>parity_fail vec -2.6134662596800684 live None</t>
        </is>
      </c>
    </row>
    <row r="67">
      <c r="A67" t="inlineStr">
        <is>
          <t>EXIT_SCORER_DC_EXTREME=0.6</t>
        </is>
      </c>
      <c r="E67" t="n">
        <v>-2.613466259680068</v>
      </c>
      <c r="H67" t="n">
        <v>0</v>
      </c>
      <c r="N67" t="inlineStr">
        <is>
          <t>parity_fail</t>
        </is>
      </c>
      <c r="O67" t="inlineStr">
        <is>
          <t>parity_fail vec -2.6134662596800684 live None</t>
        </is>
      </c>
    </row>
    <row r="68">
      <c r="A68" t="inlineStr">
        <is>
          <t>EXIT_SCORER_DC_EXTREME=0.2</t>
        </is>
      </c>
      <c r="E68" t="n">
        <v>-2.613466259680068</v>
      </c>
      <c r="H68" t="n">
        <v>0</v>
      </c>
      <c r="N68" t="inlineStr">
        <is>
          <t>parity_fail</t>
        </is>
      </c>
      <c r="O68" t="inlineStr">
        <is>
          <t>parity_fail vec -2.6134662596800684 live None</t>
        </is>
      </c>
    </row>
    <row r="69">
      <c r="A69" t="inlineStr">
        <is>
          <t>ENTRY_SCORE_THRESHOLD=27.0</t>
        </is>
      </c>
      <c r="E69" t="n">
        <v>-2.613466259680068</v>
      </c>
      <c r="H69" t="n">
        <v>0</v>
      </c>
      <c r="N69" t="inlineStr">
        <is>
          <t>parity_fail</t>
        </is>
      </c>
      <c r="O69" t="inlineStr">
        <is>
          <t>parity_fail vec -2.6134662596800684 live None</t>
        </is>
      </c>
    </row>
    <row r="70">
      <c r="A70" t="inlineStr">
        <is>
          <t>EXIT_SCORER_DC_EXTREME=0.5</t>
        </is>
      </c>
      <c r="E70" t="n">
        <v>-2.613466259680068</v>
      </c>
      <c r="H70" t="n">
        <v>0</v>
      </c>
      <c r="N70" t="inlineStr">
        <is>
          <t>parity_fail</t>
        </is>
      </c>
      <c r="O70" t="inlineStr">
        <is>
          <t>parity_fail vec -2.6134662596800684 live None</t>
        </is>
      </c>
    </row>
    <row r="71">
      <c r="A71" t="inlineStr">
        <is>
          <t>EXIT_SCORER_DC_EXTREME=0.4</t>
        </is>
      </c>
      <c r="E71" t="n">
        <v>-2.613466259680068</v>
      </c>
      <c r="H71" t="n">
        <v>0</v>
      </c>
      <c r="N71" t="inlineStr">
        <is>
          <t>parity_fail</t>
        </is>
      </c>
      <c r="O71" t="inlineStr">
        <is>
          <t>parity_fail vec -2.6134662596800684 live None</t>
        </is>
      </c>
    </row>
    <row r="72">
      <c r="A72" t="inlineStr">
        <is>
          <t>E_1_EXIT_DELTA_THR=0</t>
        </is>
      </c>
      <c r="E72" t="n">
        <v>-2.613466259680068</v>
      </c>
      <c r="H72" t="n">
        <v>0</v>
      </c>
      <c r="N72" t="inlineStr">
        <is>
          <t>parity_fail</t>
        </is>
      </c>
      <c r="O72" t="inlineStr">
        <is>
          <t>parity_fail vec -2.6134662596800684 live None</t>
        </is>
      </c>
    </row>
    <row r="73">
      <c r="A73" t="inlineStr">
        <is>
          <t>E_1_EXIT_DELTA_THR=1.0</t>
        </is>
      </c>
      <c r="E73" t="n">
        <v>-2.613466259680068</v>
      </c>
      <c r="H73" t="n">
        <v>0</v>
      </c>
      <c r="N73" t="inlineStr">
        <is>
          <t>parity_fail</t>
        </is>
      </c>
      <c r="O73" t="inlineStr">
        <is>
          <t>parity_fail vec -2.6134662596800684 live None</t>
        </is>
      </c>
    </row>
    <row r="74">
      <c r="A74" t="inlineStr">
        <is>
          <t>HTF_GATE_SIGNALS_SMA200D=False</t>
        </is>
      </c>
      <c r="E74" t="n">
        <v>-2.613466259680068</v>
      </c>
      <c r="H74" t="n">
        <v>0</v>
      </c>
      <c r="N74" t="inlineStr">
        <is>
          <t>parity_fail</t>
        </is>
      </c>
      <c r="O74" t="inlineStr">
        <is>
          <t>parity_fail vec -2.6134662596800684 live None</t>
        </is>
      </c>
    </row>
    <row r="75">
      <c r="A75" t="inlineStr">
        <is>
          <t>E_1_EXIT_DELTA_THR=2.0</t>
        </is>
      </c>
      <c r="E75" t="n">
        <v>-2.613466259680068</v>
      </c>
      <c r="H75" t="n">
        <v>0</v>
      </c>
      <c r="N75" t="inlineStr">
        <is>
          <t>parity_fail</t>
        </is>
      </c>
      <c r="O75" t="inlineStr">
        <is>
          <t>parity_fail vec -2.6134662596800684 live None</t>
        </is>
      </c>
    </row>
    <row r="76">
      <c r="A76" t="inlineStr">
        <is>
          <t>HAIKU_ENTRY_GATE_ENABLED=True</t>
        </is>
      </c>
      <c r="E76" t="n">
        <v>-2.613466259680068</v>
      </c>
      <c r="H76" t="n">
        <v>0</v>
      </c>
      <c r="N76" t="inlineStr">
        <is>
          <t>parity_fail</t>
        </is>
      </c>
      <c r="O76" t="inlineStr">
        <is>
          <t>parity_fail vec -2.6134662596800684 live 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</t>
        </is>
      </c>
      <c r="B2" s="15" t="n">
        <v>2.613466259680068</v>
      </c>
    </row>
    <row r="3">
      <c r="A3" s="15" t="inlineStr">
        <is>
          <t>bh_pct</t>
        </is>
      </c>
      <c r="B3" s="15" t="n">
        <v>-9.899454760350578</v>
      </c>
    </row>
    <row r="4">
      <c r="A4" s="15" t="inlineStr">
        <is>
          <t>delta_vs_bh</t>
        </is>
      </c>
      <c r="B4" s="15" t="n">
        <v>12.51292102003065</v>
      </c>
    </row>
    <row r="5">
      <c r="A5" s="15" t="inlineStr">
        <is>
          <t>trades</t>
        </is>
      </c>
      <c r="B5" s="15" t="n">
        <v>132</v>
      </c>
    </row>
    <row r="6">
      <c r="A6" s="15" t="inlineStr">
        <is>
          <t>pool_sharpe</t>
        </is>
      </c>
      <c r="B6" s="15" t="n">
        <v>0.06355744623665154</v>
      </c>
    </row>
    <row r="7">
      <c r="A7" s="15" t="inlineStr">
        <is>
          <t>tim_pct</t>
        </is>
      </c>
      <c r="B7" s="15" t="n">
        <v>50.25</v>
      </c>
    </row>
    <row r="8">
      <c r="A8" s="15" t="inlineStr">
        <is>
          <t>max_dd_pct</t>
        </is>
      </c>
      <c r="B8" s="15" t="n">
        <v>2.788882423700835</v>
      </c>
    </row>
    <row r="9">
      <c r="A9" s="15" t="inlineStr">
        <is>
          <t>gain_per_mo</t>
        </is>
      </c>
      <c r="B9" s="15" t="n">
        <v>2.651797098155376</v>
      </c>
    </row>
    <row r="10">
      <c r="A10" s="15" t="inlineStr">
        <is>
          <t>bh_per_mo</t>
        </is>
      </c>
      <c r="B10" s="15" t="n">
        <v>-10.04464676350239</v>
      </c>
    </row>
    <row r="11">
      <c r="A11" s="15" t="inlineStr">
        <is>
          <t>source</t>
        </is>
      </c>
      <c r="B11" s="15" t="inlineStr">
        <is>
          <t>live backtest_v12_engine 2026-09-10T22:25:57Z via META_LONG overrides=0 + defaults=3318</t>
        </is>
      </c>
    </row>
    <row r="12">
      <c r="A12" s="15" t="inlineStr">
        <is>
          <t>window</t>
        </is>
      </c>
      <c r="B12" s="15" t="inlineStr">
        <is>
          <t>{"policy": "30_trading_sessions", "bars": 2388, "sessions": 30, "start_timestamp": 1784519400.0, "end_timestamp": 1787961300.0, "execution_tf": "15m", "source_bars": 7231, "execution_bars": 2388, "max_parent_lag_s": 187500.0}</t>
        </is>
      </c>
    </row>
    <row r="13">
      <c r="A13" s="15" t="inlineStr">
        <is>
          <t>valid</t>
        </is>
      </c>
      <c r="B13" s="15" t="b">
        <v>1</v>
      </c>
    </row>
    <row r="14">
      <c r="A14" s="15" t="inlineStr">
        <is>
          <t>invalid_reason</t>
        </is>
      </c>
      <c r="B14" s="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ENTRY_PULLBACK_BOUNCE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ENTRY_PULLBACK_BOUNCE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ENTRY_PULLBACK_BOUNCE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ENTRY_PULLBACK_BOUNCE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ENTRY_PULLBACK_BOUNCE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ENTRY_PULLBACK_BOUNCE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ENTRY_PULLBACK_BOUNCE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ENTRY_PULLBACK_BOUNCE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ENTRY_PULLBACK_BOUNCE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ENTRY_PULLBACK_BOUNCE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ENTRY_PULLBACK_BOUNCE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ENTRY_PULLBACK_BOUNCE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2026-09-08T23:07:10Z</dcterms:created>
  <dcterms:modified xmlns:dcterms="http://purl.org/dc/terms/" xmlns:xsi="http://www.w3.org/2001/XMLSchema-instance" xsi:type="dcterms:W3CDTF">2026-09-10T23:21:49Z</dcterms:modified>
</cp:coreProperties>
</file>