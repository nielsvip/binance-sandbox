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_V2" sheetId="1" state="visible" r:id="rId1"/>
    <sheet xmlns:r="http://schemas.openxmlformats.org/officeDocument/2006/relationships" name="ENTRY_REVERSAL_BOUNCE" sheetId="2" state="visible" r:id="rId2"/>
    <sheet xmlns:r="http://schemas.openxmlformats.org/officeDocument/2006/relationships" name="ENTRY_BREAKOUT_CHANNEL" sheetId="3" state="visible" r:id="rId3"/>
    <sheet xmlns:r="http://schemas.openxmlformats.org/officeDocument/2006/relationships" name="ENTRY_CONFIRMATION_GATES" sheetId="4" state="visible" r:id="rId4"/>
    <sheet xmlns:r="http://schemas.openxmlformats.org/officeDocument/2006/relationships" name="EXIT_STRUCTURAL" sheetId="5" state="visible" r:id="rId5"/>
    <sheet xmlns:r="http://schemas.openxmlformats.org/officeDocument/2006/relationships" name="EXIT_VELOCITY" sheetId="6" state="visible" r:id="rId6"/>
    <sheet xmlns:r="http://schemas.openxmlformats.org/officeDocument/2006/relationships" name="REENTRY_WINDOWED" sheetId="7" state="visible" r:id="rId7"/>
    <sheet xmlns:r="http://schemas.openxmlformats.org/officeDocument/2006/relationships" name="REENTRY_ADAPTIVE" sheetId="8" state="visible" r:id="rId8"/>
    <sheet xmlns:r="http://schemas.openxmlformats.org/officeDocument/2006/relationships" name="AUGMENT_TREND" sheetId="9" state="visible" r:id="rId9"/>
    <sheet xmlns:r="http://schemas.openxmlformats.org/officeDocument/2006/relationships" name="AUGMENT_RISK_SIZING" sheetId="10" state="visible" r:id="rId10"/>
    <sheet xmlns:r="http://schemas.openxmlformats.org/officeDocument/2006/relationships" name="REDUCE_PROFIT_LOCK" sheetId="11" state="visible" r:id="rId11"/>
    <sheet xmlns:r="http://schemas.openxmlformats.org/officeDocument/2006/relationships" name="REDUCE_SIGNAL_RATER" sheetId="12" state="visible" r:id="rId12"/>
    <sheet xmlns:r="http://schemas.openxmlformats.org/officeDocument/2006/relationships" name="GLOBAL_RISK_GATES" sheetId="13" state="visible" r:id="rId13"/>
    <sheet xmlns:r="http://schemas.openxmlformats.org/officeDocument/2006/relationships" name="Results_30d_Deltas" sheetId="14" state="visible" r:id="rId14"/>
    <sheet xmlns:r="http://schemas.openxmlformats.org/officeDocument/2006/relationships" name="TEMPLATE_BASELINE_METRICS" sheetId="15" state="visible" r:id="rId15"/>
    <sheet xmlns:r="http://schemas.openxmlformats.org/officeDocument/2006/relationships" name="FILTER_DICTIONARY_V2" sheetId="16" state="visible" r:id="rId16"/>
    <sheet xmlns:r="http://schemas.openxmlformats.org/officeDocument/2006/relationships" name="12SYM_PARITY" sheetId="17" state="visible" r:id="rId17"/>
    <sheet xmlns:r="http://schemas.openxmlformats.org/officeDocument/2006/relationships" name="FORMULA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5">
    <font>
      <name val="Calibri"/>
      <family val="2"/>
      <color theme="1"/>
      <sz val="11"/>
      <scheme val="minor"/>
    </font>
    <font>
      <b val="1"/>
      <color rgb="00FFFFFF"/>
      <sz val="10"/>
    </font>
    <font>
      <color rgb="001F4E78"/>
      <sz val="8"/>
    </font>
    <font>
      <name val="Calibri"/>
      <b val="1"/>
      <color rgb="00FFFFFF"/>
      <sz val="8"/>
    </font>
    <font>
      <name val="Calibri"/>
      <b val="1"/>
      <color rgb="00FFFFFF"/>
      <sz val="6"/>
    </font>
    <font>
      <name val="Calibri"/>
      <b val="1"/>
      <sz val="7"/>
    </font>
    <font>
      <name val="Calibri"/>
      <b val="1"/>
      <color rgb="00006100"/>
      <sz val="7"/>
    </font>
    <font>
      <sz val="5"/>
    </font>
    <font>
      <name val="Calibri"/>
      <sz val="7"/>
    </font>
    <font>
      <name val="Calibri"/>
      <color rgb="00000000"/>
      <sz val="7"/>
    </font>
    <font>
      <b val="1"/>
      <color rgb="00FFFFFF"/>
    </font>
    <font>
      <name val="Arial"/>
      <b val="1"/>
      <color rgb="001F4E78"/>
      <sz val="9"/>
    </font>
    <font>
      <color rgb="00000000"/>
    </font>
    <font>
      <name val="Calibri"/>
      <sz val="8"/>
    </font>
    <font>
      <name val="Arial"/>
      <b val="1"/>
      <sz val="8"/>
    </font>
    <font>
      <name val="Calibri"/>
      <b val="1"/>
      <color theme="1"/>
      <sz val="11"/>
    </font>
    <font>
      <name val="Calibri"/>
      <color rgb="FF000000"/>
      <sz val="9"/>
    </font>
    <font>
      <name val="Arial"/>
      <sz val="8"/>
    </font>
    <font>
      <name val="Calibri"/>
      <color theme="1"/>
      <sz val="11"/>
    </font>
    <font>
      <name val="Calibri"/>
      <b val="1"/>
      <color rgb="00FFFFFF"/>
      <sz val="7"/>
    </font>
    <font>
      <b val="1"/>
      <color rgb="00FFFFFF"/>
      <sz val="11"/>
    </font>
    <font>
      <b val="1"/>
      <color rgb="00000000"/>
      <sz val="11"/>
    </font>
    <font>
      <b val="1"/>
      <color rgb="00FF0000"/>
      <sz val="10"/>
    </font>
    <font>
      <i val="1"/>
      <sz val="9"/>
    </font>
    <font>
      <b val="1"/>
      <color rgb="00FF0000"/>
    </font>
  </fonts>
  <fills count="1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548235"/>
        <bgColor rgb="00548235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  <fill>
      <patternFill patternType="solid">
        <fgColor rgb="001F2937"/>
        <bgColor rgb="001F2937"/>
      </patternFill>
    </fill>
    <fill>
      <patternFill patternType="solid">
        <fgColor rgb="00D9E1F2"/>
        <bgColor rgb="00D9E1F2"/>
      </patternFill>
    </fill>
    <fill>
      <patternFill patternType="solid">
        <fgColor rgb="FF0000FF"/>
        <bgColor rgb="FF0000FF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F0000"/>
        <bgColor rgb="00FF0000"/>
      </patternFill>
    </fill>
    <fill>
      <patternFill patternType="solid">
        <fgColor rgb="00FFFF00"/>
        <bgColor rgb="00FFFF00"/>
      </patternFill>
    </fill>
  </fills>
  <borders count="3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4" borderId="0" pivotButton="0" quotePrefix="0" xfId="0"/>
    <xf numFmtId="0" fontId="0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6" borderId="2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10" fillId="2" borderId="0" pivotButton="0" quotePrefix="0" xfId="0"/>
    <xf numFmtId="0" fontId="12" fillId="0" borderId="0" pivotButton="0" quotePrefix="0" xfId="0"/>
    <xf numFmtId="0" fontId="10" fillId="8" borderId="0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left" vertical="center" wrapText="1"/>
    </xf>
    <xf numFmtId="0" fontId="15" fillId="0" borderId="0" pivotButton="0" quotePrefix="0" xfId="0"/>
    <xf numFmtId="0" fontId="13" fillId="9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17" fillId="9" borderId="1" applyAlignment="1" pivotButton="0" quotePrefix="0" xfId="0">
      <alignment horizontal="left" vertical="center" wrapText="1"/>
    </xf>
    <xf numFmtId="0" fontId="18" fillId="0" borderId="0" pivotButton="0" quotePrefix="0" xfId="0"/>
    <xf numFmtId="0" fontId="13" fillId="10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left" vertical="center" wrapText="1"/>
    </xf>
    <xf numFmtId="0" fontId="13" fillId="10" borderId="1" applyAlignment="1" pivotButton="0" quotePrefix="0" xfId="0">
      <alignment horizontal="left" vertical="center" wrapText="1"/>
    </xf>
    <xf numFmtId="0" fontId="14" fillId="10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left" vertical="center" wrapText="1"/>
    </xf>
    <xf numFmtId="0" fontId="17" fillId="11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left" vertical="center" wrapText="1"/>
    </xf>
    <xf numFmtId="0" fontId="14" fillId="12" borderId="1" applyAlignment="1" pivotButton="0" quotePrefix="0" xfId="0">
      <alignment horizontal="left" vertical="center" wrapText="1"/>
    </xf>
    <xf numFmtId="0" fontId="19" fillId="3" borderId="0" applyAlignment="1" pivotButton="0" quotePrefix="0" xfId="0">
      <alignment horizontal="center" vertical="center" wrapText="1"/>
    </xf>
    <xf numFmtId="0" fontId="20" fillId="13" borderId="0" applyAlignment="1" pivotButton="0" quotePrefix="0" xfId="0">
      <alignment horizontal="left" vertical="center" wrapText="1"/>
    </xf>
    <xf numFmtId="0" fontId="21" fillId="14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 wrapText="1"/>
    </xf>
    <xf numFmtId="0" fontId="24" fillId="1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min="1" max="1"/>
  </cols>
  <sheetData>
    <row r="1" ht="22" customHeight="1">
      <c r="A1" s="1" t="inlineStr">
        <is>
          <t>TEMPLATE_V2_IDEA_GROUPED 231 per-row FULLY CONNECTED 2026-09-08 - every numpy identical to live</t>
        </is>
      </c>
    </row>
    <row r="2" ht="11" customHeight="1">
      <c r="A2" s="2" t="inlineStr">
        <is>
          <t>Retraced from early today 231 L:IH (TEMPLATE.xlsx 1.7M) - Sep 5 114 per-row was synthetic/disconnected. This file keeps 231 per-row L:IH (every filter TF OFF/D/4h/1h/15m wired).</t>
        </is>
      </c>
    </row>
    <row r="3" ht="11" customHeight="1">
      <c r="A3" s="2" t="inlineStr">
        <is>
          <t xml:space="preserve">  01. ENTRY_REVERSAL_BOUNCE - 8 bases -&gt; 21 rows - 231 per-row</t>
        </is>
      </c>
    </row>
    <row r="4" ht="11" customHeight="1">
      <c r="A4" s="2" t="inlineStr">
        <is>
          <t xml:space="preserve">  02. ENTRY_BREAKOUT_CHANNEL - 54 bases -&gt; 210 rows - 231 per-row</t>
        </is>
      </c>
    </row>
    <row r="5" ht="11" customHeight="1">
      <c r="A5" s="2" t="inlineStr">
        <is>
          <t xml:space="preserve">  03. ENTRY_CONFIRMATION_GATES - 4 bases -&gt; 11 rows - 231 per-row</t>
        </is>
      </c>
    </row>
    <row r="6" ht="11" customHeight="1">
      <c r="A6" s="2" t="inlineStr">
        <is>
          <t xml:space="preserve">  04. EXIT_STRUCTURAL - 2 bases -&gt; 6 rows - 231 per-row</t>
        </is>
      </c>
    </row>
    <row r="7" ht="11" customHeight="1">
      <c r="A7" s="2" t="inlineStr">
        <is>
          <t xml:space="preserve">  05. EXIT_VELOCITY - 26 bases -&gt; 80 rows - 231 per-row</t>
        </is>
      </c>
    </row>
    <row r="8" ht="11" customHeight="1">
      <c r="A8" s="2" t="inlineStr">
        <is>
          <t xml:space="preserve">  06. REENTRY_WINDOWED - 68 bases -&gt; 249 rows - 231 per-row</t>
        </is>
      </c>
    </row>
    <row r="9" ht="11" customHeight="1">
      <c r="A9" s="2" t="inlineStr">
        <is>
          <t xml:space="preserve">  07. REENTRY_ADAPTIVE - 10 bases -&gt; 38 rows - 231 per-row</t>
        </is>
      </c>
    </row>
    <row r="10" ht="11" customHeight="1">
      <c r="A10" s="2" t="inlineStr">
        <is>
          <t xml:space="preserve">  08. AUGMENT_TREND - 5 bases -&gt; 24 rows - 231 per-row</t>
        </is>
      </c>
    </row>
    <row r="11" ht="11" customHeight="1">
      <c r="A11" s="2" t="inlineStr">
        <is>
          <t xml:space="preserve">  09. AUGMENT_RISK_SIZING - 17 bases -&gt; 56 rows - 231 per-row</t>
        </is>
      </c>
    </row>
    <row r="12" ht="11" customHeight="1">
      <c r="A12" s="2" t="inlineStr">
        <is>
          <t xml:space="preserve">  10. REDUCE_PROFIT_LOCK - 19 bases -&gt; 53 rows - 231 per-row</t>
        </is>
      </c>
    </row>
    <row r="13" ht="11" customHeight="1">
      <c r="A13" s="2" t="inlineStr">
        <is>
          <t xml:space="preserve">  11. REDUCE_SIGNAL_RATER - 42 bases -&gt; 143 rows - 231 per-row</t>
        </is>
      </c>
    </row>
    <row r="14" ht="11" customHeight="1">
      <c r="A14" s="2" t="inlineStr">
        <is>
          <t xml:space="preserve">  12. GLOBAL_RISK_GATES - 17 bases -&gt; 38 rows - 231 per-row</t>
        </is>
      </c>
    </row>
    <row r="16" ht="22" customHeight="1">
      <c r="A16" s="37" t="inlineStr">
        <is>
          <t>🔴🔴🔴 CRITICAL - DELTA 0 MEANS NOT CALCULATED - DO NOT SAVE VOMIT 🔴🔴🔴</t>
        </is>
      </c>
    </row>
    <row r="17" ht="22" customHeight="1">
      <c r="A17" s="38" t="inlineStr">
        <is>
          <t>Delta 0 does NOT exist. It means NOT APPLIED or NOT CALCULATED. NEVER write 0 to Results_30d_Deltas.</t>
        </is>
      </c>
    </row>
    <row r="18" ht="22" customHeight="1">
      <c r="A18" s="38" t="inlineStr">
        <is>
          <t>If vector_delta == 0 or abs(delta) &lt; 1e-9 → STOP. You have NOT proven the variant.</t>
        </is>
      </c>
    </row>
    <row r="19" ht="22" customHeight="1">
      <c r="A19" s="38" t="inlineStr">
        <is>
          <t>If delta repeats another cell (same value within 1e-6) → BUG. Two different switches cannot have identical delta.</t>
        </is>
      </c>
    </row>
    <row r="20" ht="22" customHeight="1">
      <c r="A20" s="37" t="inlineStr">
        <is>
          <t>→ THEN YOU MUST: run LIVE on LIVE scripts (backtest_v12_engine.py) on SAME NPZs (backtest_v8/indicators/*.npz), then FIX the numpy!</t>
        </is>
      </c>
    </row>
    <row r="21" ht="22" customHeight="1">
      <c r="A21" s="39" t="inlineStr">
        <is>
          <t>LIVE = backtest_v12_engine.live on frozen NPZs 15m causal (NOT vector). Same window_days, same overrides. Prove parity.</t>
        </is>
      </c>
    </row>
    <row r="22" ht="22" customHeight="1">
      <c r="A22" s="39" t="inlineStr">
        <is>
          <t>If LIVE also gives 0 or still repeats → numpy is DISCONNECTED. FIX the numpy wiring (L:BI per-row filters, v12_quick_engine parity).</t>
        </is>
      </c>
    </row>
    <row r="23" ht="22" customHeight="1">
      <c r="A23" s="38" t="inlineStr">
        <is>
          <t>DO NOT write 0, DO NOT write duplicate delta to Results_30d_Deltas. Leave F="" and E=Eprev until LIVE proves &gt;0.</t>
        </is>
      </c>
    </row>
    <row r="24" ht="22" customHeight="1">
      <c r="A24" s="37" t="inlineStr">
        <is>
          <t>Violation = carbon-copy vomit sheet. Dumbest agent must read this and obey.</t>
        </is>
      </c>
    </row>
    <row r="25" ht="22" customHeight="1">
      <c r="A25" s="40" t="inlineStr">
        <is>
          <t>Valid delta = variant_gain - baseline_gain from LIVE-verified numpy. 0 is NEVER valid.</t>
        </is>
      </c>
    </row>
    <row r="26"/>
    <row r="27"/>
    <row r="28"/>
    <row r="29"/>
    <row r="30"/>
    <row r="31"/>
    <row r="32"/>
    <row r="33"/>
    <row r="34"/>
  </sheetData>
  <mergeCells count="10">
    <mergeCell ref="A25:C25"/>
    <mergeCell ref="A19:C19"/>
    <mergeCell ref="A23:C23"/>
    <mergeCell ref="A22:C22"/>
    <mergeCell ref="A17:C17"/>
    <mergeCell ref="A18:C18"/>
    <mergeCell ref="A21:C21"/>
    <mergeCell ref="A20:C20"/>
    <mergeCell ref="A24:C24"/>
    <mergeCell ref="A16:C16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L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01 ENTRY_REVERSAL_BOUNCE - 8 bases -&gt; 21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WT_15M_BOUNCE_OPEN_ENABLED</t>
        </is>
      </c>
      <c r="B3" s="7" t="inlineStr">
        <is>
          <t>False</t>
        </is>
      </c>
      <c r="E3">
        <f>'TEMPLATE_BASELINE_METRICS'!B2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ez_manage.py:6076 top()</t>
        </is>
      </c>
      <c r="IK3" s="9" t="inlineStr">
        <is>
          <t>v12_quick_engine.py:4288 x7</t>
        </is>
      </c>
    </row>
    <row r="4" ht="11" customHeight="1">
      <c r="A4" s="10" t="inlineStr">
        <is>
          <t>WT_15M_BOUNCE_OPEN_ENABLED</t>
        </is>
      </c>
      <c r="B4" s="11" t="inlineStr">
        <is>
          <t>True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ez_manage.py:6076 top()</t>
        </is>
      </c>
      <c r="IK4" s="9" t="inlineStr">
        <is>
          <t>v12_quick_engine.py:4288 x7</t>
        </is>
      </c>
    </row>
    <row r="5" ht="11" customHeight="1">
      <c r="A5" s="10" t="inlineStr">
        <is>
          <t>BB_SQUEEZE_ENTRY_ENABLED</t>
        </is>
      </c>
      <c r="B5" s="11" t="inlineStr">
        <is>
          <t>True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ez_manage.py:4371 top()</t>
        </is>
      </c>
      <c r="IK5" s="9" t="inlineStr">
        <is>
          <t>v12_quick_engine.py:889 x9</t>
        </is>
      </c>
    </row>
    <row r="6" ht="11" customHeight="1">
      <c r="A6" s="10" t="inlineStr">
        <is>
          <t>BB_PULLBACK_GATE_TF</t>
        </is>
      </c>
      <c r="B6" s="11" t="inlineStr">
        <is>
          <t>OFF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ez_manage.py:4361 top()</t>
        </is>
      </c>
      <c r="IK6" s="9" t="inlineStr">
        <is>
          <t>v12_quick_engine.py:288 x12</t>
        </is>
      </c>
    </row>
    <row r="7" ht="11" customHeight="1">
      <c r="A7" s="10" t="inlineStr">
        <is>
          <t>BB_PULLBACK_GATE_TF</t>
        </is>
      </c>
      <c r="B7" s="11" t="inlineStr">
        <is>
          <t>D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ez_manage.py:4361 top()</t>
        </is>
      </c>
      <c r="IK7" s="9" t="inlineStr">
        <is>
          <t>v12_quick_engine.py:288 x12</t>
        </is>
      </c>
    </row>
    <row r="8" ht="11" customHeight="1">
      <c r="A8" s="10" t="inlineStr">
        <is>
          <t>BB_PULLBACK_GATE_TF</t>
        </is>
      </c>
      <c r="B8" s="11" t="inlineStr">
        <is>
          <t>4h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ez_manage.py:4361 top()</t>
        </is>
      </c>
      <c r="IK8" s="9" t="inlineStr">
        <is>
          <t>v12_quick_engine.py:288 x12</t>
        </is>
      </c>
    </row>
    <row r="9" ht="11" customHeight="1">
      <c r="A9" s="10" t="inlineStr">
        <is>
          <t>BB_PULLBACK_GATE_TF</t>
        </is>
      </c>
      <c r="B9" s="11" t="inlineStr">
        <is>
          <t>1h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ez_manage.py:4361 top()</t>
        </is>
      </c>
      <c r="IK9" s="9" t="inlineStr">
        <is>
          <t>v12_quick_engine.py:288 x12</t>
        </is>
      </c>
    </row>
    <row r="10" ht="11" customHeight="1">
      <c r="A10" s="6" t="inlineStr">
        <is>
          <t>BB_PULLBACK_GATE_TF</t>
        </is>
      </c>
      <c r="B10" s="7" t="inlineStr">
        <is>
          <t>15m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ez_manage.py:4361 top()</t>
        </is>
      </c>
      <c r="IK10" s="9" t="inlineStr">
        <is>
          <t>v12_quick_engine.py:288 x12</t>
        </is>
      </c>
    </row>
    <row r="11" ht="11" customHeight="1">
      <c r="A11" s="6" t="inlineStr">
        <is>
          <t>DELTA_GATE_BB_SQUEEZE</t>
        </is>
      </c>
      <c r="B11" s="7" t="inlineStr">
        <is>
          <t>True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ez_manage.py:4603 top()</t>
        </is>
      </c>
      <c r="IK11" s="9" t="inlineStr">
        <is>
          <t>v12_quick_engine.py:969 x9</t>
        </is>
      </c>
    </row>
    <row r="12" ht="11" customHeight="1">
      <c r="A12" s="10" t="inlineStr">
        <is>
          <t>BB_SQUEEZE_WIDTH_PERCENTILE</t>
        </is>
      </c>
      <c r="B12" s="11" t="inlineStr">
        <is>
          <t>0.1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ez_manage.py:4375 top()</t>
        </is>
      </c>
      <c r="IK12" s="9" t="inlineStr">
        <is>
          <t>v12_quick_engine.py:1285 x7</t>
        </is>
      </c>
    </row>
    <row r="13" ht="11" customHeight="1">
      <c r="A13" s="10" t="inlineStr">
        <is>
          <t>BB_SQUEEZE_WIDTH_PERCENTILE</t>
        </is>
      </c>
      <c r="B13" s="11" t="inlineStr">
        <is>
          <t>0.15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ez_manage.py:4375 top()</t>
        </is>
      </c>
      <c r="IK13" s="9" t="inlineStr">
        <is>
          <t>v12_quick_engine.py:1285 x7</t>
        </is>
      </c>
    </row>
    <row r="14" ht="11" customHeight="1">
      <c r="A14" s="6" t="inlineStr">
        <is>
          <t>BB_SQUEEZE_WIDTH_PERCENTILE</t>
        </is>
      </c>
      <c r="B14" s="7" t="inlineStr">
        <is>
          <t>0.2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ez_manage.py:4375 top()</t>
        </is>
      </c>
      <c r="IK14" s="9" t="inlineStr">
        <is>
          <t>v12_quick_engine.py:1285 x7</t>
        </is>
      </c>
    </row>
    <row r="15" ht="11" customHeight="1">
      <c r="A15" s="10" t="inlineStr">
        <is>
          <t>BB_SQUEEZE_WIDTH_PERCENTILE</t>
        </is>
      </c>
      <c r="B15" s="11" t="inlineStr">
        <is>
          <t>0.25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ez_manage.py:4375 top()</t>
        </is>
      </c>
      <c r="IK15" s="9" t="inlineStr">
        <is>
          <t>v12_quick_engine.py:1285 x7</t>
        </is>
      </c>
    </row>
    <row r="16" ht="11" customHeight="1">
      <c r="A16" s="10" t="inlineStr">
        <is>
          <t>BB_SQUEEZE_WIDTH_PERCENTILE</t>
        </is>
      </c>
      <c r="B16" s="11" t="inlineStr">
        <is>
          <t>0.3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ez_manage.py:4375 top()</t>
        </is>
      </c>
      <c r="IK16" s="9" t="inlineStr">
        <is>
          <t>v12_quick_engine.py:1285 x7</t>
        </is>
      </c>
    </row>
    <row r="17" ht="11" customHeight="1">
      <c r="A17" s="10" t="inlineStr">
        <is>
          <t>WT_DIV_EXIT_ENABLED</t>
        </is>
      </c>
      <c r="B17" s="11" t="inlineStr">
        <is>
          <t>False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ez_manage.py:6086 top()</t>
        </is>
      </c>
      <c r="IK17" s="9" t="inlineStr">
        <is>
          <t>v12_quick_engine.py:4292 x3</t>
        </is>
      </c>
    </row>
    <row r="18" ht="11" customHeight="1">
      <c r="A18" s="6" t="inlineStr">
        <is>
          <t>WT_DIV_EXIT_ENABLED</t>
        </is>
      </c>
      <c r="B18" s="7" t="inlineStr">
        <is>
          <t>True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ez_manage.py:6086 top()</t>
        </is>
      </c>
      <c r="IK18" s="9" t="inlineStr">
        <is>
          <t>v12_quick_engine.py:4292 x3</t>
        </is>
      </c>
    </row>
    <row r="19" ht="11" customHeight="1">
      <c r="A19" s="10" t="inlineStr">
        <is>
          <t>WT_MOMENTUM_EXIT_THRESHOLD</t>
        </is>
      </c>
      <c r="B19" s="11" t="inlineStr">
        <is>
          <t>0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ez_manage.py:6087 top()</t>
        </is>
      </c>
      <c r="IK19" s="9" t="inlineStr">
        <is>
          <t>v12_quick_engine.py:4293 x3</t>
        </is>
      </c>
    </row>
    <row r="20" ht="11" customHeight="1">
      <c r="A20" s="6" t="inlineStr">
        <is>
          <t>WT_MOMENTUM_EXIT_THRESHOLD</t>
        </is>
      </c>
      <c r="B20" s="7" t="inlineStr">
        <is>
          <t>1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ez_manage.py:6087 top()</t>
        </is>
      </c>
      <c r="IK20" s="9" t="inlineStr">
        <is>
          <t>v12_quick_engine.py:4293 x3</t>
        </is>
      </c>
    </row>
    <row r="21" ht="11" customHeight="1">
      <c r="A21" s="10" t="inlineStr">
        <is>
          <t>WT_MOMENTUM_EXIT_THRESHOLD</t>
        </is>
      </c>
      <c r="B21" s="11" t="inlineStr">
        <is>
          <t>2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ez_manage.py:6087 top()</t>
        </is>
      </c>
      <c r="IK21" s="9" t="inlineStr">
        <is>
          <t>v12_quick_engine.py:4293 x3</t>
        </is>
      </c>
    </row>
    <row r="22" ht="11" customHeight="1">
      <c r="A22" s="10" t="inlineStr">
        <is>
          <t>WT_ACCEL_EXIT_ENABLED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ez_manage.py:6083 top()</t>
        </is>
      </c>
      <c r="IK22" s="9" t="inlineStr">
        <is>
          <t>v12_quick_engine.py:4290 x3</t>
        </is>
      </c>
    </row>
    <row r="23" ht="11" customHeight="1">
      <c r="A23" s="6" t="inlineStr">
        <is>
          <t>WT_ACCEL_EXIT_ENABLED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ez_manage.py:6083 top()</t>
        </is>
      </c>
      <c r="IK23" s="9" t="inlineStr">
        <is>
          <t>v12_quick_engine.py:4290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L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02 ENTRY_BREAKOUT_CHANNEL - 54 bases -&gt; 210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DC_BREAKOUT_TF</t>
        </is>
      </c>
      <c r="B3" s="11" t="inlineStr">
        <is>
          <t>OFF</t>
        </is>
      </c>
      <c r="E3">
        <f>MAX('ENTRY_REVERSAL_BOUNCE'!E:E)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ez_manage.py:3078 top()</t>
        </is>
      </c>
      <c r="IK3" s="9" t="inlineStr">
        <is>
          <t>v12_quick_engine.py:1518 x5</t>
        </is>
      </c>
    </row>
    <row r="4" ht="11" customHeight="1">
      <c r="A4" s="10" t="inlineStr">
        <is>
          <t>DC_BREAKOUT_TF</t>
        </is>
      </c>
      <c r="B4" s="11" t="inlineStr">
        <is>
          <t>D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ez_manage.py:3078 top()</t>
        </is>
      </c>
      <c r="IK4" s="9" t="inlineStr">
        <is>
          <t>v12_quick_engine.py:1518 x5</t>
        </is>
      </c>
    </row>
    <row r="5" ht="11" customHeight="1">
      <c r="A5" s="10" t="inlineStr">
        <is>
          <t>DC_BREAKOUT_TF</t>
        </is>
      </c>
      <c r="B5" s="11" t="inlineStr">
        <is>
          <t>4h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ez_manage.py:3078 top()</t>
        </is>
      </c>
      <c r="IK5" s="9" t="inlineStr">
        <is>
          <t>v12_quick_engine.py:1518 x5</t>
        </is>
      </c>
    </row>
    <row r="6" ht="11" customHeight="1">
      <c r="A6" s="10" t="inlineStr">
        <is>
          <t>DC_BREAKOUT_TF</t>
        </is>
      </c>
      <c r="B6" s="11" t="inlineStr">
        <is>
          <t>1h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ez_manage.py:3078 top()</t>
        </is>
      </c>
      <c r="IK6" s="9" t="inlineStr">
        <is>
          <t>v12_quick_engine.py:1518 x5</t>
        </is>
      </c>
    </row>
    <row r="7" ht="11" customHeight="1">
      <c r="A7" s="6" t="inlineStr">
        <is>
          <t>DC_BREAKOUT_TF</t>
        </is>
      </c>
      <c r="B7" s="7" t="inlineStr">
        <is>
          <t>15m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ez_manage.py:3078 top()</t>
        </is>
      </c>
      <c r="IK7" s="9" t="inlineStr">
        <is>
          <t>v12_quick_engine.py:1518 x5</t>
        </is>
      </c>
    </row>
    <row r="8" ht="11" customHeight="1">
      <c r="A8" s="10" t="inlineStr">
        <is>
          <t>DC_BREAKOUT_SCORE</t>
        </is>
      </c>
      <c r="B8" s="11" t="inlineStr">
        <is>
          <t>10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ez_manage.py:3077 top()</t>
        </is>
      </c>
      <c r="IK8" s="9" t="inlineStr">
        <is>
          <t>v12_quick_engine.py:1517 x18</t>
        </is>
      </c>
    </row>
    <row r="9" ht="11" customHeight="1">
      <c r="A9" s="10" t="inlineStr">
        <is>
          <t>DC_BREAKOUT_SCORE</t>
        </is>
      </c>
      <c r="B9" s="11" t="inlineStr">
        <is>
          <t>15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ez_manage.py:3077 top()</t>
        </is>
      </c>
      <c r="IK9" s="9" t="inlineStr">
        <is>
          <t>v12_quick_engine.py:1517 x18</t>
        </is>
      </c>
    </row>
    <row r="10" ht="11" customHeight="1">
      <c r="A10" s="6" t="inlineStr">
        <is>
          <t>DC_BREAKOUT_SCORE</t>
        </is>
      </c>
      <c r="B10" s="7" t="inlineStr">
        <is>
          <t>20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ez_manage.py:3077 top()</t>
        </is>
      </c>
      <c r="IK10" s="9" t="inlineStr">
        <is>
          <t>v12_quick_engine.py:1517 x18</t>
        </is>
      </c>
    </row>
    <row r="11" ht="11" customHeight="1">
      <c r="A11" s="10" t="inlineStr">
        <is>
          <t>DC_BREAKOUT_SCORE</t>
        </is>
      </c>
      <c r="B11" s="11" t="inlineStr">
        <is>
          <t>25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ez_manage.py:3077 top()</t>
        </is>
      </c>
      <c r="IK11" s="9" t="inlineStr">
        <is>
          <t>v12_quick_engine.py:1517 x18</t>
        </is>
      </c>
    </row>
    <row r="12" ht="11" customHeight="1">
      <c r="A12" s="10" t="inlineStr">
        <is>
          <t>DC_BREAKOUT_SCORE</t>
        </is>
      </c>
      <c r="B12" s="11" t="inlineStr">
        <is>
          <t>30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ez_manage.py:3077 top()</t>
        </is>
      </c>
      <c r="IK12" s="9" t="inlineStr">
        <is>
          <t>v12_quick_engine.py:1517 x18</t>
        </is>
      </c>
    </row>
    <row r="13" ht="11" customHeight="1">
      <c r="A13" s="10" t="inlineStr">
        <is>
          <t>BB_BREAKOUT_SCORE</t>
        </is>
      </c>
      <c r="B13" s="11" t="inlineStr">
        <is>
          <t>10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ez_manage.py:2963 top()</t>
        </is>
      </c>
      <c r="IK13" s="9" t="inlineStr">
        <is>
          <t>v12_quick_engine.py:1255 x6</t>
        </is>
      </c>
    </row>
    <row r="14" ht="11" customHeight="1">
      <c r="A14" s="10" t="inlineStr">
        <is>
          <t>BB_BREAKOUT_SCORE</t>
        </is>
      </c>
      <c r="B14" s="11" t="inlineStr">
        <is>
          <t>15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ez_manage.py:2963 top()</t>
        </is>
      </c>
      <c r="IK14" s="9" t="inlineStr">
        <is>
          <t>v12_quick_engine.py:1255 x6</t>
        </is>
      </c>
    </row>
    <row r="15" ht="11" customHeight="1">
      <c r="A15" s="6" t="inlineStr">
        <is>
          <t>BB_BREAKOUT_SCORE</t>
        </is>
      </c>
      <c r="B15" s="7" t="inlineStr">
        <is>
          <t>20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ez_manage.py:2963 top()</t>
        </is>
      </c>
      <c r="IK15" s="9" t="inlineStr">
        <is>
          <t>v12_quick_engine.py:1255 x6</t>
        </is>
      </c>
    </row>
    <row r="16" ht="11" customHeight="1">
      <c r="A16" s="10" t="inlineStr">
        <is>
          <t>BB_BREAKOUT_SCORE</t>
        </is>
      </c>
      <c r="B16" s="11" t="inlineStr">
        <is>
          <t>25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ez_manage.py:2963 top()</t>
        </is>
      </c>
      <c r="IK16" s="9" t="inlineStr">
        <is>
          <t>v12_quick_engine.py:1255 x6</t>
        </is>
      </c>
    </row>
    <row r="17" ht="11" customHeight="1">
      <c r="A17" s="10" t="inlineStr">
        <is>
          <t>BB_BREAKOUT_SCORE</t>
        </is>
      </c>
      <c r="B17" s="11" t="inlineStr">
        <is>
          <t>30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ez_manage.py:2963 top()</t>
        </is>
      </c>
      <c r="IK17" s="9" t="inlineStr">
        <is>
          <t>v12_quick_engine.py:1255 x6</t>
        </is>
      </c>
    </row>
    <row r="18" ht="11" customHeight="1">
      <c r="A18" s="6" t="inlineStr">
        <is>
          <t>STDEV_BREAKOUT_ENABLED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ez_manage.py:4039 top()</t>
        </is>
      </c>
      <c r="IK18" s="9" t="inlineStr">
        <is>
          <t>v12_quick_engine.py:3275 x6</t>
        </is>
      </c>
    </row>
    <row r="19" ht="11" customHeight="1">
      <c r="A19" s="10" t="inlineStr">
        <is>
          <t>STDEV_BREAKOUT_ENABLED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ez_manage.py:4039 top()</t>
        </is>
      </c>
      <c r="IK19" s="9" t="inlineStr">
        <is>
          <t>v12_quick_engine.py:3275 x6</t>
        </is>
      </c>
    </row>
    <row r="20" ht="11" customHeight="1">
      <c r="A20" s="6" t="inlineStr">
        <is>
          <t>BTC_BREAKOUT_ENTRY_ENABLED</t>
        </is>
      </c>
      <c r="B20" s="7" t="inlineStr">
        <is>
          <t>False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ez_manage.py:4432 top()</t>
        </is>
      </c>
      <c r="IK20" s="9" t="inlineStr">
        <is>
          <t>v12_quick_engine.py:393 x8</t>
        </is>
      </c>
    </row>
    <row r="21" ht="11" customHeight="1">
      <c r="A21" s="10" t="inlineStr">
        <is>
          <t>BTC_BREAKOUT_ENTRY_ENABLED</t>
        </is>
      </c>
      <c r="B21" s="11" t="inlineStr">
        <is>
          <t>True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ez_manage.py:4432 top()</t>
        </is>
      </c>
      <c r="IK21" s="9" t="inlineStr">
        <is>
          <t>v12_quick_engine.py:393 x8</t>
        </is>
      </c>
    </row>
    <row r="22" ht="11" customHeight="1">
      <c r="A22" s="6" t="inlineStr">
        <is>
          <t>RZ_BREAKOUT_ENTRY_ENABLED</t>
        </is>
      </c>
      <c r="B22" s="7" t="inlineStr">
        <is>
          <t>False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ez_manage.py:5398 top()</t>
        </is>
      </c>
      <c r="IK22" s="9" t="inlineStr">
        <is>
          <t>v12_quick_engine.py:3021 x3</t>
        </is>
      </c>
    </row>
    <row r="23" ht="11" customHeight="1">
      <c r="A23" s="10" t="inlineStr">
        <is>
          <t>RZ_BREAKOUT_ENTRY_ENABLED</t>
        </is>
      </c>
      <c r="B23" s="11" t="inlineStr">
        <is>
          <t>True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ez_manage.py:5398 top()</t>
        </is>
      </c>
      <c r="IK23" s="9" t="inlineStr">
        <is>
          <t>v12_quick_engine.py:3021 x3</t>
        </is>
      </c>
    </row>
    <row r="24" ht="11" customHeight="1">
      <c r="A24" s="10" t="inlineStr">
        <is>
          <t>ATR_ADAPTIVE_SIZING_TARGET_PCT</t>
        </is>
      </c>
      <c r="B24" s="11" t="inlineStr">
        <is>
          <t>1.0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ez_manage.py:4327 top()</t>
        </is>
      </c>
      <c r="IK24" s="9" t="inlineStr">
        <is>
          <t>v12_quick_engine.py:1209 x7</t>
        </is>
      </c>
    </row>
    <row r="25" ht="11" customHeight="1">
      <c r="A25" s="10" t="inlineStr">
        <is>
          <t>ATR_ADAPTIVE_SIZING_TARGET_PCT</t>
        </is>
      </c>
      <c r="B25" s="11" t="inlineStr">
        <is>
          <t>1.5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ez_manage.py:4327 top()</t>
        </is>
      </c>
      <c r="IK25" s="9" t="inlineStr">
        <is>
          <t>v12_quick_engine.py:1209 x7</t>
        </is>
      </c>
    </row>
    <row r="26" ht="11" customHeight="1">
      <c r="A26" s="6" t="inlineStr">
        <is>
          <t>ATR_ADAPTIVE_SIZING_TARGET_PCT</t>
        </is>
      </c>
      <c r="B26" s="7" t="inlineStr">
        <is>
          <t>2.0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ez_manage.py:4327 top()</t>
        </is>
      </c>
      <c r="IK26" s="9" t="inlineStr">
        <is>
          <t>v12_quick_engine.py:1209 x7</t>
        </is>
      </c>
    </row>
    <row r="27" ht="11" customHeight="1">
      <c r="A27" s="10" t="inlineStr">
        <is>
          <t>ATR_ADAPTIVE_SIZING_TARGET_PCT</t>
        </is>
      </c>
      <c r="B27" s="11" t="inlineStr">
        <is>
          <t>2.5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ez_manage.py:4327 top()</t>
        </is>
      </c>
      <c r="IK27" s="9" t="inlineStr">
        <is>
          <t>v12_quick_engine.py:1209 x7</t>
        </is>
      </c>
    </row>
    <row r="28" ht="11" customHeight="1">
      <c r="A28" s="10" t="inlineStr">
        <is>
          <t>ATR_ADAPTIVE_SIZING_TARGET_PCT</t>
        </is>
      </c>
      <c r="B28" s="11" t="inlineStr">
        <is>
          <t>3.0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ez_manage.py:4327 top()</t>
        </is>
      </c>
      <c r="IK28" s="9" t="inlineStr">
        <is>
          <t>v12_quick_engine.py:1209 x7</t>
        </is>
      </c>
    </row>
    <row r="29" ht="11" customHeight="1">
      <c r="A29" s="10" t="inlineStr">
        <is>
          <t>ATR_ADAPTIVE_STOP_MULT</t>
        </is>
      </c>
      <c r="B29" s="11" t="inlineStr">
        <is>
          <t>1.0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ez_manage.py:4329 top()</t>
        </is>
      </c>
      <c r="IK29" s="9" t="inlineStr">
        <is>
          <t>v12_quick_engine.py:1211 x6</t>
        </is>
      </c>
    </row>
    <row r="30" ht="11" customHeight="1">
      <c r="A30" s="10" t="inlineStr">
        <is>
          <t>ATR_ADAPTIVE_STOP_MULT</t>
        </is>
      </c>
      <c r="B30" s="11" t="inlineStr">
        <is>
          <t>1.5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ez_manage.py:4329 top()</t>
        </is>
      </c>
      <c r="IK30" s="9" t="inlineStr">
        <is>
          <t>v12_quick_engine.py:1211 x6</t>
        </is>
      </c>
    </row>
    <row r="31" ht="11" customHeight="1">
      <c r="A31" s="6" t="inlineStr">
        <is>
          <t>ATR_ADAPTIVE_STOP_MULT</t>
        </is>
      </c>
      <c r="B31" s="7" t="inlineStr">
        <is>
          <t>2.0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ez_manage.py:4329 top()</t>
        </is>
      </c>
      <c r="IK31" s="9" t="inlineStr">
        <is>
          <t>v12_quick_engine.py:1211 x6</t>
        </is>
      </c>
    </row>
    <row r="32" ht="11" customHeight="1">
      <c r="A32" s="10" t="inlineStr">
        <is>
          <t>ATR_ADAPTIVE_STOP_MULT</t>
        </is>
      </c>
      <c r="B32" s="11" t="inlineStr">
        <is>
          <t>2.5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ez_manage.py:4329 top()</t>
        </is>
      </c>
      <c r="IK32" s="9" t="inlineStr">
        <is>
          <t>v12_quick_engine.py:1211 x6</t>
        </is>
      </c>
    </row>
    <row r="33" ht="11" customHeight="1">
      <c r="A33" s="10" t="inlineStr">
        <is>
          <t>ATR_ADAPTIVE_STOP_MULT</t>
        </is>
      </c>
      <c r="B33" s="11" t="inlineStr">
        <is>
          <t>3.0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ez_manage.py:4329 top()</t>
        </is>
      </c>
      <c r="IK33" s="9" t="inlineStr">
        <is>
          <t>v12_quick_engine.py:1211 x6</t>
        </is>
      </c>
    </row>
    <row r="34" ht="11" customHeight="1">
      <c r="A34" s="10" t="inlineStr">
        <is>
          <t>ATR_LONG_WINDOW</t>
        </is>
      </c>
      <c r="B34" s="11" t="inlineStr">
        <is>
          <t>50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ez_manage.py:4330 top()</t>
        </is>
      </c>
      <c r="IK34" s="9" t="inlineStr">
        <is>
          <t>v12_quick_engine.py:199 x5</t>
        </is>
      </c>
    </row>
    <row r="35" ht="11" customHeight="1">
      <c r="A35" s="10" t="inlineStr">
        <is>
          <t>ATR_LONG_WINDOW</t>
        </is>
      </c>
      <c r="B35" s="11" t="inlineStr">
        <is>
          <t>75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ez_manage.py:4330 top()</t>
        </is>
      </c>
      <c r="IK35" s="9" t="inlineStr">
        <is>
          <t>v12_quick_engine.py:199 x5</t>
        </is>
      </c>
    </row>
    <row r="36" ht="11" customHeight="1">
      <c r="A36" s="6" t="inlineStr">
        <is>
          <t>ATR_LONG_WINDOW</t>
        </is>
      </c>
      <c r="B36" s="7" t="inlineStr">
        <is>
          <t>100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ez_manage.py:4330 top()</t>
        </is>
      </c>
      <c r="IK36" s="9" t="inlineStr">
        <is>
          <t>v12_quick_engine.py:199 x5</t>
        </is>
      </c>
    </row>
    <row r="37" ht="11" customHeight="1">
      <c r="A37" s="10" t="inlineStr">
        <is>
          <t>ATR_LONG_WINDOW</t>
        </is>
      </c>
      <c r="B37" s="11" t="inlineStr">
        <is>
          <t>125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ez_manage.py:4330 top()</t>
        </is>
      </c>
      <c r="IK37" s="9" t="inlineStr">
        <is>
          <t>v12_quick_engine.py:199 x5</t>
        </is>
      </c>
    </row>
    <row r="38" ht="11" customHeight="1">
      <c r="A38" s="10" t="inlineStr">
        <is>
          <t>ATR_LONG_WINDOW</t>
        </is>
      </c>
      <c r="B38" s="11" t="inlineStr">
        <is>
          <t>150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ez_manage.py:4330 top()</t>
        </is>
      </c>
      <c r="IK38" s="9" t="inlineStr">
        <is>
          <t>v12_quick_engine.py:199 x5</t>
        </is>
      </c>
    </row>
    <row r="39" ht="11" customHeight="1">
      <c r="A39" s="10" t="inlineStr">
        <is>
          <t>BTC_RZ_WT_DC_MULTIFACTOR</t>
        </is>
      </c>
      <c r="B39" s="11" t="inlineStr">
        <is>
          <t>0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ez_manage.py:5965 top()</t>
        </is>
      </c>
      <c r="IK39" s="9" t="inlineStr">
        <is>
          <t>v12_quick_engine.py:450 x8</t>
        </is>
      </c>
    </row>
    <row r="40" ht="11" customHeight="1">
      <c r="A40" s="10" t="inlineStr">
        <is>
          <t>BTC_RZ_WT_DC_MULTIFACTOR</t>
        </is>
      </c>
      <c r="B40" s="11" t="inlineStr">
        <is>
          <t>0.5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ez_manage.py:5965 top()</t>
        </is>
      </c>
      <c r="IK40" s="9" t="inlineStr">
        <is>
          <t>v12_quick_engine.py:450 x8</t>
        </is>
      </c>
    </row>
    <row r="41" ht="11" customHeight="1">
      <c r="A41" s="10" t="inlineStr">
        <is>
          <t>BTC_RZ_WT_DC_MULTIFACTOR</t>
        </is>
      </c>
      <c r="B41" s="11" t="inlineStr">
        <is>
          <t>1.0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ez_manage.py:5965 top()</t>
        </is>
      </c>
      <c r="IK41" s="9" t="inlineStr">
        <is>
          <t>v12_quick_engine.py:450 x8</t>
        </is>
      </c>
    </row>
    <row r="42" ht="11" customHeight="1">
      <c r="A42" s="10" t="inlineStr">
        <is>
          <t>BTC_RZ_WT_DC_MULTIFACTOR</t>
        </is>
      </c>
      <c r="B42" s="11" t="inlineStr">
        <is>
          <t>2.0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ez_manage.py:5965 top()</t>
        </is>
      </c>
      <c r="IK42" s="9" t="inlineStr">
        <is>
          <t>v12_quick_engine.py:450 x8</t>
        </is>
      </c>
    </row>
    <row r="43" ht="11" customHeight="1">
      <c r="A43" s="10" t="inlineStr">
        <is>
          <t>BTC_TECH_EXIT_WT_MIN_TFS</t>
        </is>
      </c>
      <c r="B43" s="11" t="inlineStr">
        <is>
          <t>0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ez_manage.py:4517 top()</t>
        </is>
      </c>
      <c r="IK43" s="9" t="inlineStr">
        <is>
          <t>v12_quick_engine.py:457 x8</t>
        </is>
      </c>
    </row>
    <row r="44" ht="11" customHeight="1">
      <c r="A44" s="10" t="inlineStr">
        <is>
          <t>BTC_TECH_EXIT_WT_MIN_TFS</t>
        </is>
      </c>
      <c r="B44" s="11" t="inlineStr">
        <is>
          <t>0.5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ez_manage.py:4517 top()</t>
        </is>
      </c>
      <c r="IK44" s="9" t="inlineStr">
        <is>
          <t>v12_quick_engine.py:457 x8</t>
        </is>
      </c>
    </row>
    <row r="45" ht="11" customHeight="1">
      <c r="A45" s="10" t="inlineStr">
        <is>
          <t>BTC_TECH_EXIT_WT_MIN_TFS</t>
        </is>
      </c>
      <c r="B45" s="11" t="inlineStr">
        <is>
          <t>1.0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ez_manage.py:4517 top()</t>
        </is>
      </c>
      <c r="IK45" s="9" t="inlineStr">
        <is>
          <t>v12_quick_engine.py:457 x8</t>
        </is>
      </c>
    </row>
    <row r="46" ht="11" customHeight="1">
      <c r="A46" s="10" t="inlineStr">
        <is>
          <t>BTC_TECH_EXIT_WT_MIN_TFS</t>
        </is>
      </c>
      <c r="B46" s="11" t="inlineStr">
        <is>
          <t>2.0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ez_manage.py:4517 top()</t>
        </is>
      </c>
      <c r="IK46" s="9" t="inlineStr">
        <is>
          <t>v12_quick_engine.py:457 x8</t>
        </is>
      </c>
    </row>
    <row r="47" ht="11" customHeight="1">
      <c r="A47" s="10" t="inlineStr">
        <is>
          <t>ENTRY_PRIMARY_TF</t>
        </is>
      </c>
      <c r="B47" s="11" t="inlineStr">
        <is>
          <t>OFF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ez_manage.py:3216 top()</t>
        </is>
      </c>
      <c r="IK47" s="9" t="inlineStr">
        <is>
          <t>v12_quick_engine.py:1728 x4</t>
        </is>
      </c>
    </row>
    <row r="48" ht="11" customHeight="1">
      <c r="A48" s="10" t="inlineStr">
        <is>
          <t>ENTRY_PRIMARY_TF</t>
        </is>
      </c>
      <c r="B48" s="11" t="inlineStr">
        <is>
          <t>D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ez_manage.py:3216 top()</t>
        </is>
      </c>
      <c r="IK48" s="9" t="inlineStr">
        <is>
          <t>v12_quick_engine.py:1728 x4</t>
        </is>
      </c>
    </row>
    <row r="49" ht="11" customHeight="1">
      <c r="A49" s="6" t="inlineStr">
        <is>
          <t>ENTRY_PRIMARY_TF</t>
        </is>
      </c>
      <c r="B49" s="7" t="inlineStr">
        <is>
          <t>4h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ez_manage.py:3216 top()</t>
        </is>
      </c>
      <c r="IK49" s="9" t="inlineStr">
        <is>
          <t>v12_quick_engine.py:1728 x4</t>
        </is>
      </c>
    </row>
    <row r="50" ht="11" customHeight="1">
      <c r="A50" s="10" t="inlineStr">
        <is>
          <t>ENTRY_PRIMARY_TF</t>
        </is>
      </c>
      <c r="B50" s="11" t="inlineStr">
        <is>
          <t>1h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ez_manage.py:3216 top()</t>
        </is>
      </c>
      <c r="IK50" s="9" t="inlineStr">
        <is>
          <t>v12_quick_engine.py:1728 x4</t>
        </is>
      </c>
    </row>
    <row r="51" ht="11" customHeight="1">
      <c r="A51" s="10" t="inlineStr">
        <is>
          <t>ENTRY_PRIMARY_TF</t>
        </is>
      </c>
      <c r="B51" s="11" t="inlineStr">
        <is>
          <t>15m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ez_manage.py:3216 top()</t>
        </is>
      </c>
      <c r="IK51" s="9" t="inlineStr">
        <is>
          <t>v12_quick_engine.py:1728 x4</t>
        </is>
      </c>
    </row>
    <row r="52" ht="11" customHeight="1">
      <c r="A52" s="10" t="inlineStr">
        <is>
          <t>ENTRY_SCORE_THRESHOLD</t>
        </is>
      </c>
      <c r="B52" s="11" t="inlineStr">
        <is>
          <t>9.0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ez_manage.py:4644 top()</t>
        </is>
      </c>
      <c r="IK52" s="9" t="inlineStr">
        <is>
          <t>v12_quick_engine.py:3394 x9</t>
        </is>
      </c>
    </row>
    <row r="53" ht="11" customHeight="1">
      <c r="A53" s="10" t="inlineStr">
        <is>
          <t>ENTRY_SCORE_THRESHOLD</t>
        </is>
      </c>
      <c r="B53" s="11" t="inlineStr">
        <is>
          <t>13.5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ez_manage.py:4644 top()</t>
        </is>
      </c>
      <c r="IK53" s="9" t="inlineStr">
        <is>
          <t>v12_quick_engine.py:3394 x9</t>
        </is>
      </c>
    </row>
    <row r="54" ht="11" customHeight="1">
      <c r="A54" s="6" t="inlineStr">
        <is>
          <t>ENTRY_SCORE_THRESHOLD</t>
        </is>
      </c>
      <c r="B54" s="7" t="inlineStr">
        <is>
          <t>18.0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ez_manage.py:4644 top()</t>
        </is>
      </c>
      <c r="IK54" s="9" t="inlineStr">
        <is>
          <t>v12_quick_engine.py:3394 x9</t>
        </is>
      </c>
    </row>
    <row r="55" ht="11" customHeight="1">
      <c r="A55" s="10" t="inlineStr">
        <is>
          <t>ENTRY_SCORE_THRESHOLD</t>
        </is>
      </c>
      <c r="B55" s="11" t="inlineStr">
        <is>
          <t>22.5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ez_manage.py:4644 top()</t>
        </is>
      </c>
      <c r="IK55" s="9" t="inlineStr">
        <is>
          <t>v12_quick_engine.py:3394 x9</t>
        </is>
      </c>
    </row>
    <row r="56" ht="11" customHeight="1">
      <c r="A56" s="10" t="inlineStr">
        <is>
          <t>ENTRY_SCORE_THRESHOLD</t>
        </is>
      </c>
      <c r="B56" s="11" t="inlineStr">
        <is>
          <t>27.0</t>
        </is>
      </c>
      <c r="E56">
        <f>IF(F56="",E55,IF(F56&gt;0,E55+F56,E55))</f>
        <v/>
      </c>
      <c r="F56">
        <f>IFERROR(VLOOKUP($A56,Results_30d_Deltas!$A$2:$H$5000,8,FALSE)-E55,"")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ez_manage.py:4644 top()</t>
        </is>
      </c>
      <c r="IK56" s="9" t="inlineStr">
        <is>
          <t>v12_quick_engine.py:3394 x9</t>
        </is>
      </c>
    </row>
    <row r="57" ht="11" customHeight="1">
      <c r="A57" s="10" t="inlineStr">
        <is>
          <t>EXIT_SCORER_DC_EXTREME</t>
        </is>
      </c>
      <c r="B57" s="11" t="inlineStr">
        <is>
          <t>0.2</t>
        </is>
      </c>
      <c r="E57">
        <f>IF(F57="",E56,IF(F57&gt;0,E56+F57,E56))</f>
        <v/>
      </c>
      <c r="F57">
        <f>IFERROR(VLOOKUP($A57,Results_30d_Deltas!$A$2:$H$5000,8,FALSE)-E56,"")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ez_manage.py:3252 top()</t>
        </is>
      </c>
      <c r="IK57" s="9" t="inlineStr">
        <is>
          <t>v12_quick_engine.py:1781 x6</t>
        </is>
      </c>
    </row>
    <row r="58" ht="11" customHeight="1">
      <c r="A58" s="10" t="inlineStr">
        <is>
          <t>EXIT_SCORER_DC_EXTREME</t>
        </is>
      </c>
      <c r="B58" s="11" t="inlineStr">
        <is>
          <t>0.3</t>
        </is>
      </c>
      <c r="E58">
        <f>IF(F58="",E57,IF(F58&gt;0,E57+F58,E57))</f>
        <v/>
      </c>
      <c r="F58">
        <f>IFERROR(VLOOKUP($A58,Results_30d_Deltas!$A$2:$H$5000,8,FALSE)-E57,"")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ez_manage.py:3252 top()</t>
        </is>
      </c>
      <c r="IK58" s="9" t="inlineStr">
        <is>
          <t>v12_quick_engine.py:1781 x6</t>
        </is>
      </c>
    </row>
    <row r="59" ht="11" customHeight="1">
      <c r="A59" s="6" t="inlineStr">
        <is>
          <t>EXIT_SCORER_DC_EXTREME</t>
        </is>
      </c>
      <c r="B59" s="7" t="inlineStr">
        <is>
          <t>0.4</t>
        </is>
      </c>
      <c r="E59">
        <f>IF(F59="",E58,IF(F59&gt;0,E58+F59,E58))</f>
        <v/>
      </c>
      <c r="F59">
        <f>IFERROR(VLOOKUP($A59,Results_30d_Deltas!$A$2:$H$5000,8,FALSE)-E58,"")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ez_manage.py:3252 top()</t>
        </is>
      </c>
      <c r="IK59" s="9" t="inlineStr">
        <is>
          <t>v12_quick_engine.py:1781 x6</t>
        </is>
      </c>
    </row>
    <row r="60" ht="11" customHeight="1">
      <c r="A60" s="10" t="inlineStr">
        <is>
          <t>EXIT_SCORER_DC_EXTREME</t>
        </is>
      </c>
      <c r="B60" s="11" t="inlineStr">
        <is>
          <t>0.5</t>
        </is>
      </c>
      <c r="E60">
        <f>IF(F60="",E59,IF(F60&gt;0,E59+F60,E59))</f>
        <v/>
      </c>
      <c r="F60">
        <f>IFERROR(VLOOKUP($A60,Results_30d_Deltas!$A$2:$H$5000,8,FALSE)-E59,"")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ez_manage.py:3252 top()</t>
        </is>
      </c>
      <c r="IK60" s="9" t="inlineStr">
        <is>
          <t>v12_quick_engine.py:1781 x6</t>
        </is>
      </c>
    </row>
    <row r="61" ht="11" customHeight="1">
      <c r="A61" s="10" t="inlineStr">
        <is>
          <t>EXIT_SCORER_DC_EXTREME</t>
        </is>
      </c>
      <c r="B61" s="11" t="inlineStr">
        <is>
          <t>0.6</t>
        </is>
      </c>
      <c r="E61">
        <f>IF(F61="",E60,IF(F61&gt;0,E60+F61,E60))</f>
        <v/>
      </c>
      <c r="F61">
        <f>IFERROR(VLOOKUP($A61,Results_30d_Deltas!$A$2:$H$5000,8,FALSE)-E60,"")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ez_manage.py:3252 top()</t>
        </is>
      </c>
      <c r="IK61" s="9" t="inlineStr">
        <is>
          <t>v12_quick_engine.py:1781 x6</t>
        </is>
      </c>
    </row>
    <row r="62" ht="11" customHeight="1">
      <c r="A62" s="10" t="inlineStr">
        <is>
          <t>E_1_EXIT_DELTA_THR</t>
        </is>
      </c>
      <c r="B62" s="11" t="inlineStr">
        <is>
          <t>0</t>
        </is>
      </c>
      <c r="E62">
        <f>IF(F62="",E61,IF(F62&gt;0,E61+F62,E61))</f>
        <v/>
      </c>
      <c r="F62">
        <f>IFERROR(VLOOKUP($A62,Results_30d_Deltas!$A$2:$H$5000,8,FALSE)-E61,"")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ez_manage.py:4698 top()</t>
        </is>
      </c>
      <c r="IK62" s="9" t="inlineStr">
        <is>
          <t>v12_quick_engine.py:1817 x9</t>
        </is>
      </c>
    </row>
    <row r="63" ht="11" customHeight="1">
      <c r="A63" s="10" t="inlineStr">
        <is>
          <t>E_1_EXIT_DELTA_THR</t>
        </is>
      </c>
      <c r="B63" s="11" t="inlineStr">
        <is>
          <t>0.5</t>
        </is>
      </c>
      <c r="E63">
        <f>IF(F63="",E62,IF(F63&gt;0,E62+F63,E62))</f>
        <v/>
      </c>
      <c r="F63">
        <f>IFERROR(VLOOKUP($A63,Results_30d_Deltas!$A$2:$H$5000,8,FALSE)-E62,"")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ez_manage.py:4698 top()</t>
        </is>
      </c>
      <c r="IK63" s="9" t="inlineStr">
        <is>
          <t>v12_quick_engine.py:1817 x9</t>
        </is>
      </c>
    </row>
    <row r="64" ht="11" customHeight="1">
      <c r="A64" s="10" t="inlineStr">
        <is>
          <t>E_1_EXIT_DELTA_THR</t>
        </is>
      </c>
      <c r="B64" s="11" t="inlineStr">
        <is>
          <t>1.0</t>
        </is>
      </c>
      <c r="E64">
        <f>IF(F64="",E63,IF(F64&gt;0,E63+F64,E63))</f>
        <v/>
      </c>
      <c r="F64">
        <f>IFERROR(VLOOKUP($A64,Results_30d_Deltas!$A$2:$H$5000,8,FALSE)-E63,"")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ez_manage.py:4698 top()</t>
        </is>
      </c>
      <c r="IK64" s="9" t="inlineStr">
        <is>
          <t>v12_quick_engine.py:1817 x9</t>
        </is>
      </c>
    </row>
    <row r="65" ht="11" customHeight="1">
      <c r="A65" s="10" t="inlineStr">
        <is>
          <t>E_1_EXIT_DELTA_THR</t>
        </is>
      </c>
      <c r="B65" s="11" t="inlineStr">
        <is>
          <t>2.0</t>
        </is>
      </c>
      <c r="E65">
        <f>IF(F65="",E64,IF(F65&gt;0,E64+F65,E64))</f>
        <v/>
      </c>
      <c r="F65">
        <f>IFERROR(VLOOKUP($A65,Results_30d_Deltas!$A$2:$H$5000,8,FALSE)-E64,"")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ez_manage.py:4698 top()</t>
        </is>
      </c>
      <c r="IK65" s="9" t="inlineStr">
        <is>
          <t>v12_quick_engine.py:1817 x9</t>
        </is>
      </c>
    </row>
    <row r="66" ht="11" customHeight="1">
      <c r="A66" s="6" t="inlineStr">
        <is>
          <t>HAIKU_ENTRY_GATE_ENABLED</t>
        </is>
      </c>
      <c r="B66" s="7" t="inlineStr">
        <is>
          <t>False</t>
        </is>
      </c>
      <c r="E66">
        <f>IF(F66="",E65,IF(F66&gt;0,E65+F66,E65))</f>
        <v/>
      </c>
      <c r="F66">
        <f>IFERROR(VLOOKUP($A66,Results_30d_Deltas!$A$2:$H$5000,8,FALSE)-E65,"")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ez_manage.py:6007 top()</t>
        </is>
      </c>
      <c r="IK66" s="9" t="inlineStr">
        <is>
          <t>v12_quick_engine.py:4265 x2</t>
        </is>
      </c>
    </row>
    <row r="67" ht="11" customHeight="1">
      <c r="A67" s="10" t="inlineStr">
        <is>
          <t>HAIKU_ENTRY_GATE_ENABLED</t>
        </is>
      </c>
      <c r="B67" s="11" t="inlineStr">
        <is>
          <t>True</t>
        </is>
      </c>
      <c r="E67">
        <f>IF(F67="",E66,IF(F67&gt;0,E66+F67,E66))</f>
        <v/>
      </c>
      <c r="F67">
        <f>IFERROR(VLOOKUP($A67,Results_30d_Deltas!$A$2:$H$5000,8,FALSE)-E66,"")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ez_manage.py:6007 top()</t>
        </is>
      </c>
      <c r="IK67" s="9" t="inlineStr">
        <is>
          <t>v12_quick_engine.py:4265 x2</t>
        </is>
      </c>
    </row>
    <row r="68" ht="11" customHeight="1">
      <c r="A68" s="10" t="inlineStr">
        <is>
          <t>HTF_GATE_SIGNALS_SMA200D</t>
        </is>
      </c>
      <c r="B68" s="11" t="inlineStr">
        <is>
          <t>False</t>
        </is>
      </c>
      <c r="E68">
        <f>IF(F68="",E67,IF(F68&gt;0,E67+F68,E67))</f>
        <v/>
      </c>
      <c r="F68">
        <f>IFERROR(VLOOKUP($A68,Results_30d_Deltas!$A$2:$H$5000,8,FALSE)-E67,"")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ez_manage.py:4881 top()</t>
        </is>
      </c>
      <c r="IK68" s="9" t="inlineStr">
        <is>
          <t>v12_quick_engine.py:2057 x7</t>
        </is>
      </c>
    </row>
    <row r="69" ht="11" customHeight="1">
      <c r="A69" s="6" t="inlineStr">
        <is>
          <t>HTF_GATE_SIGNALS_SMA200D</t>
        </is>
      </c>
      <c r="B69" s="7" t="inlineStr">
        <is>
          <t>True</t>
        </is>
      </c>
      <c r="E69">
        <f>IF(F69="",E68,IF(F69&gt;0,E68+F69,E68))</f>
        <v/>
      </c>
      <c r="F69">
        <f>IFERROR(VLOOKUP($A69,Results_30d_Deltas!$A$2:$H$5000,8,FALSE)-E68,"")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ez_manage.py:4881 top()</t>
        </is>
      </c>
      <c r="IK69" s="9" t="inlineStr">
        <is>
          <t>v12_quick_engine.py:2057 x7</t>
        </is>
      </c>
    </row>
    <row r="70" ht="11" customHeight="1">
      <c r="A70" s="10" t="inlineStr">
        <is>
          <t>INTRADAY_SESSION_FORCE_EXIT_UTC</t>
        </is>
      </c>
      <c r="B70" s="11" t="inlineStr">
        <is>
          <t>0</t>
        </is>
      </c>
      <c r="E70">
        <f>IF(F70="",E69,IF(F70&gt;0,E69+F70,E69))</f>
        <v/>
      </c>
      <c r="F70">
        <f>IFERROR(VLOOKUP($A70,Results_30d_Deltas!$A$2:$H$5000,8,FALSE)-E69,"")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ez_manage.py:6014 top()</t>
        </is>
      </c>
      <c r="IK70" s="9" t="inlineStr">
        <is>
          <t>v12_quick_engine.py:4267 x4</t>
        </is>
      </c>
    </row>
    <row r="71" ht="11" customHeight="1">
      <c r="A71" s="10" t="inlineStr">
        <is>
          <t>INTRADAY_SESSION_FORCE_EXIT_UTC</t>
        </is>
      </c>
      <c r="B71" s="11" t="inlineStr">
        <is>
          <t>0.5</t>
        </is>
      </c>
      <c r="E71">
        <f>IF(F71="",E70,IF(F71&gt;0,E70+F71,E70))</f>
        <v/>
      </c>
      <c r="F71">
        <f>IFERROR(VLOOKUP($A71,Results_30d_Deltas!$A$2:$H$5000,8,FALSE)-E70,"")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ez_manage.py:6014 top()</t>
        </is>
      </c>
      <c r="IK71" s="9" t="inlineStr">
        <is>
          <t>v12_quick_engine.py:4267 x4</t>
        </is>
      </c>
    </row>
    <row r="72" ht="11" customHeight="1">
      <c r="A72" s="10" t="inlineStr">
        <is>
          <t>INTRADAY_SESSION_FORCE_EXIT_UTC</t>
        </is>
      </c>
      <c r="B72" s="11" t="inlineStr">
        <is>
          <t>1.0</t>
        </is>
      </c>
      <c r="E72">
        <f>IF(F72="",E71,IF(F72&gt;0,E71+F72,E71))</f>
        <v/>
      </c>
      <c r="F72">
        <f>IFERROR(VLOOKUP($A72,Results_30d_Deltas!$A$2:$H$5000,8,FALSE)-E71,"")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ez_manage.py:6014 top()</t>
        </is>
      </c>
      <c r="IK72" s="9" t="inlineStr">
        <is>
          <t>v12_quick_engine.py:4267 x4</t>
        </is>
      </c>
    </row>
    <row r="73" ht="11" customHeight="1">
      <c r="A73" s="10" t="inlineStr">
        <is>
          <t>INTRADAY_SESSION_FORCE_EXIT_UTC</t>
        </is>
      </c>
      <c r="B73" s="11" t="inlineStr">
        <is>
          <t>2.0</t>
        </is>
      </c>
      <c r="E73">
        <f>IF(F73="",E72,IF(F73&gt;0,E72+F73,E72))</f>
        <v/>
      </c>
      <c r="F73">
        <f>IFERROR(VLOOKUP($A73,Results_30d_Deltas!$A$2:$H$5000,8,FALSE)-E72,"")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ez_manage.py:6014 top()</t>
        </is>
      </c>
      <c r="IK73" s="9" t="inlineStr">
        <is>
          <t>v12_quick_engine.py:4267 x4</t>
        </is>
      </c>
    </row>
    <row r="74" ht="11" customHeight="1">
      <c r="A74" s="6" t="inlineStr">
        <is>
          <t>MACD_ZERO_CROSS_ENABLED</t>
        </is>
      </c>
      <c r="B74" s="7" t="inlineStr">
        <is>
          <t>False</t>
        </is>
      </c>
      <c r="E74">
        <f>IF(F74="",E73,IF(F74&gt;0,E73+F74,E73))</f>
        <v/>
      </c>
      <c r="F74">
        <f>IFERROR(VLOOKUP($A74,Results_30d_Deltas!$A$2:$H$5000,8,FALSE)-E73,"")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ez_manage.py:3499 top()</t>
        </is>
      </c>
      <c r="IK74" s="9" t="inlineStr">
        <is>
          <t>v12_quick_engine.py:2234 x2</t>
        </is>
      </c>
    </row>
    <row r="75" ht="11" customHeight="1">
      <c r="A75" s="10" t="inlineStr">
        <is>
          <t>MACD_ZERO_CROSS_ENABLED</t>
        </is>
      </c>
      <c r="B75" s="11" t="inlineStr">
        <is>
          <t>True</t>
        </is>
      </c>
      <c r="E75">
        <f>IF(F75="",E74,IF(F75&gt;0,E74+F75,E74))</f>
        <v/>
      </c>
      <c r="F75">
        <f>IFERROR(VLOOKUP($A75,Results_30d_Deltas!$A$2:$H$5000,8,FALSE)-E74,"")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ez_manage.py:3499 top()</t>
        </is>
      </c>
      <c r="IK75" s="9" t="inlineStr">
        <is>
          <t>v12_quick_engine.py:2234 x2</t>
        </is>
      </c>
    </row>
    <row r="76" ht="11" customHeight="1">
      <c r="A76" s="10" t="inlineStr">
        <is>
          <t>MACD_ZERO_CROSS_SCORE</t>
        </is>
      </c>
      <c r="B76" s="11" t="inlineStr">
        <is>
          <t>8</t>
        </is>
      </c>
      <c r="E76">
        <f>IF(F76="",E75,IF(F76&gt;0,E75+F76,E75))</f>
        <v/>
      </c>
      <c r="F76">
        <f>IFERROR(VLOOKUP($A76,Results_30d_Deltas!$A$2:$H$5000,8,FALSE)-E75,"")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ez_manage.py:3500 top()</t>
        </is>
      </c>
      <c r="IK76" s="9" t="inlineStr">
        <is>
          <t>v12_quick_engine.py:2235 x2</t>
        </is>
      </c>
    </row>
    <row r="77" ht="11" customHeight="1">
      <c r="A77" s="10" t="inlineStr">
        <is>
          <t>MACD_ZERO_CROSS_SCORE</t>
        </is>
      </c>
      <c r="B77" s="11" t="inlineStr">
        <is>
          <t>11</t>
        </is>
      </c>
      <c r="E77">
        <f>IF(F77="",E76,IF(F77&gt;0,E76+F77,E76))</f>
        <v/>
      </c>
      <c r="F77">
        <f>IFERROR(VLOOKUP($A77,Results_30d_Deltas!$A$2:$H$5000,8,FALSE)-E76,"")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ez_manage.py:3500 top()</t>
        </is>
      </c>
      <c r="IK77" s="9" t="inlineStr">
        <is>
          <t>v12_quick_engine.py:2235 x2</t>
        </is>
      </c>
    </row>
    <row r="78" ht="11" customHeight="1">
      <c r="A78" s="6" t="inlineStr">
        <is>
          <t>MACD_ZERO_CROSS_SCORE</t>
        </is>
      </c>
      <c r="B78" s="7" t="inlineStr">
        <is>
          <t>15</t>
        </is>
      </c>
      <c r="E78">
        <f>IF(F78="",E77,IF(F78&gt;0,E77+F78,E77))</f>
        <v/>
      </c>
      <c r="F78">
        <f>IFERROR(VLOOKUP($A78,Results_30d_Deltas!$A$2:$H$5000,8,FALSE)-E77,"")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ez_manage.py:3500 top()</t>
        </is>
      </c>
      <c r="IK78" s="9" t="inlineStr">
        <is>
          <t>v12_quick_engine.py:2235 x2</t>
        </is>
      </c>
    </row>
    <row r="79" ht="11" customHeight="1">
      <c r="A79" s="10" t="inlineStr">
        <is>
          <t>MACD_ZERO_CROSS_SCORE</t>
        </is>
      </c>
      <c r="B79" s="11" t="inlineStr">
        <is>
          <t>19</t>
        </is>
      </c>
      <c r="E79">
        <f>IF(F79="",E78,IF(F79&gt;0,E78+F79,E78))</f>
        <v/>
      </c>
      <c r="F79">
        <f>IFERROR(VLOOKUP($A79,Results_30d_Deltas!$A$2:$H$5000,8,FALSE)-E78,"")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ez_manage.py:3500 top()</t>
        </is>
      </c>
      <c r="IK79" s="9" t="inlineStr">
        <is>
          <t>v12_quick_engine.py:2235 x2</t>
        </is>
      </c>
    </row>
    <row r="80" ht="11" customHeight="1">
      <c r="A80" s="10" t="inlineStr">
        <is>
          <t>MACD_ZERO_CROSS_SCORE</t>
        </is>
      </c>
      <c r="B80" s="11" t="inlineStr">
        <is>
          <t>22</t>
        </is>
      </c>
      <c r="E80">
        <f>IF(F80="",E79,IF(F80&gt;0,E79+F80,E79))</f>
        <v/>
      </c>
      <c r="F80">
        <f>IFERROR(VLOOKUP($A80,Results_30d_Deltas!$A$2:$H$5000,8,FALSE)-E79,"")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ez_manage.py:3500 top()</t>
        </is>
      </c>
      <c r="IK80" s="9" t="inlineStr">
        <is>
          <t>v12_quick_engine.py:2235 x2</t>
        </is>
      </c>
    </row>
    <row r="81" ht="11" customHeight="1">
      <c r="A81" s="10" t="inlineStr">
        <is>
          <t>MACD_ZERO_CROSS_TF</t>
        </is>
      </c>
      <c r="B81" s="11" t="inlineStr">
        <is>
          <t>OFF</t>
        </is>
      </c>
      <c r="E81">
        <f>IF(F81="",E80,IF(F81&gt;0,E80+F81,E80))</f>
        <v/>
      </c>
      <c r="F81">
        <f>IFERROR(VLOOKUP($A81,Results_30d_Deltas!$A$2:$H$5000,8,FALSE)-E80,"")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ez_manage.py:3501 top()</t>
        </is>
      </c>
      <c r="IK81" s="9" t="inlineStr">
        <is>
          <t>v12_quick_engine.py:2236 x2</t>
        </is>
      </c>
    </row>
    <row r="82" ht="11" customHeight="1">
      <c r="A82" s="10" t="inlineStr">
        <is>
          <t>MACD_ZERO_CROSS_TF</t>
        </is>
      </c>
      <c r="B82" s="11" t="inlineStr">
        <is>
          <t>D</t>
        </is>
      </c>
      <c r="E82">
        <f>IF(F82="",E81,IF(F82&gt;0,E81+F82,E81))</f>
        <v/>
      </c>
      <c r="F82">
        <f>IFERROR(VLOOKUP($A82,Results_30d_Deltas!$A$2:$H$5000,8,FALSE)-E81,"")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ez_manage.py:3501 top()</t>
        </is>
      </c>
      <c r="IK82" s="9" t="inlineStr">
        <is>
          <t>v12_quick_engine.py:2236 x2</t>
        </is>
      </c>
    </row>
    <row r="83" ht="11" customHeight="1">
      <c r="A83" s="10" t="inlineStr">
        <is>
          <t>MACD_ZERO_CROSS_TF</t>
        </is>
      </c>
      <c r="B83" s="11" t="inlineStr">
        <is>
          <t>4h</t>
        </is>
      </c>
      <c r="E83">
        <f>IF(F83="",E82,IF(F83&gt;0,E82+F83,E82))</f>
        <v/>
      </c>
      <c r="F83">
        <f>IFERROR(VLOOKUP($A83,Results_30d_Deltas!$A$2:$H$5000,8,FALSE)-E82,"")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ez_manage.py:3501 top()</t>
        </is>
      </c>
      <c r="IK83" s="9" t="inlineStr">
        <is>
          <t>v12_quick_engine.py:2236 x2</t>
        </is>
      </c>
    </row>
    <row r="84" ht="11" customHeight="1">
      <c r="A84" s="10" t="inlineStr">
        <is>
          <t>MACD_ZERO_CROSS_TF</t>
        </is>
      </c>
      <c r="B84" s="11" t="inlineStr">
        <is>
          <t>1h</t>
        </is>
      </c>
      <c r="E84">
        <f>IF(F84="",E83,IF(F84&gt;0,E83+F84,E83))</f>
        <v/>
      </c>
      <c r="F84">
        <f>IFERROR(VLOOKUP($A84,Results_30d_Deltas!$A$2:$H$5000,8,FALSE)-E83,"")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ez_manage.py:3501 top()</t>
        </is>
      </c>
      <c r="IK84" s="9" t="inlineStr">
        <is>
          <t>v12_quick_engine.py:2236 x2</t>
        </is>
      </c>
    </row>
    <row r="85" ht="11" customHeight="1">
      <c r="A85" s="6" t="inlineStr">
        <is>
          <t>MACD_ZERO_CROSS_TF</t>
        </is>
      </c>
      <c r="B85" s="7" t="inlineStr">
        <is>
          <t>15m</t>
        </is>
      </c>
      <c r="E85">
        <f>IF(F85="",E84,IF(F85&gt;0,E84+F85,E84))</f>
        <v/>
      </c>
      <c r="F85">
        <f>IFERROR(VLOOKUP($A85,Results_30d_Deltas!$A$2:$H$5000,8,FALSE)-E84,"")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ez_manage.py:3501 top()</t>
        </is>
      </c>
      <c r="IK85" s="9" t="inlineStr">
        <is>
          <t>v12_quick_engine.py:2236 x2</t>
        </is>
      </c>
    </row>
    <row r="86" ht="11" customHeight="1">
      <c r="A86" s="10" t="inlineStr">
        <is>
          <t>MI_MIN_GAIN_EXIT</t>
        </is>
      </c>
      <c r="B86" s="11" t="inlineStr">
        <is>
          <t>0</t>
        </is>
      </c>
      <c r="E86">
        <f>IF(F86="",E85,IF(F86&gt;0,E85+F86,E85))</f>
        <v/>
      </c>
      <c r="F86">
        <f>IFERROR(VLOOKUP($A86,Results_30d_Deltas!$A$2:$H$5000,8,FALSE)-E85,"")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ez_manage.py:3565 top()</t>
        </is>
      </c>
      <c r="IK86" s="9" t="inlineStr">
        <is>
          <t>v12_quick_engine.py:2342 x8</t>
        </is>
      </c>
    </row>
    <row r="87" ht="11" customHeight="1">
      <c r="A87" s="10" t="inlineStr">
        <is>
          <t>MI_MIN_GAIN_EXIT</t>
        </is>
      </c>
      <c r="B87" s="11" t="inlineStr">
        <is>
          <t>0.5</t>
        </is>
      </c>
      <c r="E87">
        <f>IF(F87="",E86,IF(F87&gt;0,E86+F87,E86))</f>
        <v/>
      </c>
      <c r="F87">
        <f>IFERROR(VLOOKUP($A87,Results_30d_Deltas!$A$2:$H$5000,8,FALSE)-E86,"")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ez_manage.py:3565 top()</t>
        </is>
      </c>
      <c r="IK87" s="9" t="inlineStr">
        <is>
          <t>v12_quick_engine.py:2342 x8</t>
        </is>
      </c>
    </row>
    <row r="88" ht="11" customHeight="1">
      <c r="A88" s="10" t="inlineStr">
        <is>
          <t>MI_MIN_GAIN_EXIT</t>
        </is>
      </c>
      <c r="B88" s="11" t="inlineStr">
        <is>
          <t>1.0</t>
        </is>
      </c>
      <c r="E88">
        <f>IF(F88="",E87,IF(F88&gt;0,E87+F88,E87))</f>
        <v/>
      </c>
      <c r="F88">
        <f>IFERROR(VLOOKUP($A88,Results_30d_Deltas!$A$2:$H$5000,8,FALSE)-E87,"")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ez_manage.py:3565 top()</t>
        </is>
      </c>
      <c r="IK88" s="9" t="inlineStr">
        <is>
          <t>v12_quick_engine.py:2342 x8</t>
        </is>
      </c>
    </row>
    <row r="89" ht="11" customHeight="1">
      <c r="A89" s="10" t="inlineStr">
        <is>
          <t>MI_MIN_GAIN_EXIT</t>
        </is>
      </c>
      <c r="B89" s="11" t="inlineStr">
        <is>
          <t>2.0</t>
        </is>
      </c>
      <c r="E89">
        <f>IF(F89="",E88,IF(F89&gt;0,E88+F89,E88))</f>
        <v/>
      </c>
      <c r="F89">
        <f>IFERROR(VLOOKUP($A89,Results_30d_Deltas!$A$2:$H$5000,8,FALSE)-E88,"")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ez_manage.py:3565 top()</t>
        </is>
      </c>
      <c r="IK89" s="9" t="inlineStr">
        <is>
          <t>v12_quick_engine.py:2342 x8</t>
        </is>
      </c>
    </row>
    <row r="90" ht="11" customHeight="1">
      <c r="A90" s="10" t="inlineStr">
        <is>
          <t>PARTIAL_EXIT_FRAC</t>
        </is>
      </c>
      <c r="B90" s="11" t="inlineStr">
        <is>
          <t>0</t>
        </is>
      </c>
      <c r="E90">
        <f>IF(F90="",E89,IF(F90&gt;0,E89+F90,E89))</f>
        <v/>
      </c>
      <c r="F90">
        <f>IFERROR(VLOOKUP($A90,Results_30d_Deltas!$A$2:$H$5000,8,FALSE)-E89,"")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ez_manage.py:6038 top()</t>
        </is>
      </c>
      <c r="IK90" s="9" t="inlineStr">
        <is>
          <t>v12_quick_engine.py:4280 x2</t>
        </is>
      </c>
    </row>
    <row r="91" ht="11" customHeight="1">
      <c r="A91" s="10" t="inlineStr">
        <is>
          <t>PARTIAL_EXIT_FRAC</t>
        </is>
      </c>
      <c r="B91" s="11" t="inlineStr">
        <is>
          <t>0.5</t>
        </is>
      </c>
      <c r="E91">
        <f>IF(F91="",E90,IF(F91&gt;0,E90+F91,E90))</f>
        <v/>
      </c>
      <c r="F91">
        <f>IFERROR(VLOOKUP($A91,Results_30d_Deltas!$A$2:$H$5000,8,FALSE)-E90,"")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ez_manage.py:6038 top()</t>
        </is>
      </c>
      <c r="IK91" s="9" t="inlineStr">
        <is>
          <t>v12_quick_engine.py:4280 x2</t>
        </is>
      </c>
    </row>
    <row r="92" ht="11" customHeight="1">
      <c r="A92" s="10" t="inlineStr">
        <is>
          <t>PARTIAL_EXIT_FRAC</t>
        </is>
      </c>
      <c r="B92" s="11" t="inlineStr">
        <is>
          <t>1.0</t>
        </is>
      </c>
      <c r="E92">
        <f>IF(F92="",E91,IF(F92&gt;0,E91+F92,E91))</f>
        <v/>
      </c>
      <c r="F92">
        <f>IFERROR(VLOOKUP($A92,Results_30d_Deltas!$A$2:$H$5000,8,FALSE)-E91,"")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ez_manage.py:6038 top()</t>
        </is>
      </c>
      <c r="IK92" s="9" t="inlineStr">
        <is>
          <t>v12_quick_engine.py:4280 x2</t>
        </is>
      </c>
    </row>
    <row r="93" ht="11" customHeight="1">
      <c r="A93" s="10" t="inlineStr">
        <is>
          <t>PARTIAL_EXIT_FRAC</t>
        </is>
      </c>
      <c r="B93" s="11" t="inlineStr">
        <is>
          <t>2.0</t>
        </is>
      </c>
      <c r="E93">
        <f>IF(F93="",E92,IF(F93&gt;0,E92+F93,E92))</f>
        <v/>
      </c>
      <c r="F93">
        <f>IFERROR(VLOOKUP($A93,Results_30d_Deltas!$A$2:$H$5000,8,FALSE)-E92,"")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ez_manage.py:6038 top()</t>
        </is>
      </c>
      <c r="IK93" s="9" t="inlineStr">
        <is>
          <t>v12_quick_engine.py:4280 x2</t>
        </is>
      </c>
    </row>
    <row r="94" ht="11" customHeight="1">
      <c r="A94" s="10" t="inlineStr">
        <is>
          <t>QUICK_REENTRY_60MIN_MIN_PCT</t>
        </is>
      </c>
      <c r="B94" s="11" t="inlineStr">
        <is>
          <t>0</t>
        </is>
      </c>
      <c r="E94">
        <f>IF(F94="",E93,IF(F94&gt;0,E93+F94,E93))</f>
        <v/>
      </c>
      <c r="F94">
        <f>IFERROR(VLOOKUP($A94,Results_30d_Deltas!$A$2:$H$5000,8,FALSE)-E93,"")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ez_manage.py:6042 top()</t>
        </is>
      </c>
      <c r="IK94" s="9" t="inlineStr">
        <is>
          <t>v12_quick_engine.py:4283 x4</t>
        </is>
      </c>
    </row>
    <row r="95" ht="11" customHeight="1">
      <c r="A95" s="10" t="inlineStr">
        <is>
          <t>QUICK_REENTRY_60MIN_MIN_PCT</t>
        </is>
      </c>
      <c r="B95" s="11" t="inlineStr">
        <is>
          <t>0.5</t>
        </is>
      </c>
      <c r="E95">
        <f>IF(F95="",E94,IF(F95&gt;0,E94+F95,E94))</f>
        <v/>
      </c>
      <c r="F95">
        <f>IFERROR(VLOOKUP($A95,Results_30d_Deltas!$A$2:$H$5000,8,FALSE)-E94,"")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ez_manage.py:6042 top()</t>
        </is>
      </c>
      <c r="IK95" s="9" t="inlineStr">
        <is>
          <t>v12_quick_engine.py:4283 x4</t>
        </is>
      </c>
    </row>
    <row r="96" ht="11" customHeight="1">
      <c r="A96" s="10" t="inlineStr">
        <is>
          <t>QUICK_REENTRY_60MIN_MIN_PCT</t>
        </is>
      </c>
      <c r="B96" s="11" t="inlineStr">
        <is>
          <t>1.0</t>
        </is>
      </c>
      <c r="E96">
        <f>IF(F96="",E95,IF(F96&gt;0,E95+F96,E95))</f>
        <v/>
      </c>
      <c r="F96">
        <f>IFERROR(VLOOKUP($A96,Results_30d_Deltas!$A$2:$H$5000,8,FALSE)-E95,"")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ez_manage.py:6042 top()</t>
        </is>
      </c>
      <c r="IK96" s="9" t="inlineStr">
        <is>
          <t>v12_quick_engine.py:4283 x4</t>
        </is>
      </c>
    </row>
    <row r="97" ht="11" customHeight="1">
      <c r="A97" s="10" t="inlineStr">
        <is>
          <t>QUICK_REENTRY_60MIN_MIN_PCT</t>
        </is>
      </c>
      <c r="B97" s="11" t="inlineStr">
        <is>
          <t>2.0</t>
        </is>
      </c>
      <c r="E97">
        <f>IF(F97="",E96,IF(F97&gt;0,E96+F97,E96))</f>
        <v/>
      </c>
      <c r="F97">
        <f>IFERROR(VLOOKUP($A97,Results_30d_Deltas!$A$2:$H$5000,8,FALSE)-E96,"")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ez_manage.py:6042 top()</t>
        </is>
      </c>
      <c r="IK97" s="9" t="inlineStr">
        <is>
          <t>v12_quick_engine.py:4283 x4</t>
        </is>
      </c>
    </row>
    <row r="98" ht="11" customHeight="1">
      <c r="A98" s="6" t="inlineStr">
        <is>
          <t>REENTRY2_STOCH_CROSS_ENABLED</t>
        </is>
      </c>
      <c r="B98" s="7" t="inlineStr">
        <is>
          <t>False</t>
        </is>
      </c>
      <c r="E98">
        <f>IF(F98="",E97,IF(F98&gt;0,E97+F98,E97))</f>
        <v/>
      </c>
      <c r="F98">
        <f>IFERROR(VLOOKUP($A98,Results_30d_Deltas!$A$2:$H$5000,8,FALSE)-E97,"")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ez_manage.py:5285 top()</t>
        </is>
      </c>
      <c r="IK98" s="9" t="inlineStr">
        <is>
          <t>v12_quick_engine.py:2842 x10</t>
        </is>
      </c>
    </row>
    <row r="99" ht="11" customHeight="1">
      <c r="A99" s="10" t="inlineStr">
        <is>
          <t>REENTRY2_STOCH_CROSS_ENABLED</t>
        </is>
      </c>
      <c r="B99" s="11" t="inlineStr">
        <is>
          <t>True</t>
        </is>
      </c>
      <c r="E99">
        <f>IF(F99="",E98,IF(F99&gt;0,E98+F99,E98))</f>
        <v/>
      </c>
      <c r="F99">
        <f>IFERROR(VLOOKUP($A99,Results_30d_Deltas!$A$2:$H$5000,8,FALSE)-E98,"")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ez_manage.py:5285 top()</t>
        </is>
      </c>
      <c r="IK99" s="9" t="inlineStr">
        <is>
          <t>v12_quick_engine.py:2842 x10</t>
        </is>
      </c>
    </row>
    <row r="100" ht="11" customHeight="1">
      <c r="A100" s="10" t="inlineStr">
        <is>
          <t>REENTRY_K15M_PARTIAL_MULT</t>
        </is>
      </c>
      <c r="B100" s="11" t="inlineStr">
        <is>
          <t>0.125</t>
        </is>
      </c>
      <c r="E100">
        <f>IF(F100="",E99,IF(F100&gt;0,E99+F100,E99))</f>
        <v/>
      </c>
      <c r="F100">
        <f>IFERROR(VLOOKUP($A100,Results_30d_Deltas!$A$2:$H$5000,8,FALSE)-E99,"")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ez_manage.py:3860 top()</t>
        </is>
      </c>
      <c r="IK100" s="9" t="inlineStr">
        <is>
          <t>v12_quick_engine.py:2884 x8</t>
        </is>
      </c>
    </row>
    <row r="101" ht="11" customHeight="1">
      <c r="A101" s="10" t="inlineStr">
        <is>
          <t>REENTRY_K15M_PARTIAL_MULT</t>
        </is>
      </c>
      <c r="B101" s="11" t="inlineStr">
        <is>
          <t>0.1875</t>
        </is>
      </c>
      <c r="E101">
        <f>IF(F101="",E100,IF(F101&gt;0,E100+F101,E100))</f>
        <v/>
      </c>
      <c r="F101">
        <f>IFERROR(VLOOKUP($A101,Results_30d_Deltas!$A$2:$H$5000,8,FALSE)-E100,"")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ez_manage.py:3860 top()</t>
        </is>
      </c>
      <c r="IK101" s="9" t="inlineStr">
        <is>
          <t>v12_quick_engine.py:2884 x8</t>
        </is>
      </c>
    </row>
    <row r="102" ht="11" customHeight="1">
      <c r="A102" s="6" t="inlineStr">
        <is>
          <t>REENTRY_K15M_PARTIAL_MULT</t>
        </is>
      </c>
      <c r="B102" s="7" t="inlineStr">
        <is>
          <t>0.25</t>
        </is>
      </c>
      <c r="E102">
        <f>IF(F102="",E101,IF(F102&gt;0,E101+F102,E101))</f>
        <v/>
      </c>
      <c r="F102">
        <f>IFERROR(VLOOKUP($A102,Results_30d_Deltas!$A$2:$H$5000,8,FALSE)-E101,"")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ez_manage.py:3860 top()</t>
        </is>
      </c>
      <c r="IK102" s="9" t="inlineStr">
        <is>
          <t>v12_quick_engine.py:2884 x8</t>
        </is>
      </c>
    </row>
    <row r="103" ht="11" customHeight="1">
      <c r="A103" s="10" t="inlineStr">
        <is>
          <t>REENTRY_K15M_PARTIAL_MULT</t>
        </is>
      </c>
      <c r="B103" s="11" t="inlineStr">
        <is>
          <t>0.3125</t>
        </is>
      </c>
      <c r="E103">
        <f>IF(F103="",E102,IF(F103&gt;0,E102+F103,E102))</f>
        <v/>
      </c>
      <c r="F103">
        <f>IFERROR(VLOOKUP($A103,Results_30d_Deltas!$A$2:$H$5000,8,FALSE)-E102,"")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ez_manage.py:3860 top()</t>
        </is>
      </c>
      <c r="IK103" s="9" t="inlineStr">
        <is>
          <t>v12_quick_engine.py:2884 x8</t>
        </is>
      </c>
    </row>
    <row r="104" ht="11" customHeight="1">
      <c r="A104" s="10" t="inlineStr">
        <is>
          <t>REENTRY_K15M_PARTIAL_MULT</t>
        </is>
      </c>
      <c r="B104" s="11" t="inlineStr">
        <is>
          <t>0.375</t>
        </is>
      </c>
      <c r="E104">
        <f>IF(F104="",E103,IF(F104&gt;0,E103+F104,E103))</f>
        <v/>
      </c>
      <c r="F104">
        <f>IFERROR(VLOOKUP($A104,Results_30d_Deltas!$A$2:$H$5000,8,FALSE)-E103,"")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ez_manage.py:3860 top()</t>
        </is>
      </c>
      <c r="IK104" s="9" t="inlineStr">
        <is>
          <t>v12_quick_engine.py:2884 x8</t>
        </is>
      </c>
    </row>
    <row r="105" ht="11" customHeight="1">
      <c r="A105" s="10" t="inlineStr">
        <is>
          <t>REENTRY_RALLY_K15M_MAX</t>
        </is>
      </c>
      <c r="B105" s="11" t="inlineStr">
        <is>
          <t>50.0</t>
        </is>
      </c>
      <c r="E105">
        <f>IF(F105="",E104,IF(F105&gt;0,E104+F105,E104))</f>
        <v/>
      </c>
      <c r="F105">
        <f>IFERROR(VLOOKUP($A105,Results_30d_Deltas!$A$2:$H$5000,8,FALSE)-E104,"")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ez_manage.py:3869 top()</t>
        </is>
      </c>
      <c r="IK105" s="9" t="inlineStr">
        <is>
          <t>v12_quick_engine.py:2902 x8</t>
        </is>
      </c>
    </row>
    <row r="106" ht="11" customHeight="1">
      <c r="A106" s="10" t="inlineStr">
        <is>
          <t>REENTRY_RALLY_K15M_MAX</t>
        </is>
      </c>
      <c r="B106" s="11" t="inlineStr">
        <is>
          <t>75.0</t>
        </is>
      </c>
      <c r="E106">
        <f>IF(F106="",E105,IF(F106&gt;0,E105+F106,E105))</f>
        <v/>
      </c>
      <c r="F106">
        <f>IFERROR(VLOOKUP($A106,Results_30d_Deltas!$A$2:$H$5000,8,FALSE)-E105,"")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ez_manage.py:3869 top()</t>
        </is>
      </c>
      <c r="IK106" s="9" t="inlineStr">
        <is>
          <t>v12_quick_engine.py:2902 x8</t>
        </is>
      </c>
    </row>
    <row r="107" ht="11" customHeight="1">
      <c r="A107" s="6" t="inlineStr">
        <is>
          <t>REENTRY_RALLY_K15M_MAX</t>
        </is>
      </c>
      <c r="B107" s="7" t="inlineStr">
        <is>
          <t>100.0</t>
        </is>
      </c>
      <c r="E107">
        <f>IF(F107="",E106,IF(F107&gt;0,E106+F107,E106))</f>
        <v/>
      </c>
      <c r="F107">
        <f>IFERROR(VLOOKUP($A107,Results_30d_Deltas!$A$2:$H$5000,8,FALSE)-E106,"")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ez_manage.py:3869 top()</t>
        </is>
      </c>
      <c r="IK107" s="9" t="inlineStr">
        <is>
          <t>v12_quick_engine.py:2902 x8</t>
        </is>
      </c>
    </row>
    <row r="108" ht="11" customHeight="1">
      <c r="A108" s="10" t="inlineStr">
        <is>
          <t>REENTRY_RALLY_K15M_MAX</t>
        </is>
      </c>
      <c r="B108" s="11" t="inlineStr">
        <is>
          <t>125.0</t>
        </is>
      </c>
      <c r="E108">
        <f>IF(F108="",E107,IF(F108&gt;0,E107+F108,E107))</f>
        <v/>
      </c>
      <c r="F108">
        <f>IFERROR(VLOOKUP($A108,Results_30d_Deltas!$A$2:$H$5000,8,FALSE)-E107,"")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ez_manage.py:3869 top()</t>
        </is>
      </c>
      <c r="IK108" s="9" t="inlineStr">
        <is>
          <t>v12_quick_engine.py:2902 x8</t>
        </is>
      </c>
    </row>
    <row r="109" ht="11" customHeight="1">
      <c r="A109" s="10" t="inlineStr">
        <is>
          <t>REENTRY_RALLY_K15M_MAX</t>
        </is>
      </c>
      <c r="B109" s="11" t="inlineStr">
        <is>
          <t>150.0</t>
        </is>
      </c>
      <c r="E109">
        <f>IF(F109="",E108,IF(F109&gt;0,E108+F109,E108))</f>
        <v/>
      </c>
      <c r="F109">
        <f>IFERROR(VLOOKUP($A109,Results_30d_Deltas!$A$2:$H$5000,8,FALSE)-E108,"")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ez_manage.py:3869 top()</t>
        </is>
      </c>
      <c r="IK109" s="9" t="inlineStr">
        <is>
          <t>v12_quick_engine.py:2902 x8</t>
        </is>
      </c>
    </row>
    <row r="110" ht="11" customHeight="1">
      <c r="A110" s="10" t="inlineStr">
        <is>
          <t>REGIME_TRENDING_EXIT_GAIN_MIN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IFERROR(VLOOKUP($A110,Results_30d_Deltas!$A$2:$H$5000,8,FALSE)-E109,"")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ez_manage.py:5359 top()</t>
        </is>
      </c>
      <c r="IK110" s="9" t="inlineStr">
        <is>
          <t>v12_quick_engine.py:2951 x5</t>
        </is>
      </c>
    </row>
    <row r="111" ht="11" customHeight="1">
      <c r="A111" s="10" t="inlineStr">
        <is>
          <t>REGIME_TRENDING_EXIT_GAIN_MIN</t>
        </is>
      </c>
      <c r="B111" s="11" t="inlineStr">
        <is>
          <t>1.5</t>
        </is>
      </c>
      <c r="E111">
        <f>IF(F111="",E110,IF(F111&gt;0,E110+F111,E110))</f>
        <v/>
      </c>
      <c r="F111">
        <f>IFERROR(VLOOKUP($A111,Results_30d_Deltas!$A$2:$H$5000,8,FALSE)-E110,"")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ez_manage.py:5359 top()</t>
        </is>
      </c>
      <c r="IK111" s="9" t="inlineStr">
        <is>
          <t>v12_quick_engine.py:2951 x5</t>
        </is>
      </c>
    </row>
    <row r="112" ht="11" customHeight="1">
      <c r="A112" s="6" t="inlineStr">
        <is>
          <t>REGIME_TRENDING_EXIT_GAIN_MIN</t>
        </is>
      </c>
      <c r="B112" s="7" t="inlineStr">
        <is>
          <t>2.0</t>
        </is>
      </c>
      <c r="E112">
        <f>IF(F112="",E111,IF(F112&gt;0,E111+F112,E111))</f>
        <v/>
      </c>
      <c r="F112">
        <f>IFERROR(VLOOKUP($A112,Results_30d_Deltas!$A$2:$H$5000,8,FALSE)-E111,"")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ez_manage.py:5359 top()</t>
        </is>
      </c>
      <c r="IK112" s="9" t="inlineStr">
        <is>
          <t>v12_quick_engine.py:2951 x5</t>
        </is>
      </c>
    </row>
    <row r="113" ht="11" customHeight="1">
      <c r="A113" s="10" t="inlineStr">
        <is>
          <t>REGIME_TRENDING_EXIT_GAIN_MIN</t>
        </is>
      </c>
      <c r="B113" s="11" t="inlineStr">
        <is>
          <t>2.5</t>
        </is>
      </c>
      <c r="E113">
        <f>IF(F113="",E112,IF(F113&gt;0,E112+F113,E112))</f>
        <v/>
      </c>
      <c r="F113">
        <f>IFERROR(VLOOKUP($A113,Results_30d_Deltas!$A$2:$H$5000,8,FALSE)-E112,"")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ez_manage.py:5359 top()</t>
        </is>
      </c>
      <c r="IK113" s="9" t="inlineStr">
        <is>
          <t>v12_quick_engine.py:2951 x5</t>
        </is>
      </c>
    </row>
    <row r="114" ht="11" customHeight="1">
      <c r="A114" s="10" t="inlineStr">
        <is>
          <t>REGIME_TRENDING_EXIT_GAIN_MIN</t>
        </is>
      </c>
      <c r="B114" s="11" t="inlineStr">
        <is>
          <t>3.0</t>
        </is>
      </c>
      <c r="E114">
        <f>IF(F114="",E113,IF(F114&gt;0,E113+F114,E113))</f>
        <v/>
      </c>
      <c r="F114">
        <f>IFERROR(VLOOKUP($A114,Results_30d_Deltas!$A$2:$H$5000,8,FALSE)-E113,"")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ez_manage.py:5359 top()</t>
        </is>
      </c>
      <c r="IK114" s="9" t="inlineStr">
        <is>
          <t>v12_quick_engine.py:2951 x5</t>
        </is>
      </c>
    </row>
    <row r="115" ht="11" customHeight="1">
      <c r="A115" s="6" t="inlineStr">
        <is>
          <t>REVERSE_ON_EXIT_ENABLED</t>
        </is>
      </c>
      <c r="B115" s="7" t="inlineStr">
        <is>
          <t>False</t>
        </is>
      </c>
      <c r="E115">
        <f>IF(F115="",E114,IF(F115&gt;0,E114+F115,E114))</f>
        <v/>
      </c>
      <c r="F115">
        <f>IFERROR(VLOOKUP($A115,Results_30d_Deltas!$A$2:$H$5000,8,FALSE)-E114,"")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ez_manage.py:1219 top()</t>
        </is>
      </c>
      <c r="IK115" s="9" t="inlineStr">
        <is>
          <t>v12_quick_engine.py:1420 x3</t>
        </is>
      </c>
    </row>
    <row r="116" ht="11" customHeight="1">
      <c r="A116" s="10" t="inlineStr">
        <is>
          <t>REVERSE_ON_EXIT_ENABLED</t>
        </is>
      </c>
      <c r="B116" s="11" t="inlineStr">
        <is>
          <t>True</t>
        </is>
      </c>
      <c r="E116">
        <f>IF(F116="",E115,IF(F116&gt;0,E115+F116,E115))</f>
        <v/>
      </c>
      <c r="F116">
        <f>IFERROR(VLOOKUP($A116,Results_30d_Deltas!$A$2:$H$5000,8,FALSE)-E115,"")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ez_manage.py:1219 top()</t>
        </is>
      </c>
      <c r="IK116" s="9" t="inlineStr">
        <is>
          <t>v12_quick_engine.py:1420 x3</t>
        </is>
      </c>
    </row>
    <row r="117" ht="11" customHeight="1">
      <c r="A117" s="10" t="inlineStr">
        <is>
          <t>RZ_BOT_BB_THRESHOLD</t>
        </is>
      </c>
      <c r="B117" s="11" t="inlineStr">
        <is>
          <t>0.075</t>
        </is>
      </c>
      <c r="E117">
        <f>IF(F117="",E116,IF(F117&gt;0,E116+F117,E116))</f>
        <v/>
      </c>
      <c r="F117">
        <f>IFERROR(VLOOKUP($A117,Results_30d_Deltas!$A$2:$H$5000,8,FALSE)-E116,"")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ez_manage.py:3928 top()</t>
        </is>
      </c>
      <c r="IK117" s="9" t="inlineStr">
        <is>
          <t>v12_quick_engine.py:3020 x6</t>
        </is>
      </c>
    </row>
    <row r="118" ht="11" customHeight="1">
      <c r="A118" s="10" t="inlineStr">
        <is>
          <t>RZ_BOT_BB_THRESHOLD</t>
        </is>
      </c>
      <c r="B118" s="11" t="inlineStr">
        <is>
          <t>0.1125</t>
        </is>
      </c>
      <c r="E118">
        <f>IF(F118="",E117,IF(F118&gt;0,E117+F118,E117))</f>
        <v/>
      </c>
      <c r="F118">
        <f>IFERROR(VLOOKUP($A118,Results_30d_Deltas!$A$2:$H$5000,8,FALSE)-E117,"")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ez_manage.py:3928 top()</t>
        </is>
      </c>
      <c r="IK118" s="9" t="inlineStr">
        <is>
          <t>v12_quick_engine.py:3020 x6</t>
        </is>
      </c>
    </row>
    <row r="119" ht="11" customHeight="1">
      <c r="A119" s="6" t="inlineStr">
        <is>
          <t>RZ_BOT_BB_THRESHOLD</t>
        </is>
      </c>
      <c r="B119" s="7" t="inlineStr">
        <is>
          <t>0.15</t>
        </is>
      </c>
      <c r="E119">
        <f>IF(F119="",E118,IF(F119&gt;0,E118+F119,E118))</f>
        <v/>
      </c>
      <c r="F119">
        <f>IFERROR(VLOOKUP($A119,Results_30d_Deltas!$A$2:$H$5000,8,FALSE)-E118,"")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ez_manage.py:3928 top()</t>
        </is>
      </c>
      <c r="IK119" s="9" t="inlineStr">
        <is>
          <t>v12_quick_engine.py:3020 x6</t>
        </is>
      </c>
    </row>
    <row r="120" ht="11" customHeight="1">
      <c r="A120" s="10" t="inlineStr">
        <is>
          <t>RZ_BOT_BB_THRESHOLD</t>
        </is>
      </c>
      <c r="B120" s="11" t="inlineStr">
        <is>
          <t>0.1875</t>
        </is>
      </c>
      <c r="E120">
        <f>IF(F120="",E119,IF(F120&gt;0,E119+F120,E119))</f>
        <v/>
      </c>
      <c r="F120">
        <f>IFERROR(VLOOKUP($A120,Results_30d_Deltas!$A$2:$H$5000,8,FALSE)-E119,"")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ez_manage.py:3928 top()</t>
        </is>
      </c>
      <c r="IK120" s="9" t="inlineStr">
        <is>
          <t>v12_quick_engine.py:3020 x6</t>
        </is>
      </c>
    </row>
    <row r="121" ht="11" customHeight="1">
      <c r="A121" s="10" t="inlineStr">
        <is>
          <t>RZ_BOT_BB_THRESHOLD</t>
        </is>
      </c>
      <c r="B121" s="11" t="inlineStr">
        <is>
          <t>0.225</t>
        </is>
      </c>
      <c r="E121">
        <f>IF(F121="",E120,IF(F121&gt;0,E120+F121,E120))</f>
        <v/>
      </c>
      <c r="F121">
        <f>IFERROR(VLOOKUP($A121,Results_30d_Deltas!$A$2:$H$5000,8,FALSE)-E120,"")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ez_manage.py:3928 top()</t>
        </is>
      </c>
      <c r="IK121" s="9" t="inlineStr">
        <is>
          <t>v12_quick_engine.py:3020 x6</t>
        </is>
      </c>
    </row>
    <row r="122" ht="11" customHeight="1">
      <c r="A122" s="10" t="inlineStr">
        <is>
          <t>RZ_BREAKOUT_BAND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IFERROR(VLOOKUP($A122,Results_30d_Deltas!$A$2:$H$5000,8,FALSE)-E121,"")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ez_manage.py:5397 top()</t>
        </is>
      </c>
      <c r="IK122" s="9" t="inlineStr">
        <is>
          <t>v12_quick_engine.py:4036 x3</t>
        </is>
      </c>
    </row>
    <row r="123" ht="11" customHeight="1">
      <c r="A123" s="10" t="inlineStr">
        <is>
          <t>RZ_BREAKOUT_BAND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IFERROR(VLOOKUP($A123,Results_30d_Deltas!$A$2:$H$5000,8,FALSE)-E122,"")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ez_manage.py:5397 top()</t>
        </is>
      </c>
      <c r="IK123" s="9" t="inlineStr">
        <is>
          <t>v12_quick_engine.py:4036 x3</t>
        </is>
      </c>
    </row>
    <row r="124" ht="11" customHeight="1">
      <c r="A124" s="10" t="inlineStr">
        <is>
          <t>RZ_BREAKOUT_BAND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IFERROR(VLOOKUP($A124,Results_30d_Deltas!$A$2:$H$5000,8,FALSE)-E123,"")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ez_manage.py:5397 top()</t>
        </is>
      </c>
      <c r="IK124" s="9" t="inlineStr">
        <is>
          <t>v12_quick_engine.py:4036 x3</t>
        </is>
      </c>
    </row>
    <row r="125" ht="11" customHeight="1">
      <c r="A125" s="10" t="inlineStr">
        <is>
          <t>RZ_BREAKOUT_BAND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IFERROR(VLOOKUP($A125,Results_30d_Deltas!$A$2:$H$5000,8,FALSE)-E124,"")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ez_manage.py:5397 top()</t>
        </is>
      </c>
      <c r="IK125" s="9" t="inlineStr">
        <is>
          <t>v12_quick_engine.py:4036 x3</t>
        </is>
      </c>
    </row>
    <row r="126" ht="11" customHeight="1">
      <c r="A126" s="10" t="inlineStr">
        <is>
          <t>SCALP_V3_K_OB_EXIT_K15M_HI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IFERROR(VLOOKUP($A126,Results_30d_Deltas!$A$2:$H$5000,8,FALSE)-E125,"")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ez_manage.py:5551 top()</t>
        </is>
      </c>
      <c r="IK126" s="9" t="inlineStr">
        <is>
          <t>v12_quick_engine.py:3179 x4</t>
        </is>
      </c>
    </row>
    <row r="127" ht="11" customHeight="1">
      <c r="A127" s="10" t="inlineStr">
        <is>
          <t>SCALP_V3_K_OB_EXIT_K15M_HI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IFERROR(VLOOKUP($A127,Results_30d_Deltas!$A$2:$H$5000,8,FALSE)-E126,"")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ez_manage.py:5551 top()</t>
        </is>
      </c>
      <c r="IK127" s="9" t="inlineStr">
        <is>
          <t>v12_quick_engine.py:3179 x4</t>
        </is>
      </c>
    </row>
    <row r="128" ht="11" customHeight="1">
      <c r="A128" s="10" t="inlineStr">
        <is>
          <t>SCALP_V3_K_OB_EXIT_K15M_HI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IFERROR(VLOOKUP($A128,Results_30d_Deltas!$A$2:$H$5000,8,FALSE)-E127,"")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ez_manage.py:5551 top()</t>
        </is>
      </c>
      <c r="IK128" s="9" t="inlineStr">
        <is>
          <t>v12_quick_engine.py:3179 x4</t>
        </is>
      </c>
    </row>
    <row r="129" ht="11" customHeight="1">
      <c r="A129" s="10" t="inlineStr">
        <is>
          <t>SCALP_V3_K_OB_EXIT_K15M_HI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IFERROR(VLOOKUP($A129,Results_30d_Deltas!$A$2:$H$5000,8,FALSE)-E128,"")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ez_manage.py:5551 top()</t>
        </is>
      </c>
      <c r="IK129" s="9" t="inlineStr">
        <is>
          <t>v12_quick_engine.py:3179 x4</t>
        </is>
      </c>
    </row>
    <row r="130" ht="11" customHeight="1">
      <c r="A130" s="10" t="inlineStr">
        <is>
          <t>SCALP_V3_K_OB_EXIT_K15M_LO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IFERROR(VLOOKUP($A130,Results_30d_Deltas!$A$2:$H$5000,8,FALSE)-E129,"")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ez_manage.py:5552 top()</t>
        </is>
      </c>
      <c r="IK130" s="9" t="inlineStr">
        <is>
          <t>v12_quick_engine.py:3180 x4</t>
        </is>
      </c>
    </row>
    <row r="131" ht="11" customHeight="1">
      <c r="A131" s="10" t="inlineStr">
        <is>
          <t>SCALP_V3_K_OB_EXIT_K15M_LO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IFERROR(VLOOKUP($A131,Results_30d_Deltas!$A$2:$H$5000,8,FALSE)-E130,"")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ez_manage.py:5552 top()</t>
        </is>
      </c>
      <c r="IK131" s="9" t="inlineStr">
        <is>
          <t>v12_quick_engine.py:3180 x4</t>
        </is>
      </c>
    </row>
    <row r="132" ht="11" customHeight="1">
      <c r="A132" s="10" t="inlineStr">
        <is>
          <t>SCALP_V3_K_OB_EXIT_K15M_LO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IFERROR(VLOOKUP($A132,Results_30d_Deltas!$A$2:$H$5000,8,FALSE)-E131,"")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ez_manage.py:5552 top()</t>
        </is>
      </c>
      <c r="IK132" s="9" t="inlineStr">
        <is>
          <t>v12_quick_engine.py:3180 x4</t>
        </is>
      </c>
    </row>
    <row r="133" ht="11" customHeight="1">
      <c r="A133" s="10" t="inlineStr">
        <is>
          <t>SCALP_V3_K_OB_EXIT_K15M_LO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IFERROR(VLOOKUP($A133,Results_30d_Deltas!$A$2:$H$5000,8,FALSE)-E132,"")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ez_manage.py:5552 top()</t>
        </is>
      </c>
      <c r="IK133" s="9" t="inlineStr">
        <is>
          <t>v12_quick_engine.py:3180 x4</t>
        </is>
      </c>
    </row>
    <row r="134" ht="11" customHeight="1">
      <c r="A134" s="10" t="inlineStr">
        <is>
          <t>SCALP_V3_K_OB_EXIT_K3M_HI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IFERROR(VLOOKUP($A134,Results_30d_Deltas!$A$2:$H$5000,8,FALSE)-E133,"")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ez_manage.py:5553 top()</t>
        </is>
      </c>
      <c r="IK134" s="9" t="inlineStr">
        <is>
          <t>v12_quick_engine.py:3181 x4</t>
        </is>
      </c>
    </row>
    <row r="135" ht="11" customHeight="1">
      <c r="A135" s="10" t="inlineStr">
        <is>
          <t>SCALP_V3_K_OB_EXIT_K3M_HI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IFERROR(VLOOKUP($A135,Results_30d_Deltas!$A$2:$H$5000,8,FALSE)-E134,"")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ez_manage.py:5553 top()</t>
        </is>
      </c>
      <c r="IK135" s="9" t="inlineStr">
        <is>
          <t>v12_quick_engine.py:3181 x4</t>
        </is>
      </c>
    </row>
    <row r="136" ht="11" customHeight="1">
      <c r="A136" s="10" t="inlineStr">
        <is>
          <t>SCALP_V3_K_OB_EXIT_K3M_HI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IFERROR(VLOOKUP($A136,Results_30d_Deltas!$A$2:$H$5000,8,FALSE)-E135,"")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ez_manage.py:5553 top()</t>
        </is>
      </c>
      <c r="IK136" s="9" t="inlineStr">
        <is>
          <t>v12_quick_engine.py:3181 x4</t>
        </is>
      </c>
    </row>
    <row r="137" ht="11" customHeight="1">
      <c r="A137" s="10" t="inlineStr">
        <is>
          <t>SCALP_V3_K_OB_EXIT_K3M_HI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IFERROR(VLOOKUP($A137,Results_30d_Deltas!$A$2:$H$5000,8,FALSE)-E136,"")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ez_manage.py:5553 top()</t>
        </is>
      </c>
      <c r="IK137" s="9" t="inlineStr">
        <is>
          <t>v12_quick_engine.py:3181 x4</t>
        </is>
      </c>
    </row>
    <row r="138" ht="11" customHeight="1">
      <c r="A138" s="10" t="inlineStr">
        <is>
          <t>SCALP_V3_K_OB_EXIT_K3M_LO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IFERROR(VLOOKUP($A138,Results_30d_Deltas!$A$2:$H$5000,8,FALSE)-E137,"")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ez_manage.py:5554 top()</t>
        </is>
      </c>
      <c r="IK138" s="9" t="inlineStr">
        <is>
          <t>v12_quick_engine.py:3182 x4</t>
        </is>
      </c>
    </row>
    <row r="139" ht="11" customHeight="1">
      <c r="A139" s="10" t="inlineStr">
        <is>
          <t>SCALP_V3_K_OB_EXIT_K3M_LO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IFERROR(VLOOKUP($A139,Results_30d_Deltas!$A$2:$H$5000,8,FALSE)-E138,"")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ez_manage.py:5554 top()</t>
        </is>
      </c>
      <c r="IK139" s="9" t="inlineStr">
        <is>
          <t>v12_quick_engine.py:3182 x4</t>
        </is>
      </c>
    </row>
    <row r="140" ht="11" customHeight="1">
      <c r="A140" s="10" t="inlineStr">
        <is>
          <t>SCALP_V3_K_OB_EXIT_K3M_LO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IFERROR(VLOOKUP($A140,Results_30d_Deltas!$A$2:$H$5000,8,FALSE)-E139,"")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ez_manage.py:5554 top()</t>
        </is>
      </c>
      <c r="IK140" s="9" t="inlineStr">
        <is>
          <t>v12_quick_engine.py:3182 x4</t>
        </is>
      </c>
    </row>
    <row r="141" ht="11" customHeight="1">
      <c r="A141" s="10" t="inlineStr">
        <is>
          <t>SCALP_V3_K_OB_EXIT_K3M_LO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IFERROR(VLOOKUP($A141,Results_30d_Deltas!$A$2:$H$5000,8,FALSE)-E140,"")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ez_manage.py:5554 top()</t>
        </is>
      </c>
      <c r="IK141" s="9" t="inlineStr">
        <is>
          <t>v12_quick_engine.py:3182 x4</t>
        </is>
      </c>
    </row>
    <row r="142" ht="11" customHeight="1">
      <c r="A142" s="10" t="inlineStr">
        <is>
          <t>SCALP_V3_K_OB_EXIT_WALL_PCT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IFERROR(VLOOKUP($A142,Results_30d_Deltas!$A$2:$H$5000,8,FALSE)-E141,"")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ez_manage.py:5555 top()</t>
        </is>
      </c>
      <c r="IK142" s="9" t="inlineStr">
        <is>
          <t>v12_quick_engine.py:3183 x4</t>
        </is>
      </c>
    </row>
    <row r="143" ht="11" customHeight="1">
      <c r="A143" s="10" t="inlineStr">
        <is>
          <t>SCALP_V3_K_OB_EXIT_WALL_PCT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IFERROR(VLOOKUP($A143,Results_30d_Deltas!$A$2:$H$5000,8,FALSE)-E142,"")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ez_manage.py:5555 top()</t>
        </is>
      </c>
      <c r="IK143" s="9" t="inlineStr">
        <is>
          <t>v12_quick_engine.py:3183 x4</t>
        </is>
      </c>
    </row>
    <row r="144" ht="11" customHeight="1">
      <c r="A144" s="10" t="inlineStr">
        <is>
          <t>SCALP_V3_K_OB_EXIT_WALL_PCT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IFERROR(VLOOKUP($A144,Results_30d_Deltas!$A$2:$H$5000,8,FALSE)-E143,"")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ez_manage.py:5555 top()</t>
        </is>
      </c>
      <c r="IK144" s="9" t="inlineStr">
        <is>
          <t>v12_quick_engine.py:3183 x4</t>
        </is>
      </c>
    </row>
    <row r="145" ht="11" customHeight="1">
      <c r="A145" s="10" t="inlineStr">
        <is>
          <t>SCALP_V3_K_OB_EXIT_WALL_PCT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IFERROR(VLOOKUP($A145,Results_30d_Deltas!$A$2:$H$5000,8,FALSE)-E144,"")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ez_manage.py:5555 top()</t>
        </is>
      </c>
      <c r="IK145" s="9" t="inlineStr">
        <is>
          <t>v12_quick_engine.py:3183 x4</t>
        </is>
      </c>
    </row>
    <row r="146" ht="11" customHeight="1">
      <c r="A146" s="10" t="inlineStr">
        <is>
          <t>SCALP_V3_OB_WALL_TOO_CLOSE_PCT</t>
        </is>
      </c>
      <c r="B146" s="11" t="inlineStr">
        <is>
          <t>0</t>
        </is>
      </c>
      <c r="E146">
        <f>IF(F146="",E145,IF(F146&gt;0,E145+F146,E145))</f>
        <v/>
      </c>
      <c r="F146">
        <f>IFERROR(VLOOKUP($A146,Results_30d_Deltas!$A$2:$H$5000,8,FALSE)-E145,"")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8" t="n"/>
      <c r="FS146" s="8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8" t="n"/>
      <c r="HI146" s="8" t="n"/>
      <c r="HJ146" s="8" t="n"/>
      <c r="HK146" s="8" t="n"/>
      <c r="HL146" s="8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ez_manage.py:5575 top()</t>
        </is>
      </c>
      <c r="IK146" s="9" t="inlineStr">
        <is>
          <t>v12_quick_engine.py:3189 x4</t>
        </is>
      </c>
    </row>
    <row r="147" ht="11" customHeight="1">
      <c r="A147" s="10" t="inlineStr">
        <is>
          <t>SCALP_V3_OB_WALL_TOO_CLOSE_PCT</t>
        </is>
      </c>
      <c r="B147" s="11" t="inlineStr">
        <is>
          <t>0.5</t>
        </is>
      </c>
      <c r="E147">
        <f>IF(F147="",E146,IF(F147&gt;0,E146+F147,E146))</f>
        <v/>
      </c>
      <c r="F147">
        <f>IFERROR(VLOOKUP($A147,Results_30d_Deltas!$A$2:$H$5000,8,FALSE)-E146,"")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8" t="n"/>
      <c r="FS147" s="8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8" t="n"/>
      <c r="HI147" s="8" t="n"/>
      <c r="HJ147" s="8" t="n"/>
      <c r="HK147" s="8" t="n"/>
      <c r="HL147" s="8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ez_manage.py:5575 top()</t>
        </is>
      </c>
      <c r="IK147" s="9" t="inlineStr">
        <is>
          <t>v12_quick_engine.py:3189 x4</t>
        </is>
      </c>
    </row>
    <row r="148" ht="11" customHeight="1">
      <c r="A148" s="10" t="inlineStr">
        <is>
          <t>SCALP_V3_OB_WALL_TOO_CLOSE_PCT</t>
        </is>
      </c>
      <c r="B148" s="11" t="inlineStr">
        <is>
          <t>1.0</t>
        </is>
      </c>
      <c r="E148">
        <f>IF(F148="",E147,IF(F148&gt;0,E147+F148,E147))</f>
        <v/>
      </c>
      <c r="F148">
        <f>IFERROR(VLOOKUP($A148,Results_30d_Deltas!$A$2:$H$5000,8,FALSE)-E147,"")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8" t="n"/>
      <c r="FS148" s="8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ez_manage.py:5575 top()</t>
        </is>
      </c>
      <c r="IK148" s="9" t="inlineStr">
        <is>
          <t>v12_quick_engine.py:3189 x4</t>
        </is>
      </c>
    </row>
    <row r="149" ht="11" customHeight="1">
      <c r="A149" s="10" t="inlineStr">
        <is>
          <t>SCALP_V3_OB_WALL_TOO_CLOSE_PCT</t>
        </is>
      </c>
      <c r="B149" s="11" t="inlineStr">
        <is>
          <t>2.0</t>
        </is>
      </c>
      <c r="E149">
        <f>IF(F149="",E148,IF(F149&gt;0,E148+F149,E148))</f>
        <v/>
      </c>
      <c r="F149">
        <f>IFERROR(VLOOKUP($A149,Results_30d_Deltas!$A$2:$H$5000,8,FALSE)-E148,"")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8" t="n"/>
      <c r="FS149" s="8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ez_manage.py:5575 top()</t>
        </is>
      </c>
      <c r="IK149" s="9" t="inlineStr">
        <is>
          <t>v12_quick_engine.py:3189 x4</t>
        </is>
      </c>
    </row>
    <row r="150" ht="11" customHeight="1">
      <c r="A150" s="10" t="inlineStr">
        <is>
          <t>STDEV_BREAKOUT_PCTB_LONG</t>
        </is>
      </c>
      <c r="B150" s="11" t="inlineStr">
        <is>
          <t>0</t>
        </is>
      </c>
      <c r="E150">
        <f>IF(F150="",E149,IF(F150&gt;0,E149+F150,E149))</f>
        <v/>
      </c>
      <c r="F150">
        <f>IFERROR(VLOOKUP($A150,Results_30d_Deltas!$A$2:$H$5000,8,FALSE)-E149,"")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8" t="n"/>
      <c r="BP150" s="8" t="n"/>
      <c r="BQ150" s="8" t="n"/>
      <c r="BR150" s="8" t="n"/>
      <c r="BS150" s="8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8" t="n"/>
      <c r="CY150" s="8" t="n"/>
      <c r="CZ150" s="8" t="n"/>
      <c r="DA150" s="8" t="n"/>
      <c r="DB150" s="8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8" t="n"/>
      <c r="FS150" s="8" t="n"/>
      <c r="FT150" s="8" t="n"/>
      <c r="FU150" s="8" t="n"/>
      <c r="FV150" s="8" t="n"/>
      <c r="FW150" s="8" t="n"/>
      <c r="FX150" s="8" t="n"/>
      <c r="FY150" s="8" t="n"/>
      <c r="FZ150" s="8" t="n"/>
      <c r="GA150" s="8" t="n"/>
      <c r="GB150" s="8" t="n"/>
      <c r="GC150" s="8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ez_manage.py:4044 top()</t>
        </is>
      </c>
      <c r="IK150" s="9" t="inlineStr">
        <is>
          <t>v12_quick_engine.py:3280 x3</t>
        </is>
      </c>
    </row>
    <row r="151" ht="11" customHeight="1">
      <c r="A151" s="10" t="inlineStr">
        <is>
          <t>STDEV_BREAKOUT_PCTB_LONG</t>
        </is>
      </c>
      <c r="B151" s="11" t="inlineStr">
        <is>
          <t>0.5</t>
        </is>
      </c>
      <c r="E151">
        <f>IF(F151="",E150,IF(F151&gt;0,E150+F151,E150))</f>
        <v/>
      </c>
      <c r="F151">
        <f>IFERROR(VLOOKUP($A151,Results_30d_Deltas!$A$2:$H$5000,8,FALSE)-E150,"")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8" t="n"/>
      <c r="BP151" s="8" t="n"/>
      <c r="BQ151" s="8" t="n"/>
      <c r="BR151" s="8" t="n"/>
      <c r="BS151" s="8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8" t="n"/>
      <c r="CY151" s="8" t="n"/>
      <c r="CZ151" s="8" t="n"/>
      <c r="DA151" s="8" t="n"/>
      <c r="DB151" s="8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8" t="n"/>
      <c r="FS151" s="8" t="n"/>
      <c r="FT151" s="8" t="n"/>
      <c r="FU151" s="8" t="n"/>
      <c r="FV151" s="8" t="n"/>
      <c r="FW151" s="8" t="n"/>
      <c r="FX151" s="8" t="n"/>
      <c r="FY151" s="8" t="n"/>
      <c r="FZ151" s="8" t="n"/>
      <c r="GA151" s="8" t="n"/>
      <c r="GB151" s="8" t="n"/>
      <c r="GC151" s="8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ez_manage.py:4044 top()</t>
        </is>
      </c>
      <c r="IK151" s="9" t="inlineStr">
        <is>
          <t>v12_quick_engine.py:3280 x3</t>
        </is>
      </c>
    </row>
    <row r="152" ht="11" customHeight="1">
      <c r="A152" s="10" t="inlineStr">
        <is>
          <t>STDEV_BREAKOUT_PCTB_LONG</t>
        </is>
      </c>
      <c r="B152" s="11" t="inlineStr">
        <is>
          <t>1.0</t>
        </is>
      </c>
      <c r="E152">
        <f>IF(F152="",E151,IF(F152&gt;0,E151+F152,E151))</f>
        <v/>
      </c>
      <c r="F152">
        <f>IFERROR(VLOOKUP($A152,Results_30d_Deltas!$A$2:$H$5000,8,FALSE)-E151,"")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8" t="n"/>
      <c r="BP152" s="8" t="n"/>
      <c r="BQ152" s="8" t="n"/>
      <c r="BR152" s="8" t="n"/>
      <c r="BS152" s="8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8" t="n"/>
      <c r="CY152" s="8" t="n"/>
      <c r="CZ152" s="8" t="n"/>
      <c r="DA152" s="8" t="n"/>
      <c r="DB152" s="8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8" t="n"/>
      <c r="FS152" s="8" t="n"/>
      <c r="FT152" s="8" t="n"/>
      <c r="FU152" s="8" t="n"/>
      <c r="FV152" s="8" t="n"/>
      <c r="FW152" s="8" t="n"/>
      <c r="FX152" s="8" t="n"/>
      <c r="FY152" s="8" t="n"/>
      <c r="FZ152" s="8" t="n"/>
      <c r="GA152" s="8" t="n"/>
      <c r="GB152" s="8" t="n"/>
      <c r="GC152" s="8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ez_manage.py:4044 top()</t>
        </is>
      </c>
      <c r="IK152" s="9" t="inlineStr">
        <is>
          <t>v12_quick_engine.py:3280 x3</t>
        </is>
      </c>
    </row>
    <row r="153" ht="11" customHeight="1">
      <c r="A153" s="10" t="inlineStr">
        <is>
          <t>STDEV_BREAKOUT_PCTB_LONG</t>
        </is>
      </c>
      <c r="B153" s="11" t="inlineStr">
        <is>
          <t>2.0</t>
        </is>
      </c>
      <c r="E153">
        <f>IF(F153="",E152,IF(F153&gt;0,E152+F153,E152))</f>
        <v/>
      </c>
      <c r="F153">
        <f>IFERROR(VLOOKUP($A153,Results_30d_Deltas!$A$2:$H$5000,8,FALSE)-E152,"")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8" t="n"/>
      <c r="BP153" s="8" t="n"/>
      <c r="BQ153" s="8" t="n"/>
      <c r="BR153" s="8" t="n"/>
      <c r="BS153" s="8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8" t="n"/>
      <c r="CY153" s="8" t="n"/>
      <c r="CZ153" s="8" t="n"/>
      <c r="DA153" s="8" t="n"/>
      <c r="DB153" s="8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8" t="n"/>
      <c r="FS153" s="8" t="n"/>
      <c r="FT153" s="8" t="n"/>
      <c r="FU153" s="8" t="n"/>
      <c r="FV153" s="8" t="n"/>
      <c r="FW153" s="8" t="n"/>
      <c r="FX153" s="8" t="n"/>
      <c r="FY153" s="8" t="n"/>
      <c r="FZ153" s="8" t="n"/>
      <c r="GA153" s="8" t="n"/>
      <c r="GB153" s="8" t="n"/>
      <c r="GC153" s="8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ez_manage.py:4044 top()</t>
        </is>
      </c>
      <c r="IK153" s="9" t="inlineStr">
        <is>
          <t>v12_quick_engine.py:3280 x3</t>
        </is>
      </c>
    </row>
    <row r="154" ht="11" customHeight="1">
      <c r="A154" s="10" t="inlineStr">
        <is>
          <t>STDEV_BREAKOUT_PCTB_SHORT</t>
        </is>
      </c>
      <c r="B154" s="11" t="inlineStr">
        <is>
          <t>0</t>
        </is>
      </c>
      <c r="E154">
        <f>IF(F154="",E153,IF(F154&gt;0,E153+F154,E153))</f>
        <v/>
      </c>
      <c r="F154">
        <f>IFERROR(VLOOKUP($A154,Results_30d_Deltas!$A$2:$H$5000,8,FALSE)-E153,"")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8" t="n"/>
      <c r="BP154" s="8" t="n"/>
      <c r="BQ154" s="8" t="n"/>
      <c r="BR154" s="8" t="n"/>
      <c r="BS154" s="8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8" t="n"/>
      <c r="CY154" s="8" t="n"/>
      <c r="CZ154" s="8" t="n"/>
      <c r="DA154" s="8" t="n"/>
      <c r="DB154" s="8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8" t="n"/>
      <c r="FS154" s="8" t="n"/>
      <c r="FT154" s="8" t="n"/>
      <c r="FU154" s="8" t="n"/>
      <c r="FV154" s="8" t="n"/>
      <c r="FW154" s="8" t="n"/>
      <c r="FX154" s="8" t="n"/>
      <c r="FY154" s="8" t="n"/>
      <c r="FZ154" s="8" t="n"/>
      <c r="GA154" s="8" t="n"/>
      <c r="GB154" s="8" t="n"/>
      <c r="GC154" s="8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ez_manage.py:4045 top()</t>
        </is>
      </c>
      <c r="IK154" s="9" t="inlineStr">
        <is>
          <t>v12_quick_engine.py:3281 x3</t>
        </is>
      </c>
    </row>
    <row r="155" ht="11" customHeight="1">
      <c r="A155" s="10" t="inlineStr">
        <is>
          <t>STDEV_BREAKOUT_PCTB_SHORT</t>
        </is>
      </c>
      <c r="B155" s="11" t="inlineStr">
        <is>
          <t>0.5</t>
        </is>
      </c>
      <c r="E155">
        <f>IF(F155="",E154,IF(F155&gt;0,E154+F155,E154))</f>
        <v/>
      </c>
      <c r="F155">
        <f>IFERROR(VLOOKUP($A155,Results_30d_Deltas!$A$2:$H$5000,8,FALSE)-E154,"")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8" t="n"/>
      <c r="BP155" s="8" t="n"/>
      <c r="BQ155" s="8" t="n"/>
      <c r="BR155" s="8" t="n"/>
      <c r="BS155" s="8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8" t="n"/>
      <c r="CY155" s="8" t="n"/>
      <c r="CZ155" s="8" t="n"/>
      <c r="DA155" s="8" t="n"/>
      <c r="DB155" s="8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8" t="n"/>
      <c r="FS155" s="8" t="n"/>
      <c r="FT155" s="8" t="n"/>
      <c r="FU155" s="8" t="n"/>
      <c r="FV155" s="8" t="n"/>
      <c r="FW155" s="8" t="n"/>
      <c r="FX155" s="8" t="n"/>
      <c r="FY155" s="8" t="n"/>
      <c r="FZ155" s="8" t="n"/>
      <c r="GA155" s="8" t="n"/>
      <c r="GB155" s="8" t="n"/>
      <c r="GC155" s="8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ez_manage.py:4045 top()</t>
        </is>
      </c>
      <c r="IK155" s="9" t="inlineStr">
        <is>
          <t>v12_quick_engine.py:3281 x3</t>
        </is>
      </c>
    </row>
    <row r="156" ht="11" customHeight="1">
      <c r="A156" s="10" t="inlineStr">
        <is>
          <t>STDEV_BREAKOUT_PCTB_SHORT</t>
        </is>
      </c>
      <c r="B156" s="11" t="inlineStr">
        <is>
          <t>1.0</t>
        </is>
      </c>
      <c r="E156">
        <f>IF(F156="",E155,IF(F156&gt;0,E155+F156,E155))</f>
        <v/>
      </c>
      <c r="F156">
        <f>IFERROR(VLOOKUP($A156,Results_30d_Deltas!$A$2:$H$5000,8,FALSE)-E155,"")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8" t="n"/>
      <c r="BP156" s="8" t="n"/>
      <c r="BQ156" s="8" t="n"/>
      <c r="BR156" s="8" t="n"/>
      <c r="BS156" s="8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8" t="n"/>
      <c r="CY156" s="8" t="n"/>
      <c r="CZ156" s="8" t="n"/>
      <c r="DA156" s="8" t="n"/>
      <c r="DB156" s="8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8" t="n"/>
      <c r="FS156" s="8" t="n"/>
      <c r="FT156" s="8" t="n"/>
      <c r="FU156" s="8" t="n"/>
      <c r="FV156" s="8" t="n"/>
      <c r="FW156" s="8" t="n"/>
      <c r="FX156" s="8" t="n"/>
      <c r="FY156" s="8" t="n"/>
      <c r="FZ156" s="8" t="n"/>
      <c r="GA156" s="8" t="n"/>
      <c r="GB156" s="8" t="n"/>
      <c r="GC156" s="8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ez_manage.py:4045 top()</t>
        </is>
      </c>
      <c r="IK156" s="9" t="inlineStr">
        <is>
          <t>v12_quick_engine.py:3281 x3</t>
        </is>
      </c>
    </row>
    <row r="157" ht="11" customHeight="1">
      <c r="A157" s="10" t="inlineStr">
        <is>
          <t>STDEV_BREAKOUT_PCTB_SHORT</t>
        </is>
      </c>
      <c r="B157" s="11" t="inlineStr">
        <is>
          <t>2.0</t>
        </is>
      </c>
      <c r="E157">
        <f>IF(F157="",E156,IF(F157&gt;0,E156+F157,E156))</f>
        <v/>
      </c>
      <c r="F157">
        <f>IFERROR(VLOOKUP($A157,Results_30d_Deltas!$A$2:$H$5000,8,FALSE)-E156,"")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8" t="n"/>
      <c r="BP157" s="8" t="n"/>
      <c r="BQ157" s="8" t="n"/>
      <c r="BR157" s="8" t="n"/>
      <c r="BS157" s="8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8" t="n"/>
      <c r="CY157" s="8" t="n"/>
      <c r="CZ157" s="8" t="n"/>
      <c r="DA157" s="8" t="n"/>
      <c r="DB157" s="8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8" t="n"/>
      <c r="EM157" s="8" t="n"/>
      <c r="EN157" s="8" t="n"/>
      <c r="EO157" s="8" t="n"/>
      <c r="EP157" s="8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8" t="n"/>
      <c r="FS157" s="8" t="n"/>
      <c r="FT157" s="8" t="n"/>
      <c r="FU157" s="8" t="n"/>
      <c r="FV157" s="8" t="n"/>
      <c r="FW157" s="8" t="n"/>
      <c r="FX157" s="8" t="n"/>
      <c r="FY157" s="8" t="n"/>
      <c r="FZ157" s="8" t="n"/>
      <c r="GA157" s="8" t="n"/>
      <c r="GB157" s="8" t="n"/>
      <c r="GC157" s="8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ez_manage.py:4045 top()</t>
        </is>
      </c>
      <c r="IK157" s="9" t="inlineStr">
        <is>
          <t>v12_quick_engine.py:3281 x3</t>
        </is>
      </c>
    </row>
    <row r="158" ht="11" customHeight="1">
      <c r="A158" s="10" t="inlineStr">
        <is>
          <t>STDEV_SUPPRESS_EARLY_EXIT</t>
        </is>
      </c>
      <c r="B158" s="11" t="inlineStr">
        <is>
          <t>0</t>
        </is>
      </c>
      <c r="E158">
        <f>IF(F158="",E157,IF(F158&gt;0,E157+F158,E157))</f>
        <v/>
      </c>
      <c r="F158">
        <f>IFERROR(VLOOKUP($A158,Results_30d_Deltas!$A$2:$H$5000,8,FALSE)-E157,"")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8" t="n"/>
      <c r="CT158" s="8" t="n"/>
      <c r="CU158" s="8" t="n"/>
      <c r="CV158" s="8" t="n"/>
      <c r="CW158" s="8" t="n"/>
      <c r="CX158" s="8" t="n"/>
      <c r="CY158" s="8" t="n"/>
      <c r="CZ158" s="8" t="n"/>
      <c r="DA158" s="8" t="n"/>
      <c r="DB158" s="8" t="n"/>
      <c r="DC158" s="8" t="n"/>
      <c r="DD158" s="8" t="n"/>
      <c r="DE158" s="8" t="n"/>
      <c r="DF158" s="8" t="n"/>
      <c r="DG158" s="8" t="n"/>
      <c r="DH158" s="8" t="n"/>
      <c r="DI158" s="8" t="n"/>
      <c r="DJ158" s="8" t="n"/>
      <c r="DK158" s="8" t="n"/>
      <c r="DL158" s="8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8" t="n"/>
      <c r="EM158" s="8" t="n"/>
      <c r="EN158" s="8" t="n"/>
      <c r="EO158" s="8" t="n"/>
      <c r="EP158" s="8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8" t="n"/>
      <c r="FS158" s="8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ez_manage.py:4060 top()</t>
        </is>
      </c>
      <c r="IK158" s="9" t="inlineStr">
        <is>
          <t>v12_quick_engine.py:3300 x2</t>
        </is>
      </c>
    </row>
    <row r="159" ht="11" customHeight="1">
      <c r="A159" s="10" t="inlineStr">
        <is>
          <t>STDEV_SUPPRESS_EARLY_EXIT</t>
        </is>
      </c>
      <c r="B159" s="11" t="inlineStr">
        <is>
          <t>0.5</t>
        </is>
      </c>
      <c r="E159">
        <f>IF(F159="",E158,IF(F159&gt;0,E158+F159,E158))</f>
        <v/>
      </c>
      <c r="F159">
        <f>IFERROR(VLOOKUP($A159,Results_30d_Deltas!$A$2:$H$5000,8,FALSE)-E158,"")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8" t="n"/>
      <c r="CT159" s="8" t="n"/>
      <c r="CU159" s="8" t="n"/>
      <c r="CV159" s="8" t="n"/>
      <c r="CW159" s="8" t="n"/>
      <c r="CX159" s="8" t="n"/>
      <c r="CY159" s="8" t="n"/>
      <c r="CZ159" s="8" t="n"/>
      <c r="DA159" s="8" t="n"/>
      <c r="DB159" s="8" t="n"/>
      <c r="DC159" s="8" t="n"/>
      <c r="DD159" s="8" t="n"/>
      <c r="DE159" s="8" t="n"/>
      <c r="DF159" s="8" t="n"/>
      <c r="DG159" s="8" t="n"/>
      <c r="DH159" s="8" t="n"/>
      <c r="DI159" s="8" t="n"/>
      <c r="DJ159" s="8" t="n"/>
      <c r="DK159" s="8" t="n"/>
      <c r="DL159" s="8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8" t="n"/>
      <c r="EM159" s="8" t="n"/>
      <c r="EN159" s="8" t="n"/>
      <c r="EO159" s="8" t="n"/>
      <c r="EP159" s="8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8" t="n"/>
      <c r="FS159" s="8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ez_manage.py:4060 top()</t>
        </is>
      </c>
      <c r="IK159" s="9" t="inlineStr">
        <is>
          <t>v12_quick_engine.py:3300 x2</t>
        </is>
      </c>
    </row>
    <row r="160" ht="11" customHeight="1">
      <c r="A160" s="10" t="inlineStr">
        <is>
          <t>STDEV_SUPPRESS_EARLY_EXIT</t>
        </is>
      </c>
      <c r="B160" s="11" t="inlineStr">
        <is>
          <t>1.0</t>
        </is>
      </c>
      <c r="E160">
        <f>IF(F160="",E159,IF(F160&gt;0,E159+F160,E159))</f>
        <v/>
      </c>
      <c r="F160">
        <f>IFERROR(VLOOKUP($A160,Results_30d_Deltas!$A$2:$H$5000,8,FALSE)-E159,"")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8" t="n"/>
      <c r="CT160" s="8" t="n"/>
      <c r="CU160" s="8" t="n"/>
      <c r="CV160" s="8" t="n"/>
      <c r="CW160" s="8" t="n"/>
      <c r="CX160" s="8" t="n"/>
      <c r="CY160" s="8" t="n"/>
      <c r="CZ160" s="8" t="n"/>
      <c r="DA160" s="8" t="n"/>
      <c r="DB160" s="8" t="n"/>
      <c r="DC160" s="8" t="n"/>
      <c r="DD160" s="8" t="n"/>
      <c r="DE160" s="8" t="n"/>
      <c r="DF160" s="8" t="n"/>
      <c r="DG160" s="8" t="n"/>
      <c r="DH160" s="8" t="n"/>
      <c r="DI160" s="8" t="n"/>
      <c r="DJ160" s="8" t="n"/>
      <c r="DK160" s="8" t="n"/>
      <c r="DL160" s="8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8" t="n"/>
      <c r="EM160" s="8" t="n"/>
      <c r="EN160" s="8" t="n"/>
      <c r="EO160" s="8" t="n"/>
      <c r="EP160" s="8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8" t="n"/>
      <c r="FS160" s="8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ez_manage.py:4060 top()</t>
        </is>
      </c>
      <c r="IK160" s="9" t="inlineStr">
        <is>
          <t>v12_quick_engine.py:3300 x2</t>
        </is>
      </c>
    </row>
    <row r="161" ht="11" customHeight="1">
      <c r="A161" s="10" t="inlineStr">
        <is>
          <t>STDEV_SUPPRESS_EARLY_EXIT</t>
        </is>
      </c>
      <c r="B161" s="11" t="inlineStr">
        <is>
          <t>2.0</t>
        </is>
      </c>
      <c r="E161">
        <f>IF(F161="",E160,IF(F161&gt;0,E160+F161,E160))</f>
        <v/>
      </c>
      <c r="F161">
        <f>IFERROR(VLOOKUP($A161,Results_30d_Deltas!$A$2:$H$5000,8,FALSE)-E160,"")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8" t="n"/>
      <c r="CT161" s="8" t="n"/>
      <c r="CU161" s="8" t="n"/>
      <c r="CV161" s="8" t="n"/>
      <c r="CW161" s="8" t="n"/>
      <c r="CX161" s="8" t="n"/>
      <c r="CY161" s="8" t="n"/>
      <c r="CZ161" s="8" t="n"/>
      <c r="DA161" s="8" t="n"/>
      <c r="DB161" s="8" t="n"/>
      <c r="DC161" s="8" t="n"/>
      <c r="DD161" s="8" t="n"/>
      <c r="DE161" s="8" t="n"/>
      <c r="DF161" s="8" t="n"/>
      <c r="DG161" s="8" t="n"/>
      <c r="DH161" s="8" t="n"/>
      <c r="DI161" s="8" t="n"/>
      <c r="DJ161" s="8" t="n"/>
      <c r="DK161" s="8" t="n"/>
      <c r="DL161" s="8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8" t="n"/>
      <c r="EM161" s="8" t="n"/>
      <c r="EN161" s="8" t="n"/>
      <c r="EO161" s="8" t="n"/>
      <c r="EP161" s="8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8" t="n"/>
      <c r="FS161" s="8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ez_manage.py:4060 top()</t>
        </is>
      </c>
      <c r="IK161" s="9" t="inlineStr">
        <is>
          <t>v12_quick_engine.py:3300 x2</t>
        </is>
      </c>
    </row>
    <row r="162" ht="11" customHeight="1">
      <c r="A162" s="10" t="inlineStr">
        <is>
          <t>STOCH_CROSS_ENTRY_TRADIER</t>
        </is>
      </c>
      <c r="B162" s="11" t="inlineStr">
        <is>
          <t>False</t>
        </is>
      </c>
      <c r="E162">
        <f>IF(F162="",E161,IF(F162&gt;0,E161+F162,E161))</f>
        <v/>
      </c>
      <c r="F162">
        <f>IFERROR(VLOOKUP($A162,Results_30d_Deltas!$A$2:$H$5000,8,FALSE)-E161,"")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8" t="n"/>
      <c r="EM162" s="8" t="n"/>
      <c r="EN162" s="8" t="n"/>
      <c r="EO162" s="8" t="n"/>
      <c r="EP162" s="8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8" t="n"/>
      <c r="FI162" s="8" t="n"/>
      <c r="FJ162" s="8" t="n"/>
      <c r="FK162" s="8" t="n"/>
      <c r="FL162" s="8" t="n"/>
      <c r="FM162" s="8" t="n"/>
      <c r="FN162" s="8" t="n"/>
      <c r="FO162" s="8" t="n"/>
      <c r="FP162" s="8" t="n"/>
      <c r="FQ162" s="8" t="n"/>
      <c r="FR162" s="8" t="n"/>
      <c r="FS162" s="8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ez_manage.py:5661 top()</t>
        </is>
      </c>
      <c r="IK162" s="9" t="inlineStr">
        <is>
          <t>v12_quick_engine.py:3305 x8</t>
        </is>
      </c>
    </row>
    <row r="163" ht="11" customHeight="1">
      <c r="A163" s="6" t="inlineStr">
        <is>
          <t>STOCH_CROSS_ENTRY_TRADIER</t>
        </is>
      </c>
      <c r="B163" s="7" t="inlineStr">
        <is>
          <t>True</t>
        </is>
      </c>
      <c r="E163">
        <f>IF(F163="",E162,IF(F163&gt;0,E162+F163,E162))</f>
        <v/>
      </c>
      <c r="F163">
        <f>IFERROR(VLOOKUP($A163,Results_30d_Deltas!$A$2:$H$5000,8,FALSE)-E162,"")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8" t="n"/>
      <c r="EM163" s="8" t="n"/>
      <c r="EN163" s="8" t="n"/>
      <c r="EO163" s="8" t="n"/>
      <c r="EP163" s="8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8" t="n"/>
      <c r="FI163" s="8" t="n"/>
      <c r="FJ163" s="8" t="n"/>
      <c r="FK163" s="8" t="n"/>
      <c r="FL163" s="8" t="n"/>
      <c r="FM163" s="8" t="n"/>
      <c r="FN163" s="8" t="n"/>
      <c r="FO163" s="8" t="n"/>
      <c r="FP163" s="8" t="n"/>
      <c r="FQ163" s="8" t="n"/>
      <c r="FR163" s="8" t="n"/>
      <c r="FS163" s="8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ez_manage.py:5661 top()</t>
        </is>
      </c>
      <c r="IK163" s="9" t="inlineStr">
        <is>
          <t>v12_quick_engine.py:3305 x8</t>
        </is>
      </c>
    </row>
    <row r="164" ht="11" customHeight="1">
      <c r="A164" s="6" t="inlineStr">
        <is>
          <t>TRADIER_MFI_ENTRY_LONG_ENABLED</t>
        </is>
      </c>
      <c r="B164" s="7" t="inlineStr">
        <is>
          <t>False</t>
        </is>
      </c>
      <c r="E164">
        <f>IF(F164="",E163,IF(F164&gt;0,E163+F164,E163))</f>
        <v/>
      </c>
      <c r="F164">
        <f>IFERROR(VLOOKUP($A164,Results_30d_Deltas!$A$2:$H$5000,8,FALSE)-E163,"")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8" t="n"/>
      <c r="EM164" s="8" t="n"/>
      <c r="EN164" s="8" t="n"/>
      <c r="EO164" s="8" t="n"/>
      <c r="EP164" s="8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8" t="n"/>
      <c r="FI164" s="8" t="n"/>
      <c r="FJ164" s="8" t="n"/>
      <c r="FK164" s="8" t="n"/>
      <c r="FL164" s="8" t="n"/>
      <c r="FM164" s="8" t="n"/>
      <c r="FN164" s="8" t="n"/>
      <c r="FO164" s="8" t="n"/>
      <c r="FP164" s="8" t="n"/>
      <c r="FQ164" s="8" t="n"/>
      <c r="FR164" s="8" t="n"/>
      <c r="FS164" s="8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8" t="n"/>
      <c r="HX164" s="8" t="n"/>
      <c r="HY164" s="8" t="n"/>
      <c r="HZ164" s="8" t="n"/>
      <c r="IA164" s="8" t="n"/>
      <c r="IB164" s="8" t="n"/>
      <c r="IC164" s="8" t="n"/>
      <c r="ID164" s="8" t="n"/>
      <c r="IE164" s="8" t="n"/>
      <c r="IF164" s="8" t="n"/>
      <c r="IG164" s="8" t="n"/>
      <c r="IH164" s="8" t="n"/>
      <c r="IJ164" s="9" t="inlineStr">
        <is>
          <t>ez_manage.py:5734 top()</t>
        </is>
      </c>
      <c r="IK164" s="9" t="inlineStr">
        <is>
          <t>v12_quick_engine.py:3411 x7</t>
        </is>
      </c>
    </row>
    <row r="165" ht="11" customHeight="1">
      <c r="A165" s="10" t="inlineStr">
        <is>
          <t>TRADIER_MFI_ENTRY_LONG_ENABLED</t>
        </is>
      </c>
      <c r="B165" s="11" t="inlineStr">
        <is>
          <t>True</t>
        </is>
      </c>
      <c r="E165">
        <f>IF(F165="",E164,IF(F165&gt;0,E164+F165,E164))</f>
        <v/>
      </c>
      <c r="F165">
        <f>IFERROR(VLOOKUP($A165,Results_30d_Deltas!$A$2:$H$5000,8,FALSE)-E164,"")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8" t="n"/>
      <c r="FI165" s="8" t="n"/>
      <c r="FJ165" s="8" t="n"/>
      <c r="FK165" s="8" t="n"/>
      <c r="FL165" s="8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8" t="n"/>
      <c r="HX165" s="8" t="n"/>
      <c r="HY165" s="8" t="n"/>
      <c r="HZ165" s="8" t="n"/>
      <c r="IA165" s="8" t="n"/>
      <c r="IB165" s="8" t="n"/>
      <c r="IC165" s="8" t="n"/>
      <c r="ID165" s="8" t="n"/>
      <c r="IE165" s="8" t="n"/>
      <c r="IF165" s="8" t="n"/>
      <c r="IG165" s="8" t="n"/>
      <c r="IH165" s="8" t="n"/>
      <c r="IJ165" s="9" t="inlineStr">
        <is>
          <t>ez_manage.py:5734 top()</t>
        </is>
      </c>
      <c r="IK165" s="9" t="inlineStr">
        <is>
          <t>v12_quick_engine.py:3411 x7</t>
        </is>
      </c>
    </row>
    <row r="166" ht="11" customHeight="1">
      <c r="A166" s="10" t="inlineStr">
        <is>
          <t>TRADIER_RSI2_EXIT_THRESHOLD_LONG</t>
        </is>
      </c>
      <c r="B166" s="11" t="inlineStr">
        <is>
          <t>45.0</t>
        </is>
      </c>
      <c r="E166">
        <f>IF(F166="",E165,IF(F166&gt;0,E165+F166,E165))</f>
        <v/>
      </c>
      <c r="F166">
        <f>IFERROR(VLOOKUP($A166,Results_30d_Deltas!$A$2:$H$5000,8,FALSE)-E165,"")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8" t="n"/>
      <c r="CT166" s="8" t="n"/>
      <c r="CU166" s="8" t="n"/>
      <c r="CV166" s="8" t="n"/>
      <c r="CW166" s="8" t="n"/>
      <c r="CX166" s="8" t="n"/>
      <c r="CY166" s="8" t="n"/>
      <c r="CZ166" s="8" t="n"/>
      <c r="DA166" s="8" t="n"/>
      <c r="DB166" s="8" t="n"/>
      <c r="DC166" s="8" t="n"/>
      <c r="DD166" s="8" t="n"/>
      <c r="DE166" s="8" t="n"/>
      <c r="DF166" s="8" t="n"/>
      <c r="DG166" s="8" t="n"/>
      <c r="DH166" s="8" t="n"/>
      <c r="DI166" s="8" t="n"/>
      <c r="DJ166" s="8" t="n"/>
      <c r="DK166" s="8" t="n"/>
      <c r="DL166" s="8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ez_manage.py:5740 top()</t>
        </is>
      </c>
      <c r="IK166" s="9" t="inlineStr">
        <is>
          <t>v12_quick_engine.py:3437 x9</t>
        </is>
      </c>
    </row>
    <row r="167" ht="11" customHeight="1">
      <c r="A167" s="10" t="inlineStr">
        <is>
          <t>TRADIER_RSI2_EXIT_THRESHOLD_LONG</t>
        </is>
      </c>
      <c r="B167" s="11" t="inlineStr">
        <is>
          <t>67.5</t>
        </is>
      </c>
      <c r="E167">
        <f>IF(F167="",E166,IF(F167&gt;0,E166+F167,E166))</f>
        <v/>
      </c>
      <c r="F167">
        <f>IFERROR(VLOOKUP($A167,Results_30d_Deltas!$A$2:$H$5000,8,FALSE)-E166,"")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8" t="n"/>
      <c r="CT167" s="8" t="n"/>
      <c r="CU167" s="8" t="n"/>
      <c r="CV167" s="8" t="n"/>
      <c r="CW167" s="8" t="n"/>
      <c r="CX167" s="8" t="n"/>
      <c r="CY167" s="8" t="n"/>
      <c r="CZ167" s="8" t="n"/>
      <c r="DA167" s="8" t="n"/>
      <c r="DB167" s="8" t="n"/>
      <c r="DC167" s="8" t="n"/>
      <c r="DD167" s="8" t="n"/>
      <c r="DE167" s="8" t="n"/>
      <c r="DF167" s="8" t="n"/>
      <c r="DG167" s="8" t="n"/>
      <c r="DH167" s="8" t="n"/>
      <c r="DI167" s="8" t="n"/>
      <c r="DJ167" s="8" t="n"/>
      <c r="DK167" s="8" t="n"/>
      <c r="DL167" s="8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ez_manage.py:5740 top()</t>
        </is>
      </c>
      <c r="IK167" s="9" t="inlineStr">
        <is>
          <t>v12_quick_engine.py:3437 x9</t>
        </is>
      </c>
    </row>
    <row r="168" ht="11" customHeight="1">
      <c r="A168" s="6" t="inlineStr">
        <is>
          <t>TRADIER_RSI2_EXIT_THRESHOLD_LONG</t>
        </is>
      </c>
      <c r="B168" s="7" t="inlineStr">
        <is>
          <t>90.0</t>
        </is>
      </c>
      <c r="E168">
        <f>IF(F168="",E167,IF(F168&gt;0,E167+F168,E167))</f>
        <v/>
      </c>
      <c r="F168">
        <f>IFERROR(VLOOKUP($A168,Results_30d_Deltas!$A$2:$H$5000,8,FALSE)-E167,"")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8" t="n"/>
      <c r="CT168" s="8" t="n"/>
      <c r="CU168" s="8" t="n"/>
      <c r="CV168" s="8" t="n"/>
      <c r="CW168" s="8" t="n"/>
      <c r="CX168" s="8" t="n"/>
      <c r="CY168" s="8" t="n"/>
      <c r="CZ168" s="8" t="n"/>
      <c r="DA168" s="8" t="n"/>
      <c r="DB168" s="8" t="n"/>
      <c r="DC168" s="8" t="n"/>
      <c r="DD168" s="8" t="n"/>
      <c r="DE168" s="8" t="n"/>
      <c r="DF168" s="8" t="n"/>
      <c r="DG168" s="8" t="n"/>
      <c r="DH168" s="8" t="n"/>
      <c r="DI168" s="8" t="n"/>
      <c r="DJ168" s="8" t="n"/>
      <c r="DK168" s="8" t="n"/>
      <c r="DL168" s="8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ez_manage.py:5740 top()</t>
        </is>
      </c>
      <c r="IK168" s="9" t="inlineStr">
        <is>
          <t>v12_quick_engine.py:3437 x9</t>
        </is>
      </c>
    </row>
    <row r="169" ht="11" customHeight="1">
      <c r="A169" s="10" t="inlineStr">
        <is>
          <t>TRADIER_RSI2_EXIT_THRESHOLD_LONG</t>
        </is>
      </c>
      <c r="B169" s="11" t="inlineStr">
        <is>
          <t>112.5</t>
        </is>
      </c>
      <c r="E169">
        <f>IF(F169="",E168,IF(F169&gt;0,E168+F169,E168))</f>
        <v/>
      </c>
      <c r="F169">
        <f>IFERROR(VLOOKUP($A169,Results_30d_Deltas!$A$2:$H$5000,8,FALSE)-E168,"")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8" t="n"/>
      <c r="CE169" s="8" t="n"/>
      <c r="CF169" s="8" t="n"/>
      <c r="CG169" s="8" t="n"/>
      <c r="CH169" s="8" t="n"/>
      <c r="CI169" s="8" t="n"/>
      <c r="CJ169" s="8" t="n"/>
      <c r="CK169" s="8" t="n"/>
      <c r="CL169" s="8" t="n"/>
      <c r="CM169" s="8" t="n"/>
      <c r="CN169" s="8" t="n"/>
      <c r="CO169" s="8" t="n"/>
      <c r="CP169" s="8" t="n"/>
      <c r="CQ169" s="8" t="n"/>
      <c r="CR169" s="8" t="n"/>
      <c r="CS169" s="8" t="n"/>
      <c r="CT169" s="8" t="n"/>
      <c r="CU169" s="8" t="n"/>
      <c r="CV169" s="8" t="n"/>
      <c r="CW169" s="8" t="n"/>
      <c r="CX169" s="8" t="n"/>
      <c r="CY169" s="8" t="n"/>
      <c r="CZ169" s="8" t="n"/>
      <c r="DA169" s="8" t="n"/>
      <c r="DB169" s="8" t="n"/>
      <c r="DC169" s="8" t="n"/>
      <c r="DD169" s="8" t="n"/>
      <c r="DE169" s="8" t="n"/>
      <c r="DF169" s="8" t="n"/>
      <c r="DG169" s="8" t="n"/>
      <c r="DH169" s="8" t="n"/>
      <c r="DI169" s="8" t="n"/>
      <c r="DJ169" s="8" t="n"/>
      <c r="DK169" s="8" t="n"/>
      <c r="DL169" s="8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8" t="n"/>
      <c r="ER169" s="8" t="n"/>
      <c r="ES169" s="8" t="n"/>
      <c r="ET169" s="8" t="n"/>
      <c r="EU169" s="8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8" t="n"/>
      <c r="FG169" s="8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ez_manage.py:5740 top()</t>
        </is>
      </c>
      <c r="IK169" s="9" t="inlineStr">
        <is>
          <t>v12_quick_engine.py:3437 x9</t>
        </is>
      </c>
    </row>
    <row r="170" ht="11" customHeight="1">
      <c r="A170" s="10" t="inlineStr">
        <is>
          <t>TRADIER_RSI2_EXIT_THRESHOLD_LONG</t>
        </is>
      </c>
      <c r="B170" s="11" t="inlineStr">
        <is>
          <t>135.0</t>
        </is>
      </c>
      <c r="E170">
        <f>IF(F170="",E169,IF(F170&gt;0,E169+F170,E169))</f>
        <v/>
      </c>
      <c r="F170">
        <f>IFERROR(VLOOKUP($A170,Results_30d_Deltas!$A$2:$H$5000,8,FALSE)-E169,"")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8" t="n"/>
      <c r="CE170" s="8" t="n"/>
      <c r="CF170" s="8" t="n"/>
      <c r="CG170" s="8" t="n"/>
      <c r="CH170" s="8" t="n"/>
      <c r="CI170" s="8" t="n"/>
      <c r="CJ170" s="8" t="n"/>
      <c r="CK170" s="8" t="n"/>
      <c r="CL170" s="8" t="n"/>
      <c r="CM170" s="8" t="n"/>
      <c r="CN170" s="8" t="n"/>
      <c r="CO170" s="8" t="n"/>
      <c r="CP170" s="8" t="n"/>
      <c r="CQ170" s="8" t="n"/>
      <c r="CR170" s="8" t="n"/>
      <c r="CS170" s="8" t="n"/>
      <c r="CT170" s="8" t="n"/>
      <c r="CU170" s="8" t="n"/>
      <c r="CV170" s="8" t="n"/>
      <c r="CW170" s="8" t="n"/>
      <c r="CX170" s="8" t="n"/>
      <c r="CY170" s="8" t="n"/>
      <c r="CZ170" s="8" t="n"/>
      <c r="DA170" s="8" t="n"/>
      <c r="DB170" s="8" t="n"/>
      <c r="DC170" s="8" t="n"/>
      <c r="DD170" s="8" t="n"/>
      <c r="DE170" s="8" t="n"/>
      <c r="DF170" s="8" t="n"/>
      <c r="DG170" s="8" t="n"/>
      <c r="DH170" s="8" t="n"/>
      <c r="DI170" s="8" t="n"/>
      <c r="DJ170" s="8" t="n"/>
      <c r="DK170" s="8" t="n"/>
      <c r="DL170" s="8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8" t="n"/>
      <c r="ER170" s="8" t="n"/>
      <c r="ES170" s="8" t="n"/>
      <c r="ET170" s="8" t="n"/>
      <c r="EU170" s="8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8" t="n"/>
      <c r="FG170" s="8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ez_manage.py:5740 top()</t>
        </is>
      </c>
      <c r="IK170" s="9" t="inlineStr">
        <is>
          <t>v12_quick_engine.py:3437 x9</t>
        </is>
      </c>
    </row>
    <row r="171" ht="11" customHeight="1">
      <c r="A171" s="10" t="inlineStr">
        <is>
          <t>TRADIER_RSI2_EXIT_THRESHOLD_SHORT</t>
        </is>
      </c>
      <c r="B171" s="11" t="inlineStr">
        <is>
          <t>5.0</t>
        </is>
      </c>
      <c r="E171">
        <f>IF(F171="",E170,IF(F171&gt;0,E170+F171,E170))</f>
        <v/>
      </c>
      <c r="F171">
        <f>IFERROR(VLOOKUP($A171,Results_30d_Deltas!$A$2:$H$5000,8,FALSE)-E170,"")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8" t="n"/>
      <c r="CE171" s="8" t="n"/>
      <c r="CF171" s="8" t="n"/>
      <c r="CG171" s="8" t="n"/>
      <c r="CH171" s="8" t="n"/>
      <c r="CI171" s="8" t="n"/>
      <c r="CJ171" s="8" t="n"/>
      <c r="CK171" s="8" t="n"/>
      <c r="CL171" s="8" t="n"/>
      <c r="CM171" s="8" t="n"/>
      <c r="CN171" s="8" t="n"/>
      <c r="CO171" s="8" t="n"/>
      <c r="CP171" s="8" t="n"/>
      <c r="CQ171" s="8" t="n"/>
      <c r="CR171" s="8" t="n"/>
      <c r="CS171" s="8" t="n"/>
      <c r="CT171" s="8" t="n"/>
      <c r="CU171" s="8" t="n"/>
      <c r="CV171" s="8" t="n"/>
      <c r="CW171" s="8" t="n"/>
      <c r="CX171" s="8" t="n"/>
      <c r="CY171" s="8" t="n"/>
      <c r="CZ171" s="8" t="n"/>
      <c r="DA171" s="8" t="n"/>
      <c r="DB171" s="8" t="n"/>
      <c r="DC171" s="8" t="n"/>
      <c r="DD171" s="8" t="n"/>
      <c r="DE171" s="8" t="n"/>
      <c r="DF171" s="8" t="n"/>
      <c r="DG171" s="8" t="n"/>
      <c r="DH171" s="8" t="n"/>
      <c r="DI171" s="8" t="n"/>
      <c r="DJ171" s="8" t="n"/>
      <c r="DK171" s="8" t="n"/>
      <c r="DL171" s="8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8" t="n"/>
      <c r="ER171" s="8" t="n"/>
      <c r="ES171" s="8" t="n"/>
      <c r="ET171" s="8" t="n"/>
      <c r="EU171" s="8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8" t="n"/>
      <c r="FG171" s="8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ez_manage.py:5741 top()</t>
        </is>
      </c>
      <c r="IK171" s="9" t="inlineStr">
        <is>
          <t>v12_quick_engine.py:3438 x9</t>
        </is>
      </c>
    </row>
    <row r="172" ht="11" customHeight="1">
      <c r="A172" s="10" t="inlineStr">
        <is>
          <t>TRADIER_RSI2_EXIT_THRESHOLD_SHORT</t>
        </is>
      </c>
      <c r="B172" s="11" t="inlineStr">
        <is>
          <t>7.5</t>
        </is>
      </c>
      <c r="E172">
        <f>IF(F172="",E171,IF(F172&gt;0,E171+F172,E171))</f>
        <v/>
      </c>
      <c r="F172">
        <f>IFERROR(VLOOKUP($A172,Results_30d_Deltas!$A$2:$H$5000,8,FALSE)-E171,"")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8" t="n"/>
      <c r="CE172" s="8" t="n"/>
      <c r="CF172" s="8" t="n"/>
      <c r="CG172" s="8" t="n"/>
      <c r="CH172" s="8" t="n"/>
      <c r="CI172" s="8" t="n"/>
      <c r="CJ172" s="8" t="n"/>
      <c r="CK172" s="8" t="n"/>
      <c r="CL172" s="8" t="n"/>
      <c r="CM172" s="8" t="n"/>
      <c r="CN172" s="8" t="n"/>
      <c r="CO172" s="8" t="n"/>
      <c r="CP172" s="8" t="n"/>
      <c r="CQ172" s="8" t="n"/>
      <c r="CR172" s="8" t="n"/>
      <c r="CS172" s="8" t="n"/>
      <c r="CT172" s="8" t="n"/>
      <c r="CU172" s="8" t="n"/>
      <c r="CV172" s="8" t="n"/>
      <c r="CW172" s="8" t="n"/>
      <c r="CX172" s="8" t="n"/>
      <c r="CY172" s="8" t="n"/>
      <c r="CZ172" s="8" t="n"/>
      <c r="DA172" s="8" t="n"/>
      <c r="DB172" s="8" t="n"/>
      <c r="DC172" s="8" t="n"/>
      <c r="DD172" s="8" t="n"/>
      <c r="DE172" s="8" t="n"/>
      <c r="DF172" s="8" t="n"/>
      <c r="DG172" s="8" t="n"/>
      <c r="DH172" s="8" t="n"/>
      <c r="DI172" s="8" t="n"/>
      <c r="DJ172" s="8" t="n"/>
      <c r="DK172" s="8" t="n"/>
      <c r="DL172" s="8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8" t="n"/>
      <c r="ER172" s="8" t="n"/>
      <c r="ES172" s="8" t="n"/>
      <c r="ET172" s="8" t="n"/>
      <c r="EU172" s="8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8" t="n"/>
      <c r="FG172" s="8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ez_manage.py:5741 top()</t>
        </is>
      </c>
      <c r="IK172" s="9" t="inlineStr">
        <is>
          <t>v12_quick_engine.py:3438 x9</t>
        </is>
      </c>
    </row>
    <row r="173" ht="11" customHeight="1">
      <c r="A173" s="6" t="inlineStr">
        <is>
          <t>TRADIER_RSI2_EXIT_THRESHOLD_SHORT</t>
        </is>
      </c>
      <c r="B173" s="7" t="inlineStr">
        <is>
          <t>10.0</t>
        </is>
      </c>
      <c r="E173">
        <f>IF(F173="",E172,IF(F173&gt;0,E172+F173,E172))</f>
        <v/>
      </c>
      <c r="F173">
        <f>IFERROR(VLOOKUP($A173,Results_30d_Deltas!$A$2:$H$5000,8,FALSE)-E172,"")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8" t="n"/>
      <c r="CE173" s="8" t="n"/>
      <c r="CF173" s="8" t="n"/>
      <c r="CG173" s="8" t="n"/>
      <c r="CH173" s="8" t="n"/>
      <c r="CI173" s="8" t="n"/>
      <c r="CJ173" s="8" t="n"/>
      <c r="CK173" s="8" t="n"/>
      <c r="CL173" s="8" t="n"/>
      <c r="CM173" s="8" t="n"/>
      <c r="CN173" s="8" t="n"/>
      <c r="CO173" s="8" t="n"/>
      <c r="CP173" s="8" t="n"/>
      <c r="CQ173" s="8" t="n"/>
      <c r="CR173" s="8" t="n"/>
      <c r="CS173" s="8" t="n"/>
      <c r="CT173" s="8" t="n"/>
      <c r="CU173" s="8" t="n"/>
      <c r="CV173" s="8" t="n"/>
      <c r="CW173" s="8" t="n"/>
      <c r="CX173" s="8" t="n"/>
      <c r="CY173" s="8" t="n"/>
      <c r="CZ173" s="8" t="n"/>
      <c r="DA173" s="8" t="n"/>
      <c r="DB173" s="8" t="n"/>
      <c r="DC173" s="8" t="n"/>
      <c r="DD173" s="8" t="n"/>
      <c r="DE173" s="8" t="n"/>
      <c r="DF173" s="8" t="n"/>
      <c r="DG173" s="8" t="n"/>
      <c r="DH173" s="8" t="n"/>
      <c r="DI173" s="8" t="n"/>
      <c r="DJ173" s="8" t="n"/>
      <c r="DK173" s="8" t="n"/>
      <c r="DL173" s="8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8" t="n"/>
      <c r="ER173" s="8" t="n"/>
      <c r="ES173" s="8" t="n"/>
      <c r="ET173" s="8" t="n"/>
      <c r="EU173" s="8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8" t="n"/>
      <c r="FG173" s="8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ez_manage.py:5741 top()</t>
        </is>
      </c>
      <c r="IK173" s="9" t="inlineStr">
        <is>
          <t>v12_quick_engine.py:3438 x9</t>
        </is>
      </c>
    </row>
    <row r="174" ht="11" customHeight="1">
      <c r="A174" s="10" t="inlineStr">
        <is>
          <t>TRADIER_RSI2_EXIT_THRESHOLD_SHORT</t>
        </is>
      </c>
      <c r="B174" s="11" t="inlineStr">
        <is>
          <t>12.5</t>
        </is>
      </c>
      <c r="E174">
        <f>IF(F174="",E173,IF(F174&gt;0,E173+F174,E173))</f>
        <v/>
      </c>
      <c r="F174">
        <f>IFERROR(VLOOKUP($A174,Results_30d_Deltas!$A$2:$H$5000,8,FALSE)-E173,"")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8" t="n"/>
      <c r="CE174" s="8" t="n"/>
      <c r="CF174" s="8" t="n"/>
      <c r="CG174" s="8" t="n"/>
      <c r="CH174" s="8" t="n"/>
      <c r="CI174" s="8" t="n"/>
      <c r="CJ174" s="8" t="n"/>
      <c r="CK174" s="8" t="n"/>
      <c r="CL174" s="8" t="n"/>
      <c r="CM174" s="8" t="n"/>
      <c r="CN174" s="8" t="n"/>
      <c r="CO174" s="8" t="n"/>
      <c r="CP174" s="8" t="n"/>
      <c r="CQ174" s="8" t="n"/>
      <c r="CR174" s="8" t="n"/>
      <c r="CS174" s="8" t="n"/>
      <c r="CT174" s="8" t="n"/>
      <c r="CU174" s="8" t="n"/>
      <c r="CV174" s="8" t="n"/>
      <c r="CW174" s="8" t="n"/>
      <c r="CX174" s="8" t="n"/>
      <c r="CY174" s="8" t="n"/>
      <c r="CZ174" s="8" t="n"/>
      <c r="DA174" s="8" t="n"/>
      <c r="DB174" s="8" t="n"/>
      <c r="DC174" s="8" t="n"/>
      <c r="DD174" s="8" t="n"/>
      <c r="DE174" s="8" t="n"/>
      <c r="DF174" s="8" t="n"/>
      <c r="DG174" s="8" t="n"/>
      <c r="DH174" s="8" t="n"/>
      <c r="DI174" s="8" t="n"/>
      <c r="DJ174" s="8" t="n"/>
      <c r="DK174" s="8" t="n"/>
      <c r="DL174" s="8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8" t="n"/>
      <c r="ER174" s="8" t="n"/>
      <c r="ES174" s="8" t="n"/>
      <c r="ET174" s="8" t="n"/>
      <c r="EU174" s="8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8" t="n"/>
      <c r="FG174" s="8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ez_manage.py:5741 top()</t>
        </is>
      </c>
      <c r="IK174" s="9" t="inlineStr">
        <is>
          <t>v12_quick_engine.py:3438 x9</t>
        </is>
      </c>
    </row>
    <row r="175" ht="11" customHeight="1">
      <c r="A175" s="10" t="inlineStr">
        <is>
          <t>TRADIER_RSI2_EXIT_THRESHOLD_SHORT</t>
        </is>
      </c>
      <c r="B175" s="11" t="inlineStr">
        <is>
          <t>15.0</t>
        </is>
      </c>
      <c r="E175">
        <f>IF(F175="",E174,IF(F175&gt;0,E174+F175,E174))</f>
        <v/>
      </c>
      <c r="F175">
        <f>IFERROR(VLOOKUP($A175,Results_30d_Deltas!$A$2:$H$5000,8,FALSE)-E174,"")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8" t="n"/>
      <c r="CE175" s="8" t="n"/>
      <c r="CF175" s="8" t="n"/>
      <c r="CG175" s="8" t="n"/>
      <c r="CH175" s="8" t="n"/>
      <c r="CI175" s="8" t="n"/>
      <c r="CJ175" s="8" t="n"/>
      <c r="CK175" s="8" t="n"/>
      <c r="CL175" s="8" t="n"/>
      <c r="CM175" s="8" t="n"/>
      <c r="CN175" s="8" t="n"/>
      <c r="CO175" s="8" t="n"/>
      <c r="CP175" s="8" t="n"/>
      <c r="CQ175" s="8" t="n"/>
      <c r="CR175" s="8" t="n"/>
      <c r="CS175" s="8" t="n"/>
      <c r="CT175" s="8" t="n"/>
      <c r="CU175" s="8" t="n"/>
      <c r="CV175" s="8" t="n"/>
      <c r="CW175" s="8" t="n"/>
      <c r="CX175" s="8" t="n"/>
      <c r="CY175" s="8" t="n"/>
      <c r="CZ175" s="8" t="n"/>
      <c r="DA175" s="8" t="n"/>
      <c r="DB175" s="8" t="n"/>
      <c r="DC175" s="8" t="n"/>
      <c r="DD175" s="8" t="n"/>
      <c r="DE175" s="8" t="n"/>
      <c r="DF175" s="8" t="n"/>
      <c r="DG175" s="8" t="n"/>
      <c r="DH175" s="8" t="n"/>
      <c r="DI175" s="8" t="n"/>
      <c r="DJ175" s="8" t="n"/>
      <c r="DK175" s="8" t="n"/>
      <c r="DL175" s="8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8" t="n"/>
      <c r="ER175" s="8" t="n"/>
      <c r="ES175" s="8" t="n"/>
      <c r="ET175" s="8" t="n"/>
      <c r="EU175" s="8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8" t="n"/>
      <c r="FG175" s="8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ez_manage.py:5741 top()</t>
        </is>
      </c>
      <c r="IK175" s="9" t="inlineStr">
        <is>
          <t>v12_quick_engine.py:3438 x9</t>
        </is>
      </c>
    </row>
    <row r="176" ht="11" customHeight="1">
      <c r="A176" s="10" t="inlineStr">
        <is>
          <t>TREND_MIN_GAIN_EXIT</t>
        </is>
      </c>
      <c r="B176" s="11" t="inlineStr">
        <is>
          <t>0</t>
        </is>
      </c>
      <c r="E176">
        <f>IF(F176="",E175,IF(F176&gt;0,E175+F176,E175))</f>
        <v/>
      </c>
      <c r="F176">
        <f>IFERROR(VLOOKUP($A176,Results_30d_Deltas!$A$2:$H$5000,8,FALSE)-E175,"")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8" t="n"/>
      <c r="CE176" s="8" t="n"/>
      <c r="CF176" s="8" t="n"/>
      <c r="CG176" s="8" t="n"/>
      <c r="CH176" s="8" t="n"/>
      <c r="CI176" s="8" t="n"/>
      <c r="CJ176" s="8" t="n"/>
      <c r="CK176" s="8" t="n"/>
      <c r="CL176" s="8" t="n"/>
      <c r="CM176" s="8" t="n"/>
      <c r="CN176" s="8" t="n"/>
      <c r="CO176" s="8" t="n"/>
      <c r="CP176" s="8" t="n"/>
      <c r="CQ176" s="8" t="n"/>
      <c r="CR176" s="8" t="n"/>
      <c r="CS176" s="8" t="n"/>
      <c r="CT176" s="8" t="n"/>
      <c r="CU176" s="8" t="n"/>
      <c r="CV176" s="8" t="n"/>
      <c r="CW176" s="8" t="n"/>
      <c r="CX176" s="8" t="n"/>
      <c r="CY176" s="8" t="n"/>
      <c r="CZ176" s="8" t="n"/>
      <c r="DA176" s="8" t="n"/>
      <c r="DB176" s="8" t="n"/>
      <c r="DC176" s="8" t="n"/>
      <c r="DD176" s="8" t="n"/>
      <c r="DE176" s="8" t="n"/>
      <c r="DF176" s="8" t="n"/>
      <c r="DG176" s="8" t="n"/>
      <c r="DH176" s="8" t="n"/>
      <c r="DI176" s="8" t="n"/>
      <c r="DJ176" s="8" t="n"/>
      <c r="DK176" s="8" t="n"/>
      <c r="DL176" s="8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8" t="n"/>
      <c r="ER176" s="8" t="n"/>
      <c r="ES176" s="8" t="n"/>
      <c r="ET176" s="8" t="n"/>
      <c r="EU176" s="8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8" t="n"/>
      <c r="FG176" s="8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ez_manage.py:4205 top()</t>
        </is>
      </c>
      <c r="IK176" s="9" t="inlineStr">
        <is>
          <t>v12_quick_engine.py:3545 x2</t>
        </is>
      </c>
    </row>
    <row r="177" ht="11" customHeight="1">
      <c r="A177" s="10" t="inlineStr">
        <is>
          <t>TREND_MIN_GAIN_EXIT</t>
        </is>
      </c>
      <c r="B177" s="11" t="inlineStr">
        <is>
          <t>0.5</t>
        </is>
      </c>
      <c r="E177">
        <f>IF(F177="",E176,IF(F177&gt;0,E176+F177,E176))</f>
        <v/>
      </c>
      <c r="F177">
        <f>IFERROR(VLOOKUP($A177,Results_30d_Deltas!$A$2:$H$5000,8,FALSE)-E176,"")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8" t="n"/>
      <c r="CE177" s="8" t="n"/>
      <c r="CF177" s="8" t="n"/>
      <c r="CG177" s="8" t="n"/>
      <c r="CH177" s="8" t="n"/>
      <c r="CI177" s="8" t="n"/>
      <c r="CJ177" s="8" t="n"/>
      <c r="CK177" s="8" t="n"/>
      <c r="CL177" s="8" t="n"/>
      <c r="CM177" s="8" t="n"/>
      <c r="CN177" s="8" t="n"/>
      <c r="CO177" s="8" t="n"/>
      <c r="CP177" s="8" t="n"/>
      <c r="CQ177" s="8" t="n"/>
      <c r="CR177" s="8" t="n"/>
      <c r="CS177" s="8" t="n"/>
      <c r="CT177" s="8" t="n"/>
      <c r="CU177" s="8" t="n"/>
      <c r="CV177" s="8" t="n"/>
      <c r="CW177" s="8" t="n"/>
      <c r="CX177" s="8" t="n"/>
      <c r="CY177" s="8" t="n"/>
      <c r="CZ177" s="8" t="n"/>
      <c r="DA177" s="8" t="n"/>
      <c r="DB177" s="8" t="n"/>
      <c r="DC177" s="8" t="n"/>
      <c r="DD177" s="8" t="n"/>
      <c r="DE177" s="8" t="n"/>
      <c r="DF177" s="8" t="n"/>
      <c r="DG177" s="8" t="n"/>
      <c r="DH177" s="8" t="n"/>
      <c r="DI177" s="8" t="n"/>
      <c r="DJ177" s="8" t="n"/>
      <c r="DK177" s="8" t="n"/>
      <c r="DL177" s="8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8" t="n"/>
      <c r="ER177" s="8" t="n"/>
      <c r="ES177" s="8" t="n"/>
      <c r="ET177" s="8" t="n"/>
      <c r="EU177" s="8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8" t="n"/>
      <c r="FG177" s="8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ez_manage.py:4205 top()</t>
        </is>
      </c>
      <c r="IK177" s="9" t="inlineStr">
        <is>
          <t>v12_quick_engine.py:3545 x2</t>
        </is>
      </c>
    </row>
    <row r="178" ht="11" customHeight="1">
      <c r="A178" s="10" t="inlineStr">
        <is>
          <t>TREND_MIN_GAIN_EXIT</t>
        </is>
      </c>
      <c r="B178" s="11" t="inlineStr">
        <is>
          <t>1.0</t>
        </is>
      </c>
      <c r="E178">
        <f>IF(F178="",E177,IF(F178&gt;0,E177+F178,E177))</f>
        <v/>
      </c>
      <c r="F178">
        <f>IFERROR(VLOOKUP($A178,Results_30d_Deltas!$A$2:$H$5000,8,FALSE)-E177,"")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8" t="n"/>
      <c r="CE178" s="8" t="n"/>
      <c r="CF178" s="8" t="n"/>
      <c r="CG178" s="8" t="n"/>
      <c r="CH178" s="8" t="n"/>
      <c r="CI178" s="8" t="n"/>
      <c r="CJ178" s="8" t="n"/>
      <c r="CK178" s="8" t="n"/>
      <c r="CL178" s="8" t="n"/>
      <c r="CM178" s="8" t="n"/>
      <c r="CN178" s="8" t="n"/>
      <c r="CO178" s="8" t="n"/>
      <c r="CP178" s="8" t="n"/>
      <c r="CQ178" s="8" t="n"/>
      <c r="CR178" s="8" t="n"/>
      <c r="CS178" s="8" t="n"/>
      <c r="CT178" s="8" t="n"/>
      <c r="CU178" s="8" t="n"/>
      <c r="CV178" s="8" t="n"/>
      <c r="CW178" s="8" t="n"/>
      <c r="CX178" s="8" t="n"/>
      <c r="CY178" s="8" t="n"/>
      <c r="CZ178" s="8" t="n"/>
      <c r="DA178" s="8" t="n"/>
      <c r="DB178" s="8" t="n"/>
      <c r="DC178" s="8" t="n"/>
      <c r="DD178" s="8" t="n"/>
      <c r="DE178" s="8" t="n"/>
      <c r="DF178" s="8" t="n"/>
      <c r="DG178" s="8" t="n"/>
      <c r="DH178" s="8" t="n"/>
      <c r="DI178" s="8" t="n"/>
      <c r="DJ178" s="8" t="n"/>
      <c r="DK178" s="8" t="n"/>
      <c r="DL178" s="8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8" t="n"/>
      <c r="ER178" s="8" t="n"/>
      <c r="ES178" s="8" t="n"/>
      <c r="ET178" s="8" t="n"/>
      <c r="EU178" s="8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8" t="n"/>
      <c r="FG178" s="8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ez_manage.py:4205 top()</t>
        </is>
      </c>
      <c r="IK178" s="9" t="inlineStr">
        <is>
          <t>v12_quick_engine.py:3545 x2</t>
        </is>
      </c>
    </row>
    <row r="179" ht="11" customHeight="1">
      <c r="A179" s="10" t="inlineStr">
        <is>
          <t>TREND_MIN_GAIN_EXIT</t>
        </is>
      </c>
      <c r="B179" s="11" t="inlineStr">
        <is>
          <t>2.0</t>
        </is>
      </c>
      <c r="E179">
        <f>IF(F179="",E178,IF(F179&gt;0,E178+F179,E178))</f>
        <v/>
      </c>
      <c r="F179">
        <f>IFERROR(VLOOKUP($A179,Results_30d_Deltas!$A$2:$H$5000,8,FALSE)-E178,"")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8" t="n"/>
      <c r="CE179" s="8" t="n"/>
      <c r="CF179" s="8" t="n"/>
      <c r="CG179" s="8" t="n"/>
      <c r="CH179" s="8" t="n"/>
      <c r="CI179" s="8" t="n"/>
      <c r="CJ179" s="8" t="n"/>
      <c r="CK179" s="8" t="n"/>
      <c r="CL179" s="8" t="n"/>
      <c r="CM179" s="8" t="n"/>
      <c r="CN179" s="8" t="n"/>
      <c r="CO179" s="8" t="n"/>
      <c r="CP179" s="8" t="n"/>
      <c r="CQ179" s="8" t="n"/>
      <c r="CR179" s="8" t="n"/>
      <c r="CS179" s="8" t="n"/>
      <c r="CT179" s="8" t="n"/>
      <c r="CU179" s="8" t="n"/>
      <c r="CV179" s="8" t="n"/>
      <c r="CW179" s="8" t="n"/>
      <c r="CX179" s="8" t="n"/>
      <c r="CY179" s="8" t="n"/>
      <c r="CZ179" s="8" t="n"/>
      <c r="DA179" s="8" t="n"/>
      <c r="DB179" s="8" t="n"/>
      <c r="DC179" s="8" t="n"/>
      <c r="DD179" s="8" t="n"/>
      <c r="DE179" s="8" t="n"/>
      <c r="DF179" s="8" t="n"/>
      <c r="DG179" s="8" t="n"/>
      <c r="DH179" s="8" t="n"/>
      <c r="DI179" s="8" t="n"/>
      <c r="DJ179" s="8" t="n"/>
      <c r="DK179" s="8" t="n"/>
      <c r="DL179" s="8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8" t="n"/>
      <c r="ER179" s="8" t="n"/>
      <c r="ES179" s="8" t="n"/>
      <c r="ET179" s="8" t="n"/>
      <c r="EU179" s="8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8" t="n"/>
      <c r="FG179" s="8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ez_manage.py:4205 top()</t>
        </is>
      </c>
      <c r="IK179" s="9" t="inlineStr">
        <is>
          <t>v12_quick_engine.py:3545 x2</t>
        </is>
      </c>
    </row>
    <row r="180" ht="11" customHeight="1">
      <c r="A180" s="10" t="inlineStr">
        <is>
          <t>V8_ENTRY_ENGINE_DC_ENABLED</t>
        </is>
      </c>
      <c r="B180" s="11" t="inlineStr">
        <is>
          <t>False</t>
        </is>
      </c>
      <c r="E180">
        <f>IF(F180="",E179,IF(F180&gt;0,E179+F180,E179))</f>
        <v/>
      </c>
      <c r="F180">
        <f>IFERROR(VLOOKUP($A180,Results_30d_Deltas!$A$2:$H$5000,8,FALSE)-E179,"")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8" t="n"/>
      <c r="BZ180" s="8" t="n"/>
      <c r="CA180" s="8" t="n"/>
      <c r="CB180" s="8" t="n"/>
      <c r="CC180" s="8" t="n"/>
      <c r="CD180" s="8" t="n"/>
      <c r="CE180" s="8" t="n"/>
      <c r="CF180" s="8" t="n"/>
      <c r="CG180" s="8" t="n"/>
      <c r="CH180" s="8" t="n"/>
      <c r="CI180" s="8" t="n"/>
      <c r="CJ180" s="8" t="n"/>
      <c r="CK180" s="8" t="n"/>
      <c r="CL180" s="8" t="n"/>
      <c r="CM180" s="8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8" t="n"/>
      <c r="ER180" s="8" t="n"/>
      <c r="ES180" s="8" t="n"/>
      <c r="ET180" s="8" t="n"/>
      <c r="EU180" s="8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8" t="n"/>
      <c r="FG180" s="8" t="n"/>
      <c r="FH180" s="8" t="n"/>
      <c r="FI180" s="8" t="n"/>
      <c r="FJ180" s="8" t="n"/>
      <c r="FK180" s="8" t="n"/>
      <c r="FL180" s="8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8" t="n"/>
      <c r="HX180" s="8" t="n"/>
      <c r="HY180" s="8" t="n"/>
      <c r="HZ180" s="8" t="n"/>
      <c r="IA180" s="8" t="n"/>
      <c r="IB180" s="8" t="n"/>
      <c r="IC180" s="8" t="n"/>
      <c r="ID180" s="8" t="n"/>
      <c r="IE180" s="8" t="n"/>
      <c r="IF180" s="8" t="n"/>
      <c r="IG180" s="8" t="n"/>
      <c r="IH180" s="8" t="n"/>
      <c r="IJ180" s="9" t="inlineStr">
        <is>
          <t>ez_manage.py:6073 top()</t>
        </is>
      </c>
      <c r="IK180" s="9" t="inlineStr">
        <is>
          <t>v12_quick_engine.py:4285 x4</t>
        </is>
      </c>
    </row>
    <row r="181" ht="11" customHeight="1">
      <c r="A181" s="6" t="inlineStr">
        <is>
          <t>V8_ENTRY_ENGINE_DC_ENABLED</t>
        </is>
      </c>
      <c r="B181" s="7" t="inlineStr">
        <is>
          <t>True</t>
        </is>
      </c>
      <c r="E181">
        <f>IF(F181="",E180,IF(F181&gt;0,E180+F181,E180))</f>
        <v/>
      </c>
      <c r="F181">
        <f>IFERROR(VLOOKUP($A181,Results_30d_Deltas!$A$2:$H$5000,8,FALSE)-E180,"")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8" t="n"/>
      <c r="BZ181" s="8" t="n"/>
      <c r="CA181" s="8" t="n"/>
      <c r="CB181" s="8" t="n"/>
      <c r="CC181" s="8" t="n"/>
      <c r="CD181" s="8" t="n"/>
      <c r="CE181" s="8" t="n"/>
      <c r="CF181" s="8" t="n"/>
      <c r="CG181" s="8" t="n"/>
      <c r="CH181" s="8" t="n"/>
      <c r="CI181" s="8" t="n"/>
      <c r="CJ181" s="8" t="n"/>
      <c r="CK181" s="8" t="n"/>
      <c r="CL181" s="8" t="n"/>
      <c r="CM181" s="8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8" t="n"/>
      <c r="ER181" s="8" t="n"/>
      <c r="ES181" s="8" t="n"/>
      <c r="ET181" s="8" t="n"/>
      <c r="EU181" s="8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8" t="n"/>
      <c r="FG181" s="8" t="n"/>
      <c r="FH181" s="8" t="n"/>
      <c r="FI181" s="8" t="n"/>
      <c r="FJ181" s="8" t="n"/>
      <c r="FK181" s="8" t="n"/>
      <c r="FL181" s="8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8" t="n"/>
      <c r="HX181" s="8" t="n"/>
      <c r="HY181" s="8" t="n"/>
      <c r="HZ181" s="8" t="n"/>
      <c r="IA181" s="8" t="n"/>
      <c r="IB181" s="8" t="n"/>
      <c r="IC181" s="8" t="n"/>
      <c r="ID181" s="8" t="n"/>
      <c r="IE181" s="8" t="n"/>
      <c r="IF181" s="8" t="n"/>
      <c r="IG181" s="8" t="n"/>
      <c r="IH181" s="8" t="n"/>
      <c r="IJ181" s="9" t="inlineStr">
        <is>
          <t>ez_manage.py:6073 top()</t>
        </is>
      </c>
      <c r="IK181" s="9" t="inlineStr">
        <is>
          <t>v12_quick_engine.py:4285 x4</t>
        </is>
      </c>
    </row>
    <row r="182" ht="11" customHeight="1">
      <c r="A182" s="10" t="inlineStr">
        <is>
          <t>V8_ENTRY_ENGINE_WT_ENABLED</t>
        </is>
      </c>
      <c r="B182" s="11" t="inlineStr">
        <is>
          <t>False</t>
        </is>
      </c>
      <c r="E182">
        <f>IF(F182="",E181,IF(F182&gt;0,E181+F182,E181))</f>
        <v/>
      </c>
      <c r="F182">
        <f>IFERROR(VLOOKUP($A182,Results_30d_Deltas!$A$2:$H$5000,8,FALSE)-E181,"")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8" t="n"/>
      <c r="BZ182" s="8" t="n"/>
      <c r="CA182" s="8" t="n"/>
      <c r="CB182" s="8" t="n"/>
      <c r="CC182" s="8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8" t="n"/>
      <c r="FI182" s="8" t="n"/>
      <c r="FJ182" s="8" t="n"/>
      <c r="FK182" s="8" t="n"/>
      <c r="FL182" s="8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8" t="n"/>
      <c r="HX182" s="8" t="n"/>
      <c r="HY182" s="8" t="n"/>
      <c r="HZ182" s="8" t="n"/>
      <c r="IA182" s="8" t="n"/>
      <c r="IB182" s="8" t="n"/>
      <c r="IC182" s="8" t="n"/>
      <c r="ID182" s="8" t="n"/>
      <c r="IE182" s="8" t="n"/>
      <c r="IF182" s="8" t="n"/>
      <c r="IG182" s="8" t="n"/>
      <c r="IH182" s="8" t="n"/>
      <c r="IJ182" s="9" t="inlineStr">
        <is>
          <t>ez_manage.py:6074 top()</t>
        </is>
      </c>
      <c r="IK182" s="9" t="inlineStr">
        <is>
          <t>v12_quick_engine.py:4286 x4</t>
        </is>
      </c>
    </row>
    <row r="183" ht="11" customHeight="1">
      <c r="A183" s="6" t="inlineStr">
        <is>
          <t>V8_ENTRY_ENGINE_WT_ENABLED</t>
        </is>
      </c>
      <c r="B183" s="7" t="inlineStr">
        <is>
          <t>True</t>
        </is>
      </c>
      <c r="E183">
        <f>IF(F183="",E182,IF(F183&gt;0,E182+F183,E182))</f>
        <v/>
      </c>
      <c r="F183">
        <f>IFERROR(VLOOKUP($A183,Results_30d_Deltas!$A$2:$H$5000,8,FALSE)-E182,"")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8" t="n"/>
      <c r="BZ183" s="8" t="n"/>
      <c r="CA183" s="8" t="n"/>
      <c r="CB183" s="8" t="n"/>
      <c r="CC183" s="8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8" t="n"/>
      <c r="FI183" s="8" t="n"/>
      <c r="FJ183" s="8" t="n"/>
      <c r="FK183" s="8" t="n"/>
      <c r="FL183" s="8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8" t="n"/>
      <c r="HX183" s="8" t="n"/>
      <c r="HY183" s="8" t="n"/>
      <c r="HZ183" s="8" t="n"/>
      <c r="IA183" s="8" t="n"/>
      <c r="IB183" s="8" t="n"/>
      <c r="IC183" s="8" t="n"/>
      <c r="ID183" s="8" t="n"/>
      <c r="IE183" s="8" t="n"/>
      <c r="IF183" s="8" t="n"/>
      <c r="IG183" s="8" t="n"/>
      <c r="IH183" s="8" t="n"/>
      <c r="IJ183" s="9" t="inlineStr">
        <is>
          <t>ez_manage.py:6074 top()</t>
        </is>
      </c>
      <c r="IK183" s="9" t="inlineStr">
        <is>
          <t>v12_quick_engine.py:4286 x4</t>
        </is>
      </c>
    </row>
    <row r="184" ht="11" customHeight="1">
      <c r="A184" s="10" t="inlineStr">
        <is>
          <t>WRONG_SIDE_WT_TFS_REQUIRED</t>
        </is>
      </c>
      <c r="B184" s="11" t="inlineStr">
        <is>
          <t>2</t>
        </is>
      </c>
      <c r="E184">
        <f>IF(F184="",E183,IF(F184&gt;0,E183+F184,E183))</f>
        <v/>
      </c>
      <c r="F184">
        <f>IFERROR(VLOOKUP($A184,Results_30d_Deltas!$A$2:$H$5000,8,FALSE)-E183,"")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8" t="n"/>
      <c r="FS184" s="8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8" t="n"/>
      <c r="HI184" s="8" t="n"/>
      <c r="HJ184" s="8" t="n"/>
      <c r="HK184" s="8" t="n"/>
      <c r="HL184" s="8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ez_manage.py:4278 top()</t>
        </is>
      </c>
      <c r="IK184" s="9" t="inlineStr">
        <is>
          <t>v12_quick_engine.py:3667 x3</t>
        </is>
      </c>
    </row>
    <row r="185" ht="11" customHeight="1">
      <c r="A185" s="10" t="inlineStr">
        <is>
          <t>WRONG_SIDE_WT_TFS_REQUIRED</t>
        </is>
      </c>
      <c r="B185" s="11" t="inlineStr">
        <is>
          <t>3</t>
        </is>
      </c>
      <c r="E185">
        <f>IF(F185="",E184,IF(F185&gt;0,E184+F185,E184))</f>
        <v/>
      </c>
      <c r="F185">
        <f>IFERROR(VLOOKUP($A185,Results_30d_Deltas!$A$2:$H$5000,8,FALSE)-E184,"")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8" t="n"/>
      <c r="FS185" s="8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8" t="n"/>
      <c r="HI185" s="8" t="n"/>
      <c r="HJ185" s="8" t="n"/>
      <c r="HK185" s="8" t="n"/>
      <c r="HL185" s="8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ez_manage.py:4278 top()</t>
        </is>
      </c>
      <c r="IK185" s="9" t="inlineStr">
        <is>
          <t>v12_quick_engine.py:3667 x3</t>
        </is>
      </c>
    </row>
    <row r="186" ht="11" customHeight="1">
      <c r="A186" s="6" t="inlineStr">
        <is>
          <t>WRONG_SIDE_WT_TFS_REQUIRED</t>
        </is>
      </c>
      <c r="B186" s="7" t="inlineStr">
        <is>
          <t>4</t>
        </is>
      </c>
      <c r="E186">
        <f>IF(F186="",E185,IF(F186&gt;0,E185+F186,E185))</f>
        <v/>
      </c>
      <c r="F186">
        <f>IFERROR(VLOOKUP($A186,Results_30d_Deltas!$A$2:$H$5000,8,FALSE)-E185,"")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8" t="n"/>
      <c r="FS186" s="8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8" t="n"/>
      <c r="HI186" s="8" t="n"/>
      <c r="HJ186" s="8" t="n"/>
      <c r="HK186" s="8" t="n"/>
      <c r="HL186" s="8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ez_manage.py:4278 top()</t>
        </is>
      </c>
      <c r="IK186" s="9" t="inlineStr">
        <is>
          <t>v12_quick_engine.py:3667 x3</t>
        </is>
      </c>
    </row>
    <row r="187" ht="11" customHeight="1">
      <c r="A187" s="10" t="inlineStr">
        <is>
          <t>WRONG_SIDE_WT_TFS_REQUIRED</t>
        </is>
      </c>
      <c r="B187" s="11" t="inlineStr">
        <is>
          <t>5</t>
        </is>
      </c>
      <c r="E187">
        <f>IF(F187="",E186,IF(F187&gt;0,E186+F187,E186))</f>
        <v/>
      </c>
      <c r="F187">
        <f>IFERROR(VLOOKUP($A187,Results_30d_Deltas!$A$2:$H$5000,8,FALSE)-E186,"")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8" t="n"/>
      <c r="FS187" s="8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8" t="n"/>
      <c r="HI187" s="8" t="n"/>
      <c r="HJ187" s="8" t="n"/>
      <c r="HK187" s="8" t="n"/>
      <c r="HL187" s="8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ez_manage.py:4278 top()</t>
        </is>
      </c>
      <c r="IK187" s="9" t="inlineStr">
        <is>
          <t>v12_quick_engine.py:3667 x3</t>
        </is>
      </c>
    </row>
    <row r="188" ht="11" customHeight="1">
      <c r="A188" s="10" t="inlineStr">
        <is>
          <t>WRONG_SIDE_WT_TFS_REQUIRED</t>
        </is>
      </c>
      <c r="B188" s="11" t="inlineStr">
        <is>
          <t>6</t>
        </is>
      </c>
      <c r="E188">
        <f>IF(F188="",E187,IF(F188&gt;0,E187+F188,E187))</f>
        <v/>
      </c>
      <c r="F188">
        <f>IFERROR(VLOOKUP($A188,Results_30d_Deltas!$A$2:$H$5000,8,FALSE)-E187,"")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8" t="n"/>
      <c r="FS188" s="8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8" t="n"/>
      <c r="HI188" s="8" t="n"/>
      <c r="HJ188" s="8" t="n"/>
      <c r="HK188" s="8" t="n"/>
      <c r="HL188" s="8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ez_manage.py:4278 top()</t>
        </is>
      </c>
      <c r="IK188" s="9" t="inlineStr">
        <is>
          <t>v12_quick_engine.py:3667 x3</t>
        </is>
      </c>
    </row>
    <row r="189" ht="11" customHeight="1">
      <c r="A189" s="6" t="inlineStr">
        <is>
          <t>WT_15M_CROSS_ENTRY_ENABLED</t>
        </is>
      </c>
      <c r="B189" s="7" t="inlineStr">
        <is>
          <t>False</t>
        </is>
      </c>
      <c r="E189">
        <f>IF(F189="",E188,IF(F189&gt;0,E188+F189,E188))</f>
        <v/>
      </c>
      <c r="F189">
        <f>IFERROR(VLOOKUP($A189,Results_30d_Deltas!$A$2:$H$5000,8,FALSE)-E188,"")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8" t="n"/>
      <c r="FI189" s="8" t="n"/>
      <c r="FJ189" s="8" t="n"/>
      <c r="FK189" s="8" t="n"/>
      <c r="FL189" s="8" t="n"/>
      <c r="FM189" s="8" t="n"/>
      <c r="FN189" s="8" t="n"/>
      <c r="FO189" s="8" t="n"/>
      <c r="FP189" s="8" t="n"/>
      <c r="FQ189" s="8" t="n"/>
      <c r="FR189" s="8" t="n"/>
      <c r="FS189" s="8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8" t="n"/>
      <c r="HI189" s="8" t="n"/>
      <c r="HJ189" s="8" t="n"/>
      <c r="HK189" s="8" t="n"/>
      <c r="HL189" s="8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8" t="n"/>
      <c r="HX189" s="8" t="n"/>
      <c r="HY189" s="8" t="n"/>
      <c r="HZ189" s="8" t="n"/>
      <c r="IA189" s="8" t="n"/>
      <c r="IB189" s="8" t="n"/>
      <c r="IC189" s="8" t="n"/>
      <c r="ID189" s="8" t="n"/>
      <c r="IE189" s="8" t="n"/>
      <c r="IF189" s="8" t="n"/>
      <c r="IG189" s="8" t="n"/>
      <c r="IH189" s="8" t="n"/>
      <c r="IJ189" s="9" t="inlineStr">
        <is>
          <t>ez_manage.py:6077 top()</t>
        </is>
      </c>
      <c r="IK189" s="9" t="inlineStr">
        <is>
          <t>v12_quick_engine.py:4289 x4</t>
        </is>
      </c>
    </row>
    <row r="190" ht="11" customHeight="1">
      <c r="A190" s="10" t="inlineStr">
        <is>
          <t>WT_15M_CROSS_ENTRY_ENABLED</t>
        </is>
      </c>
      <c r="B190" s="11" t="inlineStr">
        <is>
          <t>True</t>
        </is>
      </c>
      <c r="E190">
        <f>IF(F190="",E189,IF(F190&gt;0,E189+F190,E189))</f>
        <v/>
      </c>
      <c r="F190">
        <f>IFERROR(VLOOKUP($A190,Results_30d_Deltas!$A$2:$H$5000,8,FALSE)-E189,"")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8" t="n"/>
      <c r="FI190" s="8" t="n"/>
      <c r="FJ190" s="8" t="n"/>
      <c r="FK190" s="8" t="n"/>
      <c r="FL190" s="8" t="n"/>
      <c r="FM190" s="8" t="n"/>
      <c r="FN190" s="8" t="n"/>
      <c r="FO190" s="8" t="n"/>
      <c r="FP190" s="8" t="n"/>
      <c r="FQ190" s="8" t="n"/>
      <c r="FR190" s="8" t="n"/>
      <c r="FS190" s="8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8" t="n"/>
      <c r="HI190" s="8" t="n"/>
      <c r="HJ190" s="8" t="n"/>
      <c r="HK190" s="8" t="n"/>
      <c r="HL190" s="8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8" t="n"/>
      <c r="HX190" s="8" t="n"/>
      <c r="HY190" s="8" t="n"/>
      <c r="HZ190" s="8" t="n"/>
      <c r="IA190" s="8" t="n"/>
      <c r="IB190" s="8" t="n"/>
      <c r="IC190" s="8" t="n"/>
      <c r="ID190" s="8" t="n"/>
      <c r="IE190" s="8" t="n"/>
      <c r="IF190" s="8" t="n"/>
      <c r="IG190" s="8" t="n"/>
      <c r="IH190" s="8" t="n"/>
      <c r="IJ190" s="9" t="inlineStr">
        <is>
          <t>ez_manage.py:6077 top()</t>
        </is>
      </c>
      <c r="IK190" s="9" t="inlineStr">
        <is>
          <t>v12_quick_engine.py:4289 x4</t>
        </is>
      </c>
    </row>
    <row r="191" ht="11" customHeight="1">
      <c r="A191" s="10" t="inlineStr">
        <is>
          <t>WT_COMPOSITE_ENTRY_BLOCK</t>
        </is>
      </c>
      <c r="B191" s="11" t="inlineStr">
        <is>
          <t>-30.0</t>
        </is>
      </c>
      <c r="E191">
        <f>IF(F191="",E190,IF(F191&gt;0,E190+F191,E190))</f>
        <v/>
      </c>
      <c r="F191">
        <f>IFERROR(VLOOKUP($A191,Results_30d_Deltas!$A$2:$H$5000,8,FALSE)-E190,"")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8" t="n"/>
      <c r="FI191" s="8" t="n"/>
      <c r="FJ191" s="8" t="n"/>
      <c r="FK191" s="8" t="n"/>
      <c r="FL191" s="8" t="n"/>
      <c r="FM191" s="8" t="n"/>
      <c r="FN191" s="8" t="n"/>
      <c r="FO191" s="8" t="n"/>
      <c r="FP191" s="8" t="n"/>
      <c r="FQ191" s="8" t="n"/>
      <c r="FR191" s="8" t="n"/>
      <c r="FS191" s="8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8" t="n"/>
      <c r="HI191" s="8" t="n"/>
      <c r="HJ191" s="8" t="n"/>
      <c r="HK191" s="8" t="n"/>
      <c r="HL191" s="8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ez_manage.py:5891 top()</t>
        </is>
      </c>
      <c r="IK191" s="9" t="inlineStr">
        <is>
          <t>v12_quick_engine.py:3710 x2</t>
        </is>
      </c>
    </row>
    <row r="192" ht="11" customHeight="1">
      <c r="A192" s="10" t="inlineStr">
        <is>
          <t>WT_COMPOSITE_ENTRY_BLOCK</t>
        </is>
      </c>
      <c r="B192" s="11" t="inlineStr">
        <is>
          <t>-25.0</t>
        </is>
      </c>
      <c r="E192">
        <f>IF(F192="",E191,IF(F192&gt;0,E191+F192,E191))</f>
        <v/>
      </c>
      <c r="F192">
        <f>IFERROR(VLOOKUP($A192,Results_30d_Deltas!$A$2:$H$5000,8,FALSE)-E191,"")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8" t="n"/>
      <c r="FI192" s="8" t="n"/>
      <c r="FJ192" s="8" t="n"/>
      <c r="FK192" s="8" t="n"/>
      <c r="FL192" s="8" t="n"/>
      <c r="FM192" s="8" t="n"/>
      <c r="FN192" s="8" t="n"/>
      <c r="FO192" s="8" t="n"/>
      <c r="FP192" s="8" t="n"/>
      <c r="FQ192" s="8" t="n"/>
      <c r="FR192" s="8" t="n"/>
      <c r="FS192" s="8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ez_manage.py:5891 top()</t>
        </is>
      </c>
      <c r="IK192" s="9" t="inlineStr">
        <is>
          <t>v12_quick_engine.py:3710 x2</t>
        </is>
      </c>
    </row>
    <row r="193" ht="11" customHeight="1">
      <c r="A193" s="6" t="inlineStr">
        <is>
          <t>WT_COMPOSITE_ENTRY_BLOCK</t>
        </is>
      </c>
      <c r="B193" s="7" t="inlineStr">
        <is>
          <t>-20.0</t>
        </is>
      </c>
      <c r="E193">
        <f>IF(F193="",E192,IF(F193&gt;0,E192+F193,E192))</f>
        <v/>
      </c>
      <c r="F193">
        <f>IFERROR(VLOOKUP($A193,Results_30d_Deltas!$A$2:$H$5000,8,FALSE)-E192,"")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8" t="n"/>
      <c r="FI193" s="8" t="n"/>
      <c r="FJ193" s="8" t="n"/>
      <c r="FK193" s="8" t="n"/>
      <c r="FL193" s="8" t="n"/>
      <c r="FM193" s="8" t="n"/>
      <c r="FN193" s="8" t="n"/>
      <c r="FO193" s="8" t="n"/>
      <c r="FP193" s="8" t="n"/>
      <c r="FQ193" s="8" t="n"/>
      <c r="FR193" s="8" t="n"/>
      <c r="FS193" s="8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ez_manage.py:5891 top()</t>
        </is>
      </c>
      <c r="IK193" s="9" t="inlineStr">
        <is>
          <t>v12_quick_engine.py:3710 x2</t>
        </is>
      </c>
    </row>
    <row r="194" ht="11" customHeight="1">
      <c r="A194" s="10" t="inlineStr">
        <is>
          <t>WT_COMPOSITE_ENTRY_BLOCK</t>
        </is>
      </c>
      <c r="B194" s="11" t="inlineStr">
        <is>
          <t>-15.0</t>
        </is>
      </c>
      <c r="E194">
        <f>IF(F194="",E193,IF(F194&gt;0,E193+F194,E193))</f>
        <v/>
      </c>
      <c r="F194">
        <f>IFERROR(VLOOKUP($A194,Results_30d_Deltas!$A$2:$H$5000,8,FALSE)-E193,"")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8" t="n"/>
      <c r="FI194" s="8" t="n"/>
      <c r="FJ194" s="8" t="n"/>
      <c r="FK194" s="8" t="n"/>
      <c r="FL194" s="8" t="n"/>
      <c r="FM194" s="8" t="n"/>
      <c r="FN194" s="8" t="n"/>
      <c r="FO194" s="8" t="n"/>
      <c r="FP194" s="8" t="n"/>
      <c r="FQ194" s="8" t="n"/>
      <c r="FR194" s="8" t="n"/>
      <c r="FS194" s="8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ez_manage.py:5891 top()</t>
        </is>
      </c>
      <c r="IK194" s="9" t="inlineStr">
        <is>
          <t>v12_quick_engine.py:3710 x2</t>
        </is>
      </c>
    </row>
    <row r="195" ht="11" customHeight="1">
      <c r="A195" s="10" t="inlineStr">
        <is>
          <t>WT_COMPOSITE_ENTRY_BLOCK</t>
        </is>
      </c>
      <c r="B195" s="11" t="inlineStr">
        <is>
          <t>-10.0</t>
        </is>
      </c>
      <c r="E195">
        <f>IF(F195="",E194,IF(F195&gt;0,E194+F195,E194))</f>
        <v/>
      </c>
      <c r="F195">
        <f>IFERROR(VLOOKUP($A195,Results_30d_Deltas!$A$2:$H$5000,8,FALSE)-E194,"")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8" t="n"/>
      <c r="FI195" s="8" t="n"/>
      <c r="FJ195" s="8" t="n"/>
      <c r="FK195" s="8" t="n"/>
      <c r="FL195" s="8" t="n"/>
      <c r="FM195" s="8" t="n"/>
      <c r="FN195" s="8" t="n"/>
      <c r="FO195" s="8" t="n"/>
      <c r="FP195" s="8" t="n"/>
      <c r="FQ195" s="8" t="n"/>
      <c r="FR195" s="8" t="n"/>
      <c r="FS195" s="8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ez_manage.py:5891 top()</t>
        </is>
      </c>
      <c r="IK195" s="9" t="inlineStr">
        <is>
          <t>v12_quick_engine.py:3710 x2</t>
        </is>
      </c>
    </row>
    <row r="196" ht="11" customHeight="1">
      <c r="A196" s="10" t="inlineStr">
        <is>
          <t>WT_COMPOSITE_ENTRY_GOOD</t>
        </is>
      </c>
      <c r="B196" s="11" t="inlineStr">
        <is>
          <t>15.0</t>
        </is>
      </c>
      <c r="E196">
        <f>IF(F196="",E195,IF(F196&gt;0,E195+F196,E195))</f>
        <v/>
      </c>
      <c r="F196">
        <f>IFERROR(VLOOKUP($A196,Results_30d_Deltas!$A$2:$H$5000,8,FALSE)-E195,"")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8" t="n"/>
      <c r="FI196" s="8" t="n"/>
      <c r="FJ196" s="8" t="n"/>
      <c r="FK196" s="8" t="n"/>
      <c r="FL196" s="8" t="n"/>
      <c r="FM196" s="8" t="n"/>
      <c r="FN196" s="8" t="n"/>
      <c r="FO196" s="8" t="n"/>
      <c r="FP196" s="8" t="n"/>
      <c r="FQ196" s="8" t="n"/>
      <c r="FR196" s="8" t="n"/>
      <c r="FS196" s="8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ez_manage.py:5892 top()</t>
        </is>
      </c>
      <c r="IK196" s="9" t="inlineStr">
        <is>
          <t>v12_quick_engine.py:3711 x2</t>
        </is>
      </c>
    </row>
    <row r="197" ht="11" customHeight="1">
      <c r="A197" s="10" t="inlineStr">
        <is>
          <t>WT_COMPOSITE_ENTRY_GOOD</t>
        </is>
      </c>
      <c r="B197" s="11" t="inlineStr">
        <is>
          <t>22.5</t>
        </is>
      </c>
      <c r="E197">
        <f>IF(F197="",E196,IF(F197&gt;0,E196+F197,E196))</f>
        <v/>
      </c>
      <c r="F197">
        <f>IFERROR(VLOOKUP($A197,Results_30d_Deltas!$A$2:$H$5000,8,FALSE)-E196,"")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8" t="n"/>
      <c r="FI197" s="8" t="n"/>
      <c r="FJ197" s="8" t="n"/>
      <c r="FK197" s="8" t="n"/>
      <c r="FL197" s="8" t="n"/>
      <c r="FM197" s="8" t="n"/>
      <c r="FN197" s="8" t="n"/>
      <c r="FO197" s="8" t="n"/>
      <c r="FP197" s="8" t="n"/>
      <c r="FQ197" s="8" t="n"/>
      <c r="FR197" s="8" t="n"/>
      <c r="FS197" s="8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ez_manage.py:5892 top()</t>
        </is>
      </c>
      <c r="IK197" s="9" t="inlineStr">
        <is>
          <t>v12_quick_engine.py:3711 x2</t>
        </is>
      </c>
    </row>
    <row r="198" ht="11" customHeight="1">
      <c r="A198" s="6" t="inlineStr">
        <is>
          <t>WT_COMPOSITE_ENTRY_GOOD</t>
        </is>
      </c>
      <c r="B198" s="7" t="inlineStr">
        <is>
          <t>30.0</t>
        </is>
      </c>
      <c r="E198">
        <f>IF(F198="",E197,IF(F198&gt;0,E197+F198,E197))</f>
        <v/>
      </c>
      <c r="F198">
        <f>IFERROR(VLOOKUP($A198,Results_30d_Deltas!$A$2:$H$5000,8,FALSE)-E197,"")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8" t="n"/>
      <c r="FI198" s="8" t="n"/>
      <c r="FJ198" s="8" t="n"/>
      <c r="FK198" s="8" t="n"/>
      <c r="FL198" s="8" t="n"/>
      <c r="FM198" s="8" t="n"/>
      <c r="FN198" s="8" t="n"/>
      <c r="FO198" s="8" t="n"/>
      <c r="FP198" s="8" t="n"/>
      <c r="FQ198" s="8" t="n"/>
      <c r="FR198" s="8" t="n"/>
      <c r="FS198" s="8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ez_manage.py:5892 top()</t>
        </is>
      </c>
      <c r="IK198" s="9" t="inlineStr">
        <is>
          <t>v12_quick_engine.py:3711 x2</t>
        </is>
      </c>
    </row>
    <row r="199" ht="11" customHeight="1">
      <c r="A199" s="10" t="inlineStr">
        <is>
          <t>WT_COMPOSITE_ENTRY_GOOD</t>
        </is>
      </c>
      <c r="B199" s="11" t="inlineStr">
        <is>
          <t>37.5</t>
        </is>
      </c>
      <c r="E199">
        <f>IF(F199="",E198,IF(F199&gt;0,E198+F199,E198))</f>
        <v/>
      </c>
      <c r="F199">
        <f>IFERROR(VLOOKUP($A199,Results_30d_Deltas!$A$2:$H$5000,8,FALSE)-E198,"")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8" t="n"/>
      <c r="FI199" s="8" t="n"/>
      <c r="FJ199" s="8" t="n"/>
      <c r="FK199" s="8" t="n"/>
      <c r="FL199" s="8" t="n"/>
      <c r="FM199" s="8" t="n"/>
      <c r="FN199" s="8" t="n"/>
      <c r="FO199" s="8" t="n"/>
      <c r="FP199" s="8" t="n"/>
      <c r="FQ199" s="8" t="n"/>
      <c r="FR199" s="8" t="n"/>
      <c r="FS199" s="8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ez_manage.py:5892 top()</t>
        </is>
      </c>
      <c r="IK199" s="9" t="inlineStr">
        <is>
          <t>v12_quick_engine.py:3711 x2</t>
        </is>
      </c>
    </row>
    <row r="200" ht="11" customHeight="1">
      <c r="A200" s="10" t="inlineStr">
        <is>
          <t>WT_COMPOSITE_ENTRY_GOOD</t>
        </is>
      </c>
      <c r="B200" s="11" t="inlineStr">
        <is>
          <t>45.0</t>
        </is>
      </c>
      <c r="E200">
        <f>IF(F200="",E199,IF(F200&gt;0,E199+F200,E199))</f>
        <v/>
      </c>
      <c r="F200">
        <f>IFERROR(VLOOKUP($A200,Results_30d_Deltas!$A$2:$H$5000,8,FALSE)-E199,"")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8" t="n"/>
      <c r="FI200" s="8" t="n"/>
      <c r="FJ200" s="8" t="n"/>
      <c r="FK200" s="8" t="n"/>
      <c r="FL200" s="8" t="n"/>
      <c r="FM200" s="8" t="n"/>
      <c r="FN200" s="8" t="n"/>
      <c r="FO200" s="8" t="n"/>
      <c r="FP200" s="8" t="n"/>
      <c r="FQ200" s="8" t="n"/>
      <c r="FR200" s="8" t="n"/>
      <c r="FS200" s="8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8" t="n"/>
      <c r="HN200" s="8" t="n"/>
      <c r="HO200" s="8" t="n"/>
      <c r="HP200" s="8" t="n"/>
      <c r="HQ200" s="8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ez_manage.py:5892 top()</t>
        </is>
      </c>
      <c r="IK200" s="9" t="inlineStr">
        <is>
          <t>v12_quick_engine.py:3711 x2</t>
        </is>
      </c>
    </row>
    <row r="201" ht="11" customHeight="1">
      <c r="A201" s="10" t="inlineStr">
        <is>
          <t>WT_COMPOSITE_ENTRY_OK</t>
        </is>
      </c>
      <c r="B201" s="11" t="inlineStr">
        <is>
          <t>5.0</t>
        </is>
      </c>
      <c r="E201">
        <f>IF(F201="",E200,IF(F201&gt;0,E200+F201,E200))</f>
        <v/>
      </c>
      <c r="F201">
        <f>IFERROR(VLOOKUP($A201,Results_30d_Deltas!$A$2:$H$5000,8,FALSE)-E200,"")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8" t="n"/>
      <c r="FI201" s="8" t="n"/>
      <c r="FJ201" s="8" t="n"/>
      <c r="FK201" s="8" t="n"/>
      <c r="FL201" s="8" t="n"/>
      <c r="FM201" s="8" t="n"/>
      <c r="FN201" s="8" t="n"/>
      <c r="FO201" s="8" t="n"/>
      <c r="FP201" s="8" t="n"/>
      <c r="FQ201" s="8" t="n"/>
      <c r="FR201" s="8" t="n"/>
      <c r="FS201" s="8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8" t="n"/>
      <c r="HN201" s="8" t="n"/>
      <c r="HO201" s="8" t="n"/>
      <c r="HP201" s="8" t="n"/>
      <c r="HQ201" s="8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ez_manage.py:5893 top()</t>
        </is>
      </c>
      <c r="IK201" s="9" t="inlineStr">
        <is>
          <t>v12_quick_engine.py:3712 x2</t>
        </is>
      </c>
    </row>
    <row r="202" ht="11" customHeight="1">
      <c r="A202" s="10" t="inlineStr">
        <is>
          <t>WT_COMPOSITE_ENTRY_OK</t>
        </is>
      </c>
      <c r="B202" s="11" t="inlineStr">
        <is>
          <t>7.5</t>
        </is>
      </c>
      <c r="E202">
        <f>IF(F202="",E201,IF(F202&gt;0,E201+F202,E201))</f>
        <v/>
      </c>
      <c r="F202">
        <f>IFERROR(VLOOKUP($A202,Results_30d_Deltas!$A$2:$H$5000,8,FALSE)-E201,"")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8" t="n"/>
      <c r="CT202" s="8" t="n"/>
      <c r="CU202" s="8" t="n"/>
      <c r="CV202" s="8" t="n"/>
      <c r="CW202" s="8" t="n"/>
      <c r="CX202" s="8" t="n"/>
      <c r="CY202" s="8" t="n"/>
      <c r="CZ202" s="8" t="n"/>
      <c r="DA202" s="8" t="n"/>
      <c r="DB202" s="8" t="n"/>
      <c r="DC202" s="8" t="n"/>
      <c r="DD202" s="8" t="n"/>
      <c r="DE202" s="8" t="n"/>
      <c r="DF202" s="8" t="n"/>
      <c r="DG202" s="8" t="n"/>
      <c r="DH202" s="8" t="n"/>
      <c r="DI202" s="8" t="n"/>
      <c r="DJ202" s="8" t="n"/>
      <c r="DK202" s="8" t="n"/>
      <c r="DL202" s="8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8" t="n"/>
      <c r="FI202" s="8" t="n"/>
      <c r="FJ202" s="8" t="n"/>
      <c r="FK202" s="8" t="n"/>
      <c r="FL202" s="8" t="n"/>
      <c r="FM202" s="8" t="n"/>
      <c r="FN202" s="8" t="n"/>
      <c r="FO202" s="8" t="n"/>
      <c r="FP202" s="8" t="n"/>
      <c r="FQ202" s="8" t="n"/>
      <c r="FR202" s="8" t="n"/>
      <c r="FS202" s="8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ez_manage.py:5893 top()</t>
        </is>
      </c>
      <c r="IK202" s="9" t="inlineStr">
        <is>
          <t>v12_quick_engine.py:3712 x2</t>
        </is>
      </c>
    </row>
    <row r="203" ht="11" customHeight="1">
      <c r="A203" s="6" t="inlineStr">
        <is>
          <t>WT_COMPOSITE_ENTRY_OK</t>
        </is>
      </c>
      <c r="B203" s="7" t="inlineStr">
        <is>
          <t>10.0</t>
        </is>
      </c>
      <c r="E203">
        <f>IF(F203="",E202,IF(F203&gt;0,E202+F203,E202))</f>
        <v/>
      </c>
      <c r="F203">
        <f>IFERROR(VLOOKUP($A203,Results_30d_Deltas!$A$2:$H$5000,8,FALSE)-E202,"")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8" t="n"/>
      <c r="CT203" s="8" t="n"/>
      <c r="CU203" s="8" t="n"/>
      <c r="CV203" s="8" t="n"/>
      <c r="CW203" s="8" t="n"/>
      <c r="CX203" s="8" t="n"/>
      <c r="CY203" s="8" t="n"/>
      <c r="CZ203" s="8" t="n"/>
      <c r="DA203" s="8" t="n"/>
      <c r="DB203" s="8" t="n"/>
      <c r="DC203" s="8" t="n"/>
      <c r="DD203" s="8" t="n"/>
      <c r="DE203" s="8" t="n"/>
      <c r="DF203" s="8" t="n"/>
      <c r="DG203" s="8" t="n"/>
      <c r="DH203" s="8" t="n"/>
      <c r="DI203" s="8" t="n"/>
      <c r="DJ203" s="8" t="n"/>
      <c r="DK203" s="8" t="n"/>
      <c r="DL203" s="8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8" t="n"/>
      <c r="FI203" s="8" t="n"/>
      <c r="FJ203" s="8" t="n"/>
      <c r="FK203" s="8" t="n"/>
      <c r="FL203" s="8" t="n"/>
      <c r="FM203" s="8" t="n"/>
      <c r="FN203" s="8" t="n"/>
      <c r="FO203" s="8" t="n"/>
      <c r="FP203" s="8" t="n"/>
      <c r="FQ203" s="8" t="n"/>
      <c r="FR203" s="8" t="n"/>
      <c r="FS203" s="8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ez_manage.py:5893 top()</t>
        </is>
      </c>
      <c r="IK203" s="9" t="inlineStr">
        <is>
          <t>v12_quick_engine.py:3712 x2</t>
        </is>
      </c>
    </row>
    <row r="204" ht="11" customHeight="1">
      <c r="A204" s="10" t="inlineStr">
        <is>
          <t>WT_COMPOSITE_ENTRY_OK</t>
        </is>
      </c>
      <c r="B204" s="11" t="inlineStr">
        <is>
          <t>12.5</t>
        </is>
      </c>
      <c r="E204">
        <f>IF(F204="",E203,IF(F204&gt;0,E203+F204,E203))</f>
        <v/>
      </c>
      <c r="F204">
        <f>IFERROR(VLOOKUP($A204,Results_30d_Deltas!$A$2:$H$5000,8,FALSE)-E203,"")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8" t="n"/>
      <c r="CT204" s="8" t="n"/>
      <c r="CU204" s="8" t="n"/>
      <c r="CV204" s="8" t="n"/>
      <c r="CW204" s="8" t="n"/>
      <c r="CX204" s="8" t="n"/>
      <c r="CY204" s="8" t="n"/>
      <c r="CZ204" s="8" t="n"/>
      <c r="DA204" s="8" t="n"/>
      <c r="DB204" s="8" t="n"/>
      <c r="DC204" s="8" t="n"/>
      <c r="DD204" s="8" t="n"/>
      <c r="DE204" s="8" t="n"/>
      <c r="DF204" s="8" t="n"/>
      <c r="DG204" s="8" t="n"/>
      <c r="DH204" s="8" t="n"/>
      <c r="DI204" s="8" t="n"/>
      <c r="DJ204" s="8" t="n"/>
      <c r="DK204" s="8" t="n"/>
      <c r="DL204" s="8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8" t="n"/>
      <c r="FI204" s="8" t="n"/>
      <c r="FJ204" s="8" t="n"/>
      <c r="FK204" s="8" t="n"/>
      <c r="FL204" s="8" t="n"/>
      <c r="FM204" s="8" t="n"/>
      <c r="FN204" s="8" t="n"/>
      <c r="FO204" s="8" t="n"/>
      <c r="FP204" s="8" t="n"/>
      <c r="FQ204" s="8" t="n"/>
      <c r="FR204" s="8" t="n"/>
      <c r="FS204" s="8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ez_manage.py:5893 top()</t>
        </is>
      </c>
      <c r="IK204" s="9" t="inlineStr">
        <is>
          <t>v12_quick_engine.py:3712 x2</t>
        </is>
      </c>
    </row>
    <row r="205" ht="11" customHeight="1">
      <c r="A205" s="10" t="inlineStr">
        <is>
          <t>WT_COMPOSITE_ENTRY_OK</t>
        </is>
      </c>
      <c r="B205" s="11" t="inlineStr">
        <is>
          <t>15.0</t>
        </is>
      </c>
      <c r="E205">
        <f>IF(F205="",E204,IF(F205&gt;0,E204+F205,E204))</f>
        <v/>
      </c>
      <c r="F205">
        <f>IFERROR(VLOOKUP($A205,Results_30d_Deltas!$A$2:$H$5000,8,FALSE)-E204,"")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8" t="n"/>
      <c r="CT205" s="8" t="n"/>
      <c r="CU205" s="8" t="n"/>
      <c r="CV205" s="8" t="n"/>
      <c r="CW205" s="8" t="n"/>
      <c r="CX205" s="8" t="n"/>
      <c r="CY205" s="8" t="n"/>
      <c r="CZ205" s="8" t="n"/>
      <c r="DA205" s="8" t="n"/>
      <c r="DB205" s="8" t="n"/>
      <c r="DC205" s="8" t="n"/>
      <c r="DD205" s="8" t="n"/>
      <c r="DE205" s="8" t="n"/>
      <c r="DF205" s="8" t="n"/>
      <c r="DG205" s="8" t="n"/>
      <c r="DH205" s="8" t="n"/>
      <c r="DI205" s="8" t="n"/>
      <c r="DJ205" s="8" t="n"/>
      <c r="DK205" s="8" t="n"/>
      <c r="DL205" s="8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8" t="n"/>
      <c r="FI205" s="8" t="n"/>
      <c r="FJ205" s="8" t="n"/>
      <c r="FK205" s="8" t="n"/>
      <c r="FL205" s="8" t="n"/>
      <c r="FM205" s="8" t="n"/>
      <c r="FN205" s="8" t="n"/>
      <c r="FO205" s="8" t="n"/>
      <c r="FP205" s="8" t="n"/>
      <c r="FQ205" s="8" t="n"/>
      <c r="FR205" s="8" t="n"/>
      <c r="FS205" s="8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ez_manage.py:5893 top()</t>
        </is>
      </c>
      <c r="IK205" s="9" t="inlineStr">
        <is>
          <t>v12_quick_engine.py:3712 x2</t>
        </is>
      </c>
    </row>
    <row r="206" ht="11" customHeight="1">
      <c r="A206" s="10" t="inlineStr">
        <is>
          <t>WT_COMPOSITE_ENTRY_STRONG</t>
        </is>
      </c>
      <c r="B206" s="11" t="inlineStr">
        <is>
          <t>25.0</t>
        </is>
      </c>
      <c r="E206">
        <f>IF(F206="",E205,IF(F206&gt;0,E205+F206,E205))</f>
        <v/>
      </c>
      <c r="F206">
        <f>IFERROR(VLOOKUP($A206,Results_30d_Deltas!$A$2:$H$5000,8,FALSE)-E205,"")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8" t="n"/>
      <c r="CT206" s="8" t="n"/>
      <c r="CU206" s="8" t="n"/>
      <c r="CV206" s="8" t="n"/>
      <c r="CW206" s="8" t="n"/>
      <c r="CX206" s="8" t="n"/>
      <c r="CY206" s="8" t="n"/>
      <c r="CZ206" s="8" t="n"/>
      <c r="DA206" s="8" t="n"/>
      <c r="DB206" s="8" t="n"/>
      <c r="DC206" s="8" t="n"/>
      <c r="DD206" s="8" t="n"/>
      <c r="DE206" s="8" t="n"/>
      <c r="DF206" s="8" t="n"/>
      <c r="DG206" s="8" t="n"/>
      <c r="DH206" s="8" t="n"/>
      <c r="DI206" s="8" t="n"/>
      <c r="DJ206" s="8" t="n"/>
      <c r="DK206" s="8" t="n"/>
      <c r="DL206" s="8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8" t="n"/>
      <c r="FI206" s="8" t="n"/>
      <c r="FJ206" s="8" t="n"/>
      <c r="FK206" s="8" t="n"/>
      <c r="FL206" s="8" t="n"/>
      <c r="FM206" s="8" t="n"/>
      <c r="FN206" s="8" t="n"/>
      <c r="FO206" s="8" t="n"/>
      <c r="FP206" s="8" t="n"/>
      <c r="FQ206" s="8" t="n"/>
      <c r="FR206" s="8" t="n"/>
      <c r="FS206" s="8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ez_manage.py:5894 top()</t>
        </is>
      </c>
      <c r="IK206" s="9" t="inlineStr">
        <is>
          <t>v12_quick_engine.py:3713 x2</t>
        </is>
      </c>
    </row>
    <row r="207" ht="11" customHeight="1">
      <c r="A207" s="10" t="inlineStr">
        <is>
          <t>WT_COMPOSITE_ENTRY_STRONG</t>
        </is>
      </c>
      <c r="B207" s="11" t="inlineStr">
        <is>
          <t>37.5</t>
        </is>
      </c>
      <c r="E207">
        <f>IF(F207="",E206,IF(F207&gt;0,E206+F207,E206))</f>
        <v/>
      </c>
      <c r="F207">
        <f>IFERROR(VLOOKUP($A207,Results_30d_Deltas!$A$2:$H$5000,8,FALSE)-E206,"")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8" t="n"/>
      <c r="CT207" s="8" t="n"/>
      <c r="CU207" s="8" t="n"/>
      <c r="CV207" s="8" t="n"/>
      <c r="CW207" s="8" t="n"/>
      <c r="CX207" s="8" t="n"/>
      <c r="CY207" s="8" t="n"/>
      <c r="CZ207" s="8" t="n"/>
      <c r="DA207" s="8" t="n"/>
      <c r="DB207" s="8" t="n"/>
      <c r="DC207" s="8" t="n"/>
      <c r="DD207" s="8" t="n"/>
      <c r="DE207" s="8" t="n"/>
      <c r="DF207" s="8" t="n"/>
      <c r="DG207" s="8" t="n"/>
      <c r="DH207" s="8" t="n"/>
      <c r="DI207" s="8" t="n"/>
      <c r="DJ207" s="8" t="n"/>
      <c r="DK207" s="8" t="n"/>
      <c r="DL207" s="8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8" t="n"/>
      <c r="FI207" s="8" t="n"/>
      <c r="FJ207" s="8" t="n"/>
      <c r="FK207" s="8" t="n"/>
      <c r="FL207" s="8" t="n"/>
      <c r="FM207" s="8" t="n"/>
      <c r="FN207" s="8" t="n"/>
      <c r="FO207" s="8" t="n"/>
      <c r="FP207" s="8" t="n"/>
      <c r="FQ207" s="8" t="n"/>
      <c r="FR207" s="8" t="n"/>
      <c r="FS207" s="8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ez_manage.py:5894 top()</t>
        </is>
      </c>
      <c r="IK207" s="9" t="inlineStr">
        <is>
          <t>v12_quick_engine.py:3713 x2</t>
        </is>
      </c>
    </row>
    <row r="208" ht="11" customHeight="1">
      <c r="A208" s="6" t="inlineStr">
        <is>
          <t>WT_COMPOSITE_ENTRY_STRONG</t>
        </is>
      </c>
      <c r="B208" s="7" t="inlineStr">
        <is>
          <t>50.0</t>
        </is>
      </c>
      <c r="E208">
        <f>IF(F208="",E207,IF(F208&gt;0,E207+F208,E207))</f>
        <v/>
      </c>
      <c r="F208">
        <f>IFERROR(VLOOKUP($A208,Results_30d_Deltas!$A$2:$H$5000,8,FALSE)-E207,"")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8" t="n"/>
      <c r="FI208" s="8" t="n"/>
      <c r="FJ208" s="8" t="n"/>
      <c r="FK208" s="8" t="n"/>
      <c r="FL208" s="8" t="n"/>
      <c r="FM208" s="8" t="n"/>
      <c r="FN208" s="8" t="n"/>
      <c r="FO208" s="8" t="n"/>
      <c r="FP208" s="8" t="n"/>
      <c r="FQ208" s="8" t="n"/>
      <c r="FR208" s="8" t="n"/>
      <c r="FS208" s="8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ez_manage.py:5894 top()</t>
        </is>
      </c>
      <c r="IK208" s="9" t="inlineStr">
        <is>
          <t>v12_quick_engine.py:3713 x2</t>
        </is>
      </c>
    </row>
    <row r="209" ht="11" customHeight="1">
      <c r="A209" s="10" t="inlineStr">
        <is>
          <t>WT_COMPOSITE_ENTRY_STRONG</t>
        </is>
      </c>
      <c r="B209" s="11" t="inlineStr">
        <is>
          <t>62.5</t>
        </is>
      </c>
      <c r="E209">
        <f>IF(F209="",E208,IF(F209&gt;0,E208+F209,E208))</f>
        <v/>
      </c>
      <c r="F209">
        <f>IFERROR(VLOOKUP($A209,Results_30d_Deltas!$A$2:$H$5000,8,FALSE)-E208,"")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8" t="n"/>
      <c r="FI209" s="8" t="n"/>
      <c r="FJ209" s="8" t="n"/>
      <c r="FK209" s="8" t="n"/>
      <c r="FL209" s="8" t="n"/>
      <c r="FM209" s="8" t="n"/>
      <c r="FN209" s="8" t="n"/>
      <c r="FO209" s="8" t="n"/>
      <c r="FP209" s="8" t="n"/>
      <c r="FQ209" s="8" t="n"/>
      <c r="FR209" s="8" t="n"/>
      <c r="FS209" s="8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ez_manage.py:5894 top()</t>
        </is>
      </c>
      <c r="IK209" s="9" t="inlineStr">
        <is>
          <t>v12_quick_engine.py:3713 x2</t>
        </is>
      </c>
    </row>
    <row r="210" ht="11" customHeight="1">
      <c r="A210" s="10" t="inlineStr">
        <is>
          <t>WT_COMPOSITE_ENTRY_STRONG</t>
        </is>
      </c>
      <c r="B210" s="11" t="inlineStr">
        <is>
          <t>75.0</t>
        </is>
      </c>
      <c r="E210">
        <f>IF(F210="",E209,IF(F210&gt;0,E209+F210,E209))</f>
        <v/>
      </c>
      <c r="F210">
        <f>IFERROR(VLOOKUP($A210,Results_30d_Deltas!$A$2:$H$5000,8,FALSE)-E209,"")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8" t="n"/>
      <c r="FI210" s="8" t="n"/>
      <c r="FJ210" s="8" t="n"/>
      <c r="FK210" s="8" t="n"/>
      <c r="FL210" s="8" t="n"/>
      <c r="FM210" s="8" t="n"/>
      <c r="FN210" s="8" t="n"/>
      <c r="FO210" s="8" t="n"/>
      <c r="FP210" s="8" t="n"/>
      <c r="FQ210" s="8" t="n"/>
      <c r="FR210" s="8" t="n"/>
      <c r="FS210" s="8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ez_manage.py:5894 top()</t>
        </is>
      </c>
      <c r="IK210" s="9" t="inlineStr">
        <is>
          <t>v12_quick_engine.py:3713 x2</t>
        </is>
      </c>
    </row>
    <row r="211" ht="11" customHeight="1">
      <c r="A211" s="6" t="inlineStr">
        <is>
          <t>WT_DIV_ENTRY_GATE_ENABLED</t>
        </is>
      </c>
      <c r="B211" s="7" t="inlineStr">
        <is>
          <t>False</t>
        </is>
      </c>
      <c r="E211">
        <f>IF(F211="",E210,IF(F211&gt;0,E210+F211,E210))</f>
        <v/>
      </c>
      <c r="F211">
        <f>IFERROR(VLOOKUP($A211,Results_30d_Deltas!$A$2:$H$5000,8,FALSE)-E210,"")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8" t="n"/>
      <c r="FI211" s="8" t="n"/>
      <c r="FJ211" s="8" t="n"/>
      <c r="FK211" s="8" t="n"/>
      <c r="FL211" s="8" t="n"/>
      <c r="FM211" s="8" t="n"/>
      <c r="FN211" s="8" t="n"/>
      <c r="FO211" s="8" t="n"/>
      <c r="FP211" s="8" t="n"/>
      <c r="FQ211" s="8" t="n"/>
      <c r="FR211" s="8" t="n"/>
      <c r="FS211" s="8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8" t="n"/>
      <c r="HX211" s="8" t="n"/>
      <c r="HY211" s="8" t="n"/>
      <c r="HZ211" s="8" t="n"/>
      <c r="IA211" s="8" t="n"/>
      <c r="IB211" s="8" t="n"/>
      <c r="IC211" s="8" t="n"/>
      <c r="ID211" s="8" t="n"/>
      <c r="IE211" s="8" t="n"/>
      <c r="IF211" s="8" t="n"/>
      <c r="IG211" s="8" t="n"/>
      <c r="IH211" s="8" t="n"/>
      <c r="IJ211" s="9" t="inlineStr">
        <is>
          <t>ez_manage.py:5913 top()</t>
        </is>
      </c>
      <c r="IK211" s="9" t="inlineStr">
        <is>
          <t>v12_quick_engine.py:3743 x2</t>
        </is>
      </c>
    </row>
    <row r="212" ht="11" customHeight="1">
      <c r="A212" s="10" t="inlineStr">
        <is>
          <t>WT_DIV_ENTRY_GATE_ENABLED</t>
        </is>
      </c>
      <c r="B212" s="11" t="inlineStr">
        <is>
          <t>True</t>
        </is>
      </c>
      <c r="E212">
        <f>IF(F212="",E211,IF(F212&gt;0,E211+F212,E211))</f>
        <v/>
      </c>
      <c r="F212">
        <f>IFERROR(VLOOKUP($A212,Results_30d_Deltas!$A$2:$H$5000,8,FALSE)-E211,"")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8" t="n"/>
      <c r="FI212" s="8" t="n"/>
      <c r="FJ212" s="8" t="n"/>
      <c r="FK212" s="8" t="n"/>
      <c r="FL212" s="8" t="n"/>
      <c r="FM212" s="8" t="n"/>
      <c r="FN212" s="8" t="n"/>
      <c r="FO212" s="8" t="n"/>
      <c r="FP212" s="8" t="n"/>
      <c r="FQ212" s="8" t="n"/>
      <c r="FR212" s="8" t="n"/>
      <c r="FS212" s="8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8" t="n"/>
      <c r="HX212" s="8" t="n"/>
      <c r="HY212" s="8" t="n"/>
      <c r="HZ212" s="8" t="n"/>
      <c r="IA212" s="8" t="n"/>
      <c r="IB212" s="8" t="n"/>
      <c r="IC212" s="8" t="n"/>
      <c r="ID212" s="8" t="n"/>
      <c r="IE212" s="8" t="n"/>
      <c r="IF212" s="8" t="n"/>
      <c r="IG212" s="8" t="n"/>
      <c r="IH212" s="8" t="n"/>
      <c r="IJ212" s="9" t="inlineStr">
        <is>
          <t>ez_manage.py:5913 top()</t>
        </is>
      </c>
      <c r="IK212" s="9" t="inlineStr">
        <is>
          <t>v12_quick_engine.py:3743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03 ENTRY_CONFIRMATION_GATES - 4 bases -&gt; 11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GR_FILTER_ALL_ENTRIES</t>
        </is>
      </c>
      <c r="B3" s="7" t="inlineStr">
        <is>
          <t>0.0</t>
        </is>
      </c>
      <c r="E3">
        <f>MAX('ENTRY_BREAKOUT_CHANNEL'!E:E)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ez_manage.py:4768 top()</t>
        </is>
      </c>
      <c r="IK3" s="9" t="inlineStr">
        <is>
          <t>v12_quick_engine.py:1912 x3</t>
        </is>
      </c>
    </row>
    <row r="4" ht="11" customHeight="1">
      <c r="A4" s="10" t="inlineStr">
        <is>
          <t>GR_FILTER_ALL_ENTRIES</t>
        </is>
      </c>
      <c r="B4" s="11" t="inlineStr">
        <is>
          <t>0.0_ALT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ez_manage.py:4768 top()</t>
        </is>
      </c>
      <c r="IK4" s="9" t="inlineStr">
        <is>
          <t>v12_quick_engine.py:1912 x3</t>
        </is>
      </c>
    </row>
    <row r="5" ht="11" customHeight="1">
      <c r="A5" s="6" t="inlineStr">
        <is>
          <t>GR_FILTER_VEC_ENABLED</t>
        </is>
      </c>
      <c r="B5" s="7" t="inlineStr">
        <is>
          <t>False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ez_manage.py:6003 top()</t>
        </is>
      </c>
      <c r="IK5" s="9" t="inlineStr">
        <is>
          <t>v12_quick_engine.py:4261 x2</t>
        </is>
      </c>
    </row>
    <row r="6" ht="11" customHeight="1">
      <c r="A6" s="10" t="inlineStr">
        <is>
          <t>GR_FILTER_VEC_ENABLED</t>
        </is>
      </c>
      <c r="B6" s="11" t="inlineStr">
        <is>
          <t>True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ez_manage.py:6003 top()</t>
        </is>
      </c>
      <c r="IK6" s="9" t="inlineStr">
        <is>
          <t>v12_quick_engine.py:4261 x2</t>
        </is>
      </c>
    </row>
    <row r="7" ht="11" customHeight="1">
      <c r="A7" s="10" t="inlineStr">
        <is>
          <t>GR_FILTER_VEC_FILTER_TF</t>
        </is>
      </c>
      <c r="B7" s="11" t="inlineStr">
        <is>
          <t>OFF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ez_manage.py:6004 top()</t>
        </is>
      </c>
      <c r="IK7" s="9" t="inlineStr">
        <is>
          <t>v12_quick_engine.py:112 x3</t>
        </is>
      </c>
    </row>
    <row r="8" ht="11" customHeight="1">
      <c r="A8" s="10" t="inlineStr">
        <is>
          <t>GR_FILTER_VEC_FILTER_TF</t>
        </is>
      </c>
      <c r="B8" s="11" t="inlineStr">
        <is>
          <t>D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ez_manage.py:6004 top()</t>
        </is>
      </c>
      <c r="IK8" s="9" t="inlineStr">
        <is>
          <t>v12_quick_engine.py:112 x3</t>
        </is>
      </c>
    </row>
    <row r="9" ht="11" customHeight="1">
      <c r="A9" s="10" t="inlineStr">
        <is>
          <t>GR_FILTER_VEC_FILTER_TF</t>
        </is>
      </c>
      <c r="B9" s="11" t="inlineStr">
        <is>
          <t>4h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ez_manage.py:6004 top()</t>
        </is>
      </c>
      <c r="IK9" s="9" t="inlineStr">
        <is>
          <t>v12_quick_engine.py:112 x3</t>
        </is>
      </c>
    </row>
    <row r="10" ht="11" customHeight="1">
      <c r="A10" s="10" t="inlineStr">
        <is>
          <t>GR_FILTER_VEC_FILTER_TF</t>
        </is>
      </c>
      <c r="B10" s="11" t="inlineStr">
        <is>
          <t>1h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ez_manage.py:6004 top()</t>
        </is>
      </c>
      <c r="IK10" s="9" t="inlineStr">
        <is>
          <t>v12_quick_engine.py:112 x3</t>
        </is>
      </c>
    </row>
    <row r="11" ht="11" customHeight="1">
      <c r="A11" s="6" t="inlineStr">
        <is>
          <t>GR_FILTER_VEC_FILTER_TF</t>
        </is>
      </c>
      <c r="B11" s="7" t="inlineStr">
        <is>
          <t>15m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ez_manage.py:6004 top()</t>
        </is>
      </c>
      <c r="IK11" s="9" t="inlineStr">
        <is>
          <t>v12_quick_engine.py:112 x3</t>
        </is>
      </c>
    </row>
    <row r="12" ht="11" customHeight="1">
      <c r="A12" s="6" t="inlineStr">
        <is>
          <t>WT_AGAINST_FILTER_ENABLED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ez_manage.py:6084 top()</t>
        </is>
      </c>
      <c r="IK12" s="9" t="inlineStr">
        <is>
          <t>v12_quick_engine.py:4291 x2</t>
        </is>
      </c>
    </row>
    <row r="13" ht="11" customHeight="1">
      <c r="A13" s="10" t="inlineStr">
        <is>
          <t>WT_AGAINST_FILTER_ENABLED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ez_manage.py:6084 top()</t>
        </is>
      </c>
      <c r="IK13" s="9" t="inlineStr">
        <is>
          <t>v12_quick_engine.py:4291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L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04 EXIT_STRUCTURAL - 2 bases -&gt; 6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STDEV_BREAKOUT_EXIT_PCTB_FAIL</t>
        </is>
      </c>
      <c r="B3" s="11" t="inlineStr">
        <is>
          <t>0</t>
        </is>
      </c>
      <c r="E3">
        <f>MAX('ENTRY_CONFIRMATION_GATES'!E:E)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ez_manage.py:4040 top()</t>
        </is>
      </c>
      <c r="IK3" s="9" t="inlineStr">
        <is>
          <t>v12_quick_engine.py:3276 x2</t>
        </is>
      </c>
    </row>
    <row r="4" ht="11" customHeight="1">
      <c r="A4" s="10" t="inlineStr">
        <is>
          <t>STDEV_BREAKOUT_EXIT_PCTB_FAIL</t>
        </is>
      </c>
      <c r="B4" s="11" t="inlineStr">
        <is>
          <t>0.5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ez_manage.py:4040 top()</t>
        </is>
      </c>
      <c r="IK4" s="9" t="inlineStr">
        <is>
          <t>v12_quick_engine.py:3276 x2</t>
        </is>
      </c>
    </row>
    <row r="5" ht="11" customHeight="1">
      <c r="A5" s="10" t="inlineStr">
        <is>
          <t>STDEV_BREAKOUT_EXIT_PCTB_FAIL</t>
        </is>
      </c>
      <c r="B5" s="11" t="inlineStr">
        <is>
          <t>1.0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ez_manage.py:4040 top()</t>
        </is>
      </c>
      <c r="IK5" s="9" t="inlineStr">
        <is>
          <t>v12_quick_engine.py:3276 x2</t>
        </is>
      </c>
    </row>
    <row r="6" ht="11" customHeight="1">
      <c r="A6" s="10" t="inlineStr">
        <is>
          <t>STDEV_BREAKOUT_EXIT_PCTB_FAIL</t>
        </is>
      </c>
      <c r="B6" s="11" t="inlineStr">
        <is>
          <t>2.0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ez_manage.py:4040 top()</t>
        </is>
      </c>
      <c r="IK6" s="9" t="inlineStr">
        <is>
          <t>v12_quick_engine.py:3276 x2</t>
        </is>
      </c>
    </row>
    <row r="7" ht="11" customHeight="1">
      <c r="A7" s="6" t="inlineStr">
        <is>
          <t>ALL_TF_AGAINST_CLOSE_ENABLED</t>
        </is>
      </c>
      <c r="B7" s="7" t="inlineStr">
        <is>
          <t>False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ez_manage.py:4325 top()</t>
        </is>
      </c>
      <c r="IK7" s="9" t="inlineStr">
        <is>
          <t>v12_quick_engine.py:174 x6</t>
        </is>
      </c>
    </row>
    <row r="8" ht="11" customHeight="1">
      <c r="A8" s="10" t="inlineStr">
        <is>
          <t>ALL_TF_AGAINST_CLOSE_ENABLED</t>
        </is>
      </c>
      <c r="B8" s="11" t="inlineStr">
        <is>
          <t>True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ez_manage.py:4325 top()</t>
        </is>
      </c>
      <c r="IK8" s="9" t="inlineStr">
        <is>
          <t>v12_quick_engine.py:174 x6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L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05 EXIT_VELOCITY - 26 bases -&gt; 80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WT_CROSS_EXIT_ENABLED</t>
        </is>
      </c>
      <c r="B3" s="7" t="inlineStr">
        <is>
          <t>False</t>
        </is>
      </c>
      <c r="E3">
        <f>MAX('EXIT_STRUCTURAL'!E:E)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ez_manage.py:1751 top()</t>
        </is>
      </c>
      <c r="IK3" s="9" t="inlineStr">
        <is>
          <t>v12_quick_engine.py:2439 x5</t>
        </is>
      </c>
    </row>
    <row r="4" ht="11" customHeight="1">
      <c r="A4" s="10" t="inlineStr">
        <is>
          <t>WT_CROSS_EXIT_ENABLED</t>
        </is>
      </c>
      <c r="B4" s="11" t="inlineStr">
        <is>
          <t>True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ez_manage.py:1751 top()</t>
        </is>
      </c>
      <c r="IK4" s="9" t="inlineStr">
        <is>
          <t>v12_quick_engine.py:2439 x5</t>
        </is>
      </c>
    </row>
    <row r="5" ht="11" customHeight="1">
      <c r="A5" s="6" t="inlineStr">
        <is>
          <t>BB_SQUEEZE_EXIT_ENABLED</t>
        </is>
      </c>
      <c r="B5" s="7" t="inlineStr">
        <is>
          <t>False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ez_manage.py:6163 top()</t>
        </is>
      </c>
      <c r="IK5" s="9" t="inlineStr">
        <is>
          <t>v12_quick_engine.py:891 x4</t>
        </is>
      </c>
    </row>
    <row r="6" ht="11" customHeight="1">
      <c r="A6" s="10" t="inlineStr">
        <is>
          <t>BB_SQUEEZE_EXIT_ENABLED</t>
        </is>
      </c>
      <c r="B6" s="11" t="inlineStr">
        <is>
          <t>True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ez_manage.py:6163 top()</t>
        </is>
      </c>
      <c r="IK6" s="9" t="inlineStr">
        <is>
          <t>v12_quick_engine.py:891 x4</t>
        </is>
      </c>
    </row>
    <row r="7" ht="11" customHeight="1">
      <c r="A7" s="10" t="inlineStr">
        <is>
          <t>BTC_DIVERGENCE_EXIT_AGAINST</t>
        </is>
      </c>
      <c r="B7" s="11" t="inlineStr">
        <is>
          <t>0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ez_manage.py:4448 top()</t>
        </is>
      </c>
      <c r="IK7" s="9" t="inlineStr">
        <is>
          <t>v12_quick_engine.py:408 x8</t>
        </is>
      </c>
    </row>
    <row r="8" ht="11" customHeight="1">
      <c r="A8" s="10" t="inlineStr">
        <is>
          <t>BTC_DIVERGENCE_EXIT_AGAINST</t>
        </is>
      </c>
      <c r="B8" s="11" t="inlineStr">
        <is>
          <t>0.5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ez_manage.py:4448 top()</t>
        </is>
      </c>
      <c r="IK8" s="9" t="inlineStr">
        <is>
          <t>v12_quick_engine.py:408 x8</t>
        </is>
      </c>
    </row>
    <row r="9" ht="11" customHeight="1">
      <c r="A9" s="10" t="inlineStr">
        <is>
          <t>BTC_DIVERGENCE_EXIT_AGAINST</t>
        </is>
      </c>
      <c r="B9" s="11" t="inlineStr">
        <is>
          <t>1.0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ez_manage.py:4448 top()</t>
        </is>
      </c>
      <c r="IK9" s="9" t="inlineStr">
        <is>
          <t>v12_quick_engine.py:408 x8</t>
        </is>
      </c>
    </row>
    <row r="10" ht="11" customHeight="1">
      <c r="A10" s="10" t="inlineStr">
        <is>
          <t>BTC_DIVERGENCE_EXIT_AGAINST</t>
        </is>
      </c>
      <c r="B10" s="11" t="inlineStr">
        <is>
          <t>2.0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ez_manage.py:4448 top()</t>
        </is>
      </c>
      <c r="IK10" s="9" t="inlineStr">
        <is>
          <t>v12_quick_engine.py:408 x8</t>
        </is>
      </c>
    </row>
    <row r="11" ht="11" customHeight="1">
      <c r="A11" s="10" t="inlineStr">
        <is>
          <t>DELTA_EXIT_DC_FLOOR</t>
        </is>
      </c>
      <c r="B11" s="11" t="inlineStr">
        <is>
          <t>False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ez_manage.py:4596 top()</t>
        </is>
      </c>
      <c r="IK11" s="9" t="inlineStr">
        <is>
          <t>v12_quick_engine.py:967 x8</t>
        </is>
      </c>
    </row>
    <row r="12" ht="11" customHeight="1">
      <c r="A12" s="6" t="inlineStr">
        <is>
          <t>DELTA_EXIT_DC_FLOOR</t>
        </is>
      </c>
      <c r="B12" s="7" t="inlineStr">
        <is>
          <t>True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ez_manage.py:4596 top()</t>
        </is>
      </c>
      <c r="IK12" s="9" t="inlineStr">
        <is>
          <t>v12_quick_engine.py:967 x8</t>
        </is>
      </c>
    </row>
    <row r="13" ht="11" customHeight="1">
      <c r="A13" s="6" t="inlineStr">
        <is>
          <t>E_1_WT_EXIT_USE_DELTA_ENABLED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ez_manage.py:4699 top()</t>
        </is>
      </c>
      <c r="IK13" s="9" t="inlineStr">
        <is>
          <t>v12_quick_engine.py:1818 x7</t>
        </is>
      </c>
    </row>
    <row r="14" ht="11" customHeight="1">
      <c r="A14" s="10" t="inlineStr">
        <is>
          <t>E_1_WT_EXIT_USE_DELTA_ENABLED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ez_manage.py:4699 top()</t>
        </is>
      </c>
      <c r="IK14" s="9" t="inlineStr">
        <is>
          <t>v12_quick_engine.py:1818 x7</t>
        </is>
      </c>
    </row>
    <row r="15" ht="11" customHeight="1">
      <c r="A15" s="10" t="inlineStr">
        <is>
          <t>E_3_USE_WT_STRUCTURE_EXIT_MODE</t>
        </is>
      </c>
      <c r="B15" s="11" t="inlineStr">
        <is>
          <t>0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ez_manage.py:4700 top()</t>
        </is>
      </c>
      <c r="IK15" s="9" t="inlineStr">
        <is>
          <t>v12_quick_engine.py:1819 x8</t>
        </is>
      </c>
    </row>
    <row r="16" ht="11" customHeight="1">
      <c r="A16" s="10" t="inlineStr">
        <is>
          <t>E_3_USE_WT_STRUCTURE_EXIT_MODE</t>
        </is>
      </c>
      <c r="B16" s="11" t="inlineStr">
        <is>
          <t>0.5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ez_manage.py:4700 top()</t>
        </is>
      </c>
      <c r="IK16" s="9" t="inlineStr">
        <is>
          <t>v12_quick_engine.py:1819 x8</t>
        </is>
      </c>
    </row>
    <row r="17" ht="11" customHeight="1">
      <c r="A17" s="10" t="inlineStr">
        <is>
          <t>E_3_USE_WT_STRUCTURE_EXIT_MODE</t>
        </is>
      </c>
      <c r="B17" s="11" t="inlineStr">
        <is>
          <t>1.0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ez_manage.py:4700 top()</t>
        </is>
      </c>
      <c r="IK17" s="9" t="inlineStr">
        <is>
          <t>v12_quick_engine.py:1819 x8</t>
        </is>
      </c>
    </row>
    <row r="18" ht="11" customHeight="1">
      <c r="A18" s="10" t="inlineStr">
        <is>
          <t>E_3_USE_WT_STRUCTURE_EXIT_MODE</t>
        </is>
      </c>
      <c r="B18" s="11" t="inlineStr">
        <is>
          <t>2.0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ez_manage.py:4700 top()</t>
        </is>
      </c>
      <c r="IK18" s="9" t="inlineStr">
        <is>
          <t>v12_quick_engine.py:1819 x8</t>
        </is>
      </c>
    </row>
    <row r="19" ht="11" customHeight="1">
      <c r="A19" s="10" t="inlineStr">
        <is>
          <t>HARD_BREAKEVEN_FLOOR_ENABLED</t>
        </is>
      </c>
      <c r="B19" s="11" t="inlineStr">
        <is>
          <t>False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ez_manage.py:4783 top()</t>
        </is>
      </c>
      <c r="IK19" s="9" t="inlineStr">
        <is>
          <t>v12_quick_engine.py:856 x6</t>
        </is>
      </c>
    </row>
    <row r="20" ht="11" customHeight="1">
      <c r="A20" s="6" t="inlineStr">
        <is>
          <t>HARD_BREAKEVEN_FLOOR_ENABLED</t>
        </is>
      </c>
      <c r="B20" s="7" t="inlineStr">
        <is>
          <t>True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ez_manage.py:4783 top()</t>
        </is>
      </c>
      <c r="IK20" s="9" t="inlineStr">
        <is>
          <t>v12_quick_engine.py:856 x6</t>
        </is>
      </c>
    </row>
    <row r="21" ht="11" customHeight="1">
      <c r="A21" s="10" t="inlineStr">
        <is>
          <t>HARD_BREAKEVEN_MIN_PEAK_PCT</t>
        </is>
      </c>
      <c r="B21" s="11" t="inlineStr">
        <is>
          <t>0.25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ez_manage.py:4784 top()</t>
        </is>
      </c>
      <c r="IK21" s="9" t="inlineStr">
        <is>
          <t>v12_quick_engine.py:858 x8</t>
        </is>
      </c>
    </row>
    <row r="22" ht="11" customHeight="1">
      <c r="A22" s="10" t="inlineStr">
        <is>
          <t>HARD_BREAKEVEN_MIN_PEAK_PCT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ez_manage.py:4784 top()</t>
        </is>
      </c>
      <c r="IK22" s="9" t="inlineStr">
        <is>
          <t>v12_quick_engine.py:858 x8</t>
        </is>
      </c>
    </row>
    <row r="23" ht="11" customHeight="1">
      <c r="A23" s="6" t="inlineStr">
        <is>
          <t>HARD_BREAKEVEN_MIN_PEAK_PCT</t>
        </is>
      </c>
      <c r="B23" s="7" t="inlineStr">
        <is>
          <t>0.5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ez_manage.py:4784 top()</t>
        </is>
      </c>
      <c r="IK23" s="9" t="inlineStr">
        <is>
          <t>v12_quick_engine.py:858 x8</t>
        </is>
      </c>
    </row>
    <row r="24" ht="11" customHeight="1">
      <c r="A24" s="10" t="inlineStr">
        <is>
          <t>HARD_BREAKEVEN_MIN_PEAK_PCT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ez_manage.py:4784 top()</t>
        </is>
      </c>
      <c r="IK24" s="9" t="inlineStr">
        <is>
          <t>v12_quick_engine.py:858 x8</t>
        </is>
      </c>
    </row>
    <row r="25" ht="11" customHeight="1">
      <c r="A25" s="10" t="inlineStr">
        <is>
          <t>HARD_BREAKEVEN_MIN_PEAK_PCT</t>
        </is>
      </c>
      <c r="B25" s="11" t="inlineStr">
        <is>
          <t>0.75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ez_manage.py:4784 top()</t>
        </is>
      </c>
      <c r="IK25" s="9" t="inlineStr">
        <is>
          <t>v12_quick_engine.py:858 x8</t>
        </is>
      </c>
    </row>
    <row r="26" ht="11" customHeight="1">
      <c r="A26" s="10" t="inlineStr">
        <is>
          <t>LOSS_TECHNICAL_EXIT_NO_STALE_BLOCK</t>
        </is>
      </c>
      <c r="B26" s="11" t="inlineStr">
        <is>
          <t>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ez_manage.py:4933 top()</t>
        </is>
      </c>
      <c r="IK26" s="9" t="inlineStr">
        <is>
          <t>v12_quick_engine.py:2172 x2</t>
        </is>
      </c>
    </row>
    <row r="27" ht="11" customHeight="1">
      <c r="A27" s="10" t="inlineStr">
        <is>
          <t>LOSS_TECHNICAL_EXIT_NO_STALE_BLOCK</t>
        </is>
      </c>
      <c r="B27" s="11" t="inlineStr">
        <is>
          <t>0.5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ez_manage.py:4933 top()</t>
        </is>
      </c>
      <c r="IK27" s="9" t="inlineStr">
        <is>
          <t>v12_quick_engine.py:2172 x2</t>
        </is>
      </c>
    </row>
    <row r="28" ht="11" customHeight="1">
      <c r="A28" s="10" t="inlineStr">
        <is>
          <t>LOSS_TECHNICAL_EXIT_NO_STALE_BLOCK</t>
        </is>
      </c>
      <c r="B28" s="11" t="inlineStr">
        <is>
          <t>1.0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ez_manage.py:4933 top()</t>
        </is>
      </c>
      <c r="IK28" s="9" t="inlineStr">
        <is>
          <t>v12_quick_engine.py:2172 x2</t>
        </is>
      </c>
    </row>
    <row r="29" ht="11" customHeight="1">
      <c r="A29" s="10" t="inlineStr">
        <is>
          <t>LOSS_TECHNICAL_EXIT_NO_STALE_BLOCK</t>
        </is>
      </c>
      <c r="B29" s="11" t="inlineStr">
        <is>
          <t>2.0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ez_manage.py:4933 top()</t>
        </is>
      </c>
      <c r="IK29" s="9" t="inlineStr">
        <is>
          <t>v12_quick_engine.py:2172 x2</t>
        </is>
      </c>
    </row>
    <row r="30" ht="11" customHeight="1">
      <c r="A30" s="6" t="inlineStr">
        <is>
          <t>MI_STRUCT_EXIT_ENABLED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ez_manage.py:3566 top()</t>
        </is>
      </c>
      <c r="IK30" s="9" t="inlineStr">
        <is>
          <t>v12_quick_engine.py:2344 x8</t>
        </is>
      </c>
    </row>
    <row r="31" ht="11" customHeight="1">
      <c r="A31" s="10" t="inlineStr">
        <is>
          <t>MI_STRUCT_EXIT_ENABLED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ez_manage.py:3566 top()</t>
        </is>
      </c>
      <c r="IK31" s="9" t="inlineStr">
        <is>
          <t>v12_quick_engine.py:2344 x8</t>
        </is>
      </c>
    </row>
    <row r="32" ht="11" customHeight="1">
      <c r="A32" s="6" t="inlineStr">
        <is>
          <t>MI_VELOCITY_EXIT_ENABLED</t>
        </is>
      </c>
      <c r="B32" s="7" t="inlineStr">
        <is>
          <t>False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ez_manage.py:3568 top()</t>
        </is>
      </c>
      <c r="IK32" s="9" t="inlineStr">
        <is>
          <t>v12_quick_engine.py:2347 x8</t>
        </is>
      </c>
    </row>
    <row r="33" ht="11" customHeight="1">
      <c r="A33" s="10" t="inlineStr">
        <is>
          <t>MI_VELOCITY_EXIT_ENABLED</t>
        </is>
      </c>
      <c r="B33" s="11" t="inlineStr">
        <is>
          <t>True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ez_manage.py:3568 top()</t>
        </is>
      </c>
      <c r="IK33" s="9" t="inlineStr">
        <is>
          <t>v12_quick_engine.py:2347 x8</t>
        </is>
      </c>
    </row>
    <row r="34" ht="11" customHeight="1">
      <c r="A34" s="6" t="inlineStr">
        <is>
          <t>MI_WAVE_EXIT_ENABLED</t>
        </is>
      </c>
      <c r="B34" s="7" t="inlineStr">
        <is>
          <t>False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ez_manage.py:3569 top()</t>
        </is>
      </c>
      <c r="IK34" s="9" t="inlineStr">
        <is>
          <t>v12_quick_engine.py:2349 x8</t>
        </is>
      </c>
    </row>
    <row r="35" ht="11" customHeight="1">
      <c r="A35" s="10" t="inlineStr">
        <is>
          <t>MI_WAVE_EXIT_ENABLED</t>
        </is>
      </c>
      <c r="B35" s="11" t="inlineStr">
        <is>
          <t>True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ez_manage.py:3569 top()</t>
        </is>
      </c>
      <c r="IK35" s="9" t="inlineStr">
        <is>
          <t>v12_quick_engine.py:2349 x8</t>
        </is>
      </c>
    </row>
    <row r="36" ht="11" customHeight="1">
      <c r="A36" s="6" t="inlineStr">
        <is>
          <t>MU_CORRECTION_EXIT_ENABLED</t>
        </is>
      </c>
      <c r="B36" s="7" t="inlineStr">
        <is>
          <t>False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ez_manage.py:5068 top()</t>
        </is>
      </c>
      <c r="IK36" s="9" t="inlineStr">
        <is>
          <t>v12_quick_engine.py:2454 x3</t>
        </is>
      </c>
    </row>
    <row r="37" ht="11" customHeight="1">
      <c r="A37" s="10" t="inlineStr">
        <is>
          <t>MU_CORRECTION_EXIT_ENABLED</t>
        </is>
      </c>
      <c r="B37" s="11" t="inlineStr">
        <is>
          <t>True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ez_manage.py:5068 top()</t>
        </is>
      </c>
      <c r="IK37" s="9" t="inlineStr">
        <is>
          <t>v12_quick_engine.py:2454 x3</t>
        </is>
      </c>
    </row>
    <row r="38" ht="11" customHeight="1">
      <c r="A38" s="6" t="inlineStr">
        <is>
          <t>RULE_B_3M_EXIT_ENABLED</t>
        </is>
      </c>
      <c r="B38" s="7" t="inlineStr">
        <is>
          <t>False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ez_manage.py:5395 top()</t>
        </is>
      </c>
      <c r="IK38" s="9" t="inlineStr">
        <is>
          <t>v12_quick_engine.py:3009 x4</t>
        </is>
      </c>
    </row>
    <row r="39" ht="11" customHeight="1">
      <c r="A39" s="10" t="inlineStr">
        <is>
          <t>RULE_B_3M_EXIT_ENABLED</t>
        </is>
      </c>
      <c r="B39" s="11" t="inlineStr">
        <is>
          <t>True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ez_manage.py:5395 top()</t>
        </is>
      </c>
      <c r="IK39" s="9" t="inlineStr">
        <is>
          <t>v12_quick_engine.py:3009 x4</t>
        </is>
      </c>
    </row>
    <row r="40" ht="11" customHeight="1">
      <c r="A40" s="6" t="inlineStr">
        <is>
          <t>SCALP_V3_K_OB_EXIT_ENABLED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ez_manage.py:5550 top()</t>
        </is>
      </c>
      <c r="IK40" s="9" t="inlineStr">
        <is>
          <t>v12_quick_engine.py:3178 x4</t>
        </is>
      </c>
    </row>
    <row r="41" ht="11" customHeight="1">
      <c r="A41" s="10" t="inlineStr">
        <is>
          <t>SCALP_V3_K_OB_EXIT_ENABLED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ez_manage.py:5550 top()</t>
        </is>
      </c>
      <c r="IK41" s="9" t="inlineStr">
        <is>
          <t>v12_quick_engine.py:3178 x4</t>
        </is>
      </c>
    </row>
    <row r="42" ht="11" customHeight="1">
      <c r="A42" s="6" t="inlineStr">
        <is>
          <t>SCALP_V3_PROTECTIVE_EXIT_ENABLED</t>
        </is>
      </c>
      <c r="B42" s="7" t="inlineStr">
        <is>
          <t>False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ez_manage.py:5586 top()</t>
        </is>
      </c>
      <c r="IK42" s="9" t="inlineStr">
        <is>
          <t>v12_quick_engine.py:3192 x4</t>
        </is>
      </c>
    </row>
    <row r="43" ht="11" customHeight="1">
      <c r="A43" s="10" t="inlineStr">
        <is>
          <t>SCALP_V3_PROTECTIVE_EXIT_ENABLED</t>
        </is>
      </c>
      <c r="B43" s="11" t="inlineStr">
        <is>
          <t>True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ez_manage.py:5586 top()</t>
        </is>
      </c>
      <c r="IK43" s="9" t="inlineStr">
        <is>
          <t>v12_quick_engine.py:3192 x4</t>
        </is>
      </c>
    </row>
    <row r="44" ht="11" customHeight="1">
      <c r="A44" s="10" t="inlineStr">
        <is>
          <t>STDEV_REJECT_EXIT_TF</t>
        </is>
      </c>
      <c r="B44" s="11" t="inlineStr">
        <is>
          <t>OFF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ez_manage.py:4058 top()</t>
        </is>
      </c>
      <c r="IK44" s="9" t="inlineStr">
        <is>
          <t>v12_quick_engine.py:3298 x3</t>
        </is>
      </c>
    </row>
    <row r="45" ht="11" customHeight="1">
      <c r="A45" s="10" t="inlineStr">
        <is>
          <t>STDEV_REJECT_EXIT_TF</t>
        </is>
      </c>
      <c r="B45" s="11" t="inlineStr">
        <is>
          <t>D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ez_manage.py:4058 top()</t>
        </is>
      </c>
      <c r="IK45" s="9" t="inlineStr">
        <is>
          <t>v12_quick_engine.py:3298 x3</t>
        </is>
      </c>
    </row>
    <row r="46" ht="11" customHeight="1">
      <c r="A46" s="10" t="inlineStr">
        <is>
          <t>STDEV_REJECT_EXIT_TF</t>
        </is>
      </c>
      <c r="B46" s="11" t="inlineStr">
        <is>
          <t>4h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ez_manage.py:4058 top()</t>
        </is>
      </c>
      <c r="IK46" s="9" t="inlineStr">
        <is>
          <t>v12_quick_engine.py:3298 x3</t>
        </is>
      </c>
    </row>
    <row r="47" ht="11" customHeight="1">
      <c r="A47" s="10" t="inlineStr">
        <is>
          <t>STDEV_REJECT_EXIT_TF</t>
        </is>
      </c>
      <c r="B47" s="11" t="inlineStr">
        <is>
          <t>1h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ez_manage.py:4058 top()</t>
        </is>
      </c>
      <c r="IK47" s="9" t="inlineStr">
        <is>
          <t>v12_quick_engine.py:3298 x3</t>
        </is>
      </c>
    </row>
    <row r="48" ht="11" customHeight="1">
      <c r="A48" s="6" t="inlineStr">
        <is>
          <t>STDEV_REJECT_EXIT_TF</t>
        </is>
      </c>
      <c r="B48" s="7" t="inlineStr">
        <is>
          <t>15m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ez_manage.py:4058 top()</t>
        </is>
      </c>
      <c r="IK48" s="9" t="inlineStr">
        <is>
          <t>v12_quick_engine.py:3298 x3</t>
        </is>
      </c>
    </row>
    <row r="49" ht="11" customHeight="1">
      <c r="A49" s="10" t="inlineStr">
        <is>
          <t>TREND_EXIT_SCORE_FLIP</t>
        </is>
      </c>
      <c r="B49" s="11" t="inlineStr">
        <is>
          <t>0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ez_manage.py:4200 top()</t>
        </is>
      </c>
      <c r="IK49" s="9" t="inlineStr">
        <is>
          <t>v12_quick_engine.py:3540 x2</t>
        </is>
      </c>
    </row>
    <row r="50" ht="11" customHeight="1">
      <c r="A50" s="10" t="inlineStr">
        <is>
          <t>TREND_EXIT_SCORE_FLIP</t>
        </is>
      </c>
      <c r="B50" s="11" t="inlineStr">
        <is>
          <t>0.5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ez_manage.py:4200 top()</t>
        </is>
      </c>
      <c r="IK50" s="9" t="inlineStr">
        <is>
          <t>v12_quick_engine.py:3540 x2</t>
        </is>
      </c>
    </row>
    <row r="51" ht="11" customHeight="1">
      <c r="A51" s="10" t="inlineStr">
        <is>
          <t>TREND_EXIT_SCORE_FLIP</t>
        </is>
      </c>
      <c r="B51" s="11" t="inlineStr">
        <is>
          <t>1.0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ez_manage.py:4200 top()</t>
        </is>
      </c>
      <c r="IK51" s="9" t="inlineStr">
        <is>
          <t>v12_quick_engine.py:3540 x2</t>
        </is>
      </c>
    </row>
    <row r="52" ht="11" customHeight="1">
      <c r="A52" s="10" t="inlineStr">
        <is>
          <t>TREND_EXIT_SCORE_FLIP</t>
        </is>
      </c>
      <c r="B52" s="11" t="inlineStr">
        <is>
          <t>2.0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ez_manage.py:4200 top()</t>
        </is>
      </c>
      <c r="IK52" s="9" t="inlineStr">
        <is>
          <t>v12_quick_engine.py:3540 x2</t>
        </is>
      </c>
    </row>
    <row r="53" ht="11" customHeight="1">
      <c r="A53" s="6" t="inlineStr">
        <is>
          <t>WT_4H_VEL_EXIT_ENABLED</t>
        </is>
      </c>
      <c r="B53" s="7" t="inlineStr">
        <is>
          <t>False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ez_manage.py:5876 top()</t>
        </is>
      </c>
      <c r="IK53" s="9" t="inlineStr">
        <is>
          <t>v12_quick_engine.py:3695 x5</t>
        </is>
      </c>
    </row>
    <row r="54" ht="11" customHeight="1">
      <c r="A54" s="10" t="inlineStr">
        <is>
          <t>WT_4H_VEL_EXIT_ENABLED</t>
        </is>
      </c>
      <c r="B54" s="11" t="inlineStr">
        <is>
          <t>True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ez_manage.py:5876 top()</t>
        </is>
      </c>
      <c r="IK54" s="9" t="inlineStr">
        <is>
          <t>v12_quick_engine.py:3695 x5</t>
        </is>
      </c>
    </row>
    <row r="55" ht="11" customHeight="1">
      <c r="A55" s="10" t="inlineStr">
        <is>
          <t>WT_4H_VEL_EXIT_K_EXTREME_HIGH</t>
        </is>
      </c>
      <c r="B55" s="11" t="inlineStr">
        <is>
          <t>0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ez_manage.py:5877 top()</t>
        </is>
      </c>
      <c r="IK55" s="9" t="inlineStr">
        <is>
          <t>v12_quick_engine.py:3696 x5</t>
        </is>
      </c>
    </row>
    <row r="56" ht="11" customHeight="1">
      <c r="A56" s="10" t="inlineStr">
        <is>
          <t>WT_4H_VEL_EXIT_K_EXTREME_HIGH</t>
        </is>
      </c>
      <c r="B56" s="11" t="inlineStr">
        <is>
          <t>0.5</t>
        </is>
      </c>
      <c r="E56">
        <f>IF(F56="",E55,IF(F56&gt;0,E55+F56,E55))</f>
        <v/>
      </c>
      <c r="F56">
        <f>IFERROR(VLOOKUP($A56,Results_30d_Deltas!$A$2:$H$5000,8,FALSE)-E55,"")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ez_manage.py:5877 top()</t>
        </is>
      </c>
      <c r="IK56" s="9" t="inlineStr">
        <is>
          <t>v12_quick_engine.py:3696 x5</t>
        </is>
      </c>
    </row>
    <row r="57" ht="11" customHeight="1">
      <c r="A57" s="10" t="inlineStr">
        <is>
          <t>WT_4H_VEL_EXIT_K_EXTREME_HIGH</t>
        </is>
      </c>
      <c r="B57" s="11" t="inlineStr">
        <is>
          <t>1.0</t>
        </is>
      </c>
      <c r="E57">
        <f>IF(F57="",E56,IF(F57&gt;0,E56+F57,E56))</f>
        <v/>
      </c>
      <c r="F57">
        <f>IFERROR(VLOOKUP($A57,Results_30d_Deltas!$A$2:$H$5000,8,FALSE)-E56,"")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ez_manage.py:5877 top()</t>
        </is>
      </c>
      <c r="IK57" s="9" t="inlineStr">
        <is>
          <t>v12_quick_engine.py:3696 x5</t>
        </is>
      </c>
    </row>
    <row r="58" ht="11" customHeight="1">
      <c r="A58" s="10" t="inlineStr">
        <is>
          <t>WT_4H_VEL_EXIT_K_EXTREME_HIGH</t>
        </is>
      </c>
      <c r="B58" s="11" t="inlineStr">
        <is>
          <t>2.0</t>
        </is>
      </c>
      <c r="E58">
        <f>IF(F58="",E57,IF(F58&gt;0,E57+F58,E57))</f>
        <v/>
      </c>
      <c r="F58">
        <f>IFERROR(VLOOKUP($A58,Results_30d_Deltas!$A$2:$H$5000,8,FALSE)-E57,"")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ez_manage.py:5877 top()</t>
        </is>
      </c>
      <c r="IK58" s="9" t="inlineStr">
        <is>
          <t>v12_quick_engine.py:3696 x5</t>
        </is>
      </c>
    </row>
    <row r="59" ht="11" customHeight="1">
      <c r="A59" s="10" t="inlineStr">
        <is>
          <t>WT_4H_VEL_EXIT_K_EXTREME_LOW</t>
        </is>
      </c>
      <c r="B59" s="11" t="inlineStr">
        <is>
          <t>0</t>
        </is>
      </c>
      <c r="E59">
        <f>IF(F59="",E58,IF(F59&gt;0,E58+F59,E58))</f>
        <v/>
      </c>
      <c r="F59">
        <f>IFERROR(VLOOKUP($A59,Results_30d_Deltas!$A$2:$H$5000,8,FALSE)-E58,"")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ez_manage.py:5878 top()</t>
        </is>
      </c>
      <c r="IK59" s="9" t="inlineStr">
        <is>
          <t>v12_quick_engine.py:3697 x5</t>
        </is>
      </c>
    </row>
    <row r="60" ht="11" customHeight="1">
      <c r="A60" s="10" t="inlineStr">
        <is>
          <t>WT_4H_VEL_EXIT_K_EXTREME_LOW</t>
        </is>
      </c>
      <c r="B60" s="11" t="inlineStr">
        <is>
          <t>0.5</t>
        </is>
      </c>
      <c r="E60">
        <f>IF(F60="",E59,IF(F60&gt;0,E59+F60,E59))</f>
        <v/>
      </c>
      <c r="F60">
        <f>IFERROR(VLOOKUP($A60,Results_30d_Deltas!$A$2:$H$5000,8,FALSE)-E59,"")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ez_manage.py:5878 top()</t>
        </is>
      </c>
      <c r="IK60" s="9" t="inlineStr">
        <is>
          <t>v12_quick_engine.py:3697 x5</t>
        </is>
      </c>
    </row>
    <row r="61" ht="11" customHeight="1">
      <c r="A61" s="10" t="inlineStr">
        <is>
          <t>WT_4H_VEL_EXIT_K_EXTREME_LOW</t>
        </is>
      </c>
      <c r="B61" s="11" t="inlineStr">
        <is>
          <t>1.0</t>
        </is>
      </c>
      <c r="E61">
        <f>IF(F61="",E60,IF(F61&gt;0,E60+F61,E60))</f>
        <v/>
      </c>
      <c r="F61">
        <f>IFERROR(VLOOKUP($A61,Results_30d_Deltas!$A$2:$H$5000,8,FALSE)-E60,"")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ez_manage.py:5878 top()</t>
        </is>
      </c>
      <c r="IK61" s="9" t="inlineStr">
        <is>
          <t>v12_quick_engine.py:3697 x5</t>
        </is>
      </c>
    </row>
    <row r="62" ht="11" customHeight="1">
      <c r="A62" s="10" t="inlineStr">
        <is>
          <t>WT_4H_VEL_EXIT_K_EXTREME_LOW</t>
        </is>
      </c>
      <c r="B62" s="11" t="inlineStr">
        <is>
          <t>2.0</t>
        </is>
      </c>
      <c r="E62">
        <f>IF(F62="",E61,IF(F62&gt;0,E61+F62,E61))</f>
        <v/>
      </c>
      <c r="F62">
        <f>IFERROR(VLOOKUP($A62,Results_30d_Deltas!$A$2:$H$5000,8,FALSE)-E61,"")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ez_manage.py:5878 top()</t>
        </is>
      </c>
      <c r="IK62" s="9" t="inlineStr">
        <is>
          <t>v12_quick_engine.py:3697 x5</t>
        </is>
      </c>
    </row>
    <row r="63" ht="11" customHeight="1">
      <c r="A63" s="10" t="inlineStr">
        <is>
          <t>WT_4H_VEL_EXIT_REQUIRE_K_EXTREME</t>
        </is>
      </c>
      <c r="B63" s="11" t="inlineStr">
        <is>
          <t>0</t>
        </is>
      </c>
      <c r="E63">
        <f>IF(F63="",E62,IF(F63&gt;0,E62+F63,E62))</f>
        <v/>
      </c>
      <c r="F63">
        <f>IFERROR(VLOOKUP($A63,Results_30d_Deltas!$A$2:$H$5000,8,FALSE)-E62,"")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ez_manage.py:5880 top()</t>
        </is>
      </c>
      <c r="IK63" s="9" t="inlineStr">
        <is>
          <t>v12_quick_engine.py:3699 x5</t>
        </is>
      </c>
    </row>
    <row r="64" ht="11" customHeight="1">
      <c r="A64" s="10" t="inlineStr">
        <is>
          <t>WT_4H_VEL_EXIT_REQUIRE_K_EXTREME</t>
        </is>
      </c>
      <c r="B64" s="11" t="inlineStr">
        <is>
          <t>0.5</t>
        </is>
      </c>
      <c r="E64">
        <f>IF(F64="",E63,IF(F64&gt;0,E63+F64,E63))</f>
        <v/>
      </c>
      <c r="F64">
        <f>IFERROR(VLOOKUP($A64,Results_30d_Deltas!$A$2:$H$5000,8,FALSE)-E63,"")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ez_manage.py:5880 top()</t>
        </is>
      </c>
      <c r="IK64" s="9" t="inlineStr">
        <is>
          <t>v12_quick_engine.py:3699 x5</t>
        </is>
      </c>
    </row>
    <row r="65" ht="11" customHeight="1">
      <c r="A65" s="10" t="inlineStr">
        <is>
          <t>WT_4H_VEL_EXIT_REQUIRE_K_EXTREME</t>
        </is>
      </c>
      <c r="B65" s="11" t="inlineStr">
        <is>
          <t>1.0</t>
        </is>
      </c>
      <c r="E65">
        <f>IF(F65="",E64,IF(F65&gt;0,E64+F65,E64))</f>
        <v/>
      </c>
      <c r="F65">
        <f>IFERROR(VLOOKUP($A65,Results_30d_Deltas!$A$2:$H$5000,8,FALSE)-E64,"")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ez_manage.py:5880 top()</t>
        </is>
      </c>
      <c r="IK65" s="9" t="inlineStr">
        <is>
          <t>v12_quick_engine.py:3699 x5</t>
        </is>
      </c>
    </row>
    <row r="66" ht="11" customHeight="1">
      <c r="A66" s="10" t="inlineStr">
        <is>
          <t>WT_4H_VEL_EXIT_REQUIRE_K_EXTREME</t>
        </is>
      </c>
      <c r="B66" s="11" t="inlineStr">
        <is>
          <t>2.0</t>
        </is>
      </c>
      <c r="E66">
        <f>IF(F66="",E65,IF(F66&gt;0,E65+F66,E65))</f>
        <v/>
      </c>
      <c r="F66">
        <f>IFERROR(VLOOKUP($A66,Results_30d_Deltas!$A$2:$H$5000,8,FALSE)-E65,"")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ez_manage.py:5880 top()</t>
        </is>
      </c>
      <c r="IK66" s="9" t="inlineStr">
        <is>
          <t>v12_quick_engine.py:3699 x5</t>
        </is>
      </c>
    </row>
    <row r="67" ht="11" customHeight="1">
      <c r="A67" s="10" t="inlineStr">
        <is>
          <t>WT_4H_VEL_EXIT_REQUIRE_PROFIT</t>
        </is>
      </c>
      <c r="B67" s="11" t="inlineStr">
        <is>
          <t>0</t>
        </is>
      </c>
      <c r="E67">
        <f>IF(F67="",E66,IF(F67&gt;0,E66+F67,E66))</f>
        <v/>
      </c>
      <c r="F67">
        <f>IFERROR(VLOOKUP($A67,Results_30d_Deltas!$A$2:$H$5000,8,FALSE)-E66,"")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ez_manage.py:5881 top()</t>
        </is>
      </c>
      <c r="IK67" s="9" t="inlineStr">
        <is>
          <t>v12_quick_engine.py:3700 x5</t>
        </is>
      </c>
    </row>
    <row r="68" ht="11" customHeight="1">
      <c r="A68" s="10" t="inlineStr">
        <is>
          <t>WT_4H_VEL_EXIT_REQUIRE_PROFIT</t>
        </is>
      </c>
      <c r="B68" s="11" t="inlineStr">
        <is>
          <t>0.5</t>
        </is>
      </c>
      <c r="E68">
        <f>IF(F68="",E67,IF(F68&gt;0,E67+F68,E67))</f>
        <v/>
      </c>
      <c r="F68">
        <f>IFERROR(VLOOKUP($A68,Results_30d_Deltas!$A$2:$H$5000,8,FALSE)-E67,"")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ez_manage.py:5881 top()</t>
        </is>
      </c>
      <c r="IK68" s="9" t="inlineStr">
        <is>
          <t>v12_quick_engine.py:3700 x5</t>
        </is>
      </c>
    </row>
    <row r="69" ht="11" customHeight="1">
      <c r="A69" s="10" t="inlineStr">
        <is>
          <t>WT_4H_VEL_EXIT_REQUIRE_PROFIT</t>
        </is>
      </c>
      <c r="B69" s="11" t="inlineStr">
        <is>
          <t>1.0</t>
        </is>
      </c>
      <c r="E69">
        <f>IF(F69="",E68,IF(F69&gt;0,E68+F69,E68))</f>
        <v/>
      </c>
      <c r="F69">
        <f>IFERROR(VLOOKUP($A69,Results_30d_Deltas!$A$2:$H$5000,8,FALSE)-E68,"")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ez_manage.py:5881 top()</t>
        </is>
      </c>
      <c r="IK69" s="9" t="inlineStr">
        <is>
          <t>v12_quick_engine.py:3700 x5</t>
        </is>
      </c>
    </row>
    <row r="70" ht="11" customHeight="1">
      <c r="A70" s="10" t="inlineStr">
        <is>
          <t>WT_4H_VEL_EXIT_REQUIRE_PROFIT</t>
        </is>
      </c>
      <c r="B70" s="11" t="inlineStr">
        <is>
          <t>2.0</t>
        </is>
      </c>
      <c r="E70">
        <f>IF(F70="",E69,IF(F70&gt;0,E69+F70,E69))</f>
        <v/>
      </c>
      <c r="F70">
        <f>IFERROR(VLOOKUP($A70,Results_30d_Deltas!$A$2:$H$5000,8,FALSE)-E69,"")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ez_manage.py:5881 top()</t>
        </is>
      </c>
      <c r="IK70" s="9" t="inlineStr">
        <is>
          <t>v12_quick_engine.py:3700 x5</t>
        </is>
      </c>
    </row>
    <row r="71" ht="11" customHeight="1">
      <c r="A71" s="10" t="inlineStr">
        <is>
          <t>WT_CROSS_EXIT_APPLIES_TO_WINNERS</t>
        </is>
      </c>
      <c r="B71" s="11" t="inlineStr">
        <is>
          <t>0</t>
        </is>
      </c>
      <c r="E71">
        <f>IF(F71="",E70,IF(F71&gt;0,E70+F71,E70))</f>
        <v/>
      </c>
      <c r="F71">
        <f>IFERROR(VLOOKUP($A71,Results_30d_Deltas!$A$2:$H$5000,8,FALSE)-E70,"")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ez_manage.py:5901 top()</t>
        </is>
      </c>
      <c r="IK71" s="9" t="inlineStr">
        <is>
          <t>v12_quick_engine.py:3722 x2</t>
        </is>
      </c>
    </row>
    <row r="72" ht="11" customHeight="1">
      <c r="A72" s="10" t="inlineStr">
        <is>
          <t>WT_CROSS_EXIT_APPLIES_TO_WINNERS</t>
        </is>
      </c>
      <c r="B72" s="11" t="inlineStr">
        <is>
          <t>0.5</t>
        </is>
      </c>
      <c r="E72">
        <f>IF(F72="",E71,IF(F72&gt;0,E71+F72,E71))</f>
        <v/>
      </c>
      <c r="F72">
        <f>IFERROR(VLOOKUP($A72,Results_30d_Deltas!$A$2:$H$5000,8,FALSE)-E71,"")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ez_manage.py:5901 top()</t>
        </is>
      </c>
      <c r="IK72" s="9" t="inlineStr">
        <is>
          <t>v12_quick_engine.py:3722 x2</t>
        </is>
      </c>
    </row>
    <row r="73" ht="11" customHeight="1">
      <c r="A73" s="10" t="inlineStr">
        <is>
          <t>WT_CROSS_EXIT_APPLIES_TO_WINNERS</t>
        </is>
      </c>
      <c r="B73" s="11" t="inlineStr">
        <is>
          <t>1.0</t>
        </is>
      </c>
      <c r="E73">
        <f>IF(F73="",E72,IF(F73&gt;0,E72+F73,E72))</f>
        <v/>
      </c>
      <c r="F73">
        <f>IFERROR(VLOOKUP($A73,Results_30d_Deltas!$A$2:$H$5000,8,FALSE)-E72,"")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ez_manage.py:5901 top()</t>
        </is>
      </c>
      <c r="IK73" s="9" t="inlineStr">
        <is>
          <t>v12_quick_engine.py:3722 x2</t>
        </is>
      </c>
    </row>
    <row r="74" ht="11" customHeight="1">
      <c r="A74" s="10" t="inlineStr">
        <is>
          <t>WT_CROSS_EXIT_APPLIES_TO_WINNERS</t>
        </is>
      </c>
      <c r="B74" s="11" t="inlineStr">
        <is>
          <t>2.0</t>
        </is>
      </c>
      <c r="E74">
        <f>IF(F74="",E73,IF(F74&gt;0,E73+F74,E73))</f>
        <v/>
      </c>
      <c r="F74">
        <f>IFERROR(VLOOKUP($A74,Results_30d_Deltas!$A$2:$H$5000,8,FALSE)-E73,"")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ez_manage.py:5901 top()</t>
        </is>
      </c>
      <c r="IK74" s="9" t="inlineStr">
        <is>
          <t>v12_quick_engine.py:3722 x2</t>
        </is>
      </c>
    </row>
    <row r="75" ht="11" customHeight="1">
      <c r="A75" s="10" t="inlineStr">
        <is>
          <t>WT_CROSS_EXIT_MIN_AGE_MINUTES</t>
        </is>
      </c>
      <c r="B75" s="11" t="inlineStr">
        <is>
          <t>0</t>
        </is>
      </c>
      <c r="E75">
        <f>IF(F75="",E74,IF(F75&gt;0,E74+F75,E74))</f>
        <v/>
      </c>
      <c r="F75">
        <f>IFERROR(VLOOKUP($A75,Results_30d_Deltas!$A$2:$H$5000,8,FALSE)-E74,"")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ez_manage.py:5903 top()</t>
        </is>
      </c>
      <c r="IK75" s="9" t="inlineStr">
        <is>
          <t>v12_quick_engine.py:3724 x2</t>
        </is>
      </c>
    </row>
    <row r="76" ht="11" customHeight="1">
      <c r="A76" s="10" t="inlineStr">
        <is>
          <t>WT_CROSS_EXIT_MIN_AGE_MINUTES</t>
        </is>
      </c>
      <c r="B76" s="11" t="inlineStr">
        <is>
          <t>0.5</t>
        </is>
      </c>
      <c r="E76">
        <f>IF(F76="",E75,IF(F76&gt;0,E75+F76,E75))</f>
        <v/>
      </c>
      <c r="F76">
        <f>IFERROR(VLOOKUP($A76,Results_30d_Deltas!$A$2:$H$5000,8,FALSE)-E75,"")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ez_manage.py:5903 top()</t>
        </is>
      </c>
      <c r="IK76" s="9" t="inlineStr">
        <is>
          <t>v12_quick_engine.py:3724 x2</t>
        </is>
      </c>
    </row>
    <row r="77" ht="11" customHeight="1">
      <c r="A77" s="10" t="inlineStr">
        <is>
          <t>WT_CROSS_EXIT_MIN_AGE_MINUTES</t>
        </is>
      </c>
      <c r="B77" s="11" t="inlineStr">
        <is>
          <t>1.0</t>
        </is>
      </c>
      <c r="E77">
        <f>IF(F77="",E76,IF(F77&gt;0,E76+F77,E76))</f>
        <v/>
      </c>
      <c r="F77">
        <f>IFERROR(VLOOKUP($A77,Results_30d_Deltas!$A$2:$H$5000,8,FALSE)-E76,"")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ez_manage.py:5903 top()</t>
        </is>
      </c>
      <c r="IK77" s="9" t="inlineStr">
        <is>
          <t>v12_quick_engine.py:3724 x2</t>
        </is>
      </c>
    </row>
    <row r="78" ht="11" customHeight="1">
      <c r="A78" s="10" t="inlineStr">
        <is>
          <t>WT_CROSS_EXIT_MIN_AGE_MINUTES</t>
        </is>
      </c>
      <c r="B78" s="11" t="inlineStr">
        <is>
          <t>2.0</t>
        </is>
      </c>
      <c r="E78">
        <f>IF(F78="",E77,IF(F78&gt;0,E77+F78,E77))</f>
        <v/>
      </c>
      <c r="F78">
        <f>IFERROR(VLOOKUP($A78,Results_30d_Deltas!$A$2:$H$5000,8,FALSE)-E77,"")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ez_manage.py:5903 top()</t>
        </is>
      </c>
      <c r="IK78" s="9" t="inlineStr">
        <is>
          <t>v12_quick_engine.py:3724 x2</t>
        </is>
      </c>
    </row>
    <row r="79" ht="11" customHeight="1">
      <c r="A79" s="10" t="inlineStr">
        <is>
          <t>WT_CROSS_EXIT_REQUIRE_15M_CONFIRM</t>
        </is>
      </c>
      <c r="B79" s="11" t="inlineStr">
        <is>
          <t>0</t>
        </is>
      </c>
      <c r="E79">
        <f>IF(F79="",E78,IF(F79&gt;0,E78+F79,E78))</f>
        <v/>
      </c>
      <c r="F79">
        <f>IFERROR(VLOOKUP($A79,Results_30d_Deltas!$A$2:$H$5000,8,FALSE)-E78,"")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ez_manage.py:5904 top()</t>
        </is>
      </c>
      <c r="IK79" s="9" t="inlineStr">
        <is>
          <t>v12_quick_engine.py:3725 x5</t>
        </is>
      </c>
    </row>
    <row r="80" ht="11" customHeight="1">
      <c r="A80" s="10" t="inlineStr">
        <is>
          <t>WT_CROSS_EXIT_REQUIRE_15M_CONFIRM</t>
        </is>
      </c>
      <c r="B80" s="11" t="inlineStr">
        <is>
          <t>0.5</t>
        </is>
      </c>
      <c r="E80">
        <f>IF(F80="",E79,IF(F80&gt;0,E79+F80,E79))</f>
        <v/>
      </c>
      <c r="F80">
        <f>IFERROR(VLOOKUP($A80,Results_30d_Deltas!$A$2:$H$5000,8,FALSE)-E79,"")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ez_manage.py:5904 top()</t>
        </is>
      </c>
      <c r="IK80" s="9" t="inlineStr">
        <is>
          <t>v12_quick_engine.py:3725 x5</t>
        </is>
      </c>
    </row>
    <row r="81" ht="11" customHeight="1">
      <c r="A81" s="10" t="inlineStr">
        <is>
          <t>WT_CROSS_EXIT_REQUIRE_15M_CONFIRM</t>
        </is>
      </c>
      <c r="B81" s="11" t="inlineStr">
        <is>
          <t>1.0</t>
        </is>
      </c>
      <c r="E81">
        <f>IF(F81="",E80,IF(F81&gt;0,E80+F81,E80))</f>
        <v/>
      </c>
      <c r="F81">
        <f>IFERROR(VLOOKUP($A81,Results_30d_Deltas!$A$2:$H$5000,8,FALSE)-E80,"")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ez_manage.py:5904 top()</t>
        </is>
      </c>
      <c r="IK81" s="9" t="inlineStr">
        <is>
          <t>v12_quick_engine.py:3725 x5</t>
        </is>
      </c>
    </row>
    <row r="82" ht="11" customHeight="1">
      <c r="A82" s="10" t="inlineStr">
        <is>
          <t>WT_CROSS_EXIT_REQUIRE_15M_CONFIRM</t>
        </is>
      </c>
      <c r="B82" s="11" t="inlineStr">
        <is>
          <t>2.0</t>
        </is>
      </c>
      <c r="E82">
        <f>IF(F82="",E81,IF(F82&gt;0,E81+F82,E81))</f>
        <v/>
      </c>
      <c r="F82">
        <f>IFERROR(VLOOKUP($A82,Results_30d_Deltas!$A$2:$H$5000,8,FALSE)-E81,"")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ez_manage.py:5904 top()</t>
        </is>
      </c>
      <c r="IK82" s="9" t="inlineStr">
        <is>
          <t>v12_quick_engine.py:3725 x5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L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06 REENTRY_WINDOWED - 68 bases -&gt; 249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GUARANTEED_REENTRY_K_FAVORABLE_HIGH</t>
        </is>
      </c>
      <c r="B3" s="11" t="inlineStr">
        <is>
          <t>35.0</t>
        </is>
      </c>
      <c r="E3">
        <f>MAX('EXIT_VELOCITY'!E:E)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ez_manage.py:4774 top()</t>
        </is>
      </c>
      <c r="IK3" s="9" t="inlineStr">
        <is>
          <t>v12_quick_engine.py:1941 x4</t>
        </is>
      </c>
    </row>
    <row r="4" ht="11" customHeight="1">
      <c r="A4" s="10" t="inlineStr">
        <is>
          <t>GUARANTEED_REENTRY_K_FAVORABLE_HIGH</t>
        </is>
      </c>
      <c r="B4" s="11" t="inlineStr">
        <is>
          <t>52.5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ez_manage.py:4774 top()</t>
        </is>
      </c>
      <c r="IK4" s="9" t="inlineStr">
        <is>
          <t>v12_quick_engine.py:1941 x4</t>
        </is>
      </c>
    </row>
    <row r="5" ht="11" customHeight="1">
      <c r="A5" s="6" t="inlineStr">
        <is>
          <t>GUARANTEED_REENTRY_K_FAVORABLE_HIGH</t>
        </is>
      </c>
      <c r="B5" s="7" t="inlineStr">
        <is>
          <t>70.0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ez_manage.py:4774 top()</t>
        </is>
      </c>
      <c r="IK5" s="9" t="inlineStr">
        <is>
          <t>v12_quick_engine.py:1941 x4</t>
        </is>
      </c>
    </row>
    <row r="6" ht="11" customHeight="1">
      <c r="A6" s="10" t="inlineStr">
        <is>
          <t>GUARANTEED_REENTRY_K_FAVORABLE_HIGH</t>
        </is>
      </c>
      <c r="B6" s="11" t="inlineStr">
        <is>
          <t>87.5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ez_manage.py:4774 top()</t>
        </is>
      </c>
      <c r="IK6" s="9" t="inlineStr">
        <is>
          <t>v12_quick_engine.py:1941 x4</t>
        </is>
      </c>
    </row>
    <row r="7" ht="11" customHeight="1">
      <c r="A7" s="10" t="inlineStr">
        <is>
          <t>GUARANTEED_REENTRY_K_FAVORABLE_HIGH</t>
        </is>
      </c>
      <c r="B7" s="11" t="inlineStr">
        <is>
          <t>105.0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ez_manage.py:4774 top()</t>
        </is>
      </c>
      <c r="IK7" s="9" t="inlineStr">
        <is>
          <t>v12_quick_engine.py:1941 x4</t>
        </is>
      </c>
    </row>
    <row r="8" ht="11" customHeight="1">
      <c r="A8" s="10" t="inlineStr">
        <is>
          <t>GUARANTEED_REENTRY_K_FAVORABLE_LOW</t>
        </is>
      </c>
      <c r="B8" s="11" t="inlineStr">
        <is>
          <t>15.0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ez_manage.py:4775 top()</t>
        </is>
      </c>
      <c r="IK8" s="9" t="inlineStr">
        <is>
          <t>v12_quick_engine.py:1942 x4</t>
        </is>
      </c>
    </row>
    <row r="9" ht="11" customHeight="1">
      <c r="A9" s="10" t="inlineStr">
        <is>
          <t>GUARANTEED_REENTRY_K_FAVORABLE_LOW</t>
        </is>
      </c>
      <c r="B9" s="11" t="inlineStr">
        <is>
          <t>22.5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ez_manage.py:4775 top()</t>
        </is>
      </c>
      <c r="IK9" s="9" t="inlineStr">
        <is>
          <t>v12_quick_engine.py:1942 x4</t>
        </is>
      </c>
    </row>
    <row r="10" ht="11" customHeight="1">
      <c r="A10" s="6" t="inlineStr">
        <is>
          <t>GUARANTEED_REENTRY_K_FAVORABLE_LOW</t>
        </is>
      </c>
      <c r="B10" s="7" t="inlineStr">
        <is>
          <t>30.0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ez_manage.py:4775 top()</t>
        </is>
      </c>
      <c r="IK10" s="9" t="inlineStr">
        <is>
          <t>v12_quick_engine.py:1942 x4</t>
        </is>
      </c>
    </row>
    <row r="11" ht="11" customHeight="1">
      <c r="A11" s="10" t="inlineStr">
        <is>
          <t>GUARANTEED_REENTRY_K_FAVORABLE_LOW</t>
        </is>
      </c>
      <c r="B11" s="11" t="inlineStr">
        <is>
          <t>37.5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ez_manage.py:4775 top()</t>
        </is>
      </c>
      <c r="IK11" s="9" t="inlineStr">
        <is>
          <t>v12_quick_engine.py:1942 x4</t>
        </is>
      </c>
    </row>
    <row r="12" ht="11" customHeight="1">
      <c r="A12" s="10" t="inlineStr">
        <is>
          <t>GUARANTEED_REENTRY_K_FAVORABLE_LOW</t>
        </is>
      </c>
      <c r="B12" s="11" t="inlineStr">
        <is>
          <t>45.0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ez_manage.py:4775 top()</t>
        </is>
      </c>
      <c r="IK12" s="9" t="inlineStr">
        <is>
          <t>v12_quick_engine.py:1942 x4</t>
        </is>
      </c>
    </row>
    <row r="13" ht="11" customHeight="1">
      <c r="A13" s="6" t="inlineStr">
        <is>
          <t>BOUNCE_REENTRY_ENABLED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ez_manage.py:2985 top()</t>
        </is>
      </c>
      <c r="IK13" s="9" t="inlineStr">
        <is>
          <t>v12_quick_engine.py:315 x14</t>
        </is>
      </c>
    </row>
    <row r="14" ht="11" customHeight="1">
      <c r="A14" s="10" t="inlineStr">
        <is>
          <t>BOUNCE_REENTRY_ENABLED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ez_manage.py:2985 top()</t>
        </is>
      </c>
      <c r="IK14" s="9" t="inlineStr">
        <is>
          <t>v12_quick_engine.py:315 x14</t>
        </is>
      </c>
    </row>
    <row r="15" ht="11" customHeight="1">
      <c r="A15" s="6" t="inlineStr">
        <is>
          <t>DELTA_EXIT_MANDATORY_REENTRY_ENABLED</t>
        </is>
      </c>
      <c r="B15" s="7" t="inlineStr">
        <is>
          <t>False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ez_manage.py:5975 top()</t>
        </is>
      </c>
      <c r="IK15" s="9" t="inlineStr">
        <is>
          <t>v12_quick_engine.py:4235 x4</t>
        </is>
      </c>
    </row>
    <row r="16" ht="11" customHeight="1">
      <c r="A16" s="10" t="inlineStr">
        <is>
          <t>DELTA_EXIT_MANDATORY_REENTRY_ENABLED</t>
        </is>
      </c>
      <c r="B16" s="11" t="inlineStr">
        <is>
          <t>True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ez_manage.py:5975 top()</t>
        </is>
      </c>
      <c r="IK16" s="9" t="inlineStr">
        <is>
          <t>v12_quick_engine.py:4235 x4</t>
        </is>
      </c>
    </row>
    <row r="17" ht="11" customHeight="1">
      <c r="A17" s="10" t="inlineStr">
        <is>
          <t>BOUNCE_REENTRY_K_RESET_LONG</t>
        </is>
      </c>
      <c r="B17" s="11" t="inlineStr">
        <is>
          <t>0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ez_manage.py:2986 top()</t>
        </is>
      </c>
      <c r="IK17" s="9" t="inlineStr">
        <is>
          <t>v12_quick_engine.py:321 x13</t>
        </is>
      </c>
    </row>
    <row r="18" ht="11" customHeight="1">
      <c r="A18" s="10" t="inlineStr">
        <is>
          <t>BOUNCE_REENTRY_K_RESET_LONG</t>
        </is>
      </c>
      <c r="B18" s="11" t="inlineStr">
        <is>
          <t>0.5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ez_manage.py:2986 top()</t>
        </is>
      </c>
      <c r="IK18" s="9" t="inlineStr">
        <is>
          <t>v12_quick_engine.py:321 x13</t>
        </is>
      </c>
    </row>
    <row r="19" ht="11" customHeight="1">
      <c r="A19" s="10" t="inlineStr">
        <is>
          <t>BOUNCE_REENTRY_K_RESET_LONG</t>
        </is>
      </c>
      <c r="B19" s="11" t="inlineStr">
        <is>
          <t>1.0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ez_manage.py:2986 top()</t>
        </is>
      </c>
      <c r="IK19" s="9" t="inlineStr">
        <is>
          <t>v12_quick_engine.py:321 x13</t>
        </is>
      </c>
    </row>
    <row r="20" ht="11" customHeight="1">
      <c r="A20" s="10" t="inlineStr">
        <is>
          <t>BOUNCE_REENTRY_K_RESET_LONG</t>
        </is>
      </c>
      <c r="B20" s="11" t="inlineStr">
        <is>
          <t>2.0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ez_manage.py:2986 top()</t>
        </is>
      </c>
      <c r="IK20" s="9" t="inlineStr">
        <is>
          <t>v12_quick_engine.py:321 x13</t>
        </is>
      </c>
    </row>
    <row r="21" ht="11" customHeight="1">
      <c r="A21" s="10" t="inlineStr">
        <is>
          <t>BOUNCE_REENTRY_K_RESET_SHORT</t>
        </is>
      </c>
      <c r="B21" s="11" t="inlineStr">
        <is>
          <t>0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ez_manage.py:2987 top()</t>
        </is>
      </c>
      <c r="IK21" s="9" t="inlineStr">
        <is>
          <t>v12_quick_engine.py:327 x13</t>
        </is>
      </c>
    </row>
    <row r="22" ht="11" customHeight="1">
      <c r="A22" s="10" t="inlineStr">
        <is>
          <t>BOUNCE_REENTRY_K_RESET_SHORT</t>
        </is>
      </c>
      <c r="B22" s="11" t="inlineStr">
        <is>
          <t>0.5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ez_manage.py:2987 top()</t>
        </is>
      </c>
      <c r="IK22" s="9" t="inlineStr">
        <is>
          <t>v12_quick_engine.py:327 x13</t>
        </is>
      </c>
    </row>
    <row r="23" ht="11" customHeight="1">
      <c r="A23" s="10" t="inlineStr">
        <is>
          <t>BOUNCE_REENTRY_K_RESET_SHORT</t>
        </is>
      </c>
      <c r="B23" s="11" t="inlineStr">
        <is>
          <t>1.0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ez_manage.py:2987 top()</t>
        </is>
      </c>
      <c r="IK23" s="9" t="inlineStr">
        <is>
          <t>v12_quick_engine.py:327 x13</t>
        </is>
      </c>
    </row>
    <row r="24" ht="11" customHeight="1">
      <c r="A24" s="10" t="inlineStr">
        <is>
          <t>BOUNCE_REENTRY_K_RESET_SHORT</t>
        </is>
      </c>
      <c r="B24" s="11" t="inlineStr">
        <is>
          <t>2.0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ez_manage.py:2987 top()</t>
        </is>
      </c>
      <c r="IK24" s="9" t="inlineStr">
        <is>
          <t>v12_quick_engine.py:327 x13</t>
        </is>
      </c>
    </row>
    <row r="25" ht="11" customHeight="1">
      <c r="A25" s="6" t="inlineStr">
        <is>
          <t>BTC_GUARANTEED_REENTRY_ENABLED</t>
        </is>
      </c>
      <c r="B25" s="7" t="inlineStr">
        <is>
          <t>False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ez_manage.py:4470 top()</t>
        </is>
      </c>
      <c r="IK25" s="9" t="inlineStr">
        <is>
          <t>v12_quick_engine.py:415 x8</t>
        </is>
      </c>
    </row>
    <row r="26" ht="11" customHeight="1">
      <c r="A26" s="10" t="inlineStr">
        <is>
          <t>BTC_GUARANTEED_REENTRY_ENABLED</t>
        </is>
      </c>
      <c r="B26" s="11" t="inlineStr">
        <is>
          <t>True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ez_manage.py:4470 top()</t>
        </is>
      </c>
      <c r="IK26" s="9" t="inlineStr">
        <is>
          <t>v12_quick_engine.py:415 x8</t>
        </is>
      </c>
    </row>
    <row r="27" ht="11" customHeight="1">
      <c r="A27" s="10" t="inlineStr">
        <is>
          <t>BTC_GUARANTEED_REENTRY_MAX_AGE_BARS</t>
        </is>
      </c>
      <c r="B27" s="11" t="inlineStr">
        <is>
          <t>0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ez_manage.py:4471 top()</t>
        </is>
      </c>
      <c r="IK27" s="9" t="inlineStr">
        <is>
          <t>v12_quick_engine.py:422 x8</t>
        </is>
      </c>
    </row>
    <row r="28" ht="11" customHeight="1">
      <c r="A28" s="10" t="inlineStr">
        <is>
          <t>BTC_GUARANTEED_REENTRY_MAX_AGE_BARS</t>
        </is>
      </c>
      <c r="B28" s="11" t="inlineStr">
        <is>
          <t>0.5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ez_manage.py:4471 top()</t>
        </is>
      </c>
      <c r="IK28" s="9" t="inlineStr">
        <is>
          <t>v12_quick_engine.py:422 x8</t>
        </is>
      </c>
    </row>
    <row r="29" ht="11" customHeight="1">
      <c r="A29" s="10" t="inlineStr">
        <is>
          <t>BTC_GUARANTEED_REENTRY_MAX_AGE_BARS</t>
        </is>
      </c>
      <c r="B29" s="11" t="inlineStr">
        <is>
          <t>1.0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ez_manage.py:4471 top()</t>
        </is>
      </c>
      <c r="IK29" s="9" t="inlineStr">
        <is>
          <t>v12_quick_engine.py:422 x8</t>
        </is>
      </c>
    </row>
    <row r="30" ht="11" customHeight="1">
      <c r="A30" s="10" t="inlineStr">
        <is>
          <t>BTC_GUARANTEED_REENTRY_MAX_AGE_BARS</t>
        </is>
      </c>
      <c r="B30" s="11" t="inlineStr">
        <is>
          <t>2.0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ez_manage.py:4471 top()</t>
        </is>
      </c>
      <c r="IK30" s="9" t="inlineStr">
        <is>
          <t>v12_quick_engine.py:422 x8</t>
        </is>
      </c>
    </row>
    <row r="31" ht="11" customHeight="1">
      <c r="A31" s="10" t="inlineStr">
        <is>
          <t>BTC_GUARANTEED_REENTRY_MIN_GAP_BARS</t>
        </is>
      </c>
      <c r="B31" s="11" t="inlineStr">
        <is>
          <t>2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ez_manage.py:4472 top()</t>
        </is>
      </c>
      <c r="IK31" s="9" t="inlineStr">
        <is>
          <t>v12_quick_engine.py:429 x8</t>
        </is>
      </c>
    </row>
    <row r="32" ht="11" customHeight="1">
      <c r="A32" s="10" t="inlineStr">
        <is>
          <t>BTC_GUARANTEED_REENTRY_MIN_GAP_BARS</t>
        </is>
      </c>
      <c r="B32" s="11" t="inlineStr">
        <is>
          <t>4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ez_manage.py:4472 top()</t>
        </is>
      </c>
      <c r="IK32" s="9" t="inlineStr">
        <is>
          <t>v12_quick_engine.py:429 x8</t>
        </is>
      </c>
    </row>
    <row r="33" ht="11" customHeight="1">
      <c r="A33" s="6" t="inlineStr">
        <is>
          <t>BTC_GUARANTEED_REENTRY_MIN_GAP_BARS</t>
        </is>
      </c>
      <c r="B33" s="7" t="inlineStr">
        <is>
          <t>5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ez_manage.py:4472 top()</t>
        </is>
      </c>
      <c r="IK33" s="9" t="inlineStr">
        <is>
          <t>v12_quick_engine.py:429 x8</t>
        </is>
      </c>
    </row>
    <row r="34" ht="11" customHeight="1">
      <c r="A34" s="10" t="inlineStr">
        <is>
          <t>BTC_GUARANTEED_REENTRY_MIN_GAP_BARS</t>
        </is>
      </c>
      <c r="B34" s="11" t="inlineStr">
        <is>
          <t>6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ez_manage.py:4472 top()</t>
        </is>
      </c>
      <c r="IK34" s="9" t="inlineStr">
        <is>
          <t>v12_quick_engine.py:429 x8</t>
        </is>
      </c>
    </row>
    <row r="35" ht="11" customHeight="1">
      <c r="A35" s="10" t="inlineStr">
        <is>
          <t>BTC_GUARANTEED_REENTRY_MIN_GAP_BARS</t>
        </is>
      </c>
      <c r="B35" s="11" t="inlineStr">
        <is>
          <t>8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ez_manage.py:4472 top()</t>
        </is>
      </c>
      <c r="IK35" s="9" t="inlineStr">
        <is>
          <t>v12_quick_engine.py:429 x8</t>
        </is>
      </c>
    </row>
    <row r="36" ht="11" customHeight="1">
      <c r="A36" s="10" t="inlineStr">
        <is>
          <t>DELTA_REENTRY_Z_THRESHOLD</t>
        </is>
      </c>
      <c r="B36" s="11" t="inlineStr">
        <is>
          <t>0.5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ez_manage.py:196 check_reentry_delta_tolerant()</t>
        </is>
      </c>
      <c r="IK36" s="9" t="inlineStr">
        <is>
          <t>v12_quick_engine.py:1647 x7</t>
        </is>
      </c>
    </row>
    <row r="37" ht="11" customHeight="1">
      <c r="A37" s="10" t="inlineStr">
        <is>
          <t>DELTA_REENTRY_Z_THRESHOLD</t>
        </is>
      </c>
      <c r="B37" s="11" t="inlineStr">
        <is>
          <t>0.75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ez_manage.py:196 check_reentry_delta_tolerant()</t>
        </is>
      </c>
      <c r="IK37" s="9" t="inlineStr">
        <is>
          <t>v12_quick_engine.py:1647 x7</t>
        </is>
      </c>
    </row>
    <row r="38" ht="11" customHeight="1">
      <c r="A38" s="6" t="inlineStr">
        <is>
          <t>DELTA_REENTRY_Z_THRESHOLD</t>
        </is>
      </c>
      <c r="B38" s="7" t="inlineStr">
        <is>
          <t>1.0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ez_manage.py:196 check_reentry_delta_tolerant()</t>
        </is>
      </c>
      <c r="IK38" s="9" t="inlineStr">
        <is>
          <t>v12_quick_engine.py:1647 x7</t>
        </is>
      </c>
    </row>
    <row r="39" ht="11" customHeight="1">
      <c r="A39" s="10" t="inlineStr">
        <is>
          <t>DELTA_REENTRY_Z_THRESHOLD</t>
        </is>
      </c>
      <c r="B39" s="11" t="inlineStr">
        <is>
          <t>1.25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ez_manage.py:196 check_reentry_delta_tolerant()</t>
        </is>
      </c>
      <c r="IK39" s="9" t="inlineStr">
        <is>
          <t>v12_quick_engine.py:1647 x7</t>
        </is>
      </c>
    </row>
    <row r="40" ht="11" customHeight="1">
      <c r="A40" s="10" t="inlineStr">
        <is>
          <t>DELTA_REENTRY_Z_THRESHOLD</t>
        </is>
      </c>
      <c r="B40" s="11" t="inlineStr">
        <is>
          <t>1.5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ez_manage.py:196 check_reentry_delta_tolerant()</t>
        </is>
      </c>
      <c r="IK40" s="9" t="inlineStr">
        <is>
          <t>v12_quick_engine.py:1647 x7</t>
        </is>
      </c>
    </row>
    <row r="41" ht="11" customHeight="1">
      <c r="A41" s="6" t="inlineStr">
        <is>
          <t>DIRECTION_FAVORABLE_REENTRY_ENABLED</t>
        </is>
      </c>
      <c r="B41" s="7" t="inlineStr">
        <is>
          <t>False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ez_manage.py:5976 top()</t>
        </is>
      </c>
      <c r="IK41" s="9" t="inlineStr">
        <is>
          <t>v12_quick_engine.py:979 x6</t>
        </is>
      </c>
    </row>
    <row r="42" ht="11" customHeight="1">
      <c r="A42" s="10" t="inlineStr">
        <is>
          <t>DIRECTION_FAVORABLE_REENTRY_ENABLED</t>
        </is>
      </c>
      <c r="B42" s="11" t="inlineStr">
        <is>
          <t>True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ez_manage.py:5976 top()</t>
        </is>
      </c>
      <c r="IK42" s="9" t="inlineStr">
        <is>
          <t>v12_quick_engine.py:979 x6</t>
        </is>
      </c>
    </row>
    <row r="43" ht="11" customHeight="1">
      <c r="A43" s="6" t="inlineStr">
        <is>
          <t>FOLLOW_THROUGH_REENTRY_ENABLED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ez_manage.py:1189 top()</t>
        </is>
      </c>
      <c r="IK43" s="9" t="inlineStr">
        <is>
          <t>v12_quick_engine.py:1394 x5</t>
        </is>
      </c>
    </row>
    <row r="44" ht="11" customHeight="1">
      <c r="A44" s="10" t="inlineStr">
        <is>
          <t>FOLLOW_THROUGH_REENTRY_ENABLED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ez_manage.py:1189 top()</t>
        </is>
      </c>
      <c r="IK44" s="9" t="inlineStr">
        <is>
          <t>v12_quick_engine.py:1394 x5</t>
        </is>
      </c>
    </row>
    <row r="45" ht="11" customHeight="1">
      <c r="A45" s="6" t="inlineStr">
        <is>
          <t>GUARANTEED_REENTRY_DELTA_GATE_ENABLED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ez_manage.py:4773 top()</t>
        </is>
      </c>
      <c r="IK45" s="9" t="inlineStr">
        <is>
          <t>v12_quick_engine.py:1939 x4</t>
        </is>
      </c>
    </row>
    <row r="46" ht="11" customHeight="1">
      <c r="A46" s="10" t="inlineStr">
        <is>
          <t>GUARANTEED_REENTRY_DELTA_GATE_ENABLED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ez_manage.py:4773 top()</t>
        </is>
      </c>
      <c r="IK46" s="9" t="inlineStr">
        <is>
          <t>v12_quick_engine.py:1939 x4</t>
        </is>
      </c>
    </row>
    <row r="47" ht="11" customHeight="1">
      <c r="A47" s="10" t="inlineStr">
        <is>
          <t>GUARANTEED_REENTRY_K_HIGH_BLOCK</t>
        </is>
      </c>
      <c r="B47" s="11" t="inlineStr">
        <is>
          <t>40.0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ez_manage.py:4776 top()</t>
        </is>
      </c>
      <c r="IK47" s="9" t="inlineStr">
        <is>
          <t>v12_quick_engine.py:1943 x4</t>
        </is>
      </c>
    </row>
    <row r="48" ht="11" customHeight="1">
      <c r="A48" s="10" t="inlineStr">
        <is>
          <t>GUARANTEED_REENTRY_K_HIGH_BLOCK</t>
        </is>
      </c>
      <c r="B48" s="11" t="inlineStr">
        <is>
          <t>60.0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ez_manage.py:4776 top()</t>
        </is>
      </c>
      <c r="IK48" s="9" t="inlineStr">
        <is>
          <t>v12_quick_engine.py:1943 x4</t>
        </is>
      </c>
    </row>
    <row r="49" ht="11" customHeight="1">
      <c r="A49" s="6" t="inlineStr">
        <is>
          <t>GUARANTEED_REENTRY_K_HIGH_BLOCK</t>
        </is>
      </c>
      <c r="B49" s="7" t="inlineStr">
        <is>
          <t>80.0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ez_manage.py:4776 top()</t>
        </is>
      </c>
      <c r="IK49" s="9" t="inlineStr">
        <is>
          <t>v12_quick_engine.py:1943 x4</t>
        </is>
      </c>
    </row>
    <row r="50" ht="11" customHeight="1">
      <c r="A50" s="10" t="inlineStr">
        <is>
          <t>GUARANTEED_REENTRY_K_HIGH_BLOCK</t>
        </is>
      </c>
      <c r="B50" s="11" t="inlineStr">
        <is>
          <t>100.0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ez_manage.py:4776 top()</t>
        </is>
      </c>
      <c r="IK50" s="9" t="inlineStr">
        <is>
          <t>v12_quick_engine.py:1943 x4</t>
        </is>
      </c>
    </row>
    <row r="51" ht="11" customHeight="1">
      <c r="A51" s="10" t="inlineStr">
        <is>
          <t>GUARANTEED_REENTRY_K_HIGH_BLOCK</t>
        </is>
      </c>
      <c r="B51" s="11" t="inlineStr">
        <is>
          <t>120.0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ez_manage.py:4776 top()</t>
        </is>
      </c>
      <c r="IK51" s="9" t="inlineStr">
        <is>
          <t>v12_quick_engine.py:1943 x4</t>
        </is>
      </c>
    </row>
    <row r="52" ht="11" customHeight="1">
      <c r="A52" s="10" t="inlineStr">
        <is>
          <t>GUARANTEED_REENTRY_K_LOW_BLOCK</t>
        </is>
      </c>
      <c r="B52" s="11" t="inlineStr">
        <is>
          <t>10.0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ez_manage.py:4777 top()</t>
        </is>
      </c>
      <c r="IK52" s="9" t="inlineStr">
        <is>
          <t>v12_quick_engine.py:1944 x4</t>
        </is>
      </c>
    </row>
    <row r="53" ht="11" customHeight="1">
      <c r="A53" s="10" t="inlineStr">
        <is>
          <t>GUARANTEED_REENTRY_K_LOW_BLOCK</t>
        </is>
      </c>
      <c r="B53" s="11" t="inlineStr">
        <is>
          <t>15.0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ez_manage.py:4777 top()</t>
        </is>
      </c>
      <c r="IK53" s="9" t="inlineStr">
        <is>
          <t>v12_quick_engine.py:1944 x4</t>
        </is>
      </c>
    </row>
    <row r="54" ht="11" customHeight="1">
      <c r="A54" s="6" t="inlineStr">
        <is>
          <t>GUARANTEED_REENTRY_K_LOW_BLOCK</t>
        </is>
      </c>
      <c r="B54" s="7" t="inlineStr">
        <is>
          <t>20.0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ez_manage.py:4777 top()</t>
        </is>
      </c>
      <c r="IK54" s="9" t="inlineStr">
        <is>
          <t>v12_quick_engine.py:1944 x4</t>
        </is>
      </c>
    </row>
    <row r="55" ht="11" customHeight="1">
      <c r="A55" s="10" t="inlineStr">
        <is>
          <t>GUARANTEED_REENTRY_K_LOW_BLOCK</t>
        </is>
      </c>
      <c r="B55" s="11" t="inlineStr">
        <is>
          <t>25.0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ez_manage.py:4777 top()</t>
        </is>
      </c>
      <c r="IK55" s="9" t="inlineStr">
        <is>
          <t>v12_quick_engine.py:1944 x4</t>
        </is>
      </c>
    </row>
    <row r="56" ht="11" customHeight="1">
      <c r="A56" s="10" t="inlineStr">
        <is>
          <t>GUARANTEED_REENTRY_K_LOW_BLOCK</t>
        </is>
      </c>
      <c r="B56" s="11" t="inlineStr">
        <is>
          <t>30.0</t>
        </is>
      </c>
      <c r="E56">
        <f>IF(F56="",E55,IF(F56&gt;0,E55+F56,E55))</f>
        <v/>
      </c>
      <c r="F56">
        <f>IFERROR(VLOOKUP($A56,Results_30d_Deltas!$A$2:$H$5000,8,FALSE)-E55,"")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ez_manage.py:4777 top()</t>
        </is>
      </c>
      <c r="IK56" s="9" t="inlineStr">
        <is>
          <t>v12_quick_engine.py:1944 x4</t>
        </is>
      </c>
    </row>
    <row r="57" ht="11" customHeight="1">
      <c r="A57" s="10" t="inlineStr">
        <is>
          <t>GUARANTEED_REENTRY_STRICT_CONFIRMATION</t>
        </is>
      </c>
      <c r="B57" s="11" t="inlineStr">
        <is>
          <t>False</t>
        </is>
      </c>
      <c r="E57">
        <f>IF(F57="",E56,IF(F57&gt;0,E56+F57,E56))</f>
        <v/>
      </c>
      <c r="F57">
        <f>IFERROR(VLOOKUP($A57,Results_30d_Deltas!$A$2:$H$5000,8,FALSE)-E56,"")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ez_manage.py:4778 top()</t>
        </is>
      </c>
      <c r="IK57" s="9" t="inlineStr">
        <is>
          <t>v12_quick_engine.py:1946 x6</t>
        </is>
      </c>
    </row>
    <row r="58" ht="11" customHeight="1">
      <c r="A58" s="6" t="inlineStr">
        <is>
          <t>GUARANTEED_REENTRY_STRICT_CONFIRMATION</t>
        </is>
      </c>
      <c r="B58" s="7" t="inlineStr">
        <is>
          <t>True</t>
        </is>
      </c>
      <c r="E58">
        <f>IF(F58="",E57,IF(F58&gt;0,E57+F58,E57))</f>
        <v/>
      </c>
      <c r="F58">
        <f>IFERROR(VLOOKUP($A58,Results_30d_Deltas!$A$2:$H$5000,8,FALSE)-E57,"")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ez_manage.py:4778 top()</t>
        </is>
      </c>
      <c r="IK58" s="9" t="inlineStr">
        <is>
          <t>v12_quick_engine.py:1946 x6</t>
        </is>
      </c>
    </row>
    <row r="59" ht="11" customHeight="1">
      <c r="A59" s="10" t="inlineStr">
        <is>
          <t>GUARANTEED_REENTRY_TIGHT_STOP_ENABLED</t>
        </is>
      </c>
      <c r="B59" s="11" t="inlineStr">
        <is>
          <t>False</t>
        </is>
      </c>
      <c r="E59">
        <f>IF(F59="",E58,IF(F59&gt;0,E58+F59,E58))</f>
        <v/>
      </c>
      <c r="F59">
        <f>IFERROR(VLOOKUP($A59,Results_30d_Deltas!$A$2:$H$5000,8,FALSE)-E58,"")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ez_manage.py:4779 top()</t>
        </is>
      </c>
      <c r="IK59" s="9" t="inlineStr">
        <is>
          <t>v12_quick_engine.py:1947 x3</t>
        </is>
      </c>
    </row>
    <row r="60" ht="11" customHeight="1">
      <c r="A60" s="6" t="inlineStr">
        <is>
          <t>GUARANTEED_REENTRY_TIGHT_STOP_ENABLED</t>
        </is>
      </c>
      <c r="B60" s="7" t="inlineStr">
        <is>
          <t>True</t>
        </is>
      </c>
      <c r="E60">
        <f>IF(F60="",E59,IF(F60&gt;0,E59+F60,E59))</f>
        <v/>
      </c>
      <c r="F60">
        <f>IFERROR(VLOOKUP($A60,Results_30d_Deltas!$A$2:$H$5000,8,FALSE)-E59,"")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ez_manage.py:4779 top()</t>
        </is>
      </c>
      <c r="IK60" s="9" t="inlineStr">
        <is>
          <t>v12_quick_engine.py:1947 x3</t>
        </is>
      </c>
    </row>
    <row r="61" ht="11" customHeight="1">
      <c r="A61" s="10" t="inlineStr">
        <is>
          <t>GUARANTEED_REENTRY_TIGHT_STOP_MAX_AGE_S</t>
        </is>
      </c>
      <c r="B61" s="11" t="inlineStr">
        <is>
          <t>900.0</t>
        </is>
      </c>
      <c r="E61">
        <f>IF(F61="",E60,IF(F61&gt;0,E60+F61,E60))</f>
        <v/>
      </c>
      <c r="F61">
        <f>IFERROR(VLOOKUP($A61,Results_30d_Deltas!$A$2:$H$5000,8,FALSE)-E60,"")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ez_manage.py:4780 top()</t>
        </is>
      </c>
      <c r="IK61" s="9" t="inlineStr">
        <is>
          <t>v12_quick_engine.py:1948 x4</t>
        </is>
      </c>
    </row>
    <row r="62" ht="11" customHeight="1">
      <c r="A62" s="10" t="inlineStr">
        <is>
          <t>GUARANTEED_REENTRY_TIGHT_STOP_MAX_AGE_S</t>
        </is>
      </c>
      <c r="B62" s="11" t="inlineStr">
        <is>
          <t>1350.0</t>
        </is>
      </c>
      <c r="E62">
        <f>IF(F62="",E61,IF(F62&gt;0,E61+F62,E61))</f>
        <v/>
      </c>
      <c r="F62">
        <f>IFERROR(VLOOKUP($A62,Results_30d_Deltas!$A$2:$H$5000,8,FALSE)-E61,"")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ez_manage.py:4780 top()</t>
        </is>
      </c>
      <c r="IK62" s="9" t="inlineStr">
        <is>
          <t>v12_quick_engine.py:1948 x4</t>
        </is>
      </c>
    </row>
    <row r="63" ht="11" customHeight="1">
      <c r="A63" s="6" t="inlineStr">
        <is>
          <t>GUARANTEED_REENTRY_TIGHT_STOP_MAX_AGE_S</t>
        </is>
      </c>
      <c r="B63" s="7" t="inlineStr">
        <is>
          <t>1800.0</t>
        </is>
      </c>
      <c r="E63">
        <f>IF(F63="",E62,IF(F63&gt;0,E62+F63,E62))</f>
        <v/>
      </c>
      <c r="F63">
        <f>IFERROR(VLOOKUP($A63,Results_30d_Deltas!$A$2:$H$5000,8,FALSE)-E62,"")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ez_manage.py:4780 top()</t>
        </is>
      </c>
      <c r="IK63" s="9" t="inlineStr">
        <is>
          <t>v12_quick_engine.py:1948 x4</t>
        </is>
      </c>
    </row>
    <row r="64" ht="11" customHeight="1">
      <c r="A64" s="10" t="inlineStr">
        <is>
          <t>GUARANTEED_REENTRY_TIGHT_STOP_MAX_AGE_S</t>
        </is>
      </c>
      <c r="B64" s="11" t="inlineStr">
        <is>
          <t>2250.0</t>
        </is>
      </c>
      <c r="E64">
        <f>IF(F64="",E63,IF(F64&gt;0,E63+F64,E63))</f>
        <v/>
      </c>
      <c r="F64">
        <f>IFERROR(VLOOKUP($A64,Results_30d_Deltas!$A$2:$H$5000,8,FALSE)-E63,"")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ez_manage.py:4780 top()</t>
        </is>
      </c>
      <c r="IK64" s="9" t="inlineStr">
        <is>
          <t>v12_quick_engine.py:1948 x4</t>
        </is>
      </c>
    </row>
    <row r="65" ht="11" customHeight="1">
      <c r="A65" s="10" t="inlineStr">
        <is>
          <t>GUARANTEED_REENTRY_TIGHT_STOP_MAX_AGE_S</t>
        </is>
      </c>
      <c r="B65" s="11" t="inlineStr">
        <is>
          <t>2700.0</t>
        </is>
      </c>
      <c r="E65">
        <f>IF(F65="",E64,IF(F65&gt;0,E64+F65,E64))</f>
        <v/>
      </c>
      <c r="F65">
        <f>IFERROR(VLOOKUP($A65,Results_30d_Deltas!$A$2:$H$5000,8,FALSE)-E64,"")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ez_manage.py:4780 top()</t>
        </is>
      </c>
      <c r="IK65" s="9" t="inlineStr">
        <is>
          <t>v12_quick_engine.py:1948 x4</t>
        </is>
      </c>
    </row>
    <row r="66" ht="11" customHeight="1">
      <c r="A66" s="10" t="inlineStr">
        <is>
          <t>GUARANTEED_REENTRY_TIGHT_STOP_MIN_AGE_S</t>
        </is>
      </c>
      <c r="B66" s="11" t="inlineStr">
        <is>
          <t>30.0</t>
        </is>
      </c>
      <c r="E66">
        <f>IF(F66="",E65,IF(F66&gt;0,E65+F66,E65))</f>
        <v/>
      </c>
      <c r="F66">
        <f>IFERROR(VLOOKUP($A66,Results_30d_Deltas!$A$2:$H$5000,8,FALSE)-E65,"")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ez_manage.py:4781 top()</t>
        </is>
      </c>
      <c r="IK66" s="9" t="inlineStr">
        <is>
          <t>v12_quick_engine.py:1949 x4</t>
        </is>
      </c>
    </row>
    <row r="67" ht="11" customHeight="1">
      <c r="A67" s="10" t="inlineStr">
        <is>
          <t>GUARANTEED_REENTRY_TIGHT_STOP_MIN_AGE_S</t>
        </is>
      </c>
      <c r="B67" s="11" t="inlineStr">
        <is>
          <t>45.0</t>
        </is>
      </c>
      <c r="E67">
        <f>IF(F67="",E66,IF(F67&gt;0,E66+F67,E66))</f>
        <v/>
      </c>
      <c r="F67">
        <f>IFERROR(VLOOKUP($A67,Results_30d_Deltas!$A$2:$H$5000,8,FALSE)-E66,"")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ez_manage.py:4781 top()</t>
        </is>
      </c>
      <c r="IK67" s="9" t="inlineStr">
        <is>
          <t>v12_quick_engine.py:1949 x4</t>
        </is>
      </c>
    </row>
    <row r="68" ht="11" customHeight="1">
      <c r="A68" s="6" t="inlineStr">
        <is>
          <t>GUARANTEED_REENTRY_TIGHT_STOP_MIN_AGE_S</t>
        </is>
      </c>
      <c r="B68" s="7" t="inlineStr">
        <is>
          <t>60.0</t>
        </is>
      </c>
      <c r="E68">
        <f>IF(F68="",E67,IF(F68&gt;0,E67+F68,E67))</f>
        <v/>
      </c>
      <c r="F68">
        <f>IFERROR(VLOOKUP($A68,Results_30d_Deltas!$A$2:$H$5000,8,FALSE)-E67,"")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ez_manage.py:4781 top()</t>
        </is>
      </c>
      <c r="IK68" s="9" t="inlineStr">
        <is>
          <t>v12_quick_engine.py:1949 x4</t>
        </is>
      </c>
    </row>
    <row r="69" ht="11" customHeight="1">
      <c r="A69" s="10" t="inlineStr">
        <is>
          <t>GUARANTEED_REENTRY_TIGHT_STOP_MIN_AGE_S</t>
        </is>
      </c>
      <c r="B69" s="11" t="inlineStr">
        <is>
          <t>75.0</t>
        </is>
      </c>
      <c r="E69">
        <f>IF(F69="",E68,IF(F69&gt;0,E68+F69,E68))</f>
        <v/>
      </c>
      <c r="F69">
        <f>IFERROR(VLOOKUP($A69,Results_30d_Deltas!$A$2:$H$5000,8,FALSE)-E68,"")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ez_manage.py:4781 top()</t>
        </is>
      </c>
      <c r="IK69" s="9" t="inlineStr">
        <is>
          <t>v12_quick_engine.py:1949 x4</t>
        </is>
      </c>
    </row>
    <row r="70" ht="11" customHeight="1">
      <c r="A70" s="10" t="inlineStr">
        <is>
          <t>GUARANTEED_REENTRY_TIGHT_STOP_MIN_AGE_S</t>
        </is>
      </c>
      <c r="B70" s="11" t="inlineStr">
        <is>
          <t>90.0</t>
        </is>
      </c>
      <c r="E70">
        <f>IF(F70="",E69,IF(F70&gt;0,E69+F70,E69))</f>
        <v/>
      </c>
      <c r="F70">
        <f>IFERROR(VLOOKUP($A70,Results_30d_Deltas!$A$2:$H$5000,8,FALSE)-E69,"")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ez_manage.py:4781 top()</t>
        </is>
      </c>
      <c r="IK70" s="9" t="inlineStr">
        <is>
          <t>v12_quick_engine.py:1949 x4</t>
        </is>
      </c>
    </row>
    <row r="71" ht="11" customHeight="1">
      <c r="A71" s="10" t="inlineStr">
        <is>
          <t>GUARANTEED_REENTRY_TIGHT_STOP_PCT</t>
        </is>
      </c>
      <c r="B71" s="11" t="inlineStr">
        <is>
          <t>0.25</t>
        </is>
      </c>
      <c r="E71">
        <f>IF(F71="",E70,IF(F71&gt;0,E70+F71,E70))</f>
        <v/>
      </c>
      <c r="F71">
        <f>IFERROR(VLOOKUP($A71,Results_30d_Deltas!$A$2:$H$5000,8,FALSE)-E70,"")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ez_manage.py:4782 top()</t>
        </is>
      </c>
      <c r="IK71" s="9" t="inlineStr">
        <is>
          <t>v12_quick_engine.py:1950 x7</t>
        </is>
      </c>
    </row>
    <row r="72" ht="11" customHeight="1">
      <c r="A72" s="10" t="inlineStr">
        <is>
          <t>GUARANTEED_REENTRY_TIGHT_STOP_PCT</t>
        </is>
      </c>
      <c r="B72" s="11" t="inlineStr">
        <is>
          <t>0.375</t>
        </is>
      </c>
      <c r="E72">
        <f>IF(F72="",E71,IF(F72&gt;0,E71+F72,E71))</f>
        <v/>
      </c>
      <c r="F72">
        <f>IFERROR(VLOOKUP($A72,Results_30d_Deltas!$A$2:$H$5000,8,FALSE)-E71,"")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ez_manage.py:4782 top()</t>
        </is>
      </c>
      <c r="IK72" s="9" t="inlineStr">
        <is>
          <t>v12_quick_engine.py:1950 x7</t>
        </is>
      </c>
    </row>
    <row r="73" ht="11" customHeight="1">
      <c r="A73" s="6" t="inlineStr">
        <is>
          <t>GUARANTEED_REENTRY_TIGHT_STOP_PCT</t>
        </is>
      </c>
      <c r="B73" s="7" t="inlineStr">
        <is>
          <t>0.5</t>
        </is>
      </c>
      <c r="E73">
        <f>IF(F73="",E72,IF(F73&gt;0,E72+F73,E72))</f>
        <v/>
      </c>
      <c r="F73">
        <f>IFERROR(VLOOKUP($A73,Results_30d_Deltas!$A$2:$H$5000,8,FALSE)-E72,"")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ez_manage.py:4782 top()</t>
        </is>
      </c>
      <c r="IK73" s="9" t="inlineStr">
        <is>
          <t>v12_quick_engine.py:1950 x7</t>
        </is>
      </c>
    </row>
    <row r="74" ht="11" customHeight="1">
      <c r="A74" s="10" t="inlineStr">
        <is>
          <t>GUARANTEED_REENTRY_TIGHT_STOP_PCT</t>
        </is>
      </c>
      <c r="B74" s="11" t="inlineStr">
        <is>
          <t>0.625</t>
        </is>
      </c>
      <c r="E74">
        <f>IF(F74="",E73,IF(F74&gt;0,E73+F74,E73))</f>
        <v/>
      </c>
      <c r="F74">
        <f>IFERROR(VLOOKUP($A74,Results_30d_Deltas!$A$2:$H$5000,8,FALSE)-E73,"")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ez_manage.py:4782 top()</t>
        </is>
      </c>
      <c r="IK74" s="9" t="inlineStr">
        <is>
          <t>v12_quick_engine.py:1950 x7</t>
        </is>
      </c>
    </row>
    <row r="75" ht="11" customHeight="1">
      <c r="A75" s="10" t="inlineStr">
        <is>
          <t>GUARANTEED_REENTRY_TIGHT_STOP_PCT</t>
        </is>
      </c>
      <c r="B75" s="11" t="inlineStr">
        <is>
          <t>0.75</t>
        </is>
      </c>
      <c r="E75">
        <f>IF(F75="",E74,IF(F75&gt;0,E74+F75,E74))</f>
        <v/>
      </c>
      <c r="F75">
        <f>IFERROR(VLOOKUP($A75,Results_30d_Deltas!$A$2:$H$5000,8,FALSE)-E74,"")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ez_manage.py:4782 top()</t>
        </is>
      </c>
      <c r="IK75" s="9" t="inlineStr">
        <is>
          <t>v12_quick_engine.py:1950 x7</t>
        </is>
      </c>
    </row>
    <row r="76" ht="11" customHeight="1">
      <c r="A76" s="10" t="inlineStr">
        <is>
          <t>LEGACY_PROC_SINGLE_REENTRY</t>
        </is>
      </c>
      <c r="B76" s="11" t="inlineStr">
        <is>
          <t>0</t>
        </is>
      </c>
      <c r="E76">
        <f>IF(F76="",E75,IF(F76&gt;0,E75+F76,E75))</f>
        <v/>
      </c>
      <c r="F76">
        <f>IFERROR(VLOOKUP($A76,Results_30d_Deltas!$A$2:$H$5000,8,FALSE)-E75,"")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ez_manage.py:3418 top()</t>
        </is>
      </c>
      <c r="IK76" s="9" t="inlineStr">
        <is>
          <t>v12_quick_engine.py:2119 x5</t>
        </is>
      </c>
    </row>
    <row r="77" ht="11" customHeight="1">
      <c r="A77" s="10" t="inlineStr">
        <is>
          <t>LEGACY_PROC_SINGLE_REENTRY</t>
        </is>
      </c>
      <c r="B77" s="11" t="inlineStr">
        <is>
          <t>0.5</t>
        </is>
      </c>
      <c r="E77">
        <f>IF(F77="",E76,IF(F77&gt;0,E76+F77,E76))</f>
        <v/>
      </c>
      <c r="F77">
        <f>IFERROR(VLOOKUP($A77,Results_30d_Deltas!$A$2:$H$5000,8,FALSE)-E76,"")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ez_manage.py:3418 top()</t>
        </is>
      </c>
      <c r="IK77" s="9" t="inlineStr">
        <is>
          <t>v12_quick_engine.py:2119 x5</t>
        </is>
      </c>
    </row>
    <row r="78" ht="11" customHeight="1">
      <c r="A78" s="10" t="inlineStr">
        <is>
          <t>LEGACY_PROC_SINGLE_REENTRY</t>
        </is>
      </c>
      <c r="B78" s="11" t="inlineStr">
        <is>
          <t>1.0</t>
        </is>
      </c>
      <c r="E78">
        <f>IF(F78="",E77,IF(F78&gt;0,E77+F78,E77))</f>
        <v/>
      </c>
      <c r="F78">
        <f>IFERROR(VLOOKUP($A78,Results_30d_Deltas!$A$2:$H$5000,8,FALSE)-E77,"")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ez_manage.py:3418 top()</t>
        </is>
      </c>
      <c r="IK78" s="9" t="inlineStr">
        <is>
          <t>v12_quick_engine.py:2119 x5</t>
        </is>
      </c>
    </row>
    <row r="79" ht="11" customHeight="1">
      <c r="A79" s="10" t="inlineStr">
        <is>
          <t>LEGACY_PROC_SINGLE_REENTRY</t>
        </is>
      </c>
      <c r="B79" s="11" t="inlineStr">
        <is>
          <t>2.0</t>
        </is>
      </c>
      <c r="E79">
        <f>IF(F79="",E78,IF(F79&gt;0,E78+F79,E78))</f>
        <v/>
      </c>
      <c r="F79">
        <f>IFERROR(VLOOKUP($A79,Results_30d_Deltas!$A$2:$H$5000,8,FALSE)-E78,"")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ez_manage.py:3418 top()</t>
        </is>
      </c>
      <c r="IK79" s="9" t="inlineStr">
        <is>
          <t>v12_quick_engine.py:2119 x5</t>
        </is>
      </c>
    </row>
    <row r="80" ht="11" customHeight="1">
      <c r="A80" s="10" t="inlineStr">
        <is>
          <t>LEGACY_REENTRY_PSR_DC_BOUNCE</t>
        </is>
      </c>
      <c r="B80" s="11" t="inlineStr">
        <is>
          <t>0</t>
        </is>
      </c>
      <c r="E80">
        <f>IF(F80="",E79,IF(F80&gt;0,E79+F80,E79))</f>
        <v/>
      </c>
      <c r="F80">
        <f>IFERROR(VLOOKUP($A80,Results_30d_Deltas!$A$2:$H$5000,8,FALSE)-E79,"")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ez_manage.py:3422 top()</t>
        </is>
      </c>
      <c r="IK80" s="9" t="inlineStr">
        <is>
          <t>v12_quick_engine.py:2123 x5</t>
        </is>
      </c>
    </row>
    <row r="81" ht="11" customHeight="1">
      <c r="A81" s="10" t="inlineStr">
        <is>
          <t>LEGACY_REENTRY_PSR_DC_BOUNCE</t>
        </is>
      </c>
      <c r="B81" s="11" t="inlineStr">
        <is>
          <t>0.5</t>
        </is>
      </c>
      <c r="E81">
        <f>IF(F81="",E80,IF(F81&gt;0,E80+F81,E80))</f>
        <v/>
      </c>
      <c r="F81">
        <f>IFERROR(VLOOKUP($A81,Results_30d_Deltas!$A$2:$H$5000,8,FALSE)-E80,"")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ez_manage.py:3422 top()</t>
        </is>
      </c>
      <c r="IK81" s="9" t="inlineStr">
        <is>
          <t>v12_quick_engine.py:2123 x5</t>
        </is>
      </c>
    </row>
    <row r="82" ht="11" customHeight="1">
      <c r="A82" s="10" t="inlineStr">
        <is>
          <t>LEGACY_REENTRY_PSR_DC_BOUNCE</t>
        </is>
      </c>
      <c r="B82" s="11" t="inlineStr">
        <is>
          <t>1.0</t>
        </is>
      </c>
      <c r="E82">
        <f>IF(F82="",E81,IF(F82&gt;0,E81+F82,E81))</f>
        <v/>
      </c>
      <c r="F82">
        <f>IFERROR(VLOOKUP($A82,Results_30d_Deltas!$A$2:$H$5000,8,FALSE)-E81,"")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ez_manage.py:3422 top()</t>
        </is>
      </c>
      <c r="IK82" s="9" t="inlineStr">
        <is>
          <t>v12_quick_engine.py:2123 x5</t>
        </is>
      </c>
    </row>
    <row r="83" ht="11" customHeight="1">
      <c r="A83" s="10" t="inlineStr">
        <is>
          <t>LEGACY_REENTRY_PSR_DC_BOUNCE</t>
        </is>
      </c>
      <c r="B83" s="11" t="inlineStr">
        <is>
          <t>2.0</t>
        </is>
      </c>
      <c r="E83">
        <f>IF(F83="",E82,IF(F83&gt;0,E82+F83,E82))</f>
        <v/>
      </c>
      <c r="F83">
        <f>IFERROR(VLOOKUP($A83,Results_30d_Deltas!$A$2:$H$5000,8,FALSE)-E82,"")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ez_manage.py:3422 top()</t>
        </is>
      </c>
      <c r="IK83" s="9" t="inlineStr">
        <is>
          <t>v12_quick_engine.py:2123 x5</t>
        </is>
      </c>
    </row>
    <row r="84" ht="11" customHeight="1">
      <c r="A84" s="10" t="inlineStr">
        <is>
          <t>LEGACY_REENTRY_PSR_FULL_DC</t>
        </is>
      </c>
      <c r="B84" s="11" t="inlineStr">
        <is>
          <t>0</t>
        </is>
      </c>
      <c r="E84">
        <f>IF(F84="",E83,IF(F84&gt;0,E83+F84,E83))</f>
        <v/>
      </c>
      <c r="F84">
        <f>IFERROR(VLOOKUP($A84,Results_30d_Deltas!$A$2:$H$5000,8,FALSE)-E83,"")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ez_manage.py:3423 top()</t>
        </is>
      </c>
      <c r="IK84" s="9" t="inlineStr">
        <is>
          <t>v12_quick_engine.py:2124 x5</t>
        </is>
      </c>
    </row>
    <row r="85" ht="11" customHeight="1">
      <c r="A85" s="10" t="inlineStr">
        <is>
          <t>LEGACY_REENTRY_PSR_FULL_DC</t>
        </is>
      </c>
      <c r="B85" s="11" t="inlineStr">
        <is>
          <t>0.5</t>
        </is>
      </c>
      <c r="E85">
        <f>IF(F85="",E84,IF(F85&gt;0,E84+F85,E84))</f>
        <v/>
      </c>
      <c r="F85">
        <f>IFERROR(VLOOKUP($A85,Results_30d_Deltas!$A$2:$H$5000,8,FALSE)-E84,"")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ez_manage.py:3423 top()</t>
        </is>
      </c>
      <c r="IK85" s="9" t="inlineStr">
        <is>
          <t>v12_quick_engine.py:2124 x5</t>
        </is>
      </c>
    </row>
    <row r="86" ht="11" customHeight="1">
      <c r="A86" s="10" t="inlineStr">
        <is>
          <t>LEGACY_REENTRY_PSR_FULL_DC</t>
        </is>
      </c>
      <c r="B86" s="11" t="inlineStr">
        <is>
          <t>1.0</t>
        </is>
      </c>
      <c r="E86">
        <f>IF(F86="",E85,IF(F86&gt;0,E85+F86,E85))</f>
        <v/>
      </c>
      <c r="F86">
        <f>IFERROR(VLOOKUP($A86,Results_30d_Deltas!$A$2:$H$5000,8,FALSE)-E85,"")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ez_manage.py:3423 top()</t>
        </is>
      </c>
      <c r="IK86" s="9" t="inlineStr">
        <is>
          <t>v12_quick_engine.py:2124 x5</t>
        </is>
      </c>
    </row>
    <row r="87" ht="11" customHeight="1">
      <c r="A87" s="10" t="inlineStr">
        <is>
          <t>LEGACY_REENTRY_PSR_FULL_DC</t>
        </is>
      </c>
      <c r="B87" s="11" t="inlineStr">
        <is>
          <t>2.0</t>
        </is>
      </c>
      <c r="E87">
        <f>IF(F87="",E86,IF(F87&gt;0,E86+F87,E86))</f>
        <v/>
      </c>
      <c r="F87">
        <f>IFERROR(VLOOKUP($A87,Results_30d_Deltas!$A$2:$H$5000,8,FALSE)-E86,"")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ez_manage.py:3423 top()</t>
        </is>
      </c>
      <c r="IK87" s="9" t="inlineStr">
        <is>
          <t>v12_quick_engine.py:2124 x5</t>
        </is>
      </c>
    </row>
    <row r="88" ht="11" customHeight="1">
      <c r="A88" s="10" t="inlineStr">
        <is>
          <t>LEGACY_REENTRY_PSR_K_DC_CROSSOVER</t>
        </is>
      </c>
      <c r="B88" s="11" t="inlineStr">
        <is>
          <t>0</t>
        </is>
      </c>
      <c r="E88">
        <f>IF(F88="",E87,IF(F88&gt;0,E87+F88,E87))</f>
        <v/>
      </c>
      <c r="F88">
        <f>IFERROR(VLOOKUP($A88,Results_30d_Deltas!$A$2:$H$5000,8,FALSE)-E87,"")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ez_manage.py:3424 top()</t>
        </is>
      </c>
      <c r="IK88" s="9" t="inlineStr">
        <is>
          <t>v12_quick_engine.py:2125 x5</t>
        </is>
      </c>
    </row>
    <row r="89" ht="11" customHeight="1">
      <c r="A89" s="10" t="inlineStr">
        <is>
          <t>LEGACY_REENTRY_PSR_K_DC_CROSSOVER</t>
        </is>
      </c>
      <c r="B89" s="11" t="inlineStr">
        <is>
          <t>0.5</t>
        </is>
      </c>
      <c r="E89">
        <f>IF(F89="",E88,IF(F89&gt;0,E88+F89,E88))</f>
        <v/>
      </c>
      <c r="F89">
        <f>IFERROR(VLOOKUP($A89,Results_30d_Deltas!$A$2:$H$5000,8,FALSE)-E88,"")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ez_manage.py:3424 top()</t>
        </is>
      </c>
      <c r="IK89" s="9" t="inlineStr">
        <is>
          <t>v12_quick_engine.py:2125 x5</t>
        </is>
      </c>
    </row>
    <row r="90" ht="11" customHeight="1">
      <c r="A90" s="10" t="inlineStr">
        <is>
          <t>LEGACY_REENTRY_PSR_K_DC_CROSSOVER</t>
        </is>
      </c>
      <c r="B90" s="11" t="inlineStr">
        <is>
          <t>1.0</t>
        </is>
      </c>
      <c r="E90">
        <f>IF(F90="",E89,IF(F90&gt;0,E89+F90,E89))</f>
        <v/>
      </c>
      <c r="F90">
        <f>IFERROR(VLOOKUP($A90,Results_30d_Deltas!$A$2:$H$5000,8,FALSE)-E89,"")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ez_manage.py:3424 top()</t>
        </is>
      </c>
      <c r="IK90" s="9" t="inlineStr">
        <is>
          <t>v12_quick_engine.py:2125 x5</t>
        </is>
      </c>
    </row>
    <row r="91" ht="11" customHeight="1">
      <c r="A91" s="10" t="inlineStr">
        <is>
          <t>LEGACY_REENTRY_PSR_K_DC_CROSSOVER</t>
        </is>
      </c>
      <c r="B91" s="11" t="inlineStr">
        <is>
          <t>2.0</t>
        </is>
      </c>
      <c r="E91">
        <f>IF(F91="",E90,IF(F91&gt;0,E90+F91,E90))</f>
        <v/>
      </c>
      <c r="F91">
        <f>IFERROR(VLOOKUP($A91,Results_30d_Deltas!$A$2:$H$5000,8,FALSE)-E90,"")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ez_manage.py:3424 top()</t>
        </is>
      </c>
      <c r="IK91" s="9" t="inlineStr">
        <is>
          <t>v12_quick_engine.py:2125 x5</t>
        </is>
      </c>
    </row>
    <row r="92" ht="11" customHeight="1">
      <c r="A92" s="10" t="inlineStr">
        <is>
          <t>LEGACY_REENTRY_PSR_QUICK_RECOVERY</t>
        </is>
      </c>
      <c r="B92" s="11" t="inlineStr">
        <is>
          <t>0</t>
        </is>
      </c>
      <c r="E92">
        <f>IF(F92="",E91,IF(F92&gt;0,E91+F92,E91))</f>
        <v/>
      </c>
      <c r="F92">
        <f>IFERROR(VLOOKUP($A92,Results_30d_Deltas!$A$2:$H$5000,8,FALSE)-E91,"")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ez_manage.py:3425 top()</t>
        </is>
      </c>
      <c r="IK92" s="9" t="inlineStr">
        <is>
          <t>v12_quick_engine.py:2126 x4</t>
        </is>
      </c>
    </row>
    <row r="93" ht="11" customHeight="1">
      <c r="A93" s="10" t="inlineStr">
        <is>
          <t>LEGACY_REENTRY_PSR_QUICK_RECOVERY</t>
        </is>
      </c>
      <c r="B93" s="11" t="inlineStr">
        <is>
          <t>0.5</t>
        </is>
      </c>
      <c r="E93">
        <f>IF(F93="",E92,IF(F93&gt;0,E92+F93,E92))</f>
        <v/>
      </c>
      <c r="F93">
        <f>IFERROR(VLOOKUP($A93,Results_30d_Deltas!$A$2:$H$5000,8,FALSE)-E92,"")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ez_manage.py:3425 top()</t>
        </is>
      </c>
      <c r="IK93" s="9" t="inlineStr">
        <is>
          <t>v12_quick_engine.py:2126 x4</t>
        </is>
      </c>
    </row>
    <row r="94" ht="11" customHeight="1">
      <c r="A94" s="10" t="inlineStr">
        <is>
          <t>LEGACY_REENTRY_PSR_QUICK_RECOVERY</t>
        </is>
      </c>
      <c r="B94" s="11" t="inlineStr">
        <is>
          <t>1.0</t>
        </is>
      </c>
      <c r="E94">
        <f>IF(F94="",E93,IF(F94&gt;0,E93+F94,E93))</f>
        <v/>
      </c>
      <c r="F94">
        <f>IFERROR(VLOOKUP($A94,Results_30d_Deltas!$A$2:$H$5000,8,FALSE)-E93,"")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ez_manage.py:3425 top()</t>
        </is>
      </c>
      <c r="IK94" s="9" t="inlineStr">
        <is>
          <t>v12_quick_engine.py:2126 x4</t>
        </is>
      </c>
    </row>
    <row r="95" ht="11" customHeight="1">
      <c r="A95" s="10" t="inlineStr">
        <is>
          <t>LEGACY_REENTRY_PSR_QUICK_RECOVERY</t>
        </is>
      </c>
      <c r="B95" s="11" t="inlineStr">
        <is>
          <t>2.0</t>
        </is>
      </c>
      <c r="E95">
        <f>IF(F95="",E94,IF(F95&gt;0,E94+F95,E94))</f>
        <v/>
      </c>
      <c r="F95">
        <f>IFERROR(VLOOKUP($A95,Results_30d_Deltas!$A$2:$H$5000,8,FALSE)-E94,"")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ez_manage.py:3425 top()</t>
        </is>
      </c>
      <c r="IK95" s="9" t="inlineStr">
        <is>
          <t>v12_quick_engine.py:2126 x4</t>
        </is>
      </c>
    </row>
    <row r="96" ht="11" customHeight="1">
      <c r="A96" s="10" t="inlineStr">
        <is>
          <t>MANDATORY_REENTRY_ALLOW_WT0_STRONG_CROSS</t>
        </is>
      </c>
      <c r="B96" s="11" t="inlineStr">
        <is>
          <t>0</t>
        </is>
      </c>
      <c r="E96">
        <f>IF(F96="",E95,IF(F96&gt;0,E95+F96,E95))</f>
        <v/>
      </c>
      <c r="F96">
        <f>IFERROR(VLOOKUP($A96,Results_30d_Deltas!$A$2:$H$5000,8,FALSE)-E95,"")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ez_manage.py:4960 top()</t>
        </is>
      </c>
      <c r="IK96" s="9" t="inlineStr">
        <is>
          <t>v12_quick_engine.py:2245 x4</t>
        </is>
      </c>
    </row>
    <row r="97" ht="11" customHeight="1">
      <c r="A97" s="10" t="inlineStr">
        <is>
          <t>MANDATORY_REENTRY_ALLOW_WT0_STRONG_CROSS</t>
        </is>
      </c>
      <c r="B97" s="11" t="inlineStr">
        <is>
          <t>0.5</t>
        </is>
      </c>
      <c r="E97">
        <f>IF(F97="",E96,IF(F97&gt;0,E96+F97,E96))</f>
        <v/>
      </c>
      <c r="F97">
        <f>IFERROR(VLOOKUP($A97,Results_30d_Deltas!$A$2:$H$5000,8,FALSE)-E96,"")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ez_manage.py:4960 top()</t>
        </is>
      </c>
      <c r="IK97" s="9" t="inlineStr">
        <is>
          <t>v12_quick_engine.py:2245 x4</t>
        </is>
      </c>
    </row>
    <row r="98" ht="11" customHeight="1">
      <c r="A98" s="10" t="inlineStr">
        <is>
          <t>MANDATORY_REENTRY_ALLOW_WT0_STRONG_CROSS</t>
        </is>
      </c>
      <c r="B98" s="11" t="inlineStr">
        <is>
          <t>1.0</t>
        </is>
      </c>
      <c r="E98">
        <f>IF(F98="",E97,IF(F98&gt;0,E97+F98,E97))</f>
        <v/>
      </c>
      <c r="F98">
        <f>IFERROR(VLOOKUP($A98,Results_30d_Deltas!$A$2:$H$5000,8,FALSE)-E97,"")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ez_manage.py:4960 top()</t>
        </is>
      </c>
      <c r="IK98" s="9" t="inlineStr">
        <is>
          <t>v12_quick_engine.py:2245 x4</t>
        </is>
      </c>
    </row>
    <row r="99" ht="11" customHeight="1">
      <c r="A99" s="10" t="inlineStr">
        <is>
          <t>MANDATORY_REENTRY_ALLOW_WT0_STRONG_CROSS</t>
        </is>
      </c>
      <c r="B99" s="11" t="inlineStr">
        <is>
          <t>2.0</t>
        </is>
      </c>
      <c r="E99">
        <f>IF(F99="",E98,IF(F99&gt;0,E98+F99,E98))</f>
        <v/>
      </c>
      <c r="F99">
        <f>IFERROR(VLOOKUP($A99,Results_30d_Deltas!$A$2:$H$5000,8,FALSE)-E98,"")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ez_manage.py:4960 top()</t>
        </is>
      </c>
      <c r="IK99" s="9" t="inlineStr">
        <is>
          <t>v12_quick_engine.py:2245 x4</t>
        </is>
      </c>
    </row>
    <row r="100" ht="11" customHeight="1">
      <c r="A100" s="10" t="inlineStr">
        <is>
          <t>MANDATORY_REENTRY_K_HIGH_BLOCK</t>
        </is>
      </c>
      <c r="B100" s="11" t="inlineStr">
        <is>
          <t>0</t>
        </is>
      </c>
      <c r="E100">
        <f>IF(F100="",E99,IF(F100&gt;0,E99+F100,E99))</f>
        <v/>
      </c>
      <c r="F100">
        <f>IFERROR(VLOOKUP($A100,Results_30d_Deltas!$A$2:$H$5000,8,FALSE)-E99,"")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ez_manage.py:4961 top()</t>
        </is>
      </c>
      <c r="IK100" s="9" t="inlineStr">
        <is>
          <t>v12_quick_engine.py:2247 x2</t>
        </is>
      </c>
    </row>
    <row r="101" ht="11" customHeight="1">
      <c r="A101" s="10" t="inlineStr">
        <is>
          <t>MANDATORY_REENTRY_K_HIGH_BLOCK</t>
        </is>
      </c>
      <c r="B101" s="11" t="inlineStr">
        <is>
          <t>0.5</t>
        </is>
      </c>
      <c r="E101">
        <f>IF(F101="",E100,IF(F101&gt;0,E100+F101,E100))</f>
        <v/>
      </c>
      <c r="F101">
        <f>IFERROR(VLOOKUP($A101,Results_30d_Deltas!$A$2:$H$5000,8,FALSE)-E100,"")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ez_manage.py:4961 top()</t>
        </is>
      </c>
      <c r="IK101" s="9" t="inlineStr">
        <is>
          <t>v12_quick_engine.py:2247 x2</t>
        </is>
      </c>
    </row>
    <row r="102" ht="11" customHeight="1">
      <c r="A102" s="10" t="inlineStr">
        <is>
          <t>MANDATORY_REENTRY_K_HIGH_BLOCK</t>
        </is>
      </c>
      <c r="B102" s="11" t="inlineStr">
        <is>
          <t>1.0</t>
        </is>
      </c>
      <c r="E102">
        <f>IF(F102="",E101,IF(F102&gt;0,E101+F102,E101))</f>
        <v/>
      </c>
      <c r="F102">
        <f>IFERROR(VLOOKUP($A102,Results_30d_Deltas!$A$2:$H$5000,8,FALSE)-E101,"")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ez_manage.py:4961 top()</t>
        </is>
      </c>
      <c r="IK102" s="9" t="inlineStr">
        <is>
          <t>v12_quick_engine.py:2247 x2</t>
        </is>
      </c>
    </row>
    <row r="103" ht="11" customHeight="1">
      <c r="A103" s="10" t="inlineStr">
        <is>
          <t>MANDATORY_REENTRY_K_HIGH_BLOCK</t>
        </is>
      </c>
      <c r="B103" s="11" t="inlineStr">
        <is>
          <t>2.0</t>
        </is>
      </c>
      <c r="E103">
        <f>IF(F103="",E102,IF(F103&gt;0,E102+F103,E102))</f>
        <v/>
      </c>
      <c r="F103">
        <f>IFERROR(VLOOKUP($A103,Results_30d_Deltas!$A$2:$H$5000,8,FALSE)-E102,"")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ez_manage.py:4961 top()</t>
        </is>
      </c>
      <c r="IK103" s="9" t="inlineStr">
        <is>
          <t>v12_quick_engine.py:2247 x2</t>
        </is>
      </c>
    </row>
    <row r="104" ht="11" customHeight="1">
      <c r="A104" s="10" t="inlineStr">
        <is>
          <t>MANDATORY_REENTRY_K_LOW_BLOCK</t>
        </is>
      </c>
      <c r="B104" s="11" t="inlineStr">
        <is>
          <t>0</t>
        </is>
      </c>
      <c r="E104">
        <f>IF(F104="",E103,IF(F104&gt;0,E103+F104,E103))</f>
        <v/>
      </c>
      <c r="F104">
        <f>IFERROR(VLOOKUP($A104,Results_30d_Deltas!$A$2:$H$5000,8,FALSE)-E103,"")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ez_manage.py:4962 top()</t>
        </is>
      </c>
      <c r="IK104" s="9" t="inlineStr">
        <is>
          <t>v12_quick_engine.py:2248 x2</t>
        </is>
      </c>
    </row>
    <row r="105" ht="11" customHeight="1">
      <c r="A105" s="10" t="inlineStr">
        <is>
          <t>MANDATORY_REENTRY_K_LOW_BLOCK</t>
        </is>
      </c>
      <c r="B105" s="11" t="inlineStr">
        <is>
          <t>0.5</t>
        </is>
      </c>
      <c r="E105">
        <f>IF(F105="",E104,IF(F105&gt;0,E104+F105,E104))</f>
        <v/>
      </c>
      <c r="F105">
        <f>IFERROR(VLOOKUP($A105,Results_30d_Deltas!$A$2:$H$5000,8,FALSE)-E104,"")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ez_manage.py:4962 top()</t>
        </is>
      </c>
      <c r="IK105" s="9" t="inlineStr">
        <is>
          <t>v12_quick_engine.py:2248 x2</t>
        </is>
      </c>
    </row>
    <row r="106" ht="11" customHeight="1">
      <c r="A106" s="10" t="inlineStr">
        <is>
          <t>MANDATORY_REENTRY_K_LOW_BLOCK</t>
        </is>
      </c>
      <c r="B106" s="11" t="inlineStr">
        <is>
          <t>1.0</t>
        </is>
      </c>
      <c r="E106">
        <f>IF(F106="",E105,IF(F106&gt;0,E105+F106,E105))</f>
        <v/>
      </c>
      <c r="F106">
        <f>IFERROR(VLOOKUP($A106,Results_30d_Deltas!$A$2:$H$5000,8,FALSE)-E105,"")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ez_manage.py:4962 top()</t>
        </is>
      </c>
      <c r="IK106" s="9" t="inlineStr">
        <is>
          <t>v12_quick_engine.py:2248 x2</t>
        </is>
      </c>
    </row>
    <row r="107" ht="11" customHeight="1">
      <c r="A107" s="10" t="inlineStr">
        <is>
          <t>MANDATORY_REENTRY_K_LOW_BLOCK</t>
        </is>
      </c>
      <c r="B107" s="11" t="inlineStr">
        <is>
          <t>2.0</t>
        </is>
      </c>
      <c r="E107">
        <f>IF(F107="",E106,IF(F107&gt;0,E106+F107,E106))</f>
        <v/>
      </c>
      <c r="F107">
        <f>IFERROR(VLOOKUP($A107,Results_30d_Deltas!$A$2:$H$5000,8,FALSE)-E106,"")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ez_manage.py:4962 top()</t>
        </is>
      </c>
      <c r="IK107" s="9" t="inlineStr">
        <is>
          <t>v12_quick_engine.py:2248 x2</t>
        </is>
      </c>
    </row>
    <row r="108" ht="11" customHeight="1">
      <c r="A108" s="10" t="inlineStr">
        <is>
          <t>MANDATORY_REENTRY_REQUIRE_K_NOT_EXTREME</t>
        </is>
      </c>
      <c r="B108" s="11" t="inlineStr">
        <is>
          <t>0</t>
        </is>
      </c>
      <c r="E108">
        <f>IF(F108="",E107,IF(F108&gt;0,E107+F108,E107))</f>
        <v/>
      </c>
      <c r="F108">
        <f>IFERROR(VLOOKUP($A108,Results_30d_Deltas!$A$2:$H$5000,8,FALSE)-E107,"")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ez_manage.py:4964 top()</t>
        </is>
      </c>
      <c r="IK108" s="9" t="inlineStr">
        <is>
          <t>v12_quick_engine.py:2250 x2</t>
        </is>
      </c>
    </row>
    <row r="109" ht="11" customHeight="1">
      <c r="A109" s="10" t="inlineStr">
        <is>
          <t>MANDATORY_REENTRY_REQUIRE_K_NOT_EXTREME</t>
        </is>
      </c>
      <c r="B109" s="11" t="inlineStr">
        <is>
          <t>0.5</t>
        </is>
      </c>
      <c r="E109">
        <f>IF(F109="",E108,IF(F109&gt;0,E108+F109,E108))</f>
        <v/>
      </c>
      <c r="F109">
        <f>IFERROR(VLOOKUP($A109,Results_30d_Deltas!$A$2:$H$5000,8,FALSE)-E108,"")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ez_manage.py:4964 top()</t>
        </is>
      </c>
      <c r="IK109" s="9" t="inlineStr">
        <is>
          <t>v12_quick_engine.py:2250 x2</t>
        </is>
      </c>
    </row>
    <row r="110" ht="11" customHeight="1">
      <c r="A110" s="10" t="inlineStr">
        <is>
          <t>MANDATORY_REENTRY_REQUIRE_K_NOT_EXTREME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IFERROR(VLOOKUP($A110,Results_30d_Deltas!$A$2:$H$5000,8,FALSE)-E109,"")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ez_manage.py:4964 top()</t>
        </is>
      </c>
      <c r="IK110" s="9" t="inlineStr">
        <is>
          <t>v12_quick_engine.py:2250 x2</t>
        </is>
      </c>
    </row>
    <row r="111" ht="11" customHeight="1">
      <c r="A111" s="10" t="inlineStr">
        <is>
          <t>MANDATORY_REENTRY_REQUIRE_K_NOT_EXTREME</t>
        </is>
      </c>
      <c r="B111" s="11" t="inlineStr">
        <is>
          <t>2.0</t>
        </is>
      </c>
      <c r="E111">
        <f>IF(F111="",E110,IF(F111&gt;0,E110+F111,E110))</f>
        <v/>
      </c>
      <c r="F111">
        <f>IFERROR(VLOOKUP($A111,Results_30d_Deltas!$A$2:$H$5000,8,FALSE)-E110,"")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ez_manage.py:4964 top()</t>
        </is>
      </c>
      <c r="IK111" s="9" t="inlineStr">
        <is>
          <t>v12_quick_engine.py:2250 x2</t>
        </is>
      </c>
    </row>
    <row r="112" ht="11" customHeight="1">
      <c r="A112" s="6" t="inlineStr">
        <is>
          <t>MU_CORRECTION_REENTRY_ENABLED</t>
        </is>
      </c>
      <c r="B112" s="7" t="inlineStr">
        <is>
          <t>False</t>
        </is>
      </c>
      <c r="E112">
        <f>IF(F112="",E111,IF(F112&gt;0,E111+F112,E111))</f>
        <v/>
      </c>
      <c r="F112">
        <f>IFERROR(VLOOKUP($A112,Results_30d_Deltas!$A$2:$H$5000,8,FALSE)-E111,"")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ez_manage.py:5077 top()</t>
        </is>
      </c>
      <c r="IK112" s="9" t="inlineStr">
        <is>
          <t>v12_quick_engine.py:2463 x3</t>
        </is>
      </c>
    </row>
    <row r="113" ht="11" customHeight="1">
      <c r="A113" s="10" t="inlineStr">
        <is>
          <t>MU_CORRECTION_REENTRY_ENABLED</t>
        </is>
      </c>
      <c r="B113" s="11" t="inlineStr">
        <is>
          <t>True</t>
        </is>
      </c>
      <c r="E113">
        <f>IF(F113="",E112,IF(F113&gt;0,E112+F113,E112))</f>
        <v/>
      </c>
      <c r="F113">
        <f>IFERROR(VLOOKUP($A113,Results_30d_Deltas!$A$2:$H$5000,8,FALSE)-E112,"")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ez_manage.py:5077 top()</t>
        </is>
      </c>
      <c r="IK113" s="9" t="inlineStr">
        <is>
          <t>v12_quick_engine.py:2463 x3</t>
        </is>
      </c>
    </row>
    <row r="114" ht="11" customHeight="1">
      <c r="A114" s="10" t="inlineStr">
        <is>
          <t>OBLIGATORY_REENTRY_DEFAULT_SIZE_MULT</t>
        </is>
      </c>
      <c r="B114" s="11" t="inlineStr">
        <is>
          <t>0</t>
        </is>
      </c>
      <c r="E114">
        <f>IF(F114="",E113,IF(F114&gt;0,E113+F114,E113))</f>
        <v/>
      </c>
      <c r="F114">
        <f>IFERROR(VLOOKUP($A114,Results_30d_Deltas!$A$2:$H$5000,8,FALSE)-E113,"")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ez_manage.py:5108 top()</t>
        </is>
      </c>
      <c r="IK114" s="9" t="inlineStr">
        <is>
          <t>v12_quick_engine.py:2499 x2</t>
        </is>
      </c>
    </row>
    <row r="115" ht="11" customHeight="1">
      <c r="A115" s="10" t="inlineStr">
        <is>
          <t>OBLIGATORY_REENTRY_DEFAULT_SIZE_MULT</t>
        </is>
      </c>
      <c r="B115" s="11" t="inlineStr">
        <is>
          <t>0.5</t>
        </is>
      </c>
      <c r="E115">
        <f>IF(F115="",E114,IF(F115&gt;0,E114+F115,E114))</f>
        <v/>
      </c>
      <c r="F115">
        <f>IFERROR(VLOOKUP($A115,Results_30d_Deltas!$A$2:$H$5000,8,FALSE)-E114,"")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ez_manage.py:5108 top()</t>
        </is>
      </c>
      <c r="IK115" s="9" t="inlineStr">
        <is>
          <t>v12_quick_engine.py:2499 x2</t>
        </is>
      </c>
    </row>
    <row r="116" ht="11" customHeight="1">
      <c r="A116" s="10" t="inlineStr">
        <is>
          <t>OBLIGATORY_REENTRY_DEFAULT_SIZE_MULT</t>
        </is>
      </c>
      <c r="B116" s="11" t="inlineStr">
        <is>
          <t>1.0</t>
        </is>
      </c>
      <c r="E116">
        <f>IF(F116="",E115,IF(F116&gt;0,E115+F116,E115))</f>
        <v/>
      </c>
      <c r="F116">
        <f>IFERROR(VLOOKUP($A116,Results_30d_Deltas!$A$2:$H$5000,8,FALSE)-E115,"")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ez_manage.py:5108 top()</t>
        </is>
      </c>
      <c r="IK116" s="9" t="inlineStr">
        <is>
          <t>v12_quick_engine.py:2499 x2</t>
        </is>
      </c>
    </row>
    <row r="117" ht="11" customHeight="1">
      <c r="A117" s="10" t="inlineStr">
        <is>
          <t>OBLIGATORY_REENTRY_DEFAULT_SIZE_MULT</t>
        </is>
      </c>
      <c r="B117" s="11" t="inlineStr">
        <is>
          <t>2.0</t>
        </is>
      </c>
      <c r="E117">
        <f>IF(F117="",E116,IF(F117&gt;0,E116+F117,E116))</f>
        <v/>
      </c>
      <c r="F117">
        <f>IFERROR(VLOOKUP($A117,Results_30d_Deltas!$A$2:$H$5000,8,FALSE)-E116,"")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ez_manage.py:5108 top()</t>
        </is>
      </c>
      <c r="IK117" s="9" t="inlineStr">
        <is>
          <t>v12_quick_engine.py:2499 x2</t>
        </is>
      </c>
    </row>
    <row r="118" ht="11" customHeight="1">
      <c r="A118" s="6" t="inlineStr">
        <is>
          <t>OBLIGATORY_REENTRY_ENABLED</t>
        </is>
      </c>
      <c r="B118" s="7" t="inlineStr">
        <is>
          <t>False</t>
        </is>
      </c>
      <c r="E118">
        <f>IF(F118="",E117,IF(F118&gt;0,E117+F118,E117))</f>
        <v/>
      </c>
      <c r="F118">
        <f>IFERROR(VLOOKUP($A118,Results_30d_Deltas!$A$2:$H$5000,8,FALSE)-E117,"")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ez_manage.py:5109 top()</t>
        </is>
      </c>
      <c r="IK118" s="9" t="inlineStr">
        <is>
          <t>v12_quick_engine.py:2500 x2</t>
        </is>
      </c>
    </row>
    <row r="119" ht="11" customHeight="1">
      <c r="A119" s="10" t="inlineStr">
        <is>
          <t>OBLIGATORY_REENTRY_ENABLED</t>
        </is>
      </c>
      <c r="B119" s="11" t="inlineStr">
        <is>
          <t>True</t>
        </is>
      </c>
      <c r="E119">
        <f>IF(F119="",E118,IF(F119&gt;0,E118+F119,E118))</f>
        <v/>
      </c>
      <c r="F119">
        <f>IFERROR(VLOOKUP($A119,Results_30d_Deltas!$A$2:$H$5000,8,FALSE)-E118,"")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ez_manage.py:5109 top()</t>
        </is>
      </c>
      <c r="IK119" s="9" t="inlineStr">
        <is>
          <t>v12_quick_engine.py:2500 x2</t>
        </is>
      </c>
    </row>
    <row r="120" ht="11" customHeight="1">
      <c r="A120" s="10" t="inlineStr">
        <is>
          <t>OBLIGATORY_REENTRY_K15_HIGH_BLOCK</t>
        </is>
      </c>
      <c r="B120" s="11" t="inlineStr">
        <is>
          <t>0</t>
        </is>
      </c>
      <c r="E120">
        <f>IF(F120="",E119,IF(F120&gt;0,E119+F120,E119))</f>
        <v/>
      </c>
      <c r="F120">
        <f>IFERROR(VLOOKUP($A120,Results_30d_Deltas!$A$2:$H$5000,8,FALSE)-E119,"")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ez_manage.py:5110 top()</t>
        </is>
      </c>
      <c r="IK120" s="9" t="inlineStr">
        <is>
          <t>v12_quick_engine.py:2501 x4</t>
        </is>
      </c>
    </row>
    <row r="121" ht="11" customHeight="1">
      <c r="A121" s="10" t="inlineStr">
        <is>
          <t>OBLIGATORY_REENTRY_K15_HIGH_BLOCK</t>
        </is>
      </c>
      <c r="B121" s="11" t="inlineStr">
        <is>
          <t>0.5</t>
        </is>
      </c>
      <c r="E121">
        <f>IF(F121="",E120,IF(F121&gt;0,E120+F121,E120))</f>
        <v/>
      </c>
      <c r="F121">
        <f>IFERROR(VLOOKUP($A121,Results_30d_Deltas!$A$2:$H$5000,8,FALSE)-E120,"")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ez_manage.py:5110 top()</t>
        </is>
      </c>
      <c r="IK121" s="9" t="inlineStr">
        <is>
          <t>v12_quick_engine.py:2501 x4</t>
        </is>
      </c>
    </row>
    <row r="122" ht="11" customHeight="1">
      <c r="A122" s="10" t="inlineStr">
        <is>
          <t>OBLIGATORY_REENTRY_K15_HIGH_BLOCK</t>
        </is>
      </c>
      <c r="B122" s="11" t="inlineStr">
        <is>
          <t>1.0</t>
        </is>
      </c>
      <c r="E122">
        <f>IF(F122="",E121,IF(F122&gt;0,E121+F122,E121))</f>
        <v/>
      </c>
      <c r="F122">
        <f>IFERROR(VLOOKUP($A122,Results_30d_Deltas!$A$2:$H$5000,8,FALSE)-E121,"")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ez_manage.py:5110 top()</t>
        </is>
      </c>
      <c r="IK122" s="9" t="inlineStr">
        <is>
          <t>v12_quick_engine.py:2501 x4</t>
        </is>
      </c>
    </row>
    <row r="123" ht="11" customHeight="1">
      <c r="A123" s="10" t="inlineStr">
        <is>
          <t>OBLIGATORY_REENTRY_K15_HIGH_BLOCK</t>
        </is>
      </c>
      <c r="B123" s="11" t="inlineStr">
        <is>
          <t>2.0</t>
        </is>
      </c>
      <c r="E123">
        <f>IF(F123="",E122,IF(F123&gt;0,E122+F123,E122))</f>
        <v/>
      </c>
      <c r="F123">
        <f>IFERROR(VLOOKUP($A123,Results_30d_Deltas!$A$2:$H$5000,8,FALSE)-E122,"")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ez_manage.py:5110 top()</t>
        </is>
      </c>
      <c r="IK123" s="9" t="inlineStr">
        <is>
          <t>v12_quick_engine.py:2501 x4</t>
        </is>
      </c>
    </row>
    <row r="124" ht="11" customHeight="1">
      <c r="A124" s="10" t="inlineStr">
        <is>
          <t>OBLIGATORY_REENTRY_K15_HIGH_SIZE_FRAC</t>
        </is>
      </c>
      <c r="B124" s="11" t="inlineStr">
        <is>
          <t>0</t>
        </is>
      </c>
      <c r="E124">
        <f>IF(F124="",E123,IF(F124&gt;0,E123+F124,E123))</f>
        <v/>
      </c>
      <c r="F124">
        <f>IFERROR(VLOOKUP($A124,Results_30d_Deltas!$A$2:$H$5000,8,FALSE)-E123,"")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ez_manage.py:5111 top()</t>
        </is>
      </c>
      <c r="IK124" s="9" t="inlineStr">
        <is>
          <t>v12_quick_engine.py:2502 x4</t>
        </is>
      </c>
    </row>
    <row r="125" ht="11" customHeight="1">
      <c r="A125" s="10" t="inlineStr">
        <is>
          <t>OBLIGATORY_REENTRY_K15_HIGH_SIZE_FRAC</t>
        </is>
      </c>
      <c r="B125" s="11" t="inlineStr">
        <is>
          <t>0.5</t>
        </is>
      </c>
      <c r="E125">
        <f>IF(F125="",E124,IF(F125&gt;0,E124+F125,E124))</f>
        <v/>
      </c>
      <c r="F125">
        <f>IFERROR(VLOOKUP($A125,Results_30d_Deltas!$A$2:$H$5000,8,FALSE)-E124,"")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ez_manage.py:5111 top()</t>
        </is>
      </c>
      <c r="IK125" s="9" t="inlineStr">
        <is>
          <t>v12_quick_engine.py:2502 x4</t>
        </is>
      </c>
    </row>
    <row r="126" ht="11" customHeight="1">
      <c r="A126" s="10" t="inlineStr">
        <is>
          <t>OBLIGATORY_REENTRY_K15_HIGH_SIZE_FRAC</t>
        </is>
      </c>
      <c r="B126" s="11" t="inlineStr">
        <is>
          <t>1.0</t>
        </is>
      </c>
      <c r="E126">
        <f>IF(F126="",E125,IF(F126&gt;0,E125+F126,E125))</f>
        <v/>
      </c>
      <c r="F126">
        <f>IFERROR(VLOOKUP($A126,Results_30d_Deltas!$A$2:$H$5000,8,FALSE)-E125,"")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ez_manage.py:5111 top()</t>
        </is>
      </c>
      <c r="IK126" s="9" t="inlineStr">
        <is>
          <t>v12_quick_engine.py:2502 x4</t>
        </is>
      </c>
    </row>
    <row r="127" ht="11" customHeight="1">
      <c r="A127" s="10" t="inlineStr">
        <is>
          <t>OBLIGATORY_REENTRY_K15_HIGH_SIZE_FRAC</t>
        </is>
      </c>
      <c r="B127" s="11" t="inlineStr">
        <is>
          <t>2.0</t>
        </is>
      </c>
      <c r="E127">
        <f>IF(F127="",E126,IF(F127&gt;0,E126+F127,E126))</f>
        <v/>
      </c>
      <c r="F127">
        <f>IFERROR(VLOOKUP($A127,Results_30d_Deltas!$A$2:$H$5000,8,FALSE)-E126,"")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ez_manage.py:5111 top()</t>
        </is>
      </c>
      <c r="IK127" s="9" t="inlineStr">
        <is>
          <t>v12_quick_engine.py:2502 x4</t>
        </is>
      </c>
    </row>
    <row r="128" ht="11" customHeight="1">
      <c r="A128" s="10" t="inlineStr">
        <is>
          <t>OBLIGATORY_REENTRY_SCORE_TIER1</t>
        </is>
      </c>
      <c r="B128" s="11" t="inlineStr">
        <is>
          <t>0</t>
        </is>
      </c>
      <c r="E128">
        <f>IF(F128="",E127,IF(F128&gt;0,E127+F128,E127))</f>
        <v/>
      </c>
      <c r="F128">
        <f>IFERROR(VLOOKUP($A128,Results_30d_Deltas!$A$2:$H$5000,8,FALSE)-E127,"")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ez_manage.py:5113 top()</t>
        </is>
      </c>
      <c r="IK128" s="9" t="inlineStr">
        <is>
          <t>v12_quick_engine.py:2504 x4</t>
        </is>
      </c>
    </row>
    <row r="129" ht="11" customHeight="1">
      <c r="A129" s="10" t="inlineStr">
        <is>
          <t>OBLIGATORY_REENTRY_SCORE_TIER1</t>
        </is>
      </c>
      <c r="B129" s="11" t="inlineStr">
        <is>
          <t>0.5</t>
        </is>
      </c>
      <c r="E129">
        <f>IF(F129="",E128,IF(F129&gt;0,E128+F129,E128))</f>
        <v/>
      </c>
      <c r="F129">
        <f>IFERROR(VLOOKUP($A129,Results_30d_Deltas!$A$2:$H$5000,8,FALSE)-E128,"")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ez_manage.py:5113 top()</t>
        </is>
      </c>
      <c r="IK129" s="9" t="inlineStr">
        <is>
          <t>v12_quick_engine.py:2504 x4</t>
        </is>
      </c>
    </row>
    <row r="130" ht="11" customHeight="1">
      <c r="A130" s="10" t="inlineStr">
        <is>
          <t>OBLIGATORY_REENTRY_SCORE_TIER1</t>
        </is>
      </c>
      <c r="B130" s="11" t="inlineStr">
        <is>
          <t>1.0</t>
        </is>
      </c>
      <c r="E130">
        <f>IF(F130="",E129,IF(F130&gt;0,E129+F130,E129))</f>
        <v/>
      </c>
      <c r="F130">
        <f>IFERROR(VLOOKUP($A130,Results_30d_Deltas!$A$2:$H$5000,8,FALSE)-E129,"")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ez_manage.py:5113 top()</t>
        </is>
      </c>
      <c r="IK130" s="9" t="inlineStr">
        <is>
          <t>v12_quick_engine.py:2504 x4</t>
        </is>
      </c>
    </row>
    <row r="131" ht="11" customHeight="1">
      <c r="A131" s="10" t="inlineStr">
        <is>
          <t>OBLIGATORY_REENTRY_SCORE_TIER1</t>
        </is>
      </c>
      <c r="B131" s="11" t="inlineStr">
        <is>
          <t>2.0</t>
        </is>
      </c>
      <c r="E131">
        <f>IF(F131="",E130,IF(F131&gt;0,E130+F131,E130))</f>
        <v/>
      </c>
      <c r="F131">
        <f>IFERROR(VLOOKUP($A131,Results_30d_Deltas!$A$2:$H$5000,8,FALSE)-E130,"")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ez_manage.py:5113 top()</t>
        </is>
      </c>
      <c r="IK131" s="9" t="inlineStr">
        <is>
          <t>v12_quick_engine.py:2504 x4</t>
        </is>
      </c>
    </row>
    <row r="132" ht="11" customHeight="1">
      <c r="A132" s="10" t="inlineStr">
        <is>
          <t>OBLIGATORY_REENTRY_SCORE_TIER2</t>
        </is>
      </c>
      <c r="B132" s="11" t="inlineStr">
        <is>
          <t>0</t>
        </is>
      </c>
      <c r="E132">
        <f>IF(F132="",E131,IF(F132&gt;0,E131+F132,E131))</f>
        <v/>
      </c>
      <c r="F132">
        <f>IFERROR(VLOOKUP($A132,Results_30d_Deltas!$A$2:$H$5000,8,FALSE)-E131,"")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ez_manage.py:5114 top()</t>
        </is>
      </c>
      <c r="IK132" s="9" t="inlineStr">
        <is>
          <t>v12_quick_engine.py:2505 x4</t>
        </is>
      </c>
    </row>
    <row r="133" ht="11" customHeight="1">
      <c r="A133" s="10" t="inlineStr">
        <is>
          <t>OBLIGATORY_REENTRY_SCORE_TIER2</t>
        </is>
      </c>
      <c r="B133" s="11" t="inlineStr">
        <is>
          <t>0.5</t>
        </is>
      </c>
      <c r="E133">
        <f>IF(F133="",E132,IF(F133&gt;0,E132+F133,E132))</f>
        <v/>
      </c>
      <c r="F133">
        <f>IFERROR(VLOOKUP($A133,Results_30d_Deltas!$A$2:$H$5000,8,FALSE)-E132,"")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ez_manage.py:5114 top()</t>
        </is>
      </c>
      <c r="IK133" s="9" t="inlineStr">
        <is>
          <t>v12_quick_engine.py:2505 x4</t>
        </is>
      </c>
    </row>
    <row r="134" ht="11" customHeight="1">
      <c r="A134" s="10" t="inlineStr">
        <is>
          <t>OBLIGATORY_REENTRY_SCORE_TIER2</t>
        </is>
      </c>
      <c r="B134" s="11" t="inlineStr">
        <is>
          <t>1.0</t>
        </is>
      </c>
      <c r="E134">
        <f>IF(F134="",E133,IF(F134&gt;0,E133+F134,E133))</f>
        <v/>
      </c>
      <c r="F134">
        <f>IFERROR(VLOOKUP($A134,Results_30d_Deltas!$A$2:$H$5000,8,FALSE)-E133,"")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ez_manage.py:5114 top()</t>
        </is>
      </c>
      <c r="IK134" s="9" t="inlineStr">
        <is>
          <t>v12_quick_engine.py:2505 x4</t>
        </is>
      </c>
    </row>
    <row r="135" ht="11" customHeight="1">
      <c r="A135" s="10" t="inlineStr">
        <is>
          <t>OBLIGATORY_REENTRY_SCORE_TIER2</t>
        </is>
      </c>
      <c r="B135" s="11" t="inlineStr">
        <is>
          <t>2.0</t>
        </is>
      </c>
      <c r="E135">
        <f>IF(F135="",E134,IF(F135&gt;0,E134+F135,E134))</f>
        <v/>
      </c>
      <c r="F135">
        <f>IFERROR(VLOOKUP($A135,Results_30d_Deltas!$A$2:$H$5000,8,FALSE)-E134,"")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ez_manage.py:5114 top()</t>
        </is>
      </c>
      <c r="IK135" s="9" t="inlineStr">
        <is>
          <t>v12_quick_engine.py:2505 x4</t>
        </is>
      </c>
    </row>
    <row r="136" ht="11" customHeight="1">
      <c r="A136" s="10" t="inlineStr">
        <is>
          <t>OBLIGATORY_REENTRY_SCORE_TIER3</t>
        </is>
      </c>
      <c r="B136" s="11" t="inlineStr">
        <is>
          <t>0</t>
        </is>
      </c>
      <c r="E136">
        <f>IF(F136="",E135,IF(F136&gt;0,E135+F136,E135))</f>
        <v/>
      </c>
      <c r="F136">
        <f>IFERROR(VLOOKUP($A136,Results_30d_Deltas!$A$2:$H$5000,8,FALSE)-E135,"")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ez_manage.py:5115 top()</t>
        </is>
      </c>
      <c r="IK136" s="9" t="inlineStr">
        <is>
          <t>v12_quick_engine.py:2506 x4</t>
        </is>
      </c>
    </row>
    <row r="137" ht="11" customHeight="1">
      <c r="A137" s="10" t="inlineStr">
        <is>
          <t>OBLIGATORY_REENTRY_SCORE_TIER3</t>
        </is>
      </c>
      <c r="B137" s="11" t="inlineStr">
        <is>
          <t>0.5</t>
        </is>
      </c>
      <c r="E137">
        <f>IF(F137="",E136,IF(F137&gt;0,E136+F137,E136))</f>
        <v/>
      </c>
      <c r="F137">
        <f>IFERROR(VLOOKUP($A137,Results_30d_Deltas!$A$2:$H$5000,8,FALSE)-E136,"")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ez_manage.py:5115 top()</t>
        </is>
      </c>
      <c r="IK137" s="9" t="inlineStr">
        <is>
          <t>v12_quick_engine.py:2506 x4</t>
        </is>
      </c>
    </row>
    <row r="138" ht="11" customHeight="1">
      <c r="A138" s="10" t="inlineStr">
        <is>
          <t>OBLIGATORY_REENTRY_SCORE_TIER3</t>
        </is>
      </c>
      <c r="B138" s="11" t="inlineStr">
        <is>
          <t>1.0</t>
        </is>
      </c>
      <c r="E138">
        <f>IF(F138="",E137,IF(F138&gt;0,E137+F138,E137))</f>
        <v/>
      </c>
      <c r="F138">
        <f>IFERROR(VLOOKUP($A138,Results_30d_Deltas!$A$2:$H$5000,8,FALSE)-E137,"")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ez_manage.py:5115 top()</t>
        </is>
      </c>
      <c r="IK138" s="9" t="inlineStr">
        <is>
          <t>v12_quick_engine.py:2506 x4</t>
        </is>
      </c>
    </row>
    <row r="139" ht="11" customHeight="1">
      <c r="A139" s="10" t="inlineStr">
        <is>
          <t>OBLIGATORY_REENTRY_SCORE_TIER3</t>
        </is>
      </c>
      <c r="B139" s="11" t="inlineStr">
        <is>
          <t>2.0</t>
        </is>
      </c>
      <c r="E139">
        <f>IF(F139="",E138,IF(F139&gt;0,E138+F139,E138))</f>
        <v/>
      </c>
      <c r="F139">
        <f>IFERROR(VLOOKUP($A139,Results_30d_Deltas!$A$2:$H$5000,8,FALSE)-E138,"")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ez_manage.py:5115 top()</t>
        </is>
      </c>
      <c r="IK139" s="9" t="inlineStr">
        <is>
          <t>v12_quick_engine.py:2506 x4</t>
        </is>
      </c>
    </row>
    <row r="140" ht="11" customHeight="1">
      <c r="A140" s="10" t="inlineStr">
        <is>
          <t>OBLIGATORY_REENTRY_SHORT_K15_LOW_BLOCK</t>
        </is>
      </c>
      <c r="B140" s="11" t="inlineStr">
        <is>
          <t>0</t>
        </is>
      </c>
      <c r="E140">
        <f>IF(F140="",E139,IF(F140&gt;0,E139+F140,E139))</f>
        <v/>
      </c>
      <c r="F140">
        <f>IFERROR(VLOOKUP($A140,Results_30d_Deltas!$A$2:$H$5000,8,FALSE)-E139,"")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ez_manage.py:5117 top()</t>
        </is>
      </c>
      <c r="IK140" s="9" t="inlineStr">
        <is>
          <t>v12_quick_engine.py:2508 x4</t>
        </is>
      </c>
    </row>
    <row r="141" ht="11" customHeight="1">
      <c r="A141" s="10" t="inlineStr">
        <is>
          <t>OBLIGATORY_REENTRY_SHORT_K15_LOW_BLOCK</t>
        </is>
      </c>
      <c r="B141" s="11" t="inlineStr">
        <is>
          <t>0.5</t>
        </is>
      </c>
      <c r="E141">
        <f>IF(F141="",E140,IF(F141&gt;0,E140+F141,E140))</f>
        <v/>
      </c>
      <c r="F141">
        <f>IFERROR(VLOOKUP($A141,Results_30d_Deltas!$A$2:$H$5000,8,FALSE)-E140,"")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ez_manage.py:5117 top()</t>
        </is>
      </c>
      <c r="IK141" s="9" t="inlineStr">
        <is>
          <t>v12_quick_engine.py:2508 x4</t>
        </is>
      </c>
    </row>
    <row r="142" ht="11" customHeight="1">
      <c r="A142" s="10" t="inlineStr">
        <is>
          <t>OBLIGATORY_REENTRY_SHORT_K15_LOW_BLOCK</t>
        </is>
      </c>
      <c r="B142" s="11" t="inlineStr">
        <is>
          <t>1.0</t>
        </is>
      </c>
      <c r="E142">
        <f>IF(F142="",E141,IF(F142&gt;0,E141+F142,E141))</f>
        <v/>
      </c>
      <c r="F142">
        <f>IFERROR(VLOOKUP($A142,Results_30d_Deltas!$A$2:$H$5000,8,FALSE)-E141,"")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ez_manage.py:5117 top()</t>
        </is>
      </c>
      <c r="IK142" s="9" t="inlineStr">
        <is>
          <t>v12_quick_engine.py:2508 x4</t>
        </is>
      </c>
    </row>
    <row r="143" ht="11" customHeight="1">
      <c r="A143" s="10" t="inlineStr">
        <is>
          <t>OBLIGATORY_REENTRY_SHORT_K15_LOW_BLOCK</t>
        </is>
      </c>
      <c r="B143" s="11" t="inlineStr">
        <is>
          <t>2.0</t>
        </is>
      </c>
      <c r="E143">
        <f>IF(F143="",E142,IF(F143&gt;0,E142+F143,E142))</f>
        <v/>
      </c>
      <c r="F143">
        <f>IFERROR(VLOOKUP($A143,Results_30d_Deltas!$A$2:$H$5000,8,FALSE)-E142,"")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ez_manage.py:5117 top()</t>
        </is>
      </c>
      <c r="IK143" s="9" t="inlineStr">
        <is>
          <t>v12_quick_engine.py:2508 x4</t>
        </is>
      </c>
    </row>
    <row r="144" ht="11" customHeight="1">
      <c r="A144" s="10" t="inlineStr">
        <is>
          <t>OBLIGATORY_REENTRY_SHORT_K15_LOW_SIZE_FRAC</t>
        </is>
      </c>
      <c r="B144" s="11" t="inlineStr">
        <is>
          <t>0</t>
        </is>
      </c>
      <c r="E144">
        <f>IF(F144="",E143,IF(F144&gt;0,E143+F144,E143))</f>
        <v/>
      </c>
      <c r="F144">
        <f>IFERROR(VLOOKUP($A144,Results_30d_Deltas!$A$2:$H$5000,8,FALSE)-E143,"")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ez_manage.py:5118 top()</t>
        </is>
      </c>
      <c r="IK144" s="9" t="inlineStr">
        <is>
          <t>v12_quick_engine.py:2509 x4</t>
        </is>
      </c>
    </row>
    <row r="145" ht="11" customHeight="1">
      <c r="A145" s="10" t="inlineStr">
        <is>
          <t>OBLIGATORY_REENTRY_SHORT_K15_LOW_SIZE_FRAC</t>
        </is>
      </c>
      <c r="B145" s="11" t="inlineStr">
        <is>
          <t>0.5</t>
        </is>
      </c>
      <c r="E145">
        <f>IF(F145="",E144,IF(F145&gt;0,E144+F145,E144))</f>
        <v/>
      </c>
      <c r="F145">
        <f>IFERROR(VLOOKUP($A145,Results_30d_Deltas!$A$2:$H$5000,8,FALSE)-E144,"")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ez_manage.py:5118 top()</t>
        </is>
      </c>
      <c r="IK145" s="9" t="inlineStr">
        <is>
          <t>v12_quick_engine.py:2509 x4</t>
        </is>
      </c>
    </row>
    <row r="146" ht="11" customHeight="1">
      <c r="A146" s="10" t="inlineStr">
        <is>
          <t>OBLIGATORY_REENTRY_SHORT_K15_LOW_SIZE_FRAC</t>
        </is>
      </c>
      <c r="B146" s="11" t="inlineStr">
        <is>
          <t>1.0</t>
        </is>
      </c>
      <c r="E146">
        <f>IF(F146="",E145,IF(F146&gt;0,E145+F146,E145))</f>
        <v/>
      </c>
      <c r="F146">
        <f>IFERROR(VLOOKUP($A146,Results_30d_Deltas!$A$2:$H$5000,8,FALSE)-E145,"")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8" t="n"/>
      <c r="FS146" s="8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8" t="n"/>
      <c r="HI146" s="8" t="n"/>
      <c r="HJ146" s="8" t="n"/>
      <c r="HK146" s="8" t="n"/>
      <c r="HL146" s="8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ez_manage.py:5118 top()</t>
        </is>
      </c>
      <c r="IK146" s="9" t="inlineStr">
        <is>
          <t>v12_quick_engine.py:2509 x4</t>
        </is>
      </c>
    </row>
    <row r="147" ht="11" customHeight="1">
      <c r="A147" s="10" t="inlineStr">
        <is>
          <t>OBLIGATORY_REENTRY_SHORT_K15_LOW_SIZE_FRAC</t>
        </is>
      </c>
      <c r="B147" s="11" t="inlineStr">
        <is>
          <t>2.0</t>
        </is>
      </c>
      <c r="E147">
        <f>IF(F147="",E146,IF(F147&gt;0,E146+F147,E146))</f>
        <v/>
      </c>
      <c r="F147">
        <f>IFERROR(VLOOKUP($A147,Results_30d_Deltas!$A$2:$H$5000,8,FALSE)-E146,"")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8" t="n"/>
      <c r="FS147" s="8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8" t="n"/>
      <c r="HI147" s="8" t="n"/>
      <c r="HJ147" s="8" t="n"/>
      <c r="HK147" s="8" t="n"/>
      <c r="HL147" s="8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ez_manage.py:5118 top()</t>
        </is>
      </c>
      <c r="IK147" s="9" t="inlineStr">
        <is>
          <t>v12_quick_engine.py:2509 x4</t>
        </is>
      </c>
    </row>
    <row r="148" ht="11" customHeight="1">
      <c r="A148" s="10" t="inlineStr">
        <is>
          <t>OBLIGATORY_REENTRY_SMA_FIELD</t>
        </is>
      </c>
      <c r="B148" s="11" t="inlineStr">
        <is>
          <t>0</t>
        </is>
      </c>
      <c r="E148">
        <f>IF(F148="",E147,IF(F148&gt;0,E147+F148,E147))</f>
        <v/>
      </c>
      <c r="F148">
        <f>IFERROR(VLOOKUP($A148,Results_30d_Deltas!$A$2:$H$5000,8,FALSE)-E147,"")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8" t="n"/>
      <c r="FS148" s="8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ez_manage.py:5121 top()</t>
        </is>
      </c>
      <c r="IK148" s="9" t="inlineStr">
        <is>
          <t>v12_quick_engine.py:2512 x2</t>
        </is>
      </c>
    </row>
    <row r="149" ht="11" customHeight="1">
      <c r="A149" s="10" t="inlineStr">
        <is>
          <t>OBLIGATORY_REENTRY_SMA_FIELD</t>
        </is>
      </c>
      <c r="B149" s="11" t="inlineStr">
        <is>
          <t>0.5</t>
        </is>
      </c>
      <c r="E149">
        <f>IF(F149="",E148,IF(F149&gt;0,E148+F149,E148))</f>
        <v/>
      </c>
      <c r="F149">
        <f>IFERROR(VLOOKUP($A149,Results_30d_Deltas!$A$2:$H$5000,8,FALSE)-E148,"")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8" t="n"/>
      <c r="FS149" s="8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ez_manage.py:5121 top()</t>
        </is>
      </c>
      <c r="IK149" s="9" t="inlineStr">
        <is>
          <t>v12_quick_engine.py:2512 x2</t>
        </is>
      </c>
    </row>
    <row r="150" ht="11" customHeight="1">
      <c r="A150" s="10" t="inlineStr">
        <is>
          <t>OBLIGATORY_REENTRY_SMA_FIELD</t>
        </is>
      </c>
      <c r="B150" s="11" t="inlineStr">
        <is>
          <t>1.0</t>
        </is>
      </c>
      <c r="E150">
        <f>IF(F150="",E149,IF(F150&gt;0,E149+F150,E149))</f>
        <v/>
      </c>
      <c r="F150">
        <f>IFERROR(VLOOKUP($A150,Results_30d_Deltas!$A$2:$H$5000,8,FALSE)-E149,"")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8" t="n"/>
      <c r="BP150" s="8" t="n"/>
      <c r="BQ150" s="8" t="n"/>
      <c r="BR150" s="8" t="n"/>
      <c r="BS150" s="8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8" t="n"/>
      <c r="CY150" s="8" t="n"/>
      <c r="CZ150" s="8" t="n"/>
      <c r="DA150" s="8" t="n"/>
      <c r="DB150" s="8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8" t="n"/>
      <c r="FS150" s="8" t="n"/>
      <c r="FT150" s="8" t="n"/>
      <c r="FU150" s="8" t="n"/>
      <c r="FV150" s="8" t="n"/>
      <c r="FW150" s="8" t="n"/>
      <c r="FX150" s="8" t="n"/>
      <c r="FY150" s="8" t="n"/>
      <c r="FZ150" s="8" t="n"/>
      <c r="GA150" s="8" t="n"/>
      <c r="GB150" s="8" t="n"/>
      <c r="GC150" s="8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ez_manage.py:5121 top()</t>
        </is>
      </c>
      <c r="IK150" s="9" t="inlineStr">
        <is>
          <t>v12_quick_engine.py:2512 x2</t>
        </is>
      </c>
    </row>
    <row r="151" ht="11" customHeight="1">
      <c r="A151" s="10" t="inlineStr">
        <is>
          <t>OBLIGATORY_REENTRY_SMA_FIELD</t>
        </is>
      </c>
      <c r="B151" s="11" t="inlineStr">
        <is>
          <t>2.0</t>
        </is>
      </c>
      <c r="E151">
        <f>IF(F151="",E150,IF(F151&gt;0,E150+F151,E150))</f>
        <v/>
      </c>
      <c r="F151">
        <f>IFERROR(VLOOKUP($A151,Results_30d_Deltas!$A$2:$H$5000,8,FALSE)-E150,"")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8" t="n"/>
      <c r="BP151" s="8" t="n"/>
      <c r="BQ151" s="8" t="n"/>
      <c r="BR151" s="8" t="n"/>
      <c r="BS151" s="8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8" t="n"/>
      <c r="CY151" s="8" t="n"/>
      <c r="CZ151" s="8" t="n"/>
      <c r="DA151" s="8" t="n"/>
      <c r="DB151" s="8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8" t="n"/>
      <c r="FS151" s="8" t="n"/>
      <c r="FT151" s="8" t="n"/>
      <c r="FU151" s="8" t="n"/>
      <c r="FV151" s="8" t="n"/>
      <c r="FW151" s="8" t="n"/>
      <c r="FX151" s="8" t="n"/>
      <c r="FY151" s="8" t="n"/>
      <c r="FZ151" s="8" t="n"/>
      <c r="GA151" s="8" t="n"/>
      <c r="GB151" s="8" t="n"/>
      <c r="GC151" s="8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ez_manage.py:5121 top()</t>
        </is>
      </c>
      <c r="IK151" s="9" t="inlineStr">
        <is>
          <t>v12_quick_engine.py:2512 x2</t>
        </is>
      </c>
    </row>
    <row r="152" ht="11" customHeight="1">
      <c r="A152" s="10" t="inlineStr">
        <is>
          <t>OBLIGATORY_REENTRY_SMA_TF</t>
        </is>
      </c>
      <c r="B152" s="11" t="inlineStr">
        <is>
          <t>OFF</t>
        </is>
      </c>
      <c r="E152">
        <f>IF(F152="",E151,IF(F152&gt;0,E151+F152,E151))</f>
        <v/>
      </c>
      <c r="F152">
        <f>IFERROR(VLOOKUP($A152,Results_30d_Deltas!$A$2:$H$5000,8,FALSE)-E151,"")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8" t="n"/>
      <c r="BP152" s="8" t="n"/>
      <c r="BQ152" s="8" t="n"/>
      <c r="BR152" s="8" t="n"/>
      <c r="BS152" s="8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8" t="n"/>
      <c r="CY152" s="8" t="n"/>
      <c r="CZ152" s="8" t="n"/>
      <c r="DA152" s="8" t="n"/>
      <c r="DB152" s="8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8" t="n"/>
      <c r="FS152" s="8" t="n"/>
      <c r="FT152" s="8" t="n"/>
      <c r="FU152" s="8" t="n"/>
      <c r="FV152" s="8" t="n"/>
      <c r="FW152" s="8" t="n"/>
      <c r="FX152" s="8" t="n"/>
      <c r="FY152" s="8" t="n"/>
      <c r="FZ152" s="8" t="n"/>
      <c r="GA152" s="8" t="n"/>
      <c r="GB152" s="8" t="n"/>
      <c r="GC152" s="8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ez_manage.py:5122 top()</t>
        </is>
      </c>
      <c r="IK152" s="9" t="inlineStr">
        <is>
          <t>v12_quick_engine.py:2513 x2</t>
        </is>
      </c>
    </row>
    <row r="153" ht="11" customHeight="1">
      <c r="A153" s="10" t="inlineStr">
        <is>
          <t>OBLIGATORY_REENTRY_SMA_TF</t>
        </is>
      </c>
      <c r="B153" s="11" t="inlineStr">
        <is>
          <t>D</t>
        </is>
      </c>
      <c r="E153">
        <f>IF(F153="",E152,IF(F153&gt;0,E152+F153,E152))</f>
        <v/>
      </c>
      <c r="F153">
        <f>IFERROR(VLOOKUP($A153,Results_30d_Deltas!$A$2:$H$5000,8,FALSE)-E152,"")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8" t="n"/>
      <c r="BP153" s="8" t="n"/>
      <c r="BQ153" s="8" t="n"/>
      <c r="BR153" s="8" t="n"/>
      <c r="BS153" s="8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8" t="n"/>
      <c r="CY153" s="8" t="n"/>
      <c r="CZ153" s="8" t="n"/>
      <c r="DA153" s="8" t="n"/>
      <c r="DB153" s="8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8" t="n"/>
      <c r="FS153" s="8" t="n"/>
      <c r="FT153" s="8" t="n"/>
      <c r="FU153" s="8" t="n"/>
      <c r="FV153" s="8" t="n"/>
      <c r="FW153" s="8" t="n"/>
      <c r="FX153" s="8" t="n"/>
      <c r="FY153" s="8" t="n"/>
      <c r="FZ153" s="8" t="n"/>
      <c r="GA153" s="8" t="n"/>
      <c r="GB153" s="8" t="n"/>
      <c r="GC153" s="8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ez_manage.py:5122 top()</t>
        </is>
      </c>
      <c r="IK153" s="9" t="inlineStr">
        <is>
          <t>v12_quick_engine.py:2513 x2</t>
        </is>
      </c>
    </row>
    <row r="154" ht="11" customHeight="1">
      <c r="A154" s="10" t="inlineStr">
        <is>
          <t>OBLIGATORY_REENTRY_SMA_TF</t>
        </is>
      </c>
      <c r="B154" s="11" t="inlineStr">
        <is>
          <t>4h</t>
        </is>
      </c>
      <c r="E154">
        <f>IF(F154="",E153,IF(F154&gt;0,E153+F154,E153))</f>
        <v/>
      </c>
      <c r="F154">
        <f>IFERROR(VLOOKUP($A154,Results_30d_Deltas!$A$2:$H$5000,8,FALSE)-E153,"")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8" t="n"/>
      <c r="BP154" s="8" t="n"/>
      <c r="BQ154" s="8" t="n"/>
      <c r="BR154" s="8" t="n"/>
      <c r="BS154" s="8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8" t="n"/>
      <c r="CY154" s="8" t="n"/>
      <c r="CZ154" s="8" t="n"/>
      <c r="DA154" s="8" t="n"/>
      <c r="DB154" s="8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8" t="n"/>
      <c r="FS154" s="8" t="n"/>
      <c r="FT154" s="8" t="n"/>
      <c r="FU154" s="8" t="n"/>
      <c r="FV154" s="8" t="n"/>
      <c r="FW154" s="8" t="n"/>
      <c r="FX154" s="8" t="n"/>
      <c r="FY154" s="8" t="n"/>
      <c r="FZ154" s="8" t="n"/>
      <c r="GA154" s="8" t="n"/>
      <c r="GB154" s="8" t="n"/>
      <c r="GC154" s="8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ez_manage.py:5122 top()</t>
        </is>
      </c>
      <c r="IK154" s="9" t="inlineStr">
        <is>
          <t>v12_quick_engine.py:2513 x2</t>
        </is>
      </c>
    </row>
    <row r="155" ht="11" customHeight="1">
      <c r="A155" s="10" t="inlineStr">
        <is>
          <t>OBLIGATORY_REENTRY_SMA_TF</t>
        </is>
      </c>
      <c r="B155" s="11" t="inlineStr">
        <is>
          <t>1h</t>
        </is>
      </c>
      <c r="E155">
        <f>IF(F155="",E154,IF(F155&gt;0,E154+F155,E154))</f>
        <v/>
      </c>
      <c r="F155">
        <f>IFERROR(VLOOKUP($A155,Results_30d_Deltas!$A$2:$H$5000,8,FALSE)-E154,"")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8" t="n"/>
      <c r="BP155" s="8" t="n"/>
      <c r="BQ155" s="8" t="n"/>
      <c r="BR155" s="8" t="n"/>
      <c r="BS155" s="8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8" t="n"/>
      <c r="CY155" s="8" t="n"/>
      <c r="CZ155" s="8" t="n"/>
      <c r="DA155" s="8" t="n"/>
      <c r="DB155" s="8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8" t="n"/>
      <c r="FS155" s="8" t="n"/>
      <c r="FT155" s="8" t="n"/>
      <c r="FU155" s="8" t="n"/>
      <c r="FV155" s="8" t="n"/>
      <c r="FW155" s="8" t="n"/>
      <c r="FX155" s="8" t="n"/>
      <c r="FY155" s="8" t="n"/>
      <c r="FZ155" s="8" t="n"/>
      <c r="GA155" s="8" t="n"/>
      <c r="GB155" s="8" t="n"/>
      <c r="GC155" s="8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ez_manage.py:5122 top()</t>
        </is>
      </c>
      <c r="IK155" s="9" t="inlineStr">
        <is>
          <t>v12_quick_engine.py:2513 x2</t>
        </is>
      </c>
    </row>
    <row r="156" ht="11" customHeight="1">
      <c r="A156" s="6" t="inlineStr">
        <is>
          <t>OBLIGATORY_REENTRY_SMA_TF</t>
        </is>
      </c>
      <c r="B156" s="7" t="inlineStr">
        <is>
          <t>15m</t>
        </is>
      </c>
      <c r="E156">
        <f>IF(F156="",E155,IF(F156&gt;0,E155+F156,E155))</f>
        <v/>
      </c>
      <c r="F156">
        <f>IFERROR(VLOOKUP($A156,Results_30d_Deltas!$A$2:$H$5000,8,FALSE)-E155,"")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8" t="n"/>
      <c r="BP156" s="8" t="n"/>
      <c r="BQ156" s="8" t="n"/>
      <c r="BR156" s="8" t="n"/>
      <c r="BS156" s="8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8" t="n"/>
      <c r="CY156" s="8" t="n"/>
      <c r="CZ156" s="8" t="n"/>
      <c r="DA156" s="8" t="n"/>
      <c r="DB156" s="8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8" t="n"/>
      <c r="FS156" s="8" t="n"/>
      <c r="FT156" s="8" t="n"/>
      <c r="FU156" s="8" t="n"/>
      <c r="FV156" s="8" t="n"/>
      <c r="FW156" s="8" t="n"/>
      <c r="FX156" s="8" t="n"/>
      <c r="FY156" s="8" t="n"/>
      <c r="FZ156" s="8" t="n"/>
      <c r="GA156" s="8" t="n"/>
      <c r="GB156" s="8" t="n"/>
      <c r="GC156" s="8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ez_manage.py:5122 top()</t>
        </is>
      </c>
      <c r="IK156" s="9" t="inlineStr">
        <is>
          <t>v12_quick_engine.py:2513 x2</t>
        </is>
      </c>
    </row>
    <row r="157" ht="11" customHeight="1">
      <c r="A157" s="10" t="inlineStr">
        <is>
          <t>OBLIGATORY_REENTRY_TIER1_HTF_REQUIRED</t>
        </is>
      </c>
      <c r="B157" s="11" t="inlineStr">
        <is>
          <t>0</t>
        </is>
      </c>
      <c r="E157">
        <f>IF(F157="",E156,IF(F157&gt;0,E156+F157,E156))</f>
        <v/>
      </c>
      <c r="F157">
        <f>IFERROR(VLOOKUP($A157,Results_30d_Deltas!$A$2:$H$5000,8,FALSE)-E156,"")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8" t="n"/>
      <c r="BP157" s="8" t="n"/>
      <c r="BQ157" s="8" t="n"/>
      <c r="BR157" s="8" t="n"/>
      <c r="BS157" s="8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8" t="n"/>
      <c r="CY157" s="8" t="n"/>
      <c r="CZ157" s="8" t="n"/>
      <c r="DA157" s="8" t="n"/>
      <c r="DB157" s="8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8" t="n"/>
      <c r="EM157" s="8" t="n"/>
      <c r="EN157" s="8" t="n"/>
      <c r="EO157" s="8" t="n"/>
      <c r="EP157" s="8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8" t="n"/>
      <c r="FS157" s="8" t="n"/>
      <c r="FT157" s="8" t="n"/>
      <c r="FU157" s="8" t="n"/>
      <c r="FV157" s="8" t="n"/>
      <c r="FW157" s="8" t="n"/>
      <c r="FX157" s="8" t="n"/>
      <c r="FY157" s="8" t="n"/>
      <c r="FZ157" s="8" t="n"/>
      <c r="GA157" s="8" t="n"/>
      <c r="GB157" s="8" t="n"/>
      <c r="GC157" s="8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ez_manage.py:5123 top()</t>
        </is>
      </c>
      <c r="IK157" s="9" t="inlineStr">
        <is>
          <t>v12_quick_engine.py:2514 x4</t>
        </is>
      </c>
    </row>
    <row r="158" ht="11" customHeight="1">
      <c r="A158" s="10" t="inlineStr">
        <is>
          <t>OBLIGATORY_REENTRY_TIER1_HTF_REQUIRED</t>
        </is>
      </c>
      <c r="B158" s="11" t="inlineStr">
        <is>
          <t>0.5</t>
        </is>
      </c>
      <c r="E158">
        <f>IF(F158="",E157,IF(F158&gt;0,E157+F158,E157))</f>
        <v/>
      </c>
      <c r="F158">
        <f>IFERROR(VLOOKUP($A158,Results_30d_Deltas!$A$2:$H$5000,8,FALSE)-E157,"")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8" t="n"/>
      <c r="CT158" s="8" t="n"/>
      <c r="CU158" s="8" t="n"/>
      <c r="CV158" s="8" t="n"/>
      <c r="CW158" s="8" t="n"/>
      <c r="CX158" s="8" t="n"/>
      <c r="CY158" s="8" t="n"/>
      <c r="CZ158" s="8" t="n"/>
      <c r="DA158" s="8" t="n"/>
      <c r="DB158" s="8" t="n"/>
      <c r="DC158" s="8" t="n"/>
      <c r="DD158" s="8" t="n"/>
      <c r="DE158" s="8" t="n"/>
      <c r="DF158" s="8" t="n"/>
      <c r="DG158" s="8" t="n"/>
      <c r="DH158" s="8" t="n"/>
      <c r="DI158" s="8" t="n"/>
      <c r="DJ158" s="8" t="n"/>
      <c r="DK158" s="8" t="n"/>
      <c r="DL158" s="8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8" t="n"/>
      <c r="EM158" s="8" t="n"/>
      <c r="EN158" s="8" t="n"/>
      <c r="EO158" s="8" t="n"/>
      <c r="EP158" s="8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8" t="n"/>
      <c r="FS158" s="8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ez_manage.py:5123 top()</t>
        </is>
      </c>
      <c r="IK158" s="9" t="inlineStr">
        <is>
          <t>v12_quick_engine.py:2514 x4</t>
        </is>
      </c>
    </row>
    <row r="159" ht="11" customHeight="1">
      <c r="A159" s="10" t="inlineStr">
        <is>
          <t>OBLIGATORY_REENTRY_TIER1_HTF_REQUIRED</t>
        </is>
      </c>
      <c r="B159" s="11" t="inlineStr">
        <is>
          <t>1.0</t>
        </is>
      </c>
      <c r="E159">
        <f>IF(F159="",E158,IF(F159&gt;0,E158+F159,E158))</f>
        <v/>
      </c>
      <c r="F159">
        <f>IFERROR(VLOOKUP($A159,Results_30d_Deltas!$A$2:$H$5000,8,FALSE)-E158,"")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8" t="n"/>
      <c r="CT159" s="8" t="n"/>
      <c r="CU159" s="8" t="n"/>
      <c r="CV159" s="8" t="n"/>
      <c r="CW159" s="8" t="n"/>
      <c r="CX159" s="8" t="n"/>
      <c r="CY159" s="8" t="n"/>
      <c r="CZ159" s="8" t="n"/>
      <c r="DA159" s="8" t="n"/>
      <c r="DB159" s="8" t="n"/>
      <c r="DC159" s="8" t="n"/>
      <c r="DD159" s="8" t="n"/>
      <c r="DE159" s="8" t="n"/>
      <c r="DF159" s="8" t="n"/>
      <c r="DG159" s="8" t="n"/>
      <c r="DH159" s="8" t="n"/>
      <c r="DI159" s="8" t="n"/>
      <c r="DJ159" s="8" t="n"/>
      <c r="DK159" s="8" t="n"/>
      <c r="DL159" s="8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8" t="n"/>
      <c r="EM159" s="8" t="n"/>
      <c r="EN159" s="8" t="n"/>
      <c r="EO159" s="8" t="n"/>
      <c r="EP159" s="8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8" t="n"/>
      <c r="FS159" s="8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ez_manage.py:5123 top()</t>
        </is>
      </c>
      <c r="IK159" s="9" t="inlineStr">
        <is>
          <t>v12_quick_engine.py:2514 x4</t>
        </is>
      </c>
    </row>
    <row r="160" ht="11" customHeight="1">
      <c r="A160" s="10" t="inlineStr">
        <is>
          <t>OBLIGATORY_REENTRY_TIER1_HTF_REQUIRED</t>
        </is>
      </c>
      <c r="B160" s="11" t="inlineStr">
        <is>
          <t>2.0</t>
        </is>
      </c>
      <c r="E160">
        <f>IF(F160="",E159,IF(F160&gt;0,E159+F160,E159))</f>
        <v/>
      </c>
      <c r="F160">
        <f>IFERROR(VLOOKUP($A160,Results_30d_Deltas!$A$2:$H$5000,8,FALSE)-E159,"")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8" t="n"/>
      <c r="CT160" s="8" t="n"/>
      <c r="CU160" s="8" t="n"/>
      <c r="CV160" s="8" t="n"/>
      <c r="CW160" s="8" t="n"/>
      <c r="CX160" s="8" t="n"/>
      <c r="CY160" s="8" t="n"/>
      <c r="CZ160" s="8" t="n"/>
      <c r="DA160" s="8" t="n"/>
      <c r="DB160" s="8" t="n"/>
      <c r="DC160" s="8" t="n"/>
      <c r="DD160" s="8" t="n"/>
      <c r="DE160" s="8" t="n"/>
      <c r="DF160" s="8" t="n"/>
      <c r="DG160" s="8" t="n"/>
      <c r="DH160" s="8" t="n"/>
      <c r="DI160" s="8" t="n"/>
      <c r="DJ160" s="8" t="n"/>
      <c r="DK160" s="8" t="n"/>
      <c r="DL160" s="8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8" t="n"/>
      <c r="EM160" s="8" t="n"/>
      <c r="EN160" s="8" t="n"/>
      <c r="EO160" s="8" t="n"/>
      <c r="EP160" s="8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8" t="n"/>
      <c r="FS160" s="8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ez_manage.py:5123 top()</t>
        </is>
      </c>
      <c r="IK160" s="9" t="inlineStr">
        <is>
          <t>v12_quick_engine.py:2514 x4</t>
        </is>
      </c>
    </row>
    <row r="161" ht="11" customHeight="1">
      <c r="A161" s="10" t="inlineStr">
        <is>
          <t>OBLIGATORY_REENTRY_TIER2_HTF_REQUIRED</t>
        </is>
      </c>
      <c r="B161" s="11" t="inlineStr">
        <is>
          <t>0</t>
        </is>
      </c>
      <c r="E161">
        <f>IF(F161="",E160,IF(F161&gt;0,E160+F161,E160))</f>
        <v/>
      </c>
      <c r="F161">
        <f>IFERROR(VLOOKUP($A161,Results_30d_Deltas!$A$2:$H$5000,8,FALSE)-E160,"")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8" t="n"/>
      <c r="CT161" s="8" t="n"/>
      <c r="CU161" s="8" t="n"/>
      <c r="CV161" s="8" t="n"/>
      <c r="CW161" s="8" t="n"/>
      <c r="CX161" s="8" t="n"/>
      <c r="CY161" s="8" t="n"/>
      <c r="CZ161" s="8" t="n"/>
      <c r="DA161" s="8" t="n"/>
      <c r="DB161" s="8" t="n"/>
      <c r="DC161" s="8" t="n"/>
      <c r="DD161" s="8" t="n"/>
      <c r="DE161" s="8" t="n"/>
      <c r="DF161" s="8" t="n"/>
      <c r="DG161" s="8" t="n"/>
      <c r="DH161" s="8" t="n"/>
      <c r="DI161" s="8" t="n"/>
      <c r="DJ161" s="8" t="n"/>
      <c r="DK161" s="8" t="n"/>
      <c r="DL161" s="8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8" t="n"/>
      <c r="EM161" s="8" t="n"/>
      <c r="EN161" s="8" t="n"/>
      <c r="EO161" s="8" t="n"/>
      <c r="EP161" s="8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8" t="n"/>
      <c r="FS161" s="8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ez_manage.py:5124 top()</t>
        </is>
      </c>
      <c r="IK161" s="9" t="inlineStr">
        <is>
          <t>v12_quick_engine.py:2515 x4</t>
        </is>
      </c>
    </row>
    <row r="162" ht="11" customHeight="1">
      <c r="A162" s="10" t="inlineStr">
        <is>
          <t>OBLIGATORY_REENTRY_TIER2_HTF_REQUIRED</t>
        </is>
      </c>
      <c r="B162" s="11" t="inlineStr">
        <is>
          <t>0.5</t>
        </is>
      </c>
      <c r="E162">
        <f>IF(F162="",E161,IF(F162&gt;0,E161+F162,E161))</f>
        <v/>
      </c>
      <c r="F162">
        <f>IFERROR(VLOOKUP($A162,Results_30d_Deltas!$A$2:$H$5000,8,FALSE)-E161,"")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8" t="n"/>
      <c r="EM162" s="8" t="n"/>
      <c r="EN162" s="8" t="n"/>
      <c r="EO162" s="8" t="n"/>
      <c r="EP162" s="8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8" t="n"/>
      <c r="FI162" s="8" t="n"/>
      <c r="FJ162" s="8" t="n"/>
      <c r="FK162" s="8" t="n"/>
      <c r="FL162" s="8" t="n"/>
      <c r="FM162" s="8" t="n"/>
      <c r="FN162" s="8" t="n"/>
      <c r="FO162" s="8" t="n"/>
      <c r="FP162" s="8" t="n"/>
      <c r="FQ162" s="8" t="n"/>
      <c r="FR162" s="8" t="n"/>
      <c r="FS162" s="8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ez_manage.py:5124 top()</t>
        </is>
      </c>
      <c r="IK162" s="9" t="inlineStr">
        <is>
          <t>v12_quick_engine.py:2515 x4</t>
        </is>
      </c>
    </row>
    <row r="163" ht="11" customHeight="1">
      <c r="A163" s="10" t="inlineStr">
        <is>
          <t>OBLIGATORY_REENTRY_TIER2_HTF_REQUIRED</t>
        </is>
      </c>
      <c r="B163" s="11" t="inlineStr">
        <is>
          <t>1.0</t>
        </is>
      </c>
      <c r="E163">
        <f>IF(F163="",E162,IF(F163&gt;0,E162+F163,E162))</f>
        <v/>
      </c>
      <c r="F163">
        <f>IFERROR(VLOOKUP($A163,Results_30d_Deltas!$A$2:$H$5000,8,FALSE)-E162,"")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8" t="n"/>
      <c r="EM163" s="8" t="n"/>
      <c r="EN163" s="8" t="n"/>
      <c r="EO163" s="8" t="n"/>
      <c r="EP163" s="8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8" t="n"/>
      <c r="FI163" s="8" t="n"/>
      <c r="FJ163" s="8" t="n"/>
      <c r="FK163" s="8" t="n"/>
      <c r="FL163" s="8" t="n"/>
      <c r="FM163" s="8" t="n"/>
      <c r="FN163" s="8" t="n"/>
      <c r="FO163" s="8" t="n"/>
      <c r="FP163" s="8" t="n"/>
      <c r="FQ163" s="8" t="n"/>
      <c r="FR163" s="8" t="n"/>
      <c r="FS163" s="8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ez_manage.py:5124 top()</t>
        </is>
      </c>
      <c r="IK163" s="9" t="inlineStr">
        <is>
          <t>v12_quick_engine.py:2515 x4</t>
        </is>
      </c>
    </row>
    <row r="164" ht="11" customHeight="1">
      <c r="A164" s="10" t="inlineStr">
        <is>
          <t>OBLIGATORY_REENTRY_TIER2_HTF_REQUIRED</t>
        </is>
      </c>
      <c r="B164" s="11" t="inlineStr">
        <is>
          <t>2.0</t>
        </is>
      </c>
      <c r="E164">
        <f>IF(F164="",E163,IF(F164&gt;0,E163+F164,E163))</f>
        <v/>
      </c>
      <c r="F164">
        <f>IFERROR(VLOOKUP($A164,Results_30d_Deltas!$A$2:$H$5000,8,FALSE)-E163,"")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8" t="n"/>
      <c r="EM164" s="8" t="n"/>
      <c r="EN164" s="8" t="n"/>
      <c r="EO164" s="8" t="n"/>
      <c r="EP164" s="8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8" t="n"/>
      <c r="FI164" s="8" t="n"/>
      <c r="FJ164" s="8" t="n"/>
      <c r="FK164" s="8" t="n"/>
      <c r="FL164" s="8" t="n"/>
      <c r="FM164" s="8" t="n"/>
      <c r="FN164" s="8" t="n"/>
      <c r="FO164" s="8" t="n"/>
      <c r="FP164" s="8" t="n"/>
      <c r="FQ164" s="8" t="n"/>
      <c r="FR164" s="8" t="n"/>
      <c r="FS164" s="8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8" t="n"/>
      <c r="HX164" s="8" t="n"/>
      <c r="HY164" s="8" t="n"/>
      <c r="HZ164" s="8" t="n"/>
      <c r="IA164" s="8" t="n"/>
      <c r="IB164" s="8" t="n"/>
      <c r="IC164" s="8" t="n"/>
      <c r="ID164" s="8" t="n"/>
      <c r="IE164" s="8" t="n"/>
      <c r="IF164" s="8" t="n"/>
      <c r="IG164" s="8" t="n"/>
      <c r="IH164" s="8" t="n"/>
      <c r="IJ164" s="9" t="inlineStr">
        <is>
          <t>ez_manage.py:5124 top()</t>
        </is>
      </c>
      <c r="IK164" s="9" t="inlineStr">
        <is>
          <t>v12_quick_engine.py:2515 x4</t>
        </is>
      </c>
    </row>
    <row r="165" ht="11" customHeight="1">
      <c r="A165" s="10" t="inlineStr">
        <is>
          <t>REENTRY2_DC_BREAK_ALLOW_15M</t>
        </is>
      </c>
      <c r="B165" s="11" t="inlineStr">
        <is>
          <t>0</t>
        </is>
      </c>
      <c r="E165">
        <f>IF(F165="",E164,IF(F165&gt;0,E164+F165,E164))</f>
        <v/>
      </c>
      <c r="F165">
        <f>IFERROR(VLOOKUP($A165,Results_30d_Deltas!$A$2:$H$5000,8,FALSE)-E164,"")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8" t="n"/>
      <c r="FI165" s="8" t="n"/>
      <c r="FJ165" s="8" t="n"/>
      <c r="FK165" s="8" t="n"/>
      <c r="FL165" s="8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8" t="n"/>
      <c r="HX165" s="8" t="n"/>
      <c r="HY165" s="8" t="n"/>
      <c r="HZ165" s="8" t="n"/>
      <c r="IA165" s="8" t="n"/>
      <c r="IB165" s="8" t="n"/>
      <c r="IC165" s="8" t="n"/>
      <c r="ID165" s="8" t="n"/>
      <c r="IE165" s="8" t="n"/>
      <c r="IF165" s="8" t="n"/>
      <c r="IG165" s="8" t="n"/>
      <c r="IH165" s="8" t="n"/>
      <c r="IJ165" s="9" t="inlineStr">
        <is>
          <t>ez_manage.py:5278 top()</t>
        </is>
      </c>
      <c r="IK165" s="9" t="inlineStr">
        <is>
          <t>v12_quick_engine.py:2835 x5</t>
        </is>
      </c>
    </row>
    <row r="166" ht="11" customHeight="1">
      <c r="A166" s="10" t="inlineStr">
        <is>
          <t>REENTRY2_DC_BREAK_ALLOW_15M</t>
        </is>
      </c>
      <c r="B166" s="11" t="inlineStr">
        <is>
          <t>0.5</t>
        </is>
      </c>
      <c r="E166">
        <f>IF(F166="",E165,IF(F166&gt;0,E165+F166,E165))</f>
        <v/>
      </c>
      <c r="F166">
        <f>IFERROR(VLOOKUP($A166,Results_30d_Deltas!$A$2:$H$5000,8,FALSE)-E165,"")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8" t="n"/>
      <c r="CT166" s="8" t="n"/>
      <c r="CU166" s="8" t="n"/>
      <c r="CV166" s="8" t="n"/>
      <c r="CW166" s="8" t="n"/>
      <c r="CX166" s="8" t="n"/>
      <c r="CY166" s="8" t="n"/>
      <c r="CZ166" s="8" t="n"/>
      <c r="DA166" s="8" t="n"/>
      <c r="DB166" s="8" t="n"/>
      <c r="DC166" s="8" t="n"/>
      <c r="DD166" s="8" t="n"/>
      <c r="DE166" s="8" t="n"/>
      <c r="DF166" s="8" t="n"/>
      <c r="DG166" s="8" t="n"/>
      <c r="DH166" s="8" t="n"/>
      <c r="DI166" s="8" t="n"/>
      <c r="DJ166" s="8" t="n"/>
      <c r="DK166" s="8" t="n"/>
      <c r="DL166" s="8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ez_manage.py:5278 top()</t>
        </is>
      </c>
      <c r="IK166" s="9" t="inlineStr">
        <is>
          <t>v12_quick_engine.py:2835 x5</t>
        </is>
      </c>
    </row>
    <row r="167" ht="11" customHeight="1">
      <c r="A167" s="10" t="inlineStr">
        <is>
          <t>REENTRY2_DC_BREAK_ALLOW_15M</t>
        </is>
      </c>
      <c r="B167" s="11" t="inlineStr">
        <is>
          <t>1.0</t>
        </is>
      </c>
      <c r="E167">
        <f>IF(F167="",E166,IF(F167&gt;0,E166+F167,E166))</f>
        <v/>
      </c>
      <c r="F167">
        <f>IFERROR(VLOOKUP($A167,Results_30d_Deltas!$A$2:$H$5000,8,FALSE)-E166,"")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8" t="n"/>
      <c r="CT167" s="8" t="n"/>
      <c r="CU167" s="8" t="n"/>
      <c r="CV167" s="8" t="n"/>
      <c r="CW167" s="8" t="n"/>
      <c r="CX167" s="8" t="n"/>
      <c r="CY167" s="8" t="n"/>
      <c r="CZ167" s="8" t="n"/>
      <c r="DA167" s="8" t="n"/>
      <c r="DB167" s="8" t="n"/>
      <c r="DC167" s="8" t="n"/>
      <c r="DD167" s="8" t="n"/>
      <c r="DE167" s="8" t="n"/>
      <c r="DF167" s="8" t="n"/>
      <c r="DG167" s="8" t="n"/>
      <c r="DH167" s="8" t="n"/>
      <c r="DI167" s="8" t="n"/>
      <c r="DJ167" s="8" t="n"/>
      <c r="DK167" s="8" t="n"/>
      <c r="DL167" s="8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ez_manage.py:5278 top()</t>
        </is>
      </c>
      <c r="IK167" s="9" t="inlineStr">
        <is>
          <t>v12_quick_engine.py:2835 x5</t>
        </is>
      </c>
    </row>
    <row r="168" ht="11" customHeight="1">
      <c r="A168" s="10" t="inlineStr">
        <is>
          <t>REENTRY2_DC_BREAK_ALLOW_15M</t>
        </is>
      </c>
      <c r="B168" s="11" t="inlineStr">
        <is>
          <t>2.0</t>
        </is>
      </c>
      <c r="E168">
        <f>IF(F168="",E167,IF(F168&gt;0,E167+F168,E167))</f>
        <v/>
      </c>
      <c r="F168">
        <f>IFERROR(VLOOKUP($A168,Results_30d_Deltas!$A$2:$H$5000,8,FALSE)-E167,"")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8" t="n"/>
      <c r="CT168" s="8" t="n"/>
      <c r="CU168" s="8" t="n"/>
      <c r="CV168" s="8" t="n"/>
      <c r="CW168" s="8" t="n"/>
      <c r="CX168" s="8" t="n"/>
      <c r="CY168" s="8" t="n"/>
      <c r="CZ168" s="8" t="n"/>
      <c r="DA168" s="8" t="n"/>
      <c r="DB168" s="8" t="n"/>
      <c r="DC168" s="8" t="n"/>
      <c r="DD168" s="8" t="n"/>
      <c r="DE168" s="8" t="n"/>
      <c r="DF168" s="8" t="n"/>
      <c r="DG168" s="8" t="n"/>
      <c r="DH168" s="8" t="n"/>
      <c r="DI168" s="8" t="n"/>
      <c r="DJ168" s="8" t="n"/>
      <c r="DK168" s="8" t="n"/>
      <c r="DL168" s="8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ez_manage.py:5278 top()</t>
        </is>
      </c>
      <c r="IK168" s="9" t="inlineStr">
        <is>
          <t>v12_quick_engine.py:2835 x5</t>
        </is>
      </c>
    </row>
    <row r="169" ht="11" customHeight="1">
      <c r="A169" s="10" t="inlineStr">
        <is>
          <t>REENTRY2_DC_BREAK_FILTER_TF</t>
        </is>
      </c>
      <c r="B169" s="11" t="inlineStr">
        <is>
          <t>OFF</t>
        </is>
      </c>
      <c r="E169">
        <f>IF(F169="",E168,IF(F169&gt;0,E168+F169,E168))</f>
        <v/>
      </c>
      <c r="F169">
        <f>IFERROR(VLOOKUP($A169,Results_30d_Deltas!$A$2:$H$5000,8,FALSE)-E168,"")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8" t="n"/>
      <c r="CE169" s="8" t="n"/>
      <c r="CF169" s="8" t="n"/>
      <c r="CG169" s="8" t="n"/>
      <c r="CH169" s="8" t="n"/>
      <c r="CI169" s="8" t="n"/>
      <c r="CJ169" s="8" t="n"/>
      <c r="CK169" s="8" t="n"/>
      <c r="CL169" s="8" t="n"/>
      <c r="CM169" s="8" t="n"/>
      <c r="CN169" s="8" t="n"/>
      <c r="CO169" s="8" t="n"/>
      <c r="CP169" s="8" t="n"/>
      <c r="CQ169" s="8" t="n"/>
      <c r="CR169" s="8" t="n"/>
      <c r="CS169" s="8" t="n"/>
      <c r="CT169" s="8" t="n"/>
      <c r="CU169" s="8" t="n"/>
      <c r="CV169" s="8" t="n"/>
      <c r="CW169" s="8" t="n"/>
      <c r="CX169" s="8" t="n"/>
      <c r="CY169" s="8" t="n"/>
      <c r="CZ169" s="8" t="n"/>
      <c r="DA169" s="8" t="n"/>
      <c r="DB169" s="8" t="n"/>
      <c r="DC169" s="8" t="n"/>
      <c r="DD169" s="8" t="n"/>
      <c r="DE169" s="8" t="n"/>
      <c r="DF169" s="8" t="n"/>
      <c r="DG169" s="8" t="n"/>
      <c r="DH169" s="8" t="n"/>
      <c r="DI169" s="8" t="n"/>
      <c r="DJ169" s="8" t="n"/>
      <c r="DK169" s="8" t="n"/>
      <c r="DL169" s="8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8" t="n"/>
      <c r="ER169" s="8" t="n"/>
      <c r="ES169" s="8" t="n"/>
      <c r="ET169" s="8" t="n"/>
      <c r="EU169" s="8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8" t="n"/>
      <c r="FG169" s="8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ez_manage.py:5280 top()</t>
        </is>
      </c>
      <c r="IK169" s="9" t="inlineStr">
        <is>
          <t>v12_quick_engine.py:2837 x5</t>
        </is>
      </c>
    </row>
    <row r="170" ht="11" customHeight="1">
      <c r="A170" s="10" t="inlineStr">
        <is>
          <t>REENTRY2_DC_BREAK_FILTER_TF</t>
        </is>
      </c>
      <c r="B170" s="11" t="inlineStr">
        <is>
          <t>D</t>
        </is>
      </c>
      <c r="E170">
        <f>IF(F170="",E169,IF(F170&gt;0,E169+F170,E169))</f>
        <v/>
      </c>
      <c r="F170">
        <f>IFERROR(VLOOKUP($A170,Results_30d_Deltas!$A$2:$H$5000,8,FALSE)-E169,"")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8" t="n"/>
      <c r="CE170" s="8" t="n"/>
      <c r="CF170" s="8" t="n"/>
      <c r="CG170" s="8" t="n"/>
      <c r="CH170" s="8" t="n"/>
      <c r="CI170" s="8" t="n"/>
      <c r="CJ170" s="8" t="n"/>
      <c r="CK170" s="8" t="n"/>
      <c r="CL170" s="8" t="n"/>
      <c r="CM170" s="8" t="n"/>
      <c r="CN170" s="8" t="n"/>
      <c r="CO170" s="8" t="n"/>
      <c r="CP170" s="8" t="n"/>
      <c r="CQ170" s="8" t="n"/>
      <c r="CR170" s="8" t="n"/>
      <c r="CS170" s="8" t="n"/>
      <c r="CT170" s="8" t="n"/>
      <c r="CU170" s="8" t="n"/>
      <c r="CV170" s="8" t="n"/>
      <c r="CW170" s="8" t="n"/>
      <c r="CX170" s="8" t="n"/>
      <c r="CY170" s="8" t="n"/>
      <c r="CZ170" s="8" t="n"/>
      <c r="DA170" s="8" t="n"/>
      <c r="DB170" s="8" t="n"/>
      <c r="DC170" s="8" t="n"/>
      <c r="DD170" s="8" t="n"/>
      <c r="DE170" s="8" t="n"/>
      <c r="DF170" s="8" t="n"/>
      <c r="DG170" s="8" t="n"/>
      <c r="DH170" s="8" t="n"/>
      <c r="DI170" s="8" t="n"/>
      <c r="DJ170" s="8" t="n"/>
      <c r="DK170" s="8" t="n"/>
      <c r="DL170" s="8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8" t="n"/>
      <c r="ER170" s="8" t="n"/>
      <c r="ES170" s="8" t="n"/>
      <c r="ET170" s="8" t="n"/>
      <c r="EU170" s="8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8" t="n"/>
      <c r="FG170" s="8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ez_manage.py:5280 top()</t>
        </is>
      </c>
      <c r="IK170" s="9" t="inlineStr">
        <is>
          <t>v12_quick_engine.py:2837 x5</t>
        </is>
      </c>
    </row>
    <row r="171" ht="11" customHeight="1">
      <c r="A171" s="10" t="inlineStr">
        <is>
          <t>REENTRY2_DC_BREAK_FILTER_TF</t>
        </is>
      </c>
      <c r="B171" s="11" t="inlineStr">
        <is>
          <t>4h</t>
        </is>
      </c>
      <c r="E171">
        <f>IF(F171="",E170,IF(F171&gt;0,E170+F171,E170))</f>
        <v/>
      </c>
      <c r="F171">
        <f>IFERROR(VLOOKUP($A171,Results_30d_Deltas!$A$2:$H$5000,8,FALSE)-E170,"")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8" t="n"/>
      <c r="CE171" s="8" t="n"/>
      <c r="CF171" s="8" t="n"/>
      <c r="CG171" s="8" t="n"/>
      <c r="CH171" s="8" t="n"/>
      <c r="CI171" s="8" t="n"/>
      <c r="CJ171" s="8" t="n"/>
      <c r="CK171" s="8" t="n"/>
      <c r="CL171" s="8" t="n"/>
      <c r="CM171" s="8" t="n"/>
      <c r="CN171" s="8" t="n"/>
      <c r="CO171" s="8" t="n"/>
      <c r="CP171" s="8" t="n"/>
      <c r="CQ171" s="8" t="n"/>
      <c r="CR171" s="8" t="n"/>
      <c r="CS171" s="8" t="n"/>
      <c r="CT171" s="8" t="n"/>
      <c r="CU171" s="8" t="n"/>
      <c r="CV171" s="8" t="n"/>
      <c r="CW171" s="8" t="n"/>
      <c r="CX171" s="8" t="n"/>
      <c r="CY171" s="8" t="n"/>
      <c r="CZ171" s="8" t="n"/>
      <c r="DA171" s="8" t="n"/>
      <c r="DB171" s="8" t="n"/>
      <c r="DC171" s="8" t="n"/>
      <c r="DD171" s="8" t="n"/>
      <c r="DE171" s="8" t="n"/>
      <c r="DF171" s="8" t="n"/>
      <c r="DG171" s="8" t="n"/>
      <c r="DH171" s="8" t="n"/>
      <c r="DI171" s="8" t="n"/>
      <c r="DJ171" s="8" t="n"/>
      <c r="DK171" s="8" t="n"/>
      <c r="DL171" s="8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8" t="n"/>
      <c r="ER171" s="8" t="n"/>
      <c r="ES171" s="8" t="n"/>
      <c r="ET171" s="8" t="n"/>
      <c r="EU171" s="8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8" t="n"/>
      <c r="FG171" s="8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ez_manage.py:5280 top()</t>
        </is>
      </c>
      <c r="IK171" s="9" t="inlineStr">
        <is>
          <t>v12_quick_engine.py:2837 x5</t>
        </is>
      </c>
    </row>
    <row r="172" ht="11" customHeight="1">
      <c r="A172" s="10" t="inlineStr">
        <is>
          <t>REENTRY2_DC_BREAK_FILTER_TF</t>
        </is>
      </c>
      <c r="B172" s="11" t="inlineStr">
        <is>
          <t>1h</t>
        </is>
      </c>
      <c r="E172">
        <f>IF(F172="",E171,IF(F172&gt;0,E171+F172,E171))</f>
        <v/>
      </c>
      <c r="F172">
        <f>IFERROR(VLOOKUP($A172,Results_30d_Deltas!$A$2:$H$5000,8,FALSE)-E171,"")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8" t="n"/>
      <c r="CE172" s="8" t="n"/>
      <c r="CF172" s="8" t="n"/>
      <c r="CG172" s="8" t="n"/>
      <c r="CH172" s="8" t="n"/>
      <c r="CI172" s="8" t="n"/>
      <c r="CJ172" s="8" t="n"/>
      <c r="CK172" s="8" t="n"/>
      <c r="CL172" s="8" t="n"/>
      <c r="CM172" s="8" t="n"/>
      <c r="CN172" s="8" t="n"/>
      <c r="CO172" s="8" t="n"/>
      <c r="CP172" s="8" t="n"/>
      <c r="CQ172" s="8" t="n"/>
      <c r="CR172" s="8" t="n"/>
      <c r="CS172" s="8" t="n"/>
      <c r="CT172" s="8" t="n"/>
      <c r="CU172" s="8" t="n"/>
      <c r="CV172" s="8" t="n"/>
      <c r="CW172" s="8" t="n"/>
      <c r="CX172" s="8" t="n"/>
      <c r="CY172" s="8" t="n"/>
      <c r="CZ172" s="8" t="n"/>
      <c r="DA172" s="8" t="n"/>
      <c r="DB172" s="8" t="n"/>
      <c r="DC172" s="8" t="n"/>
      <c r="DD172" s="8" t="n"/>
      <c r="DE172" s="8" t="n"/>
      <c r="DF172" s="8" t="n"/>
      <c r="DG172" s="8" t="n"/>
      <c r="DH172" s="8" t="n"/>
      <c r="DI172" s="8" t="n"/>
      <c r="DJ172" s="8" t="n"/>
      <c r="DK172" s="8" t="n"/>
      <c r="DL172" s="8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8" t="n"/>
      <c r="ER172" s="8" t="n"/>
      <c r="ES172" s="8" t="n"/>
      <c r="ET172" s="8" t="n"/>
      <c r="EU172" s="8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8" t="n"/>
      <c r="FG172" s="8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ez_manage.py:5280 top()</t>
        </is>
      </c>
      <c r="IK172" s="9" t="inlineStr">
        <is>
          <t>v12_quick_engine.py:2837 x5</t>
        </is>
      </c>
    </row>
    <row r="173" ht="11" customHeight="1">
      <c r="A173" s="6" t="inlineStr">
        <is>
          <t>REENTRY2_DC_BREAK_FILTER_TF</t>
        </is>
      </c>
      <c r="B173" s="7" t="inlineStr">
        <is>
          <t>15m</t>
        </is>
      </c>
      <c r="E173">
        <f>IF(F173="",E172,IF(F173&gt;0,E172+F173,E172))</f>
        <v/>
      </c>
      <c r="F173">
        <f>IFERROR(VLOOKUP($A173,Results_30d_Deltas!$A$2:$H$5000,8,FALSE)-E172,"")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8" t="n"/>
      <c r="CE173" s="8" t="n"/>
      <c r="CF173" s="8" t="n"/>
      <c r="CG173" s="8" t="n"/>
      <c r="CH173" s="8" t="n"/>
      <c r="CI173" s="8" t="n"/>
      <c r="CJ173" s="8" t="n"/>
      <c r="CK173" s="8" t="n"/>
      <c r="CL173" s="8" t="n"/>
      <c r="CM173" s="8" t="n"/>
      <c r="CN173" s="8" t="n"/>
      <c r="CO173" s="8" t="n"/>
      <c r="CP173" s="8" t="n"/>
      <c r="CQ173" s="8" t="n"/>
      <c r="CR173" s="8" t="n"/>
      <c r="CS173" s="8" t="n"/>
      <c r="CT173" s="8" t="n"/>
      <c r="CU173" s="8" t="n"/>
      <c r="CV173" s="8" t="n"/>
      <c r="CW173" s="8" t="n"/>
      <c r="CX173" s="8" t="n"/>
      <c r="CY173" s="8" t="n"/>
      <c r="CZ173" s="8" t="n"/>
      <c r="DA173" s="8" t="n"/>
      <c r="DB173" s="8" t="n"/>
      <c r="DC173" s="8" t="n"/>
      <c r="DD173" s="8" t="n"/>
      <c r="DE173" s="8" t="n"/>
      <c r="DF173" s="8" t="n"/>
      <c r="DG173" s="8" t="n"/>
      <c r="DH173" s="8" t="n"/>
      <c r="DI173" s="8" t="n"/>
      <c r="DJ173" s="8" t="n"/>
      <c r="DK173" s="8" t="n"/>
      <c r="DL173" s="8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8" t="n"/>
      <c r="ER173" s="8" t="n"/>
      <c r="ES173" s="8" t="n"/>
      <c r="ET173" s="8" t="n"/>
      <c r="EU173" s="8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8" t="n"/>
      <c r="FG173" s="8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ez_manage.py:5280 top()</t>
        </is>
      </c>
      <c r="IK173" s="9" t="inlineStr">
        <is>
          <t>v12_quick_engine.py:2837 x5</t>
        </is>
      </c>
    </row>
    <row r="174" ht="11" customHeight="1">
      <c r="A174" s="10" t="inlineStr">
        <is>
          <t>REENTRY2_DC_BREAK_REQUIRE_K_FILTER</t>
        </is>
      </c>
      <c r="B174" s="11" t="inlineStr">
        <is>
          <t>0</t>
        </is>
      </c>
      <c r="E174">
        <f>IF(F174="",E173,IF(F174&gt;0,E173+F174,E173))</f>
        <v/>
      </c>
      <c r="F174">
        <f>IFERROR(VLOOKUP($A174,Results_30d_Deltas!$A$2:$H$5000,8,FALSE)-E173,"")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8" t="n"/>
      <c r="CE174" s="8" t="n"/>
      <c r="CF174" s="8" t="n"/>
      <c r="CG174" s="8" t="n"/>
      <c r="CH174" s="8" t="n"/>
      <c r="CI174" s="8" t="n"/>
      <c r="CJ174" s="8" t="n"/>
      <c r="CK174" s="8" t="n"/>
      <c r="CL174" s="8" t="n"/>
      <c r="CM174" s="8" t="n"/>
      <c r="CN174" s="8" t="n"/>
      <c r="CO174" s="8" t="n"/>
      <c r="CP174" s="8" t="n"/>
      <c r="CQ174" s="8" t="n"/>
      <c r="CR174" s="8" t="n"/>
      <c r="CS174" s="8" t="n"/>
      <c r="CT174" s="8" t="n"/>
      <c r="CU174" s="8" t="n"/>
      <c r="CV174" s="8" t="n"/>
      <c r="CW174" s="8" t="n"/>
      <c r="CX174" s="8" t="n"/>
      <c r="CY174" s="8" t="n"/>
      <c r="CZ174" s="8" t="n"/>
      <c r="DA174" s="8" t="n"/>
      <c r="DB174" s="8" t="n"/>
      <c r="DC174" s="8" t="n"/>
      <c r="DD174" s="8" t="n"/>
      <c r="DE174" s="8" t="n"/>
      <c r="DF174" s="8" t="n"/>
      <c r="DG174" s="8" t="n"/>
      <c r="DH174" s="8" t="n"/>
      <c r="DI174" s="8" t="n"/>
      <c r="DJ174" s="8" t="n"/>
      <c r="DK174" s="8" t="n"/>
      <c r="DL174" s="8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8" t="n"/>
      <c r="ER174" s="8" t="n"/>
      <c r="ES174" s="8" t="n"/>
      <c r="ET174" s="8" t="n"/>
      <c r="EU174" s="8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8" t="n"/>
      <c r="FG174" s="8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ez_manage.py:5281 top()</t>
        </is>
      </c>
      <c r="IK174" s="9" t="inlineStr">
        <is>
          <t>v12_quick_engine.py:2838 x5</t>
        </is>
      </c>
    </row>
    <row r="175" ht="11" customHeight="1">
      <c r="A175" s="10" t="inlineStr">
        <is>
          <t>REENTRY2_DC_BREAK_REQUIRE_K_FILTER</t>
        </is>
      </c>
      <c r="B175" s="11" t="inlineStr">
        <is>
          <t>0.5</t>
        </is>
      </c>
      <c r="E175">
        <f>IF(F175="",E174,IF(F175&gt;0,E174+F175,E174))</f>
        <v/>
      </c>
      <c r="F175">
        <f>IFERROR(VLOOKUP($A175,Results_30d_Deltas!$A$2:$H$5000,8,FALSE)-E174,"")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8" t="n"/>
      <c r="CE175" s="8" t="n"/>
      <c r="CF175" s="8" t="n"/>
      <c r="CG175" s="8" t="n"/>
      <c r="CH175" s="8" t="n"/>
      <c r="CI175" s="8" t="n"/>
      <c r="CJ175" s="8" t="n"/>
      <c r="CK175" s="8" t="n"/>
      <c r="CL175" s="8" t="n"/>
      <c r="CM175" s="8" t="n"/>
      <c r="CN175" s="8" t="n"/>
      <c r="CO175" s="8" t="n"/>
      <c r="CP175" s="8" t="n"/>
      <c r="CQ175" s="8" t="n"/>
      <c r="CR175" s="8" t="n"/>
      <c r="CS175" s="8" t="n"/>
      <c r="CT175" s="8" t="n"/>
      <c r="CU175" s="8" t="n"/>
      <c r="CV175" s="8" t="n"/>
      <c r="CW175" s="8" t="n"/>
      <c r="CX175" s="8" t="n"/>
      <c r="CY175" s="8" t="n"/>
      <c r="CZ175" s="8" t="n"/>
      <c r="DA175" s="8" t="n"/>
      <c r="DB175" s="8" t="n"/>
      <c r="DC175" s="8" t="n"/>
      <c r="DD175" s="8" t="n"/>
      <c r="DE175" s="8" t="n"/>
      <c r="DF175" s="8" t="n"/>
      <c r="DG175" s="8" t="n"/>
      <c r="DH175" s="8" t="n"/>
      <c r="DI175" s="8" t="n"/>
      <c r="DJ175" s="8" t="n"/>
      <c r="DK175" s="8" t="n"/>
      <c r="DL175" s="8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8" t="n"/>
      <c r="ER175" s="8" t="n"/>
      <c r="ES175" s="8" t="n"/>
      <c r="ET175" s="8" t="n"/>
      <c r="EU175" s="8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8" t="n"/>
      <c r="FG175" s="8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ez_manage.py:5281 top()</t>
        </is>
      </c>
      <c r="IK175" s="9" t="inlineStr">
        <is>
          <t>v12_quick_engine.py:2838 x5</t>
        </is>
      </c>
    </row>
    <row r="176" ht="11" customHeight="1">
      <c r="A176" s="10" t="inlineStr">
        <is>
          <t>REENTRY2_DC_BREAK_REQUIRE_K_FILTER</t>
        </is>
      </c>
      <c r="B176" s="11" t="inlineStr">
        <is>
          <t>1.0</t>
        </is>
      </c>
      <c r="E176">
        <f>IF(F176="",E175,IF(F176&gt;0,E175+F176,E175))</f>
        <v/>
      </c>
      <c r="F176">
        <f>IFERROR(VLOOKUP($A176,Results_30d_Deltas!$A$2:$H$5000,8,FALSE)-E175,"")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8" t="n"/>
      <c r="CE176" s="8" t="n"/>
      <c r="CF176" s="8" t="n"/>
      <c r="CG176" s="8" t="n"/>
      <c r="CH176" s="8" t="n"/>
      <c r="CI176" s="8" t="n"/>
      <c r="CJ176" s="8" t="n"/>
      <c r="CK176" s="8" t="n"/>
      <c r="CL176" s="8" t="n"/>
      <c r="CM176" s="8" t="n"/>
      <c r="CN176" s="8" t="n"/>
      <c r="CO176" s="8" t="n"/>
      <c r="CP176" s="8" t="n"/>
      <c r="CQ176" s="8" t="n"/>
      <c r="CR176" s="8" t="n"/>
      <c r="CS176" s="8" t="n"/>
      <c r="CT176" s="8" t="n"/>
      <c r="CU176" s="8" t="n"/>
      <c r="CV176" s="8" t="n"/>
      <c r="CW176" s="8" t="n"/>
      <c r="CX176" s="8" t="n"/>
      <c r="CY176" s="8" t="n"/>
      <c r="CZ176" s="8" t="n"/>
      <c r="DA176" s="8" t="n"/>
      <c r="DB176" s="8" t="n"/>
      <c r="DC176" s="8" t="n"/>
      <c r="DD176" s="8" t="n"/>
      <c r="DE176" s="8" t="n"/>
      <c r="DF176" s="8" t="n"/>
      <c r="DG176" s="8" t="n"/>
      <c r="DH176" s="8" t="n"/>
      <c r="DI176" s="8" t="n"/>
      <c r="DJ176" s="8" t="n"/>
      <c r="DK176" s="8" t="n"/>
      <c r="DL176" s="8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8" t="n"/>
      <c r="ER176" s="8" t="n"/>
      <c r="ES176" s="8" t="n"/>
      <c r="ET176" s="8" t="n"/>
      <c r="EU176" s="8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8" t="n"/>
      <c r="FG176" s="8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ez_manage.py:5281 top()</t>
        </is>
      </c>
      <c r="IK176" s="9" t="inlineStr">
        <is>
          <t>v12_quick_engine.py:2838 x5</t>
        </is>
      </c>
    </row>
    <row r="177" ht="11" customHeight="1">
      <c r="A177" s="10" t="inlineStr">
        <is>
          <t>REENTRY2_DC_BREAK_REQUIRE_K_FILTER</t>
        </is>
      </c>
      <c r="B177" s="11" t="inlineStr">
        <is>
          <t>2.0</t>
        </is>
      </c>
      <c r="E177">
        <f>IF(F177="",E176,IF(F177&gt;0,E176+F177,E176))</f>
        <v/>
      </c>
      <c r="F177">
        <f>IFERROR(VLOOKUP($A177,Results_30d_Deltas!$A$2:$H$5000,8,FALSE)-E176,"")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8" t="n"/>
      <c r="CE177" s="8" t="n"/>
      <c r="CF177" s="8" t="n"/>
      <c r="CG177" s="8" t="n"/>
      <c r="CH177" s="8" t="n"/>
      <c r="CI177" s="8" t="n"/>
      <c r="CJ177" s="8" t="n"/>
      <c r="CK177" s="8" t="n"/>
      <c r="CL177" s="8" t="n"/>
      <c r="CM177" s="8" t="n"/>
      <c r="CN177" s="8" t="n"/>
      <c r="CO177" s="8" t="n"/>
      <c r="CP177" s="8" t="n"/>
      <c r="CQ177" s="8" t="n"/>
      <c r="CR177" s="8" t="n"/>
      <c r="CS177" s="8" t="n"/>
      <c r="CT177" s="8" t="n"/>
      <c r="CU177" s="8" t="n"/>
      <c r="CV177" s="8" t="n"/>
      <c r="CW177" s="8" t="n"/>
      <c r="CX177" s="8" t="n"/>
      <c r="CY177" s="8" t="n"/>
      <c r="CZ177" s="8" t="n"/>
      <c r="DA177" s="8" t="n"/>
      <c r="DB177" s="8" t="n"/>
      <c r="DC177" s="8" t="n"/>
      <c r="DD177" s="8" t="n"/>
      <c r="DE177" s="8" t="n"/>
      <c r="DF177" s="8" t="n"/>
      <c r="DG177" s="8" t="n"/>
      <c r="DH177" s="8" t="n"/>
      <c r="DI177" s="8" t="n"/>
      <c r="DJ177" s="8" t="n"/>
      <c r="DK177" s="8" t="n"/>
      <c r="DL177" s="8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8" t="n"/>
      <c r="ER177" s="8" t="n"/>
      <c r="ES177" s="8" t="n"/>
      <c r="ET177" s="8" t="n"/>
      <c r="EU177" s="8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8" t="n"/>
      <c r="FG177" s="8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ez_manage.py:5281 top()</t>
        </is>
      </c>
      <c r="IK177" s="9" t="inlineStr">
        <is>
          <t>v12_quick_engine.py:2838 x5</t>
        </is>
      </c>
    </row>
    <row r="178" ht="11" customHeight="1">
      <c r="A178" s="10" t="inlineStr">
        <is>
          <t>REENTRY2_DC_BREAK_REQUIRE_WT_FILTER</t>
        </is>
      </c>
      <c r="B178" s="11" t="inlineStr">
        <is>
          <t>0</t>
        </is>
      </c>
      <c r="E178">
        <f>IF(F178="",E177,IF(F178&gt;0,E177+F178,E177))</f>
        <v/>
      </c>
      <c r="F178">
        <f>IFERROR(VLOOKUP($A178,Results_30d_Deltas!$A$2:$H$5000,8,FALSE)-E177,"")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8" t="n"/>
      <c r="CE178" s="8" t="n"/>
      <c r="CF178" s="8" t="n"/>
      <c r="CG178" s="8" t="n"/>
      <c r="CH178" s="8" t="n"/>
      <c r="CI178" s="8" t="n"/>
      <c r="CJ178" s="8" t="n"/>
      <c r="CK178" s="8" t="n"/>
      <c r="CL178" s="8" t="n"/>
      <c r="CM178" s="8" t="n"/>
      <c r="CN178" s="8" t="n"/>
      <c r="CO178" s="8" t="n"/>
      <c r="CP178" s="8" t="n"/>
      <c r="CQ178" s="8" t="n"/>
      <c r="CR178" s="8" t="n"/>
      <c r="CS178" s="8" t="n"/>
      <c r="CT178" s="8" t="n"/>
      <c r="CU178" s="8" t="n"/>
      <c r="CV178" s="8" t="n"/>
      <c r="CW178" s="8" t="n"/>
      <c r="CX178" s="8" t="n"/>
      <c r="CY178" s="8" t="n"/>
      <c r="CZ178" s="8" t="n"/>
      <c r="DA178" s="8" t="n"/>
      <c r="DB178" s="8" t="n"/>
      <c r="DC178" s="8" t="n"/>
      <c r="DD178" s="8" t="n"/>
      <c r="DE178" s="8" t="n"/>
      <c r="DF178" s="8" t="n"/>
      <c r="DG178" s="8" t="n"/>
      <c r="DH178" s="8" t="n"/>
      <c r="DI178" s="8" t="n"/>
      <c r="DJ178" s="8" t="n"/>
      <c r="DK178" s="8" t="n"/>
      <c r="DL178" s="8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8" t="n"/>
      <c r="ER178" s="8" t="n"/>
      <c r="ES178" s="8" t="n"/>
      <c r="ET178" s="8" t="n"/>
      <c r="EU178" s="8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8" t="n"/>
      <c r="FG178" s="8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ez_manage.py:5282 top()</t>
        </is>
      </c>
      <c r="IK178" s="9" t="inlineStr">
        <is>
          <t>v12_quick_engine.py:2839 x5</t>
        </is>
      </c>
    </row>
    <row r="179" ht="11" customHeight="1">
      <c r="A179" s="10" t="inlineStr">
        <is>
          <t>REENTRY2_DC_BREAK_REQUIRE_WT_FILTER</t>
        </is>
      </c>
      <c r="B179" s="11" t="inlineStr">
        <is>
          <t>0.5</t>
        </is>
      </c>
      <c r="E179">
        <f>IF(F179="",E178,IF(F179&gt;0,E178+F179,E178))</f>
        <v/>
      </c>
      <c r="F179">
        <f>IFERROR(VLOOKUP($A179,Results_30d_Deltas!$A$2:$H$5000,8,FALSE)-E178,"")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8" t="n"/>
      <c r="CE179" s="8" t="n"/>
      <c r="CF179" s="8" t="n"/>
      <c r="CG179" s="8" t="n"/>
      <c r="CH179" s="8" t="n"/>
      <c r="CI179" s="8" t="n"/>
      <c r="CJ179" s="8" t="n"/>
      <c r="CK179" s="8" t="n"/>
      <c r="CL179" s="8" t="n"/>
      <c r="CM179" s="8" t="n"/>
      <c r="CN179" s="8" t="n"/>
      <c r="CO179" s="8" t="n"/>
      <c r="CP179" s="8" t="n"/>
      <c r="CQ179" s="8" t="n"/>
      <c r="CR179" s="8" t="n"/>
      <c r="CS179" s="8" t="n"/>
      <c r="CT179" s="8" t="n"/>
      <c r="CU179" s="8" t="n"/>
      <c r="CV179" s="8" t="n"/>
      <c r="CW179" s="8" t="n"/>
      <c r="CX179" s="8" t="n"/>
      <c r="CY179" s="8" t="n"/>
      <c r="CZ179" s="8" t="n"/>
      <c r="DA179" s="8" t="n"/>
      <c r="DB179" s="8" t="n"/>
      <c r="DC179" s="8" t="n"/>
      <c r="DD179" s="8" t="n"/>
      <c r="DE179" s="8" t="n"/>
      <c r="DF179" s="8" t="n"/>
      <c r="DG179" s="8" t="n"/>
      <c r="DH179" s="8" t="n"/>
      <c r="DI179" s="8" t="n"/>
      <c r="DJ179" s="8" t="n"/>
      <c r="DK179" s="8" t="n"/>
      <c r="DL179" s="8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8" t="n"/>
      <c r="ER179" s="8" t="n"/>
      <c r="ES179" s="8" t="n"/>
      <c r="ET179" s="8" t="n"/>
      <c r="EU179" s="8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8" t="n"/>
      <c r="FG179" s="8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ez_manage.py:5282 top()</t>
        </is>
      </c>
      <c r="IK179" s="9" t="inlineStr">
        <is>
          <t>v12_quick_engine.py:2839 x5</t>
        </is>
      </c>
    </row>
    <row r="180" ht="11" customHeight="1">
      <c r="A180" s="10" t="inlineStr">
        <is>
          <t>REENTRY2_DC_BREAK_REQUIRE_WT_FILTER</t>
        </is>
      </c>
      <c r="B180" s="11" t="inlineStr">
        <is>
          <t>1.0</t>
        </is>
      </c>
      <c r="E180">
        <f>IF(F180="",E179,IF(F180&gt;0,E179+F180,E179))</f>
        <v/>
      </c>
      <c r="F180">
        <f>IFERROR(VLOOKUP($A180,Results_30d_Deltas!$A$2:$H$5000,8,FALSE)-E179,"")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8" t="n"/>
      <c r="BZ180" s="8" t="n"/>
      <c r="CA180" s="8" t="n"/>
      <c r="CB180" s="8" t="n"/>
      <c r="CC180" s="8" t="n"/>
      <c r="CD180" s="8" t="n"/>
      <c r="CE180" s="8" t="n"/>
      <c r="CF180" s="8" t="n"/>
      <c r="CG180" s="8" t="n"/>
      <c r="CH180" s="8" t="n"/>
      <c r="CI180" s="8" t="n"/>
      <c r="CJ180" s="8" t="n"/>
      <c r="CK180" s="8" t="n"/>
      <c r="CL180" s="8" t="n"/>
      <c r="CM180" s="8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8" t="n"/>
      <c r="ER180" s="8" t="n"/>
      <c r="ES180" s="8" t="n"/>
      <c r="ET180" s="8" t="n"/>
      <c r="EU180" s="8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8" t="n"/>
      <c r="FG180" s="8" t="n"/>
      <c r="FH180" s="8" t="n"/>
      <c r="FI180" s="8" t="n"/>
      <c r="FJ180" s="8" t="n"/>
      <c r="FK180" s="8" t="n"/>
      <c r="FL180" s="8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8" t="n"/>
      <c r="HX180" s="8" t="n"/>
      <c r="HY180" s="8" t="n"/>
      <c r="HZ180" s="8" t="n"/>
      <c r="IA180" s="8" t="n"/>
      <c r="IB180" s="8" t="n"/>
      <c r="IC180" s="8" t="n"/>
      <c r="ID180" s="8" t="n"/>
      <c r="IE180" s="8" t="n"/>
      <c r="IF180" s="8" t="n"/>
      <c r="IG180" s="8" t="n"/>
      <c r="IH180" s="8" t="n"/>
      <c r="IJ180" s="9" t="inlineStr">
        <is>
          <t>ez_manage.py:5282 top()</t>
        </is>
      </c>
      <c r="IK180" s="9" t="inlineStr">
        <is>
          <t>v12_quick_engine.py:2839 x5</t>
        </is>
      </c>
    </row>
    <row r="181" ht="11" customHeight="1">
      <c r="A181" s="10" t="inlineStr">
        <is>
          <t>REENTRY2_DC_BREAK_REQUIRE_WT_FILTER</t>
        </is>
      </c>
      <c r="B181" s="11" t="inlineStr">
        <is>
          <t>2.0</t>
        </is>
      </c>
      <c r="E181">
        <f>IF(F181="",E180,IF(F181&gt;0,E180+F181,E180))</f>
        <v/>
      </c>
      <c r="F181">
        <f>IFERROR(VLOOKUP($A181,Results_30d_Deltas!$A$2:$H$5000,8,FALSE)-E180,"")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8" t="n"/>
      <c r="BZ181" s="8" t="n"/>
      <c r="CA181" s="8" t="n"/>
      <c r="CB181" s="8" t="n"/>
      <c r="CC181" s="8" t="n"/>
      <c r="CD181" s="8" t="n"/>
      <c r="CE181" s="8" t="n"/>
      <c r="CF181" s="8" t="n"/>
      <c r="CG181" s="8" t="n"/>
      <c r="CH181" s="8" t="n"/>
      <c r="CI181" s="8" t="n"/>
      <c r="CJ181" s="8" t="n"/>
      <c r="CK181" s="8" t="n"/>
      <c r="CL181" s="8" t="n"/>
      <c r="CM181" s="8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8" t="n"/>
      <c r="ER181" s="8" t="n"/>
      <c r="ES181" s="8" t="n"/>
      <c r="ET181" s="8" t="n"/>
      <c r="EU181" s="8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8" t="n"/>
      <c r="FG181" s="8" t="n"/>
      <c r="FH181" s="8" t="n"/>
      <c r="FI181" s="8" t="n"/>
      <c r="FJ181" s="8" t="n"/>
      <c r="FK181" s="8" t="n"/>
      <c r="FL181" s="8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8" t="n"/>
      <c r="HX181" s="8" t="n"/>
      <c r="HY181" s="8" t="n"/>
      <c r="HZ181" s="8" t="n"/>
      <c r="IA181" s="8" t="n"/>
      <c r="IB181" s="8" t="n"/>
      <c r="IC181" s="8" t="n"/>
      <c r="ID181" s="8" t="n"/>
      <c r="IE181" s="8" t="n"/>
      <c r="IF181" s="8" t="n"/>
      <c r="IG181" s="8" t="n"/>
      <c r="IH181" s="8" t="n"/>
      <c r="IJ181" s="9" t="inlineStr">
        <is>
          <t>ez_manage.py:5282 top()</t>
        </is>
      </c>
      <c r="IK181" s="9" t="inlineStr">
        <is>
          <t>v12_quick_engine.py:2839 x5</t>
        </is>
      </c>
    </row>
    <row r="182" ht="11" customHeight="1">
      <c r="A182" s="6" t="inlineStr">
        <is>
          <t>REENTRY2_DIR_FAV_ENABLED</t>
        </is>
      </c>
      <c r="B182" s="7" t="inlineStr">
        <is>
          <t>False</t>
        </is>
      </c>
      <c r="E182">
        <f>IF(F182="",E181,IF(F182&gt;0,E181+F182,E181))</f>
        <v/>
      </c>
      <c r="F182">
        <f>IFERROR(VLOOKUP($A182,Results_30d_Deltas!$A$2:$H$5000,8,FALSE)-E181,"")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8" t="n"/>
      <c r="BZ182" s="8" t="n"/>
      <c r="CA182" s="8" t="n"/>
      <c r="CB182" s="8" t="n"/>
      <c r="CC182" s="8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8" t="n"/>
      <c r="FI182" s="8" t="n"/>
      <c r="FJ182" s="8" t="n"/>
      <c r="FK182" s="8" t="n"/>
      <c r="FL182" s="8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8" t="n"/>
      <c r="HX182" s="8" t="n"/>
      <c r="HY182" s="8" t="n"/>
      <c r="HZ182" s="8" t="n"/>
      <c r="IA182" s="8" t="n"/>
      <c r="IB182" s="8" t="n"/>
      <c r="IC182" s="8" t="n"/>
      <c r="ID182" s="8" t="n"/>
      <c r="IE182" s="8" t="n"/>
      <c r="IF182" s="8" t="n"/>
      <c r="IG182" s="8" t="n"/>
      <c r="IH182" s="8" t="n"/>
      <c r="IJ182" s="9" t="inlineStr">
        <is>
          <t>ez_manage.py:5283 top()</t>
        </is>
      </c>
      <c r="IK182" s="9" t="inlineStr">
        <is>
          <t>v12_quick_engine.py:2840 x5</t>
        </is>
      </c>
    </row>
    <row r="183" ht="11" customHeight="1">
      <c r="A183" s="10" t="inlineStr">
        <is>
          <t>REENTRY2_DIR_FAV_ENABLED</t>
        </is>
      </c>
      <c r="B183" s="11" t="inlineStr">
        <is>
          <t>True</t>
        </is>
      </c>
      <c r="E183">
        <f>IF(F183="",E182,IF(F183&gt;0,E182+F183,E182))</f>
        <v/>
      </c>
      <c r="F183">
        <f>IFERROR(VLOOKUP($A183,Results_30d_Deltas!$A$2:$H$5000,8,FALSE)-E182,"")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8" t="n"/>
      <c r="BZ183" s="8" t="n"/>
      <c r="CA183" s="8" t="n"/>
      <c r="CB183" s="8" t="n"/>
      <c r="CC183" s="8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8" t="n"/>
      <c r="FI183" s="8" t="n"/>
      <c r="FJ183" s="8" t="n"/>
      <c r="FK183" s="8" t="n"/>
      <c r="FL183" s="8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8" t="n"/>
      <c r="HX183" s="8" t="n"/>
      <c r="HY183" s="8" t="n"/>
      <c r="HZ183" s="8" t="n"/>
      <c r="IA183" s="8" t="n"/>
      <c r="IB183" s="8" t="n"/>
      <c r="IC183" s="8" t="n"/>
      <c r="ID183" s="8" t="n"/>
      <c r="IE183" s="8" t="n"/>
      <c r="IF183" s="8" t="n"/>
      <c r="IG183" s="8" t="n"/>
      <c r="IH183" s="8" t="n"/>
      <c r="IJ183" s="9" t="inlineStr">
        <is>
          <t>ez_manage.py:5283 top()</t>
        </is>
      </c>
      <c r="IK183" s="9" t="inlineStr">
        <is>
          <t>v12_quick_engine.py:2840 x5</t>
        </is>
      </c>
    </row>
    <row r="184" ht="11" customHeight="1">
      <c r="A184" s="10" t="inlineStr">
        <is>
          <t>REENTRY_B16_SIZE_MULT_STRONG</t>
        </is>
      </c>
      <c r="B184" s="11" t="inlineStr">
        <is>
          <t>0</t>
        </is>
      </c>
      <c r="E184">
        <f>IF(F184="",E183,IF(F184&gt;0,E183+F184,E183))</f>
        <v/>
      </c>
      <c r="F184">
        <f>IFERROR(VLOOKUP($A184,Results_30d_Deltas!$A$2:$H$5000,8,FALSE)-E183,"")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8" t="n"/>
      <c r="FS184" s="8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8" t="n"/>
      <c r="HI184" s="8" t="n"/>
      <c r="HJ184" s="8" t="n"/>
      <c r="HK184" s="8" t="n"/>
      <c r="HL184" s="8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ez_manage.py:5297 top()</t>
        </is>
      </c>
      <c r="IK184" s="9" t="inlineStr">
        <is>
          <t>v12_quick_engine.py:2858 x4</t>
        </is>
      </c>
    </row>
    <row r="185" ht="11" customHeight="1">
      <c r="A185" s="10" t="inlineStr">
        <is>
          <t>REENTRY_B16_SIZE_MULT_STRONG</t>
        </is>
      </c>
      <c r="B185" s="11" t="inlineStr">
        <is>
          <t>0.5</t>
        </is>
      </c>
      <c r="E185">
        <f>IF(F185="",E184,IF(F185&gt;0,E184+F185,E184))</f>
        <v/>
      </c>
      <c r="F185">
        <f>IFERROR(VLOOKUP($A185,Results_30d_Deltas!$A$2:$H$5000,8,FALSE)-E184,"")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8" t="n"/>
      <c r="FS185" s="8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8" t="n"/>
      <c r="HI185" s="8" t="n"/>
      <c r="HJ185" s="8" t="n"/>
      <c r="HK185" s="8" t="n"/>
      <c r="HL185" s="8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ez_manage.py:5297 top()</t>
        </is>
      </c>
      <c r="IK185" s="9" t="inlineStr">
        <is>
          <t>v12_quick_engine.py:2858 x4</t>
        </is>
      </c>
    </row>
    <row r="186" ht="11" customHeight="1">
      <c r="A186" s="10" t="inlineStr">
        <is>
          <t>REENTRY_B16_SIZE_MULT_STRONG</t>
        </is>
      </c>
      <c r="B186" s="11" t="inlineStr">
        <is>
          <t>1.0</t>
        </is>
      </c>
      <c r="E186">
        <f>IF(F186="",E185,IF(F186&gt;0,E185+F186,E185))</f>
        <v/>
      </c>
      <c r="F186">
        <f>IFERROR(VLOOKUP($A186,Results_30d_Deltas!$A$2:$H$5000,8,FALSE)-E185,"")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8" t="n"/>
      <c r="FS186" s="8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8" t="n"/>
      <c r="HI186" s="8" t="n"/>
      <c r="HJ186" s="8" t="n"/>
      <c r="HK186" s="8" t="n"/>
      <c r="HL186" s="8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ez_manage.py:5297 top()</t>
        </is>
      </c>
      <c r="IK186" s="9" t="inlineStr">
        <is>
          <t>v12_quick_engine.py:2858 x4</t>
        </is>
      </c>
    </row>
    <row r="187" ht="11" customHeight="1">
      <c r="A187" s="10" t="inlineStr">
        <is>
          <t>REENTRY_B16_SIZE_MULT_STRONG</t>
        </is>
      </c>
      <c r="B187" s="11" t="inlineStr">
        <is>
          <t>2.0</t>
        </is>
      </c>
      <c r="E187">
        <f>IF(F187="",E186,IF(F187&gt;0,E186+F187,E186))</f>
        <v/>
      </c>
      <c r="F187">
        <f>IFERROR(VLOOKUP($A187,Results_30d_Deltas!$A$2:$H$5000,8,FALSE)-E186,"")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8" t="n"/>
      <c r="FS187" s="8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8" t="n"/>
      <c r="HI187" s="8" t="n"/>
      <c r="HJ187" s="8" t="n"/>
      <c r="HK187" s="8" t="n"/>
      <c r="HL187" s="8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ez_manage.py:5297 top()</t>
        </is>
      </c>
      <c r="IK187" s="9" t="inlineStr">
        <is>
          <t>v12_quick_engine.py:2858 x4</t>
        </is>
      </c>
    </row>
    <row r="188" ht="11" customHeight="1">
      <c r="A188" s="10" t="inlineStr">
        <is>
          <t>REENTRY_B16_SIZE_MULT_WEAK</t>
        </is>
      </c>
      <c r="B188" s="11" t="inlineStr">
        <is>
          <t>0</t>
        </is>
      </c>
      <c r="E188">
        <f>IF(F188="",E187,IF(F188&gt;0,E187+F188,E187))</f>
        <v/>
      </c>
      <c r="F188">
        <f>IFERROR(VLOOKUP($A188,Results_30d_Deltas!$A$2:$H$5000,8,FALSE)-E187,"")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8" t="n"/>
      <c r="FS188" s="8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8" t="n"/>
      <c r="HI188" s="8" t="n"/>
      <c r="HJ188" s="8" t="n"/>
      <c r="HK188" s="8" t="n"/>
      <c r="HL188" s="8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ez_manage.py:5298 top()</t>
        </is>
      </c>
      <c r="IK188" s="9" t="inlineStr">
        <is>
          <t>v12_quick_engine.py:2859 x4</t>
        </is>
      </c>
    </row>
    <row r="189" ht="11" customHeight="1">
      <c r="A189" s="10" t="inlineStr">
        <is>
          <t>REENTRY_B16_SIZE_MULT_WEAK</t>
        </is>
      </c>
      <c r="B189" s="11" t="inlineStr">
        <is>
          <t>0.5</t>
        </is>
      </c>
      <c r="E189">
        <f>IF(F189="",E188,IF(F189&gt;0,E188+F189,E188))</f>
        <v/>
      </c>
      <c r="F189">
        <f>IFERROR(VLOOKUP($A189,Results_30d_Deltas!$A$2:$H$5000,8,FALSE)-E188,"")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8" t="n"/>
      <c r="FI189" s="8" t="n"/>
      <c r="FJ189" s="8" t="n"/>
      <c r="FK189" s="8" t="n"/>
      <c r="FL189" s="8" t="n"/>
      <c r="FM189" s="8" t="n"/>
      <c r="FN189" s="8" t="n"/>
      <c r="FO189" s="8" t="n"/>
      <c r="FP189" s="8" t="n"/>
      <c r="FQ189" s="8" t="n"/>
      <c r="FR189" s="8" t="n"/>
      <c r="FS189" s="8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8" t="n"/>
      <c r="HI189" s="8" t="n"/>
      <c r="HJ189" s="8" t="n"/>
      <c r="HK189" s="8" t="n"/>
      <c r="HL189" s="8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8" t="n"/>
      <c r="HX189" s="8" t="n"/>
      <c r="HY189" s="8" t="n"/>
      <c r="HZ189" s="8" t="n"/>
      <c r="IA189" s="8" t="n"/>
      <c r="IB189" s="8" t="n"/>
      <c r="IC189" s="8" t="n"/>
      <c r="ID189" s="8" t="n"/>
      <c r="IE189" s="8" t="n"/>
      <c r="IF189" s="8" t="n"/>
      <c r="IG189" s="8" t="n"/>
      <c r="IH189" s="8" t="n"/>
      <c r="IJ189" s="9" t="inlineStr">
        <is>
          <t>ez_manage.py:5298 top()</t>
        </is>
      </c>
      <c r="IK189" s="9" t="inlineStr">
        <is>
          <t>v12_quick_engine.py:2859 x4</t>
        </is>
      </c>
    </row>
    <row r="190" ht="11" customHeight="1">
      <c r="A190" s="10" t="inlineStr">
        <is>
          <t>REENTRY_B16_SIZE_MULT_WEAK</t>
        </is>
      </c>
      <c r="B190" s="11" t="inlineStr">
        <is>
          <t>1.0</t>
        </is>
      </c>
      <c r="E190">
        <f>IF(F190="",E189,IF(F190&gt;0,E189+F190,E189))</f>
        <v/>
      </c>
      <c r="F190">
        <f>IFERROR(VLOOKUP($A190,Results_30d_Deltas!$A$2:$H$5000,8,FALSE)-E189,"")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8" t="n"/>
      <c r="FI190" s="8" t="n"/>
      <c r="FJ190" s="8" t="n"/>
      <c r="FK190" s="8" t="n"/>
      <c r="FL190" s="8" t="n"/>
      <c r="FM190" s="8" t="n"/>
      <c r="FN190" s="8" t="n"/>
      <c r="FO190" s="8" t="n"/>
      <c r="FP190" s="8" t="n"/>
      <c r="FQ190" s="8" t="n"/>
      <c r="FR190" s="8" t="n"/>
      <c r="FS190" s="8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8" t="n"/>
      <c r="HI190" s="8" t="n"/>
      <c r="HJ190" s="8" t="n"/>
      <c r="HK190" s="8" t="n"/>
      <c r="HL190" s="8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8" t="n"/>
      <c r="HX190" s="8" t="n"/>
      <c r="HY190" s="8" t="n"/>
      <c r="HZ190" s="8" t="n"/>
      <c r="IA190" s="8" t="n"/>
      <c r="IB190" s="8" t="n"/>
      <c r="IC190" s="8" t="n"/>
      <c r="ID190" s="8" t="n"/>
      <c r="IE190" s="8" t="n"/>
      <c r="IF190" s="8" t="n"/>
      <c r="IG190" s="8" t="n"/>
      <c r="IH190" s="8" t="n"/>
      <c r="IJ190" s="9" t="inlineStr">
        <is>
          <t>ez_manage.py:5298 top()</t>
        </is>
      </c>
      <c r="IK190" s="9" t="inlineStr">
        <is>
          <t>v12_quick_engine.py:2859 x4</t>
        </is>
      </c>
    </row>
    <row r="191" ht="11" customHeight="1">
      <c r="A191" s="10" t="inlineStr">
        <is>
          <t>REENTRY_B16_SIZE_MULT_WEAK</t>
        </is>
      </c>
      <c r="B191" s="11" t="inlineStr">
        <is>
          <t>2.0</t>
        </is>
      </c>
      <c r="E191">
        <f>IF(F191="",E190,IF(F191&gt;0,E190+F191,E190))</f>
        <v/>
      </c>
      <c r="F191">
        <f>IFERROR(VLOOKUP($A191,Results_30d_Deltas!$A$2:$H$5000,8,FALSE)-E190,"")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8" t="n"/>
      <c r="FI191" s="8" t="n"/>
      <c r="FJ191" s="8" t="n"/>
      <c r="FK191" s="8" t="n"/>
      <c r="FL191" s="8" t="n"/>
      <c r="FM191" s="8" t="n"/>
      <c r="FN191" s="8" t="n"/>
      <c r="FO191" s="8" t="n"/>
      <c r="FP191" s="8" t="n"/>
      <c r="FQ191" s="8" t="n"/>
      <c r="FR191" s="8" t="n"/>
      <c r="FS191" s="8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8" t="n"/>
      <c r="HI191" s="8" t="n"/>
      <c r="HJ191" s="8" t="n"/>
      <c r="HK191" s="8" t="n"/>
      <c r="HL191" s="8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ez_manage.py:5298 top()</t>
        </is>
      </c>
      <c r="IK191" s="9" t="inlineStr">
        <is>
          <t>v12_quick_engine.py:2859 x4</t>
        </is>
      </c>
    </row>
    <row r="192" ht="11" customHeight="1">
      <c r="A192" s="10" t="inlineStr">
        <is>
          <t>REENTRY_B16_SMA200_PROX_PCT</t>
        </is>
      </c>
      <c r="B192" s="11" t="inlineStr">
        <is>
          <t>0</t>
        </is>
      </c>
      <c r="E192">
        <f>IF(F192="",E191,IF(F192&gt;0,E191+F192,E191))</f>
        <v/>
      </c>
      <c r="F192">
        <f>IFERROR(VLOOKUP($A192,Results_30d_Deltas!$A$2:$H$5000,8,FALSE)-E191,"")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8" t="n"/>
      <c r="FI192" s="8" t="n"/>
      <c r="FJ192" s="8" t="n"/>
      <c r="FK192" s="8" t="n"/>
      <c r="FL192" s="8" t="n"/>
      <c r="FM192" s="8" t="n"/>
      <c r="FN192" s="8" t="n"/>
      <c r="FO192" s="8" t="n"/>
      <c r="FP192" s="8" t="n"/>
      <c r="FQ192" s="8" t="n"/>
      <c r="FR192" s="8" t="n"/>
      <c r="FS192" s="8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ez_manage.py:5299 top()</t>
        </is>
      </c>
      <c r="IK192" s="9" t="inlineStr">
        <is>
          <t>v12_quick_engine.py:2860 x4</t>
        </is>
      </c>
    </row>
    <row r="193" ht="11" customHeight="1">
      <c r="A193" s="10" t="inlineStr">
        <is>
          <t>REENTRY_B16_SMA200_PROX_PCT</t>
        </is>
      </c>
      <c r="B193" s="11" t="inlineStr">
        <is>
          <t>0.5</t>
        </is>
      </c>
      <c r="E193">
        <f>IF(F193="",E192,IF(F193&gt;0,E192+F193,E192))</f>
        <v/>
      </c>
      <c r="F193">
        <f>IFERROR(VLOOKUP($A193,Results_30d_Deltas!$A$2:$H$5000,8,FALSE)-E192,"")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8" t="n"/>
      <c r="FI193" s="8" t="n"/>
      <c r="FJ193" s="8" t="n"/>
      <c r="FK193" s="8" t="n"/>
      <c r="FL193" s="8" t="n"/>
      <c r="FM193" s="8" t="n"/>
      <c r="FN193" s="8" t="n"/>
      <c r="FO193" s="8" t="n"/>
      <c r="FP193" s="8" t="n"/>
      <c r="FQ193" s="8" t="n"/>
      <c r="FR193" s="8" t="n"/>
      <c r="FS193" s="8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ez_manage.py:5299 top()</t>
        </is>
      </c>
      <c r="IK193" s="9" t="inlineStr">
        <is>
          <t>v12_quick_engine.py:2860 x4</t>
        </is>
      </c>
    </row>
    <row r="194" ht="11" customHeight="1">
      <c r="A194" s="10" t="inlineStr">
        <is>
          <t>REENTRY_B16_SMA200_PROX_PCT</t>
        </is>
      </c>
      <c r="B194" s="11" t="inlineStr">
        <is>
          <t>1.0</t>
        </is>
      </c>
      <c r="E194">
        <f>IF(F194="",E193,IF(F194&gt;0,E193+F194,E193))</f>
        <v/>
      </c>
      <c r="F194">
        <f>IFERROR(VLOOKUP($A194,Results_30d_Deltas!$A$2:$H$5000,8,FALSE)-E193,"")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8" t="n"/>
      <c r="FI194" s="8" t="n"/>
      <c r="FJ194" s="8" t="n"/>
      <c r="FK194" s="8" t="n"/>
      <c r="FL194" s="8" t="n"/>
      <c r="FM194" s="8" t="n"/>
      <c r="FN194" s="8" t="n"/>
      <c r="FO194" s="8" t="n"/>
      <c r="FP194" s="8" t="n"/>
      <c r="FQ194" s="8" t="n"/>
      <c r="FR194" s="8" t="n"/>
      <c r="FS194" s="8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ez_manage.py:5299 top()</t>
        </is>
      </c>
      <c r="IK194" s="9" t="inlineStr">
        <is>
          <t>v12_quick_engine.py:2860 x4</t>
        </is>
      </c>
    </row>
    <row r="195" ht="11" customHeight="1">
      <c r="A195" s="10" t="inlineStr">
        <is>
          <t>REENTRY_B16_SMA200_PROX_PCT</t>
        </is>
      </c>
      <c r="B195" s="11" t="inlineStr">
        <is>
          <t>2.0</t>
        </is>
      </c>
      <c r="E195">
        <f>IF(F195="",E194,IF(F195&gt;0,E194+F195,E194))</f>
        <v/>
      </c>
      <c r="F195">
        <f>IFERROR(VLOOKUP($A195,Results_30d_Deltas!$A$2:$H$5000,8,FALSE)-E194,"")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8" t="n"/>
      <c r="FI195" s="8" t="n"/>
      <c r="FJ195" s="8" t="n"/>
      <c r="FK195" s="8" t="n"/>
      <c r="FL195" s="8" t="n"/>
      <c r="FM195" s="8" t="n"/>
      <c r="FN195" s="8" t="n"/>
      <c r="FO195" s="8" t="n"/>
      <c r="FP195" s="8" t="n"/>
      <c r="FQ195" s="8" t="n"/>
      <c r="FR195" s="8" t="n"/>
      <c r="FS195" s="8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ez_manage.py:5299 top()</t>
        </is>
      </c>
      <c r="IK195" s="9" t="inlineStr">
        <is>
          <t>v12_quick_engine.py:2860 x4</t>
        </is>
      </c>
    </row>
    <row r="196" ht="11" customHeight="1">
      <c r="A196" s="6" t="inlineStr">
        <is>
          <t>REENTRY_B16_SMA200_PULLBACK_ENABLED</t>
        </is>
      </c>
      <c r="B196" s="7" t="inlineStr">
        <is>
          <t>False</t>
        </is>
      </c>
      <c r="E196">
        <f>IF(F196="",E195,IF(F196&gt;0,E195+F196,E195))</f>
        <v/>
      </c>
      <c r="F196">
        <f>IFERROR(VLOOKUP($A196,Results_30d_Deltas!$A$2:$H$5000,8,FALSE)-E195,"")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8" t="n"/>
      <c r="FI196" s="8" t="n"/>
      <c r="FJ196" s="8" t="n"/>
      <c r="FK196" s="8" t="n"/>
      <c r="FL196" s="8" t="n"/>
      <c r="FM196" s="8" t="n"/>
      <c r="FN196" s="8" t="n"/>
      <c r="FO196" s="8" t="n"/>
      <c r="FP196" s="8" t="n"/>
      <c r="FQ196" s="8" t="n"/>
      <c r="FR196" s="8" t="n"/>
      <c r="FS196" s="8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ez_manage.py:5300 top()</t>
        </is>
      </c>
      <c r="IK196" s="9" t="inlineStr">
        <is>
          <t>v12_quick_engine.py:2861 x4</t>
        </is>
      </c>
    </row>
    <row r="197" ht="11" customHeight="1">
      <c r="A197" s="10" t="inlineStr">
        <is>
          <t>REENTRY_B16_SMA200_PULLBACK_ENABLED</t>
        </is>
      </c>
      <c r="B197" s="11" t="inlineStr">
        <is>
          <t>True</t>
        </is>
      </c>
      <c r="E197">
        <f>IF(F197="",E196,IF(F197&gt;0,E196+F197,E196))</f>
        <v/>
      </c>
      <c r="F197">
        <f>IFERROR(VLOOKUP($A197,Results_30d_Deltas!$A$2:$H$5000,8,FALSE)-E196,"")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8" t="n"/>
      <c r="FI197" s="8" t="n"/>
      <c r="FJ197" s="8" t="n"/>
      <c r="FK197" s="8" t="n"/>
      <c r="FL197" s="8" t="n"/>
      <c r="FM197" s="8" t="n"/>
      <c r="FN197" s="8" t="n"/>
      <c r="FO197" s="8" t="n"/>
      <c r="FP197" s="8" t="n"/>
      <c r="FQ197" s="8" t="n"/>
      <c r="FR197" s="8" t="n"/>
      <c r="FS197" s="8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ez_manage.py:5300 top()</t>
        </is>
      </c>
      <c r="IK197" s="9" t="inlineStr">
        <is>
          <t>v12_quick_engine.py:2861 x4</t>
        </is>
      </c>
    </row>
    <row r="198" ht="11" customHeight="1">
      <c r="A198" s="6" t="inlineStr">
        <is>
          <t>REENTRY_CROSS_FRESHNESS_ENABLED</t>
        </is>
      </c>
      <c r="B198" s="7" t="inlineStr">
        <is>
          <t>False</t>
        </is>
      </c>
      <c r="E198">
        <f>IF(F198="",E197,IF(F198&gt;0,E197+F198,E197))</f>
        <v/>
      </c>
      <c r="F198">
        <f>IFERROR(VLOOKUP($A198,Results_30d_Deltas!$A$2:$H$5000,8,FALSE)-E197,"")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8" t="n"/>
      <c r="FI198" s="8" t="n"/>
      <c r="FJ198" s="8" t="n"/>
      <c r="FK198" s="8" t="n"/>
      <c r="FL198" s="8" t="n"/>
      <c r="FM198" s="8" t="n"/>
      <c r="FN198" s="8" t="n"/>
      <c r="FO198" s="8" t="n"/>
      <c r="FP198" s="8" t="n"/>
      <c r="FQ198" s="8" t="n"/>
      <c r="FR198" s="8" t="n"/>
      <c r="FS198" s="8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ez_manage.py:5306 top()</t>
        </is>
      </c>
      <c r="IK198" s="9" t="inlineStr">
        <is>
          <t>v12_quick_engine.py:2869 x2</t>
        </is>
      </c>
    </row>
    <row r="199" ht="11" customHeight="1">
      <c r="A199" s="10" t="inlineStr">
        <is>
          <t>REENTRY_CROSS_FRESHNESS_ENABLED</t>
        </is>
      </c>
      <c r="B199" s="11" t="inlineStr">
        <is>
          <t>True</t>
        </is>
      </c>
      <c r="E199">
        <f>IF(F199="",E198,IF(F199&gt;0,E198+F199,E198))</f>
        <v/>
      </c>
      <c r="F199">
        <f>IFERROR(VLOOKUP($A199,Results_30d_Deltas!$A$2:$H$5000,8,FALSE)-E198,"")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8" t="n"/>
      <c r="FI199" s="8" t="n"/>
      <c r="FJ199" s="8" t="n"/>
      <c r="FK199" s="8" t="n"/>
      <c r="FL199" s="8" t="n"/>
      <c r="FM199" s="8" t="n"/>
      <c r="FN199" s="8" t="n"/>
      <c r="FO199" s="8" t="n"/>
      <c r="FP199" s="8" t="n"/>
      <c r="FQ199" s="8" t="n"/>
      <c r="FR199" s="8" t="n"/>
      <c r="FS199" s="8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ez_manage.py:5306 top()</t>
        </is>
      </c>
      <c r="IK199" s="9" t="inlineStr">
        <is>
          <t>v12_quick_engine.py:2869 x2</t>
        </is>
      </c>
    </row>
    <row r="200" ht="11" customHeight="1">
      <c r="A200" s="6" t="inlineStr">
        <is>
          <t>REENTRY_EXHAUSTED_PARTIAL_ENABLED</t>
        </is>
      </c>
      <c r="B200" s="7" t="inlineStr">
        <is>
          <t>False</t>
        </is>
      </c>
      <c r="E200">
        <f>IF(F200="",E199,IF(F200&gt;0,E199+F200,E199))</f>
        <v/>
      </c>
      <c r="F200">
        <f>IFERROR(VLOOKUP($A200,Results_30d_Deltas!$A$2:$H$5000,8,FALSE)-E199,"")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8" t="n"/>
      <c r="FI200" s="8" t="n"/>
      <c r="FJ200" s="8" t="n"/>
      <c r="FK200" s="8" t="n"/>
      <c r="FL200" s="8" t="n"/>
      <c r="FM200" s="8" t="n"/>
      <c r="FN200" s="8" t="n"/>
      <c r="FO200" s="8" t="n"/>
      <c r="FP200" s="8" t="n"/>
      <c r="FQ200" s="8" t="n"/>
      <c r="FR200" s="8" t="n"/>
      <c r="FS200" s="8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8" t="n"/>
      <c r="HN200" s="8" t="n"/>
      <c r="HO200" s="8" t="n"/>
      <c r="HP200" s="8" t="n"/>
      <c r="HQ200" s="8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ez_manage.py:5308 top()</t>
        </is>
      </c>
      <c r="IK200" s="9" t="inlineStr">
        <is>
          <t>v12_quick_engine.py:2875 x2</t>
        </is>
      </c>
    </row>
    <row r="201" ht="11" customHeight="1">
      <c r="A201" s="10" t="inlineStr">
        <is>
          <t>REENTRY_EXHAUSTED_PARTIAL_ENABLED</t>
        </is>
      </c>
      <c r="B201" s="11" t="inlineStr">
        <is>
          <t>True</t>
        </is>
      </c>
      <c r="E201">
        <f>IF(F201="",E200,IF(F201&gt;0,E200+F201,E200))</f>
        <v/>
      </c>
      <c r="F201">
        <f>IFERROR(VLOOKUP($A201,Results_30d_Deltas!$A$2:$H$5000,8,FALSE)-E200,"")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8" t="n"/>
      <c r="FI201" s="8" t="n"/>
      <c r="FJ201" s="8" t="n"/>
      <c r="FK201" s="8" t="n"/>
      <c r="FL201" s="8" t="n"/>
      <c r="FM201" s="8" t="n"/>
      <c r="FN201" s="8" t="n"/>
      <c r="FO201" s="8" t="n"/>
      <c r="FP201" s="8" t="n"/>
      <c r="FQ201" s="8" t="n"/>
      <c r="FR201" s="8" t="n"/>
      <c r="FS201" s="8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8" t="n"/>
      <c r="HN201" s="8" t="n"/>
      <c r="HO201" s="8" t="n"/>
      <c r="HP201" s="8" t="n"/>
      <c r="HQ201" s="8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ez_manage.py:5308 top()</t>
        </is>
      </c>
      <c r="IK201" s="9" t="inlineStr">
        <is>
          <t>v12_quick_engine.py:2875 x2</t>
        </is>
      </c>
    </row>
    <row r="202" ht="11" customHeight="1">
      <c r="A202" s="10" t="inlineStr">
        <is>
          <t>REENTRY_EXIT_RECLAIM_BUFFER_PCT</t>
        </is>
      </c>
      <c r="B202" s="11" t="inlineStr">
        <is>
          <t>0</t>
        </is>
      </c>
      <c r="E202">
        <f>IF(F202="",E201,IF(F202&gt;0,E201+F202,E201))</f>
        <v/>
      </c>
      <c r="F202">
        <f>IFERROR(VLOOKUP($A202,Results_30d_Deltas!$A$2:$H$5000,8,FALSE)-E201,"")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8" t="n"/>
      <c r="CT202" s="8" t="n"/>
      <c r="CU202" s="8" t="n"/>
      <c r="CV202" s="8" t="n"/>
      <c r="CW202" s="8" t="n"/>
      <c r="CX202" s="8" t="n"/>
      <c r="CY202" s="8" t="n"/>
      <c r="CZ202" s="8" t="n"/>
      <c r="DA202" s="8" t="n"/>
      <c r="DB202" s="8" t="n"/>
      <c r="DC202" s="8" t="n"/>
      <c r="DD202" s="8" t="n"/>
      <c r="DE202" s="8" t="n"/>
      <c r="DF202" s="8" t="n"/>
      <c r="DG202" s="8" t="n"/>
      <c r="DH202" s="8" t="n"/>
      <c r="DI202" s="8" t="n"/>
      <c r="DJ202" s="8" t="n"/>
      <c r="DK202" s="8" t="n"/>
      <c r="DL202" s="8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8" t="n"/>
      <c r="FI202" s="8" t="n"/>
      <c r="FJ202" s="8" t="n"/>
      <c r="FK202" s="8" t="n"/>
      <c r="FL202" s="8" t="n"/>
      <c r="FM202" s="8" t="n"/>
      <c r="FN202" s="8" t="n"/>
      <c r="FO202" s="8" t="n"/>
      <c r="FP202" s="8" t="n"/>
      <c r="FQ202" s="8" t="n"/>
      <c r="FR202" s="8" t="n"/>
      <c r="FS202" s="8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ez_manage.py:5309 top()</t>
        </is>
      </c>
      <c r="IK202" s="9" t="inlineStr">
        <is>
          <t>v12_quick_engine.py:2876 x3</t>
        </is>
      </c>
    </row>
    <row r="203" ht="11" customHeight="1">
      <c r="A203" s="10" t="inlineStr">
        <is>
          <t>REENTRY_EXIT_RECLAIM_BUFFER_PCT</t>
        </is>
      </c>
      <c r="B203" s="11" t="inlineStr">
        <is>
          <t>0.5</t>
        </is>
      </c>
      <c r="E203">
        <f>IF(F203="",E202,IF(F203&gt;0,E202+F203,E202))</f>
        <v/>
      </c>
      <c r="F203">
        <f>IFERROR(VLOOKUP($A203,Results_30d_Deltas!$A$2:$H$5000,8,FALSE)-E202,"")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8" t="n"/>
      <c r="CT203" s="8" t="n"/>
      <c r="CU203" s="8" t="n"/>
      <c r="CV203" s="8" t="n"/>
      <c r="CW203" s="8" t="n"/>
      <c r="CX203" s="8" t="n"/>
      <c r="CY203" s="8" t="n"/>
      <c r="CZ203" s="8" t="n"/>
      <c r="DA203" s="8" t="n"/>
      <c r="DB203" s="8" t="n"/>
      <c r="DC203" s="8" t="n"/>
      <c r="DD203" s="8" t="n"/>
      <c r="DE203" s="8" t="n"/>
      <c r="DF203" s="8" t="n"/>
      <c r="DG203" s="8" t="n"/>
      <c r="DH203" s="8" t="n"/>
      <c r="DI203" s="8" t="n"/>
      <c r="DJ203" s="8" t="n"/>
      <c r="DK203" s="8" t="n"/>
      <c r="DL203" s="8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8" t="n"/>
      <c r="FI203" s="8" t="n"/>
      <c r="FJ203" s="8" t="n"/>
      <c r="FK203" s="8" t="n"/>
      <c r="FL203" s="8" t="n"/>
      <c r="FM203" s="8" t="n"/>
      <c r="FN203" s="8" t="n"/>
      <c r="FO203" s="8" t="n"/>
      <c r="FP203" s="8" t="n"/>
      <c r="FQ203" s="8" t="n"/>
      <c r="FR203" s="8" t="n"/>
      <c r="FS203" s="8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ez_manage.py:5309 top()</t>
        </is>
      </c>
      <c r="IK203" s="9" t="inlineStr">
        <is>
          <t>v12_quick_engine.py:2876 x3</t>
        </is>
      </c>
    </row>
    <row r="204" ht="11" customHeight="1">
      <c r="A204" s="10" t="inlineStr">
        <is>
          <t>REENTRY_EXIT_RECLAIM_BUFFER_PCT</t>
        </is>
      </c>
      <c r="B204" s="11" t="inlineStr">
        <is>
          <t>1.0</t>
        </is>
      </c>
      <c r="E204">
        <f>IF(F204="",E203,IF(F204&gt;0,E203+F204,E203))</f>
        <v/>
      </c>
      <c r="F204">
        <f>IFERROR(VLOOKUP($A204,Results_30d_Deltas!$A$2:$H$5000,8,FALSE)-E203,"")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8" t="n"/>
      <c r="CT204" s="8" t="n"/>
      <c r="CU204" s="8" t="n"/>
      <c r="CV204" s="8" t="n"/>
      <c r="CW204" s="8" t="n"/>
      <c r="CX204" s="8" t="n"/>
      <c r="CY204" s="8" t="n"/>
      <c r="CZ204" s="8" t="n"/>
      <c r="DA204" s="8" t="n"/>
      <c r="DB204" s="8" t="n"/>
      <c r="DC204" s="8" t="n"/>
      <c r="DD204" s="8" t="n"/>
      <c r="DE204" s="8" t="n"/>
      <c r="DF204" s="8" t="n"/>
      <c r="DG204" s="8" t="n"/>
      <c r="DH204" s="8" t="n"/>
      <c r="DI204" s="8" t="n"/>
      <c r="DJ204" s="8" t="n"/>
      <c r="DK204" s="8" t="n"/>
      <c r="DL204" s="8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8" t="n"/>
      <c r="FI204" s="8" t="n"/>
      <c r="FJ204" s="8" t="n"/>
      <c r="FK204" s="8" t="n"/>
      <c r="FL204" s="8" t="n"/>
      <c r="FM204" s="8" t="n"/>
      <c r="FN204" s="8" t="n"/>
      <c r="FO204" s="8" t="n"/>
      <c r="FP204" s="8" t="n"/>
      <c r="FQ204" s="8" t="n"/>
      <c r="FR204" s="8" t="n"/>
      <c r="FS204" s="8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ez_manage.py:5309 top()</t>
        </is>
      </c>
      <c r="IK204" s="9" t="inlineStr">
        <is>
          <t>v12_quick_engine.py:2876 x3</t>
        </is>
      </c>
    </row>
    <row r="205" ht="11" customHeight="1">
      <c r="A205" s="10" t="inlineStr">
        <is>
          <t>REENTRY_EXIT_RECLAIM_BUFFER_PCT</t>
        </is>
      </c>
      <c r="B205" s="11" t="inlineStr">
        <is>
          <t>2.0</t>
        </is>
      </c>
      <c r="E205">
        <f>IF(F205="",E204,IF(F205&gt;0,E204+F205,E204))</f>
        <v/>
      </c>
      <c r="F205">
        <f>IFERROR(VLOOKUP($A205,Results_30d_Deltas!$A$2:$H$5000,8,FALSE)-E204,"")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8" t="n"/>
      <c r="CT205" s="8" t="n"/>
      <c r="CU205" s="8" t="n"/>
      <c r="CV205" s="8" t="n"/>
      <c r="CW205" s="8" t="n"/>
      <c r="CX205" s="8" t="n"/>
      <c r="CY205" s="8" t="n"/>
      <c r="CZ205" s="8" t="n"/>
      <c r="DA205" s="8" t="n"/>
      <c r="DB205" s="8" t="n"/>
      <c r="DC205" s="8" t="n"/>
      <c r="DD205" s="8" t="n"/>
      <c r="DE205" s="8" t="n"/>
      <c r="DF205" s="8" t="n"/>
      <c r="DG205" s="8" t="n"/>
      <c r="DH205" s="8" t="n"/>
      <c r="DI205" s="8" t="n"/>
      <c r="DJ205" s="8" t="n"/>
      <c r="DK205" s="8" t="n"/>
      <c r="DL205" s="8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8" t="n"/>
      <c r="FI205" s="8" t="n"/>
      <c r="FJ205" s="8" t="n"/>
      <c r="FK205" s="8" t="n"/>
      <c r="FL205" s="8" t="n"/>
      <c r="FM205" s="8" t="n"/>
      <c r="FN205" s="8" t="n"/>
      <c r="FO205" s="8" t="n"/>
      <c r="FP205" s="8" t="n"/>
      <c r="FQ205" s="8" t="n"/>
      <c r="FR205" s="8" t="n"/>
      <c r="FS205" s="8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ez_manage.py:5309 top()</t>
        </is>
      </c>
      <c r="IK205" s="9" t="inlineStr">
        <is>
          <t>v12_quick_engine.py:2876 x3</t>
        </is>
      </c>
    </row>
    <row r="206" ht="11" customHeight="1">
      <c r="A206" s="6" t="inlineStr">
        <is>
          <t>REENTRY_EXIT_RECLAIM_ENABLED</t>
        </is>
      </c>
      <c r="B206" s="7" t="inlineStr">
        <is>
          <t>False</t>
        </is>
      </c>
      <c r="E206">
        <f>IF(F206="",E205,IF(F206&gt;0,E205+F206,E205))</f>
        <v/>
      </c>
      <c r="F206">
        <f>IFERROR(VLOOKUP($A206,Results_30d_Deltas!$A$2:$H$5000,8,FALSE)-E205,"")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8" t="n"/>
      <c r="CT206" s="8" t="n"/>
      <c r="CU206" s="8" t="n"/>
      <c r="CV206" s="8" t="n"/>
      <c r="CW206" s="8" t="n"/>
      <c r="CX206" s="8" t="n"/>
      <c r="CY206" s="8" t="n"/>
      <c r="CZ206" s="8" t="n"/>
      <c r="DA206" s="8" t="n"/>
      <c r="DB206" s="8" t="n"/>
      <c r="DC206" s="8" t="n"/>
      <c r="DD206" s="8" t="n"/>
      <c r="DE206" s="8" t="n"/>
      <c r="DF206" s="8" t="n"/>
      <c r="DG206" s="8" t="n"/>
      <c r="DH206" s="8" t="n"/>
      <c r="DI206" s="8" t="n"/>
      <c r="DJ206" s="8" t="n"/>
      <c r="DK206" s="8" t="n"/>
      <c r="DL206" s="8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8" t="n"/>
      <c r="FI206" s="8" t="n"/>
      <c r="FJ206" s="8" t="n"/>
      <c r="FK206" s="8" t="n"/>
      <c r="FL206" s="8" t="n"/>
      <c r="FM206" s="8" t="n"/>
      <c r="FN206" s="8" t="n"/>
      <c r="FO206" s="8" t="n"/>
      <c r="FP206" s="8" t="n"/>
      <c r="FQ206" s="8" t="n"/>
      <c r="FR206" s="8" t="n"/>
      <c r="FS206" s="8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ez_manage.py:5310 top()</t>
        </is>
      </c>
      <c r="IK206" s="9" t="inlineStr">
        <is>
          <t>v12_quick_engine.py:2877 x3</t>
        </is>
      </c>
    </row>
    <row r="207" ht="11" customHeight="1">
      <c r="A207" s="10" t="inlineStr">
        <is>
          <t>REENTRY_EXIT_RECLAIM_ENABLED</t>
        </is>
      </c>
      <c r="B207" s="11" t="inlineStr">
        <is>
          <t>True</t>
        </is>
      </c>
      <c r="E207">
        <f>IF(F207="",E206,IF(F207&gt;0,E206+F207,E206))</f>
        <v/>
      </c>
      <c r="F207">
        <f>IFERROR(VLOOKUP($A207,Results_30d_Deltas!$A$2:$H$5000,8,FALSE)-E206,"")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8" t="n"/>
      <c r="CT207" s="8" t="n"/>
      <c r="CU207" s="8" t="n"/>
      <c r="CV207" s="8" t="n"/>
      <c r="CW207" s="8" t="n"/>
      <c r="CX207" s="8" t="n"/>
      <c r="CY207" s="8" t="n"/>
      <c r="CZ207" s="8" t="n"/>
      <c r="DA207" s="8" t="n"/>
      <c r="DB207" s="8" t="n"/>
      <c r="DC207" s="8" t="n"/>
      <c r="DD207" s="8" t="n"/>
      <c r="DE207" s="8" t="n"/>
      <c r="DF207" s="8" t="n"/>
      <c r="DG207" s="8" t="n"/>
      <c r="DH207" s="8" t="n"/>
      <c r="DI207" s="8" t="n"/>
      <c r="DJ207" s="8" t="n"/>
      <c r="DK207" s="8" t="n"/>
      <c r="DL207" s="8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8" t="n"/>
      <c r="FI207" s="8" t="n"/>
      <c r="FJ207" s="8" t="n"/>
      <c r="FK207" s="8" t="n"/>
      <c r="FL207" s="8" t="n"/>
      <c r="FM207" s="8" t="n"/>
      <c r="FN207" s="8" t="n"/>
      <c r="FO207" s="8" t="n"/>
      <c r="FP207" s="8" t="n"/>
      <c r="FQ207" s="8" t="n"/>
      <c r="FR207" s="8" t="n"/>
      <c r="FS207" s="8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ez_manage.py:5310 top()</t>
        </is>
      </c>
      <c r="IK207" s="9" t="inlineStr">
        <is>
          <t>v12_quick_engine.py:2877 x3</t>
        </is>
      </c>
    </row>
    <row r="208" ht="11" customHeight="1">
      <c r="A208" s="10" t="inlineStr">
        <is>
          <t>REENTRY_POST_CONSOL_ATR_THRESHOLD</t>
        </is>
      </c>
      <c r="B208" s="11" t="inlineStr">
        <is>
          <t>0</t>
        </is>
      </c>
      <c r="E208">
        <f>IF(F208="",E207,IF(F208&gt;0,E207+F208,E207))</f>
        <v/>
      </c>
      <c r="F208">
        <f>IFERROR(VLOOKUP($A208,Results_30d_Deltas!$A$2:$H$5000,8,FALSE)-E207,"")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8" t="n"/>
      <c r="FI208" s="8" t="n"/>
      <c r="FJ208" s="8" t="n"/>
      <c r="FK208" s="8" t="n"/>
      <c r="FL208" s="8" t="n"/>
      <c r="FM208" s="8" t="n"/>
      <c r="FN208" s="8" t="n"/>
      <c r="FO208" s="8" t="n"/>
      <c r="FP208" s="8" t="n"/>
      <c r="FQ208" s="8" t="n"/>
      <c r="FR208" s="8" t="n"/>
      <c r="FS208" s="8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ez_manage.py:5318 top()</t>
        </is>
      </c>
      <c r="IK208" s="9" t="inlineStr">
        <is>
          <t>v12_quick_engine.py:2896 x3</t>
        </is>
      </c>
    </row>
    <row r="209" ht="11" customHeight="1">
      <c r="A209" s="10" t="inlineStr">
        <is>
          <t>REENTRY_POST_CONSOL_ATR_THRESHOLD</t>
        </is>
      </c>
      <c r="B209" s="11" t="inlineStr">
        <is>
          <t>0.5</t>
        </is>
      </c>
      <c r="E209">
        <f>IF(F209="",E208,IF(F209&gt;0,E208+F209,E208))</f>
        <v/>
      </c>
      <c r="F209">
        <f>IFERROR(VLOOKUP($A209,Results_30d_Deltas!$A$2:$H$5000,8,FALSE)-E208,"")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8" t="n"/>
      <c r="FI209" s="8" t="n"/>
      <c r="FJ209" s="8" t="n"/>
      <c r="FK209" s="8" t="n"/>
      <c r="FL209" s="8" t="n"/>
      <c r="FM209" s="8" t="n"/>
      <c r="FN209" s="8" t="n"/>
      <c r="FO209" s="8" t="n"/>
      <c r="FP209" s="8" t="n"/>
      <c r="FQ209" s="8" t="n"/>
      <c r="FR209" s="8" t="n"/>
      <c r="FS209" s="8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ez_manage.py:5318 top()</t>
        </is>
      </c>
      <c r="IK209" s="9" t="inlineStr">
        <is>
          <t>v12_quick_engine.py:2896 x3</t>
        </is>
      </c>
    </row>
    <row r="210" ht="11" customHeight="1">
      <c r="A210" s="10" t="inlineStr">
        <is>
          <t>REENTRY_POST_CONSOL_ATR_THRESHOLD</t>
        </is>
      </c>
      <c r="B210" s="11" t="inlineStr">
        <is>
          <t>1.0</t>
        </is>
      </c>
      <c r="E210">
        <f>IF(F210="",E209,IF(F210&gt;0,E209+F210,E209))</f>
        <v/>
      </c>
      <c r="F210">
        <f>IFERROR(VLOOKUP($A210,Results_30d_Deltas!$A$2:$H$5000,8,FALSE)-E209,"")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8" t="n"/>
      <c r="FI210" s="8" t="n"/>
      <c r="FJ210" s="8" t="n"/>
      <c r="FK210" s="8" t="n"/>
      <c r="FL210" s="8" t="n"/>
      <c r="FM210" s="8" t="n"/>
      <c r="FN210" s="8" t="n"/>
      <c r="FO210" s="8" t="n"/>
      <c r="FP210" s="8" t="n"/>
      <c r="FQ210" s="8" t="n"/>
      <c r="FR210" s="8" t="n"/>
      <c r="FS210" s="8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ez_manage.py:5318 top()</t>
        </is>
      </c>
      <c r="IK210" s="9" t="inlineStr">
        <is>
          <t>v12_quick_engine.py:2896 x3</t>
        </is>
      </c>
    </row>
    <row r="211" ht="11" customHeight="1">
      <c r="A211" s="10" t="inlineStr">
        <is>
          <t>REENTRY_POST_CONSOL_ATR_THRESHOLD</t>
        </is>
      </c>
      <c r="B211" s="11" t="inlineStr">
        <is>
          <t>2.0</t>
        </is>
      </c>
      <c r="E211">
        <f>IF(F211="",E210,IF(F211&gt;0,E210+F211,E210))</f>
        <v/>
      </c>
      <c r="F211">
        <f>IFERROR(VLOOKUP($A211,Results_30d_Deltas!$A$2:$H$5000,8,FALSE)-E210,"")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8" t="n"/>
      <c r="FI211" s="8" t="n"/>
      <c r="FJ211" s="8" t="n"/>
      <c r="FK211" s="8" t="n"/>
      <c r="FL211" s="8" t="n"/>
      <c r="FM211" s="8" t="n"/>
      <c r="FN211" s="8" t="n"/>
      <c r="FO211" s="8" t="n"/>
      <c r="FP211" s="8" t="n"/>
      <c r="FQ211" s="8" t="n"/>
      <c r="FR211" s="8" t="n"/>
      <c r="FS211" s="8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8" t="n"/>
      <c r="HX211" s="8" t="n"/>
      <c r="HY211" s="8" t="n"/>
      <c r="HZ211" s="8" t="n"/>
      <c r="IA211" s="8" t="n"/>
      <c r="IB211" s="8" t="n"/>
      <c r="IC211" s="8" t="n"/>
      <c r="ID211" s="8" t="n"/>
      <c r="IE211" s="8" t="n"/>
      <c r="IF211" s="8" t="n"/>
      <c r="IG211" s="8" t="n"/>
      <c r="IH211" s="8" t="n"/>
      <c r="IJ211" s="9" t="inlineStr">
        <is>
          <t>ez_manage.py:5318 top()</t>
        </is>
      </c>
      <c r="IK211" s="9" t="inlineStr">
        <is>
          <t>v12_quick_engine.py:2896 x3</t>
        </is>
      </c>
    </row>
    <row r="212" ht="11" customHeight="1">
      <c r="A212" s="6" t="inlineStr">
        <is>
          <t>REENTRY_POST_CONSOL_ENABLED</t>
        </is>
      </c>
      <c r="B212" s="7" t="inlineStr">
        <is>
          <t>False</t>
        </is>
      </c>
      <c r="E212">
        <f>IF(F212="",E211,IF(F212&gt;0,E211+F212,E211))</f>
        <v/>
      </c>
      <c r="F212">
        <f>IFERROR(VLOOKUP($A212,Results_30d_Deltas!$A$2:$H$5000,8,FALSE)-E211,"")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8" t="n"/>
      <c r="FI212" s="8" t="n"/>
      <c r="FJ212" s="8" t="n"/>
      <c r="FK212" s="8" t="n"/>
      <c r="FL212" s="8" t="n"/>
      <c r="FM212" s="8" t="n"/>
      <c r="FN212" s="8" t="n"/>
      <c r="FO212" s="8" t="n"/>
      <c r="FP212" s="8" t="n"/>
      <c r="FQ212" s="8" t="n"/>
      <c r="FR212" s="8" t="n"/>
      <c r="FS212" s="8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8" t="n"/>
      <c r="HX212" s="8" t="n"/>
      <c r="HY212" s="8" t="n"/>
      <c r="HZ212" s="8" t="n"/>
      <c r="IA212" s="8" t="n"/>
      <c r="IB212" s="8" t="n"/>
      <c r="IC212" s="8" t="n"/>
      <c r="ID212" s="8" t="n"/>
      <c r="IE212" s="8" t="n"/>
      <c r="IF212" s="8" t="n"/>
      <c r="IG212" s="8" t="n"/>
      <c r="IH212" s="8" t="n"/>
      <c r="IJ212" s="9" t="inlineStr">
        <is>
          <t>ez_manage.py:3867 top()</t>
        </is>
      </c>
      <c r="IK212" s="9" t="inlineStr">
        <is>
          <t>v12_quick_engine.py:2897 x3</t>
        </is>
      </c>
    </row>
    <row r="213" ht="11" customHeight="1">
      <c r="A213" s="10" t="inlineStr">
        <is>
          <t>REENTRY_POST_CONSOL_ENABLED</t>
        </is>
      </c>
      <c r="B213" s="11" t="inlineStr">
        <is>
          <t>True</t>
        </is>
      </c>
      <c r="E213">
        <f>IF(F213="",E212,IF(F213&gt;0,E212+F213,E212))</f>
        <v/>
      </c>
      <c r="F213">
        <f>IFERROR(VLOOKUP($A213,Results_30d_Deltas!$A$2:$H$5000,8,FALSE)-E212,"")</f>
        <v/>
      </c>
      <c r="G213">
        <f>IFERROR(VLOOKUP($A213,Results_30d_Deltas!$A$2:$H$5000,7,FALSE)-E212,"")</f>
        <v/>
      </c>
      <c r="H213">
        <f>IFERROR(VLOOKUP($A213,Results_30d_Deltas!$A$2:$H$5000,6,FALSE),"")</f>
        <v/>
      </c>
      <c r="K213">
        <f>IF(B213=C213,"YES","NO")</f>
        <v/>
      </c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8" t="n"/>
      <c r="AI213" s="8" t="n"/>
      <c r="AJ213" s="8" t="n"/>
      <c r="AK213" s="8" t="n"/>
      <c r="AL213" s="8" t="n"/>
      <c r="AM213" s="8" t="n"/>
      <c r="AN213" s="8" t="n"/>
      <c r="AO213" s="8" t="n"/>
      <c r="AP213" s="8" t="n"/>
      <c r="AQ213" s="8" t="n"/>
      <c r="AR213" s="8" t="n"/>
      <c r="AS213" s="8" t="n"/>
      <c r="AT213" s="8" t="n"/>
      <c r="AU213" s="8" t="n"/>
      <c r="AV213" s="8" t="n"/>
      <c r="AW213" s="8" t="n"/>
      <c r="AX213" s="8" t="n"/>
      <c r="AY213" s="8" t="n"/>
      <c r="AZ213" s="8" t="n"/>
      <c r="BA213" s="8" t="n"/>
      <c r="BB213" s="8" t="n"/>
      <c r="BC213" s="8" t="n"/>
      <c r="BD213" s="8" t="n"/>
      <c r="BE213" s="8" t="n"/>
      <c r="BF213" s="8" t="n"/>
      <c r="BG213" s="8" t="n"/>
      <c r="BH213" s="8" t="n"/>
      <c r="BI213" s="8" t="n"/>
      <c r="BJ213" s="8" t="n"/>
      <c r="BK213" s="8" t="n"/>
      <c r="BL213" s="8" t="n"/>
      <c r="BM213" s="8" t="n"/>
      <c r="BN213" s="8" t="n"/>
      <c r="BO213" s="8" t="n"/>
      <c r="BP213" s="8" t="n"/>
      <c r="BQ213" s="8" t="n"/>
      <c r="BR213" s="8" t="n"/>
      <c r="BS213" s="8" t="n"/>
      <c r="BT213" s="8" t="n"/>
      <c r="BU213" s="8" t="n"/>
      <c r="BV213" s="8" t="n"/>
      <c r="BW213" s="8" t="n"/>
      <c r="BX213" s="8" t="n"/>
      <c r="BY213" s="8" t="n"/>
      <c r="BZ213" s="8" t="n"/>
      <c r="CA213" s="8" t="n"/>
      <c r="CB213" s="8" t="n"/>
      <c r="CC213" s="8" t="n"/>
      <c r="CD213" s="8" t="n"/>
      <c r="CE213" s="8" t="n"/>
      <c r="CF213" s="8" t="n"/>
      <c r="CG213" s="8" t="n"/>
      <c r="CH213" s="8" t="n"/>
      <c r="CI213" s="8" t="n"/>
      <c r="CJ213" s="8" t="n"/>
      <c r="CK213" s="8" t="n"/>
      <c r="CL213" s="8" t="n"/>
      <c r="CM213" s="8" t="n"/>
      <c r="CN213" s="8" t="n"/>
      <c r="CO213" s="8" t="n"/>
      <c r="CP213" s="8" t="n"/>
      <c r="CQ213" s="8" t="n"/>
      <c r="CR213" s="8" t="n"/>
      <c r="CS213" s="8" t="n"/>
      <c r="CT213" s="8" t="n"/>
      <c r="CU213" s="8" t="n"/>
      <c r="CV213" s="8" t="n"/>
      <c r="CW213" s="8" t="n"/>
      <c r="CX213" s="8" t="n"/>
      <c r="CY213" s="8" t="n"/>
      <c r="CZ213" s="8" t="n"/>
      <c r="DA213" s="8" t="n"/>
      <c r="DB213" s="8" t="n"/>
      <c r="DC213" s="8" t="n"/>
      <c r="DD213" s="8" t="n"/>
      <c r="DE213" s="8" t="n"/>
      <c r="DF213" s="8" t="n"/>
      <c r="DG213" s="8" t="n"/>
      <c r="DH213" s="8" t="n"/>
      <c r="DI213" s="8" t="n"/>
      <c r="DJ213" s="8" t="n"/>
      <c r="DK213" s="8" t="n"/>
      <c r="DL213" s="8" t="n"/>
      <c r="DM213" s="8" t="n"/>
      <c r="DN213" s="8" t="n"/>
      <c r="DO213" s="8" t="n"/>
      <c r="DP213" s="8" t="n"/>
      <c r="DQ213" s="8" t="n"/>
      <c r="DR213" s="8" t="n"/>
      <c r="DS213" s="8" t="n"/>
      <c r="DT213" s="8" t="n"/>
      <c r="DU213" s="8" t="n"/>
      <c r="DV213" s="8" t="n"/>
      <c r="DW213" s="8" t="n"/>
      <c r="DX213" s="8" t="n"/>
      <c r="DY213" s="8" t="n"/>
      <c r="DZ213" s="8" t="n"/>
      <c r="EA213" s="8" t="n"/>
      <c r="EB213" s="8" t="n"/>
      <c r="EC213" s="8" t="n"/>
      <c r="ED213" s="8" t="n"/>
      <c r="EE213" s="8" t="n"/>
      <c r="EF213" s="8" t="n"/>
      <c r="EG213" s="8" t="n"/>
      <c r="EH213" s="8" t="n"/>
      <c r="EI213" s="8" t="n"/>
      <c r="EJ213" s="8" t="n"/>
      <c r="EK213" s="8" t="n"/>
      <c r="EL213" s="8" t="n"/>
      <c r="EM213" s="8" t="n"/>
      <c r="EN213" s="8" t="n"/>
      <c r="EO213" s="8" t="n"/>
      <c r="EP213" s="8" t="n"/>
      <c r="EQ213" s="8" t="n"/>
      <c r="ER213" s="8" t="n"/>
      <c r="ES213" s="8" t="n"/>
      <c r="ET213" s="8" t="n"/>
      <c r="EU213" s="8" t="n"/>
      <c r="EV213" s="8" t="n"/>
      <c r="EW213" s="8" t="n"/>
      <c r="EX213" s="8" t="n"/>
      <c r="EY213" s="8" t="n"/>
      <c r="EZ213" s="8" t="n"/>
      <c r="FA213" s="8" t="n"/>
      <c r="FB213" s="8" t="n"/>
      <c r="FC213" s="8" t="n"/>
      <c r="FD213" s="8" t="n"/>
      <c r="FE213" s="8" t="n"/>
      <c r="FF213" s="8" t="n"/>
      <c r="FG213" s="8" t="n"/>
      <c r="FH213" s="8" t="n"/>
      <c r="FI213" s="8" t="n"/>
      <c r="FJ213" s="8" t="n"/>
      <c r="FK213" s="8" t="n"/>
      <c r="FL213" s="8" t="n"/>
      <c r="FM213" s="8" t="n"/>
      <c r="FN213" s="8" t="n"/>
      <c r="FO213" s="8" t="n"/>
      <c r="FP213" s="8" t="n"/>
      <c r="FQ213" s="8" t="n"/>
      <c r="FR213" s="8" t="n"/>
      <c r="FS213" s="8" t="n"/>
      <c r="FT213" s="8" t="n"/>
      <c r="FU213" s="8" t="n"/>
      <c r="FV213" s="8" t="n"/>
      <c r="FW213" s="8" t="n"/>
      <c r="FX213" s="8" t="n"/>
      <c r="FY213" s="8" t="n"/>
      <c r="FZ213" s="8" t="n"/>
      <c r="GA213" s="8" t="n"/>
      <c r="GB213" s="8" t="n"/>
      <c r="GC213" s="8" t="n"/>
      <c r="GD213" s="8" t="n"/>
      <c r="GE213" s="8" t="n"/>
      <c r="GF213" s="8" t="n"/>
      <c r="GG213" s="8" t="n"/>
      <c r="GH213" s="8" t="n"/>
      <c r="GI213" s="8" t="n"/>
      <c r="GJ213" s="8" t="n"/>
      <c r="GK213" s="8" t="n"/>
      <c r="GL213" s="8" t="n"/>
      <c r="GM213" s="8" t="n"/>
      <c r="GN213" s="8" t="n"/>
      <c r="GO213" s="8" t="n"/>
      <c r="GP213" s="8" t="n"/>
      <c r="GQ213" s="8" t="n"/>
      <c r="GR213" s="8" t="n"/>
      <c r="GS213" s="8" t="n"/>
      <c r="GT213" s="8" t="n"/>
      <c r="GU213" s="8" t="n"/>
      <c r="GV213" s="8" t="n"/>
      <c r="GW213" s="8" t="n"/>
      <c r="GX213" s="8" t="n"/>
      <c r="GY213" s="8" t="n"/>
      <c r="GZ213" s="8" t="n"/>
      <c r="HA213" s="8" t="n"/>
      <c r="HB213" s="8" t="n"/>
      <c r="HC213" s="8" t="n"/>
      <c r="HD213" s="8" t="n"/>
      <c r="HE213" s="8" t="n"/>
      <c r="HF213" s="8" t="n"/>
      <c r="HG213" s="8" t="n"/>
      <c r="HH213" s="8" t="n"/>
      <c r="HI213" s="8" t="n"/>
      <c r="HJ213" s="8" t="n"/>
      <c r="HK213" s="8" t="n"/>
      <c r="HL213" s="8" t="n"/>
      <c r="HM213" s="8" t="n"/>
      <c r="HN213" s="8" t="n"/>
      <c r="HO213" s="8" t="n"/>
      <c r="HP213" s="8" t="n"/>
      <c r="HQ213" s="8" t="n"/>
      <c r="HR213" s="8" t="n"/>
      <c r="HS213" s="8" t="n"/>
      <c r="HT213" s="8" t="n"/>
      <c r="HU213" s="8" t="n"/>
      <c r="HV213" s="8" t="n"/>
      <c r="HW213" s="8" t="n"/>
      <c r="HX213" s="8" t="n"/>
      <c r="HY213" s="8" t="n"/>
      <c r="HZ213" s="8" t="n"/>
      <c r="IA213" s="8" t="n"/>
      <c r="IB213" s="8" t="n"/>
      <c r="IC213" s="8" t="n"/>
      <c r="ID213" s="8" t="n"/>
      <c r="IE213" s="8" t="n"/>
      <c r="IF213" s="8" t="n"/>
      <c r="IG213" s="8" t="n"/>
      <c r="IH213" s="8" t="n"/>
      <c r="IJ213" s="9" t="inlineStr">
        <is>
          <t>ez_manage.py:3867 top()</t>
        </is>
      </c>
      <c r="IK213" s="9" t="inlineStr">
        <is>
          <t>v12_quick_engine.py:2897 x3</t>
        </is>
      </c>
    </row>
    <row r="214" ht="11" customHeight="1">
      <c r="A214" s="10" t="inlineStr">
        <is>
          <t>REENTRY_POST_CONSOL_MULT</t>
        </is>
      </c>
      <c r="B214" s="11" t="inlineStr">
        <is>
          <t>0</t>
        </is>
      </c>
      <c r="E214">
        <f>IF(F214="",E213,IF(F214&gt;0,E213+F214,E213))</f>
        <v/>
      </c>
      <c r="F214">
        <f>IFERROR(VLOOKUP($A214,Results_30d_Deltas!$A$2:$H$5000,8,FALSE)-E213,"")</f>
        <v/>
      </c>
      <c r="G214">
        <f>IFERROR(VLOOKUP($A214,Results_30d_Deltas!$A$2:$H$5000,7,FALSE)-E213,"")</f>
        <v/>
      </c>
      <c r="H214">
        <f>IFERROR(VLOOKUP($A214,Results_30d_Deltas!$A$2:$H$5000,6,FALSE),"")</f>
        <v/>
      </c>
      <c r="K214">
        <f>IF(B214=C214,"YES","NO")</f>
        <v/>
      </c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8" t="n"/>
      <c r="AI214" s="8" t="n"/>
      <c r="AJ214" s="8" t="n"/>
      <c r="AK214" s="8" t="n"/>
      <c r="AL214" s="8" t="n"/>
      <c r="AM214" s="8" t="n"/>
      <c r="AN214" s="8" t="n"/>
      <c r="AO214" s="8" t="n"/>
      <c r="AP214" s="8" t="n"/>
      <c r="AQ214" s="8" t="n"/>
      <c r="AR214" s="8" t="n"/>
      <c r="AS214" s="8" t="n"/>
      <c r="AT214" s="8" t="n"/>
      <c r="AU214" s="8" t="n"/>
      <c r="AV214" s="8" t="n"/>
      <c r="AW214" s="8" t="n"/>
      <c r="AX214" s="8" t="n"/>
      <c r="AY214" s="8" t="n"/>
      <c r="AZ214" s="8" t="n"/>
      <c r="BA214" s="8" t="n"/>
      <c r="BB214" s="8" t="n"/>
      <c r="BC214" s="8" t="n"/>
      <c r="BD214" s="8" t="n"/>
      <c r="BE214" s="8" t="n"/>
      <c r="BF214" s="8" t="n"/>
      <c r="BG214" s="8" t="n"/>
      <c r="BH214" s="8" t="n"/>
      <c r="BI214" s="8" t="n"/>
      <c r="BJ214" s="8" t="n"/>
      <c r="BK214" s="8" t="n"/>
      <c r="BL214" s="8" t="n"/>
      <c r="BM214" s="8" t="n"/>
      <c r="BN214" s="8" t="n"/>
      <c r="BO214" s="8" t="n"/>
      <c r="BP214" s="8" t="n"/>
      <c r="BQ214" s="8" t="n"/>
      <c r="BR214" s="8" t="n"/>
      <c r="BS214" s="8" t="n"/>
      <c r="BT214" s="8" t="n"/>
      <c r="BU214" s="8" t="n"/>
      <c r="BV214" s="8" t="n"/>
      <c r="BW214" s="8" t="n"/>
      <c r="BX214" s="8" t="n"/>
      <c r="BY214" s="8" t="n"/>
      <c r="BZ214" s="8" t="n"/>
      <c r="CA214" s="8" t="n"/>
      <c r="CB214" s="8" t="n"/>
      <c r="CC214" s="8" t="n"/>
      <c r="CD214" s="8" t="n"/>
      <c r="CE214" s="8" t="n"/>
      <c r="CF214" s="8" t="n"/>
      <c r="CG214" s="8" t="n"/>
      <c r="CH214" s="8" t="n"/>
      <c r="CI214" s="8" t="n"/>
      <c r="CJ214" s="8" t="n"/>
      <c r="CK214" s="8" t="n"/>
      <c r="CL214" s="8" t="n"/>
      <c r="CM214" s="8" t="n"/>
      <c r="CN214" s="8" t="n"/>
      <c r="CO214" s="8" t="n"/>
      <c r="CP214" s="8" t="n"/>
      <c r="CQ214" s="8" t="n"/>
      <c r="CR214" s="8" t="n"/>
      <c r="CS214" s="8" t="n"/>
      <c r="CT214" s="8" t="n"/>
      <c r="CU214" s="8" t="n"/>
      <c r="CV214" s="8" t="n"/>
      <c r="CW214" s="8" t="n"/>
      <c r="CX214" s="8" t="n"/>
      <c r="CY214" s="8" t="n"/>
      <c r="CZ214" s="8" t="n"/>
      <c r="DA214" s="8" t="n"/>
      <c r="DB214" s="8" t="n"/>
      <c r="DC214" s="8" t="n"/>
      <c r="DD214" s="8" t="n"/>
      <c r="DE214" s="8" t="n"/>
      <c r="DF214" s="8" t="n"/>
      <c r="DG214" s="8" t="n"/>
      <c r="DH214" s="8" t="n"/>
      <c r="DI214" s="8" t="n"/>
      <c r="DJ214" s="8" t="n"/>
      <c r="DK214" s="8" t="n"/>
      <c r="DL214" s="8" t="n"/>
      <c r="DM214" s="8" t="n"/>
      <c r="DN214" s="8" t="n"/>
      <c r="DO214" s="8" t="n"/>
      <c r="DP214" s="8" t="n"/>
      <c r="DQ214" s="8" t="n"/>
      <c r="DR214" s="8" t="n"/>
      <c r="DS214" s="8" t="n"/>
      <c r="DT214" s="8" t="n"/>
      <c r="DU214" s="8" t="n"/>
      <c r="DV214" s="8" t="n"/>
      <c r="DW214" s="8" t="n"/>
      <c r="DX214" s="8" t="n"/>
      <c r="DY214" s="8" t="n"/>
      <c r="DZ214" s="8" t="n"/>
      <c r="EA214" s="8" t="n"/>
      <c r="EB214" s="8" t="n"/>
      <c r="EC214" s="8" t="n"/>
      <c r="ED214" s="8" t="n"/>
      <c r="EE214" s="8" t="n"/>
      <c r="EF214" s="8" t="n"/>
      <c r="EG214" s="8" t="n"/>
      <c r="EH214" s="8" t="n"/>
      <c r="EI214" s="8" t="n"/>
      <c r="EJ214" s="8" t="n"/>
      <c r="EK214" s="8" t="n"/>
      <c r="EL214" s="8" t="n"/>
      <c r="EM214" s="8" t="n"/>
      <c r="EN214" s="8" t="n"/>
      <c r="EO214" s="8" t="n"/>
      <c r="EP214" s="8" t="n"/>
      <c r="EQ214" s="8" t="n"/>
      <c r="ER214" s="8" t="n"/>
      <c r="ES214" s="8" t="n"/>
      <c r="ET214" s="8" t="n"/>
      <c r="EU214" s="8" t="n"/>
      <c r="EV214" s="8" t="n"/>
      <c r="EW214" s="8" t="n"/>
      <c r="EX214" s="8" t="n"/>
      <c r="EY214" s="8" t="n"/>
      <c r="EZ214" s="8" t="n"/>
      <c r="FA214" s="8" t="n"/>
      <c r="FB214" s="8" t="n"/>
      <c r="FC214" s="8" t="n"/>
      <c r="FD214" s="8" t="n"/>
      <c r="FE214" s="8" t="n"/>
      <c r="FF214" s="8" t="n"/>
      <c r="FG214" s="8" t="n"/>
      <c r="FH214" s="8" t="n"/>
      <c r="FI214" s="8" t="n"/>
      <c r="FJ214" s="8" t="n"/>
      <c r="FK214" s="8" t="n"/>
      <c r="FL214" s="8" t="n"/>
      <c r="FM214" s="8" t="n"/>
      <c r="FN214" s="8" t="n"/>
      <c r="FO214" s="8" t="n"/>
      <c r="FP214" s="8" t="n"/>
      <c r="FQ214" s="8" t="n"/>
      <c r="FR214" s="8" t="n"/>
      <c r="FS214" s="8" t="n"/>
      <c r="FT214" s="8" t="n"/>
      <c r="FU214" s="8" t="n"/>
      <c r="FV214" s="8" t="n"/>
      <c r="FW214" s="8" t="n"/>
      <c r="FX214" s="8" t="n"/>
      <c r="FY214" s="8" t="n"/>
      <c r="FZ214" s="8" t="n"/>
      <c r="GA214" s="8" t="n"/>
      <c r="GB214" s="8" t="n"/>
      <c r="GC214" s="8" t="n"/>
      <c r="GD214" s="8" t="n"/>
      <c r="GE214" s="8" t="n"/>
      <c r="GF214" s="8" t="n"/>
      <c r="GG214" s="8" t="n"/>
      <c r="GH214" s="8" t="n"/>
      <c r="GI214" s="8" t="n"/>
      <c r="GJ214" s="8" t="n"/>
      <c r="GK214" s="8" t="n"/>
      <c r="GL214" s="8" t="n"/>
      <c r="GM214" s="8" t="n"/>
      <c r="GN214" s="8" t="n"/>
      <c r="GO214" s="8" t="n"/>
      <c r="GP214" s="8" t="n"/>
      <c r="GQ214" s="8" t="n"/>
      <c r="GR214" s="8" t="n"/>
      <c r="GS214" s="8" t="n"/>
      <c r="GT214" s="8" t="n"/>
      <c r="GU214" s="8" t="n"/>
      <c r="GV214" s="8" t="n"/>
      <c r="GW214" s="8" t="n"/>
      <c r="GX214" s="8" t="n"/>
      <c r="GY214" s="8" t="n"/>
      <c r="GZ214" s="8" t="n"/>
      <c r="HA214" s="8" t="n"/>
      <c r="HB214" s="8" t="n"/>
      <c r="HC214" s="8" t="n"/>
      <c r="HD214" s="8" t="n"/>
      <c r="HE214" s="8" t="n"/>
      <c r="HF214" s="8" t="n"/>
      <c r="HG214" s="8" t="n"/>
      <c r="HH214" s="8" t="n"/>
      <c r="HI214" s="8" t="n"/>
      <c r="HJ214" s="8" t="n"/>
      <c r="HK214" s="8" t="n"/>
      <c r="HL214" s="8" t="n"/>
      <c r="HM214" s="8" t="n"/>
      <c r="HN214" s="8" t="n"/>
      <c r="HO214" s="8" t="n"/>
      <c r="HP214" s="8" t="n"/>
      <c r="HQ214" s="8" t="n"/>
      <c r="HR214" s="8" t="n"/>
      <c r="HS214" s="8" t="n"/>
      <c r="HT214" s="8" t="n"/>
      <c r="HU214" s="8" t="n"/>
      <c r="HV214" s="8" t="n"/>
      <c r="HW214" s="8" t="n"/>
      <c r="HX214" s="8" t="n"/>
      <c r="HY214" s="8" t="n"/>
      <c r="HZ214" s="8" t="n"/>
      <c r="IA214" s="8" t="n"/>
      <c r="IB214" s="8" t="n"/>
      <c r="IC214" s="8" t="n"/>
      <c r="ID214" s="8" t="n"/>
      <c r="IE214" s="8" t="n"/>
      <c r="IF214" s="8" t="n"/>
      <c r="IG214" s="8" t="n"/>
      <c r="IH214" s="8" t="n"/>
      <c r="IJ214" s="9" t="inlineStr">
        <is>
          <t>ez_manage.py:5319 top()</t>
        </is>
      </c>
      <c r="IK214" s="9" t="inlineStr">
        <is>
          <t>v12_quick_engine.py:2898 x3</t>
        </is>
      </c>
    </row>
    <row r="215" ht="11" customHeight="1">
      <c r="A215" s="10" t="inlineStr">
        <is>
          <t>REENTRY_POST_CONSOL_MULT</t>
        </is>
      </c>
      <c r="B215" s="11" t="inlineStr">
        <is>
          <t>0.5</t>
        </is>
      </c>
      <c r="E215">
        <f>IF(F215="",E214,IF(F215&gt;0,E214+F215,E214))</f>
        <v/>
      </c>
      <c r="F215">
        <f>IFERROR(VLOOKUP($A215,Results_30d_Deltas!$A$2:$H$5000,8,FALSE)-E214,"")</f>
        <v/>
      </c>
      <c r="G215">
        <f>IFERROR(VLOOKUP($A215,Results_30d_Deltas!$A$2:$H$5000,7,FALSE)-E214,"")</f>
        <v/>
      </c>
      <c r="H215">
        <f>IFERROR(VLOOKUP($A215,Results_30d_Deltas!$A$2:$H$5000,6,FALSE),"")</f>
        <v/>
      </c>
      <c r="K215">
        <f>IF(B215=C215,"YES","NO")</f>
        <v/>
      </c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8" t="n"/>
      <c r="AI215" s="8" t="n"/>
      <c r="AJ215" s="8" t="n"/>
      <c r="AK215" s="8" t="n"/>
      <c r="AL215" s="8" t="n"/>
      <c r="AM215" s="8" t="n"/>
      <c r="AN215" s="8" t="n"/>
      <c r="AO215" s="8" t="n"/>
      <c r="AP215" s="8" t="n"/>
      <c r="AQ215" s="8" t="n"/>
      <c r="AR215" s="8" t="n"/>
      <c r="AS215" s="8" t="n"/>
      <c r="AT215" s="8" t="n"/>
      <c r="AU215" s="8" t="n"/>
      <c r="AV215" s="8" t="n"/>
      <c r="AW215" s="8" t="n"/>
      <c r="AX215" s="8" t="n"/>
      <c r="AY215" s="8" t="n"/>
      <c r="AZ215" s="8" t="n"/>
      <c r="BA215" s="8" t="n"/>
      <c r="BB215" s="8" t="n"/>
      <c r="BC215" s="8" t="n"/>
      <c r="BD215" s="8" t="n"/>
      <c r="BE215" s="8" t="n"/>
      <c r="BF215" s="8" t="n"/>
      <c r="BG215" s="8" t="n"/>
      <c r="BH215" s="8" t="n"/>
      <c r="BI215" s="8" t="n"/>
      <c r="BJ215" s="8" t="n"/>
      <c r="BK215" s="8" t="n"/>
      <c r="BL215" s="8" t="n"/>
      <c r="BM215" s="8" t="n"/>
      <c r="BN215" s="8" t="n"/>
      <c r="BO215" s="8" t="n"/>
      <c r="BP215" s="8" t="n"/>
      <c r="BQ215" s="8" t="n"/>
      <c r="BR215" s="8" t="n"/>
      <c r="BS215" s="8" t="n"/>
      <c r="BT215" s="8" t="n"/>
      <c r="BU215" s="8" t="n"/>
      <c r="BV215" s="8" t="n"/>
      <c r="BW215" s="8" t="n"/>
      <c r="BX215" s="8" t="n"/>
      <c r="BY215" s="8" t="n"/>
      <c r="BZ215" s="8" t="n"/>
      <c r="CA215" s="8" t="n"/>
      <c r="CB215" s="8" t="n"/>
      <c r="CC215" s="8" t="n"/>
      <c r="CD215" s="8" t="n"/>
      <c r="CE215" s="8" t="n"/>
      <c r="CF215" s="8" t="n"/>
      <c r="CG215" s="8" t="n"/>
      <c r="CH215" s="8" t="n"/>
      <c r="CI215" s="8" t="n"/>
      <c r="CJ215" s="8" t="n"/>
      <c r="CK215" s="8" t="n"/>
      <c r="CL215" s="8" t="n"/>
      <c r="CM215" s="8" t="n"/>
      <c r="CN215" s="8" t="n"/>
      <c r="CO215" s="8" t="n"/>
      <c r="CP215" s="8" t="n"/>
      <c r="CQ215" s="8" t="n"/>
      <c r="CR215" s="8" t="n"/>
      <c r="CS215" s="8" t="n"/>
      <c r="CT215" s="8" t="n"/>
      <c r="CU215" s="8" t="n"/>
      <c r="CV215" s="8" t="n"/>
      <c r="CW215" s="8" t="n"/>
      <c r="CX215" s="8" t="n"/>
      <c r="CY215" s="8" t="n"/>
      <c r="CZ215" s="8" t="n"/>
      <c r="DA215" s="8" t="n"/>
      <c r="DB215" s="8" t="n"/>
      <c r="DC215" s="8" t="n"/>
      <c r="DD215" s="8" t="n"/>
      <c r="DE215" s="8" t="n"/>
      <c r="DF215" s="8" t="n"/>
      <c r="DG215" s="8" t="n"/>
      <c r="DH215" s="8" t="n"/>
      <c r="DI215" s="8" t="n"/>
      <c r="DJ215" s="8" t="n"/>
      <c r="DK215" s="8" t="n"/>
      <c r="DL215" s="8" t="n"/>
      <c r="DM215" s="8" t="n"/>
      <c r="DN215" s="8" t="n"/>
      <c r="DO215" s="8" t="n"/>
      <c r="DP215" s="8" t="n"/>
      <c r="DQ215" s="8" t="n"/>
      <c r="DR215" s="8" t="n"/>
      <c r="DS215" s="8" t="n"/>
      <c r="DT215" s="8" t="n"/>
      <c r="DU215" s="8" t="n"/>
      <c r="DV215" s="8" t="n"/>
      <c r="DW215" s="8" t="n"/>
      <c r="DX215" s="8" t="n"/>
      <c r="DY215" s="8" t="n"/>
      <c r="DZ215" s="8" t="n"/>
      <c r="EA215" s="8" t="n"/>
      <c r="EB215" s="8" t="n"/>
      <c r="EC215" s="8" t="n"/>
      <c r="ED215" s="8" t="n"/>
      <c r="EE215" s="8" t="n"/>
      <c r="EF215" s="8" t="n"/>
      <c r="EG215" s="8" t="n"/>
      <c r="EH215" s="8" t="n"/>
      <c r="EI215" s="8" t="n"/>
      <c r="EJ215" s="8" t="n"/>
      <c r="EK215" s="8" t="n"/>
      <c r="EL215" s="8" t="n"/>
      <c r="EM215" s="8" t="n"/>
      <c r="EN215" s="8" t="n"/>
      <c r="EO215" s="8" t="n"/>
      <c r="EP215" s="8" t="n"/>
      <c r="EQ215" s="8" t="n"/>
      <c r="ER215" s="8" t="n"/>
      <c r="ES215" s="8" t="n"/>
      <c r="ET215" s="8" t="n"/>
      <c r="EU215" s="8" t="n"/>
      <c r="EV215" s="8" t="n"/>
      <c r="EW215" s="8" t="n"/>
      <c r="EX215" s="8" t="n"/>
      <c r="EY215" s="8" t="n"/>
      <c r="EZ215" s="8" t="n"/>
      <c r="FA215" s="8" t="n"/>
      <c r="FB215" s="8" t="n"/>
      <c r="FC215" s="8" t="n"/>
      <c r="FD215" s="8" t="n"/>
      <c r="FE215" s="8" t="n"/>
      <c r="FF215" s="8" t="n"/>
      <c r="FG215" s="8" t="n"/>
      <c r="FH215" s="8" t="n"/>
      <c r="FI215" s="8" t="n"/>
      <c r="FJ215" s="8" t="n"/>
      <c r="FK215" s="8" t="n"/>
      <c r="FL215" s="8" t="n"/>
      <c r="FM215" s="8" t="n"/>
      <c r="FN215" s="8" t="n"/>
      <c r="FO215" s="8" t="n"/>
      <c r="FP215" s="8" t="n"/>
      <c r="FQ215" s="8" t="n"/>
      <c r="FR215" s="8" t="n"/>
      <c r="FS215" s="8" t="n"/>
      <c r="FT215" s="8" t="n"/>
      <c r="FU215" s="8" t="n"/>
      <c r="FV215" s="8" t="n"/>
      <c r="FW215" s="8" t="n"/>
      <c r="FX215" s="8" t="n"/>
      <c r="FY215" s="8" t="n"/>
      <c r="FZ215" s="8" t="n"/>
      <c r="GA215" s="8" t="n"/>
      <c r="GB215" s="8" t="n"/>
      <c r="GC215" s="8" t="n"/>
      <c r="GD215" s="8" t="n"/>
      <c r="GE215" s="8" t="n"/>
      <c r="GF215" s="8" t="n"/>
      <c r="GG215" s="8" t="n"/>
      <c r="GH215" s="8" t="n"/>
      <c r="GI215" s="8" t="n"/>
      <c r="GJ215" s="8" t="n"/>
      <c r="GK215" s="8" t="n"/>
      <c r="GL215" s="8" t="n"/>
      <c r="GM215" s="8" t="n"/>
      <c r="GN215" s="8" t="n"/>
      <c r="GO215" s="8" t="n"/>
      <c r="GP215" s="8" t="n"/>
      <c r="GQ215" s="8" t="n"/>
      <c r="GR215" s="8" t="n"/>
      <c r="GS215" s="8" t="n"/>
      <c r="GT215" s="8" t="n"/>
      <c r="GU215" s="8" t="n"/>
      <c r="GV215" s="8" t="n"/>
      <c r="GW215" s="8" t="n"/>
      <c r="GX215" s="8" t="n"/>
      <c r="GY215" s="8" t="n"/>
      <c r="GZ215" s="8" t="n"/>
      <c r="HA215" s="8" t="n"/>
      <c r="HB215" s="8" t="n"/>
      <c r="HC215" s="8" t="n"/>
      <c r="HD215" s="8" t="n"/>
      <c r="HE215" s="8" t="n"/>
      <c r="HF215" s="8" t="n"/>
      <c r="HG215" s="8" t="n"/>
      <c r="HH215" s="8" t="n"/>
      <c r="HI215" s="8" t="n"/>
      <c r="HJ215" s="8" t="n"/>
      <c r="HK215" s="8" t="n"/>
      <c r="HL215" s="8" t="n"/>
      <c r="HM215" s="8" t="n"/>
      <c r="HN215" s="8" t="n"/>
      <c r="HO215" s="8" t="n"/>
      <c r="HP215" s="8" t="n"/>
      <c r="HQ215" s="8" t="n"/>
      <c r="HR215" s="8" t="n"/>
      <c r="HS215" s="8" t="n"/>
      <c r="HT215" s="8" t="n"/>
      <c r="HU215" s="8" t="n"/>
      <c r="HV215" s="8" t="n"/>
      <c r="HW215" s="8" t="n"/>
      <c r="HX215" s="8" t="n"/>
      <c r="HY215" s="8" t="n"/>
      <c r="HZ215" s="8" t="n"/>
      <c r="IA215" s="8" t="n"/>
      <c r="IB215" s="8" t="n"/>
      <c r="IC215" s="8" t="n"/>
      <c r="ID215" s="8" t="n"/>
      <c r="IE215" s="8" t="n"/>
      <c r="IF215" s="8" t="n"/>
      <c r="IG215" s="8" t="n"/>
      <c r="IH215" s="8" t="n"/>
      <c r="IJ215" s="9" t="inlineStr">
        <is>
          <t>ez_manage.py:5319 top()</t>
        </is>
      </c>
      <c r="IK215" s="9" t="inlineStr">
        <is>
          <t>v12_quick_engine.py:2898 x3</t>
        </is>
      </c>
    </row>
    <row r="216" ht="11" customHeight="1">
      <c r="A216" s="10" t="inlineStr">
        <is>
          <t>REENTRY_POST_CONSOL_MULT</t>
        </is>
      </c>
      <c r="B216" s="11" t="inlineStr">
        <is>
          <t>1.0</t>
        </is>
      </c>
      <c r="E216">
        <f>IF(F216="",E215,IF(F216&gt;0,E215+F216,E215))</f>
        <v/>
      </c>
      <c r="F216">
        <f>IFERROR(VLOOKUP($A216,Results_30d_Deltas!$A$2:$H$5000,8,FALSE)-E215,"")</f>
        <v/>
      </c>
      <c r="G216">
        <f>IFERROR(VLOOKUP($A216,Results_30d_Deltas!$A$2:$H$5000,7,FALSE)-E215,"")</f>
        <v/>
      </c>
      <c r="H216">
        <f>IFERROR(VLOOKUP($A216,Results_30d_Deltas!$A$2:$H$5000,6,FALSE),"")</f>
        <v/>
      </c>
      <c r="K216">
        <f>IF(B216=C216,"YES","NO")</f>
        <v/>
      </c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8" t="n"/>
      <c r="AI216" s="8" t="n"/>
      <c r="AJ216" s="8" t="n"/>
      <c r="AK216" s="8" t="n"/>
      <c r="AL216" s="8" t="n"/>
      <c r="AM216" s="8" t="n"/>
      <c r="AN216" s="8" t="n"/>
      <c r="AO216" s="8" t="n"/>
      <c r="AP216" s="8" t="n"/>
      <c r="AQ216" s="8" t="n"/>
      <c r="AR216" s="8" t="n"/>
      <c r="AS216" s="8" t="n"/>
      <c r="AT216" s="8" t="n"/>
      <c r="AU216" s="8" t="n"/>
      <c r="AV216" s="8" t="n"/>
      <c r="AW216" s="8" t="n"/>
      <c r="AX216" s="8" t="n"/>
      <c r="AY216" s="8" t="n"/>
      <c r="AZ216" s="8" t="n"/>
      <c r="BA216" s="8" t="n"/>
      <c r="BB216" s="8" t="n"/>
      <c r="BC216" s="8" t="n"/>
      <c r="BD216" s="8" t="n"/>
      <c r="BE216" s="8" t="n"/>
      <c r="BF216" s="8" t="n"/>
      <c r="BG216" s="8" t="n"/>
      <c r="BH216" s="8" t="n"/>
      <c r="BI216" s="8" t="n"/>
      <c r="BJ216" s="8" t="n"/>
      <c r="BK216" s="8" t="n"/>
      <c r="BL216" s="8" t="n"/>
      <c r="BM216" s="8" t="n"/>
      <c r="BN216" s="8" t="n"/>
      <c r="BO216" s="8" t="n"/>
      <c r="BP216" s="8" t="n"/>
      <c r="BQ216" s="8" t="n"/>
      <c r="BR216" s="8" t="n"/>
      <c r="BS216" s="8" t="n"/>
      <c r="BT216" s="8" t="n"/>
      <c r="BU216" s="8" t="n"/>
      <c r="BV216" s="8" t="n"/>
      <c r="BW216" s="8" t="n"/>
      <c r="BX216" s="8" t="n"/>
      <c r="BY216" s="8" t="n"/>
      <c r="BZ216" s="8" t="n"/>
      <c r="CA216" s="8" t="n"/>
      <c r="CB216" s="8" t="n"/>
      <c r="CC216" s="8" t="n"/>
      <c r="CD216" s="8" t="n"/>
      <c r="CE216" s="8" t="n"/>
      <c r="CF216" s="8" t="n"/>
      <c r="CG216" s="8" t="n"/>
      <c r="CH216" s="8" t="n"/>
      <c r="CI216" s="8" t="n"/>
      <c r="CJ216" s="8" t="n"/>
      <c r="CK216" s="8" t="n"/>
      <c r="CL216" s="8" t="n"/>
      <c r="CM216" s="8" t="n"/>
      <c r="CN216" s="8" t="n"/>
      <c r="CO216" s="8" t="n"/>
      <c r="CP216" s="8" t="n"/>
      <c r="CQ216" s="8" t="n"/>
      <c r="CR216" s="8" t="n"/>
      <c r="CS216" s="8" t="n"/>
      <c r="CT216" s="8" t="n"/>
      <c r="CU216" s="8" t="n"/>
      <c r="CV216" s="8" t="n"/>
      <c r="CW216" s="8" t="n"/>
      <c r="CX216" s="8" t="n"/>
      <c r="CY216" s="8" t="n"/>
      <c r="CZ216" s="8" t="n"/>
      <c r="DA216" s="8" t="n"/>
      <c r="DB216" s="8" t="n"/>
      <c r="DC216" s="8" t="n"/>
      <c r="DD216" s="8" t="n"/>
      <c r="DE216" s="8" t="n"/>
      <c r="DF216" s="8" t="n"/>
      <c r="DG216" s="8" t="n"/>
      <c r="DH216" s="8" t="n"/>
      <c r="DI216" s="8" t="n"/>
      <c r="DJ216" s="8" t="n"/>
      <c r="DK216" s="8" t="n"/>
      <c r="DL216" s="8" t="n"/>
      <c r="DM216" s="8" t="n"/>
      <c r="DN216" s="8" t="n"/>
      <c r="DO216" s="8" t="n"/>
      <c r="DP216" s="8" t="n"/>
      <c r="DQ216" s="8" t="n"/>
      <c r="DR216" s="8" t="n"/>
      <c r="DS216" s="8" t="n"/>
      <c r="DT216" s="8" t="n"/>
      <c r="DU216" s="8" t="n"/>
      <c r="DV216" s="8" t="n"/>
      <c r="DW216" s="8" t="n"/>
      <c r="DX216" s="8" t="n"/>
      <c r="DY216" s="8" t="n"/>
      <c r="DZ216" s="8" t="n"/>
      <c r="EA216" s="8" t="n"/>
      <c r="EB216" s="8" t="n"/>
      <c r="EC216" s="8" t="n"/>
      <c r="ED216" s="8" t="n"/>
      <c r="EE216" s="8" t="n"/>
      <c r="EF216" s="8" t="n"/>
      <c r="EG216" s="8" t="n"/>
      <c r="EH216" s="8" t="n"/>
      <c r="EI216" s="8" t="n"/>
      <c r="EJ216" s="8" t="n"/>
      <c r="EK216" s="8" t="n"/>
      <c r="EL216" s="8" t="n"/>
      <c r="EM216" s="8" t="n"/>
      <c r="EN216" s="8" t="n"/>
      <c r="EO216" s="8" t="n"/>
      <c r="EP216" s="8" t="n"/>
      <c r="EQ216" s="8" t="n"/>
      <c r="ER216" s="8" t="n"/>
      <c r="ES216" s="8" t="n"/>
      <c r="ET216" s="8" t="n"/>
      <c r="EU216" s="8" t="n"/>
      <c r="EV216" s="8" t="n"/>
      <c r="EW216" s="8" t="n"/>
      <c r="EX216" s="8" t="n"/>
      <c r="EY216" s="8" t="n"/>
      <c r="EZ216" s="8" t="n"/>
      <c r="FA216" s="8" t="n"/>
      <c r="FB216" s="8" t="n"/>
      <c r="FC216" s="8" t="n"/>
      <c r="FD216" s="8" t="n"/>
      <c r="FE216" s="8" t="n"/>
      <c r="FF216" s="8" t="n"/>
      <c r="FG216" s="8" t="n"/>
      <c r="FH216" s="8" t="n"/>
      <c r="FI216" s="8" t="n"/>
      <c r="FJ216" s="8" t="n"/>
      <c r="FK216" s="8" t="n"/>
      <c r="FL216" s="8" t="n"/>
      <c r="FM216" s="8" t="n"/>
      <c r="FN216" s="8" t="n"/>
      <c r="FO216" s="8" t="n"/>
      <c r="FP216" s="8" t="n"/>
      <c r="FQ216" s="8" t="n"/>
      <c r="FR216" s="8" t="n"/>
      <c r="FS216" s="8" t="n"/>
      <c r="FT216" s="8" t="n"/>
      <c r="FU216" s="8" t="n"/>
      <c r="FV216" s="8" t="n"/>
      <c r="FW216" s="8" t="n"/>
      <c r="FX216" s="8" t="n"/>
      <c r="FY216" s="8" t="n"/>
      <c r="FZ216" s="8" t="n"/>
      <c r="GA216" s="8" t="n"/>
      <c r="GB216" s="8" t="n"/>
      <c r="GC216" s="8" t="n"/>
      <c r="GD216" s="8" t="n"/>
      <c r="GE216" s="8" t="n"/>
      <c r="GF216" s="8" t="n"/>
      <c r="GG216" s="8" t="n"/>
      <c r="GH216" s="8" t="n"/>
      <c r="GI216" s="8" t="n"/>
      <c r="GJ216" s="8" t="n"/>
      <c r="GK216" s="8" t="n"/>
      <c r="GL216" s="8" t="n"/>
      <c r="GM216" s="8" t="n"/>
      <c r="GN216" s="8" t="n"/>
      <c r="GO216" s="8" t="n"/>
      <c r="GP216" s="8" t="n"/>
      <c r="GQ216" s="8" t="n"/>
      <c r="GR216" s="8" t="n"/>
      <c r="GS216" s="8" t="n"/>
      <c r="GT216" s="8" t="n"/>
      <c r="GU216" s="8" t="n"/>
      <c r="GV216" s="8" t="n"/>
      <c r="GW216" s="8" t="n"/>
      <c r="GX216" s="8" t="n"/>
      <c r="GY216" s="8" t="n"/>
      <c r="GZ216" s="8" t="n"/>
      <c r="HA216" s="8" t="n"/>
      <c r="HB216" s="8" t="n"/>
      <c r="HC216" s="8" t="n"/>
      <c r="HD216" s="8" t="n"/>
      <c r="HE216" s="8" t="n"/>
      <c r="HF216" s="8" t="n"/>
      <c r="HG216" s="8" t="n"/>
      <c r="HH216" s="8" t="n"/>
      <c r="HI216" s="8" t="n"/>
      <c r="HJ216" s="8" t="n"/>
      <c r="HK216" s="8" t="n"/>
      <c r="HL216" s="8" t="n"/>
      <c r="HM216" s="8" t="n"/>
      <c r="HN216" s="8" t="n"/>
      <c r="HO216" s="8" t="n"/>
      <c r="HP216" s="8" t="n"/>
      <c r="HQ216" s="8" t="n"/>
      <c r="HR216" s="8" t="n"/>
      <c r="HS216" s="8" t="n"/>
      <c r="HT216" s="8" t="n"/>
      <c r="HU216" s="8" t="n"/>
      <c r="HV216" s="8" t="n"/>
      <c r="HW216" s="8" t="n"/>
      <c r="HX216" s="8" t="n"/>
      <c r="HY216" s="8" t="n"/>
      <c r="HZ216" s="8" t="n"/>
      <c r="IA216" s="8" t="n"/>
      <c r="IB216" s="8" t="n"/>
      <c r="IC216" s="8" t="n"/>
      <c r="ID216" s="8" t="n"/>
      <c r="IE216" s="8" t="n"/>
      <c r="IF216" s="8" t="n"/>
      <c r="IG216" s="8" t="n"/>
      <c r="IH216" s="8" t="n"/>
      <c r="IJ216" s="9" t="inlineStr">
        <is>
          <t>ez_manage.py:5319 top()</t>
        </is>
      </c>
      <c r="IK216" s="9" t="inlineStr">
        <is>
          <t>v12_quick_engine.py:2898 x3</t>
        </is>
      </c>
    </row>
    <row r="217" ht="11" customHeight="1">
      <c r="A217" s="10" t="inlineStr">
        <is>
          <t>REENTRY_POST_CONSOL_MULT</t>
        </is>
      </c>
      <c r="B217" s="11" t="inlineStr">
        <is>
          <t>2.0</t>
        </is>
      </c>
      <c r="E217">
        <f>IF(F217="",E216,IF(F217&gt;0,E216+F217,E216))</f>
        <v/>
      </c>
      <c r="F217">
        <f>IFERROR(VLOOKUP($A217,Results_30d_Deltas!$A$2:$H$5000,8,FALSE)-E216,"")</f>
        <v/>
      </c>
      <c r="G217">
        <f>IFERROR(VLOOKUP($A217,Results_30d_Deltas!$A$2:$H$5000,7,FALSE)-E216,"")</f>
        <v/>
      </c>
      <c r="H217">
        <f>IFERROR(VLOOKUP($A217,Results_30d_Deltas!$A$2:$H$5000,6,FALSE),"")</f>
        <v/>
      </c>
      <c r="K217">
        <f>IF(B217=C217,"YES","NO")</f>
        <v/>
      </c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8" t="n"/>
      <c r="AI217" s="8" t="n"/>
      <c r="AJ217" s="8" t="n"/>
      <c r="AK217" s="8" t="n"/>
      <c r="AL217" s="8" t="n"/>
      <c r="AM217" s="8" t="n"/>
      <c r="AN217" s="8" t="n"/>
      <c r="AO217" s="8" t="n"/>
      <c r="AP217" s="8" t="n"/>
      <c r="AQ217" s="8" t="n"/>
      <c r="AR217" s="8" t="n"/>
      <c r="AS217" s="8" t="n"/>
      <c r="AT217" s="8" t="n"/>
      <c r="AU217" s="8" t="n"/>
      <c r="AV217" s="8" t="n"/>
      <c r="AW217" s="8" t="n"/>
      <c r="AX217" s="8" t="n"/>
      <c r="AY217" s="8" t="n"/>
      <c r="AZ217" s="8" t="n"/>
      <c r="BA217" s="8" t="n"/>
      <c r="BB217" s="8" t="n"/>
      <c r="BC217" s="8" t="n"/>
      <c r="BD217" s="8" t="n"/>
      <c r="BE217" s="8" t="n"/>
      <c r="BF217" s="8" t="n"/>
      <c r="BG217" s="8" t="n"/>
      <c r="BH217" s="8" t="n"/>
      <c r="BI217" s="8" t="n"/>
      <c r="BJ217" s="8" t="n"/>
      <c r="BK217" s="8" t="n"/>
      <c r="BL217" s="8" t="n"/>
      <c r="BM217" s="8" t="n"/>
      <c r="BN217" s="8" t="n"/>
      <c r="BO217" s="8" t="n"/>
      <c r="BP217" s="8" t="n"/>
      <c r="BQ217" s="8" t="n"/>
      <c r="BR217" s="8" t="n"/>
      <c r="BS217" s="8" t="n"/>
      <c r="BT217" s="8" t="n"/>
      <c r="BU217" s="8" t="n"/>
      <c r="BV217" s="8" t="n"/>
      <c r="BW217" s="8" t="n"/>
      <c r="BX217" s="8" t="n"/>
      <c r="BY217" s="8" t="n"/>
      <c r="BZ217" s="8" t="n"/>
      <c r="CA217" s="8" t="n"/>
      <c r="CB217" s="8" t="n"/>
      <c r="CC217" s="8" t="n"/>
      <c r="CD217" s="8" t="n"/>
      <c r="CE217" s="8" t="n"/>
      <c r="CF217" s="8" t="n"/>
      <c r="CG217" s="8" t="n"/>
      <c r="CH217" s="8" t="n"/>
      <c r="CI217" s="8" t="n"/>
      <c r="CJ217" s="8" t="n"/>
      <c r="CK217" s="8" t="n"/>
      <c r="CL217" s="8" t="n"/>
      <c r="CM217" s="8" t="n"/>
      <c r="CN217" s="8" t="n"/>
      <c r="CO217" s="8" t="n"/>
      <c r="CP217" s="8" t="n"/>
      <c r="CQ217" s="8" t="n"/>
      <c r="CR217" s="8" t="n"/>
      <c r="CS217" s="8" t="n"/>
      <c r="CT217" s="8" t="n"/>
      <c r="CU217" s="8" t="n"/>
      <c r="CV217" s="8" t="n"/>
      <c r="CW217" s="8" t="n"/>
      <c r="CX217" s="8" t="n"/>
      <c r="CY217" s="8" t="n"/>
      <c r="CZ217" s="8" t="n"/>
      <c r="DA217" s="8" t="n"/>
      <c r="DB217" s="8" t="n"/>
      <c r="DC217" s="8" t="n"/>
      <c r="DD217" s="8" t="n"/>
      <c r="DE217" s="8" t="n"/>
      <c r="DF217" s="8" t="n"/>
      <c r="DG217" s="8" t="n"/>
      <c r="DH217" s="8" t="n"/>
      <c r="DI217" s="8" t="n"/>
      <c r="DJ217" s="8" t="n"/>
      <c r="DK217" s="8" t="n"/>
      <c r="DL217" s="8" t="n"/>
      <c r="DM217" s="8" t="n"/>
      <c r="DN217" s="8" t="n"/>
      <c r="DO217" s="8" t="n"/>
      <c r="DP217" s="8" t="n"/>
      <c r="DQ217" s="8" t="n"/>
      <c r="DR217" s="8" t="n"/>
      <c r="DS217" s="8" t="n"/>
      <c r="DT217" s="8" t="n"/>
      <c r="DU217" s="8" t="n"/>
      <c r="DV217" s="8" t="n"/>
      <c r="DW217" s="8" t="n"/>
      <c r="DX217" s="8" t="n"/>
      <c r="DY217" s="8" t="n"/>
      <c r="DZ217" s="8" t="n"/>
      <c r="EA217" s="8" t="n"/>
      <c r="EB217" s="8" t="n"/>
      <c r="EC217" s="8" t="n"/>
      <c r="ED217" s="8" t="n"/>
      <c r="EE217" s="8" t="n"/>
      <c r="EF217" s="8" t="n"/>
      <c r="EG217" s="8" t="n"/>
      <c r="EH217" s="8" t="n"/>
      <c r="EI217" s="8" t="n"/>
      <c r="EJ217" s="8" t="n"/>
      <c r="EK217" s="8" t="n"/>
      <c r="EL217" s="8" t="n"/>
      <c r="EM217" s="8" t="n"/>
      <c r="EN217" s="8" t="n"/>
      <c r="EO217" s="8" t="n"/>
      <c r="EP217" s="8" t="n"/>
      <c r="EQ217" s="8" t="n"/>
      <c r="ER217" s="8" t="n"/>
      <c r="ES217" s="8" t="n"/>
      <c r="ET217" s="8" t="n"/>
      <c r="EU217" s="8" t="n"/>
      <c r="EV217" s="8" t="n"/>
      <c r="EW217" s="8" t="n"/>
      <c r="EX217" s="8" t="n"/>
      <c r="EY217" s="8" t="n"/>
      <c r="EZ217" s="8" t="n"/>
      <c r="FA217" s="8" t="n"/>
      <c r="FB217" s="8" t="n"/>
      <c r="FC217" s="8" t="n"/>
      <c r="FD217" s="8" t="n"/>
      <c r="FE217" s="8" t="n"/>
      <c r="FF217" s="8" t="n"/>
      <c r="FG217" s="8" t="n"/>
      <c r="FH217" s="8" t="n"/>
      <c r="FI217" s="8" t="n"/>
      <c r="FJ217" s="8" t="n"/>
      <c r="FK217" s="8" t="n"/>
      <c r="FL217" s="8" t="n"/>
      <c r="FM217" s="8" t="n"/>
      <c r="FN217" s="8" t="n"/>
      <c r="FO217" s="8" t="n"/>
      <c r="FP217" s="8" t="n"/>
      <c r="FQ217" s="8" t="n"/>
      <c r="FR217" s="8" t="n"/>
      <c r="FS217" s="8" t="n"/>
      <c r="FT217" s="8" t="n"/>
      <c r="FU217" s="8" t="n"/>
      <c r="FV217" s="8" t="n"/>
      <c r="FW217" s="8" t="n"/>
      <c r="FX217" s="8" t="n"/>
      <c r="FY217" s="8" t="n"/>
      <c r="FZ217" s="8" t="n"/>
      <c r="GA217" s="8" t="n"/>
      <c r="GB217" s="8" t="n"/>
      <c r="GC217" s="8" t="n"/>
      <c r="GD217" s="8" t="n"/>
      <c r="GE217" s="8" t="n"/>
      <c r="GF217" s="8" t="n"/>
      <c r="GG217" s="8" t="n"/>
      <c r="GH217" s="8" t="n"/>
      <c r="GI217" s="8" t="n"/>
      <c r="GJ217" s="8" t="n"/>
      <c r="GK217" s="8" t="n"/>
      <c r="GL217" s="8" t="n"/>
      <c r="GM217" s="8" t="n"/>
      <c r="GN217" s="8" t="n"/>
      <c r="GO217" s="8" t="n"/>
      <c r="GP217" s="8" t="n"/>
      <c r="GQ217" s="8" t="n"/>
      <c r="GR217" s="8" t="n"/>
      <c r="GS217" s="8" t="n"/>
      <c r="GT217" s="8" t="n"/>
      <c r="GU217" s="8" t="n"/>
      <c r="GV217" s="8" t="n"/>
      <c r="GW217" s="8" t="n"/>
      <c r="GX217" s="8" t="n"/>
      <c r="GY217" s="8" t="n"/>
      <c r="GZ217" s="8" t="n"/>
      <c r="HA217" s="8" t="n"/>
      <c r="HB217" s="8" t="n"/>
      <c r="HC217" s="8" t="n"/>
      <c r="HD217" s="8" t="n"/>
      <c r="HE217" s="8" t="n"/>
      <c r="HF217" s="8" t="n"/>
      <c r="HG217" s="8" t="n"/>
      <c r="HH217" s="8" t="n"/>
      <c r="HI217" s="8" t="n"/>
      <c r="HJ217" s="8" t="n"/>
      <c r="HK217" s="8" t="n"/>
      <c r="HL217" s="8" t="n"/>
      <c r="HM217" s="8" t="n"/>
      <c r="HN217" s="8" t="n"/>
      <c r="HO217" s="8" t="n"/>
      <c r="HP217" s="8" t="n"/>
      <c r="HQ217" s="8" t="n"/>
      <c r="HR217" s="8" t="n"/>
      <c r="HS217" s="8" t="n"/>
      <c r="HT217" s="8" t="n"/>
      <c r="HU217" s="8" t="n"/>
      <c r="HV217" s="8" t="n"/>
      <c r="HW217" s="8" t="n"/>
      <c r="HX217" s="8" t="n"/>
      <c r="HY217" s="8" t="n"/>
      <c r="HZ217" s="8" t="n"/>
      <c r="IA217" s="8" t="n"/>
      <c r="IB217" s="8" t="n"/>
      <c r="IC217" s="8" t="n"/>
      <c r="ID217" s="8" t="n"/>
      <c r="IE217" s="8" t="n"/>
      <c r="IF217" s="8" t="n"/>
      <c r="IG217" s="8" t="n"/>
      <c r="IH217" s="8" t="n"/>
      <c r="IJ217" s="9" t="inlineStr">
        <is>
          <t>ez_manage.py:5319 top()</t>
        </is>
      </c>
      <c r="IK217" s="9" t="inlineStr">
        <is>
          <t>v12_quick_engine.py:2898 x3</t>
        </is>
      </c>
    </row>
    <row r="218" ht="11" customHeight="1">
      <c r="A218" s="10" t="inlineStr">
        <is>
          <t>REENTRY_POST_CONSOL_TFS_REQUIRED</t>
        </is>
      </c>
      <c r="B218" s="11" t="inlineStr">
        <is>
          <t>0</t>
        </is>
      </c>
      <c r="E218">
        <f>IF(F218="",E217,IF(F218&gt;0,E217+F218,E217))</f>
        <v/>
      </c>
      <c r="F218">
        <f>IFERROR(VLOOKUP($A218,Results_30d_Deltas!$A$2:$H$5000,8,FALSE)-E217,"")</f>
        <v/>
      </c>
      <c r="G218">
        <f>IFERROR(VLOOKUP($A218,Results_30d_Deltas!$A$2:$H$5000,7,FALSE)-E217,"")</f>
        <v/>
      </c>
      <c r="H218">
        <f>IFERROR(VLOOKUP($A218,Results_30d_Deltas!$A$2:$H$5000,6,FALSE),"")</f>
        <v/>
      </c>
      <c r="K218">
        <f>IF(B218=C218,"YES","NO")</f>
        <v/>
      </c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I218" s="8" t="n"/>
      <c r="AJ218" s="8" t="n"/>
      <c r="AK218" s="8" t="n"/>
      <c r="AL218" s="8" t="n"/>
      <c r="AM218" s="8" t="n"/>
      <c r="AN218" s="8" t="n"/>
      <c r="AO218" s="8" t="n"/>
      <c r="AP218" s="8" t="n"/>
      <c r="AQ218" s="8" t="n"/>
      <c r="AR218" s="8" t="n"/>
      <c r="AS218" s="8" t="n"/>
      <c r="AT218" s="8" t="n"/>
      <c r="AU218" s="8" t="n"/>
      <c r="AV218" s="8" t="n"/>
      <c r="AW218" s="8" t="n"/>
      <c r="AX218" s="8" t="n"/>
      <c r="AY218" s="8" t="n"/>
      <c r="AZ218" s="8" t="n"/>
      <c r="BA218" s="8" t="n"/>
      <c r="BB218" s="8" t="n"/>
      <c r="BC218" s="8" t="n"/>
      <c r="BD218" s="8" t="n"/>
      <c r="BE218" s="8" t="n"/>
      <c r="BF218" s="8" t="n"/>
      <c r="BG218" s="8" t="n"/>
      <c r="BH218" s="8" t="n"/>
      <c r="BI218" s="8" t="n"/>
      <c r="BJ218" s="8" t="n"/>
      <c r="BK218" s="8" t="n"/>
      <c r="BL218" s="8" t="n"/>
      <c r="BM218" s="8" t="n"/>
      <c r="BN218" s="8" t="n"/>
      <c r="BO218" s="8" t="n"/>
      <c r="BP218" s="8" t="n"/>
      <c r="BQ218" s="8" t="n"/>
      <c r="BR218" s="8" t="n"/>
      <c r="BS218" s="8" t="n"/>
      <c r="BT218" s="8" t="n"/>
      <c r="BU218" s="8" t="n"/>
      <c r="BV218" s="8" t="n"/>
      <c r="BW218" s="8" t="n"/>
      <c r="BX218" s="8" t="n"/>
      <c r="BY218" s="8" t="n"/>
      <c r="BZ218" s="8" t="n"/>
      <c r="CA218" s="8" t="n"/>
      <c r="CB218" s="8" t="n"/>
      <c r="CC218" s="8" t="n"/>
      <c r="CD218" s="8" t="n"/>
      <c r="CE218" s="8" t="n"/>
      <c r="CF218" s="8" t="n"/>
      <c r="CG218" s="8" t="n"/>
      <c r="CH218" s="8" t="n"/>
      <c r="CI218" s="8" t="n"/>
      <c r="CJ218" s="8" t="n"/>
      <c r="CK218" s="8" t="n"/>
      <c r="CL218" s="8" t="n"/>
      <c r="CM218" s="8" t="n"/>
      <c r="CN218" s="8" t="n"/>
      <c r="CO218" s="8" t="n"/>
      <c r="CP218" s="8" t="n"/>
      <c r="CQ218" s="8" t="n"/>
      <c r="CR218" s="8" t="n"/>
      <c r="CS218" s="8" t="n"/>
      <c r="CT218" s="8" t="n"/>
      <c r="CU218" s="8" t="n"/>
      <c r="CV218" s="8" t="n"/>
      <c r="CW218" s="8" t="n"/>
      <c r="CX218" s="8" t="n"/>
      <c r="CY218" s="8" t="n"/>
      <c r="CZ218" s="8" t="n"/>
      <c r="DA218" s="8" t="n"/>
      <c r="DB218" s="8" t="n"/>
      <c r="DC218" s="8" t="n"/>
      <c r="DD218" s="8" t="n"/>
      <c r="DE218" s="8" t="n"/>
      <c r="DF218" s="8" t="n"/>
      <c r="DG218" s="8" t="n"/>
      <c r="DH218" s="8" t="n"/>
      <c r="DI218" s="8" t="n"/>
      <c r="DJ218" s="8" t="n"/>
      <c r="DK218" s="8" t="n"/>
      <c r="DL218" s="8" t="n"/>
      <c r="DM218" s="8" t="n"/>
      <c r="DN218" s="8" t="n"/>
      <c r="DO218" s="8" t="n"/>
      <c r="DP218" s="8" t="n"/>
      <c r="DQ218" s="8" t="n"/>
      <c r="DR218" s="8" t="n"/>
      <c r="DS218" s="8" t="n"/>
      <c r="DT218" s="8" t="n"/>
      <c r="DU218" s="8" t="n"/>
      <c r="DV218" s="8" t="n"/>
      <c r="DW218" s="8" t="n"/>
      <c r="DX218" s="8" t="n"/>
      <c r="DY218" s="8" t="n"/>
      <c r="DZ218" s="8" t="n"/>
      <c r="EA218" s="8" t="n"/>
      <c r="EB218" s="8" t="n"/>
      <c r="EC218" s="8" t="n"/>
      <c r="ED218" s="8" t="n"/>
      <c r="EE218" s="8" t="n"/>
      <c r="EF218" s="8" t="n"/>
      <c r="EG218" s="8" t="n"/>
      <c r="EH218" s="8" t="n"/>
      <c r="EI218" s="8" t="n"/>
      <c r="EJ218" s="8" t="n"/>
      <c r="EK218" s="8" t="n"/>
      <c r="EL218" s="8" t="n"/>
      <c r="EM218" s="8" t="n"/>
      <c r="EN218" s="8" t="n"/>
      <c r="EO218" s="8" t="n"/>
      <c r="EP218" s="8" t="n"/>
      <c r="EQ218" s="8" t="n"/>
      <c r="ER218" s="8" t="n"/>
      <c r="ES218" s="8" t="n"/>
      <c r="ET218" s="8" t="n"/>
      <c r="EU218" s="8" t="n"/>
      <c r="EV218" s="8" t="n"/>
      <c r="EW218" s="8" t="n"/>
      <c r="EX218" s="8" t="n"/>
      <c r="EY218" s="8" t="n"/>
      <c r="EZ218" s="8" t="n"/>
      <c r="FA218" s="8" t="n"/>
      <c r="FB218" s="8" t="n"/>
      <c r="FC218" s="8" t="n"/>
      <c r="FD218" s="8" t="n"/>
      <c r="FE218" s="8" t="n"/>
      <c r="FF218" s="8" t="n"/>
      <c r="FG218" s="8" t="n"/>
      <c r="FH218" s="8" t="n"/>
      <c r="FI218" s="8" t="n"/>
      <c r="FJ218" s="8" t="n"/>
      <c r="FK218" s="8" t="n"/>
      <c r="FL218" s="8" t="n"/>
      <c r="FM218" s="8" t="n"/>
      <c r="FN218" s="8" t="n"/>
      <c r="FO218" s="8" t="n"/>
      <c r="FP218" s="8" t="n"/>
      <c r="FQ218" s="8" t="n"/>
      <c r="FR218" s="8" t="n"/>
      <c r="FS218" s="8" t="n"/>
      <c r="FT218" s="8" t="n"/>
      <c r="FU218" s="8" t="n"/>
      <c r="FV218" s="8" t="n"/>
      <c r="FW218" s="8" t="n"/>
      <c r="FX218" s="8" t="n"/>
      <c r="FY218" s="8" t="n"/>
      <c r="FZ218" s="8" t="n"/>
      <c r="GA218" s="8" t="n"/>
      <c r="GB218" s="8" t="n"/>
      <c r="GC218" s="8" t="n"/>
      <c r="GD218" s="8" t="n"/>
      <c r="GE218" s="8" t="n"/>
      <c r="GF218" s="8" t="n"/>
      <c r="GG218" s="8" t="n"/>
      <c r="GH218" s="8" t="n"/>
      <c r="GI218" s="8" t="n"/>
      <c r="GJ218" s="8" t="n"/>
      <c r="GK218" s="8" t="n"/>
      <c r="GL218" s="8" t="n"/>
      <c r="GM218" s="8" t="n"/>
      <c r="GN218" s="8" t="n"/>
      <c r="GO218" s="8" t="n"/>
      <c r="GP218" s="8" t="n"/>
      <c r="GQ218" s="8" t="n"/>
      <c r="GR218" s="8" t="n"/>
      <c r="GS218" s="8" t="n"/>
      <c r="GT218" s="8" t="n"/>
      <c r="GU218" s="8" t="n"/>
      <c r="GV218" s="8" t="n"/>
      <c r="GW218" s="8" t="n"/>
      <c r="GX218" s="8" t="n"/>
      <c r="GY218" s="8" t="n"/>
      <c r="GZ218" s="8" t="n"/>
      <c r="HA218" s="8" t="n"/>
      <c r="HB218" s="8" t="n"/>
      <c r="HC218" s="8" t="n"/>
      <c r="HD218" s="8" t="n"/>
      <c r="HE218" s="8" t="n"/>
      <c r="HF218" s="8" t="n"/>
      <c r="HG218" s="8" t="n"/>
      <c r="HH218" s="8" t="n"/>
      <c r="HI218" s="8" t="n"/>
      <c r="HJ218" s="8" t="n"/>
      <c r="HK218" s="8" t="n"/>
      <c r="HL218" s="8" t="n"/>
      <c r="HM218" s="8" t="n"/>
      <c r="HN218" s="8" t="n"/>
      <c r="HO218" s="8" t="n"/>
      <c r="HP218" s="8" t="n"/>
      <c r="HQ218" s="8" t="n"/>
      <c r="HR218" s="8" t="n"/>
      <c r="HS218" s="8" t="n"/>
      <c r="HT218" s="8" t="n"/>
      <c r="HU218" s="8" t="n"/>
      <c r="HV218" s="8" t="n"/>
      <c r="HW218" s="8" t="n"/>
      <c r="HX218" s="8" t="n"/>
      <c r="HY218" s="8" t="n"/>
      <c r="HZ218" s="8" t="n"/>
      <c r="IA218" s="8" t="n"/>
      <c r="IB218" s="8" t="n"/>
      <c r="IC218" s="8" t="n"/>
      <c r="ID218" s="8" t="n"/>
      <c r="IE218" s="8" t="n"/>
      <c r="IF218" s="8" t="n"/>
      <c r="IG218" s="8" t="n"/>
      <c r="IH218" s="8" t="n"/>
      <c r="IJ218" s="9" t="inlineStr">
        <is>
          <t>ez_manage.py:5320 top()</t>
        </is>
      </c>
      <c r="IK218" s="9" t="inlineStr">
        <is>
          <t>v12_quick_engine.py:2899 x3</t>
        </is>
      </c>
    </row>
    <row r="219" ht="11" customHeight="1">
      <c r="A219" s="10" t="inlineStr">
        <is>
          <t>REENTRY_POST_CONSOL_TFS_REQUIRED</t>
        </is>
      </c>
      <c r="B219" s="11" t="inlineStr">
        <is>
          <t>0.5</t>
        </is>
      </c>
      <c r="E219">
        <f>IF(F219="",E218,IF(F219&gt;0,E218+F219,E218))</f>
        <v/>
      </c>
      <c r="F219">
        <f>IFERROR(VLOOKUP($A219,Results_30d_Deltas!$A$2:$H$5000,8,FALSE)-E218,"")</f>
        <v/>
      </c>
      <c r="G219">
        <f>IFERROR(VLOOKUP($A219,Results_30d_Deltas!$A$2:$H$5000,7,FALSE)-E218,"")</f>
        <v/>
      </c>
      <c r="H219">
        <f>IFERROR(VLOOKUP($A219,Results_30d_Deltas!$A$2:$H$5000,6,FALSE),"")</f>
        <v/>
      </c>
      <c r="K219">
        <f>IF(B219=C219,"YES","NO")</f>
        <v/>
      </c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I219" s="8" t="n"/>
      <c r="AJ219" s="8" t="n"/>
      <c r="AK219" s="8" t="n"/>
      <c r="AL219" s="8" t="n"/>
      <c r="AM219" s="8" t="n"/>
      <c r="AN219" s="8" t="n"/>
      <c r="AO219" s="8" t="n"/>
      <c r="AP219" s="8" t="n"/>
      <c r="AQ219" s="8" t="n"/>
      <c r="AR219" s="8" t="n"/>
      <c r="AS219" s="8" t="n"/>
      <c r="AT219" s="8" t="n"/>
      <c r="AU219" s="8" t="n"/>
      <c r="AV219" s="8" t="n"/>
      <c r="AW219" s="8" t="n"/>
      <c r="AX219" s="8" t="n"/>
      <c r="AY219" s="8" t="n"/>
      <c r="AZ219" s="8" t="n"/>
      <c r="BA219" s="8" t="n"/>
      <c r="BB219" s="8" t="n"/>
      <c r="BC219" s="8" t="n"/>
      <c r="BD219" s="8" t="n"/>
      <c r="BE219" s="8" t="n"/>
      <c r="BF219" s="8" t="n"/>
      <c r="BG219" s="8" t="n"/>
      <c r="BH219" s="8" t="n"/>
      <c r="BI219" s="8" t="n"/>
      <c r="BJ219" s="8" t="n"/>
      <c r="BK219" s="8" t="n"/>
      <c r="BL219" s="8" t="n"/>
      <c r="BM219" s="8" t="n"/>
      <c r="BN219" s="8" t="n"/>
      <c r="BO219" s="8" t="n"/>
      <c r="BP219" s="8" t="n"/>
      <c r="BQ219" s="8" t="n"/>
      <c r="BR219" s="8" t="n"/>
      <c r="BS219" s="8" t="n"/>
      <c r="BT219" s="8" t="n"/>
      <c r="BU219" s="8" t="n"/>
      <c r="BV219" s="8" t="n"/>
      <c r="BW219" s="8" t="n"/>
      <c r="BX219" s="8" t="n"/>
      <c r="BY219" s="8" t="n"/>
      <c r="BZ219" s="8" t="n"/>
      <c r="CA219" s="8" t="n"/>
      <c r="CB219" s="8" t="n"/>
      <c r="CC219" s="8" t="n"/>
      <c r="CD219" s="8" t="n"/>
      <c r="CE219" s="8" t="n"/>
      <c r="CF219" s="8" t="n"/>
      <c r="CG219" s="8" t="n"/>
      <c r="CH219" s="8" t="n"/>
      <c r="CI219" s="8" t="n"/>
      <c r="CJ219" s="8" t="n"/>
      <c r="CK219" s="8" t="n"/>
      <c r="CL219" s="8" t="n"/>
      <c r="CM219" s="8" t="n"/>
      <c r="CN219" s="8" t="n"/>
      <c r="CO219" s="8" t="n"/>
      <c r="CP219" s="8" t="n"/>
      <c r="CQ219" s="8" t="n"/>
      <c r="CR219" s="8" t="n"/>
      <c r="CS219" s="8" t="n"/>
      <c r="CT219" s="8" t="n"/>
      <c r="CU219" s="8" t="n"/>
      <c r="CV219" s="8" t="n"/>
      <c r="CW219" s="8" t="n"/>
      <c r="CX219" s="8" t="n"/>
      <c r="CY219" s="8" t="n"/>
      <c r="CZ219" s="8" t="n"/>
      <c r="DA219" s="8" t="n"/>
      <c r="DB219" s="8" t="n"/>
      <c r="DC219" s="8" t="n"/>
      <c r="DD219" s="8" t="n"/>
      <c r="DE219" s="8" t="n"/>
      <c r="DF219" s="8" t="n"/>
      <c r="DG219" s="8" t="n"/>
      <c r="DH219" s="8" t="n"/>
      <c r="DI219" s="8" t="n"/>
      <c r="DJ219" s="8" t="n"/>
      <c r="DK219" s="8" t="n"/>
      <c r="DL219" s="8" t="n"/>
      <c r="DM219" s="8" t="n"/>
      <c r="DN219" s="8" t="n"/>
      <c r="DO219" s="8" t="n"/>
      <c r="DP219" s="8" t="n"/>
      <c r="DQ219" s="8" t="n"/>
      <c r="DR219" s="8" t="n"/>
      <c r="DS219" s="8" t="n"/>
      <c r="DT219" s="8" t="n"/>
      <c r="DU219" s="8" t="n"/>
      <c r="DV219" s="8" t="n"/>
      <c r="DW219" s="8" t="n"/>
      <c r="DX219" s="8" t="n"/>
      <c r="DY219" s="8" t="n"/>
      <c r="DZ219" s="8" t="n"/>
      <c r="EA219" s="8" t="n"/>
      <c r="EB219" s="8" t="n"/>
      <c r="EC219" s="8" t="n"/>
      <c r="ED219" s="8" t="n"/>
      <c r="EE219" s="8" t="n"/>
      <c r="EF219" s="8" t="n"/>
      <c r="EG219" s="8" t="n"/>
      <c r="EH219" s="8" t="n"/>
      <c r="EI219" s="8" t="n"/>
      <c r="EJ219" s="8" t="n"/>
      <c r="EK219" s="8" t="n"/>
      <c r="EL219" s="8" t="n"/>
      <c r="EM219" s="8" t="n"/>
      <c r="EN219" s="8" t="n"/>
      <c r="EO219" s="8" t="n"/>
      <c r="EP219" s="8" t="n"/>
      <c r="EQ219" s="8" t="n"/>
      <c r="ER219" s="8" t="n"/>
      <c r="ES219" s="8" t="n"/>
      <c r="ET219" s="8" t="n"/>
      <c r="EU219" s="8" t="n"/>
      <c r="EV219" s="8" t="n"/>
      <c r="EW219" s="8" t="n"/>
      <c r="EX219" s="8" t="n"/>
      <c r="EY219" s="8" t="n"/>
      <c r="EZ219" s="8" t="n"/>
      <c r="FA219" s="8" t="n"/>
      <c r="FB219" s="8" t="n"/>
      <c r="FC219" s="8" t="n"/>
      <c r="FD219" s="8" t="n"/>
      <c r="FE219" s="8" t="n"/>
      <c r="FF219" s="8" t="n"/>
      <c r="FG219" s="8" t="n"/>
      <c r="FH219" s="8" t="n"/>
      <c r="FI219" s="8" t="n"/>
      <c r="FJ219" s="8" t="n"/>
      <c r="FK219" s="8" t="n"/>
      <c r="FL219" s="8" t="n"/>
      <c r="FM219" s="8" t="n"/>
      <c r="FN219" s="8" t="n"/>
      <c r="FO219" s="8" t="n"/>
      <c r="FP219" s="8" t="n"/>
      <c r="FQ219" s="8" t="n"/>
      <c r="FR219" s="8" t="n"/>
      <c r="FS219" s="8" t="n"/>
      <c r="FT219" s="8" t="n"/>
      <c r="FU219" s="8" t="n"/>
      <c r="FV219" s="8" t="n"/>
      <c r="FW219" s="8" t="n"/>
      <c r="FX219" s="8" t="n"/>
      <c r="FY219" s="8" t="n"/>
      <c r="FZ219" s="8" t="n"/>
      <c r="GA219" s="8" t="n"/>
      <c r="GB219" s="8" t="n"/>
      <c r="GC219" s="8" t="n"/>
      <c r="GD219" s="8" t="n"/>
      <c r="GE219" s="8" t="n"/>
      <c r="GF219" s="8" t="n"/>
      <c r="GG219" s="8" t="n"/>
      <c r="GH219" s="8" t="n"/>
      <c r="GI219" s="8" t="n"/>
      <c r="GJ219" s="8" t="n"/>
      <c r="GK219" s="8" t="n"/>
      <c r="GL219" s="8" t="n"/>
      <c r="GM219" s="8" t="n"/>
      <c r="GN219" s="8" t="n"/>
      <c r="GO219" s="8" t="n"/>
      <c r="GP219" s="8" t="n"/>
      <c r="GQ219" s="8" t="n"/>
      <c r="GR219" s="8" t="n"/>
      <c r="GS219" s="8" t="n"/>
      <c r="GT219" s="8" t="n"/>
      <c r="GU219" s="8" t="n"/>
      <c r="GV219" s="8" t="n"/>
      <c r="GW219" s="8" t="n"/>
      <c r="GX219" s="8" t="n"/>
      <c r="GY219" s="8" t="n"/>
      <c r="GZ219" s="8" t="n"/>
      <c r="HA219" s="8" t="n"/>
      <c r="HB219" s="8" t="n"/>
      <c r="HC219" s="8" t="n"/>
      <c r="HD219" s="8" t="n"/>
      <c r="HE219" s="8" t="n"/>
      <c r="HF219" s="8" t="n"/>
      <c r="HG219" s="8" t="n"/>
      <c r="HH219" s="8" t="n"/>
      <c r="HI219" s="8" t="n"/>
      <c r="HJ219" s="8" t="n"/>
      <c r="HK219" s="8" t="n"/>
      <c r="HL219" s="8" t="n"/>
      <c r="HM219" s="8" t="n"/>
      <c r="HN219" s="8" t="n"/>
      <c r="HO219" s="8" t="n"/>
      <c r="HP219" s="8" t="n"/>
      <c r="HQ219" s="8" t="n"/>
      <c r="HR219" s="8" t="n"/>
      <c r="HS219" s="8" t="n"/>
      <c r="HT219" s="8" t="n"/>
      <c r="HU219" s="8" t="n"/>
      <c r="HV219" s="8" t="n"/>
      <c r="HW219" s="8" t="n"/>
      <c r="HX219" s="8" t="n"/>
      <c r="HY219" s="8" t="n"/>
      <c r="HZ219" s="8" t="n"/>
      <c r="IA219" s="8" t="n"/>
      <c r="IB219" s="8" t="n"/>
      <c r="IC219" s="8" t="n"/>
      <c r="ID219" s="8" t="n"/>
      <c r="IE219" s="8" t="n"/>
      <c r="IF219" s="8" t="n"/>
      <c r="IG219" s="8" t="n"/>
      <c r="IH219" s="8" t="n"/>
      <c r="IJ219" s="9" t="inlineStr">
        <is>
          <t>ez_manage.py:5320 top()</t>
        </is>
      </c>
      <c r="IK219" s="9" t="inlineStr">
        <is>
          <t>v12_quick_engine.py:2899 x3</t>
        </is>
      </c>
    </row>
    <row r="220" ht="11" customHeight="1">
      <c r="A220" s="10" t="inlineStr">
        <is>
          <t>REENTRY_POST_CONSOL_TFS_REQUIRED</t>
        </is>
      </c>
      <c r="B220" s="11" t="inlineStr">
        <is>
          <t>1.0</t>
        </is>
      </c>
      <c r="E220">
        <f>IF(F220="",E219,IF(F220&gt;0,E219+F220,E219))</f>
        <v/>
      </c>
      <c r="F220">
        <f>IFERROR(VLOOKUP($A220,Results_30d_Deltas!$A$2:$H$5000,8,FALSE)-E219,"")</f>
        <v/>
      </c>
      <c r="G220">
        <f>IFERROR(VLOOKUP($A220,Results_30d_Deltas!$A$2:$H$5000,7,FALSE)-E219,"")</f>
        <v/>
      </c>
      <c r="H220">
        <f>IFERROR(VLOOKUP($A220,Results_30d_Deltas!$A$2:$H$5000,6,FALSE),"")</f>
        <v/>
      </c>
      <c r="K220">
        <f>IF(B220=C220,"YES","NO")</f>
        <v/>
      </c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I220" s="8" t="n"/>
      <c r="AJ220" s="8" t="n"/>
      <c r="AK220" s="8" t="n"/>
      <c r="AL220" s="8" t="n"/>
      <c r="AM220" s="8" t="n"/>
      <c r="AN220" s="8" t="n"/>
      <c r="AO220" s="8" t="n"/>
      <c r="AP220" s="8" t="n"/>
      <c r="AQ220" s="8" t="n"/>
      <c r="AR220" s="8" t="n"/>
      <c r="AS220" s="8" t="n"/>
      <c r="AT220" s="8" t="n"/>
      <c r="AU220" s="8" t="n"/>
      <c r="AV220" s="8" t="n"/>
      <c r="AW220" s="8" t="n"/>
      <c r="AX220" s="8" t="n"/>
      <c r="AY220" s="8" t="n"/>
      <c r="AZ220" s="8" t="n"/>
      <c r="BA220" s="8" t="n"/>
      <c r="BB220" s="8" t="n"/>
      <c r="BC220" s="8" t="n"/>
      <c r="BD220" s="8" t="n"/>
      <c r="BE220" s="8" t="n"/>
      <c r="BF220" s="8" t="n"/>
      <c r="BG220" s="8" t="n"/>
      <c r="BH220" s="8" t="n"/>
      <c r="BI220" s="8" t="n"/>
      <c r="BJ220" s="8" t="n"/>
      <c r="BK220" s="8" t="n"/>
      <c r="BL220" s="8" t="n"/>
      <c r="BM220" s="8" t="n"/>
      <c r="BN220" s="8" t="n"/>
      <c r="BO220" s="8" t="n"/>
      <c r="BP220" s="8" t="n"/>
      <c r="BQ220" s="8" t="n"/>
      <c r="BR220" s="8" t="n"/>
      <c r="BS220" s="8" t="n"/>
      <c r="BT220" s="8" t="n"/>
      <c r="BU220" s="8" t="n"/>
      <c r="BV220" s="8" t="n"/>
      <c r="BW220" s="8" t="n"/>
      <c r="BX220" s="8" t="n"/>
      <c r="BY220" s="8" t="n"/>
      <c r="BZ220" s="8" t="n"/>
      <c r="CA220" s="8" t="n"/>
      <c r="CB220" s="8" t="n"/>
      <c r="CC220" s="8" t="n"/>
      <c r="CD220" s="8" t="n"/>
      <c r="CE220" s="8" t="n"/>
      <c r="CF220" s="8" t="n"/>
      <c r="CG220" s="8" t="n"/>
      <c r="CH220" s="8" t="n"/>
      <c r="CI220" s="8" t="n"/>
      <c r="CJ220" s="8" t="n"/>
      <c r="CK220" s="8" t="n"/>
      <c r="CL220" s="8" t="n"/>
      <c r="CM220" s="8" t="n"/>
      <c r="CN220" s="8" t="n"/>
      <c r="CO220" s="8" t="n"/>
      <c r="CP220" s="8" t="n"/>
      <c r="CQ220" s="8" t="n"/>
      <c r="CR220" s="8" t="n"/>
      <c r="CS220" s="8" t="n"/>
      <c r="CT220" s="8" t="n"/>
      <c r="CU220" s="8" t="n"/>
      <c r="CV220" s="8" t="n"/>
      <c r="CW220" s="8" t="n"/>
      <c r="CX220" s="8" t="n"/>
      <c r="CY220" s="8" t="n"/>
      <c r="CZ220" s="8" t="n"/>
      <c r="DA220" s="8" t="n"/>
      <c r="DB220" s="8" t="n"/>
      <c r="DC220" s="8" t="n"/>
      <c r="DD220" s="8" t="n"/>
      <c r="DE220" s="8" t="n"/>
      <c r="DF220" s="8" t="n"/>
      <c r="DG220" s="8" t="n"/>
      <c r="DH220" s="8" t="n"/>
      <c r="DI220" s="8" t="n"/>
      <c r="DJ220" s="8" t="n"/>
      <c r="DK220" s="8" t="n"/>
      <c r="DL220" s="8" t="n"/>
      <c r="DM220" s="8" t="n"/>
      <c r="DN220" s="8" t="n"/>
      <c r="DO220" s="8" t="n"/>
      <c r="DP220" s="8" t="n"/>
      <c r="DQ220" s="8" t="n"/>
      <c r="DR220" s="8" t="n"/>
      <c r="DS220" s="8" t="n"/>
      <c r="DT220" s="8" t="n"/>
      <c r="DU220" s="8" t="n"/>
      <c r="DV220" s="8" t="n"/>
      <c r="DW220" s="8" t="n"/>
      <c r="DX220" s="8" t="n"/>
      <c r="DY220" s="8" t="n"/>
      <c r="DZ220" s="8" t="n"/>
      <c r="EA220" s="8" t="n"/>
      <c r="EB220" s="8" t="n"/>
      <c r="EC220" s="8" t="n"/>
      <c r="ED220" s="8" t="n"/>
      <c r="EE220" s="8" t="n"/>
      <c r="EF220" s="8" t="n"/>
      <c r="EG220" s="8" t="n"/>
      <c r="EH220" s="8" t="n"/>
      <c r="EI220" s="8" t="n"/>
      <c r="EJ220" s="8" t="n"/>
      <c r="EK220" s="8" t="n"/>
      <c r="EL220" s="8" t="n"/>
      <c r="EM220" s="8" t="n"/>
      <c r="EN220" s="8" t="n"/>
      <c r="EO220" s="8" t="n"/>
      <c r="EP220" s="8" t="n"/>
      <c r="EQ220" s="8" t="n"/>
      <c r="ER220" s="8" t="n"/>
      <c r="ES220" s="8" t="n"/>
      <c r="ET220" s="8" t="n"/>
      <c r="EU220" s="8" t="n"/>
      <c r="EV220" s="8" t="n"/>
      <c r="EW220" s="8" t="n"/>
      <c r="EX220" s="8" t="n"/>
      <c r="EY220" s="8" t="n"/>
      <c r="EZ220" s="8" t="n"/>
      <c r="FA220" s="8" t="n"/>
      <c r="FB220" s="8" t="n"/>
      <c r="FC220" s="8" t="n"/>
      <c r="FD220" s="8" t="n"/>
      <c r="FE220" s="8" t="n"/>
      <c r="FF220" s="8" t="n"/>
      <c r="FG220" s="8" t="n"/>
      <c r="FH220" s="8" t="n"/>
      <c r="FI220" s="8" t="n"/>
      <c r="FJ220" s="8" t="n"/>
      <c r="FK220" s="8" t="n"/>
      <c r="FL220" s="8" t="n"/>
      <c r="FM220" s="8" t="n"/>
      <c r="FN220" s="8" t="n"/>
      <c r="FO220" s="8" t="n"/>
      <c r="FP220" s="8" t="n"/>
      <c r="FQ220" s="8" t="n"/>
      <c r="FR220" s="8" t="n"/>
      <c r="FS220" s="8" t="n"/>
      <c r="FT220" s="8" t="n"/>
      <c r="FU220" s="8" t="n"/>
      <c r="FV220" s="8" t="n"/>
      <c r="FW220" s="8" t="n"/>
      <c r="FX220" s="8" t="n"/>
      <c r="FY220" s="8" t="n"/>
      <c r="FZ220" s="8" t="n"/>
      <c r="GA220" s="8" t="n"/>
      <c r="GB220" s="8" t="n"/>
      <c r="GC220" s="8" t="n"/>
      <c r="GD220" s="8" t="n"/>
      <c r="GE220" s="8" t="n"/>
      <c r="GF220" s="8" t="n"/>
      <c r="GG220" s="8" t="n"/>
      <c r="GH220" s="8" t="n"/>
      <c r="GI220" s="8" t="n"/>
      <c r="GJ220" s="8" t="n"/>
      <c r="GK220" s="8" t="n"/>
      <c r="GL220" s="8" t="n"/>
      <c r="GM220" s="8" t="n"/>
      <c r="GN220" s="8" t="n"/>
      <c r="GO220" s="8" t="n"/>
      <c r="GP220" s="8" t="n"/>
      <c r="GQ220" s="8" t="n"/>
      <c r="GR220" s="8" t="n"/>
      <c r="GS220" s="8" t="n"/>
      <c r="GT220" s="8" t="n"/>
      <c r="GU220" s="8" t="n"/>
      <c r="GV220" s="8" t="n"/>
      <c r="GW220" s="8" t="n"/>
      <c r="GX220" s="8" t="n"/>
      <c r="GY220" s="8" t="n"/>
      <c r="GZ220" s="8" t="n"/>
      <c r="HA220" s="8" t="n"/>
      <c r="HB220" s="8" t="n"/>
      <c r="HC220" s="8" t="n"/>
      <c r="HD220" s="8" t="n"/>
      <c r="HE220" s="8" t="n"/>
      <c r="HF220" s="8" t="n"/>
      <c r="HG220" s="8" t="n"/>
      <c r="HH220" s="8" t="n"/>
      <c r="HI220" s="8" t="n"/>
      <c r="HJ220" s="8" t="n"/>
      <c r="HK220" s="8" t="n"/>
      <c r="HL220" s="8" t="n"/>
      <c r="HM220" s="8" t="n"/>
      <c r="HN220" s="8" t="n"/>
      <c r="HO220" s="8" t="n"/>
      <c r="HP220" s="8" t="n"/>
      <c r="HQ220" s="8" t="n"/>
      <c r="HR220" s="8" t="n"/>
      <c r="HS220" s="8" t="n"/>
      <c r="HT220" s="8" t="n"/>
      <c r="HU220" s="8" t="n"/>
      <c r="HV220" s="8" t="n"/>
      <c r="HW220" s="8" t="n"/>
      <c r="HX220" s="8" t="n"/>
      <c r="HY220" s="8" t="n"/>
      <c r="HZ220" s="8" t="n"/>
      <c r="IA220" s="8" t="n"/>
      <c r="IB220" s="8" t="n"/>
      <c r="IC220" s="8" t="n"/>
      <c r="ID220" s="8" t="n"/>
      <c r="IE220" s="8" t="n"/>
      <c r="IF220" s="8" t="n"/>
      <c r="IG220" s="8" t="n"/>
      <c r="IH220" s="8" t="n"/>
      <c r="IJ220" s="9" t="inlineStr">
        <is>
          <t>ez_manage.py:5320 top()</t>
        </is>
      </c>
      <c r="IK220" s="9" t="inlineStr">
        <is>
          <t>v12_quick_engine.py:2899 x3</t>
        </is>
      </c>
    </row>
    <row r="221" ht="11" customHeight="1">
      <c r="A221" s="10" t="inlineStr">
        <is>
          <t>REENTRY_POST_CONSOL_TFS_REQUIRED</t>
        </is>
      </c>
      <c r="B221" s="11" t="inlineStr">
        <is>
          <t>2.0</t>
        </is>
      </c>
      <c r="E221">
        <f>IF(F221="",E220,IF(F221&gt;0,E220+F221,E220))</f>
        <v/>
      </c>
      <c r="F221">
        <f>IFERROR(VLOOKUP($A221,Results_30d_Deltas!$A$2:$H$5000,8,FALSE)-E220,"")</f>
        <v/>
      </c>
      <c r="G221">
        <f>IFERROR(VLOOKUP($A221,Results_30d_Deltas!$A$2:$H$5000,7,FALSE)-E220,"")</f>
        <v/>
      </c>
      <c r="H221">
        <f>IFERROR(VLOOKUP($A221,Results_30d_Deltas!$A$2:$H$5000,6,FALSE),"")</f>
        <v/>
      </c>
      <c r="K221">
        <f>IF(B221=C221,"YES","NO")</f>
        <v/>
      </c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 t="n"/>
      <c r="AC221" s="8" t="n"/>
      <c r="AD221" s="8" t="n"/>
      <c r="AE221" s="8" t="n"/>
      <c r="AF221" s="8" t="n"/>
      <c r="AG221" s="8" t="n"/>
      <c r="AH221" s="8" t="n"/>
      <c r="AI221" s="8" t="n"/>
      <c r="AJ221" s="8" t="n"/>
      <c r="AK221" s="8" t="n"/>
      <c r="AL221" s="8" t="n"/>
      <c r="AM221" s="8" t="n"/>
      <c r="AN221" s="8" t="n"/>
      <c r="AO221" s="8" t="n"/>
      <c r="AP221" s="8" t="n"/>
      <c r="AQ221" s="8" t="n"/>
      <c r="AR221" s="8" t="n"/>
      <c r="AS221" s="8" t="n"/>
      <c r="AT221" s="8" t="n"/>
      <c r="AU221" s="8" t="n"/>
      <c r="AV221" s="8" t="n"/>
      <c r="AW221" s="8" t="n"/>
      <c r="AX221" s="8" t="n"/>
      <c r="AY221" s="8" t="n"/>
      <c r="AZ221" s="8" t="n"/>
      <c r="BA221" s="8" t="n"/>
      <c r="BB221" s="8" t="n"/>
      <c r="BC221" s="8" t="n"/>
      <c r="BD221" s="8" t="n"/>
      <c r="BE221" s="8" t="n"/>
      <c r="BF221" s="8" t="n"/>
      <c r="BG221" s="8" t="n"/>
      <c r="BH221" s="8" t="n"/>
      <c r="BI221" s="8" t="n"/>
      <c r="BJ221" s="8" t="n"/>
      <c r="BK221" s="8" t="n"/>
      <c r="BL221" s="8" t="n"/>
      <c r="BM221" s="8" t="n"/>
      <c r="BN221" s="8" t="n"/>
      <c r="BO221" s="8" t="n"/>
      <c r="BP221" s="8" t="n"/>
      <c r="BQ221" s="8" t="n"/>
      <c r="BR221" s="8" t="n"/>
      <c r="BS221" s="8" t="n"/>
      <c r="BT221" s="8" t="n"/>
      <c r="BU221" s="8" t="n"/>
      <c r="BV221" s="8" t="n"/>
      <c r="BW221" s="8" t="n"/>
      <c r="BX221" s="8" t="n"/>
      <c r="BY221" s="8" t="n"/>
      <c r="BZ221" s="8" t="n"/>
      <c r="CA221" s="8" t="n"/>
      <c r="CB221" s="8" t="n"/>
      <c r="CC221" s="8" t="n"/>
      <c r="CD221" s="8" t="n"/>
      <c r="CE221" s="8" t="n"/>
      <c r="CF221" s="8" t="n"/>
      <c r="CG221" s="8" t="n"/>
      <c r="CH221" s="8" t="n"/>
      <c r="CI221" s="8" t="n"/>
      <c r="CJ221" s="8" t="n"/>
      <c r="CK221" s="8" t="n"/>
      <c r="CL221" s="8" t="n"/>
      <c r="CM221" s="8" t="n"/>
      <c r="CN221" s="8" t="n"/>
      <c r="CO221" s="8" t="n"/>
      <c r="CP221" s="8" t="n"/>
      <c r="CQ221" s="8" t="n"/>
      <c r="CR221" s="8" t="n"/>
      <c r="CS221" s="8" t="n"/>
      <c r="CT221" s="8" t="n"/>
      <c r="CU221" s="8" t="n"/>
      <c r="CV221" s="8" t="n"/>
      <c r="CW221" s="8" t="n"/>
      <c r="CX221" s="8" t="n"/>
      <c r="CY221" s="8" t="n"/>
      <c r="CZ221" s="8" t="n"/>
      <c r="DA221" s="8" t="n"/>
      <c r="DB221" s="8" t="n"/>
      <c r="DC221" s="8" t="n"/>
      <c r="DD221" s="8" t="n"/>
      <c r="DE221" s="8" t="n"/>
      <c r="DF221" s="8" t="n"/>
      <c r="DG221" s="8" t="n"/>
      <c r="DH221" s="8" t="n"/>
      <c r="DI221" s="8" t="n"/>
      <c r="DJ221" s="8" t="n"/>
      <c r="DK221" s="8" t="n"/>
      <c r="DL221" s="8" t="n"/>
      <c r="DM221" s="8" t="n"/>
      <c r="DN221" s="8" t="n"/>
      <c r="DO221" s="8" t="n"/>
      <c r="DP221" s="8" t="n"/>
      <c r="DQ221" s="8" t="n"/>
      <c r="DR221" s="8" t="n"/>
      <c r="DS221" s="8" t="n"/>
      <c r="DT221" s="8" t="n"/>
      <c r="DU221" s="8" t="n"/>
      <c r="DV221" s="8" t="n"/>
      <c r="DW221" s="8" t="n"/>
      <c r="DX221" s="8" t="n"/>
      <c r="DY221" s="8" t="n"/>
      <c r="DZ221" s="8" t="n"/>
      <c r="EA221" s="8" t="n"/>
      <c r="EB221" s="8" t="n"/>
      <c r="EC221" s="8" t="n"/>
      <c r="ED221" s="8" t="n"/>
      <c r="EE221" s="8" t="n"/>
      <c r="EF221" s="8" t="n"/>
      <c r="EG221" s="8" t="n"/>
      <c r="EH221" s="8" t="n"/>
      <c r="EI221" s="8" t="n"/>
      <c r="EJ221" s="8" t="n"/>
      <c r="EK221" s="8" t="n"/>
      <c r="EL221" s="8" t="n"/>
      <c r="EM221" s="8" t="n"/>
      <c r="EN221" s="8" t="n"/>
      <c r="EO221" s="8" t="n"/>
      <c r="EP221" s="8" t="n"/>
      <c r="EQ221" s="8" t="n"/>
      <c r="ER221" s="8" t="n"/>
      <c r="ES221" s="8" t="n"/>
      <c r="ET221" s="8" t="n"/>
      <c r="EU221" s="8" t="n"/>
      <c r="EV221" s="8" t="n"/>
      <c r="EW221" s="8" t="n"/>
      <c r="EX221" s="8" t="n"/>
      <c r="EY221" s="8" t="n"/>
      <c r="EZ221" s="8" t="n"/>
      <c r="FA221" s="8" t="n"/>
      <c r="FB221" s="8" t="n"/>
      <c r="FC221" s="8" t="n"/>
      <c r="FD221" s="8" t="n"/>
      <c r="FE221" s="8" t="n"/>
      <c r="FF221" s="8" t="n"/>
      <c r="FG221" s="8" t="n"/>
      <c r="FH221" s="8" t="n"/>
      <c r="FI221" s="8" t="n"/>
      <c r="FJ221" s="8" t="n"/>
      <c r="FK221" s="8" t="n"/>
      <c r="FL221" s="8" t="n"/>
      <c r="FM221" s="8" t="n"/>
      <c r="FN221" s="8" t="n"/>
      <c r="FO221" s="8" t="n"/>
      <c r="FP221" s="8" t="n"/>
      <c r="FQ221" s="8" t="n"/>
      <c r="FR221" s="8" t="n"/>
      <c r="FS221" s="8" t="n"/>
      <c r="FT221" s="8" t="n"/>
      <c r="FU221" s="8" t="n"/>
      <c r="FV221" s="8" t="n"/>
      <c r="FW221" s="8" t="n"/>
      <c r="FX221" s="8" t="n"/>
      <c r="FY221" s="8" t="n"/>
      <c r="FZ221" s="8" t="n"/>
      <c r="GA221" s="8" t="n"/>
      <c r="GB221" s="8" t="n"/>
      <c r="GC221" s="8" t="n"/>
      <c r="GD221" s="8" t="n"/>
      <c r="GE221" s="8" t="n"/>
      <c r="GF221" s="8" t="n"/>
      <c r="GG221" s="8" t="n"/>
      <c r="GH221" s="8" t="n"/>
      <c r="GI221" s="8" t="n"/>
      <c r="GJ221" s="8" t="n"/>
      <c r="GK221" s="8" t="n"/>
      <c r="GL221" s="8" t="n"/>
      <c r="GM221" s="8" t="n"/>
      <c r="GN221" s="8" t="n"/>
      <c r="GO221" s="8" t="n"/>
      <c r="GP221" s="8" t="n"/>
      <c r="GQ221" s="8" t="n"/>
      <c r="GR221" s="8" t="n"/>
      <c r="GS221" s="8" t="n"/>
      <c r="GT221" s="8" t="n"/>
      <c r="GU221" s="8" t="n"/>
      <c r="GV221" s="8" t="n"/>
      <c r="GW221" s="8" t="n"/>
      <c r="GX221" s="8" t="n"/>
      <c r="GY221" s="8" t="n"/>
      <c r="GZ221" s="8" t="n"/>
      <c r="HA221" s="8" t="n"/>
      <c r="HB221" s="8" t="n"/>
      <c r="HC221" s="8" t="n"/>
      <c r="HD221" s="8" t="n"/>
      <c r="HE221" s="8" t="n"/>
      <c r="HF221" s="8" t="n"/>
      <c r="HG221" s="8" t="n"/>
      <c r="HH221" s="8" t="n"/>
      <c r="HI221" s="8" t="n"/>
      <c r="HJ221" s="8" t="n"/>
      <c r="HK221" s="8" t="n"/>
      <c r="HL221" s="8" t="n"/>
      <c r="HM221" s="8" t="n"/>
      <c r="HN221" s="8" t="n"/>
      <c r="HO221" s="8" t="n"/>
      <c r="HP221" s="8" t="n"/>
      <c r="HQ221" s="8" t="n"/>
      <c r="HR221" s="8" t="n"/>
      <c r="HS221" s="8" t="n"/>
      <c r="HT221" s="8" t="n"/>
      <c r="HU221" s="8" t="n"/>
      <c r="HV221" s="8" t="n"/>
      <c r="HW221" s="8" t="n"/>
      <c r="HX221" s="8" t="n"/>
      <c r="HY221" s="8" t="n"/>
      <c r="HZ221" s="8" t="n"/>
      <c r="IA221" s="8" t="n"/>
      <c r="IB221" s="8" t="n"/>
      <c r="IC221" s="8" t="n"/>
      <c r="ID221" s="8" t="n"/>
      <c r="IE221" s="8" t="n"/>
      <c r="IF221" s="8" t="n"/>
      <c r="IG221" s="8" t="n"/>
      <c r="IH221" s="8" t="n"/>
      <c r="IJ221" s="9" t="inlineStr">
        <is>
          <t>ez_manage.py:5320 top()</t>
        </is>
      </c>
      <c r="IK221" s="9" t="inlineStr">
        <is>
          <t>v12_quick_engine.py:2899 x3</t>
        </is>
      </c>
    </row>
    <row r="222" ht="11" customHeight="1">
      <c r="A222" s="10" t="inlineStr">
        <is>
          <t>REENTRY_PRICE_IMPROVE_PCT</t>
        </is>
      </c>
      <c r="B222" s="11" t="inlineStr">
        <is>
          <t>0</t>
        </is>
      </c>
      <c r="E222">
        <f>IF(F222="",E221,IF(F222&gt;0,E221+F222,E221))</f>
        <v/>
      </c>
      <c r="F222">
        <f>IFERROR(VLOOKUP($A222,Results_30d_Deltas!$A$2:$H$5000,8,FALSE)-E221,"")</f>
        <v/>
      </c>
      <c r="G222">
        <f>IFERROR(VLOOKUP($A222,Results_30d_Deltas!$A$2:$H$5000,7,FALSE)-E221,"")</f>
        <v/>
      </c>
      <c r="H222">
        <f>IFERROR(VLOOKUP($A222,Results_30d_Deltas!$A$2:$H$5000,6,FALSE),"")</f>
        <v/>
      </c>
      <c r="K222">
        <f>IF(B222=C222,"YES","NO")</f>
        <v/>
      </c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  <c r="AB222" s="8" t="n"/>
      <c r="AC222" s="8" t="n"/>
      <c r="AD222" s="8" t="n"/>
      <c r="AE222" s="8" t="n"/>
      <c r="AF222" s="8" t="n"/>
      <c r="AG222" s="8" t="n"/>
      <c r="AH222" s="8" t="n"/>
      <c r="AI222" s="8" t="n"/>
      <c r="AJ222" s="8" t="n"/>
      <c r="AK222" s="8" t="n"/>
      <c r="AL222" s="8" t="n"/>
      <c r="AM222" s="8" t="n"/>
      <c r="AN222" s="8" t="n"/>
      <c r="AO222" s="8" t="n"/>
      <c r="AP222" s="8" t="n"/>
      <c r="AQ222" s="8" t="n"/>
      <c r="AR222" s="8" t="n"/>
      <c r="AS222" s="8" t="n"/>
      <c r="AT222" s="8" t="n"/>
      <c r="AU222" s="8" t="n"/>
      <c r="AV222" s="8" t="n"/>
      <c r="AW222" s="8" t="n"/>
      <c r="AX222" s="8" t="n"/>
      <c r="AY222" s="8" t="n"/>
      <c r="AZ222" s="8" t="n"/>
      <c r="BA222" s="8" t="n"/>
      <c r="BB222" s="8" t="n"/>
      <c r="BC222" s="8" t="n"/>
      <c r="BD222" s="8" t="n"/>
      <c r="BE222" s="8" t="n"/>
      <c r="BF222" s="8" t="n"/>
      <c r="BG222" s="8" t="n"/>
      <c r="BH222" s="8" t="n"/>
      <c r="BI222" s="8" t="n"/>
      <c r="BJ222" s="8" t="n"/>
      <c r="BK222" s="8" t="n"/>
      <c r="BL222" s="8" t="n"/>
      <c r="BM222" s="8" t="n"/>
      <c r="BN222" s="8" t="n"/>
      <c r="BO222" s="8" t="n"/>
      <c r="BP222" s="8" t="n"/>
      <c r="BQ222" s="8" t="n"/>
      <c r="BR222" s="8" t="n"/>
      <c r="BS222" s="8" t="n"/>
      <c r="BT222" s="8" t="n"/>
      <c r="BU222" s="8" t="n"/>
      <c r="BV222" s="8" t="n"/>
      <c r="BW222" s="8" t="n"/>
      <c r="BX222" s="8" t="n"/>
      <c r="BY222" s="8" t="n"/>
      <c r="BZ222" s="8" t="n"/>
      <c r="CA222" s="8" t="n"/>
      <c r="CB222" s="8" t="n"/>
      <c r="CC222" s="8" t="n"/>
      <c r="CD222" s="8" t="n"/>
      <c r="CE222" s="8" t="n"/>
      <c r="CF222" s="8" t="n"/>
      <c r="CG222" s="8" t="n"/>
      <c r="CH222" s="8" t="n"/>
      <c r="CI222" s="8" t="n"/>
      <c r="CJ222" s="8" t="n"/>
      <c r="CK222" s="8" t="n"/>
      <c r="CL222" s="8" t="n"/>
      <c r="CM222" s="8" t="n"/>
      <c r="CN222" s="8" t="n"/>
      <c r="CO222" s="8" t="n"/>
      <c r="CP222" s="8" t="n"/>
      <c r="CQ222" s="8" t="n"/>
      <c r="CR222" s="8" t="n"/>
      <c r="CS222" s="8" t="n"/>
      <c r="CT222" s="8" t="n"/>
      <c r="CU222" s="8" t="n"/>
      <c r="CV222" s="8" t="n"/>
      <c r="CW222" s="8" t="n"/>
      <c r="CX222" s="8" t="n"/>
      <c r="CY222" s="8" t="n"/>
      <c r="CZ222" s="8" t="n"/>
      <c r="DA222" s="8" t="n"/>
      <c r="DB222" s="8" t="n"/>
      <c r="DC222" s="8" t="n"/>
      <c r="DD222" s="8" t="n"/>
      <c r="DE222" s="8" t="n"/>
      <c r="DF222" s="8" t="n"/>
      <c r="DG222" s="8" t="n"/>
      <c r="DH222" s="8" t="n"/>
      <c r="DI222" s="8" t="n"/>
      <c r="DJ222" s="8" t="n"/>
      <c r="DK222" s="8" t="n"/>
      <c r="DL222" s="8" t="n"/>
      <c r="DM222" s="8" t="n"/>
      <c r="DN222" s="8" t="n"/>
      <c r="DO222" s="8" t="n"/>
      <c r="DP222" s="8" t="n"/>
      <c r="DQ222" s="8" t="n"/>
      <c r="DR222" s="8" t="n"/>
      <c r="DS222" s="8" t="n"/>
      <c r="DT222" s="8" t="n"/>
      <c r="DU222" s="8" t="n"/>
      <c r="DV222" s="8" t="n"/>
      <c r="DW222" s="8" t="n"/>
      <c r="DX222" s="8" t="n"/>
      <c r="DY222" s="8" t="n"/>
      <c r="DZ222" s="8" t="n"/>
      <c r="EA222" s="8" t="n"/>
      <c r="EB222" s="8" t="n"/>
      <c r="EC222" s="8" t="n"/>
      <c r="ED222" s="8" t="n"/>
      <c r="EE222" s="8" t="n"/>
      <c r="EF222" s="8" t="n"/>
      <c r="EG222" s="8" t="n"/>
      <c r="EH222" s="8" t="n"/>
      <c r="EI222" s="8" t="n"/>
      <c r="EJ222" s="8" t="n"/>
      <c r="EK222" s="8" t="n"/>
      <c r="EL222" s="8" t="n"/>
      <c r="EM222" s="8" t="n"/>
      <c r="EN222" s="8" t="n"/>
      <c r="EO222" s="8" t="n"/>
      <c r="EP222" s="8" t="n"/>
      <c r="EQ222" s="8" t="n"/>
      <c r="ER222" s="8" t="n"/>
      <c r="ES222" s="8" t="n"/>
      <c r="ET222" s="8" t="n"/>
      <c r="EU222" s="8" t="n"/>
      <c r="EV222" s="8" t="n"/>
      <c r="EW222" s="8" t="n"/>
      <c r="EX222" s="8" t="n"/>
      <c r="EY222" s="8" t="n"/>
      <c r="EZ222" s="8" t="n"/>
      <c r="FA222" s="8" t="n"/>
      <c r="FB222" s="8" t="n"/>
      <c r="FC222" s="8" t="n"/>
      <c r="FD222" s="8" t="n"/>
      <c r="FE222" s="8" t="n"/>
      <c r="FF222" s="8" t="n"/>
      <c r="FG222" s="8" t="n"/>
      <c r="FH222" s="8" t="n"/>
      <c r="FI222" s="8" t="n"/>
      <c r="FJ222" s="8" t="n"/>
      <c r="FK222" s="8" t="n"/>
      <c r="FL222" s="8" t="n"/>
      <c r="FM222" s="8" t="n"/>
      <c r="FN222" s="8" t="n"/>
      <c r="FO222" s="8" t="n"/>
      <c r="FP222" s="8" t="n"/>
      <c r="FQ222" s="8" t="n"/>
      <c r="FR222" s="8" t="n"/>
      <c r="FS222" s="8" t="n"/>
      <c r="FT222" s="8" t="n"/>
      <c r="FU222" s="8" t="n"/>
      <c r="FV222" s="8" t="n"/>
      <c r="FW222" s="8" t="n"/>
      <c r="FX222" s="8" t="n"/>
      <c r="FY222" s="8" t="n"/>
      <c r="FZ222" s="8" t="n"/>
      <c r="GA222" s="8" t="n"/>
      <c r="GB222" s="8" t="n"/>
      <c r="GC222" s="8" t="n"/>
      <c r="GD222" s="8" t="n"/>
      <c r="GE222" s="8" t="n"/>
      <c r="GF222" s="8" t="n"/>
      <c r="GG222" s="8" t="n"/>
      <c r="GH222" s="8" t="n"/>
      <c r="GI222" s="8" t="n"/>
      <c r="GJ222" s="8" t="n"/>
      <c r="GK222" s="8" t="n"/>
      <c r="GL222" s="8" t="n"/>
      <c r="GM222" s="8" t="n"/>
      <c r="GN222" s="8" t="n"/>
      <c r="GO222" s="8" t="n"/>
      <c r="GP222" s="8" t="n"/>
      <c r="GQ222" s="8" t="n"/>
      <c r="GR222" s="8" t="n"/>
      <c r="GS222" s="8" t="n"/>
      <c r="GT222" s="8" t="n"/>
      <c r="GU222" s="8" t="n"/>
      <c r="GV222" s="8" t="n"/>
      <c r="GW222" s="8" t="n"/>
      <c r="GX222" s="8" t="n"/>
      <c r="GY222" s="8" t="n"/>
      <c r="GZ222" s="8" t="n"/>
      <c r="HA222" s="8" t="n"/>
      <c r="HB222" s="8" t="n"/>
      <c r="HC222" s="8" t="n"/>
      <c r="HD222" s="8" t="n"/>
      <c r="HE222" s="8" t="n"/>
      <c r="HF222" s="8" t="n"/>
      <c r="HG222" s="8" t="n"/>
      <c r="HH222" s="8" t="n"/>
      <c r="HI222" s="8" t="n"/>
      <c r="HJ222" s="8" t="n"/>
      <c r="HK222" s="8" t="n"/>
      <c r="HL222" s="8" t="n"/>
      <c r="HM222" s="8" t="n"/>
      <c r="HN222" s="8" t="n"/>
      <c r="HO222" s="8" t="n"/>
      <c r="HP222" s="8" t="n"/>
      <c r="HQ222" s="8" t="n"/>
      <c r="HR222" s="8" t="n"/>
      <c r="HS222" s="8" t="n"/>
      <c r="HT222" s="8" t="n"/>
      <c r="HU222" s="8" t="n"/>
      <c r="HV222" s="8" t="n"/>
      <c r="HW222" s="8" t="n"/>
      <c r="HX222" s="8" t="n"/>
      <c r="HY222" s="8" t="n"/>
      <c r="HZ222" s="8" t="n"/>
      <c r="IA222" s="8" t="n"/>
      <c r="IB222" s="8" t="n"/>
      <c r="IC222" s="8" t="n"/>
      <c r="ID222" s="8" t="n"/>
      <c r="IE222" s="8" t="n"/>
      <c r="IF222" s="8" t="n"/>
      <c r="IG222" s="8" t="n"/>
      <c r="IH222" s="8" t="n"/>
      <c r="IJ222" s="9" t="inlineStr">
        <is>
          <t>ez_manage.py:5321 top()</t>
        </is>
      </c>
      <c r="IK222" s="9" t="inlineStr">
        <is>
          <t>v12_quick_engine.py:2900 x3</t>
        </is>
      </c>
    </row>
    <row r="223" ht="11" customHeight="1">
      <c r="A223" s="10" t="inlineStr">
        <is>
          <t>REENTRY_PRICE_IMPROVE_PCT</t>
        </is>
      </c>
      <c r="B223" s="11" t="inlineStr">
        <is>
          <t>0.5</t>
        </is>
      </c>
      <c r="E223">
        <f>IF(F223="",E222,IF(F223&gt;0,E222+F223,E222))</f>
        <v/>
      </c>
      <c r="F223">
        <f>IFERROR(VLOOKUP($A223,Results_30d_Deltas!$A$2:$H$5000,8,FALSE)-E222,"")</f>
        <v/>
      </c>
      <c r="G223">
        <f>IFERROR(VLOOKUP($A223,Results_30d_Deltas!$A$2:$H$5000,7,FALSE)-E222,"")</f>
        <v/>
      </c>
      <c r="H223">
        <f>IFERROR(VLOOKUP($A223,Results_30d_Deltas!$A$2:$H$5000,6,FALSE),"")</f>
        <v/>
      </c>
      <c r="K223">
        <f>IF(B223=C223,"YES","NO")</f>
        <v/>
      </c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8" t="n"/>
      <c r="AC223" s="8" t="n"/>
      <c r="AD223" s="8" t="n"/>
      <c r="AE223" s="8" t="n"/>
      <c r="AF223" s="8" t="n"/>
      <c r="AG223" s="8" t="n"/>
      <c r="AH223" s="8" t="n"/>
      <c r="AI223" s="8" t="n"/>
      <c r="AJ223" s="8" t="n"/>
      <c r="AK223" s="8" t="n"/>
      <c r="AL223" s="8" t="n"/>
      <c r="AM223" s="8" t="n"/>
      <c r="AN223" s="8" t="n"/>
      <c r="AO223" s="8" t="n"/>
      <c r="AP223" s="8" t="n"/>
      <c r="AQ223" s="8" t="n"/>
      <c r="AR223" s="8" t="n"/>
      <c r="AS223" s="8" t="n"/>
      <c r="AT223" s="8" t="n"/>
      <c r="AU223" s="8" t="n"/>
      <c r="AV223" s="8" t="n"/>
      <c r="AW223" s="8" t="n"/>
      <c r="AX223" s="8" t="n"/>
      <c r="AY223" s="8" t="n"/>
      <c r="AZ223" s="8" t="n"/>
      <c r="BA223" s="8" t="n"/>
      <c r="BB223" s="8" t="n"/>
      <c r="BC223" s="8" t="n"/>
      <c r="BD223" s="8" t="n"/>
      <c r="BE223" s="8" t="n"/>
      <c r="BF223" s="8" t="n"/>
      <c r="BG223" s="8" t="n"/>
      <c r="BH223" s="8" t="n"/>
      <c r="BI223" s="8" t="n"/>
      <c r="BJ223" s="8" t="n"/>
      <c r="BK223" s="8" t="n"/>
      <c r="BL223" s="8" t="n"/>
      <c r="BM223" s="8" t="n"/>
      <c r="BN223" s="8" t="n"/>
      <c r="BO223" s="8" t="n"/>
      <c r="BP223" s="8" t="n"/>
      <c r="BQ223" s="8" t="n"/>
      <c r="BR223" s="8" t="n"/>
      <c r="BS223" s="8" t="n"/>
      <c r="BT223" s="8" t="n"/>
      <c r="BU223" s="8" t="n"/>
      <c r="BV223" s="8" t="n"/>
      <c r="BW223" s="8" t="n"/>
      <c r="BX223" s="8" t="n"/>
      <c r="BY223" s="8" t="n"/>
      <c r="BZ223" s="8" t="n"/>
      <c r="CA223" s="8" t="n"/>
      <c r="CB223" s="8" t="n"/>
      <c r="CC223" s="8" t="n"/>
      <c r="CD223" s="8" t="n"/>
      <c r="CE223" s="8" t="n"/>
      <c r="CF223" s="8" t="n"/>
      <c r="CG223" s="8" t="n"/>
      <c r="CH223" s="8" t="n"/>
      <c r="CI223" s="8" t="n"/>
      <c r="CJ223" s="8" t="n"/>
      <c r="CK223" s="8" t="n"/>
      <c r="CL223" s="8" t="n"/>
      <c r="CM223" s="8" t="n"/>
      <c r="CN223" s="8" t="n"/>
      <c r="CO223" s="8" t="n"/>
      <c r="CP223" s="8" t="n"/>
      <c r="CQ223" s="8" t="n"/>
      <c r="CR223" s="8" t="n"/>
      <c r="CS223" s="8" t="n"/>
      <c r="CT223" s="8" t="n"/>
      <c r="CU223" s="8" t="n"/>
      <c r="CV223" s="8" t="n"/>
      <c r="CW223" s="8" t="n"/>
      <c r="CX223" s="8" t="n"/>
      <c r="CY223" s="8" t="n"/>
      <c r="CZ223" s="8" t="n"/>
      <c r="DA223" s="8" t="n"/>
      <c r="DB223" s="8" t="n"/>
      <c r="DC223" s="8" t="n"/>
      <c r="DD223" s="8" t="n"/>
      <c r="DE223" s="8" t="n"/>
      <c r="DF223" s="8" t="n"/>
      <c r="DG223" s="8" t="n"/>
      <c r="DH223" s="8" t="n"/>
      <c r="DI223" s="8" t="n"/>
      <c r="DJ223" s="8" t="n"/>
      <c r="DK223" s="8" t="n"/>
      <c r="DL223" s="8" t="n"/>
      <c r="DM223" s="8" t="n"/>
      <c r="DN223" s="8" t="n"/>
      <c r="DO223" s="8" t="n"/>
      <c r="DP223" s="8" t="n"/>
      <c r="DQ223" s="8" t="n"/>
      <c r="DR223" s="8" t="n"/>
      <c r="DS223" s="8" t="n"/>
      <c r="DT223" s="8" t="n"/>
      <c r="DU223" s="8" t="n"/>
      <c r="DV223" s="8" t="n"/>
      <c r="DW223" s="8" t="n"/>
      <c r="DX223" s="8" t="n"/>
      <c r="DY223" s="8" t="n"/>
      <c r="DZ223" s="8" t="n"/>
      <c r="EA223" s="8" t="n"/>
      <c r="EB223" s="8" t="n"/>
      <c r="EC223" s="8" t="n"/>
      <c r="ED223" s="8" t="n"/>
      <c r="EE223" s="8" t="n"/>
      <c r="EF223" s="8" t="n"/>
      <c r="EG223" s="8" t="n"/>
      <c r="EH223" s="8" t="n"/>
      <c r="EI223" s="8" t="n"/>
      <c r="EJ223" s="8" t="n"/>
      <c r="EK223" s="8" t="n"/>
      <c r="EL223" s="8" t="n"/>
      <c r="EM223" s="8" t="n"/>
      <c r="EN223" s="8" t="n"/>
      <c r="EO223" s="8" t="n"/>
      <c r="EP223" s="8" t="n"/>
      <c r="EQ223" s="8" t="n"/>
      <c r="ER223" s="8" t="n"/>
      <c r="ES223" s="8" t="n"/>
      <c r="ET223" s="8" t="n"/>
      <c r="EU223" s="8" t="n"/>
      <c r="EV223" s="8" t="n"/>
      <c r="EW223" s="8" t="n"/>
      <c r="EX223" s="8" t="n"/>
      <c r="EY223" s="8" t="n"/>
      <c r="EZ223" s="8" t="n"/>
      <c r="FA223" s="8" t="n"/>
      <c r="FB223" s="8" t="n"/>
      <c r="FC223" s="8" t="n"/>
      <c r="FD223" s="8" t="n"/>
      <c r="FE223" s="8" t="n"/>
      <c r="FF223" s="8" t="n"/>
      <c r="FG223" s="8" t="n"/>
      <c r="FH223" s="8" t="n"/>
      <c r="FI223" s="8" t="n"/>
      <c r="FJ223" s="8" t="n"/>
      <c r="FK223" s="8" t="n"/>
      <c r="FL223" s="8" t="n"/>
      <c r="FM223" s="8" t="n"/>
      <c r="FN223" s="8" t="n"/>
      <c r="FO223" s="8" t="n"/>
      <c r="FP223" s="8" t="n"/>
      <c r="FQ223" s="8" t="n"/>
      <c r="FR223" s="8" t="n"/>
      <c r="FS223" s="8" t="n"/>
      <c r="FT223" s="8" t="n"/>
      <c r="FU223" s="8" t="n"/>
      <c r="FV223" s="8" t="n"/>
      <c r="FW223" s="8" t="n"/>
      <c r="FX223" s="8" t="n"/>
      <c r="FY223" s="8" t="n"/>
      <c r="FZ223" s="8" t="n"/>
      <c r="GA223" s="8" t="n"/>
      <c r="GB223" s="8" t="n"/>
      <c r="GC223" s="8" t="n"/>
      <c r="GD223" s="8" t="n"/>
      <c r="GE223" s="8" t="n"/>
      <c r="GF223" s="8" t="n"/>
      <c r="GG223" s="8" t="n"/>
      <c r="GH223" s="8" t="n"/>
      <c r="GI223" s="8" t="n"/>
      <c r="GJ223" s="8" t="n"/>
      <c r="GK223" s="8" t="n"/>
      <c r="GL223" s="8" t="n"/>
      <c r="GM223" s="8" t="n"/>
      <c r="GN223" s="8" t="n"/>
      <c r="GO223" s="8" t="n"/>
      <c r="GP223" s="8" t="n"/>
      <c r="GQ223" s="8" t="n"/>
      <c r="GR223" s="8" t="n"/>
      <c r="GS223" s="8" t="n"/>
      <c r="GT223" s="8" t="n"/>
      <c r="GU223" s="8" t="n"/>
      <c r="GV223" s="8" t="n"/>
      <c r="GW223" s="8" t="n"/>
      <c r="GX223" s="8" t="n"/>
      <c r="GY223" s="8" t="n"/>
      <c r="GZ223" s="8" t="n"/>
      <c r="HA223" s="8" t="n"/>
      <c r="HB223" s="8" t="n"/>
      <c r="HC223" s="8" t="n"/>
      <c r="HD223" s="8" t="n"/>
      <c r="HE223" s="8" t="n"/>
      <c r="HF223" s="8" t="n"/>
      <c r="HG223" s="8" t="n"/>
      <c r="HH223" s="8" t="n"/>
      <c r="HI223" s="8" t="n"/>
      <c r="HJ223" s="8" t="n"/>
      <c r="HK223" s="8" t="n"/>
      <c r="HL223" s="8" t="n"/>
      <c r="HM223" s="8" t="n"/>
      <c r="HN223" s="8" t="n"/>
      <c r="HO223" s="8" t="n"/>
      <c r="HP223" s="8" t="n"/>
      <c r="HQ223" s="8" t="n"/>
      <c r="HR223" s="8" t="n"/>
      <c r="HS223" s="8" t="n"/>
      <c r="HT223" s="8" t="n"/>
      <c r="HU223" s="8" t="n"/>
      <c r="HV223" s="8" t="n"/>
      <c r="HW223" s="8" t="n"/>
      <c r="HX223" s="8" t="n"/>
      <c r="HY223" s="8" t="n"/>
      <c r="HZ223" s="8" t="n"/>
      <c r="IA223" s="8" t="n"/>
      <c r="IB223" s="8" t="n"/>
      <c r="IC223" s="8" t="n"/>
      <c r="ID223" s="8" t="n"/>
      <c r="IE223" s="8" t="n"/>
      <c r="IF223" s="8" t="n"/>
      <c r="IG223" s="8" t="n"/>
      <c r="IH223" s="8" t="n"/>
      <c r="IJ223" s="9" t="inlineStr">
        <is>
          <t>ez_manage.py:5321 top()</t>
        </is>
      </c>
      <c r="IK223" s="9" t="inlineStr">
        <is>
          <t>v12_quick_engine.py:2900 x3</t>
        </is>
      </c>
    </row>
    <row r="224" ht="11" customHeight="1">
      <c r="A224" s="10" t="inlineStr">
        <is>
          <t>REENTRY_PRICE_IMPROVE_PCT</t>
        </is>
      </c>
      <c r="B224" s="11" t="inlineStr">
        <is>
          <t>1.0</t>
        </is>
      </c>
      <c r="E224">
        <f>IF(F224="",E223,IF(F224&gt;0,E223+F224,E223))</f>
        <v/>
      </c>
      <c r="F224">
        <f>IFERROR(VLOOKUP($A224,Results_30d_Deltas!$A$2:$H$5000,8,FALSE)-E223,"")</f>
        <v/>
      </c>
      <c r="G224">
        <f>IFERROR(VLOOKUP($A224,Results_30d_Deltas!$A$2:$H$5000,7,FALSE)-E223,"")</f>
        <v/>
      </c>
      <c r="H224">
        <f>IFERROR(VLOOKUP($A224,Results_30d_Deltas!$A$2:$H$5000,6,FALSE),"")</f>
        <v/>
      </c>
      <c r="K224">
        <f>IF(B224=C224,"YES","NO")</f>
        <v/>
      </c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  <c r="AB224" s="8" t="n"/>
      <c r="AC224" s="8" t="n"/>
      <c r="AD224" s="8" t="n"/>
      <c r="AE224" s="8" t="n"/>
      <c r="AF224" s="8" t="n"/>
      <c r="AG224" s="8" t="n"/>
      <c r="AH224" s="8" t="n"/>
      <c r="AI224" s="8" t="n"/>
      <c r="AJ224" s="8" t="n"/>
      <c r="AK224" s="8" t="n"/>
      <c r="AL224" s="8" t="n"/>
      <c r="AM224" s="8" t="n"/>
      <c r="AN224" s="8" t="n"/>
      <c r="AO224" s="8" t="n"/>
      <c r="AP224" s="8" t="n"/>
      <c r="AQ224" s="8" t="n"/>
      <c r="AR224" s="8" t="n"/>
      <c r="AS224" s="8" t="n"/>
      <c r="AT224" s="8" t="n"/>
      <c r="AU224" s="8" t="n"/>
      <c r="AV224" s="8" t="n"/>
      <c r="AW224" s="8" t="n"/>
      <c r="AX224" s="8" t="n"/>
      <c r="AY224" s="8" t="n"/>
      <c r="AZ224" s="8" t="n"/>
      <c r="BA224" s="8" t="n"/>
      <c r="BB224" s="8" t="n"/>
      <c r="BC224" s="8" t="n"/>
      <c r="BD224" s="8" t="n"/>
      <c r="BE224" s="8" t="n"/>
      <c r="BF224" s="8" t="n"/>
      <c r="BG224" s="8" t="n"/>
      <c r="BH224" s="8" t="n"/>
      <c r="BI224" s="8" t="n"/>
      <c r="BJ224" s="8" t="n"/>
      <c r="BK224" s="8" t="n"/>
      <c r="BL224" s="8" t="n"/>
      <c r="BM224" s="8" t="n"/>
      <c r="BN224" s="8" t="n"/>
      <c r="BO224" s="8" t="n"/>
      <c r="BP224" s="8" t="n"/>
      <c r="BQ224" s="8" t="n"/>
      <c r="BR224" s="8" t="n"/>
      <c r="BS224" s="8" t="n"/>
      <c r="BT224" s="8" t="n"/>
      <c r="BU224" s="8" t="n"/>
      <c r="BV224" s="8" t="n"/>
      <c r="BW224" s="8" t="n"/>
      <c r="BX224" s="8" t="n"/>
      <c r="BY224" s="8" t="n"/>
      <c r="BZ224" s="8" t="n"/>
      <c r="CA224" s="8" t="n"/>
      <c r="CB224" s="8" t="n"/>
      <c r="CC224" s="8" t="n"/>
      <c r="CD224" s="8" t="n"/>
      <c r="CE224" s="8" t="n"/>
      <c r="CF224" s="8" t="n"/>
      <c r="CG224" s="8" t="n"/>
      <c r="CH224" s="8" t="n"/>
      <c r="CI224" s="8" t="n"/>
      <c r="CJ224" s="8" t="n"/>
      <c r="CK224" s="8" t="n"/>
      <c r="CL224" s="8" t="n"/>
      <c r="CM224" s="8" t="n"/>
      <c r="CN224" s="8" t="n"/>
      <c r="CO224" s="8" t="n"/>
      <c r="CP224" s="8" t="n"/>
      <c r="CQ224" s="8" t="n"/>
      <c r="CR224" s="8" t="n"/>
      <c r="CS224" s="8" t="n"/>
      <c r="CT224" s="8" t="n"/>
      <c r="CU224" s="8" t="n"/>
      <c r="CV224" s="8" t="n"/>
      <c r="CW224" s="8" t="n"/>
      <c r="CX224" s="8" t="n"/>
      <c r="CY224" s="8" t="n"/>
      <c r="CZ224" s="8" t="n"/>
      <c r="DA224" s="8" t="n"/>
      <c r="DB224" s="8" t="n"/>
      <c r="DC224" s="8" t="n"/>
      <c r="DD224" s="8" t="n"/>
      <c r="DE224" s="8" t="n"/>
      <c r="DF224" s="8" t="n"/>
      <c r="DG224" s="8" t="n"/>
      <c r="DH224" s="8" t="n"/>
      <c r="DI224" s="8" t="n"/>
      <c r="DJ224" s="8" t="n"/>
      <c r="DK224" s="8" t="n"/>
      <c r="DL224" s="8" t="n"/>
      <c r="DM224" s="8" t="n"/>
      <c r="DN224" s="8" t="n"/>
      <c r="DO224" s="8" t="n"/>
      <c r="DP224" s="8" t="n"/>
      <c r="DQ224" s="8" t="n"/>
      <c r="DR224" s="8" t="n"/>
      <c r="DS224" s="8" t="n"/>
      <c r="DT224" s="8" t="n"/>
      <c r="DU224" s="8" t="n"/>
      <c r="DV224" s="8" t="n"/>
      <c r="DW224" s="8" t="n"/>
      <c r="DX224" s="8" t="n"/>
      <c r="DY224" s="8" t="n"/>
      <c r="DZ224" s="8" t="n"/>
      <c r="EA224" s="8" t="n"/>
      <c r="EB224" s="8" t="n"/>
      <c r="EC224" s="8" t="n"/>
      <c r="ED224" s="8" t="n"/>
      <c r="EE224" s="8" t="n"/>
      <c r="EF224" s="8" t="n"/>
      <c r="EG224" s="8" t="n"/>
      <c r="EH224" s="8" t="n"/>
      <c r="EI224" s="8" t="n"/>
      <c r="EJ224" s="8" t="n"/>
      <c r="EK224" s="8" t="n"/>
      <c r="EL224" s="8" t="n"/>
      <c r="EM224" s="8" t="n"/>
      <c r="EN224" s="8" t="n"/>
      <c r="EO224" s="8" t="n"/>
      <c r="EP224" s="8" t="n"/>
      <c r="EQ224" s="8" t="n"/>
      <c r="ER224" s="8" t="n"/>
      <c r="ES224" s="8" t="n"/>
      <c r="ET224" s="8" t="n"/>
      <c r="EU224" s="8" t="n"/>
      <c r="EV224" s="8" t="n"/>
      <c r="EW224" s="8" t="n"/>
      <c r="EX224" s="8" t="n"/>
      <c r="EY224" s="8" t="n"/>
      <c r="EZ224" s="8" t="n"/>
      <c r="FA224" s="8" t="n"/>
      <c r="FB224" s="8" t="n"/>
      <c r="FC224" s="8" t="n"/>
      <c r="FD224" s="8" t="n"/>
      <c r="FE224" s="8" t="n"/>
      <c r="FF224" s="8" t="n"/>
      <c r="FG224" s="8" t="n"/>
      <c r="FH224" s="8" t="n"/>
      <c r="FI224" s="8" t="n"/>
      <c r="FJ224" s="8" t="n"/>
      <c r="FK224" s="8" t="n"/>
      <c r="FL224" s="8" t="n"/>
      <c r="FM224" s="8" t="n"/>
      <c r="FN224" s="8" t="n"/>
      <c r="FO224" s="8" t="n"/>
      <c r="FP224" s="8" t="n"/>
      <c r="FQ224" s="8" t="n"/>
      <c r="FR224" s="8" t="n"/>
      <c r="FS224" s="8" t="n"/>
      <c r="FT224" s="8" t="n"/>
      <c r="FU224" s="8" t="n"/>
      <c r="FV224" s="8" t="n"/>
      <c r="FW224" s="8" t="n"/>
      <c r="FX224" s="8" t="n"/>
      <c r="FY224" s="8" t="n"/>
      <c r="FZ224" s="8" t="n"/>
      <c r="GA224" s="8" t="n"/>
      <c r="GB224" s="8" t="n"/>
      <c r="GC224" s="8" t="n"/>
      <c r="GD224" s="8" t="n"/>
      <c r="GE224" s="8" t="n"/>
      <c r="GF224" s="8" t="n"/>
      <c r="GG224" s="8" t="n"/>
      <c r="GH224" s="8" t="n"/>
      <c r="GI224" s="8" t="n"/>
      <c r="GJ224" s="8" t="n"/>
      <c r="GK224" s="8" t="n"/>
      <c r="GL224" s="8" t="n"/>
      <c r="GM224" s="8" t="n"/>
      <c r="GN224" s="8" t="n"/>
      <c r="GO224" s="8" t="n"/>
      <c r="GP224" s="8" t="n"/>
      <c r="GQ224" s="8" t="n"/>
      <c r="GR224" s="8" t="n"/>
      <c r="GS224" s="8" t="n"/>
      <c r="GT224" s="8" t="n"/>
      <c r="GU224" s="8" t="n"/>
      <c r="GV224" s="8" t="n"/>
      <c r="GW224" s="8" t="n"/>
      <c r="GX224" s="8" t="n"/>
      <c r="GY224" s="8" t="n"/>
      <c r="GZ224" s="8" t="n"/>
      <c r="HA224" s="8" t="n"/>
      <c r="HB224" s="8" t="n"/>
      <c r="HC224" s="8" t="n"/>
      <c r="HD224" s="8" t="n"/>
      <c r="HE224" s="8" t="n"/>
      <c r="HF224" s="8" t="n"/>
      <c r="HG224" s="8" t="n"/>
      <c r="HH224" s="8" t="n"/>
      <c r="HI224" s="8" t="n"/>
      <c r="HJ224" s="8" t="n"/>
      <c r="HK224" s="8" t="n"/>
      <c r="HL224" s="8" t="n"/>
      <c r="HM224" s="8" t="n"/>
      <c r="HN224" s="8" t="n"/>
      <c r="HO224" s="8" t="n"/>
      <c r="HP224" s="8" t="n"/>
      <c r="HQ224" s="8" t="n"/>
      <c r="HR224" s="8" t="n"/>
      <c r="HS224" s="8" t="n"/>
      <c r="HT224" s="8" t="n"/>
      <c r="HU224" s="8" t="n"/>
      <c r="HV224" s="8" t="n"/>
      <c r="HW224" s="8" t="n"/>
      <c r="HX224" s="8" t="n"/>
      <c r="HY224" s="8" t="n"/>
      <c r="HZ224" s="8" t="n"/>
      <c r="IA224" s="8" t="n"/>
      <c r="IB224" s="8" t="n"/>
      <c r="IC224" s="8" t="n"/>
      <c r="ID224" s="8" t="n"/>
      <c r="IE224" s="8" t="n"/>
      <c r="IF224" s="8" t="n"/>
      <c r="IG224" s="8" t="n"/>
      <c r="IH224" s="8" t="n"/>
      <c r="IJ224" s="9" t="inlineStr">
        <is>
          <t>ez_manage.py:5321 top()</t>
        </is>
      </c>
      <c r="IK224" s="9" t="inlineStr">
        <is>
          <t>v12_quick_engine.py:2900 x3</t>
        </is>
      </c>
    </row>
    <row r="225" ht="11" customHeight="1">
      <c r="A225" s="10" t="inlineStr">
        <is>
          <t>REENTRY_PRICE_IMPROVE_PCT</t>
        </is>
      </c>
      <c r="B225" s="11" t="inlineStr">
        <is>
          <t>2.0</t>
        </is>
      </c>
      <c r="E225">
        <f>IF(F225="",E224,IF(F225&gt;0,E224+F225,E224))</f>
        <v/>
      </c>
      <c r="F225">
        <f>IFERROR(VLOOKUP($A225,Results_30d_Deltas!$A$2:$H$5000,8,FALSE)-E224,"")</f>
        <v/>
      </c>
      <c r="G225">
        <f>IFERROR(VLOOKUP($A225,Results_30d_Deltas!$A$2:$H$5000,7,FALSE)-E224,"")</f>
        <v/>
      </c>
      <c r="H225">
        <f>IFERROR(VLOOKUP($A225,Results_30d_Deltas!$A$2:$H$5000,6,FALSE),"")</f>
        <v/>
      </c>
      <c r="K225">
        <f>IF(B225=C225,"YES","NO")</f>
        <v/>
      </c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 t="n"/>
      <c r="AC225" s="8" t="n"/>
      <c r="AD225" s="8" t="n"/>
      <c r="AE225" s="8" t="n"/>
      <c r="AF225" s="8" t="n"/>
      <c r="AG225" s="8" t="n"/>
      <c r="AH225" s="8" t="n"/>
      <c r="AI225" s="8" t="n"/>
      <c r="AJ225" s="8" t="n"/>
      <c r="AK225" s="8" t="n"/>
      <c r="AL225" s="8" t="n"/>
      <c r="AM225" s="8" t="n"/>
      <c r="AN225" s="8" t="n"/>
      <c r="AO225" s="8" t="n"/>
      <c r="AP225" s="8" t="n"/>
      <c r="AQ225" s="8" t="n"/>
      <c r="AR225" s="8" t="n"/>
      <c r="AS225" s="8" t="n"/>
      <c r="AT225" s="8" t="n"/>
      <c r="AU225" s="8" t="n"/>
      <c r="AV225" s="8" t="n"/>
      <c r="AW225" s="8" t="n"/>
      <c r="AX225" s="8" t="n"/>
      <c r="AY225" s="8" t="n"/>
      <c r="AZ225" s="8" t="n"/>
      <c r="BA225" s="8" t="n"/>
      <c r="BB225" s="8" t="n"/>
      <c r="BC225" s="8" t="n"/>
      <c r="BD225" s="8" t="n"/>
      <c r="BE225" s="8" t="n"/>
      <c r="BF225" s="8" t="n"/>
      <c r="BG225" s="8" t="n"/>
      <c r="BH225" s="8" t="n"/>
      <c r="BI225" s="8" t="n"/>
      <c r="BJ225" s="8" t="n"/>
      <c r="BK225" s="8" t="n"/>
      <c r="BL225" s="8" t="n"/>
      <c r="BM225" s="8" t="n"/>
      <c r="BN225" s="8" t="n"/>
      <c r="BO225" s="8" t="n"/>
      <c r="BP225" s="8" t="n"/>
      <c r="BQ225" s="8" t="n"/>
      <c r="BR225" s="8" t="n"/>
      <c r="BS225" s="8" t="n"/>
      <c r="BT225" s="8" t="n"/>
      <c r="BU225" s="8" t="n"/>
      <c r="BV225" s="8" t="n"/>
      <c r="BW225" s="8" t="n"/>
      <c r="BX225" s="8" t="n"/>
      <c r="BY225" s="8" t="n"/>
      <c r="BZ225" s="8" t="n"/>
      <c r="CA225" s="8" t="n"/>
      <c r="CB225" s="8" t="n"/>
      <c r="CC225" s="8" t="n"/>
      <c r="CD225" s="8" t="n"/>
      <c r="CE225" s="8" t="n"/>
      <c r="CF225" s="8" t="n"/>
      <c r="CG225" s="8" t="n"/>
      <c r="CH225" s="8" t="n"/>
      <c r="CI225" s="8" t="n"/>
      <c r="CJ225" s="8" t="n"/>
      <c r="CK225" s="8" t="n"/>
      <c r="CL225" s="8" t="n"/>
      <c r="CM225" s="8" t="n"/>
      <c r="CN225" s="8" t="n"/>
      <c r="CO225" s="8" t="n"/>
      <c r="CP225" s="8" t="n"/>
      <c r="CQ225" s="8" t="n"/>
      <c r="CR225" s="8" t="n"/>
      <c r="CS225" s="8" t="n"/>
      <c r="CT225" s="8" t="n"/>
      <c r="CU225" s="8" t="n"/>
      <c r="CV225" s="8" t="n"/>
      <c r="CW225" s="8" t="n"/>
      <c r="CX225" s="8" t="n"/>
      <c r="CY225" s="8" t="n"/>
      <c r="CZ225" s="8" t="n"/>
      <c r="DA225" s="8" t="n"/>
      <c r="DB225" s="8" t="n"/>
      <c r="DC225" s="8" t="n"/>
      <c r="DD225" s="8" t="n"/>
      <c r="DE225" s="8" t="n"/>
      <c r="DF225" s="8" t="n"/>
      <c r="DG225" s="8" t="n"/>
      <c r="DH225" s="8" t="n"/>
      <c r="DI225" s="8" t="n"/>
      <c r="DJ225" s="8" t="n"/>
      <c r="DK225" s="8" t="n"/>
      <c r="DL225" s="8" t="n"/>
      <c r="DM225" s="8" t="n"/>
      <c r="DN225" s="8" t="n"/>
      <c r="DO225" s="8" t="n"/>
      <c r="DP225" s="8" t="n"/>
      <c r="DQ225" s="8" t="n"/>
      <c r="DR225" s="8" t="n"/>
      <c r="DS225" s="8" t="n"/>
      <c r="DT225" s="8" t="n"/>
      <c r="DU225" s="8" t="n"/>
      <c r="DV225" s="8" t="n"/>
      <c r="DW225" s="8" t="n"/>
      <c r="DX225" s="8" t="n"/>
      <c r="DY225" s="8" t="n"/>
      <c r="DZ225" s="8" t="n"/>
      <c r="EA225" s="8" t="n"/>
      <c r="EB225" s="8" t="n"/>
      <c r="EC225" s="8" t="n"/>
      <c r="ED225" s="8" t="n"/>
      <c r="EE225" s="8" t="n"/>
      <c r="EF225" s="8" t="n"/>
      <c r="EG225" s="8" t="n"/>
      <c r="EH225" s="8" t="n"/>
      <c r="EI225" s="8" t="n"/>
      <c r="EJ225" s="8" t="n"/>
      <c r="EK225" s="8" t="n"/>
      <c r="EL225" s="8" t="n"/>
      <c r="EM225" s="8" t="n"/>
      <c r="EN225" s="8" t="n"/>
      <c r="EO225" s="8" t="n"/>
      <c r="EP225" s="8" t="n"/>
      <c r="EQ225" s="8" t="n"/>
      <c r="ER225" s="8" t="n"/>
      <c r="ES225" s="8" t="n"/>
      <c r="ET225" s="8" t="n"/>
      <c r="EU225" s="8" t="n"/>
      <c r="EV225" s="8" t="n"/>
      <c r="EW225" s="8" t="n"/>
      <c r="EX225" s="8" t="n"/>
      <c r="EY225" s="8" t="n"/>
      <c r="EZ225" s="8" t="n"/>
      <c r="FA225" s="8" t="n"/>
      <c r="FB225" s="8" t="n"/>
      <c r="FC225" s="8" t="n"/>
      <c r="FD225" s="8" t="n"/>
      <c r="FE225" s="8" t="n"/>
      <c r="FF225" s="8" t="n"/>
      <c r="FG225" s="8" t="n"/>
      <c r="FH225" s="8" t="n"/>
      <c r="FI225" s="8" t="n"/>
      <c r="FJ225" s="8" t="n"/>
      <c r="FK225" s="8" t="n"/>
      <c r="FL225" s="8" t="n"/>
      <c r="FM225" s="8" t="n"/>
      <c r="FN225" s="8" t="n"/>
      <c r="FO225" s="8" t="n"/>
      <c r="FP225" s="8" t="n"/>
      <c r="FQ225" s="8" t="n"/>
      <c r="FR225" s="8" t="n"/>
      <c r="FS225" s="8" t="n"/>
      <c r="FT225" s="8" t="n"/>
      <c r="FU225" s="8" t="n"/>
      <c r="FV225" s="8" t="n"/>
      <c r="FW225" s="8" t="n"/>
      <c r="FX225" s="8" t="n"/>
      <c r="FY225" s="8" t="n"/>
      <c r="FZ225" s="8" t="n"/>
      <c r="GA225" s="8" t="n"/>
      <c r="GB225" s="8" t="n"/>
      <c r="GC225" s="8" t="n"/>
      <c r="GD225" s="8" t="n"/>
      <c r="GE225" s="8" t="n"/>
      <c r="GF225" s="8" t="n"/>
      <c r="GG225" s="8" t="n"/>
      <c r="GH225" s="8" t="n"/>
      <c r="GI225" s="8" t="n"/>
      <c r="GJ225" s="8" t="n"/>
      <c r="GK225" s="8" t="n"/>
      <c r="GL225" s="8" t="n"/>
      <c r="GM225" s="8" t="n"/>
      <c r="GN225" s="8" t="n"/>
      <c r="GO225" s="8" t="n"/>
      <c r="GP225" s="8" t="n"/>
      <c r="GQ225" s="8" t="n"/>
      <c r="GR225" s="8" t="n"/>
      <c r="GS225" s="8" t="n"/>
      <c r="GT225" s="8" t="n"/>
      <c r="GU225" s="8" t="n"/>
      <c r="GV225" s="8" t="n"/>
      <c r="GW225" s="8" t="n"/>
      <c r="GX225" s="8" t="n"/>
      <c r="GY225" s="8" t="n"/>
      <c r="GZ225" s="8" t="n"/>
      <c r="HA225" s="8" t="n"/>
      <c r="HB225" s="8" t="n"/>
      <c r="HC225" s="8" t="n"/>
      <c r="HD225" s="8" t="n"/>
      <c r="HE225" s="8" t="n"/>
      <c r="HF225" s="8" t="n"/>
      <c r="HG225" s="8" t="n"/>
      <c r="HH225" s="8" t="n"/>
      <c r="HI225" s="8" t="n"/>
      <c r="HJ225" s="8" t="n"/>
      <c r="HK225" s="8" t="n"/>
      <c r="HL225" s="8" t="n"/>
      <c r="HM225" s="8" t="n"/>
      <c r="HN225" s="8" t="n"/>
      <c r="HO225" s="8" t="n"/>
      <c r="HP225" s="8" t="n"/>
      <c r="HQ225" s="8" t="n"/>
      <c r="HR225" s="8" t="n"/>
      <c r="HS225" s="8" t="n"/>
      <c r="HT225" s="8" t="n"/>
      <c r="HU225" s="8" t="n"/>
      <c r="HV225" s="8" t="n"/>
      <c r="HW225" s="8" t="n"/>
      <c r="HX225" s="8" t="n"/>
      <c r="HY225" s="8" t="n"/>
      <c r="HZ225" s="8" t="n"/>
      <c r="IA225" s="8" t="n"/>
      <c r="IB225" s="8" t="n"/>
      <c r="IC225" s="8" t="n"/>
      <c r="ID225" s="8" t="n"/>
      <c r="IE225" s="8" t="n"/>
      <c r="IF225" s="8" t="n"/>
      <c r="IG225" s="8" t="n"/>
      <c r="IH225" s="8" t="n"/>
      <c r="IJ225" s="9" t="inlineStr">
        <is>
          <t>ez_manage.py:5321 top()</t>
        </is>
      </c>
      <c r="IK225" s="9" t="inlineStr">
        <is>
          <t>v12_quick_engine.py:2900 x3</t>
        </is>
      </c>
    </row>
    <row r="226" ht="11" customHeight="1">
      <c r="A226" s="10" t="inlineStr">
        <is>
          <t>REENTRY_SIZE_DIP_MULT</t>
        </is>
      </c>
      <c r="B226" s="11" t="inlineStr">
        <is>
          <t>0</t>
        </is>
      </c>
      <c r="E226">
        <f>IF(F226="",E225,IF(F226&gt;0,E225+F226,E225))</f>
        <v/>
      </c>
      <c r="F226">
        <f>IFERROR(VLOOKUP($A226,Results_30d_Deltas!$A$2:$H$5000,8,FALSE)-E225,"")</f>
        <v/>
      </c>
      <c r="G226">
        <f>IFERROR(VLOOKUP($A226,Results_30d_Deltas!$A$2:$H$5000,7,FALSE)-E225,"")</f>
        <v/>
      </c>
      <c r="H226">
        <f>IFERROR(VLOOKUP($A226,Results_30d_Deltas!$A$2:$H$5000,6,FALSE),"")</f>
        <v/>
      </c>
      <c r="K226">
        <f>IF(B226=C226,"YES","NO")</f>
        <v/>
      </c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8" t="n"/>
      <c r="AB226" s="8" t="n"/>
      <c r="AC226" s="8" t="n"/>
      <c r="AD226" s="8" t="n"/>
      <c r="AE226" s="8" t="n"/>
      <c r="AF226" s="8" t="n"/>
      <c r="AG226" s="8" t="n"/>
      <c r="AH226" s="8" t="n"/>
      <c r="AI226" s="8" t="n"/>
      <c r="AJ226" s="8" t="n"/>
      <c r="AK226" s="8" t="n"/>
      <c r="AL226" s="8" t="n"/>
      <c r="AM226" s="8" t="n"/>
      <c r="AN226" s="8" t="n"/>
      <c r="AO226" s="8" t="n"/>
      <c r="AP226" s="8" t="n"/>
      <c r="AQ226" s="8" t="n"/>
      <c r="AR226" s="8" t="n"/>
      <c r="AS226" s="8" t="n"/>
      <c r="AT226" s="8" t="n"/>
      <c r="AU226" s="8" t="n"/>
      <c r="AV226" s="8" t="n"/>
      <c r="AW226" s="8" t="n"/>
      <c r="AX226" s="8" t="n"/>
      <c r="AY226" s="8" t="n"/>
      <c r="AZ226" s="8" t="n"/>
      <c r="BA226" s="8" t="n"/>
      <c r="BB226" s="8" t="n"/>
      <c r="BC226" s="8" t="n"/>
      <c r="BD226" s="8" t="n"/>
      <c r="BE226" s="8" t="n"/>
      <c r="BF226" s="8" t="n"/>
      <c r="BG226" s="8" t="n"/>
      <c r="BH226" s="8" t="n"/>
      <c r="BI226" s="8" t="n"/>
      <c r="BJ226" s="8" t="n"/>
      <c r="BK226" s="8" t="n"/>
      <c r="BL226" s="8" t="n"/>
      <c r="BM226" s="8" t="n"/>
      <c r="BN226" s="8" t="n"/>
      <c r="BO226" s="8" t="n"/>
      <c r="BP226" s="8" t="n"/>
      <c r="BQ226" s="8" t="n"/>
      <c r="BR226" s="8" t="n"/>
      <c r="BS226" s="8" t="n"/>
      <c r="BT226" s="8" t="n"/>
      <c r="BU226" s="8" t="n"/>
      <c r="BV226" s="8" t="n"/>
      <c r="BW226" s="8" t="n"/>
      <c r="BX226" s="8" t="n"/>
      <c r="BY226" s="8" t="n"/>
      <c r="BZ226" s="8" t="n"/>
      <c r="CA226" s="8" t="n"/>
      <c r="CB226" s="8" t="n"/>
      <c r="CC226" s="8" t="n"/>
      <c r="CD226" s="8" t="n"/>
      <c r="CE226" s="8" t="n"/>
      <c r="CF226" s="8" t="n"/>
      <c r="CG226" s="8" t="n"/>
      <c r="CH226" s="8" t="n"/>
      <c r="CI226" s="8" t="n"/>
      <c r="CJ226" s="8" t="n"/>
      <c r="CK226" s="8" t="n"/>
      <c r="CL226" s="8" t="n"/>
      <c r="CM226" s="8" t="n"/>
      <c r="CN226" s="8" t="n"/>
      <c r="CO226" s="8" t="n"/>
      <c r="CP226" s="8" t="n"/>
      <c r="CQ226" s="8" t="n"/>
      <c r="CR226" s="8" t="n"/>
      <c r="CS226" s="8" t="n"/>
      <c r="CT226" s="8" t="n"/>
      <c r="CU226" s="8" t="n"/>
      <c r="CV226" s="8" t="n"/>
      <c r="CW226" s="8" t="n"/>
      <c r="CX226" s="8" t="n"/>
      <c r="CY226" s="8" t="n"/>
      <c r="CZ226" s="8" t="n"/>
      <c r="DA226" s="8" t="n"/>
      <c r="DB226" s="8" t="n"/>
      <c r="DC226" s="8" t="n"/>
      <c r="DD226" s="8" t="n"/>
      <c r="DE226" s="8" t="n"/>
      <c r="DF226" s="8" t="n"/>
      <c r="DG226" s="8" t="n"/>
      <c r="DH226" s="8" t="n"/>
      <c r="DI226" s="8" t="n"/>
      <c r="DJ226" s="8" t="n"/>
      <c r="DK226" s="8" t="n"/>
      <c r="DL226" s="8" t="n"/>
      <c r="DM226" s="8" t="n"/>
      <c r="DN226" s="8" t="n"/>
      <c r="DO226" s="8" t="n"/>
      <c r="DP226" s="8" t="n"/>
      <c r="DQ226" s="8" t="n"/>
      <c r="DR226" s="8" t="n"/>
      <c r="DS226" s="8" t="n"/>
      <c r="DT226" s="8" t="n"/>
      <c r="DU226" s="8" t="n"/>
      <c r="DV226" s="8" t="n"/>
      <c r="DW226" s="8" t="n"/>
      <c r="DX226" s="8" t="n"/>
      <c r="DY226" s="8" t="n"/>
      <c r="DZ226" s="8" t="n"/>
      <c r="EA226" s="8" t="n"/>
      <c r="EB226" s="8" t="n"/>
      <c r="EC226" s="8" t="n"/>
      <c r="ED226" s="8" t="n"/>
      <c r="EE226" s="8" t="n"/>
      <c r="EF226" s="8" t="n"/>
      <c r="EG226" s="8" t="n"/>
      <c r="EH226" s="8" t="n"/>
      <c r="EI226" s="8" t="n"/>
      <c r="EJ226" s="8" t="n"/>
      <c r="EK226" s="8" t="n"/>
      <c r="EL226" s="8" t="n"/>
      <c r="EM226" s="8" t="n"/>
      <c r="EN226" s="8" t="n"/>
      <c r="EO226" s="8" t="n"/>
      <c r="EP226" s="8" t="n"/>
      <c r="EQ226" s="8" t="n"/>
      <c r="ER226" s="8" t="n"/>
      <c r="ES226" s="8" t="n"/>
      <c r="ET226" s="8" t="n"/>
      <c r="EU226" s="8" t="n"/>
      <c r="EV226" s="8" t="n"/>
      <c r="EW226" s="8" t="n"/>
      <c r="EX226" s="8" t="n"/>
      <c r="EY226" s="8" t="n"/>
      <c r="EZ226" s="8" t="n"/>
      <c r="FA226" s="8" t="n"/>
      <c r="FB226" s="8" t="n"/>
      <c r="FC226" s="8" t="n"/>
      <c r="FD226" s="8" t="n"/>
      <c r="FE226" s="8" t="n"/>
      <c r="FF226" s="8" t="n"/>
      <c r="FG226" s="8" t="n"/>
      <c r="FH226" s="8" t="n"/>
      <c r="FI226" s="8" t="n"/>
      <c r="FJ226" s="8" t="n"/>
      <c r="FK226" s="8" t="n"/>
      <c r="FL226" s="8" t="n"/>
      <c r="FM226" s="8" t="n"/>
      <c r="FN226" s="8" t="n"/>
      <c r="FO226" s="8" t="n"/>
      <c r="FP226" s="8" t="n"/>
      <c r="FQ226" s="8" t="n"/>
      <c r="FR226" s="8" t="n"/>
      <c r="FS226" s="8" t="n"/>
      <c r="FT226" s="8" t="n"/>
      <c r="FU226" s="8" t="n"/>
      <c r="FV226" s="8" t="n"/>
      <c r="FW226" s="8" t="n"/>
      <c r="FX226" s="8" t="n"/>
      <c r="FY226" s="8" t="n"/>
      <c r="FZ226" s="8" t="n"/>
      <c r="GA226" s="8" t="n"/>
      <c r="GB226" s="8" t="n"/>
      <c r="GC226" s="8" t="n"/>
      <c r="GD226" s="8" t="n"/>
      <c r="GE226" s="8" t="n"/>
      <c r="GF226" s="8" t="n"/>
      <c r="GG226" s="8" t="n"/>
      <c r="GH226" s="8" t="n"/>
      <c r="GI226" s="8" t="n"/>
      <c r="GJ226" s="8" t="n"/>
      <c r="GK226" s="8" t="n"/>
      <c r="GL226" s="8" t="n"/>
      <c r="GM226" s="8" t="n"/>
      <c r="GN226" s="8" t="n"/>
      <c r="GO226" s="8" t="n"/>
      <c r="GP226" s="8" t="n"/>
      <c r="GQ226" s="8" t="n"/>
      <c r="GR226" s="8" t="n"/>
      <c r="GS226" s="8" t="n"/>
      <c r="GT226" s="8" t="n"/>
      <c r="GU226" s="8" t="n"/>
      <c r="GV226" s="8" t="n"/>
      <c r="GW226" s="8" t="n"/>
      <c r="GX226" s="8" t="n"/>
      <c r="GY226" s="8" t="n"/>
      <c r="GZ226" s="8" t="n"/>
      <c r="HA226" s="8" t="n"/>
      <c r="HB226" s="8" t="n"/>
      <c r="HC226" s="8" t="n"/>
      <c r="HD226" s="8" t="n"/>
      <c r="HE226" s="8" t="n"/>
      <c r="HF226" s="8" t="n"/>
      <c r="HG226" s="8" t="n"/>
      <c r="HH226" s="8" t="n"/>
      <c r="HI226" s="8" t="n"/>
      <c r="HJ226" s="8" t="n"/>
      <c r="HK226" s="8" t="n"/>
      <c r="HL226" s="8" t="n"/>
      <c r="HM226" s="8" t="n"/>
      <c r="HN226" s="8" t="n"/>
      <c r="HO226" s="8" t="n"/>
      <c r="HP226" s="8" t="n"/>
      <c r="HQ226" s="8" t="n"/>
      <c r="HR226" s="8" t="n"/>
      <c r="HS226" s="8" t="n"/>
      <c r="HT226" s="8" t="n"/>
      <c r="HU226" s="8" t="n"/>
      <c r="HV226" s="8" t="n"/>
      <c r="HW226" s="8" t="n"/>
      <c r="HX226" s="8" t="n"/>
      <c r="HY226" s="8" t="n"/>
      <c r="HZ226" s="8" t="n"/>
      <c r="IA226" s="8" t="n"/>
      <c r="IB226" s="8" t="n"/>
      <c r="IC226" s="8" t="n"/>
      <c r="ID226" s="8" t="n"/>
      <c r="IE226" s="8" t="n"/>
      <c r="IF226" s="8" t="n"/>
      <c r="IG226" s="8" t="n"/>
      <c r="IH226" s="8" t="n"/>
      <c r="IJ226" s="9" t="inlineStr">
        <is>
          <t>ez_manage.py:3871 top()</t>
        </is>
      </c>
      <c r="IK226" s="9" t="inlineStr">
        <is>
          <t>v12_quick_engine.py:2904 x3</t>
        </is>
      </c>
    </row>
    <row r="227" ht="11" customHeight="1">
      <c r="A227" s="10" t="inlineStr">
        <is>
          <t>REENTRY_SIZE_DIP_MULT</t>
        </is>
      </c>
      <c r="B227" s="11" t="inlineStr">
        <is>
          <t>0.5</t>
        </is>
      </c>
      <c r="E227">
        <f>IF(F227="",E226,IF(F227&gt;0,E226+F227,E226))</f>
        <v/>
      </c>
      <c r="F227">
        <f>IFERROR(VLOOKUP($A227,Results_30d_Deltas!$A$2:$H$5000,8,FALSE)-E226,"")</f>
        <v/>
      </c>
      <c r="G227">
        <f>IFERROR(VLOOKUP($A227,Results_30d_Deltas!$A$2:$H$5000,7,FALSE)-E226,"")</f>
        <v/>
      </c>
      <c r="H227">
        <f>IFERROR(VLOOKUP($A227,Results_30d_Deltas!$A$2:$H$5000,6,FALSE),"")</f>
        <v/>
      </c>
      <c r="K227">
        <f>IF(B227=C227,"YES","NO")</f>
        <v/>
      </c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  <c r="AA227" s="8" t="n"/>
      <c r="AB227" s="8" t="n"/>
      <c r="AC227" s="8" t="n"/>
      <c r="AD227" s="8" t="n"/>
      <c r="AE227" s="8" t="n"/>
      <c r="AF227" s="8" t="n"/>
      <c r="AG227" s="8" t="n"/>
      <c r="AH227" s="8" t="n"/>
      <c r="AI227" s="8" t="n"/>
      <c r="AJ227" s="8" t="n"/>
      <c r="AK227" s="8" t="n"/>
      <c r="AL227" s="8" t="n"/>
      <c r="AM227" s="8" t="n"/>
      <c r="AN227" s="8" t="n"/>
      <c r="AO227" s="8" t="n"/>
      <c r="AP227" s="8" t="n"/>
      <c r="AQ227" s="8" t="n"/>
      <c r="AR227" s="8" t="n"/>
      <c r="AS227" s="8" t="n"/>
      <c r="AT227" s="8" t="n"/>
      <c r="AU227" s="8" t="n"/>
      <c r="AV227" s="8" t="n"/>
      <c r="AW227" s="8" t="n"/>
      <c r="AX227" s="8" t="n"/>
      <c r="AY227" s="8" t="n"/>
      <c r="AZ227" s="8" t="n"/>
      <c r="BA227" s="8" t="n"/>
      <c r="BB227" s="8" t="n"/>
      <c r="BC227" s="8" t="n"/>
      <c r="BD227" s="8" t="n"/>
      <c r="BE227" s="8" t="n"/>
      <c r="BF227" s="8" t="n"/>
      <c r="BG227" s="8" t="n"/>
      <c r="BH227" s="8" t="n"/>
      <c r="BI227" s="8" t="n"/>
      <c r="BJ227" s="8" t="n"/>
      <c r="BK227" s="8" t="n"/>
      <c r="BL227" s="8" t="n"/>
      <c r="BM227" s="8" t="n"/>
      <c r="BN227" s="8" t="n"/>
      <c r="BO227" s="8" t="n"/>
      <c r="BP227" s="8" t="n"/>
      <c r="BQ227" s="8" t="n"/>
      <c r="BR227" s="8" t="n"/>
      <c r="BS227" s="8" t="n"/>
      <c r="BT227" s="8" t="n"/>
      <c r="BU227" s="8" t="n"/>
      <c r="BV227" s="8" t="n"/>
      <c r="BW227" s="8" t="n"/>
      <c r="BX227" s="8" t="n"/>
      <c r="BY227" s="8" t="n"/>
      <c r="BZ227" s="8" t="n"/>
      <c r="CA227" s="8" t="n"/>
      <c r="CB227" s="8" t="n"/>
      <c r="CC227" s="8" t="n"/>
      <c r="CD227" s="8" t="n"/>
      <c r="CE227" s="8" t="n"/>
      <c r="CF227" s="8" t="n"/>
      <c r="CG227" s="8" t="n"/>
      <c r="CH227" s="8" t="n"/>
      <c r="CI227" s="8" t="n"/>
      <c r="CJ227" s="8" t="n"/>
      <c r="CK227" s="8" t="n"/>
      <c r="CL227" s="8" t="n"/>
      <c r="CM227" s="8" t="n"/>
      <c r="CN227" s="8" t="n"/>
      <c r="CO227" s="8" t="n"/>
      <c r="CP227" s="8" t="n"/>
      <c r="CQ227" s="8" t="n"/>
      <c r="CR227" s="8" t="n"/>
      <c r="CS227" s="8" t="n"/>
      <c r="CT227" s="8" t="n"/>
      <c r="CU227" s="8" t="n"/>
      <c r="CV227" s="8" t="n"/>
      <c r="CW227" s="8" t="n"/>
      <c r="CX227" s="8" t="n"/>
      <c r="CY227" s="8" t="n"/>
      <c r="CZ227" s="8" t="n"/>
      <c r="DA227" s="8" t="n"/>
      <c r="DB227" s="8" t="n"/>
      <c r="DC227" s="8" t="n"/>
      <c r="DD227" s="8" t="n"/>
      <c r="DE227" s="8" t="n"/>
      <c r="DF227" s="8" t="n"/>
      <c r="DG227" s="8" t="n"/>
      <c r="DH227" s="8" t="n"/>
      <c r="DI227" s="8" t="n"/>
      <c r="DJ227" s="8" t="n"/>
      <c r="DK227" s="8" t="n"/>
      <c r="DL227" s="8" t="n"/>
      <c r="DM227" s="8" t="n"/>
      <c r="DN227" s="8" t="n"/>
      <c r="DO227" s="8" t="n"/>
      <c r="DP227" s="8" t="n"/>
      <c r="DQ227" s="8" t="n"/>
      <c r="DR227" s="8" t="n"/>
      <c r="DS227" s="8" t="n"/>
      <c r="DT227" s="8" t="n"/>
      <c r="DU227" s="8" t="n"/>
      <c r="DV227" s="8" t="n"/>
      <c r="DW227" s="8" t="n"/>
      <c r="DX227" s="8" t="n"/>
      <c r="DY227" s="8" t="n"/>
      <c r="DZ227" s="8" t="n"/>
      <c r="EA227" s="8" t="n"/>
      <c r="EB227" s="8" t="n"/>
      <c r="EC227" s="8" t="n"/>
      <c r="ED227" s="8" t="n"/>
      <c r="EE227" s="8" t="n"/>
      <c r="EF227" s="8" t="n"/>
      <c r="EG227" s="8" t="n"/>
      <c r="EH227" s="8" t="n"/>
      <c r="EI227" s="8" t="n"/>
      <c r="EJ227" s="8" t="n"/>
      <c r="EK227" s="8" t="n"/>
      <c r="EL227" s="8" t="n"/>
      <c r="EM227" s="8" t="n"/>
      <c r="EN227" s="8" t="n"/>
      <c r="EO227" s="8" t="n"/>
      <c r="EP227" s="8" t="n"/>
      <c r="EQ227" s="8" t="n"/>
      <c r="ER227" s="8" t="n"/>
      <c r="ES227" s="8" t="n"/>
      <c r="ET227" s="8" t="n"/>
      <c r="EU227" s="8" t="n"/>
      <c r="EV227" s="8" t="n"/>
      <c r="EW227" s="8" t="n"/>
      <c r="EX227" s="8" t="n"/>
      <c r="EY227" s="8" t="n"/>
      <c r="EZ227" s="8" t="n"/>
      <c r="FA227" s="8" t="n"/>
      <c r="FB227" s="8" t="n"/>
      <c r="FC227" s="8" t="n"/>
      <c r="FD227" s="8" t="n"/>
      <c r="FE227" s="8" t="n"/>
      <c r="FF227" s="8" t="n"/>
      <c r="FG227" s="8" t="n"/>
      <c r="FH227" s="8" t="n"/>
      <c r="FI227" s="8" t="n"/>
      <c r="FJ227" s="8" t="n"/>
      <c r="FK227" s="8" t="n"/>
      <c r="FL227" s="8" t="n"/>
      <c r="FM227" s="8" t="n"/>
      <c r="FN227" s="8" t="n"/>
      <c r="FO227" s="8" t="n"/>
      <c r="FP227" s="8" t="n"/>
      <c r="FQ227" s="8" t="n"/>
      <c r="FR227" s="8" t="n"/>
      <c r="FS227" s="8" t="n"/>
      <c r="FT227" s="8" t="n"/>
      <c r="FU227" s="8" t="n"/>
      <c r="FV227" s="8" t="n"/>
      <c r="FW227" s="8" t="n"/>
      <c r="FX227" s="8" t="n"/>
      <c r="FY227" s="8" t="n"/>
      <c r="FZ227" s="8" t="n"/>
      <c r="GA227" s="8" t="n"/>
      <c r="GB227" s="8" t="n"/>
      <c r="GC227" s="8" t="n"/>
      <c r="GD227" s="8" t="n"/>
      <c r="GE227" s="8" t="n"/>
      <c r="GF227" s="8" t="n"/>
      <c r="GG227" s="8" t="n"/>
      <c r="GH227" s="8" t="n"/>
      <c r="GI227" s="8" t="n"/>
      <c r="GJ227" s="8" t="n"/>
      <c r="GK227" s="8" t="n"/>
      <c r="GL227" s="8" t="n"/>
      <c r="GM227" s="8" t="n"/>
      <c r="GN227" s="8" t="n"/>
      <c r="GO227" s="8" t="n"/>
      <c r="GP227" s="8" t="n"/>
      <c r="GQ227" s="8" t="n"/>
      <c r="GR227" s="8" t="n"/>
      <c r="GS227" s="8" t="n"/>
      <c r="GT227" s="8" t="n"/>
      <c r="GU227" s="8" t="n"/>
      <c r="GV227" s="8" t="n"/>
      <c r="GW227" s="8" t="n"/>
      <c r="GX227" s="8" t="n"/>
      <c r="GY227" s="8" t="n"/>
      <c r="GZ227" s="8" t="n"/>
      <c r="HA227" s="8" t="n"/>
      <c r="HB227" s="8" t="n"/>
      <c r="HC227" s="8" t="n"/>
      <c r="HD227" s="8" t="n"/>
      <c r="HE227" s="8" t="n"/>
      <c r="HF227" s="8" t="n"/>
      <c r="HG227" s="8" t="n"/>
      <c r="HH227" s="8" t="n"/>
      <c r="HI227" s="8" t="n"/>
      <c r="HJ227" s="8" t="n"/>
      <c r="HK227" s="8" t="n"/>
      <c r="HL227" s="8" t="n"/>
      <c r="HM227" s="8" t="n"/>
      <c r="HN227" s="8" t="n"/>
      <c r="HO227" s="8" t="n"/>
      <c r="HP227" s="8" t="n"/>
      <c r="HQ227" s="8" t="n"/>
      <c r="HR227" s="8" t="n"/>
      <c r="HS227" s="8" t="n"/>
      <c r="HT227" s="8" t="n"/>
      <c r="HU227" s="8" t="n"/>
      <c r="HV227" s="8" t="n"/>
      <c r="HW227" s="8" t="n"/>
      <c r="HX227" s="8" t="n"/>
      <c r="HY227" s="8" t="n"/>
      <c r="HZ227" s="8" t="n"/>
      <c r="IA227" s="8" t="n"/>
      <c r="IB227" s="8" t="n"/>
      <c r="IC227" s="8" t="n"/>
      <c r="ID227" s="8" t="n"/>
      <c r="IE227" s="8" t="n"/>
      <c r="IF227" s="8" t="n"/>
      <c r="IG227" s="8" t="n"/>
      <c r="IH227" s="8" t="n"/>
      <c r="IJ227" s="9" t="inlineStr">
        <is>
          <t>ez_manage.py:3871 top()</t>
        </is>
      </c>
      <c r="IK227" s="9" t="inlineStr">
        <is>
          <t>v12_quick_engine.py:2904 x3</t>
        </is>
      </c>
    </row>
    <row r="228" ht="11" customHeight="1">
      <c r="A228" s="10" t="inlineStr">
        <is>
          <t>REENTRY_SIZE_DIP_MULT</t>
        </is>
      </c>
      <c r="B228" s="11" t="inlineStr">
        <is>
          <t>1.0</t>
        </is>
      </c>
      <c r="E228">
        <f>IF(F228="",E227,IF(F228&gt;0,E227+F228,E227))</f>
        <v/>
      </c>
      <c r="F228">
        <f>IFERROR(VLOOKUP($A228,Results_30d_Deltas!$A$2:$H$5000,8,FALSE)-E227,"")</f>
        <v/>
      </c>
      <c r="G228">
        <f>IFERROR(VLOOKUP($A228,Results_30d_Deltas!$A$2:$H$5000,7,FALSE)-E227,"")</f>
        <v/>
      </c>
      <c r="H228">
        <f>IFERROR(VLOOKUP($A228,Results_30d_Deltas!$A$2:$H$5000,6,FALSE),"")</f>
        <v/>
      </c>
      <c r="K228">
        <f>IF(B228=C228,"YES","NO")</f>
        <v/>
      </c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  <c r="AA228" s="8" t="n"/>
      <c r="AB228" s="8" t="n"/>
      <c r="AC228" s="8" t="n"/>
      <c r="AD228" s="8" t="n"/>
      <c r="AE228" s="8" t="n"/>
      <c r="AF228" s="8" t="n"/>
      <c r="AG228" s="8" t="n"/>
      <c r="AH228" s="8" t="n"/>
      <c r="AI228" s="8" t="n"/>
      <c r="AJ228" s="8" t="n"/>
      <c r="AK228" s="8" t="n"/>
      <c r="AL228" s="8" t="n"/>
      <c r="AM228" s="8" t="n"/>
      <c r="AN228" s="8" t="n"/>
      <c r="AO228" s="8" t="n"/>
      <c r="AP228" s="8" t="n"/>
      <c r="AQ228" s="8" t="n"/>
      <c r="AR228" s="8" t="n"/>
      <c r="AS228" s="8" t="n"/>
      <c r="AT228" s="8" t="n"/>
      <c r="AU228" s="8" t="n"/>
      <c r="AV228" s="8" t="n"/>
      <c r="AW228" s="8" t="n"/>
      <c r="AX228" s="8" t="n"/>
      <c r="AY228" s="8" t="n"/>
      <c r="AZ228" s="8" t="n"/>
      <c r="BA228" s="8" t="n"/>
      <c r="BB228" s="8" t="n"/>
      <c r="BC228" s="8" t="n"/>
      <c r="BD228" s="8" t="n"/>
      <c r="BE228" s="8" t="n"/>
      <c r="BF228" s="8" t="n"/>
      <c r="BG228" s="8" t="n"/>
      <c r="BH228" s="8" t="n"/>
      <c r="BI228" s="8" t="n"/>
      <c r="BJ228" s="8" t="n"/>
      <c r="BK228" s="8" t="n"/>
      <c r="BL228" s="8" t="n"/>
      <c r="BM228" s="8" t="n"/>
      <c r="BN228" s="8" t="n"/>
      <c r="BO228" s="8" t="n"/>
      <c r="BP228" s="8" t="n"/>
      <c r="BQ228" s="8" t="n"/>
      <c r="BR228" s="8" t="n"/>
      <c r="BS228" s="8" t="n"/>
      <c r="BT228" s="8" t="n"/>
      <c r="BU228" s="8" t="n"/>
      <c r="BV228" s="8" t="n"/>
      <c r="BW228" s="8" t="n"/>
      <c r="BX228" s="8" t="n"/>
      <c r="BY228" s="8" t="n"/>
      <c r="BZ228" s="8" t="n"/>
      <c r="CA228" s="8" t="n"/>
      <c r="CB228" s="8" t="n"/>
      <c r="CC228" s="8" t="n"/>
      <c r="CD228" s="8" t="n"/>
      <c r="CE228" s="8" t="n"/>
      <c r="CF228" s="8" t="n"/>
      <c r="CG228" s="8" t="n"/>
      <c r="CH228" s="8" t="n"/>
      <c r="CI228" s="8" t="n"/>
      <c r="CJ228" s="8" t="n"/>
      <c r="CK228" s="8" t="n"/>
      <c r="CL228" s="8" t="n"/>
      <c r="CM228" s="8" t="n"/>
      <c r="CN228" s="8" t="n"/>
      <c r="CO228" s="8" t="n"/>
      <c r="CP228" s="8" t="n"/>
      <c r="CQ228" s="8" t="n"/>
      <c r="CR228" s="8" t="n"/>
      <c r="CS228" s="8" t="n"/>
      <c r="CT228" s="8" t="n"/>
      <c r="CU228" s="8" t="n"/>
      <c r="CV228" s="8" t="n"/>
      <c r="CW228" s="8" t="n"/>
      <c r="CX228" s="8" t="n"/>
      <c r="CY228" s="8" t="n"/>
      <c r="CZ228" s="8" t="n"/>
      <c r="DA228" s="8" t="n"/>
      <c r="DB228" s="8" t="n"/>
      <c r="DC228" s="8" t="n"/>
      <c r="DD228" s="8" t="n"/>
      <c r="DE228" s="8" t="n"/>
      <c r="DF228" s="8" t="n"/>
      <c r="DG228" s="8" t="n"/>
      <c r="DH228" s="8" t="n"/>
      <c r="DI228" s="8" t="n"/>
      <c r="DJ228" s="8" t="n"/>
      <c r="DK228" s="8" t="n"/>
      <c r="DL228" s="8" t="n"/>
      <c r="DM228" s="8" t="n"/>
      <c r="DN228" s="8" t="n"/>
      <c r="DO228" s="8" t="n"/>
      <c r="DP228" s="8" t="n"/>
      <c r="DQ228" s="8" t="n"/>
      <c r="DR228" s="8" t="n"/>
      <c r="DS228" s="8" t="n"/>
      <c r="DT228" s="8" t="n"/>
      <c r="DU228" s="8" t="n"/>
      <c r="DV228" s="8" t="n"/>
      <c r="DW228" s="8" t="n"/>
      <c r="DX228" s="8" t="n"/>
      <c r="DY228" s="8" t="n"/>
      <c r="DZ228" s="8" t="n"/>
      <c r="EA228" s="8" t="n"/>
      <c r="EB228" s="8" t="n"/>
      <c r="EC228" s="8" t="n"/>
      <c r="ED228" s="8" t="n"/>
      <c r="EE228" s="8" t="n"/>
      <c r="EF228" s="8" t="n"/>
      <c r="EG228" s="8" t="n"/>
      <c r="EH228" s="8" t="n"/>
      <c r="EI228" s="8" t="n"/>
      <c r="EJ228" s="8" t="n"/>
      <c r="EK228" s="8" t="n"/>
      <c r="EL228" s="8" t="n"/>
      <c r="EM228" s="8" t="n"/>
      <c r="EN228" s="8" t="n"/>
      <c r="EO228" s="8" t="n"/>
      <c r="EP228" s="8" t="n"/>
      <c r="EQ228" s="8" t="n"/>
      <c r="ER228" s="8" t="n"/>
      <c r="ES228" s="8" t="n"/>
      <c r="ET228" s="8" t="n"/>
      <c r="EU228" s="8" t="n"/>
      <c r="EV228" s="8" t="n"/>
      <c r="EW228" s="8" t="n"/>
      <c r="EX228" s="8" t="n"/>
      <c r="EY228" s="8" t="n"/>
      <c r="EZ228" s="8" t="n"/>
      <c r="FA228" s="8" t="n"/>
      <c r="FB228" s="8" t="n"/>
      <c r="FC228" s="8" t="n"/>
      <c r="FD228" s="8" t="n"/>
      <c r="FE228" s="8" t="n"/>
      <c r="FF228" s="8" t="n"/>
      <c r="FG228" s="8" t="n"/>
      <c r="FH228" s="8" t="n"/>
      <c r="FI228" s="8" t="n"/>
      <c r="FJ228" s="8" t="n"/>
      <c r="FK228" s="8" t="n"/>
      <c r="FL228" s="8" t="n"/>
      <c r="FM228" s="8" t="n"/>
      <c r="FN228" s="8" t="n"/>
      <c r="FO228" s="8" t="n"/>
      <c r="FP228" s="8" t="n"/>
      <c r="FQ228" s="8" t="n"/>
      <c r="FR228" s="8" t="n"/>
      <c r="FS228" s="8" t="n"/>
      <c r="FT228" s="8" t="n"/>
      <c r="FU228" s="8" t="n"/>
      <c r="FV228" s="8" t="n"/>
      <c r="FW228" s="8" t="n"/>
      <c r="FX228" s="8" t="n"/>
      <c r="FY228" s="8" t="n"/>
      <c r="FZ228" s="8" t="n"/>
      <c r="GA228" s="8" t="n"/>
      <c r="GB228" s="8" t="n"/>
      <c r="GC228" s="8" t="n"/>
      <c r="GD228" s="8" t="n"/>
      <c r="GE228" s="8" t="n"/>
      <c r="GF228" s="8" t="n"/>
      <c r="GG228" s="8" t="n"/>
      <c r="GH228" s="8" t="n"/>
      <c r="GI228" s="8" t="n"/>
      <c r="GJ228" s="8" t="n"/>
      <c r="GK228" s="8" t="n"/>
      <c r="GL228" s="8" t="n"/>
      <c r="GM228" s="8" t="n"/>
      <c r="GN228" s="8" t="n"/>
      <c r="GO228" s="8" t="n"/>
      <c r="GP228" s="8" t="n"/>
      <c r="GQ228" s="8" t="n"/>
      <c r="GR228" s="8" t="n"/>
      <c r="GS228" s="8" t="n"/>
      <c r="GT228" s="8" t="n"/>
      <c r="GU228" s="8" t="n"/>
      <c r="GV228" s="8" t="n"/>
      <c r="GW228" s="8" t="n"/>
      <c r="GX228" s="8" t="n"/>
      <c r="GY228" s="8" t="n"/>
      <c r="GZ228" s="8" t="n"/>
      <c r="HA228" s="8" t="n"/>
      <c r="HB228" s="8" t="n"/>
      <c r="HC228" s="8" t="n"/>
      <c r="HD228" s="8" t="n"/>
      <c r="HE228" s="8" t="n"/>
      <c r="HF228" s="8" t="n"/>
      <c r="HG228" s="8" t="n"/>
      <c r="HH228" s="8" t="n"/>
      <c r="HI228" s="8" t="n"/>
      <c r="HJ228" s="8" t="n"/>
      <c r="HK228" s="8" t="n"/>
      <c r="HL228" s="8" t="n"/>
      <c r="HM228" s="8" t="n"/>
      <c r="HN228" s="8" t="n"/>
      <c r="HO228" s="8" t="n"/>
      <c r="HP228" s="8" t="n"/>
      <c r="HQ228" s="8" t="n"/>
      <c r="HR228" s="8" t="n"/>
      <c r="HS228" s="8" t="n"/>
      <c r="HT228" s="8" t="n"/>
      <c r="HU228" s="8" t="n"/>
      <c r="HV228" s="8" t="n"/>
      <c r="HW228" s="8" t="n"/>
      <c r="HX228" s="8" t="n"/>
      <c r="HY228" s="8" t="n"/>
      <c r="HZ228" s="8" t="n"/>
      <c r="IA228" s="8" t="n"/>
      <c r="IB228" s="8" t="n"/>
      <c r="IC228" s="8" t="n"/>
      <c r="ID228" s="8" t="n"/>
      <c r="IE228" s="8" t="n"/>
      <c r="IF228" s="8" t="n"/>
      <c r="IG228" s="8" t="n"/>
      <c r="IH228" s="8" t="n"/>
      <c r="IJ228" s="9" t="inlineStr">
        <is>
          <t>ez_manage.py:3871 top()</t>
        </is>
      </c>
      <c r="IK228" s="9" t="inlineStr">
        <is>
          <t>v12_quick_engine.py:2904 x3</t>
        </is>
      </c>
    </row>
    <row r="229" ht="11" customHeight="1">
      <c r="A229" s="10" t="inlineStr">
        <is>
          <t>REENTRY_SIZE_DIP_MULT</t>
        </is>
      </c>
      <c r="B229" s="11" t="inlineStr">
        <is>
          <t>2.0</t>
        </is>
      </c>
      <c r="E229">
        <f>IF(F229="",E228,IF(F229&gt;0,E228+F229,E228))</f>
        <v/>
      </c>
      <c r="F229">
        <f>IFERROR(VLOOKUP($A229,Results_30d_Deltas!$A$2:$H$5000,8,FALSE)-E228,"")</f>
        <v/>
      </c>
      <c r="G229">
        <f>IFERROR(VLOOKUP($A229,Results_30d_Deltas!$A$2:$H$5000,7,FALSE)-E228,"")</f>
        <v/>
      </c>
      <c r="H229">
        <f>IFERROR(VLOOKUP($A229,Results_30d_Deltas!$A$2:$H$5000,6,FALSE),"")</f>
        <v/>
      </c>
      <c r="K229">
        <f>IF(B229=C229,"YES","NO")</f>
        <v/>
      </c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  <c r="AA229" s="8" t="n"/>
      <c r="AB229" s="8" t="n"/>
      <c r="AC229" s="8" t="n"/>
      <c r="AD229" s="8" t="n"/>
      <c r="AE229" s="8" t="n"/>
      <c r="AF229" s="8" t="n"/>
      <c r="AG229" s="8" t="n"/>
      <c r="AH229" s="8" t="n"/>
      <c r="AI229" s="8" t="n"/>
      <c r="AJ229" s="8" t="n"/>
      <c r="AK229" s="8" t="n"/>
      <c r="AL229" s="8" t="n"/>
      <c r="AM229" s="8" t="n"/>
      <c r="AN229" s="8" t="n"/>
      <c r="AO229" s="8" t="n"/>
      <c r="AP229" s="8" t="n"/>
      <c r="AQ229" s="8" t="n"/>
      <c r="AR229" s="8" t="n"/>
      <c r="AS229" s="8" t="n"/>
      <c r="AT229" s="8" t="n"/>
      <c r="AU229" s="8" t="n"/>
      <c r="AV229" s="8" t="n"/>
      <c r="AW229" s="8" t="n"/>
      <c r="AX229" s="8" t="n"/>
      <c r="AY229" s="8" t="n"/>
      <c r="AZ229" s="8" t="n"/>
      <c r="BA229" s="8" t="n"/>
      <c r="BB229" s="8" t="n"/>
      <c r="BC229" s="8" t="n"/>
      <c r="BD229" s="8" t="n"/>
      <c r="BE229" s="8" t="n"/>
      <c r="BF229" s="8" t="n"/>
      <c r="BG229" s="8" t="n"/>
      <c r="BH229" s="8" t="n"/>
      <c r="BI229" s="8" t="n"/>
      <c r="BJ229" s="8" t="n"/>
      <c r="BK229" s="8" t="n"/>
      <c r="BL229" s="8" t="n"/>
      <c r="BM229" s="8" t="n"/>
      <c r="BN229" s="8" t="n"/>
      <c r="BO229" s="8" t="n"/>
      <c r="BP229" s="8" t="n"/>
      <c r="BQ229" s="8" t="n"/>
      <c r="BR229" s="8" t="n"/>
      <c r="BS229" s="8" t="n"/>
      <c r="BT229" s="8" t="n"/>
      <c r="BU229" s="8" t="n"/>
      <c r="BV229" s="8" t="n"/>
      <c r="BW229" s="8" t="n"/>
      <c r="BX229" s="8" t="n"/>
      <c r="BY229" s="8" t="n"/>
      <c r="BZ229" s="8" t="n"/>
      <c r="CA229" s="8" t="n"/>
      <c r="CB229" s="8" t="n"/>
      <c r="CC229" s="8" t="n"/>
      <c r="CD229" s="8" t="n"/>
      <c r="CE229" s="8" t="n"/>
      <c r="CF229" s="8" t="n"/>
      <c r="CG229" s="8" t="n"/>
      <c r="CH229" s="8" t="n"/>
      <c r="CI229" s="8" t="n"/>
      <c r="CJ229" s="8" t="n"/>
      <c r="CK229" s="8" t="n"/>
      <c r="CL229" s="8" t="n"/>
      <c r="CM229" s="8" t="n"/>
      <c r="CN229" s="8" t="n"/>
      <c r="CO229" s="8" t="n"/>
      <c r="CP229" s="8" t="n"/>
      <c r="CQ229" s="8" t="n"/>
      <c r="CR229" s="8" t="n"/>
      <c r="CS229" s="8" t="n"/>
      <c r="CT229" s="8" t="n"/>
      <c r="CU229" s="8" t="n"/>
      <c r="CV229" s="8" t="n"/>
      <c r="CW229" s="8" t="n"/>
      <c r="CX229" s="8" t="n"/>
      <c r="CY229" s="8" t="n"/>
      <c r="CZ229" s="8" t="n"/>
      <c r="DA229" s="8" t="n"/>
      <c r="DB229" s="8" t="n"/>
      <c r="DC229" s="8" t="n"/>
      <c r="DD229" s="8" t="n"/>
      <c r="DE229" s="8" t="n"/>
      <c r="DF229" s="8" t="n"/>
      <c r="DG229" s="8" t="n"/>
      <c r="DH229" s="8" t="n"/>
      <c r="DI229" s="8" t="n"/>
      <c r="DJ229" s="8" t="n"/>
      <c r="DK229" s="8" t="n"/>
      <c r="DL229" s="8" t="n"/>
      <c r="DM229" s="8" t="n"/>
      <c r="DN229" s="8" t="n"/>
      <c r="DO229" s="8" t="n"/>
      <c r="DP229" s="8" t="n"/>
      <c r="DQ229" s="8" t="n"/>
      <c r="DR229" s="8" t="n"/>
      <c r="DS229" s="8" t="n"/>
      <c r="DT229" s="8" t="n"/>
      <c r="DU229" s="8" t="n"/>
      <c r="DV229" s="8" t="n"/>
      <c r="DW229" s="8" t="n"/>
      <c r="DX229" s="8" t="n"/>
      <c r="DY229" s="8" t="n"/>
      <c r="DZ229" s="8" t="n"/>
      <c r="EA229" s="8" t="n"/>
      <c r="EB229" s="8" t="n"/>
      <c r="EC229" s="8" t="n"/>
      <c r="ED229" s="8" t="n"/>
      <c r="EE229" s="8" t="n"/>
      <c r="EF229" s="8" t="n"/>
      <c r="EG229" s="8" t="n"/>
      <c r="EH229" s="8" t="n"/>
      <c r="EI229" s="8" t="n"/>
      <c r="EJ229" s="8" t="n"/>
      <c r="EK229" s="8" t="n"/>
      <c r="EL229" s="8" t="n"/>
      <c r="EM229" s="8" t="n"/>
      <c r="EN229" s="8" t="n"/>
      <c r="EO229" s="8" t="n"/>
      <c r="EP229" s="8" t="n"/>
      <c r="EQ229" s="8" t="n"/>
      <c r="ER229" s="8" t="n"/>
      <c r="ES229" s="8" t="n"/>
      <c r="ET229" s="8" t="n"/>
      <c r="EU229" s="8" t="n"/>
      <c r="EV229" s="8" t="n"/>
      <c r="EW229" s="8" t="n"/>
      <c r="EX229" s="8" t="n"/>
      <c r="EY229" s="8" t="n"/>
      <c r="EZ229" s="8" t="n"/>
      <c r="FA229" s="8" t="n"/>
      <c r="FB229" s="8" t="n"/>
      <c r="FC229" s="8" t="n"/>
      <c r="FD229" s="8" t="n"/>
      <c r="FE229" s="8" t="n"/>
      <c r="FF229" s="8" t="n"/>
      <c r="FG229" s="8" t="n"/>
      <c r="FH229" s="8" t="n"/>
      <c r="FI229" s="8" t="n"/>
      <c r="FJ229" s="8" t="n"/>
      <c r="FK229" s="8" t="n"/>
      <c r="FL229" s="8" t="n"/>
      <c r="FM229" s="8" t="n"/>
      <c r="FN229" s="8" t="n"/>
      <c r="FO229" s="8" t="n"/>
      <c r="FP229" s="8" t="n"/>
      <c r="FQ229" s="8" t="n"/>
      <c r="FR229" s="8" t="n"/>
      <c r="FS229" s="8" t="n"/>
      <c r="FT229" s="8" t="n"/>
      <c r="FU229" s="8" t="n"/>
      <c r="FV229" s="8" t="n"/>
      <c r="FW229" s="8" t="n"/>
      <c r="FX229" s="8" t="n"/>
      <c r="FY229" s="8" t="n"/>
      <c r="FZ229" s="8" t="n"/>
      <c r="GA229" s="8" t="n"/>
      <c r="GB229" s="8" t="n"/>
      <c r="GC229" s="8" t="n"/>
      <c r="GD229" s="8" t="n"/>
      <c r="GE229" s="8" t="n"/>
      <c r="GF229" s="8" t="n"/>
      <c r="GG229" s="8" t="n"/>
      <c r="GH229" s="8" t="n"/>
      <c r="GI229" s="8" t="n"/>
      <c r="GJ229" s="8" t="n"/>
      <c r="GK229" s="8" t="n"/>
      <c r="GL229" s="8" t="n"/>
      <c r="GM229" s="8" t="n"/>
      <c r="GN229" s="8" t="n"/>
      <c r="GO229" s="8" t="n"/>
      <c r="GP229" s="8" t="n"/>
      <c r="GQ229" s="8" t="n"/>
      <c r="GR229" s="8" t="n"/>
      <c r="GS229" s="8" t="n"/>
      <c r="GT229" s="8" t="n"/>
      <c r="GU229" s="8" t="n"/>
      <c r="GV229" s="8" t="n"/>
      <c r="GW229" s="8" t="n"/>
      <c r="GX229" s="8" t="n"/>
      <c r="GY229" s="8" t="n"/>
      <c r="GZ229" s="8" t="n"/>
      <c r="HA229" s="8" t="n"/>
      <c r="HB229" s="8" t="n"/>
      <c r="HC229" s="8" t="n"/>
      <c r="HD229" s="8" t="n"/>
      <c r="HE229" s="8" t="n"/>
      <c r="HF229" s="8" t="n"/>
      <c r="HG229" s="8" t="n"/>
      <c r="HH229" s="8" t="n"/>
      <c r="HI229" s="8" t="n"/>
      <c r="HJ229" s="8" t="n"/>
      <c r="HK229" s="8" t="n"/>
      <c r="HL229" s="8" t="n"/>
      <c r="HM229" s="8" t="n"/>
      <c r="HN229" s="8" t="n"/>
      <c r="HO229" s="8" t="n"/>
      <c r="HP229" s="8" t="n"/>
      <c r="HQ229" s="8" t="n"/>
      <c r="HR229" s="8" t="n"/>
      <c r="HS229" s="8" t="n"/>
      <c r="HT229" s="8" t="n"/>
      <c r="HU229" s="8" t="n"/>
      <c r="HV229" s="8" t="n"/>
      <c r="HW229" s="8" t="n"/>
      <c r="HX229" s="8" t="n"/>
      <c r="HY229" s="8" t="n"/>
      <c r="HZ229" s="8" t="n"/>
      <c r="IA229" s="8" t="n"/>
      <c r="IB229" s="8" t="n"/>
      <c r="IC229" s="8" t="n"/>
      <c r="ID229" s="8" t="n"/>
      <c r="IE229" s="8" t="n"/>
      <c r="IF229" s="8" t="n"/>
      <c r="IG229" s="8" t="n"/>
      <c r="IH229" s="8" t="n"/>
      <c r="IJ229" s="9" t="inlineStr">
        <is>
          <t>ez_manage.py:3871 top()</t>
        </is>
      </c>
      <c r="IK229" s="9" t="inlineStr">
        <is>
          <t>v12_quick_engine.py:2904 x3</t>
        </is>
      </c>
    </row>
    <row r="230" ht="11" customHeight="1">
      <c r="A230" s="10" t="inlineStr">
        <is>
          <t>REENTRY_SIZE_EXTENDED_K1H</t>
        </is>
      </c>
      <c r="B230" s="11" t="inlineStr">
        <is>
          <t>0</t>
        </is>
      </c>
      <c r="E230">
        <f>IF(F230="",E229,IF(F230&gt;0,E229+F230,E229))</f>
        <v/>
      </c>
      <c r="F230">
        <f>IFERROR(VLOOKUP($A230,Results_30d_Deltas!$A$2:$H$5000,8,FALSE)-E229,"")</f>
        <v/>
      </c>
      <c r="G230">
        <f>IFERROR(VLOOKUP($A230,Results_30d_Deltas!$A$2:$H$5000,7,FALSE)-E229,"")</f>
        <v/>
      </c>
      <c r="H230">
        <f>IFERROR(VLOOKUP($A230,Results_30d_Deltas!$A$2:$H$5000,6,FALSE),"")</f>
        <v/>
      </c>
      <c r="K230">
        <f>IF(B230=C230,"YES","NO")</f>
        <v/>
      </c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  <c r="AA230" s="8" t="n"/>
      <c r="AB230" s="8" t="n"/>
      <c r="AC230" s="8" t="n"/>
      <c r="AD230" s="8" t="n"/>
      <c r="AE230" s="8" t="n"/>
      <c r="AF230" s="8" t="n"/>
      <c r="AG230" s="8" t="n"/>
      <c r="AH230" s="8" t="n"/>
      <c r="AI230" s="8" t="n"/>
      <c r="AJ230" s="8" t="n"/>
      <c r="AK230" s="8" t="n"/>
      <c r="AL230" s="8" t="n"/>
      <c r="AM230" s="8" t="n"/>
      <c r="AN230" s="8" t="n"/>
      <c r="AO230" s="8" t="n"/>
      <c r="AP230" s="8" t="n"/>
      <c r="AQ230" s="8" t="n"/>
      <c r="AR230" s="8" t="n"/>
      <c r="AS230" s="8" t="n"/>
      <c r="AT230" s="8" t="n"/>
      <c r="AU230" s="8" t="n"/>
      <c r="AV230" s="8" t="n"/>
      <c r="AW230" s="8" t="n"/>
      <c r="AX230" s="8" t="n"/>
      <c r="AY230" s="8" t="n"/>
      <c r="AZ230" s="8" t="n"/>
      <c r="BA230" s="8" t="n"/>
      <c r="BB230" s="8" t="n"/>
      <c r="BC230" s="8" t="n"/>
      <c r="BD230" s="8" t="n"/>
      <c r="BE230" s="8" t="n"/>
      <c r="BF230" s="8" t="n"/>
      <c r="BG230" s="8" t="n"/>
      <c r="BH230" s="8" t="n"/>
      <c r="BI230" s="8" t="n"/>
      <c r="BJ230" s="8" t="n"/>
      <c r="BK230" s="8" t="n"/>
      <c r="BL230" s="8" t="n"/>
      <c r="BM230" s="8" t="n"/>
      <c r="BN230" s="8" t="n"/>
      <c r="BO230" s="8" t="n"/>
      <c r="BP230" s="8" t="n"/>
      <c r="BQ230" s="8" t="n"/>
      <c r="BR230" s="8" t="n"/>
      <c r="BS230" s="8" t="n"/>
      <c r="BT230" s="8" t="n"/>
      <c r="BU230" s="8" t="n"/>
      <c r="BV230" s="8" t="n"/>
      <c r="BW230" s="8" t="n"/>
      <c r="BX230" s="8" t="n"/>
      <c r="BY230" s="8" t="n"/>
      <c r="BZ230" s="8" t="n"/>
      <c r="CA230" s="8" t="n"/>
      <c r="CB230" s="8" t="n"/>
      <c r="CC230" s="8" t="n"/>
      <c r="CD230" s="8" t="n"/>
      <c r="CE230" s="8" t="n"/>
      <c r="CF230" s="8" t="n"/>
      <c r="CG230" s="8" t="n"/>
      <c r="CH230" s="8" t="n"/>
      <c r="CI230" s="8" t="n"/>
      <c r="CJ230" s="8" t="n"/>
      <c r="CK230" s="8" t="n"/>
      <c r="CL230" s="8" t="n"/>
      <c r="CM230" s="8" t="n"/>
      <c r="CN230" s="8" t="n"/>
      <c r="CO230" s="8" t="n"/>
      <c r="CP230" s="8" t="n"/>
      <c r="CQ230" s="8" t="n"/>
      <c r="CR230" s="8" t="n"/>
      <c r="CS230" s="8" t="n"/>
      <c r="CT230" s="8" t="n"/>
      <c r="CU230" s="8" t="n"/>
      <c r="CV230" s="8" t="n"/>
      <c r="CW230" s="8" t="n"/>
      <c r="CX230" s="8" t="n"/>
      <c r="CY230" s="8" t="n"/>
      <c r="CZ230" s="8" t="n"/>
      <c r="DA230" s="8" t="n"/>
      <c r="DB230" s="8" t="n"/>
      <c r="DC230" s="8" t="n"/>
      <c r="DD230" s="8" t="n"/>
      <c r="DE230" s="8" t="n"/>
      <c r="DF230" s="8" t="n"/>
      <c r="DG230" s="8" t="n"/>
      <c r="DH230" s="8" t="n"/>
      <c r="DI230" s="8" t="n"/>
      <c r="DJ230" s="8" t="n"/>
      <c r="DK230" s="8" t="n"/>
      <c r="DL230" s="8" t="n"/>
      <c r="DM230" s="8" t="n"/>
      <c r="DN230" s="8" t="n"/>
      <c r="DO230" s="8" t="n"/>
      <c r="DP230" s="8" t="n"/>
      <c r="DQ230" s="8" t="n"/>
      <c r="DR230" s="8" t="n"/>
      <c r="DS230" s="8" t="n"/>
      <c r="DT230" s="8" t="n"/>
      <c r="DU230" s="8" t="n"/>
      <c r="DV230" s="8" t="n"/>
      <c r="DW230" s="8" t="n"/>
      <c r="DX230" s="8" t="n"/>
      <c r="DY230" s="8" t="n"/>
      <c r="DZ230" s="8" t="n"/>
      <c r="EA230" s="8" t="n"/>
      <c r="EB230" s="8" t="n"/>
      <c r="EC230" s="8" t="n"/>
      <c r="ED230" s="8" t="n"/>
      <c r="EE230" s="8" t="n"/>
      <c r="EF230" s="8" t="n"/>
      <c r="EG230" s="8" t="n"/>
      <c r="EH230" s="8" t="n"/>
      <c r="EI230" s="8" t="n"/>
      <c r="EJ230" s="8" t="n"/>
      <c r="EK230" s="8" t="n"/>
      <c r="EL230" s="8" t="n"/>
      <c r="EM230" s="8" t="n"/>
      <c r="EN230" s="8" t="n"/>
      <c r="EO230" s="8" t="n"/>
      <c r="EP230" s="8" t="n"/>
      <c r="EQ230" s="8" t="n"/>
      <c r="ER230" s="8" t="n"/>
      <c r="ES230" s="8" t="n"/>
      <c r="ET230" s="8" t="n"/>
      <c r="EU230" s="8" t="n"/>
      <c r="EV230" s="8" t="n"/>
      <c r="EW230" s="8" t="n"/>
      <c r="EX230" s="8" t="n"/>
      <c r="EY230" s="8" t="n"/>
      <c r="EZ230" s="8" t="n"/>
      <c r="FA230" s="8" t="n"/>
      <c r="FB230" s="8" t="n"/>
      <c r="FC230" s="8" t="n"/>
      <c r="FD230" s="8" t="n"/>
      <c r="FE230" s="8" t="n"/>
      <c r="FF230" s="8" t="n"/>
      <c r="FG230" s="8" t="n"/>
      <c r="FH230" s="8" t="n"/>
      <c r="FI230" s="8" t="n"/>
      <c r="FJ230" s="8" t="n"/>
      <c r="FK230" s="8" t="n"/>
      <c r="FL230" s="8" t="n"/>
      <c r="FM230" s="8" t="n"/>
      <c r="FN230" s="8" t="n"/>
      <c r="FO230" s="8" t="n"/>
      <c r="FP230" s="8" t="n"/>
      <c r="FQ230" s="8" t="n"/>
      <c r="FR230" s="8" t="n"/>
      <c r="FS230" s="8" t="n"/>
      <c r="FT230" s="8" t="n"/>
      <c r="FU230" s="8" t="n"/>
      <c r="FV230" s="8" t="n"/>
      <c r="FW230" s="8" t="n"/>
      <c r="FX230" s="8" t="n"/>
      <c r="FY230" s="8" t="n"/>
      <c r="FZ230" s="8" t="n"/>
      <c r="GA230" s="8" t="n"/>
      <c r="GB230" s="8" t="n"/>
      <c r="GC230" s="8" t="n"/>
      <c r="GD230" s="8" t="n"/>
      <c r="GE230" s="8" t="n"/>
      <c r="GF230" s="8" t="n"/>
      <c r="GG230" s="8" t="n"/>
      <c r="GH230" s="8" t="n"/>
      <c r="GI230" s="8" t="n"/>
      <c r="GJ230" s="8" t="n"/>
      <c r="GK230" s="8" t="n"/>
      <c r="GL230" s="8" t="n"/>
      <c r="GM230" s="8" t="n"/>
      <c r="GN230" s="8" t="n"/>
      <c r="GO230" s="8" t="n"/>
      <c r="GP230" s="8" t="n"/>
      <c r="GQ230" s="8" t="n"/>
      <c r="GR230" s="8" t="n"/>
      <c r="GS230" s="8" t="n"/>
      <c r="GT230" s="8" t="n"/>
      <c r="GU230" s="8" t="n"/>
      <c r="GV230" s="8" t="n"/>
      <c r="GW230" s="8" t="n"/>
      <c r="GX230" s="8" t="n"/>
      <c r="GY230" s="8" t="n"/>
      <c r="GZ230" s="8" t="n"/>
      <c r="HA230" s="8" t="n"/>
      <c r="HB230" s="8" t="n"/>
      <c r="HC230" s="8" t="n"/>
      <c r="HD230" s="8" t="n"/>
      <c r="HE230" s="8" t="n"/>
      <c r="HF230" s="8" t="n"/>
      <c r="HG230" s="8" t="n"/>
      <c r="HH230" s="8" t="n"/>
      <c r="HI230" s="8" t="n"/>
      <c r="HJ230" s="8" t="n"/>
      <c r="HK230" s="8" t="n"/>
      <c r="HL230" s="8" t="n"/>
      <c r="HM230" s="8" t="n"/>
      <c r="HN230" s="8" t="n"/>
      <c r="HO230" s="8" t="n"/>
      <c r="HP230" s="8" t="n"/>
      <c r="HQ230" s="8" t="n"/>
      <c r="HR230" s="8" t="n"/>
      <c r="HS230" s="8" t="n"/>
      <c r="HT230" s="8" t="n"/>
      <c r="HU230" s="8" t="n"/>
      <c r="HV230" s="8" t="n"/>
      <c r="HW230" s="8" t="n"/>
      <c r="HX230" s="8" t="n"/>
      <c r="HY230" s="8" t="n"/>
      <c r="HZ230" s="8" t="n"/>
      <c r="IA230" s="8" t="n"/>
      <c r="IB230" s="8" t="n"/>
      <c r="IC230" s="8" t="n"/>
      <c r="ID230" s="8" t="n"/>
      <c r="IE230" s="8" t="n"/>
      <c r="IF230" s="8" t="n"/>
      <c r="IG230" s="8" t="n"/>
      <c r="IH230" s="8" t="n"/>
      <c r="IJ230" s="9" t="inlineStr">
        <is>
          <t>ez_manage.py:3872 top()</t>
        </is>
      </c>
      <c r="IK230" s="9" t="inlineStr">
        <is>
          <t>v12_quick_engine.py:2905 x5</t>
        </is>
      </c>
    </row>
    <row r="231" ht="11" customHeight="1">
      <c r="A231" s="10" t="inlineStr">
        <is>
          <t>REENTRY_SIZE_EXTENDED_K1H</t>
        </is>
      </c>
      <c r="B231" s="11" t="inlineStr">
        <is>
          <t>0.5</t>
        </is>
      </c>
      <c r="E231">
        <f>IF(F231="",E230,IF(F231&gt;0,E230+F231,E230))</f>
        <v/>
      </c>
      <c r="F231">
        <f>IFERROR(VLOOKUP($A231,Results_30d_Deltas!$A$2:$H$5000,8,FALSE)-E230,"")</f>
        <v/>
      </c>
      <c r="G231">
        <f>IFERROR(VLOOKUP($A231,Results_30d_Deltas!$A$2:$H$5000,7,FALSE)-E230,"")</f>
        <v/>
      </c>
      <c r="H231">
        <f>IFERROR(VLOOKUP($A231,Results_30d_Deltas!$A$2:$H$5000,6,FALSE),"")</f>
        <v/>
      </c>
      <c r="K231">
        <f>IF(B231=C231,"YES","NO")</f>
        <v/>
      </c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  <c r="AA231" s="8" t="n"/>
      <c r="AB231" s="8" t="n"/>
      <c r="AC231" s="8" t="n"/>
      <c r="AD231" s="8" t="n"/>
      <c r="AE231" s="8" t="n"/>
      <c r="AF231" s="8" t="n"/>
      <c r="AG231" s="8" t="n"/>
      <c r="AH231" s="8" t="n"/>
      <c r="AI231" s="8" t="n"/>
      <c r="AJ231" s="8" t="n"/>
      <c r="AK231" s="8" t="n"/>
      <c r="AL231" s="8" t="n"/>
      <c r="AM231" s="8" t="n"/>
      <c r="AN231" s="8" t="n"/>
      <c r="AO231" s="8" t="n"/>
      <c r="AP231" s="8" t="n"/>
      <c r="AQ231" s="8" t="n"/>
      <c r="AR231" s="8" t="n"/>
      <c r="AS231" s="8" t="n"/>
      <c r="AT231" s="8" t="n"/>
      <c r="AU231" s="8" t="n"/>
      <c r="AV231" s="8" t="n"/>
      <c r="AW231" s="8" t="n"/>
      <c r="AX231" s="8" t="n"/>
      <c r="AY231" s="8" t="n"/>
      <c r="AZ231" s="8" t="n"/>
      <c r="BA231" s="8" t="n"/>
      <c r="BB231" s="8" t="n"/>
      <c r="BC231" s="8" t="n"/>
      <c r="BD231" s="8" t="n"/>
      <c r="BE231" s="8" t="n"/>
      <c r="BF231" s="8" t="n"/>
      <c r="BG231" s="8" t="n"/>
      <c r="BH231" s="8" t="n"/>
      <c r="BI231" s="8" t="n"/>
      <c r="BJ231" s="8" t="n"/>
      <c r="BK231" s="8" t="n"/>
      <c r="BL231" s="8" t="n"/>
      <c r="BM231" s="8" t="n"/>
      <c r="BN231" s="8" t="n"/>
      <c r="BO231" s="8" t="n"/>
      <c r="BP231" s="8" t="n"/>
      <c r="BQ231" s="8" t="n"/>
      <c r="BR231" s="8" t="n"/>
      <c r="BS231" s="8" t="n"/>
      <c r="BT231" s="8" t="n"/>
      <c r="BU231" s="8" t="n"/>
      <c r="BV231" s="8" t="n"/>
      <c r="BW231" s="8" t="n"/>
      <c r="BX231" s="8" t="n"/>
      <c r="BY231" s="8" t="n"/>
      <c r="BZ231" s="8" t="n"/>
      <c r="CA231" s="8" t="n"/>
      <c r="CB231" s="8" t="n"/>
      <c r="CC231" s="8" t="n"/>
      <c r="CD231" s="8" t="n"/>
      <c r="CE231" s="8" t="n"/>
      <c r="CF231" s="8" t="n"/>
      <c r="CG231" s="8" t="n"/>
      <c r="CH231" s="8" t="n"/>
      <c r="CI231" s="8" t="n"/>
      <c r="CJ231" s="8" t="n"/>
      <c r="CK231" s="8" t="n"/>
      <c r="CL231" s="8" t="n"/>
      <c r="CM231" s="8" t="n"/>
      <c r="CN231" s="8" t="n"/>
      <c r="CO231" s="8" t="n"/>
      <c r="CP231" s="8" t="n"/>
      <c r="CQ231" s="8" t="n"/>
      <c r="CR231" s="8" t="n"/>
      <c r="CS231" s="8" t="n"/>
      <c r="CT231" s="8" t="n"/>
      <c r="CU231" s="8" t="n"/>
      <c r="CV231" s="8" t="n"/>
      <c r="CW231" s="8" t="n"/>
      <c r="CX231" s="8" t="n"/>
      <c r="CY231" s="8" t="n"/>
      <c r="CZ231" s="8" t="n"/>
      <c r="DA231" s="8" t="n"/>
      <c r="DB231" s="8" t="n"/>
      <c r="DC231" s="8" t="n"/>
      <c r="DD231" s="8" t="n"/>
      <c r="DE231" s="8" t="n"/>
      <c r="DF231" s="8" t="n"/>
      <c r="DG231" s="8" t="n"/>
      <c r="DH231" s="8" t="n"/>
      <c r="DI231" s="8" t="n"/>
      <c r="DJ231" s="8" t="n"/>
      <c r="DK231" s="8" t="n"/>
      <c r="DL231" s="8" t="n"/>
      <c r="DM231" s="8" t="n"/>
      <c r="DN231" s="8" t="n"/>
      <c r="DO231" s="8" t="n"/>
      <c r="DP231" s="8" t="n"/>
      <c r="DQ231" s="8" t="n"/>
      <c r="DR231" s="8" t="n"/>
      <c r="DS231" s="8" t="n"/>
      <c r="DT231" s="8" t="n"/>
      <c r="DU231" s="8" t="n"/>
      <c r="DV231" s="8" t="n"/>
      <c r="DW231" s="8" t="n"/>
      <c r="DX231" s="8" t="n"/>
      <c r="DY231" s="8" t="n"/>
      <c r="DZ231" s="8" t="n"/>
      <c r="EA231" s="8" t="n"/>
      <c r="EB231" s="8" t="n"/>
      <c r="EC231" s="8" t="n"/>
      <c r="ED231" s="8" t="n"/>
      <c r="EE231" s="8" t="n"/>
      <c r="EF231" s="8" t="n"/>
      <c r="EG231" s="8" t="n"/>
      <c r="EH231" s="8" t="n"/>
      <c r="EI231" s="8" t="n"/>
      <c r="EJ231" s="8" t="n"/>
      <c r="EK231" s="8" t="n"/>
      <c r="EL231" s="8" t="n"/>
      <c r="EM231" s="8" t="n"/>
      <c r="EN231" s="8" t="n"/>
      <c r="EO231" s="8" t="n"/>
      <c r="EP231" s="8" t="n"/>
      <c r="EQ231" s="8" t="n"/>
      <c r="ER231" s="8" t="n"/>
      <c r="ES231" s="8" t="n"/>
      <c r="ET231" s="8" t="n"/>
      <c r="EU231" s="8" t="n"/>
      <c r="EV231" s="8" t="n"/>
      <c r="EW231" s="8" t="n"/>
      <c r="EX231" s="8" t="n"/>
      <c r="EY231" s="8" t="n"/>
      <c r="EZ231" s="8" t="n"/>
      <c r="FA231" s="8" t="n"/>
      <c r="FB231" s="8" t="n"/>
      <c r="FC231" s="8" t="n"/>
      <c r="FD231" s="8" t="n"/>
      <c r="FE231" s="8" t="n"/>
      <c r="FF231" s="8" t="n"/>
      <c r="FG231" s="8" t="n"/>
      <c r="FH231" s="8" t="n"/>
      <c r="FI231" s="8" t="n"/>
      <c r="FJ231" s="8" t="n"/>
      <c r="FK231" s="8" t="n"/>
      <c r="FL231" s="8" t="n"/>
      <c r="FM231" s="8" t="n"/>
      <c r="FN231" s="8" t="n"/>
      <c r="FO231" s="8" t="n"/>
      <c r="FP231" s="8" t="n"/>
      <c r="FQ231" s="8" t="n"/>
      <c r="FR231" s="8" t="n"/>
      <c r="FS231" s="8" t="n"/>
      <c r="FT231" s="8" t="n"/>
      <c r="FU231" s="8" t="n"/>
      <c r="FV231" s="8" t="n"/>
      <c r="FW231" s="8" t="n"/>
      <c r="FX231" s="8" t="n"/>
      <c r="FY231" s="8" t="n"/>
      <c r="FZ231" s="8" t="n"/>
      <c r="GA231" s="8" t="n"/>
      <c r="GB231" s="8" t="n"/>
      <c r="GC231" s="8" t="n"/>
      <c r="GD231" s="8" t="n"/>
      <c r="GE231" s="8" t="n"/>
      <c r="GF231" s="8" t="n"/>
      <c r="GG231" s="8" t="n"/>
      <c r="GH231" s="8" t="n"/>
      <c r="GI231" s="8" t="n"/>
      <c r="GJ231" s="8" t="n"/>
      <c r="GK231" s="8" t="n"/>
      <c r="GL231" s="8" t="n"/>
      <c r="GM231" s="8" t="n"/>
      <c r="GN231" s="8" t="n"/>
      <c r="GO231" s="8" t="n"/>
      <c r="GP231" s="8" t="n"/>
      <c r="GQ231" s="8" t="n"/>
      <c r="GR231" s="8" t="n"/>
      <c r="GS231" s="8" t="n"/>
      <c r="GT231" s="8" t="n"/>
      <c r="GU231" s="8" t="n"/>
      <c r="GV231" s="8" t="n"/>
      <c r="GW231" s="8" t="n"/>
      <c r="GX231" s="8" t="n"/>
      <c r="GY231" s="8" t="n"/>
      <c r="GZ231" s="8" t="n"/>
      <c r="HA231" s="8" t="n"/>
      <c r="HB231" s="8" t="n"/>
      <c r="HC231" s="8" t="n"/>
      <c r="HD231" s="8" t="n"/>
      <c r="HE231" s="8" t="n"/>
      <c r="HF231" s="8" t="n"/>
      <c r="HG231" s="8" t="n"/>
      <c r="HH231" s="8" t="n"/>
      <c r="HI231" s="8" t="n"/>
      <c r="HJ231" s="8" t="n"/>
      <c r="HK231" s="8" t="n"/>
      <c r="HL231" s="8" t="n"/>
      <c r="HM231" s="8" t="n"/>
      <c r="HN231" s="8" t="n"/>
      <c r="HO231" s="8" t="n"/>
      <c r="HP231" s="8" t="n"/>
      <c r="HQ231" s="8" t="n"/>
      <c r="HR231" s="8" t="n"/>
      <c r="HS231" s="8" t="n"/>
      <c r="HT231" s="8" t="n"/>
      <c r="HU231" s="8" t="n"/>
      <c r="HV231" s="8" t="n"/>
      <c r="HW231" s="8" t="n"/>
      <c r="HX231" s="8" t="n"/>
      <c r="HY231" s="8" t="n"/>
      <c r="HZ231" s="8" t="n"/>
      <c r="IA231" s="8" t="n"/>
      <c r="IB231" s="8" t="n"/>
      <c r="IC231" s="8" t="n"/>
      <c r="ID231" s="8" t="n"/>
      <c r="IE231" s="8" t="n"/>
      <c r="IF231" s="8" t="n"/>
      <c r="IG231" s="8" t="n"/>
      <c r="IH231" s="8" t="n"/>
      <c r="IJ231" s="9" t="inlineStr">
        <is>
          <t>ez_manage.py:3872 top()</t>
        </is>
      </c>
      <c r="IK231" s="9" t="inlineStr">
        <is>
          <t>v12_quick_engine.py:2905 x5</t>
        </is>
      </c>
    </row>
    <row r="232" ht="11" customHeight="1">
      <c r="A232" s="10" t="inlineStr">
        <is>
          <t>REENTRY_SIZE_EXTENDED_K1H</t>
        </is>
      </c>
      <c r="B232" s="11" t="inlineStr">
        <is>
          <t>1.0</t>
        </is>
      </c>
      <c r="E232">
        <f>IF(F232="",E231,IF(F232&gt;0,E231+F232,E231))</f>
        <v/>
      </c>
      <c r="F232">
        <f>IFERROR(VLOOKUP($A232,Results_30d_Deltas!$A$2:$H$5000,8,FALSE)-E231,"")</f>
        <v/>
      </c>
      <c r="G232">
        <f>IFERROR(VLOOKUP($A232,Results_30d_Deltas!$A$2:$H$5000,7,FALSE)-E231,"")</f>
        <v/>
      </c>
      <c r="H232">
        <f>IFERROR(VLOOKUP($A232,Results_30d_Deltas!$A$2:$H$5000,6,FALSE),"")</f>
        <v/>
      </c>
      <c r="K232">
        <f>IF(B232=C232,"YES","NO")</f>
        <v/>
      </c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8" t="n"/>
      <c r="AB232" s="8" t="n"/>
      <c r="AC232" s="8" t="n"/>
      <c r="AD232" s="8" t="n"/>
      <c r="AE232" s="8" t="n"/>
      <c r="AF232" s="8" t="n"/>
      <c r="AG232" s="8" t="n"/>
      <c r="AH232" s="8" t="n"/>
      <c r="AI232" s="8" t="n"/>
      <c r="AJ232" s="8" t="n"/>
      <c r="AK232" s="8" t="n"/>
      <c r="AL232" s="8" t="n"/>
      <c r="AM232" s="8" t="n"/>
      <c r="AN232" s="8" t="n"/>
      <c r="AO232" s="8" t="n"/>
      <c r="AP232" s="8" t="n"/>
      <c r="AQ232" s="8" t="n"/>
      <c r="AR232" s="8" t="n"/>
      <c r="AS232" s="8" t="n"/>
      <c r="AT232" s="8" t="n"/>
      <c r="AU232" s="8" t="n"/>
      <c r="AV232" s="8" t="n"/>
      <c r="AW232" s="8" t="n"/>
      <c r="AX232" s="8" t="n"/>
      <c r="AY232" s="8" t="n"/>
      <c r="AZ232" s="8" t="n"/>
      <c r="BA232" s="8" t="n"/>
      <c r="BB232" s="8" t="n"/>
      <c r="BC232" s="8" t="n"/>
      <c r="BD232" s="8" t="n"/>
      <c r="BE232" s="8" t="n"/>
      <c r="BF232" s="8" t="n"/>
      <c r="BG232" s="8" t="n"/>
      <c r="BH232" s="8" t="n"/>
      <c r="BI232" s="8" t="n"/>
      <c r="BJ232" s="8" t="n"/>
      <c r="BK232" s="8" t="n"/>
      <c r="BL232" s="8" t="n"/>
      <c r="BM232" s="8" t="n"/>
      <c r="BN232" s="8" t="n"/>
      <c r="BO232" s="8" t="n"/>
      <c r="BP232" s="8" t="n"/>
      <c r="BQ232" s="8" t="n"/>
      <c r="BR232" s="8" t="n"/>
      <c r="BS232" s="8" t="n"/>
      <c r="BT232" s="8" t="n"/>
      <c r="BU232" s="8" t="n"/>
      <c r="BV232" s="8" t="n"/>
      <c r="BW232" s="8" t="n"/>
      <c r="BX232" s="8" t="n"/>
      <c r="BY232" s="8" t="n"/>
      <c r="BZ232" s="8" t="n"/>
      <c r="CA232" s="8" t="n"/>
      <c r="CB232" s="8" t="n"/>
      <c r="CC232" s="8" t="n"/>
      <c r="CD232" s="8" t="n"/>
      <c r="CE232" s="8" t="n"/>
      <c r="CF232" s="8" t="n"/>
      <c r="CG232" s="8" t="n"/>
      <c r="CH232" s="8" t="n"/>
      <c r="CI232" s="8" t="n"/>
      <c r="CJ232" s="8" t="n"/>
      <c r="CK232" s="8" t="n"/>
      <c r="CL232" s="8" t="n"/>
      <c r="CM232" s="8" t="n"/>
      <c r="CN232" s="8" t="n"/>
      <c r="CO232" s="8" t="n"/>
      <c r="CP232" s="8" t="n"/>
      <c r="CQ232" s="8" t="n"/>
      <c r="CR232" s="8" t="n"/>
      <c r="CS232" s="8" t="n"/>
      <c r="CT232" s="8" t="n"/>
      <c r="CU232" s="8" t="n"/>
      <c r="CV232" s="8" t="n"/>
      <c r="CW232" s="8" t="n"/>
      <c r="CX232" s="8" t="n"/>
      <c r="CY232" s="8" t="n"/>
      <c r="CZ232" s="8" t="n"/>
      <c r="DA232" s="8" t="n"/>
      <c r="DB232" s="8" t="n"/>
      <c r="DC232" s="8" t="n"/>
      <c r="DD232" s="8" t="n"/>
      <c r="DE232" s="8" t="n"/>
      <c r="DF232" s="8" t="n"/>
      <c r="DG232" s="8" t="n"/>
      <c r="DH232" s="8" t="n"/>
      <c r="DI232" s="8" t="n"/>
      <c r="DJ232" s="8" t="n"/>
      <c r="DK232" s="8" t="n"/>
      <c r="DL232" s="8" t="n"/>
      <c r="DM232" s="8" t="n"/>
      <c r="DN232" s="8" t="n"/>
      <c r="DO232" s="8" t="n"/>
      <c r="DP232" s="8" t="n"/>
      <c r="DQ232" s="8" t="n"/>
      <c r="DR232" s="8" t="n"/>
      <c r="DS232" s="8" t="n"/>
      <c r="DT232" s="8" t="n"/>
      <c r="DU232" s="8" t="n"/>
      <c r="DV232" s="8" t="n"/>
      <c r="DW232" s="8" t="n"/>
      <c r="DX232" s="8" t="n"/>
      <c r="DY232" s="8" t="n"/>
      <c r="DZ232" s="8" t="n"/>
      <c r="EA232" s="8" t="n"/>
      <c r="EB232" s="8" t="n"/>
      <c r="EC232" s="8" t="n"/>
      <c r="ED232" s="8" t="n"/>
      <c r="EE232" s="8" t="n"/>
      <c r="EF232" s="8" t="n"/>
      <c r="EG232" s="8" t="n"/>
      <c r="EH232" s="8" t="n"/>
      <c r="EI232" s="8" t="n"/>
      <c r="EJ232" s="8" t="n"/>
      <c r="EK232" s="8" t="n"/>
      <c r="EL232" s="8" t="n"/>
      <c r="EM232" s="8" t="n"/>
      <c r="EN232" s="8" t="n"/>
      <c r="EO232" s="8" t="n"/>
      <c r="EP232" s="8" t="n"/>
      <c r="EQ232" s="8" t="n"/>
      <c r="ER232" s="8" t="n"/>
      <c r="ES232" s="8" t="n"/>
      <c r="ET232" s="8" t="n"/>
      <c r="EU232" s="8" t="n"/>
      <c r="EV232" s="8" t="n"/>
      <c r="EW232" s="8" t="n"/>
      <c r="EX232" s="8" t="n"/>
      <c r="EY232" s="8" t="n"/>
      <c r="EZ232" s="8" t="n"/>
      <c r="FA232" s="8" t="n"/>
      <c r="FB232" s="8" t="n"/>
      <c r="FC232" s="8" t="n"/>
      <c r="FD232" s="8" t="n"/>
      <c r="FE232" s="8" t="n"/>
      <c r="FF232" s="8" t="n"/>
      <c r="FG232" s="8" t="n"/>
      <c r="FH232" s="8" t="n"/>
      <c r="FI232" s="8" t="n"/>
      <c r="FJ232" s="8" t="n"/>
      <c r="FK232" s="8" t="n"/>
      <c r="FL232" s="8" t="n"/>
      <c r="FM232" s="8" t="n"/>
      <c r="FN232" s="8" t="n"/>
      <c r="FO232" s="8" t="n"/>
      <c r="FP232" s="8" t="n"/>
      <c r="FQ232" s="8" t="n"/>
      <c r="FR232" s="8" t="n"/>
      <c r="FS232" s="8" t="n"/>
      <c r="FT232" s="8" t="n"/>
      <c r="FU232" s="8" t="n"/>
      <c r="FV232" s="8" t="n"/>
      <c r="FW232" s="8" t="n"/>
      <c r="FX232" s="8" t="n"/>
      <c r="FY232" s="8" t="n"/>
      <c r="FZ232" s="8" t="n"/>
      <c r="GA232" s="8" t="n"/>
      <c r="GB232" s="8" t="n"/>
      <c r="GC232" s="8" t="n"/>
      <c r="GD232" s="8" t="n"/>
      <c r="GE232" s="8" t="n"/>
      <c r="GF232" s="8" t="n"/>
      <c r="GG232" s="8" t="n"/>
      <c r="GH232" s="8" t="n"/>
      <c r="GI232" s="8" t="n"/>
      <c r="GJ232" s="8" t="n"/>
      <c r="GK232" s="8" t="n"/>
      <c r="GL232" s="8" t="n"/>
      <c r="GM232" s="8" t="n"/>
      <c r="GN232" s="8" t="n"/>
      <c r="GO232" s="8" t="n"/>
      <c r="GP232" s="8" t="n"/>
      <c r="GQ232" s="8" t="n"/>
      <c r="GR232" s="8" t="n"/>
      <c r="GS232" s="8" t="n"/>
      <c r="GT232" s="8" t="n"/>
      <c r="GU232" s="8" t="n"/>
      <c r="GV232" s="8" t="n"/>
      <c r="GW232" s="8" t="n"/>
      <c r="GX232" s="8" t="n"/>
      <c r="GY232" s="8" t="n"/>
      <c r="GZ232" s="8" t="n"/>
      <c r="HA232" s="8" t="n"/>
      <c r="HB232" s="8" t="n"/>
      <c r="HC232" s="8" t="n"/>
      <c r="HD232" s="8" t="n"/>
      <c r="HE232" s="8" t="n"/>
      <c r="HF232" s="8" t="n"/>
      <c r="HG232" s="8" t="n"/>
      <c r="HH232" s="8" t="n"/>
      <c r="HI232" s="8" t="n"/>
      <c r="HJ232" s="8" t="n"/>
      <c r="HK232" s="8" t="n"/>
      <c r="HL232" s="8" t="n"/>
      <c r="HM232" s="8" t="n"/>
      <c r="HN232" s="8" t="n"/>
      <c r="HO232" s="8" t="n"/>
      <c r="HP232" s="8" t="n"/>
      <c r="HQ232" s="8" t="n"/>
      <c r="HR232" s="8" t="n"/>
      <c r="HS232" s="8" t="n"/>
      <c r="HT232" s="8" t="n"/>
      <c r="HU232" s="8" t="n"/>
      <c r="HV232" s="8" t="n"/>
      <c r="HW232" s="8" t="n"/>
      <c r="HX232" s="8" t="n"/>
      <c r="HY232" s="8" t="n"/>
      <c r="HZ232" s="8" t="n"/>
      <c r="IA232" s="8" t="n"/>
      <c r="IB232" s="8" t="n"/>
      <c r="IC232" s="8" t="n"/>
      <c r="ID232" s="8" t="n"/>
      <c r="IE232" s="8" t="n"/>
      <c r="IF232" s="8" t="n"/>
      <c r="IG232" s="8" t="n"/>
      <c r="IH232" s="8" t="n"/>
      <c r="IJ232" s="9" t="inlineStr">
        <is>
          <t>ez_manage.py:3872 top()</t>
        </is>
      </c>
      <c r="IK232" s="9" t="inlineStr">
        <is>
          <t>v12_quick_engine.py:2905 x5</t>
        </is>
      </c>
    </row>
    <row r="233" ht="11" customHeight="1">
      <c r="A233" s="10" t="inlineStr">
        <is>
          <t>REENTRY_SIZE_EXTENDED_K1H</t>
        </is>
      </c>
      <c r="B233" s="11" t="inlineStr">
        <is>
          <t>2.0</t>
        </is>
      </c>
      <c r="E233">
        <f>IF(F233="",E232,IF(F233&gt;0,E232+F233,E232))</f>
        <v/>
      </c>
      <c r="F233">
        <f>IFERROR(VLOOKUP($A233,Results_30d_Deltas!$A$2:$H$5000,8,FALSE)-E232,"")</f>
        <v/>
      </c>
      <c r="G233">
        <f>IFERROR(VLOOKUP($A233,Results_30d_Deltas!$A$2:$H$5000,7,FALSE)-E232,"")</f>
        <v/>
      </c>
      <c r="H233">
        <f>IFERROR(VLOOKUP($A233,Results_30d_Deltas!$A$2:$H$5000,6,FALSE),"")</f>
        <v/>
      </c>
      <c r="K233">
        <f>IF(B233=C233,"YES","NO")</f>
        <v/>
      </c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  <c r="AA233" s="8" t="n"/>
      <c r="AB233" s="8" t="n"/>
      <c r="AC233" s="8" t="n"/>
      <c r="AD233" s="8" t="n"/>
      <c r="AE233" s="8" t="n"/>
      <c r="AF233" s="8" t="n"/>
      <c r="AG233" s="8" t="n"/>
      <c r="AH233" s="8" t="n"/>
      <c r="AI233" s="8" t="n"/>
      <c r="AJ233" s="8" t="n"/>
      <c r="AK233" s="8" t="n"/>
      <c r="AL233" s="8" t="n"/>
      <c r="AM233" s="8" t="n"/>
      <c r="AN233" s="8" t="n"/>
      <c r="AO233" s="8" t="n"/>
      <c r="AP233" s="8" t="n"/>
      <c r="AQ233" s="8" t="n"/>
      <c r="AR233" s="8" t="n"/>
      <c r="AS233" s="8" t="n"/>
      <c r="AT233" s="8" t="n"/>
      <c r="AU233" s="8" t="n"/>
      <c r="AV233" s="8" t="n"/>
      <c r="AW233" s="8" t="n"/>
      <c r="AX233" s="8" t="n"/>
      <c r="AY233" s="8" t="n"/>
      <c r="AZ233" s="8" t="n"/>
      <c r="BA233" s="8" t="n"/>
      <c r="BB233" s="8" t="n"/>
      <c r="BC233" s="8" t="n"/>
      <c r="BD233" s="8" t="n"/>
      <c r="BE233" s="8" t="n"/>
      <c r="BF233" s="8" t="n"/>
      <c r="BG233" s="8" t="n"/>
      <c r="BH233" s="8" t="n"/>
      <c r="BI233" s="8" t="n"/>
      <c r="BJ233" s="8" t="n"/>
      <c r="BK233" s="8" t="n"/>
      <c r="BL233" s="8" t="n"/>
      <c r="BM233" s="8" t="n"/>
      <c r="BN233" s="8" t="n"/>
      <c r="BO233" s="8" t="n"/>
      <c r="BP233" s="8" t="n"/>
      <c r="BQ233" s="8" t="n"/>
      <c r="BR233" s="8" t="n"/>
      <c r="BS233" s="8" t="n"/>
      <c r="BT233" s="8" t="n"/>
      <c r="BU233" s="8" t="n"/>
      <c r="BV233" s="8" t="n"/>
      <c r="BW233" s="8" t="n"/>
      <c r="BX233" s="8" t="n"/>
      <c r="BY233" s="8" t="n"/>
      <c r="BZ233" s="8" t="n"/>
      <c r="CA233" s="8" t="n"/>
      <c r="CB233" s="8" t="n"/>
      <c r="CC233" s="8" t="n"/>
      <c r="CD233" s="8" t="n"/>
      <c r="CE233" s="8" t="n"/>
      <c r="CF233" s="8" t="n"/>
      <c r="CG233" s="8" t="n"/>
      <c r="CH233" s="8" t="n"/>
      <c r="CI233" s="8" t="n"/>
      <c r="CJ233" s="8" t="n"/>
      <c r="CK233" s="8" t="n"/>
      <c r="CL233" s="8" t="n"/>
      <c r="CM233" s="8" t="n"/>
      <c r="CN233" s="8" t="n"/>
      <c r="CO233" s="8" t="n"/>
      <c r="CP233" s="8" t="n"/>
      <c r="CQ233" s="8" t="n"/>
      <c r="CR233" s="8" t="n"/>
      <c r="CS233" s="8" t="n"/>
      <c r="CT233" s="8" t="n"/>
      <c r="CU233" s="8" t="n"/>
      <c r="CV233" s="8" t="n"/>
      <c r="CW233" s="8" t="n"/>
      <c r="CX233" s="8" t="n"/>
      <c r="CY233" s="8" t="n"/>
      <c r="CZ233" s="8" t="n"/>
      <c r="DA233" s="8" t="n"/>
      <c r="DB233" s="8" t="n"/>
      <c r="DC233" s="8" t="n"/>
      <c r="DD233" s="8" t="n"/>
      <c r="DE233" s="8" t="n"/>
      <c r="DF233" s="8" t="n"/>
      <c r="DG233" s="8" t="n"/>
      <c r="DH233" s="8" t="n"/>
      <c r="DI233" s="8" t="n"/>
      <c r="DJ233" s="8" t="n"/>
      <c r="DK233" s="8" t="n"/>
      <c r="DL233" s="8" t="n"/>
      <c r="DM233" s="8" t="n"/>
      <c r="DN233" s="8" t="n"/>
      <c r="DO233" s="8" t="n"/>
      <c r="DP233" s="8" t="n"/>
      <c r="DQ233" s="8" t="n"/>
      <c r="DR233" s="8" t="n"/>
      <c r="DS233" s="8" t="n"/>
      <c r="DT233" s="8" t="n"/>
      <c r="DU233" s="8" t="n"/>
      <c r="DV233" s="8" t="n"/>
      <c r="DW233" s="8" t="n"/>
      <c r="DX233" s="8" t="n"/>
      <c r="DY233" s="8" t="n"/>
      <c r="DZ233" s="8" t="n"/>
      <c r="EA233" s="8" t="n"/>
      <c r="EB233" s="8" t="n"/>
      <c r="EC233" s="8" t="n"/>
      <c r="ED233" s="8" t="n"/>
      <c r="EE233" s="8" t="n"/>
      <c r="EF233" s="8" t="n"/>
      <c r="EG233" s="8" t="n"/>
      <c r="EH233" s="8" t="n"/>
      <c r="EI233" s="8" t="n"/>
      <c r="EJ233" s="8" t="n"/>
      <c r="EK233" s="8" t="n"/>
      <c r="EL233" s="8" t="n"/>
      <c r="EM233" s="8" t="n"/>
      <c r="EN233" s="8" t="n"/>
      <c r="EO233" s="8" t="n"/>
      <c r="EP233" s="8" t="n"/>
      <c r="EQ233" s="8" t="n"/>
      <c r="ER233" s="8" t="n"/>
      <c r="ES233" s="8" t="n"/>
      <c r="ET233" s="8" t="n"/>
      <c r="EU233" s="8" t="n"/>
      <c r="EV233" s="8" t="n"/>
      <c r="EW233" s="8" t="n"/>
      <c r="EX233" s="8" t="n"/>
      <c r="EY233" s="8" t="n"/>
      <c r="EZ233" s="8" t="n"/>
      <c r="FA233" s="8" t="n"/>
      <c r="FB233" s="8" t="n"/>
      <c r="FC233" s="8" t="n"/>
      <c r="FD233" s="8" t="n"/>
      <c r="FE233" s="8" t="n"/>
      <c r="FF233" s="8" t="n"/>
      <c r="FG233" s="8" t="n"/>
      <c r="FH233" s="8" t="n"/>
      <c r="FI233" s="8" t="n"/>
      <c r="FJ233" s="8" t="n"/>
      <c r="FK233" s="8" t="n"/>
      <c r="FL233" s="8" t="n"/>
      <c r="FM233" s="8" t="n"/>
      <c r="FN233" s="8" t="n"/>
      <c r="FO233" s="8" t="n"/>
      <c r="FP233" s="8" t="n"/>
      <c r="FQ233" s="8" t="n"/>
      <c r="FR233" s="8" t="n"/>
      <c r="FS233" s="8" t="n"/>
      <c r="FT233" s="8" t="n"/>
      <c r="FU233" s="8" t="n"/>
      <c r="FV233" s="8" t="n"/>
      <c r="FW233" s="8" t="n"/>
      <c r="FX233" s="8" t="n"/>
      <c r="FY233" s="8" t="n"/>
      <c r="FZ233" s="8" t="n"/>
      <c r="GA233" s="8" t="n"/>
      <c r="GB233" s="8" t="n"/>
      <c r="GC233" s="8" t="n"/>
      <c r="GD233" s="8" t="n"/>
      <c r="GE233" s="8" t="n"/>
      <c r="GF233" s="8" t="n"/>
      <c r="GG233" s="8" t="n"/>
      <c r="GH233" s="8" t="n"/>
      <c r="GI233" s="8" t="n"/>
      <c r="GJ233" s="8" t="n"/>
      <c r="GK233" s="8" t="n"/>
      <c r="GL233" s="8" t="n"/>
      <c r="GM233" s="8" t="n"/>
      <c r="GN233" s="8" t="n"/>
      <c r="GO233" s="8" t="n"/>
      <c r="GP233" s="8" t="n"/>
      <c r="GQ233" s="8" t="n"/>
      <c r="GR233" s="8" t="n"/>
      <c r="GS233" s="8" t="n"/>
      <c r="GT233" s="8" t="n"/>
      <c r="GU233" s="8" t="n"/>
      <c r="GV233" s="8" t="n"/>
      <c r="GW233" s="8" t="n"/>
      <c r="GX233" s="8" t="n"/>
      <c r="GY233" s="8" t="n"/>
      <c r="GZ233" s="8" t="n"/>
      <c r="HA233" s="8" t="n"/>
      <c r="HB233" s="8" t="n"/>
      <c r="HC233" s="8" t="n"/>
      <c r="HD233" s="8" t="n"/>
      <c r="HE233" s="8" t="n"/>
      <c r="HF233" s="8" t="n"/>
      <c r="HG233" s="8" t="n"/>
      <c r="HH233" s="8" t="n"/>
      <c r="HI233" s="8" t="n"/>
      <c r="HJ233" s="8" t="n"/>
      <c r="HK233" s="8" t="n"/>
      <c r="HL233" s="8" t="n"/>
      <c r="HM233" s="8" t="n"/>
      <c r="HN233" s="8" t="n"/>
      <c r="HO233" s="8" t="n"/>
      <c r="HP233" s="8" t="n"/>
      <c r="HQ233" s="8" t="n"/>
      <c r="HR233" s="8" t="n"/>
      <c r="HS233" s="8" t="n"/>
      <c r="HT233" s="8" t="n"/>
      <c r="HU233" s="8" t="n"/>
      <c r="HV233" s="8" t="n"/>
      <c r="HW233" s="8" t="n"/>
      <c r="HX233" s="8" t="n"/>
      <c r="HY233" s="8" t="n"/>
      <c r="HZ233" s="8" t="n"/>
      <c r="IA233" s="8" t="n"/>
      <c r="IB233" s="8" t="n"/>
      <c r="IC233" s="8" t="n"/>
      <c r="ID233" s="8" t="n"/>
      <c r="IE233" s="8" t="n"/>
      <c r="IF233" s="8" t="n"/>
      <c r="IG233" s="8" t="n"/>
      <c r="IH233" s="8" t="n"/>
      <c r="IJ233" s="9" t="inlineStr">
        <is>
          <t>ez_manage.py:3872 top()</t>
        </is>
      </c>
      <c r="IK233" s="9" t="inlineStr">
        <is>
          <t>v12_quick_engine.py:2905 x5</t>
        </is>
      </c>
    </row>
    <row r="234" ht="11" customHeight="1">
      <c r="A234" s="10" t="inlineStr">
        <is>
          <t>REENTRY_SIZE_EXTENDED_MULT</t>
        </is>
      </c>
      <c r="B234" s="11" t="inlineStr">
        <is>
          <t>0</t>
        </is>
      </c>
      <c r="E234">
        <f>IF(F234="",E233,IF(F234&gt;0,E233+F234,E233))</f>
        <v/>
      </c>
      <c r="F234">
        <f>IFERROR(VLOOKUP($A234,Results_30d_Deltas!$A$2:$H$5000,8,FALSE)-E233,"")</f>
        <v/>
      </c>
      <c r="G234">
        <f>IFERROR(VLOOKUP($A234,Results_30d_Deltas!$A$2:$H$5000,7,FALSE)-E233,"")</f>
        <v/>
      </c>
      <c r="H234">
        <f>IFERROR(VLOOKUP($A234,Results_30d_Deltas!$A$2:$H$5000,6,FALSE),"")</f>
        <v/>
      </c>
      <c r="K234">
        <f>IF(B234=C234,"YES","NO")</f>
        <v/>
      </c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8" t="n"/>
      <c r="AB234" s="8" t="n"/>
      <c r="AC234" s="8" t="n"/>
      <c r="AD234" s="8" t="n"/>
      <c r="AE234" s="8" t="n"/>
      <c r="AF234" s="8" t="n"/>
      <c r="AG234" s="8" t="n"/>
      <c r="AH234" s="8" t="n"/>
      <c r="AI234" s="8" t="n"/>
      <c r="AJ234" s="8" t="n"/>
      <c r="AK234" s="8" t="n"/>
      <c r="AL234" s="8" t="n"/>
      <c r="AM234" s="8" t="n"/>
      <c r="AN234" s="8" t="n"/>
      <c r="AO234" s="8" t="n"/>
      <c r="AP234" s="8" t="n"/>
      <c r="AQ234" s="8" t="n"/>
      <c r="AR234" s="8" t="n"/>
      <c r="AS234" s="8" t="n"/>
      <c r="AT234" s="8" t="n"/>
      <c r="AU234" s="8" t="n"/>
      <c r="AV234" s="8" t="n"/>
      <c r="AW234" s="8" t="n"/>
      <c r="AX234" s="8" t="n"/>
      <c r="AY234" s="8" t="n"/>
      <c r="AZ234" s="8" t="n"/>
      <c r="BA234" s="8" t="n"/>
      <c r="BB234" s="8" t="n"/>
      <c r="BC234" s="8" t="n"/>
      <c r="BD234" s="8" t="n"/>
      <c r="BE234" s="8" t="n"/>
      <c r="BF234" s="8" t="n"/>
      <c r="BG234" s="8" t="n"/>
      <c r="BH234" s="8" t="n"/>
      <c r="BI234" s="8" t="n"/>
      <c r="BJ234" s="8" t="n"/>
      <c r="BK234" s="8" t="n"/>
      <c r="BL234" s="8" t="n"/>
      <c r="BM234" s="8" t="n"/>
      <c r="BN234" s="8" t="n"/>
      <c r="BO234" s="8" t="n"/>
      <c r="BP234" s="8" t="n"/>
      <c r="BQ234" s="8" t="n"/>
      <c r="BR234" s="8" t="n"/>
      <c r="BS234" s="8" t="n"/>
      <c r="BT234" s="8" t="n"/>
      <c r="BU234" s="8" t="n"/>
      <c r="BV234" s="8" t="n"/>
      <c r="BW234" s="8" t="n"/>
      <c r="BX234" s="8" t="n"/>
      <c r="BY234" s="8" t="n"/>
      <c r="BZ234" s="8" t="n"/>
      <c r="CA234" s="8" t="n"/>
      <c r="CB234" s="8" t="n"/>
      <c r="CC234" s="8" t="n"/>
      <c r="CD234" s="8" t="n"/>
      <c r="CE234" s="8" t="n"/>
      <c r="CF234" s="8" t="n"/>
      <c r="CG234" s="8" t="n"/>
      <c r="CH234" s="8" t="n"/>
      <c r="CI234" s="8" t="n"/>
      <c r="CJ234" s="8" t="n"/>
      <c r="CK234" s="8" t="n"/>
      <c r="CL234" s="8" t="n"/>
      <c r="CM234" s="8" t="n"/>
      <c r="CN234" s="8" t="n"/>
      <c r="CO234" s="8" t="n"/>
      <c r="CP234" s="8" t="n"/>
      <c r="CQ234" s="8" t="n"/>
      <c r="CR234" s="8" t="n"/>
      <c r="CS234" s="8" t="n"/>
      <c r="CT234" s="8" t="n"/>
      <c r="CU234" s="8" t="n"/>
      <c r="CV234" s="8" t="n"/>
      <c r="CW234" s="8" t="n"/>
      <c r="CX234" s="8" t="n"/>
      <c r="CY234" s="8" t="n"/>
      <c r="CZ234" s="8" t="n"/>
      <c r="DA234" s="8" t="n"/>
      <c r="DB234" s="8" t="n"/>
      <c r="DC234" s="8" t="n"/>
      <c r="DD234" s="8" t="n"/>
      <c r="DE234" s="8" t="n"/>
      <c r="DF234" s="8" t="n"/>
      <c r="DG234" s="8" t="n"/>
      <c r="DH234" s="8" t="n"/>
      <c r="DI234" s="8" t="n"/>
      <c r="DJ234" s="8" t="n"/>
      <c r="DK234" s="8" t="n"/>
      <c r="DL234" s="8" t="n"/>
      <c r="DM234" s="8" t="n"/>
      <c r="DN234" s="8" t="n"/>
      <c r="DO234" s="8" t="n"/>
      <c r="DP234" s="8" t="n"/>
      <c r="DQ234" s="8" t="n"/>
      <c r="DR234" s="8" t="n"/>
      <c r="DS234" s="8" t="n"/>
      <c r="DT234" s="8" t="n"/>
      <c r="DU234" s="8" t="n"/>
      <c r="DV234" s="8" t="n"/>
      <c r="DW234" s="8" t="n"/>
      <c r="DX234" s="8" t="n"/>
      <c r="DY234" s="8" t="n"/>
      <c r="DZ234" s="8" t="n"/>
      <c r="EA234" s="8" t="n"/>
      <c r="EB234" s="8" t="n"/>
      <c r="EC234" s="8" t="n"/>
      <c r="ED234" s="8" t="n"/>
      <c r="EE234" s="8" t="n"/>
      <c r="EF234" s="8" t="n"/>
      <c r="EG234" s="8" t="n"/>
      <c r="EH234" s="8" t="n"/>
      <c r="EI234" s="8" t="n"/>
      <c r="EJ234" s="8" t="n"/>
      <c r="EK234" s="8" t="n"/>
      <c r="EL234" s="8" t="n"/>
      <c r="EM234" s="8" t="n"/>
      <c r="EN234" s="8" t="n"/>
      <c r="EO234" s="8" t="n"/>
      <c r="EP234" s="8" t="n"/>
      <c r="EQ234" s="8" t="n"/>
      <c r="ER234" s="8" t="n"/>
      <c r="ES234" s="8" t="n"/>
      <c r="ET234" s="8" t="n"/>
      <c r="EU234" s="8" t="n"/>
      <c r="EV234" s="8" t="n"/>
      <c r="EW234" s="8" t="n"/>
      <c r="EX234" s="8" t="n"/>
      <c r="EY234" s="8" t="n"/>
      <c r="EZ234" s="8" t="n"/>
      <c r="FA234" s="8" t="n"/>
      <c r="FB234" s="8" t="n"/>
      <c r="FC234" s="8" t="n"/>
      <c r="FD234" s="8" t="n"/>
      <c r="FE234" s="8" t="n"/>
      <c r="FF234" s="8" t="n"/>
      <c r="FG234" s="8" t="n"/>
      <c r="FH234" s="8" t="n"/>
      <c r="FI234" s="8" t="n"/>
      <c r="FJ234" s="8" t="n"/>
      <c r="FK234" s="8" t="n"/>
      <c r="FL234" s="8" t="n"/>
      <c r="FM234" s="8" t="n"/>
      <c r="FN234" s="8" t="n"/>
      <c r="FO234" s="8" t="n"/>
      <c r="FP234" s="8" t="n"/>
      <c r="FQ234" s="8" t="n"/>
      <c r="FR234" s="8" t="n"/>
      <c r="FS234" s="8" t="n"/>
      <c r="FT234" s="8" t="n"/>
      <c r="FU234" s="8" t="n"/>
      <c r="FV234" s="8" t="n"/>
      <c r="FW234" s="8" t="n"/>
      <c r="FX234" s="8" t="n"/>
      <c r="FY234" s="8" t="n"/>
      <c r="FZ234" s="8" t="n"/>
      <c r="GA234" s="8" t="n"/>
      <c r="GB234" s="8" t="n"/>
      <c r="GC234" s="8" t="n"/>
      <c r="GD234" s="8" t="n"/>
      <c r="GE234" s="8" t="n"/>
      <c r="GF234" s="8" t="n"/>
      <c r="GG234" s="8" t="n"/>
      <c r="GH234" s="8" t="n"/>
      <c r="GI234" s="8" t="n"/>
      <c r="GJ234" s="8" t="n"/>
      <c r="GK234" s="8" t="n"/>
      <c r="GL234" s="8" t="n"/>
      <c r="GM234" s="8" t="n"/>
      <c r="GN234" s="8" t="n"/>
      <c r="GO234" s="8" t="n"/>
      <c r="GP234" s="8" t="n"/>
      <c r="GQ234" s="8" t="n"/>
      <c r="GR234" s="8" t="n"/>
      <c r="GS234" s="8" t="n"/>
      <c r="GT234" s="8" t="n"/>
      <c r="GU234" s="8" t="n"/>
      <c r="GV234" s="8" t="n"/>
      <c r="GW234" s="8" t="n"/>
      <c r="GX234" s="8" t="n"/>
      <c r="GY234" s="8" t="n"/>
      <c r="GZ234" s="8" t="n"/>
      <c r="HA234" s="8" t="n"/>
      <c r="HB234" s="8" t="n"/>
      <c r="HC234" s="8" t="n"/>
      <c r="HD234" s="8" t="n"/>
      <c r="HE234" s="8" t="n"/>
      <c r="HF234" s="8" t="n"/>
      <c r="HG234" s="8" t="n"/>
      <c r="HH234" s="8" t="n"/>
      <c r="HI234" s="8" t="n"/>
      <c r="HJ234" s="8" t="n"/>
      <c r="HK234" s="8" t="n"/>
      <c r="HL234" s="8" t="n"/>
      <c r="HM234" s="8" t="n"/>
      <c r="HN234" s="8" t="n"/>
      <c r="HO234" s="8" t="n"/>
      <c r="HP234" s="8" t="n"/>
      <c r="HQ234" s="8" t="n"/>
      <c r="HR234" s="8" t="n"/>
      <c r="HS234" s="8" t="n"/>
      <c r="HT234" s="8" t="n"/>
      <c r="HU234" s="8" t="n"/>
      <c r="HV234" s="8" t="n"/>
      <c r="HW234" s="8" t="n"/>
      <c r="HX234" s="8" t="n"/>
      <c r="HY234" s="8" t="n"/>
      <c r="HZ234" s="8" t="n"/>
      <c r="IA234" s="8" t="n"/>
      <c r="IB234" s="8" t="n"/>
      <c r="IC234" s="8" t="n"/>
      <c r="ID234" s="8" t="n"/>
      <c r="IE234" s="8" t="n"/>
      <c r="IF234" s="8" t="n"/>
      <c r="IG234" s="8" t="n"/>
      <c r="IH234" s="8" t="n"/>
      <c r="IJ234" s="9" t="inlineStr">
        <is>
          <t>ez_manage.py:3873 top()</t>
        </is>
      </c>
      <c r="IK234" s="9" t="inlineStr">
        <is>
          <t>v12_quick_engine.py:2906 x3</t>
        </is>
      </c>
    </row>
    <row r="235" ht="11" customHeight="1">
      <c r="A235" s="10" t="inlineStr">
        <is>
          <t>REENTRY_SIZE_EXTENDED_MULT</t>
        </is>
      </c>
      <c r="B235" s="11" t="inlineStr">
        <is>
          <t>0.5</t>
        </is>
      </c>
      <c r="E235">
        <f>IF(F235="",E234,IF(F235&gt;0,E234+F235,E234))</f>
        <v/>
      </c>
      <c r="F235">
        <f>IFERROR(VLOOKUP($A235,Results_30d_Deltas!$A$2:$H$5000,8,FALSE)-E234,"")</f>
        <v/>
      </c>
      <c r="G235">
        <f>IFERROR(VLOOKUP($A235,Results_30d_Deltas!$A$2:$H$5000,7,FALSE)-E234,"")</f>
        <v/>
      </c>
      <c r="H235">
        <f>IFERROR(VLOOKUP($A235,Results_30d_Deltas!$A$2:$H$5000,6,FALSE),"")</f>
        <v/>
      </c>
      <c r="K235">
        <f>IF(B235=C235,"YES","NO")</f>
        <v/>
      </c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  <c r="AA235" s="8" t="n"/>
      <c r="AB235" s="8" t="n"/>
      <c r="AC235" s="8" t="n"/>
      <c r="AD235" s="8" t="n"/>
      <c r="AE235" s="8" t="n"/>
      <c r="AF235" s="8" t="n"/>
      <c r="AG235" s="8" t="n"/>
      <c r="AH235" s="8" t="n"/>
      <c r="AI235" s="8" t="n"/>
      <c r="AJ235" s="8" t="n"/>
      <c r="AK235" s="8" t="n"/>
      <c r="AL235" s="8" t="n"/>
      <c r="AM235" s="8" t="n"/>
      <c r="AN235" s="8" t="n"/>
      <c r="AO235" s="8" t="n"/>
      <c r="AP235" s="8" t="n"/>
      <c r="AQ235" s="8" t="n"/>
      <c r="AR235" s="8" t="n"/>
      <c r="AS235" s="8" t="n"/>
      <c r="AT235" s="8" t="n"/>
      <c r="AU235" s="8" t="n"/>
      <c r="AV235" s="8" t="n"/>
      <c r="AW235" s="8" t="n"/>
      <c r="AX235" s="8" t="n"/>
      <c r="AY235" s="8" t="n"/>
      <c r="AZ235" s="8" t="n"/>
      <c r="BA235" s="8" t="n"/>
      <c r="BB235" s="8" t="n"/>
      <c r="BC235" s="8" t="n"/>
      <c r="BD235" s="8" t="n"/>
      <c r="BE235" s="8" t="n"/>
      <c r="BF235" s="8" t="n"/>
      <c r="BG235" s="8" t="n"/>
      <c r="BH235" s="8" t="n"/>
      <c r="BI235" s="8" t="n"/>
      <c r="BJ235" s="8" t="n"/>
      <c r="BK235" s="8" t="n"/>
      <c r="BL235" s="8" t="n"/>
      <c r="BM235" s="8" t="n"/>
      <c r="BN235" s="8" t="n"/>
      <c r="BO235" s="8" t="n"/>
      <c r="BP235" s="8" t="n"/>
      <c r="BQ235" s="8" t="n"/>
      <c r="BR235" s="8" t="n"/>
      <c r="BS235" s="8" t="n"/>
      <c r="BT235" s="8" t="n"/>
      <c r="BU235" s="8" t="n"/>
      <c r="BV235" s="8" t="n"/>
      <c r="BW235" s="8" t="n"/>
      <c r="BX235" s="8" t="n"/>
      <c r="BY235" s="8" t="n"/>
      <c r="BZ235" s="8" t="n"/>
      <c r="CA235" s="8" t="n"/>
      <c r="CB235" s="8" t="n"/>
      <c r="CC235" s="8" t="n"/>
      <c r="CD235" s="8" t="n"/>
      <c r="CE235" s="8" t="n"/>
      <c r="CF235" s="8" t="n"/>
      <c r="CG235" s="8" t="n"/>
      <c r="CH235" s="8" t="n"/>
      <c r="CI235" s="8" t="n"/>
      <c r="CJ235" s="8" t="n"/>
      <c r="CK235" s="8" t="n"/>
      <c r="CL235" s="8" t="n"/>
      <c r="CM235" s="8" t="n"/>
      <c r="CN235" s="8" t="n"/>
      <c r="CO235" s="8" t="n"/>
      <c r="CP235" s="8" t="n"/>
      <c r="CQ235" s="8" t="n"/>
      <c r="CR235" s="8" t="n"/>
      <c r="CS235" s="8" t="n"/>
      <c r="CT235" s="8" t="n"/>
      <c r="CU235" s="8" t="n"/>
      <c r="CV235" s="8" t="n"/>
      <c r="CW235" s="8" t="n"/>
      <c r="CX235" s="8" t="n"/>
      <c r="CY235" s="8" t="n"/>
      <c r="CZ235" s="8" t="n"/>
      <c r="DA235" s="8" t="n"/>
      <c r="DB235" s="8" t="n"/>
      <c r="DC235" s="8" t="n"/>
      <c r="DD235" s="8" t="n"/>
      <c r="DE235" s="8" t="n"/>
      <c r="DF235" s="8" t="n"/>
      <c r="DG235" s="8" t="n"/>
      <c r="DH235" s="8" t="n"/>
      <c r="DI235" s="8" t="n"/>
      <c r="DJ235" s="8" t="n"/>
      <c r="DK235" s="8" t="n"/>
      <c r="DL235" s="8" t="n"/>
      <c r="DM235" s="8" t="n"/>
      <c r="DN235" s="8" t="n"/>
      <c r="DO235" s="8" t="n"/>
      <c r="DP235" s="8" t="n"/>
      <c r="DQ235" s="8" t="n"/>
      <c r="DR235" s="8" t="n"/>
      <c r="DS235" s="8" t="n"/>
      <c r="DT235" s="8" t="n"/>
      <c r="DU235" s="8" t="n"/>
      <c r="DV235" s="8" t="n"/>
      <c r="DW235" s="8" t="n"/>
      <c r="DX235" s="8" t="n"/>
      <c r="DY235" s="8" t="n"/>
      <c r="DZ235" s="8" t="n"/>
      <c r="EA235" s="8" t="n"/>
      <c r="EB235" s="8" t="n"/>
      <c r="EC235" s="8" t="n"/>
      <c r="ED235" s="8" t="n"/>
      <c r="EE235" s="8" t="n"/>
      <c r="EF235" s="8" t="n"/>
      <c r="EG235" s="8" t="n"/>
      <c r="EH235" s="8" t="n"/>
      <c r="EI235" s="8" t="n"/>
      <c r="EJ235" s="8" t="n"/>
      <c r="EK235" s="8" t="n"/>
      <c r="EL235" s="8" t="n"/>
      <c r="EM235" s="8" t="n"/>
      <c r="EN235" s="8" t="n"/>
      <c r="EO235" s="8" t="n"/>
      <c r="EP235" s="8" t="n"/>
      <c r="EQ235" s="8" t="n"/>
      <c r="ER235" s="8" t="n"/>
      <c r="ES235" s="8" t="n"/>
      <c r="ET235" s="8" t="n"/>
      <c r="EU235" s="8" t="n"/>
      <c r="EV235" s="8" t="n"/>
      <c r="EW235" s="8" t="n"/>
      <c r="EX235" s="8" t="n"/>
      <c r="EY235" s="8" t="n"/>
      <c r="EZ235" s="8" t="n"/>
      <c r="FA235" s="8" t="n"/>
      <c r="FB235" s="8" t="n"/>
      <c r="FC235" s="8" t="n"/>
      <c r="FD235" s="8" t="n"/>
      <c r="FE235" s="8" t="n"/>
      <c r="FF235" s="8" t="n"/>
      <c r="FG235" s="8" t="n"/>
      <c r="FH235" s="8" t="n"/>
      <c r="FI235" s="8" t="n"/>
      <c r="FJ235" s="8" t="n"/>
      <c r="FK235" s="8" t="n"/>
      <c r="FL235" s="8" t="n"/>
      <c r="FM235" s="8" t="n"/>
      <c r="FN235" s="8" t="n"/>
      <c r="FO235" s="8" t="n"/>
      <c r="FP235" s="8" t="n"/>
      <c r="FQ235" s="8" t="n"/>
      <c r="FR235" s="8" t="n"/>
      <c r="FS235" s="8" t="n"/>
      <c r="FT235" s="8" t="n"/>
      <c r="FU235" s="8" t="n"/>
      <c r="FV235" s="8" t="n"/>
      <c r="FW235" s="8" t="n"/>
      <c r="FX235" s="8" t="n"/>
      <c r="FY235" s="8" t="n"/>
      <c r="FZ235" s="8" t="n"/>
      <c r="GA235" s="8" t="n"/>
      <c r="GB235" s="8" t="n"/>
      <c r="GC235" s="8" t="n"/>
      <c r="GD235" s="8" t="n"/>
      <c r="GE235" s="8" t="n"/>
      <c r="GF235" s="8" t="n"/>
      <c r="GG235" s="8" t="n"/>
      <c r="GH235" s="8" t="n"/>
      <c r="GI235" s="8" t="n"/>
      <c r="GJ235" s="8" t="n"/>
      <c r="GK235" s="8" t="n"/>
      <c r="GL235" s="8" t="n"/>
      <c r="GM235" s="8" t="n"/>
      <c r="GN235" s="8" t="n"/>
      <c r="GO235" s="8" t="n"/>
      <c r="GP235" s="8" t="n"/>
      <c r="GQ235" s="8" t="n"/>
      <c r="GR235" s="8" t="n"/>
      <c r="GS235" s="8" t="n"/>
      <c r="GT235" s="8" t="n"/>
      <c r="GU235" s="8" t="n"/>
      <c r="GV235" s="8" t="n"/>
      <c r="GW235" s="8" t="n"/>
      <c r="GX235" s="8" t="n"/>
      <c r="GY235" s="8" t="n"/>
      <c r="GZ235" s="8" t="n"/>
      <c r="HA235" s="8" t="n"/>
      <c r="HB235" s="8" t="n"/>
      <c r="HC235" s="8" t="n"/>
      <c r="HD235" s="8" t="n"/>
      <c r="HE235" s="8" t="n"/>
      <c r="HF235" s="8" t="n"/>
      <c r="HG235" s="8" t="n"/>
      <c r="HH235" s="8" t="n"/>
      <c r="HI235" s="8" t="n"/>
      <c r="HJ235" s="8" t="n"/>
      <c r="HK235" s="8" t="n"/>
      <c r="HL235" s="8" t="n"/>
      <c r="HM235" s="8" t="n"/>
      <c r="HN235" s="8" t="n"/>
      <c r="HO235" s="8" t="n"/>
      <c r="HP235" s="8" t="n"/>
      <c r="HQ235" s="8" t="n"/>
      <c r="HR235" s="8" t="n"/>
      <c r="HS235" s="8" t="n"/>
      <c r="HT235" s="8" t="n"/>
      <c r="HU235" s="8" t="n"/>
      <c r="HV235" s="8" t="n"/>
      <c r="HW235" s="8" t="n"/>
      <c r="HX235" s="8" t="n"/>
      <c r="HY235" s="8" t="n"/>
      <c r="HZ235" s="8" t="n"/>
      <c r="IA235" s="8" t="n"/>
      <c r="IB235" s="8" t="n"/>
      <c r="IC235" s="8" t="n"/>
      <c r="ID235" s="8" t="n"/>
      <c r="IE235" s="8" t="n"/>
      <c r="IF235" s="8" t="n"/>
      <c r="IG235" s="8" t="n"/>
      <c r="IH235" s="8" t="n"/>
      <c r="IJ235" s="9" t="inlineStr">
        <is>
          <t>ez_manage.py:3873 top()</t>
        </is>
      </c>
      <c r="IK235" s="9" t="inlineStr">
        <is>
          <t>v12_quick_engine.py:2906 x3</t>
        </is>
      </c>
    </row>
    <row r="236" ht="11" customHeight="1">
      <c r="A236" s="10" t="inlineStr">
        <is>
          <t>REENTRY_SIZE_EXTENDED_MULT</t>
        </is>
      </c>
      <c r="B236" s="11" t="inlineStr">
        <is>
          <t>1.0</t>
        </is>
      </c>
      <c r="E236">
        <f>IF(F236="",E235,IF(F236&gt;0,E235+F236,E235))</f>
        <v/>
      </c>
      <c r="F236">
        <f>IFERROR(VLOOKUP($A236,Results_30d_Deltas!$A$2:$H$5000,8,FALSE)-E235,"")</f>
        <v/>
      </c>
      <c r="G236">
        <f>IFERROR(VLOOKUP($A236,Results_30d_Deltas!$A$2:$H$5000,7,FALSE)-E235,"")</f>
        <v/>
      </c>
      <c r="H236">
        <f>IFERROR(VLOOKUP($A236,Results_30d_Deltas!$A$2:$H$5000,6,FALSE),"")</f>
        <v/>
      </c>
      <c r="K236">
        <f>IF(B236=C236,"YES","NO")</f>
        <v/>
      </c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8" t="n"/>
      <c r="AB236" s="8" t="n"/>
      <c r="AC236" s="8" t="n"/>
      <c r="AD236" s="8" t="n"/>
      <c r="AE236" s="8" t="n"/>
      <c r="AF236" s="8" t="n"/>
      <c r="AG236" s="8" t="n"/>
      <c r="AH236" s="8" t="n"/>
      <c r="AI236" s="8" t="n"/>
      <c r="AJ236" s="8" t="n"/>
      <c r="AK236" s="8" t="n"/>
      <c r="AL236" s="8" t="n"/>
      <c r="AM236" s="8" t="n"/>
      <c r="AN236" s="8" t="n"/>
      <c r="AO236" s="8" t="n"/>
      <c r="AP236" s="8" t="n"/>
      <c r="AQ236" s="8" t="n"/>
      <c r="AR236" s="8" t="n"/>
      <c r="AS236" s="8" t="n"/>
      <c r="AT236" s="8" t="n"/>
      <c r="AU236" s="8" t="n"/>
      <c r="AV236" s="8" t="n"/>
      <c r="AW236" s="8" t="n"/>
      <c r="AX236" s="8" t="n"/>
      <c r="AY236" s="8" t="n"/>
      <c r="AZ236" s="8" t="n"/>
      <c r="BA236" s="8" t="n"/>
      <c r="BB236" s="8" t="n"/>
      <c r="BC236" s="8" t="n"/>
      <c r="BD236" s="8" t="n"/>
      <c r="BE236" s="8" t="n"/>
      <c r="BF236" s="8" t="n"/>
      <c r="BG236" s="8" t="n"/>
      <c r="BH236" s="8" t="n"/>
      <c r="BI236" s="8" t="n"/>
      <c r="BJ236" s="8" t="n"/>
      <c r="BK236" s="8" t="n"/>
      <c r="BL236" s="8" t="n"/>
      <c r="BM236" s="8" t="n"/>
      <c r="BN236" s="8" t="n"/>
      <c r="BO236" s="8" t="n"/>
      <c r="BP236" s="8" t="n"/>
      <c r="BQ236" s="8" t="n"/>
      <c r="BR236" s="8" t="n"/>
      <c r="BS236" s="8" t="n"/>
      <c r="BT236" s="8" t="n"/>
      <c r="BU236" s="8" t="n"/>
      <c r="BV236" s="8" t="n"/>
      <c r="BW236" s="8" t="n"/>
      <c r="BX236" s="8" t="n"/>
      <c r="BY236" s="8" t="n"/>
      <c r="BZ236" s="8" t="n"/>
      <c r="CA236" s="8" t="n"/>
      <c r="CB236" s="8" t="n"/>
      <c r="CC236" s="8" t="n"/>
      <c r="CD236" s="8" t="n"/>
      <c r="CE236" s="8" t="n"/>
      <c r="CF236" s="8" t="n"/>
      <c r="CG236" s="8" t="n"/>
      <c r="CH236" s="8" t="n"/>
      <c r="CI236" s="8" t="n"/>
      <c r="CJ236" s="8" t="n"/>
      <c r="CK236" s="8" t="n"/>
      <c r="CL236" s="8" t="n"/>
      <c r="CM236" s="8" t="n"/>
      <c r="CN236" s="8" t="n"/>
      <c r="CO236" s="8" t="n"/>
      <c r="CP236" s="8" t="n"/>
      <c r="CQ236" s="8" t="n"/>
      <c r="CR236" s="8" t="n"/>
      <c r="CS236" s="8" t="n"/>
      <c r="CT236" s="8" t="n"/>
      <c r="CU236" s="8" t="n"/>
      <c r="CV236" s="8" t="n"/>
      <c r="CW236" s="8" t="n"/>
      <c r="CX236" s="8" t="n"/>
      <c r="CY236" s="8" t="n"/>
      <c r="CZ236" s="8" t="n"/>
      <c r="DA236" s="8" t="n"/>
      <c r="DB236" s="8" t="n"/>
      <c r="DC236" s="8" t="n"/>
      <c r="DD236" s="8" t="n"/>
      <c r="DE236" s="8" t="n"/>
      <c r="DF236" s="8" t="n"/>
      <c r="DG236" s="8" t="n"/>
      <c r="DH236" s="8" t="n"/>
      <c r="DI236" s="8" t="n"/>
      <c r="DJ236" s="8" t="n"/>
      <c r="DK236" s="8" t="n"/>
      <c r="DL236" s="8" t="n"/>
      <c r="DM236" s="8" t="n"/>
      <c r="DN236" s="8" t="n"/>
      <c r="DO236" s="8" t="n"/>
      <c r="DP236" s="8" t="n"/>
      <c r="DQ236" s="8" t="n"/>
      <c r="DR236" s="8" t="n"/>
      <c r="DS236" s="8" t="n"/>
      <c r="DT236" s="8" t="n"/>
      <c r="DU236" s="8" t="n"/>
      <c r="DV236" s="8" t="n"/>
      <c r="DW236" s="8" t="n"/>
      <c r="DX236" s="8" t="n"/>
      <c r="DY236" s="8" t="n"/>
      <c r="DZ236" s="8" t="n"/>
      <c r="EA236" s="8" t="n"/>
      <c r="EB236" s="8" t="n"/>
      <c r="EC236" s="8" t="n"/>
      <c r="ED236" s="8" t="n"/>
      <c r="EE236" s="8" t="n"/>
      <c r="EF236" s="8" t="n"/>
      <c r="EG236" s="8" t="n"/>
      <c r="EH236" s="8" t="n"/>
      <c r="EI236" s="8" t="n"/>
      <c r="EJ236" s="8" t="n"/>
      <c r="EK236" s="8" t="n"/>
      <c r="EL236" s="8" t="n"/>
      <c r="EM236" s="8" t="n"/>
      <c r="EN236" s="8" t="n"/>
      <c r="EO236" s="8" t="n"/>
      <c r="EP236" s="8" t="n"/>
      <c r="EQ236" s="8" t="n"/>
      <c r="ER236" s="8" t="n"/>
      <c r="ES236" s="8" t="n"/>
      <c r="ET236" s="8" t="n"/>
      <c r="EU236" s="8" t="n"/>
      <c r="EV236" s="8" t="n"/>
      <c r="EW236" s="8" t="n"/>
      <c r="EX236" s="8" t="n"/>
      <c r="EY236" s="8" t="n"/>
      <c r="EZ236" s="8" t="n"/>
      <c r="FA236" s="8" t="n"/>
      <c r="FB236" s="8" t="n"/>
      <c r="FC236" s="8" t="n"/>
      <c r="FD236" s="8" t="n"/>
      <c r="FE236" s="8" t="n"/>
      <c r="FF236" s="8" t="n"/>
      <c r="FG236" s="8" t="n"/>
      <c r="FH236" s="8" t="n"/>
      <c r="FI236" s="8" t="n"/>
      <c r="FJ236" s="8" t="n"/>
      <c r="FK236" s="8" t="n"/>
      <c r="FL236" s="8" t="n"/>
      <c r="FM236" s="8" t="n"/>
      <c r="FN236" s="8" t="n"/>
      <c r="FO236" s="8" t="n"/>
      <c r="FP236" s="8" t="n"/>
      <c r="FQ236" s="8" t="n"/>
      <c r="FR236" s="8" t="n"/>
      <c r="FS236" s="8" t="n"/>
      <c r="FT236" s="8" t="n"/>
      <c r="FU236" s="8" t="n"/>
      <c r="FV236" s="8" t="n"/>
      <c r="FW236" s="8" t="n"/>
      <c r="FX236" s="8" t="n"/>
      <c r="FY236" s="8" t="n"/>
      <c r="FZ236" s="8" t="n"/>
      <c r="GA236" s="8" t="n"/>
      <c r="GB236" s="8" t="n"/>
      <c r="GC236" s="8" t="n"/>
      <c r="GD236" s="8" t="n"/>
      <c r="GE236" s="8" t="n"/>
      <c r="GF236" s="8" t="n"/>
      <c r="GG236" s="8" t="n"/>
      <c r="GH236" s="8" t="n"/>
      <c r="GI236" s="8" t="n"/>
      <c r="GJ236" s="8" t="n"/>
      <c r="GK236" s="8" t="n"/>
      <c r="GL236" s="8" t="n"/>
      <c r="GM236" s="8" t="n"/>
      <c r="GN236" s="8" t="n"/>
      <c r="GO236" s="8" t="n"/>
      <c r="GP236" s="8" t="n"/>
      <c r="GQ236" s="8" t="n"/>
      <c r="GR236" s="8" t="n"/>
      <c r="GS236" s="8" t="n"/>
      <c r="GT236" s="8" t="n"/>
      <c r="GU236" s="8" t="n"/>
      <c r="GV236" s="8" t="n"/>
      <c r="GW236" s="8" t="n"/>
      <c r="GX236" s="8" t="n"/>
      <c r="GY236" s="8" t="n"/>
      <c r="GZ236" s="8" t="n"/>
      <c r="HA236" s="8" t="n"/>
      <c r="HB236" s="8" t="n"/>
      <c r="HC236" s="8" t="n"/>
      <c r="HD236" s="8" t="n"/>
      <c r="HE236" s="8" t="n"/>
      <c r="HF236" s="8" t="n"/>
      <c r="HG236" s="8" t="n"/>
      <c r="HH236" s="8" t="n"/>
      <c r="HI236" s="8" t="n"/>
      <c r="HJ236" s="8" t="n"/>
      <c r="HK236" s="8" t="n"/>
      <c r="HL236" s="8" t="n"/>
      <c r="HM236" s="8" t="n"/>
      <c r="HN236" s="8" t="n"/>
      <c r="HO236" s="8" t="n"/>
      <c r="HP236" s="8" t="n"/>
      <c r="HQ236" s="8" t="n"/>
      <c r="HR236" s="8" t="n"/>
      <c r="HS236" s="8" t="n"/>
      <c r="HT236" s="8" t="n"/>
      <c r="HU236" s="8" t="n"/>
      <c r="HV236" s="8" t="n"/>
      <c r="HW236" s="8" t="n"/>
      <c r="HX236" s="8" t="n"/>
      <c r="HY236" s="8" t="n"/>
      <c r="HZ236" s="8" t="n"/>
      <c r="IA236" s="8" t="n"/>
      <c r="IB236" s="8" t="n"/>
      <c r="IC236" s="8" t="n"/>
      <c r="ID236" s="8" t="n"/>
      <c r="IE236" s="8" t="n"/>
      <c r="IF236" s="8" t="n"/>
      <c r="IG236" s="8" t="n"/>
      <c r="IH236" s="8" t="n"/>
      <c r="IJ236" s="9" t="inlineStr">
        <is>
          <t>ez_manage.py:3873 top()</t>
        </is>
      </c>
      <c r="IK236" s="9" t="inlineStr">
        <is>
          <t>v12_quick_engine.py:2906 x3</t>
        </is>
      </c>
    </row>
    <row r="237" ht="11" customHeight="1">
      <c r="A237" s="10" t="inlineStr">
        <is>
          <t>REENTRY_SIZE_EXTENDED_MULT</t>
        </is>
      </c>
      <c r="B237" s="11" t="inlineStr">
        <is>
          <t>2.0</t>
        </is>
      </c>
      <c r="E237">
        <f>IF(F237="",E236,IF(F237&gt;0,E236+F237,E236))</f>
        <v/>
      </c>
      <c r="F237">
        <f>IFERROR(VLOOKUP($A237,Results_30d_Deltas!$A$2:$H$5000,8,FALSE)-E236,"")</f>
        <v/>
      </c>
      <c r="G237">
        <f>IFERROR(VLOOKUP($A237,Results_30d_Deltas!$A$2:$H$5000,7,FALSE)-E236,"")</f>
        <v/>
      </c>
      <c r="H237">
        <f>IFERROR(VLOOKUP($A237,Results_30d_Deltas!$A$2:$H$5000,6,FALSE),"")</f>
        <v/>
      </c>
      <c r="K237">
        <f>IF(B237=C237,"YES","NO")</f>
        <v/>
      </c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  <c r="AA237" s="8" t="n"/>
      <c r="AB237" s="8" t="n"/>
      <c r="AC237" s="8" t="n"/>
      <c r="AD237" s="8" t="n"/>
      <c r="AE237" s="8" t="n"/>
      <c r="AF237" s="8" t="n"/>
      <c r="AG237" s="8" t="n"/>
      <c r="AH237" s="8" t="n"/>
      <c r="AI237" s="8" t="n"/>
      <c r="AJ237" s="8" t="n"/>
      <c r="AK237" s="8" t="n"/>
      <c r="AL237" s="8" t="n"/>
      <c r="AM237" s="8" t="n"/>
      <c r="AN237" s="8" t="n"/>
      <c r="AO237" s="8" t="n"/>
      <c r="AP237" s="8" t="n"/>
      <c r="AQ237" s="8" t="n"/>
      <c r="AR237" s="8" t="n"/>
      <c r="AS237" s="8" t="n"/>
      <c r="AT237" s="8" t="n"/>
      <c r="AU237" s="8" t="n"/>
      <c r="AV237" s="8" t="n"/>
      <c r="AW237" s="8" t="n"/>
      <c r="AX237" s="8" t="n"/>
      <c r="AY237" s="8" t="n"/>
      <c r="AZ237" s="8" t="n"/>
      <c r="BA237" s="8" t="n"/>
      <c r="BB237" s="8" t="n"/>
      <c r="BC237" s="8" t="n"/>
      <c r="BD237" s="8" t="n"/>
      <c r="BE237" s="8" t="n"/>
      <c r="BF237" s="8" t="n"/>
      <c r="BG237" s="8" t="n"/>
      <c r="BH237" s="8" t="n"/>
      <c r="BI237" s="8" t="n"/>
      <c r="BJ237" s="8" t="n"/>
      <c r="BK237" s="8" t="n"/>
      <c r="BL237" s="8" t="n"/>
      <c r="BM237" s="8" t="n"/>
      <c r="BN237" s="8" t="n"/>
      <c r="BO237" s="8" t="n"/>
      <c r="BP237" s="8" t="n"/>
      <c r="BQ237" s="8" t="n"/>
      <c r="BR237" s="8" t="n"/>
      <c r="BS237" s="8" t="n"/>
      <c r="BT237" s="8" t="n"/>
      <c r="BU237" s="8" t="n"/>
      <c r="BV237" s="8" t="n"/>
      <c r="BW237" s="8" t="n"/>
      <c r="BX237" s="8" t="n"/>
      <c r="BY237" s="8" t="n"/>
      <c r="BZ237" s="8" t="n"/>
      <c r="CA237" s="8" t="n"/>
      <c r="CB237" s="8" t="n"/>
      <c r="CC237" s="8" t="n"/>
      <c r="CD237" s="8" t="n"/>
      <c r="CE237" s="8" t="n"/>
      <c r="CF237" s="8" t="n"/>
      <c r="CG237" s="8" t="n"/>
      <c r="CH237" s="8" t="n"/>
      <c r="CI237" s="8" t="n"/>
      <c r="CJ237" s="8" t="n"/>
      <c r="CK237" s="8" t="n"/>
      <c r="CL237" s="8" t="n"/>
      <c r="CM237" s="8" t="n"/>
      <c r="CN237" s="8" t="n"/>
      <c r="CO237" s="8" t="n"/>
      <c r="CP237" s="8" t="n"/>
      <c r="CQ237" s="8" t="n"/>
      <c r="CR237" s="8" t="n"/>
      <c r="CS237" s="8" t="n"/>
      <c r="CT237" s="8" t="n"/>
      <c r="CU237" s="8" t="n"/>
      <c r="CV237" s="8" t="n"/>
      <c r="CW237" s="8" t="n"/>
      <c r="CX237" s="8" t="n"/>
      <c r="CY237" s="8" t="n"/>
      <c r="CZ237" s="8" t="n"/>
      <c r="DA237" s="8" t="n"/>
      <c r="DB237" s="8" t="n"/>
      <c r="DC237" s="8" t="n"/>
      <c r="DD237" s="8" t="n"/>
      <c r="DE237" s="8" t="n"/>
      <c r="DF237" s="8" t="n"/>
      <c r="DG237" s="8" t="n"/>
      <c r="DH237" s="8" t="n"/>
      <c r="DI237" s="8" t="n"/>
      <c r="DJ237" s="8" t="n"/>
      <c r="DK237" s="8" t="n"/>
      <c r="DL237" s="8" t="n"/>
      <c r="DM237" s="8" t="n"/>
      <c r="DN237" s="8" t="n"/>
      <c r="DO237" s="8" t="n"/>
      <c r="DP237" s="8" t="n"/>
      <c r="DQ237" s="8" t="n"/>
      <c r="DR237" s="8" t="n"/>
      <c r="DS237" s="8" t="n"/>
      <c r="DT237" s="8" t="n"/>
      <c r="DU237" s="8" t="n"/>
      <c r="DV237" s="8" t="n"/>
      <c r="DW237" s="8" t="n"/>
      <c r="DX237" s="8" t="n"/>
      <c r="DY237" s="8" t="n"/>
      <c r="DZ237" s="8" t="n"/>
      <c r="EA237" s="8" t="n"/>
      <c r="EB237" s="8" t="n"/>
      <c r="EC237" s="8" t="n"/>
      <c r="ED237" s="8" t="n"/>
      <c r="EE237" s="8" t="n"/>
      <c r="EF237" s="8" t="n"/>
      <c r="EG237" s="8" t="n"/>
      <c r="EH237" s="8" t="n"/>
      <c r="EI237" s="8" t="n"/>
      <c r="EJ237" s="8" t="n"/>
      <c r="EK237" s="8" t="n"/>
      <c r="EL237" s="8" t="n"/>
      <c r="EM237" s="8" t="n"/>
      <c r="EN237" s="8" t="n"/>
      <c r="EO237" s="8" t="n"/>
      <c r="EP237" s="8" t="n"/>
      <c r="EQ237" s="8" t="n"/>
      <c r="ER237" s="8" t="n"/>
      <c r="ES237" s="8" t="n"/>
      <c r="ET237" s="8" t="n"/>
      <c r="EU237" s="8" t="n"/>
      <c r="EV237" s="8" t="n"/>
      <c r="EW237" s="8" t="n"/>
      <c r="EX237" s="8" t="n"/>
      <c r="EY237" s="8" t="n"/>
      <c r="EZ237" s="8" t="n"/>
      <c r="FA237" s="8" t="n"/>
      <c r="FB237" s="8" t="n"/>
      <c r="FC237" s="8" t="n"/>
      <c r="FD237" s="8" t="n"/>
      <c r="FE237" s="8" t="n"/>
      <c r="FF237" s="8" t="n"/>
      <c r="FG237" s="8" t="n"/>
      <c r="FH237" s="8" t="n"/>
      <c r="FI237" s="8" t="n"/>
      <c r="FJ237" s="8" t="n"/>
      <c r="FK237" s="8" t="n"/>
      <c r="FL237" s="8" t="n"/>
      <c r="FM237" s="8" t="n"/>
      <c r="FN237" s="8" t="n"/>
      <c r="FO237" s="8" t="n"/>
      <c r="FP237" s="8" t="n"/>
      <c r="FQ237" s="8" t="n"/>
      <c r="FR237" s="8" t="n"/>
      <c r="FS237" s="8" t="n"/>
      <c r="FT237" s="8" t="n"/>
      <c r="FU237" s="8" t="n"/>
      <c r="FV237" s="8" t="n"/>
      <c r="FW237" s="8" t="n"/>
      <c r="FX237" s="8" t="n"/>
      <c r="FY237" s="8" t="n"/>
      <c r="FZ237" s="8" t="n"/>
      <c r="GA237" s="8" t="n"/>
      <c r="GB237" s="8" t="n"/>
      <c r="GC237" s="8" t="n"/>
      <c r="GD237" s="8" t="n"/>
      <c r="GE237" s="8" t="n"/>
      <c r="GF237" s="8" t="n"/>
      <c r="GG237" s="8" t="n"/>
      <c r="GH237" s="8" t="n"/>
      <c r="GI237" s="8" t="n"/>
      <c r="GJ237" s="8" t="n"/>
      <c r="GK237" s="8" t="n"/>
      <c r="GL237" s="8" t="n"/>
      <c r="GM237" s="8" t="n"/>
      <c r="GN237" s="8" t="n"/>
      <c r="GO237" s="8" t="n"/>
      <c r="GP237" s="8" t="n"/>
      <c r="GQ237" s="8" t="n"/>
      <c r="GR237" s="8" t="n"/>
      <c r="GS237" s="8" t="n"/>
      <c r="GT237" s="8" t="n"/>
      <c r="GU237" s="8" t="n"/>
      <c r="GV237" s="8" t="n"/>
      <c r="GW237" s="8" t="n"/>
      <c r="GX237" s="8" t="n"/>
      <c r="GY237" s="8" t="n"/>
      <c r="GZ237" s="8" t="n"/>
      <c r="HA237" s="8" t="n"/>
      <c r="HB237" s="8" t="n"/>
      <c r="HC237" s="8" t="n"/>
      <c r="HD237" s="8" t="n"/>
      <c r="HE237" s="8" t="n"/>
      <c r="HF237" s="8" t="n"/>
      <c r="HG237" s="8" t="n"/>
      <c r="HH237" s="8" t="n"/>
      <c r="HI237" s="8" t="n"/>
      <c r="HJ237" s="8" t="n"/>
      <c r="HK237" s="8" t="n"/>
      <c r="HL237" s="8" t="n"/>
      <c r="HM237" s="8" t="n"/>
      <c r="HN237" s="8" t="n"/>
      <c r="HO237" s="8" t="n"/>
      <c r="HP237" s="8" t="n"/>
      <c r="HQ237" s="8" t="n"/>
      <c r="HR237" s="8" t="n"/>
      <c r="HS237" s="8" t="n"/>
      <c r="HT237" s="8" t="n"/>
      <c r="HU237" s="8" t="n"/>
      <c r="HV237" s="8" t="n"/>
      <c r="HW237" s="8" t="n"/>
      <c r="HX237" s="8" t="n"/>
      <c r="HY237" s="8" t="n"/>
      <c r="HZ237" s="8" t="n"/>
      <c r="IA237" s="8" t="n"/>
      <c r="IB237" s="8" t="n"/>
      <c r="IC237" s="8" t="n"/>
      <c r="ID237" s="8" t="n"/>
      <c r="IE237" s="8" t="n"/>
      <c r="IF237" s="8" t="n"/>
      <c r="IG237" s="8" t="n"/>
      <c r="IH237" s="8" t="n"/>
      <c r="IJ237" s="9" t="inlineStr">
        <is>
          <t>ez_manage.py:3873 top()</t>
        </is>
      </c>
      <c r="IK237" s="9" t="inlineStr">
        <is>
          <t>v12_quick_engine.py:2906 x3</t>
        </is>
      </c>
    </row>
    <row r="238" ht="11" customHeight="1">
      <c r="A238" s="10" t="inlineStr">
        <is>
          <t>REENTRY_TIER1_SIZE_MULT</t>
        </is>
      </c>
      <c r="B238" s="11" t="inlineStr">
        <is>
          <t>0</t>
        </is>
      </c>
      <c r="E238">
        <f>IF(F238="",E237,IF(F238&gt;0,E237+F238,E237))</f>
        <v/>
      </c>
      <c r="F238">
        <f>IFERROR(VLOOKUP($A238,Results_30d_Deltas!$A$2:$H$5000,8,FALSE)-E237,"")</f>
        <v/>
      </c>
      <c r="G238">
        <f>IFERROR(VLOOKUP($A238,Results_30d_Deltas!$A$2:$H$5000,7,FALSE)-E237,"")</f>
        <v/>
      </c>
      <c r="H238">
        <f>IFERROR(VLOOKUP($A238,Results_30d_Deltas!$A$2:$H$5000,6,FALSE),"")</f>
        <v/>
      </c>
      <c r="K238">
        <f>IF(B238=C238,"YES","NO")</f>
        <v/>
      </c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8" t="n"/>
      <c r="AB238" s="8" t="n"/>
      <c r="AC238" s="8" t="n"/>
      <c r="AD238" s="8" t="n"/>
      <c r="AE238" s="8" t="n"/>
      <c r="AF238" s="8" t="n"/>
      <c r="AG238" s="8" t="n"/>
      <c r="AH238" s="8" t="n"/>
      <c r="AI238" s="8" t="n"/>
      <c r="AJ238" s="8" t="n"/>
      <c r="AK238" s="8" t="n"/>
      <c r="AL238" s="8" t="n"/>
      <c r="AM238" s="8" t="n"/>
      <c r="AN238" s="8" t="n"/>
      <c r="AO238" s="8" t="n"/>
      <c r="AP238" s="8" t="n"/>
      <c r="AQ238" s="8" t="n"/>
      <c r="AR238" s="8" t="n"/>
      <c r="AS238" s="8" t="n"/>
      <c r="AT238" s="8" t="n"/>
      <c r="AU238" s="8" t="n"/>
      <c r="AV238" s="8" t="n"/>
      <c r="AW238" s="8" t="n"/>
      <c r="AX238" s="8" t="n"/>
      <c r="AY238" s="8" t="n"/>
      <c r="AZ238" s="8" t="n"/>
      <c r="BA238" s="8" t="n"/>
      <c r="BB238" s="8" t="n"/>
      <c r="BC238" s="8" t="n"/>
      <c r="BD238" s="8" t="n"/>
      <c r="BE238" s="8" t="n"/>
      <c r="BF238" s="8" t="n"/>
      <c r="BG238" s="8" t="n"/>
      <c r="BH238" s="8" t="n"/>
      <c r="BI238" s="8" t="n"/>
      <c r="BJ238" s="8" t="n"/>
      <c r="BK238" s="8" t="n"/>
      <c r="BL238" s="8" t="n"/>
      <c r="BM238" s="8" t="n"/>
      <c r="BN238" s="8" t="n"/>
      <c r="BO238" s="8" t="n"/>
      <c r="BP238" s="8" t="n"/>
      <c r="BQ238" s="8" t="n"/>
      <c r="BR238" s="8" t="n"/>
      <c r="BS238" s="8" t="n"/>
      <c r="BT238" s="8" t="n"/>
      <c r="BU238" s="8" t="n"/>
      <c r="BV238" s="8" t="n"/>
      <c r="BW238" s="8" t="n"/>
      <c r="BX238" s="8" t="n"/>
      <c r="BY238" s="8" t="n"/>
      <c r="BZ238" s="8" t="n"/>
      <c r="CA238" s="8" t="n"/>
      <c r="CB238" s="8" t="n"/>
      <c r="CC238" s="8" t="n"/>
      <c r="CD238" s="8" t="n"/>
      <c r="CE238" s="8" t="n"/>
      <c r="CF238" s="8" t="n"/>
      <c r="CG238" s="8" t="n"/>
      <c r="CH238" s="8" t="n"/>
      <c r="CI238" s="8" t="n"/>
      <c r="CJ238" s="8" t="n"/>
      <c r="CK238" s="8" t="n"/>
      <c r="CL238" s="8" t="n"/>
      <c r="CM238" s="8" t="n"/>
      <c r="CN238" s="8" t="n"/>
      <c r="CO238" s="8" t="n"/>
      <c r="CP238" s="8" t="n"/>
      <c r="CQ238" s="8" t="n"/>
      <c r="CR238" s="8" t="n"/>
      <c r="CS238" s="8" t="n"/>
      <c r="CT238" s="8" t="n"/>
      <c r="CU238" s="8" t="n"/>
      <c r="CV238" s="8" t="n"/>
      <c r="CW238" s="8" t="n"/>
      <c r="CX238" s="8" t="n"/>
      <c r="CY238" s="8" t="n"/>
      <c r="CZ238" s="8" t="n"/>
      <c r="DA238" s="8" t="n"/>
      <c r="DB238" s="8" t="n"/>
      <c r="DC238" s="8" t="n"/>
      <c r="DD238" s="8" t="n"/>
      <c r="DE238" s="8" t="n"/>
      <c r="DF238" s="8" t="n"/>
      <c r="DG238" s="8" t="n"/>
      <c r="DH238" s="8" t="n"/>
      <c r="DI238" s="8" t="n"/>
      <c r="DJ238" s="8" t="n"/>
      <c r="DK238" s="8" t="n"/>
      <c r="DL238" s="8" t="n"/>
      <c r="DM238" s="8" t="n"/>
      <c r="DN238" s="8" t="n"/>
      <c r="DO238" s="8" t="n"/>
      <c r="DP238" s="8" t="n"/>
      <c r="DQ238" s="8" t="n"/>
      <c r="DR238" s="8" t="n"/>
      <c r="DS238" s="8" t="n"/>
      <c r="DT238" s="8" t="n"/>
      <c r="DU238" s="8" t="n"/>
      <c r="DV238" s="8" t="n"/>
      <c r="DW238" s="8" t="n"/>
      <c r="DX238" s="8" t="n"/>
      <c r="DY238" s="8" t="n"/>
      <c r="DZ238" s="8" t="n"/>
      <c r="EA238" s="8" t="n"/>
      <c r="EB238" s="8" t="n"/>
      <c r="EC238" s="8" t="n"/>
      <c r="ED238" s="8" t="n"/>
      <c r="EE238" s="8" t="n"/>
      <c r="EF238" s="8" t="n"/>
      <c r="EG238" s="8" t="n"/>
      <c r="EH238" s="8" t="n"/>
      <c r="EI238" s="8" t="n"/>
      <c r="EJ238" s="8" t="n"/>
      <c r="EK238" s="8" t="n"/>
      <c r="EL238" s="8" t="n"/>
      <c r="EM238" s="8" t="n"/>
      <c r="EN238" s="8" t="n"/>
      <c r="EO238" s="8" t="n"/>
      <c r="EP238" s="8" t="n"/>
      <c r="EQ238" s="8" t="n"/>
      <c r="ER238" s="8" t="n"/>
      <c r="ES238" s="8" t="n"/>
      <c r="ET238" s="8" t="n"/>
      <c r="EU238" s="8" t="n"/>
      <c r="EV238" s="8" t="n"/>
      <c r="EW238" s="8" t="n"/>
      <c r="EX238" s="8" t="n"/>
      <c r="EY238" s="8" t="n"/>
      <c r="EZ238" s="8" t="n"/>
      <c r="FA238" s="8" t="n"/>
      <c r="FB238" s="8" t="n"/>
      <c r="FC238" s="8" t="n"/>
      <c r="FD238" s="8" t="n"/>
      <c r="FE238" s="8" t="n"/>
      <c r="FF238" s="8" t="n"/>
      <c r="FG238" s="8" t="n"/>
      <c r="FH238" s="8" t="n"/>
      <c r="FI238" s="8" t="n"/>
      <c r="FJ238" s="8" t="n"/>
      <c r="FK238" s="8" t="n"/>
      <c r="FL238" s="8" t="n"/>
      <c r="FM238" s="8" t="n"/>
      <c r="FN238" s="8" t="n"/>
      <c r="FO238" s="8" t="n"/>
      <c r="FP238" s="8" t="n"/>
      <c r="FQ238" s="8" t="n"/>
      <c r="FR238" s="8" t="n"/>
      <c r="FS238" s="8" t="n"/>
      <c r="FT238" s="8" t="n"/>
      <c r="FU238" s="8" t="n"/>
      <c r="FV238" s="8" t="n"/>
      <c r="FW238" s="8" t="n"/>
      <c r="FX238" s="8" t="n"/>
      <c r="FY238" s="8" t="n"/>
      <c r="FZ238" s="8" t="n"/>
      <c r="GA238" s="8" t="n"/>
      <c r="GB238" s="8" t="n"/>
      <c r="GC238" s="8" t="n"/>
      <c r="GD238" s="8" t="n"/>
      <c r="GE238" s="8" t="n"/>
      <c r="GF238" s="8" t="n"/>
      <c r="GG238" s="8" t="n"/>
      <c r="GH238" s="8" t="n"/>
      <c r="GI238" s="8" t="n"/>
      <c r="GJ238" s="8" t="n"/>
      <c r="GK238" s="8" t="n"/>
      <c r="GL238" s="8" t="n"/>
      <c r="GM238" s="8" t="n"/>
      <c r="GN238" s="8" t="n"/>
      <c r="GO238" s="8" t="n"/>
      <c r="GP238" s="8" t="n"/>
      <c r="GQ238" s="8" t="n"/>
      <c r="GR238" s="8" t="n"/>
      <c r="GS238" s="8" t="n"/>
      <c r="GT238" s="8" t="n"/>
      <c r="GU238" s="8" t="n"/>
      <c r="GV238" s="8" t="n"/>
      <c r="GW238" s="8" t="n"/>
      <c r="GX238" s="8" t="n"/>
      <c r="GY238" s="8" t="n"/>
      <c r="GZ238" s="8" t="n"/>
      <c r="HA238" s="8" t="n"/>
      <c r="HB238" s="8" t="n"/>
      <c r="HC238" s="8" t="n"/>
      <c r="HD238" s="8" t="n"/>
      <c r="HE238" s="8" t="n"/>
      <c r="HF238" s="8" t="n"/>
      <c r="HG238" s="8" t="n"/>
      <c r="HH238" s="8" t="n"/>
      <c r="HI238" s="8" t="n"/>
      <c r="HJ238" s="8" t="n"/>
      <c r="HK238" s="8" t="n"/>
      <c r="HL238" s="8" t="n"/>
      <c r="HM238" s="8" t="n"/>
      <c r="HN238" s="8" t="n"/>
      <c r="HO238" s="8" t="n"/>
      <c r="HP238" s="8" t="n"/>
      <c r="HQ238" s="8" t="n"/>
      <c r="HR238" s="8" t="n"/>
      <c r="HS238" s="8" t="n"/>
      <c r="HT238" s="8" t="n"/>
      <c r="HU238" s="8" t="n"/>
      <c r="HV238" s="8" t="n"/>
      <c r="HW238" s="8" t="n"/>
      <c r="HX238" s="8" t="n"/>
      <c r="HY238" s="8" t="n"/>
      <c r="HZ238" s="8" t="n"/>
      <c r="IA238" s="8" t="n"/>
      <c r="IB238" s="8" t="n"/>
      <c r="IC238" s="8" t="n"/>
      <c r="ID238" s="8" t="n"/>
      <c r="IE238" s="8" t="n"/>
      <c r="IF238" s="8" t="n"/>
      <c r="IG238" s="8" t="n"/>
      <c r="IH238" s="8" t="n"/>
      <c r="IJ238" s="9" t="inlineStr">
        <is>
          <t>ez_manage.py:3878 top()</t>
        </is>
      </c>
      <c r="IK238" s="9" t="inlineStr">
        <is>
          <t>v12_quick_engine.py:2912 x11</t>
        </is>
      </c>
    </row>
    <row r="239" ht="11" customHeight="1">
      <c r="A239" s="10" t="inlineStr">
        <is>
          <t>REENTRY_TIER1_SIZE_MULT</t>
        </is>
      </c>
      <c r="B239" s="11" t="inlineStr">
        <is>
          <t>0.5</t>
        </is>
      </c>
      <c r="E239">
        <f>IF(F239="",E238,IF(F239&gt;0,E238+F239,E238))</f>
        <v/>
      </c>
      <c r="F239">
        <f>IFERROR(VLOOKUP($A239,Results_30d_Deltas!$A$2:$H$5000,8,FALSE)-E238,"")</f>
        <v/>
      </c>
      <c r="G239">
        <f>IFERROR(VLOOKUP($A239,Results_30d_Deltas!$A$2:$H$5000,7,FALSE)-E238,"")</f>
        <v/>
      </c>
      <c r="H239">
        <f>IFERROR(VLOOKUP($A239,Results_30d_Deltas!$A$2:$H$5000,6,FALSE),"")</f>
        <v/>
      </c>
      <c r="K239">
        <f>IF(B239=C239,"YES","NO")</f>
        <v/>
      </c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  <c r="AA239" s="8" t="n"/>
      <c r="AB239" s="8" t="n"/>
      <c r="AC239" s="8" t="n"/>
      <c r="AD239" s="8" t="n"/>
      <c r="AE239" s="8" t="n"/>
      <c r="AF239" s="8" t="n"/>
      <c r="AG239" s="8" t="n"/>
      <c r="AH239" s="8" t="n"/>
      <c r="AI239" s="8" t="n"/>
      <c r="AJ239" s="8" t="n"/>
      <c r="AK239" s="8" t="n"/>
      <c r="AL239" s="8" t="n"/>
      <c r="AM239" s="8" t="n"/>
      <c r="AN239" s="8" t="n"/>
      <c r="AO239" s="8" t="n"/>
      <c r="AP239" s="8" t="n"/>
      <c r="AQ239" s="8" t="n"/>
      <c r="AR239" s="8" t="n"/>
      <c r="AS239" s="8" t="n"/>
      <c r="AT239" s="8" t="n"/>
      <c r="AU239" s="8" t="n"/>
      <c r="AV239" s="8" t="n"/>
      <c r="AW239" s="8" t="n"/>
      <c r="AX239" s="8" t="n"/>
      <c r="AY239" s="8" t="n"/>
      <c r="AZ239" s="8" t="n"/>
      <c r="BA239" s="8" t="n"/>
      <c r="BB239" s="8" t="n"/>
      <c r="BC239" s="8" t="n"/>
      <c r="BD239" s="8" t="n"/>
      <c r="BE239" s="8" t="n"/>
      <c r="BF239" s="8" t="n"/>
      <c r="BG239" s="8" t="n"/>
      <c r="BH239" s="8" t="n"/>
      <c r="BI239" s="8" t="n"/>
      <c r="BJ239" s="8" t="n"/>
      <c r="BK239" s="8" t="n"/>
      <c r="BL239" s="8" t="n"/>
      <c r="BM239" s="8" t="n"/>
      <c r="BN239" s="8" t="n"/>
      <c r="BO239" s="8" t="n"/>
      <c r="BP239" s="8" t="n"/>
      <c r="BQ239" s="8" t="n"/>
      <c r="BR239" s="8" t="n"/>
      <c r="BS239" s="8" t="n"/>
      <c r="BT239" s="8" t="n"/>
      <c r="BU239" s="8" t="n"/>
      <c r="BV239" s="8" t="n"/>
      <c r="BW239" s="8" t="n"/>
      <c r="BX239" s="8" t="n"/>
      <c r="BY239" s="8" t="n"/>
      <c r="BZ239" s="8" t="n"/>
      <c r="CA239" s="8" t="n"/>
      <c r="CB239" s="8" t="n"/>
      <c r="CC239" s="8" t="n"/>
      <c r="CD239" s="8" t="n"/>
      <c r="CE239" s="8" t="n"/>
      <c r="CF239" s="8" t="n"/>
      <c r="CG239" s="8" t="n"/>
      <c r="CH239" s="8" t="n"/>
      <c r="CI239" s="8" t="n"/>
      <c r="CJ239" s="8" t="n"/>
      <c r="CK239" s="8" t="n"/>
      <c r="CL239" s="8" t="n"/>
      <c r="CM239" s="8" t="n"/>
      <c r="CN239" s="8" t="n"/>
      <c r="CO239" s="8" t="n"/>
      <c r="CP239" s="8" t="n"/>
      <c r="CQ239" s="8" t="n"/>
      <c r="CR239" s="8" t="n"/>
      <c r="CS239" s="8" t="n"/>
      <c r="CT239" s="8" t="n"/>
      <c r="CU239" s="8" t="n"/>
      <c r="CV239" s="8" t="n"/>
      <c r="CW239" s="8" t="n"/>
      <c r="CX239" s="8" t="n"/>
      <c r="CY239" s="8" t="n"/>
      <c r="CZ239" s="8" t="n"/>
      <c r="DA239" s="8" t="n"/>
      <c r="DB239" s="8" t="n"/>
      <c r="DC239" s="8" t="n"/>
      <c r="DD239" s="8" t="n"/>
      <c r="DE239" s="8" t="n"/>
      <c r="DF239" s="8" t="n"/>
      <c r="DG239" s="8" t="n"/>
      <c r="DH239" s="8" t="n"/>
      <c r="DI239" s="8" t="n"/>
      <c r="DJ239" s="8" t="n"/>
      <c r="DK239" s="8" t="n"/>
      <c r="DL239" s="8" t="n"/>
      <c r="DM239" s="8" t="n"/>
      <c r="DN239" s="8" t="n"/>
      <c r="DO239" s="8" t="n"/>
      <c r="DP239" s="8" t="n"/>
      <c r="DQ239" s="8" t="n"/>
      <c r="DR239" s="8" t="n"/>
      <c r="DS239" s="8" t="n"/>
      <c r="DT239" s="8" t="n"/>
      <c r="DU239" s="8" t="n"/>
      <c r="DV239" s="8" t="n"/>
      <c r="DW239" s="8" t="n"/>
      <c r="DX239" s="8" t="n"/>
      <c r="DY239" s="8" t="n"/>
      <c r="DZ239" s="8" t="n"/>
      <c r="EA239" s="8" t="n"/>
      <c r="EB239" s="8" t="n"/>
      <c r="EC239" s="8" t="n"/>
      <c r="ED239" s="8" t="n"/>
      <c r="EE239" s="8" t="n"/>
      <c r="EF239" s="8" t="n"/>
      <c r="EG239" s="8" t="n"/>
      <c r="EH239" s="8" t="n"/>
      <c r="EI239" s="8" t="n"/>
      <c r="EJ239" s="8" t="n"/>
      <c r="EK239" s="8" t="n"/>
      <c r="EL239" s="8" t="n"/>
      <c r="EM239" s="8" t="n"/>
      <c r="EN239" s="8" t="n"/>
      <c r="EO239" s="8" t="n"/>
      <c r="EP239" s="8" t="n"/>
      <c r="EQ239" s="8" t="n"/>
      <c r="ER239" s="8" t="n"/>
      <c r="ES239" s="8" t="n"/>
      <c r="ET239" s="8" t="n"/>
      <c r="EU239" s="8" t="n"/>
      <c r="EV239" s="8" t="n"/>
      <c r="EW239" s="8" t="n"/>
      <c r="EX239" s="8" t="n"/>
      <c r="EY239" s="8" t="n"/>
      <c r="EZ239" s="8" t="n"/>
      <c r="FA239" s="8" t="n"/>
      <c r="FB239" s="8" t="n"/>
      <c r="FC239" s="8" t="n"/>
      <c r="FD239" s="8" t="n"/>
      <c r="FE239" s="8" t="n"/>
      <c r="FF239" s="8" t="n"/>
      <c r="FG239" s="8" t="n"/>
      <c r="FH239" s="8" t="n"/>
      <c r="FI239" s="8" t="n"/>
      <c r="FJ239" s="8" t="n"/>
      <c r="FK239" s="8" t="n"/>
      <c r="FL239" s="8" t="n"/>
      <c r="FM239" s="8" t="n"/>
      <c r="FN239" s="8" t="n"/>
      <c r="FO239" s="8" t="n"/>
      <c r="FP239" s="8" t="n"/>
      <c r="FQ239" s="8" t="n"/>
      <c r="FR239" s="8" t="n"/>
      <c r="FS239" s="8" t="n"/>
      <c r="FT239" s="8" t="n"/>
      <c r="FU239" s="8" t="n"/>
      <c r="FV239" s="8" t="n"/>
      <c r="FW239" s="8" t="n"/>
      <c r="FX239" s="8" t="n"/>
      <c r="FY239" s="8" t="n"/>
      <c r="FZ239" s="8" t="n"/>
      <c r="GA239" s="8" t="n"/>
      <c r="GB239" s="8" t="n"/>
      <c r="GC239" s="8" t="n"/>
      <c r="GD239" s="8" t="n"/>
      <c r="GE239" s="8" t="n"/>
      <c r="GF239" s="8" t="n"/>
      <c r="GG239" s="8" t="n"/>
      <c r="GH239" s="8" t="n"/>
      <c r="GI239" s="8" t="n"/>
      <c r="GJ239" s="8" t="n"/>
      <c r="GK239" s="8" t="n"/>
      <c r="GL239" s="8" t="n"/>
      <c r="GM239" s="8" t="n"/>
      <c r="GN239" s="8" t="n"/>
      <c r="GO239" s="8" t="n"/>
      <c r="GP239" s="8" t="n"/>
      <c r="GQ239" s="8" t="n"/>
      <c r="GR239" s="8" t="n"/>
      <c r="GS239" s="8" t="n"/>
      <c r="GT239" s="8" t="n"/>
      <c r="GU239" s="8" t="n"/>
      <c r="GV239" s="8" t="n"/>
      <c r="GW239" s="8" t="n"/>
      <c r="GX239" s="8" t="n"/>
      <c r="GY239" s="8" t="n"/>
      <c r="GZ239" s="8" t="n"/>
      <c r="HA239" s="8" t="n"/>
      <c r="HB239" s="8" t="n"/>
      <c r="HC239" s="8" t="n"/>
      <c r="HD239" s="8" t="n"/>
      <c r="HE239" s="8" t="n"/>
      <c r="HF239" s="8" t="n"/>
      <c r="HG239" s="8" t="n"/>
      <c r="HH239" s="8" t="n"/>
      <c r="HI239" s="8" t="n"/>
      <c r="HJ239" s="8" t="n"/>
      <c r="HK239" s="8" t="n"/>
      <c r="HL239" s="8" t="n"/>
      <c r="HM239" s="8" t="n"/>
      <c r="HN239" s="8" t="n"/>
      <c r="HO239" s="8" t="n"/>
      <c r="HP239" s="8" t="n"/>
      <c r="HQ239" s="8" t="n"/>
      <c r="HR239" s="8" t="n"/>
      <c r="HS239" s="8" t="n"/>
      <c r="HT239" s="8" t="n"/>
      <c r="HU239" s="8" t="n"/>
      <c r="HV239" s="8" t="n"/>
      <c r="HW239" s="8" t="n"/>
      <c r="HX239" s="8" t="n"/>
      <c r="HY239" s="8" t="n"/>
      <c r="HZ239" s="8" t="n"/>
      <c r="IA239" s="8" t="n"/>
      <c r="IB239" s="8" t="n"/>
      <c r="IC239" s="8" t="n"/>
      <c r="ID239" s="8" t="n"/>
      <c r="IE239" s="8" t="n"/>
      <c r="IF239" s="8" t="n"/>
      <c r="IG239" s="8" t="n"/>
      <c r="IH239" s="8" t="n"/>
      <c r="IJ239" s="9" t="inlineStr">
        <is>
          <t>ez_manage.py:3878 top()</t>
        </is>
      </c>
      <c r="IK239" s="9" t="inlineStr">
        <is>
          <t>v12_quick_engine.py:2912 x11</t>
        </is>
      </c>
    </row>
    <row r="240" ht="11" customHeight="1">
      <c r="A240" s="10" t="inlineStr">
        <is>
          <t>REENTRY_TIER1_SIZE_MULT</t>
        </is>
      </c>
      <c r="B240" s="11" t="inlineStr">
        <is>
          <t>1.0</t>
        </is>
      </c>
      <c r="E240">
        <f>IF(F240="",E239,IF(F240&gt;0,E239+F240,E239))</f>
        <v/>
      </c>
      <c r="F240">
        <f>IFERROR(VLOOKUP($A240,Results_30d_Deltas!$A$2:$H$5000,8,FALSE)-E239,"")</f>
        <v/>
      </c>
      <c r="G240">
        <f>IFERROR(VLOOKUP($A240,Results_30d_Deltas!$A$2:$H$5000,7,FALSE)-E239,"")</f>
        <v/>
      </c>
      <c r="H240">
        <f>IFERROR(VLOOKUP($A240,Results_30d_Deltas!$A$2:$H$5000,6,FALSE),"")</f>
        <v/>
      </c>
      <c r="K240">
        <f>IF(B240=C240,"YES","NO")</f>
        <v/>
      </c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8" t="n"/>
      <c r="AB240" s="8" t="n"/>
      <c r="AC240" s="8" t="n"/>
      <c r="AD240" s="8" t="n"/>
      <c r="AE240" s="8" t="n"/>
      <c r="AF240" s="8" t="n"/>
      <c r="AG240" s="8" t="n"/>
      <c r="AH240" s="8" t="n"/>
      <c r="AI240" s="8" t="n"/>
      <c r="AJ240" s="8" t="n"/>
      <c r="AK240" s="8" t="n"/>
      <c r="AL240" s="8" t="n"/>
      <c r="AM240" s="8" t="n"/>
      <c r="AN240" s="8" t="n"/>
      <c r="AO240" s="8" t="n"/>
      <c r="AP240" s="8" t="n"/>
      <c r="AQ240" s="8" t="n"/>
      <c r="AR240" s="8" t="n"/>
      <c r="AS240" s="8" t="n"/>
      <c r="AT240" s="8" t="n"/>
      <c r="AU240" s="8" t="n"/>
      <c r="AV240" s="8" t="n"/>
      <c r="AW240" s="8" t="n"/>
      <c r="AX240" s="8" t="n"/>
      <c r="AY240" s="8" t="n"/>
      <c r="AZ240" s="8" t="n"/>
      <c r="BA240" s="8" t="n"/>
      <c r="BB240" s="8" t="n"/>
      <c r="BC240" s="8" t="n"/>
      <c r="BD240" s="8" t="n"/>
      <c r="BE240" s="8" t="n"/>
      <c r="BF240" s="8" t="n"/>
      <c r="BG240" s="8" t="n"/>
      <c r="BH240" s="8" t="n"/>
      <c r="BI240" s="8" t="n"/>
      <c r="BJ240" s="8" t="n"/>
      <c r="BK240" s="8" t="n"/>
      <c r="BL240" s="8" t="n"/>
      <c r="BM240" s="8" t="n"/>
      <c r="BN240" s="8" t="n"/>
      <c r="BO240" s="8" t="n"/>
      <c r="BP240" s="8" t="n"/>
      <c r="BQ240" s="8" t="n"/>
      <c r="BR240" s="8" t="n"/>
      <c r="BS240" s="8" t="n"/>
      <c r="BT240" s="8" t="n"/>
      <c r="BU240" s="8" t="n"/>
      <c r="BV240" s="8" t="n"/>
      <c r="BW240" s="8" t="n"/>
      <c r="BX240" s="8" t="n"/>
      <c r="BY240" s="8" t="n"/>
      <c r="BZ240" s="8" t="n"/>
      <c r="CA240" s="8" t="n"/>
      <c r="CB240" s="8" t="n"/>
      <c r="CC240" s="8" t="n"/>
      <c r="CD240" s="8" t="n"/>
      <c r="CE240" s="8" t="n"/>
      <c r="CF240" s="8" t="n"/>
      <c r="CG240" s="8" t="n"/>
      <c r="CH240" s="8" t="n"/>
      <c r="CI240" s="8" t="n"/>
      <c r="CJ240" s="8" t="n"/>
      <c r="CK240" s="8" t="n"/>
      <c r="CL240" s="8" t="n"/>
      <c r="CM240" s="8" t="n"/>
      <c r="CN240" s="8" t="n"/>
      <c r="CO240" s="8" t="n"/>
      <c r="CP240" s="8" t="n"/>
      <c r="CQ240" s="8" t="n"/>
      <c r="CR240" s="8" t="n"/>
      <c r="CS240" s="8" t="n"/>
      <c r="CT240" s="8" t="n"/>
      <c r="CU240" s="8" t="n"/>
      <c r="CV240" s="8" t="n"/>
      <c r="CW240" s="8" t="n"/>
      <c r="CX240" s="8" t="n"/>
      <c r="CY240" s="8" t="n"/>
      <c r="CZ240" s="8" t="n"/>
      <c r="DA240" s="8" t="n"/>
      <c r="DB240" s="8" t="n"/>
      <c r="DC240" s="8" t="n"/>
      <c r="DD240" s="8" t="n"/>
      <c r="DE240" s="8" t="n"/>
      <c r="DF240" s="8" t="n"/>
      <c r="DG240" s="8" t="n"/>
      <c r="DH240" s="8" t="n"/>
      <c r="DI240" s="8" t="n"/>
      <c r="DJ240" s="8" t="n"/>
      <c r="DK240" s="8" t="n"/>
      <c r="DL240" s="8" t="n"/>
      <c r="DM240" s="8" t="n"/>
      <c r="DN240" s="8" t="n"/>
      <c r="DO240" s="8" t="n"/>
      <c r="DP240" s="8" t="n"/>
      <c r="DQ240" s="8" t="n"/>
      <c r="DR240" s="8" t="n"/>
      <c r="DS240" s="8" t="n"/>
      <c r="DT240" s="8" t="n"/>
      <c r="DU240" s="8" t="n"/>
      <c r="DV240" s="8" t="n"/>
      <c r="DW240" s="8" t="n"/>
      <c r="DX240" s="8" t="n"/>
      <c r="DY240" s="8" t="n"/>
      <c r="DZ240" s="8" t="n"/>
      <c r="EA240" s="8" t="n"/>
      <c r="EB240" s="8" t="n"/>
      <c r="EC240" s="8" t="n"/>
      <c r="ED240" s="8" t="n"/>
      <c r="EE240" s="8" t="n"/>
      <c r="EF240" s="8" t="n"/>
      <c r="EG240" s="8" t="n"/>
      <c r="EH240" s="8" t="n"/>
      <c r="EI240" s="8" t="n"/>
      <c r="EJ240" s="8" t="n"/>
      <c r="EK240" s="8" t="n"/>
      <c r="EL240" s="8" t="n"/>
      <c r="EM240" s="8" t="n"/>
      <c r="EN240" s="8" t="n"/>
      <c r="EO240" s="8" t="n"/>
      <c r="EP240" s="8" t="n"/>
      <c r="EQ240" s="8" t="n"/>
      <c r="ER240" s="8" t="n"/>
      <c r="ES240" s="8" t="n"/>
      <c r="ET240" s="8" t="n"/>
      <c r="EU240" s="8" t="n"/>
      <c r="EV240" s="8" t="n"/>
      <c r="EW240" s="8" t="n"/>
      <c r="EX240" s="8" t="n"/>
      <c r="EY240" s="8" t="n"/>
      <c r="EZ240" s="8" t="n"/>
      <c r="FA240" s="8" t="n"/>
      <c r="FB240" s="8" t="n"/>
      <c r="FC240" s="8" t="n"/>
      <c r="FD240" s="8" t="n"/>
      <c r="FE240" s="8" t="n"/>
      <c r="FF240" s="8" t="n"/>
      <c r="FG240" s="8" t="n"/>
      <c r="FH240" s="8" t="n"/>
      <c r="FI240" s="8" t="n"/>
      <c r="FJ240" s="8" t="n"/>
      <c r="FK240" s="8" t="n"/>
      <c r="FL240" s="8" t="n"/>
      <c r="FM240" s="8" t="n"/>
      <c r="FN240" s="8" t="n"/>
      <c r="FO240" s="8" t="n"/>
      <c r="FP240" s="8" t="n"/>
      <c r="FQ240" s="8" t="n"/>
      <c r="FR240" s="8" t="n"/>
      <c r="FS240" s="8" t="n"/>
      <c r="FT240" s="8" t="n"/>
      <c r="FU240" s="8" t="n"/>
      <c r="FV240" s="8" t="n"/>
      <c r="FW240" s="8" t="n"/>
      <c r="FX240" s="8" t="n"/>
      <c r="FY240" s="8" t="n"/>
      <c r="FZ240" s="8" t="n"/>
      <c r="GA240" s="8" t="n"/>
      <c r="GB240" s="8" t="n"/>
      <c r="GC240" s="8" t="n"/>
      <c r="GD240" s="8" t="n"/>
      <c r="GE240" s="8" t="n"/>
      <c r="GF240" s="8" t="n"/>
      <c r="GG240" s="8" t="n"/>
      <c r="GH240" s="8" t="n"/>
      <c r="GI240" s="8" t="n"/>
      <c r="GJ240" s="8" t="n"/>
      <c r="GK240" s="8" t="n"/>
      <c r="GL240" s="8" t="n"/>
      <c r="GM240" s="8" t="n"/>
      <c r="GN240" s="8" t="n"/>
      <c r="GO240" s="8" t="n"/>
      <c r="GP240" s="8" t="n"/>
      <c r="GQ240" s="8" t="n"/>
      <c r="GR240" s="8" t="n"/>
      <c r="GS240" s="8" t="n"/>
      <c r="GT240" s="8" t="n"/>
      <c r="GU240" s="8" t="n"/>
      <c r="GV240" s="8" t="n"/>
      <c r="GW240" s="8" t="n"/>
      <c r="GX240" s="8" t="n"/>
      <c r="GY240" s="8" t="n"/>
      <c r="GZ240" s="8" t="n"/>
      <c r="HA240" s="8" t="n"/>
      <c r="HB240" s="8" t="n"/>
      <c r="HC240" s="8" t="n"/>
      <c r="HD240" s="8" t="n"/>
      <c r="HE240" s="8" t="n"/>
      <c r="HF240" s="8" t="n"/>
      <c r="HG240" s="8" t="n"/>
      <c r="HH240" s="8" t="n"/>
      <c r="HI240" s="8" t="n"/>
      <c r="HJ240" s="8" t="n"/>
      <c r="HK240" s="8" t="n"/>
      <c r="HL240" s="8" t="n"/>
      <c r="HM240" s="8" t="n"/>
      <c r="HN240" s="8" t="n"/>
      <c r="HO240" s="8" t="n"/>
      <c r="HP240" s="8" t="n"/>
      <c r="HQ240" s="8" t="n"/>
      <c r="HR240" s="8" t="n"/>
      <c r="HS240" s="8" t="n"/>
      <c r="HT240" s="8" t="n"/>
      <c r="HU240" s="8" t="n"/>
      <c r="HV240" s="8" t="n"/>
      <c r="HW240" s="8" t="n"/>
      <c r="HX240" s="8" t="n"/>
      <c r="HY240" s="8" t="n"/>
      <c r="HZ240" s="8" t="n"/>
      <c r="IA240" s="8" t="n"/>
      <c r="IB240" s="8" t="n"/>
      <c r="IC240" s="8" t="n"/>
      <c r="ID240" s="8" t="n"/>
      <c r="IE240" s="8" t="n"/>
      <c r="IF240" s="8" t="n"/>
      <c r="IG240" s="8" t="n"/>
      <c r="IH240" s="8" t="n"/>
      <c r="IJ240" s="9" t="inlineStr">
        <is>
          <t>ez_manage.py:3878 top()</t>
        </is>
      </c>
      <c r="IK240" s="9" t="inlineStr">
        <is>
          <t>v12_quick_engine.py:2912 x11</t>
        </is>
      </c>
    </row>
    <row r="241" ht="11" customHeight="1">
      <c r="A241" s="10" t="inlineStr">
        <is>
          <t>REENTRY_TIER1_SIZE_MULT</t>
        </is>
      </c>
      <c r="B241" s="11" t="inlineStr">
        <is>
          <t>2.0</t>
        </is>
      </c>
      <c r="E241">
        <f>IF(F241="",E240,IF(F241&gt;0,E240+F241,E240))</f>
        <v/>
      </c>
      <c r="F241">
        <f>IFERROR(VLOOKUP($A241,Results_30d_Deltas!$A$2:$H$5000,8,FALSE)-E240,"")</f>
        <v/>
      </c>
      <c r="G241">
        <f>IFERROR(VLOOKUP($A241,Results_30d_Deltas!$A$2:$H$5000,7,FALSE)-E240,"")</f>
        <v/>
      </c>
      <c r="H241">
        <f>IFERROR(VLOOKUP($A241,Results_30d_Deltas!$A$2:$H$5000,6,FALSE),"")</f>
        <v/>
      </c>
      <c r="K241">
        <f>IF(B241=C241,"YES","NO")</f>
        <v/>
      </c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  <c r="AA241" s="8" t="n"/>
      <c r="AB241" s="8" t="n"/>
      <c r="AC241" s="8" t="n"/>
      <c r="AD241" s="8" t="n"/>
      <c r="AE241" s="8" t="n"/>
      <c r="AF241" s="8" t="n"/>
      <c r="AG241" s="8" t="n"/>
      <c r="AH241" s="8" t="n"/>
      <c r="AI241" s="8" t="n"/>
      <c r="AJ241" s="8" t="n"/>
      <c r="AK241" s="8" t="n"/>
      <c r="AL241" s="8" t="n"/>
      <c r="AM241" s="8" t="n"/>
      <c r="AN241" s="8" t="n"/>
      <c r="AO241" s="8" t="n"/>
      <c r="AP241" s="8" t="n"/>
      <c r="AQ241" s="8" t="n"/>
      <c r="AR241" s="8" t="n"/>
      <c r="AS241" s="8" t="n"/>
      <c r="AT241" s="8" t="n"/>
      <c r="AU241" s="8" t="n"/>
      <c r="AV241" s="8" t="n"/>
      <c r="AW241" s="8" t="n"/>
      <c r="AX241" s="8" t="n"/>
      <c r="AY241" s="8" t="n"/>
      <c r="AZ241" s="8" t="n"/>
      <c r="BA241" s="8" t="n"/>
      <c r="BB241" s="8" t="n"/>
      <c r="BC241" s="8" t="n"/>
      <c r="BD241" s="8" t="n"/>
      <c r="BE241" s="8" t="n"/>
      <c r="BF241" s="8" t="n"/>
      <c r="BG241" s="8" t="n"/>
      <c r="BH241" s="8" t="n"/>
      <c r="BI241" s="8" t="n"/>
      <c r="BJ241" s="8" t="n"/>
      <c r="BK241" s="8" t="n"/>
      <c r="BL241" s="8" t="n"/>
      <c r="BM241" s="8" t="n"/>
      <c r="BN241" s="8" t="n"/>
      <c r="BO241" s="8" t="n"/>
      <c r="BP241" s="8" t="n"/>
      <c r="BQ241" s="8" t="n"/>
      <c r="BR241" s="8" t="n"/>
      <c r="BS241" s="8" t="n"/>
      <c r="BT241" s="8" t="n"/>
      <c r="BU241" s="8" t="n"/>
      <c r="BV241" s="8" t="n"/>
      <c r="BW241" s="8" t="n"/>
      <c r="BX241" s="8" t="n"/>
      <c r="BY241" s="8" t="n"/>
      <c r="BZ241" s="8" t="n"/>
      <c r="CA241" s="8" t="n"/>
      <c r="CB241" s="8" t="n"/>
      <c r="CC241" s="8" t="n"/>
      <c r="CD241" s="8" t="n"/>
      <c r="CE241" s="8" t="n"/>
      <c r="CF241" s="8" t="n"/>
      <c r="CG241" s="8" t="n"/>
      <c r="CH241" s="8" t="n"/>
      <c r="CI241" s="8" t="n"/>
      <c r="CJ241" s="8" t="n"/>
      <c r="CK241" s="8" t="n"/>
      <c r="CL241" s="8" t="n"/>
      <c r="CM241" s="8" t="n"/>
      <c r="CN241" s="8" t="n"/>
      <c r="CO241" s="8" t="n"/>
      <c r="CP241" s="8" t="n"/>
      <c r="CQ241" s="8" t="n"/>
      <c r="CR241" s="8" t="n"/>
      <c r="CS241" s="8" t="n"/>
      <c r="CT241" s="8" t="n"/>
      <c r="CU241" s="8" t="n"/>
      <c r="CV241" s="8" t="n"/>
      <c r="CW241" s="8" t="n"/>
      <c r="CX241" s="8" t="n"/>
      <c r="CY241" s="8" t="n"/>
      <c r="CZ241" s="8" t="n"/>
      <c r="DA241" s="8" t="n"/>
      <c r="DB241" s="8" t="n"/>
      <c r="DC241" s="8" t="n"/>
      <c r="DD241" s="8" t="n"/>
      <c r="DE241" s="8" t="n"/>
      <c r="DF241" s="8" t="n"/>
      <c r="DG241" s="8" t="n"/>
      <c r="DH241" s="8" t="n"/>
      <c r="DI241" s="8" t="n"/>
      <c r="DJ241" s="8" t="n"/>
      <c r="DK241" s="8" t="n"/>
      <c r="DL241" s="8" t="n"/>
      <c r="DM241" s="8" t="n"/>
      <c r="DN241" s="8" t="n"/>
      <c r="DO241" s="8" t="n"/>
      <c r="DP241" s="8" t="n"/>
      <c r="DQ241" s="8" t="n"/>
      <c r="DR241" s="8" t="n"/>
      <c r="DS241" s="8" t="n"/>
      <c r="DT241" s="8" t="n"/>
      <c r="DU241" s="8" t="n"/>
      <c r="DV241" s="8" t="n"/>
      <c r="DW241" s="8" t="n"/>
      <c r="DX241" s="8" t="n"/>
      <c r="DY241" s="8" t="n"/>
      <c r="DZ241" s="8" t="n"/>
      <c r="EA241" s="8" t="n"/>
      <c r="EB241" s="8" t="n"/>
      <c r="EC241" s="8" t="n"/>
      <c r="ED241" s="8" t="n"/>
      <c r="EE241" s="8" t="n"/>
      <c r="EF241" s="8" t="n"/>
      <c r="EG241" s="8" t="n"/>
      <c r="EH241" s="8" t="n"/>
      <c r="EI241" s="8" t="n"/>
      <c r="EJ241" s="8" t="n"/>
      <c r="EK241" s="8" t="n"/>
      <c r="EL241" s="8" t="n"/>
      <c r="EM241" s="8" t="n"/>
      <c r="EN241" s="8" t="n"/>
      <c r="EO241" s="8" t="n"/>
      <c r="EP241" s="8" t="n"/>
      <c r="EQ241" s="8" t="n"/>
      <c r="ER241" s="8" t="n"/>
      <c r="ES241" s="8" t="n"/>
      <c r="ET241" s="8" t="n"/>
      <c r="EU241" s="8" t="n"/>
      <c r="EV241" s="8" t="n"/>
      <c r="EW241" s="8" t="n"/>
      <c r="EX241" s="8" t="n"/>
      <c r="EY241" s="8" t="n"/>
      <c r="EZ241" s="8" t="n"/>
      <c r="FA241" s="8" t="n"/>
      <c r="FB241" s="8" t="n"/>
      <c r="FC241" s="8" t="n"/>
      <c r="FD241" s="8" t="n"/>
      <c r="FE241" s="8" t="n"/>
      <c r="FF241" s="8" t="n"/>
      <c r="FG241" s="8" t="n"/>
      <c r="FH241" s="8" t="n"/>
      <c r="FI241" s="8" t="n"/>
      <c r="FJ241" s="8" t="n"/>
      <c r="FK241" s="8" t="n"/>
      <c r="FL241" s="8" t="n"/>
      <c r="FM241" s="8" t="n"/>
      <c r="FN241" s="8" t="n"/>
      <c r="FO241" s="8" t="n"/>
      <c r="FP241" s="8" t="n"/>
      <c r="FQ241" s="8" t="n"/>
      <c r="FR241" s="8" t="n"/>
      <c r="FS241" s="8" t="n"/>
      <c r="FT241" s="8" t="n"/>
      <c r="FU241" s="8" t="n"/>
      <c r="FV241" s="8" t="n"/>
      <c r="FW241" s="8" t="n"/>
      <c r="FX241" s="8" t="n"/>
      <c r="FY241" s="8" t="n"/>
      <c r="FZ241" s="8" t="n"/>
      <c r="GA241" s="8" t="n"/>
      <c r="GB241" s="8" t="n"/>
      <c r="GC241" s="8" t="n"/>
      <c r="GD241" s="8" t="n"/>
      <c r="GE241" s="8" t="n"/>
      <c r="GF241" s="8" t="n"/>
      <c r="GG241" s="8" t="n"/>
      <c r="GH241" s="8" t="n"/>
      <c r="GI241" s="8" t="n"/>
      <c r="GJ241" s="8" t="n"/>
      <c r="GK241" s="8" t="n"/>
      <c r="GL241" s="8" t="n"/>
      <c r="GM241" s="8" t="n"/>
      <c r="GN241" s="8" t="n"/>
      <c r="GO241" s="8" t="n"/>
      <c r="GP241" s="8" t="n"/>
      <c r="GQ241" s="8" t="n"/>
      <c r="GR241" s="8" t="n"/>
      <c r="GS241" s="8" t="n"/>
      <c r="GT241" s="8" t="n"/>
      <c r="GU241" s="8" t="n"/>
      <c r="GV241" s="8" t="n"/>
      <c r="GW241" s="8" t="n"/>
      <c r="GX241" s="8" t="n"/>
      <c r="GY241" s="8" t="n"/>
      <c r="GZ241" s="8" t="n"/>
      <c r="HA241" s="8" t="n"/>
      <c r="HB241" s="8" t="n"/>
      <c r="HC241" s="8" t="n"/>
      <c r="HD241" s="8" t="n"/>
      <c r="HE241" s="8" t="n"/>
      <c r="HF241" s="8" t="n"/>
      <c r="HG241" s="8" t="n"/>
      <c r="HH241" s="8" t="n"/>
      <c r="HI241" s="8" t="n"/>
      <c r="HJ241" s="8" t="n"/>
      <c r="HK241" s="8" t="n"/>
      <c r="HL241" s="8" t="n"/>
      <c r="HM241" s="8" t="n"/>
      <c r="HN241" s="8" t="n"/>
      <c r="HO241" s="8" t="n"/>
      <c r="HP241" s="8" t="n"/>
      <c r="HQ241" s="8" t="n"/>
      <c r="HR241" s="8" t="n"/>
      <c r="HS241" s="8" t="n"/>
      <c r="HT241" s="8" t="n"/>
      <c r="HU241" s="8" t="n"/>
      <c r="HV241" s="8" t="n"/>
      <c r="HW241" s="8" t="n"/>
      <c r="HX241" s="8" t="n"/>
      <c r="HY241" s="8" t="n"/>
      <c r="HZ241" s="8" t="n"/>
      <c r="IA241" s="8" t="n"/>
      <c r="IB241" s="8" t="n"/>
      <c r="IC241" s="8" t="n"/>
      <c r="ID241" s="8" t="n"/>
      <c r="IE241" s="8" t="n"/>
      <c r="IF241" s="8" t="n"/>
      <c r="IG241" s="8" t="n"/>
      <c r="IH241" s="8" t="n"/>
      <c r="IJ241" s="9" t="inlineStr">
        <is>
          <t>ez_manage.py:3878 top()</t>
        </is>
      </c>
      <c r="IK241" s="9" t="inlineStr">
        <is>
          <t>v12_quick_engine.py:2912 x11</t>
        </is>
      </c>
    </row>
    <row r="242" ht="11" customHeight="1">
      <c r="A242" s="10" t="inlineStr">
        <is>
          <t>REENTRY_TIER2_MAX_MINUTES</t>
        </is>
      </c>
      <c r="B242" s="11" t="inlineStr">
        <is>
          <t>0</t>
        </is>
      </c>
      <c r="E242">
        <f>IF(F242="",E241,IF(F242&gt;0,E241+F242,E241))</f>
        <v/>
      </c>
      <c r="F242">
        <f>IFERROR(VLOOKUP($A242,Results_30d_Deltas!$A$2:$H$5000,8,FALSE)-E241,"")</f>
        <v/>
      </c>
      <c r="G242">
        <f>IFERROR(VLOOKUP($A242,Results_30d_Deltas!$A$2:$H$5000,7,FALSE)-E241,"")</f>
        <v/>
      </c>
      <c r="H242">
        <f>IFERROR(VLOOKUP($A242,Results_30d_Deltas!$A$2:$H$5000,6,FALSE),"")</f>
        <v/>
      </c>
      <c r="K242">
        <f>IF(B242=C242,"YES","NO")</f>
        <v/>
      </c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  <c r="AA242" s="8" t="n"/>
      <c r="AB242" s="8" t="n"/>
      <c r="AC242" s="8" t="n"/>
      <c r="AD242" s="8" t="n"/>
      <c r="AE242" s="8" t="n"/>
      <c r="AF242" s="8" t="n"/>
      <c r="AG242" s="8" t="n"/>
      <c r="AH242" s="8" t="n"/>
      <c r="AI242" s="8" t="n"/>
      <c r="AJ242" s="8" t="n"/>
      <c r="AK242" s="8" t="n"/>
      <c r="AL242" s="8" t="n"/>
      <c r="AM242" s="8" t="n"/>
      <c r="AN242" s="8" t="n"/>
      <c r="AO242" s="8" t="n"/>
      <c r="AP242" s="8" t="n"/>
      <c r="AQ242" s="8" t="n"/>
      <c r="AR242" s="8" t="n"/>
      <c r="AS242" s="8" t="n"/>
      <c r="AT242" s="8" t="n"/>
      <c r="AU242" s="8" t="n"/>
      <c r="AV242" s="8" t="n"/>
      <c r="AW242" s="8" t="n"/>
      <c r="AX242" s="8" t="n"/>
      <c r="AY242" s="8" t="n"/>
      <c r="AZ242" s="8" t="n"/>
      <c r="BA242" s="8" t="n"/>
      <c r="BB242" s="8" t="n"/>
      <c r="BC242" s="8" t="n"/>
      <c r="BD242" s="8" t="n"/>
      <c r="BE242" s="8" t="n"/>
      <c r="BF242" s="8" t="n"/>
      <c r="BG242" s="8" t="n"/>
      <c r="BH242" s="8" t="n"/>
      <c r="BI242" s="8" t="n"/>
      <c r="BJ242" s="8" t="n"/>
      <c r="BK242" s="8" t="n"/>
      <c r="BL242" s="8" t="n"/>
      <c r="BM242" s="8" t="n"/>
      <c r="BN242" s="8" t="n"/>
      <c r="BO242" s="8" t="n"/>
      <c r="BP242" s="8" t="n"/>
      <c r="BQ242" s="8" t="n"/>
      <c r="BR242" s="8" t="n"/>
      <c r="BS242" s="8" t="n"/>
      <c r="BT242" s="8" t="n"/>
      <c r="BU242" s="8" t="n"/>
      <c r="BV242" s="8" t="n"/>
      <c r="BW242" s="8" t="n"/>
      <c r="BX242" s="8" t="n"/>
      <c r="BY242" s="8" t="n"/>
      <c r="BZ242" s="8" t="n"/>
      <c r="CA242" s="8" t="n"/>
      <c r="CB242" s="8" t="n"/>
      <c r="CC242" s="8" t="n"/>
      <c r="CD242" s="8" t="n"/>
      <c r="CE242" s="8" t="n"/>
      <c r="CF242" s="8" t="n"/>
      <c r="CG242" s="8" t="n"/>
      <c r="CH242" s="8" t="n"/>
      <c r="CI242" s="8" t="n"/>
      <c r="CJ242" s="8" t="n"/>
      <c r="CK242" s="8" t="n"/>
      <c r="CL242" s="8" t="n"/>
      <c r="CM242" s="8" t="n"/>
      <c r="CN242" s="8" t="n"/>
      <c r="CO242" s="8" t="n"/>
      <c r="CP242" s="8" t="n"/>
      <c r="CQ242" s="8" t="n"/>
      <c r="CR242" s="8" t="n"/>
      <c r="CS242" s="8" t="n"/>
      <c r="CT242" s="8" t="n"/>
      <c r="CU242" s="8" t="n"/>
      <c r="CV242" s="8" t="n"/>
      <c r="CW242" s="8" t="n"/>
      <c r="CX242" s="8" t="n"/>
      <c r="CY242" s="8" t="n"/>
      <c r="CZ242" s="8" t="n"/>
      <c r="DA242" s="8" t="n"/>
      <c r="DB242" s="8" t="n"/>
      <c r="DC242" s="8" t="n"/>
      <c r="DD242" s="8" t="n"/>
      <c r="DE242" s="8" t="n"/>
      <c r="DF242" s="8" t="n"/>
      <c r="DG242" s="8" t="n"/>
      <c r="DH242" s="8" t="n"/>
      <c r="DI242" s="8" t="n"/>
      <c r="DJ242" s="8" t="n"/>
      <c r="DK242" s="8" t="n"/>
      <c r="DL242" s="8" t="n"/>
      <c r="DM242" s="8" t="n"/>
      <c r="DN242" s="8" t="n"/>
      <c r="DO242" s="8" t="n"/>
      <c r="DP242" s="8" t="n"/>
      <c r="DQ242" s="8" t="n"/>
      <c r="DR242" s="8" t="n"/>
      <c r="DS242" s="8" t="n"/>
      <c r="DT242" s="8" t="n"/>
      <c r="DU242" s="8" t="n"/>
      <c r="DV242" s="8" t="n"/>
      <c r="DW242" s="8" t="n"/>
      <c r="DX242" s="8" t="n"/>
      <c r="DY242" s="8" t="n"/>
      <c r="DZ242" s="8" t="n"/>
      <c r="EA242" s="8" t="n"/>
      <c r="EB242" s="8" t="n"/>
      <c r="EC242" s="8" t="n"/>
      <c r="ED242" s="8" t="n"/>
      <c r="EE242" s="8" t="n"/>
      <c r="EF242" s="8" t="n"/>
      <c r="EG242" s="8" t="n"/>
      <c r="EH242" s="8" t="n"/>
      <c r="EI242" s="8" t="n"/>
      <c r="EJ242" s="8" t="n"/>
      <c r="EK242" s="8" t="n"/>
      <c r="EL242" s="8" t="n"/>
      <c r="EM242" s="8" t="n"/>
      <c r="EN242" s="8" t="n"/>
      <c r="EO242" s="8" t="n"/>
      <c r="EP242" s="8" t="n"/>
      <c r="EQ242" s="8" t="n"/>
      <c r="ER242" s="8" t="n"/>
      <c r="ES242" s="8" t="n"/>
      <c r="ET242" s="8" t="n"/>
      <c r="EU242" s="8" t="n"/>
      <c r="EV242" s="8" t="n"/>
      <c r="EW242" s="8" t="n"/>
      <c r="EX242" s="8" t="n"/>
      <c r="EY242" s="8" t="n"/>
      <c r="EZ242" s="8" t="n"/>
      <c r="FA242" s="8" t="n"/>
      <c r="FB242" s="8" t="n"/>
      <c r="FC242" s="8" t="n"/>
      <c r="FD242" s="8" t="n"/>
      <c r="FE242" s="8" t="n"/>
      <c r="FF242" s="8" t="n"/>
      <c r="FG242" s="8" t="n"/>
      <c r="FH242" s="8" t="n"/>
      <c r="FI242" s="8" t="n"/>
      <c r="FJ242" s="8" t="n"/>
      <c r="FK242" s="8" t="n"/>
      <c r="FL242" s="8" t="n"/>
      <c r="FM242" s="8" t="n"/>
      <c r="FN242" s="8" t="n"/>
      <c r="FO242" s="8" t="n"/>
      <c r="FP242" s="8" t="n"/>
      <c r="FQ242" s="8" t="n"/>
      <c r="FR242" s="8" t="n"/>
      <c r="FS242" s="8" t="n"/>
      <c r="FT242" s="8" t="n"/>
      <c r="FU242" s="8" t="n"/>
      <c r="FV242" s="8" t="n"/>
      <c r="FW242" s="8" t="n"/>
      <c r="FX242" s="8" t="n"/>
      <c r="FY242" s="8" t="n"/>
      <c r="FZ242" s="8" t="n"/>
      <c r="GA242" s="8" t="n"/>
      <c r="GB242" s="8" t="n"/>
      <c r="GC242" s="8" t="n"/>
      <c r="GD242" s="8" t="n"/>
      <c r="GE242" s="8" t="n"/>
      <c r="GF242" s="8" t="n"/>
      <c r="GG242" s="8" t="n"/>
      <c r="GH242" s="8" t="n"/>
      <c r="GI242" s="8" t="n"/>
      <c r="GJ242" s="8" t="n"/>
      <c r="GK242" s="8" t="n"/>
      <c r="GL242" s="8" t="n"/>
      <c r="GM242" s="8" t="n"/>
      <c r="GN242" s="8" t="n"/>
      <c r="GO242" s="8" t="n"/>
      <c r="GP242" s="8" t="n"/>
      <c r="GQ242" s="8" t="n"/>
      <c r="GR242" s="8" t="n"/>
      <c r="GS242" s="8" t="n"/>
      <c r="GT242" s="8" t="n"/>
      <c r="GU242" s="8" t="n"/>
      <c r="GV242" s="8" t="n"/>
      <c r="GW242" s="8" t="n"/>
      <c r="GX242" s="8" t="n"/>
      <c r="GY242" s="8" t="n"/>
      <c r="GZ242" s="8" t="n"/>
      <c r="HA242" s="8" t="n"/>
      <c r="HB242" s="8" t="n"/>
      <c r="HC242" s="8" t="n"/>
      <c r="HD242" s="8" t="n"/>
      <c r="HE242" s="8" t="n"/>
      <c r="HF242" s="8" t="n"/>
      <c r="HG242" s="8" t="n"/>
      <c r="HH242" s="8" t="n"/>
      <c r="HI242" s="8" t="n"/>
      <c r="HJ242" s="8" t="n"/>
      <c r="HK242" s="8" t="n"/>
      <c r="HL242" s="8" t="n"/>
      <c r="HM242" s="8" t="n"/>
      <c r="HN242" s="8" t="n"/>
      <c r="HO242" s="8" t="n"/>
      <c r="HP242" s="8" t="n"/>
      <c r="HQ242" s="8" t="n"/>
      <c r="HR242" s="8" t="n"/>
      <c r="HS242" s="8" t="n"/>
      <c r="HT242" s="8" t="n"/>
      <c r="HU242" s="8" t="n"/>
      <c r="HV242" s="8" t="n"/>
      <c r="HW242" s="8" t="n"/>
      <c r="HX242" s="8" t="n"/>
      <c r="HY242" s="8" t="n"/>
      <c r="HZ242" s="8" t="n"/>
      <c r="IA242" s="8" t="n"/>
      <c r="IB242" s="8" t="n"/>
      <c r="IC242" s="8" t="n"/>
      <c r="ID242" s="8" t="n"/>
      <c r="IE242" s="8" t="n"/>
      <c r="IF242" s="8" t="n"/>
      <c r="IG242" s="8" t="n"/>
      <c r="IH242" s="8" t="n"/>
      <c r="IJ242" s="9" t="inlineStr">
        <is>
          <t>ez_manage.py:3879 top()</t>
        </is>
      </c>
      <c r="IK242" s="9" t="inlineStr">
        <is>
          <t>v12_quick_engine.py:2914 x10</t>
        </is>
      </c>
    </row>
    <row r="243" ht="11" customHeight="1">
      <c r="A243" s="10" t="inlineStr">
        <is>
          <t>REENTRY_TIER2_MAX_MINUTES</t>
        </is>
      </c>
      <c r="B243" s="11" t="inlineStr">
        <is>
          <t>0.5</t>
        </is>
      </c>
      <c r="E243">
        <f>IF(F243="",E242,IF(F243&gt;0,E242+F243,E242))</f>
        <v/>
      </c>
      <c r="F243">
        <f>IFERROR(VLOOKUP($A243,Results_30d_Deltas!$A$2:$H$5000,8,FALSE)-E242,"")</f>
        <v/>
      </c>
      <c r="G243">
        <f>IFERROR(VLOOKUP($A243,Results_30d_Deltas!$A$2:$H$5000,7,FALSE)-E242,"")</f>
        <v/>
      </c>
      <c r="H243">
        <f>IFERROR(VLOOKUP($A243,Results_30d_Deltas!$A$2:$H$5000,6,FALSE),"")</f>
        <v/>
      </c>
      <c r="K243">
        <f>IF(B243=C243,"YES","NO")</f>
        <v/>
      </c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  <c r="AA243" s="8" t="n"/>
      <c r="AB243" s="8" t="n"/>
      <c r="AC243" s="8" t="n"/>
      <c r="AD243" s="8" t="n"/>
      <c r="AE243" s="8" t="n"/>
      <c r="AF243" s="8" t="n"/>
      <c r="AG243" s="8" t="n"/>
      <c r="AH243" s="8" t="n"/>
      <c r="AI243" s="8" t="n"/>
      <c r="AJ243" s="8" t="n"/>
      <c r="AK243" s="8" t="n"/>
      <c r="AL243" s="8" t="n"/>
      <c r="AM243" s="8" t="n"/>
      <c r="AN243" s="8" t="n"/>
      <c r="AO243" s="8" t="n"/>
      <c r="AP243" s="8" t="n"/>
      <c r="AQ243" s="8" t="n"/>
      <c r="AR243" s="8" t="n"/>
      <c r="AS243" s="8" t="n"/>
      <c r="AT243" s="8" t="n"/>
      <c r="AU243" s="8" t="n"/>
      <c r="AV243" s="8" t="n"/>
      <c r="AW243" s="8" t="n"/>
      <c r="AX243" s="8" t="n"/>
      <c r="AY243" s="8" t="n"/>
      <c r="AZ243" s="8" t="n"/>
      <c r="BA243" s="8" t="n"/>
      <c r="BB243" s="8" t="n"/>
      <c r="BC243" s="8" t="n"/>
      <c r="BD243" s="8" t="n"/>
      <c r="BE243" s="8" t="n"/>
      <c r="BF243" s="8" t="n"/>
      <c r="BG243" s="8" t="n"/>
      <c r="BH243" s="8" t="n"/>
      <c r="BI243" s="8" t="n"/>
      <c r="BJ243" s="8" t="n"/>
      <c r="BK243" s="8" t="n"/>
      <c r="BL243" s="8" t="n"/>
      <c r="BM243" s="8" t="n"/>
      <c r="BN243" s="8" t="n"/>
      <c r="BO243" s="8" t="n"/>
      <c r="BP243" s="8" t="n"/>
      <c r="BQ243" s="8" t="n"/>
      <c r="BR243" s="8" t="n"/>
      <c r="BS243" s="8" t="n"/>
      <c r="BT243" s="8" t="n"/>
      <c r="BU243" s="8" t="n"/>
      <c r="BV243" s="8" t="n"/>
      <c r="BW243" s="8" t="n"/>
      <c r="BX243" s="8" t="n"/>
      <c r="BY243" s="8" t="n"/>
      <c r="BZ243" s="8" t="n"/>
      <c r="CA243" s="8" t="n"/>
      <c r="CB243" s="8" t="n"/>
      <c r="CC243" s="8" t="n"/>
      <c r="CD243" s="8" t="n"/>
      <c r="CE243" s="8" t="n"/>
      <c r="CF243" s="8" t="n"/>
      <c r="CG243" s="8" t="n"/>
      <c r="CH243" s="8" t="n"/>
      <c r="CI243" s="8" t="n"/>
      <c r="CJ243" s="8" t="n"/>
      <c r="CK243" s="8" t="n"/>
      <c r="CL243" s="8" t="n"/>
      <c r="CM243" s="8" t="n"/>
      <c r="CN243" s="8" t="n"/>
      <c r="CO243" s="8" t="n"/>
      <c r="CP243" s="8" t="n"/>
      <c r="CQ243" s="8" t="n"/>
      <c r="CR243" s="8" t="n"/>
      <c r="CS243" s="8" t="n"/>
      <c r="CT243" s="8" t="n"/>
      <c r="CU243" s="8" t="n"/>
      <c r="CV243" s="8" t="n"/>
      <c r="CW243" s="8" t="n"/>
      <c r="CX243" s="8" t="n"/>
      <c r="CY243" s="8" t="n"/>
      <c r="CZ243" s="8" t="n"/>
      <c r="DA243" s="8" t="n"/>
      <c r="DB243" s="8" t="n"/>
      <c r="DC243" s="8" t="n"/>
      <c r="DD243" s="8" t="n"/>
      <c r="DE243" s="8" t="n"/>
      <c r="DF243" s="8" t="n"/>
      <c r="DG243" s="8" t="n"/>
      <c r="DH243" s="8" t="n"/>
      <c r="DI243" s="8" t="n"/>
      <c r="DJ243" s="8" t="n"/>
      <c r="DK243" s="8" t="n"/>
      <c r="DL243" s="8" t="n"/>
      <c r="DM243" s="8" t="n"/>
      <c r="DN243" s="8" t="n"/>
      <c r="DO243" s="8" t="n"/>
      <c r="DP243" s="8" t="n"/>
      <c r="DQ243" s="8" t="n"/>
      <c r="DR243" s="8" t="n"/>
      <c r="DS243" s="8" t="n"/>
      <c r="DT243" s="8" t="n"/>
      <c r="DU243" s="8" t="n"/>
      <c r="DV243" s="8" t="n"/>
      <c r="DW243" s="8" t="n"/>
      <c r="DX243" s="8" t="n"/>
      <c r="DY243" s="8" t="n"/>
      <c r="DZ243" s="8" t="n"/>
      <c r="EA243" s="8" t="n"/>
      <c r="EB243" s="8" t="n"/>
      <c r="EC243" s="8" t="n"/>
      <c r="ED243" s="8" t="n"/>
      <c r="EE243" s="8" t="n"/>
      <c r="EF243" s="8" t="n"/>
      <c r="EG243" s="8" t="n"/>
      <c r="EH243" s="8" t="n"/>
      <c r="EI243" s="8" t="n"/>
      <c r="EJ243" s="8" t="n"/>
      <c r="EK243" s="8" t="n"/>
      <c r="EL243" s="8" t="n"/>
      <c r="EM243" s="8" t="n"/>
      <c r="EN243" s="8" t="n"/>
      <c r="EO243" s="8" t="n"/>
      <c r="EP243" s="8" t="n"/>
      <c r="EQ243" s="8" t="n"/>
      <c r="ER243" s="8" t="n"/>
      <c r="ES243" s="8" t="n"/>
      <c r="ET243" s="8" t="n"/>
      <c r="EU243" s="8" t="n"/>
      <c r="EV243" s="8" t="n"/>
      <c r="EW243" s="8" t="n"/>
      <c r="EX243" s="8" t="n"/>
      <c r="EY243" s="8" t="n"/>
      <c r="EZ243" s="8" t="n"/>
      <c r="FA243" s="8" t="n"/>
      <c r="FB243" s="8" t="n"/>
      <c r="FC243" s="8" t="n"/>
      <c r="FD243" s="8" t="n"/>
      <c r="FE243" s="8" t="n"/>
      <c r="FF243" s="8" t="n"/>
      <c r="FG243" s="8" t="n"/>
      <c r="FH243" s="8" t="n"/>
      <c r="FI243" s="8" t="n"/>
      <c r="FJ243" s="8" t="n"/>
      <c r="FK243" s="8" t="n"/>
      <c r="FL243" s="8" t="n"/>
      <c r="FM243" s="8" t="n"/>
      <c r="FN243" s="8" t="n"/>
      <c r="FO243" s="8" t="n"/>
      <c r="FP243" s="8" t="n"/>
      <c r="FQ243" s="8" t="n"/>
      <c r="FR243" s="8" t="n"/>
      <c r="FS243" s="8" t="n"/>
      <c r="FT243" s="8" t="n"/>
      <c r="FU243" s="8" t="n"/>
      <c r="FV243" s="8" t="n"/>
      <c r="FW243" s="8" t="n"/>
      <c r="FX243" s="8" t="n"/>
      <c r="FY243" s="8" t="n"/>
      <c r="FZ243" s="8" t="n"/>
      <c r="GA243" s="8" t="n"/>
      <c r="GB243" s="8" t="n"/>
      <c r="GC243" s="8" t="n"/>
      <c r="GD243" s="8" t="n"/>
      <c r="GE243" s="8" t="n"/>
      <c r="GF243" s="8" t="n"/>
      <c r="GG243" s="8" t="n"/>
      <c r="GH243" s="8" t="n"/>
      <c r="GI243" s="8" t="n"/>
      <c r="GJ243" s="8" t="n"/>
      <c r="GK243" s="8" t="n"/>
      <c r="GL243" s="8" t="n"/>
      <c r="GM243" s="8" t="n"/>
      <c r="GN243" s="8" t="n"/>
      <c r="GO243" s="8" t="n"/>
      <c r="GP243" s="8" t="n"/>
      <c r="GQ243" s="8" t="n"/>
      <c r="GR243" s="8" t="n"/>
      <c r="GS243" s="8" t="n"/>
      <c r="GT243" s="8" t="n"/>
      <c r="GU243" s="8" t="n"/>
      <c r="GV243" s="8" t="n"/>
      <c r="GW243" s="8" t="n"/>
      <c r="GX243" s="8" t="n"/>
      <c r="GY243" s="8" t="n"/>
      <c r="GZ243" s="8" t="n"/>
      <c r="HA243" s="8" t="n"/>
      <c r="HB243" s="8" t="n"/>
      <c r="HC243" s="8" t="n"/>
      <c r="HD243" s="8" t="n"/>
      <c r="HE243" s="8" t="n"/>
      <c r="HF243" s="8" t="n"/>
      <c r="HG243" s="8" t="n"/>
      <c r="HH243" s="8" t="n"/>
      <c r="HI243" s="8" t="n"/>
      <c r="HJ243" s="8" t="n"/>
      <c r="HK243" s="8" t="n"/>
      <c r="HL243" s="8" t="n"/>
      <c r="HM243" s="8" t="n"/>
      <c r="HN243" s="8" t="n"/>
      <c r="HO243" s="8" t="n"/>
      <c r="HP243" s="8" t="n"/>
      <c r="HQ243" s="8" t="n"/>
      <c r="HR243" s="8" t="n"/>
      <c r="HS243" s="8" t="n"/>
      <c r="HT243" s="8" t="n"/>
      <c r="HU243" s="8" t="n"/>
      <c r="HV243" s="8" t="n"/>
      <c r="HW243" s="8" t="n"/>
      <c r="HX243" s="8" t="n"/>
      <c r="HY243" s="8" t="n"/>
      <c r="HZ243" s="8" t="n"/>
      <c r="IA243" s="8" t="n"/>
      <c r="IB243" s="8" t="n"/>
      <c r="IC243" s="8" t="n"/>
      <c r="ID243" s="8" t="n"/>
      <c r="IE243" s="8" t="n"/>
      <c r="IF243" s="8" t="n"/>
      <c r="IG243" s="8" t="n"/>
      <c r="IH243" s="8" t="n"/>
      <c r="IJ243" s="9" t="inlineStr">
        <is>
          <t>ez_manage.py:3879 top()</t>
        </is>
      </c>
      <c r="IK243" s="9" t="inlineStr">
        <is>
          <t>v12_quick_engine.py:2914 x10</t>
        </is>
      </c>
    </row>
    <row r="244" ht="11" customHeight="1">
      <c r="A244" s="10" t="inlineStr">
        <is>
          <t>REENTRY_TIER2_MAX_MINUTES</t>
        </is>
      </c>
      <c r="B244" s="11" t="inlineStr">
        <is>
          <t>1.0</t>
        </is>
      </c>
      <c r="E244">
        <f>IF(F244="",E243,IF(F244&gt;0,E243+F244,E243))</f>
        <v/>
      </c>
      <c r="F244">
        <f>IFERROR(VLOOKUP($A244,Results_30d_Deltas!$A$2:$H$5000,8,FALSE)-E243,"")</f>
        <v/>
      </c>
      <c r="G244">
        <f>IFERROR(VLOOKUP($A244,Results_30d_Deltas!$A$2:$H$5000,7,FALSE)-E243,"")</f>
        <v/>
      </c>
      <c r="H244">
        <f>IFERROR(VLOOKUP($A244,Results_30d_Deltas!$A$2:$H$5000,6,FALSE),"")</f>
        <v/>
      </c>
      <c r="K244">
        <f>IF(B244=C244,"YES","NO")</f>
        <v/>
      </c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8" t="n"/>
      <c r="AB244" s="8" t="n"/>
      <c r="AC244" s="8" t="n"/>
      <c r="AD244" s="8" t="n"/>
      <c r="AE244" s="8" t="n"/>
      <c r="AF244" s="8" t="n"/>
      <c r="AG244" s="8" t="n"/>
      <c r="AH244" s="8" t="n"/>
      <c r="AI244" s="8" t="n"/>
      <c r="AJ244" s="8" t="n"/>
      <c r="AK244" s="8" t="n"/>
      <c r="AL244" s="8" t="n"/>
      <c r="AM244" s="8" t="n"/>
      <c r="AN244" s="8" t="n"/>
      <c r="AO244" s="8" t="n"/>
      <c r="AP244" s="8" t="n"/>
      <c r="AQ244" s="8" t="n"/>
      <c r="AR244" s="8" t="n"/>
      <c r="AS244" s="8" t="n"/>
      <c r="AT244" s="8" t="n"/>
      <c r="AU244" s="8" t="n"/>
      <c r="AV244" s="8" t="n"/>
      <c r="AW244" s="8" t="n"/>
      <c r="AX244" s="8" t="n"/>
      <c r="AY244" s="8" t="n"/>
      <c r="AZ244" s="8" t="n"/>
      <c r="BA244" s="8" t="n"/>
      <c r="BB244" s="8" t="n"/>
      <c r="BC244" s="8" t="n"/>
      <c r="BD244" s="8" t="n"/>
      <c r="BE244" s="8" t="n"/>
      <c r="BF244" s="8" t="n"/>
      <c r="BG244" s="8" t="n"/>
      <c r="BH244" s="8" t="n"/>
      <c r="BI244" s="8" t="n"/>
      <c r="BJ244" s="8" t="n"/>
      <c r="BK244" s="8" t="n"/>
      <c r="BL244" s="8" t="n"/>
      <c r="BM244" s="8" t="n"/>
      <c r="BN244" s="8" t="n"/>
      <c r="BO244" s="8" t="n"/>
      <c r="BP244" s="8" t="n"/>
      <c r="BQ244" s="8" t="n"/>
      <c r="BR244" s="8" t="n"/>
      <c r="BS244" s="8" t="n"/>
      <c r="BT244" s="8" t="n"/>
      <c r="BU244" s="8" t="n"/>
      <c r="BV244" s="8" t="n"/>
      <c r="BW244" s="8" t="n"/>
      <c r="BX244" s="8" t="n"/>
      <c r="BY244" s="8" t="n"/>
      <c r="BZ244" s="8" t="n"/>
      <c r="CA244" s="8" t="n"/>
      <c r="CB244" s="8" t="n"/>
      <c r="CC244" s="8" t="n"/>
      <c r="CD244" s="8" t="n"/>
      <c r="CE244" s="8" t="n"/>
      <c r="CF244" s="8" t="n"/>
      <c r="CG244" s="8" t="n"/>
      <c r="CH244" s="8" t="n"/>
      <c r="CI244" s="8" t="n"/>
      <c r="CJ244" s="8" t="n"/>
      <c r="CK244" s="8" t="n"/>
      <c r="CL244" s="8" t="n"/>
      <c r="CM244" s="8" t="n"/>
      <c r="CN244" s="8" t="n"/>
      <c r="CO244" s="8" t="n"/>
      <c r="CP244" s="8" t="n"/>
      <c r="CQ244" s="8" t="n"/>
      <c r="CR244" s="8" t="n"/>
      <c r="CS244" s="8" t="n"/>
      <c r="CT244" s="8" t="n"/>
      <c r="CU244" s="8" t="n"/>
      <c r="CV244" s="8" t="n"/>
      <c r="CW244" s="8" t="n"/>
      <c r="CX244" s="8" t="n"/>
      <c r="CY244" s="8" t="n"/>
      <c r="CZ244" s="8" t="n"/>
      <c r="DA244" s="8" t="n"/>
      <c r="DB244" s="8" t="n"/>
      <c r="DC244" s="8" t="n"/>
      <c r="DD244" s="8" t="n"/>
      <c r="DE244" s="8" t="n"/>
      <c r="DF244" s="8" t="n"/>
      <c r="DG244" s="8" t="n"/>
      <c r="DH244" s="8" t="n"/>
      <c r="DI244" s="8" t="n"/>
      <c r="DJ244" s="8" t="n"/>
      <c r="DK244" s="8" t="n"/>
      <c r="DL244" s="8" t="n"/>
      <c r="DM244" s="8" t="n"/>
      <c r="DN244" s="8" t="n"/>
      <c r="DO244" s="8" t="n"/>
      <c r="DP244" s="8" t="n"/>
      <c r="DQ244" s="8" t="n"/>
      <c r="DR244" s="8" t="n"/>
      <c r="DS244" s="8" t="n"/>
      <c r="DT244" s="8" t="n"/>
      <c r="DU244" s="8" t="n"/>
      <c r="DV244" s="8" t="n"/>
      <c r="DW244" s="8" t="n"/>
      <c r="DX244" s="8" t="n"/>
      <c r="DY244" s="8" t="n"/>
      <c r="DZ244" s="8" t="n"/>
      <c r="EA244" s="8" t="n"/>
      <c r="EB244" s="8" t="n"/>
      <c r="EC244" s="8" t="n"/>
      <c r="ED244" s="8" t="n"/>
      <c r="EE244" s="8" t="n"/>
      <c r="EF244" s="8" t="n"/>
      <c r="EG244" s="8" t="n"/>
      <c r="EH244" s="8" t="n"/>
      <c r="EI244" s="8" t="n"/>
      <c r="EJ244" s="8" t="n"/>
      <c r="EK244" s="8" t="n"/>
      <c r="EL244" s="8" t="n"/>
      <c r="EM244" s="8" t="n"/>
      <c r="EN244" s="8" t="n"/>
      <c r="EO244" s="8" t="n"/>
      <c r="EP244" s="8" t="n"/>
      <c r="EQ244" s="8" t="n"/>
      <c r="ER244" s="8" t="n"/>
      <c r="ES244" s="8" t="n"/>
      <c r="ET244" s="8" t="n"/>
      <c r="EU244" s="8" t="n"/>
      <c r="EV244" s="8" t="n"/>
      <c r="EW244" s="8" t="n"/>
      <c r="EX244" s="8" t="n"/>
      <c r="EY244" s="8" t="n"/>
      <c r="EZ244" s="8" t="n"/>
      <c r="FA244" s="8" t="n"/>
      <c r="FB244" s="8" t="n"/>
      <c r="FC244" s="8" t="n"/>
      <c r="FD244" s="8" t="n"/>
      <c r="FE244" s="8" t="n"/>
      <c r="FF244" s="8" t="n"/>
      <c r="FG244" s="8" t="n"/>
      <c r="FH244" s="8" t="n"/>
      <c r="FI244" s="8" t="n"/>
      <c r="FJ244" s="8" t="n"/>
      <c r="FK244" s="8" t="n"/>
      <c r="FL244" s="8" t="n"/>
      <c r="FM244" s="8" t="n"/>
      <c r="FN244" s="8" t="n"/>
      <c r="FO244" s="8" t="n"/>
      <c r="FP244" s="8" t="n"/>
      <c r="FQ244" s="8" t="n"/>
      <c r="FR244" s="8" t="n"/>
      <c r="FS244" s="8" t="n"/>
      <c r="FT244" s="8" t="n"/>
      <c r="FU244" s="8" t="n"/>
      <c r="FV244" s="8" t="n"/>
      <c r="FW244" s="8" t="n"/>
      <c r="FX244" s="8" t="n"/>
      <c r="FY244" s="8" t="n"/>
      <c r="FZ244" s="8" t="n"/>
      <c r="GA244" s="8" t="n"/>
      <c r="GB244" s="8" t="n"/>
      <c r="GC244" s="8" t="n"/>
      <c r="GD244" s="8" t="n"/>
      <c r="GE244" s="8" t="n"/>
      <c r="GF244" s="8" t="n"/>
      <c r="GG244" s="8" t="n"/>
      <c r="GH244" s="8" t="n"/>
      <c r="GI244" s="8" t="n"/>
      <c r="GJ244" s="8" t="n"/>
      <c r="GK244" s="8" t="n"/>
      <c r="GL244" s="8" t="n"/>
      <c r="GM244" s="8" t="n"/>
      <c r="GN244" s="8" t="n"/>
      <c r="GO244" s="8" t="n"/>
      <c r="GP244" s="8" t="n"/>
      <c r="GQ244" s="8" t="n"/>
      <c r="GR244" s="8" t="n"/>
      <c r="GS244" s="8" t="n"/>
      <c r="GT244" s="8" t="n"/>
      <c r="GU244" s="8" t="n"/>
      <c r="GV244" s="8" t="n"/>
      <c r="GW244" s="8" t="n"/>
      <c r="GX244" s="8" t="n"/>
      <c r="GY244" s="8" t="n"/>
      <c r="GZ244" s="8" t="n"/>
      <c r="HA244" s="8" t="n"/>
      <c r="HB244" s="8" t="n"/>
      <c r="HC244" s="8" t="n"/>
      <c r="HD244" s="8" t="n"/>
      <c r="HE244" s="8" t="n"/>
      <c r="HF244" s="8" t="n"/>
      <c r="HG244" s="8" t="n"/>
      <c r="HH244" s="8" t="n"/>
      <c r="HI244" s="8" t="n"/>
      <c r="HJ244" s="8" t="n"/>
      <c r="HK244" s="8" t="n"/>
      <c r="HL244" s="8" t="n"/>
      <c r="HM244" s="8" t="n"/>
      <c r="HN244" s="8" t="n"/>
      <c r="HO244" s="8" t="n"/>
      <c r="HP244" s="8" t="n"/>
      <c r="HQ244" s="8" t="n"/>
      <c r="HR244" s="8" t="n"/>
      <c r="HS244" s="8" t="n"/>
      <c r="HT244" s="8" t="n"/>
      <c r="HU244" s="8" t="n"/>
      <c r="HV244" s="8" t="n"/>
      <c r="HW244" s="8" t="n"/>
      <c r="HX244" s="8" t="n"/>
      <c r="HY244" s="8" t="n"/>
      <c r="HZ244" s="8" t="n"/>
      <c r="IA244" s="8" t="n"/>
      <c r="IB244" s="8" t="n"/>
      <c r="IC244" s="8" t="n"/>
      <c r="ID244" s="8" t="n"/>
      <c r="IE244" s="8" t="n"/>
      <c r="IF244" s="8" t="n"/>
      <c r="IG244" s="8" t="n"/>
      <c r="IH244" s="8" t="n"/>
      <c r="IJ244" s="9" t="inlineStr">
        <is>
          <t>ez_manage.py:3879 top()</t>
        </is>
      </c>
      <c r="IK244" s="9" t="inlineStr">
        <is>
          <t>v12_quick_engine.py:2914 x10</t>
        </is>
      </c>
    </row>
    <row r="245" ht="11" customHeight="1">
      <c r="A245" s="10" t="inlineStr">
        <is>
          <t>REENTRY_TIER2_MAX_MINUTES</t>
        </is>
      </c>
      <c r="B245" s="11" t="inlineStr">
        <is>
          <t>2.0</t>
        </is>
      </c>
      <c r="E245">
        <f>IF(F245="",E244,IF(F245&gt;0,E244+F245,E244))</f>
        <v/>
      </c>
      <c r="F245">
        <f>IFERROR(VLOOKUP($A245,Results_30d_Deltas!$A$2:$H$5000,8,FALSE)-E244,"")</f>
        <v/>
      </c>
      <c r="G245">
        <f>IFERROR(VLOOKUP($A245,Results_30d_Deltas!$A$2:$H$5000,7,FALSE)-E244,"")</f>
        <v/>
      </c>
      <c r="H245">
        <f>IFERROR(VLOOKUP($A245,Results_30d_Deltas!$A$2:$H$5000,6,FALSE),"")</f>
        <v/>
      </c>
      <c r="K245">
        <f>IF(B245=C245,"YES","NO")</f>
        <v/>
      </c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  <c r="AA245" s="8" t="n"/>
      <c r="AB245" s="8" t="n"/>
      <c r="AC245" s="8" t="n"/>
      <c r="AD245" s="8" t="n"/>
      <c r="AE245" s="8" t="n"/>
      <c r="AF245" s="8" t="n"/>
      <c r="AG245" s="8" t="n"/>
      <c r="AH245" s="8" t="n"/>
      <c r="AI245" s="8" t="n"/>
      <c r="AJ245" s="8" t="n"/>
      <c r="AK245" s="8" t="n"/>
      <c r="AL245" s="8" t="n"/>
      <c r="AM245" s="8" t="n"/>
      <c r="AN245" s="8" t="n"/>
      <c r="AO245" s="8" t="n"/>
      <c r="AP245" s="8" t="n"/>
      <c r="AQ245" s="8" t="n"/>
      <c r="AR245" s="8" t="n"/>
      <c r="AS245" s="8" t="n"/>
      <c r="AT245" s="8" t="n"/>
      <c r="AU245" s="8" t="n"/>
      <c r="AV245" s="8" t="n"/>
      <c r="AW245" s="8" t="n"/>
      <c r="AX245" s="8" t="n"/>
      <c r="AY245" s="8" t="n"/>
      <c r="AZ245" s="8" t="n"/>
      <c r="BA245" s="8" t="n"/>
      <c r="BB245" s="8" t="n"/>
      <c r="BC245" s="8" t="n"/>
      <c r="BD245" s="8" t="n"/>
      <c r="BE245" s="8" t="n"/>
      <c r="BF245" s="8" t="n"/>
      <c r="BG245" s="8" t="n"/>
      <c r="BH245" s="8" t="n"/>
      <c r="BI245" s="8" t="n"/>
      <c r="BJ245" s="8" t="n"/>
      <c r="BK245" s="8" t="n"/>
      <c r="BL245" s="8" t="n"/>
      <c r="BM245" s="8" t="n"/>
      <c r="BN245" s="8" t="n"/>
      <c r="BO245" s="8" t="n"/>
      <c r="BP245" s="8" t="n"/>
      <c r="BQ245" s="8" t="n"/>
      <c r="BR245" s="8" t="n"/>
      <c r="BS245" s="8" t="n"/>
      <c r="BT245" s="8" t="n"/>
      <c r="BU245" s="8" t="n"/>
      <c r="BV245" s="8" t="n"/>
      <c r="BW245" s="8" t="n"/>
      <c r="BX245" s="8" t="n"/>
      <c r="BY245" s="8" t="n"/>
      <c r="BZ245" s="8" t="n"/>
      <c r="CA245" s="8" t="n"/>
      <c r="CB245" s="8" t="n"/>
      <c r="CC245" s="8" t="n"/>
      <c r="CD245" s="8" t="n"/>
      <c r="CE245" s="8" t="n"/>
      <c r="CF245" s="8" t="n"/>
      <c r="CG245" s="8" t="n"/>
      <c r="CH245" s="8" t="n"/>
      <c r="CI245" s="8" t="n"/>
      <c r="CJ245" s="8" t="n"/>
      <c r="CK245" s="8" t="n"/>
      <c r="CL245" s="8" t="n"/>
      <c r="CM245" s="8" t="n"/>
      <c r="CN245" s="8" t="n"/>
      <c r="CO245" s="8" t="n"/>
      <c r="CP245" s="8" t="n"/>
      <c r="CQ245" s="8" t="n"/>
      <c r="CR245" s="8" t="n"/>
      <c r="CS245" s="8" t="n"/>
      <c r="CT245" s="8" t="n"/>
      <c r="CU245" s="8" t="n"/>
      <c r="CV245" s="8" t="n"/>
      <c r="CW245" s="8" t="n"/>
      <c r="CX245" s="8" t="n"/>
      <c r="CY245" s="8" t="n"/>
      <c r="CZ245" s="8" t="n"/>
      <c r="DA245" s="8" t="n"/>
      <c r="DB245" s="8" t="n"/>
      <c r="DC245" s="8" t="n"/>
      <c r="DD245" s="8" t="n"/>
      <c r="DE245" s="8" t="n"/>
      <c r="DF245" s="8" t="n"/>
      <c r="DG245" s="8" t="n"/>
      <c r="DH245" s="8" t="n"/>
      <c r="DI245" s="8" t="n"/>
      <c r="DJ245" s="8" t="n"/>
      <c r="DK245" s="8" t="n"/>
      <c r="DL245" s="8" t="n"/>
      <c r="DM245" s="8" t="n"/>
      <c r="DN245" s="8" t="n"/>
      <c r="DO245" s="8" t="n"/>
      <c r="DP245" s="8" t="n"/>
      <c r="DQ245" s="8" t="n"/>
      <c r="DR245" s="8" t="n"/>
      <c r="DS245" s="8" t="n"/>
      <c r="DT245" s="8" t="n"/>
      <c r="DU245" s="8" t="n"/>
      <c r="DV245" s="8" t="n"/>
      <c r="DW245" s="8" t="n"/>
      <c r="DX245" s="8" t="n"/>
      <c r="DY245" s="8" t="n"/>
      <c r="DZ245" s="8" t="n"/>
      <c r="EA245" s="8" t="n"/>
      <c r="EB245" s="8" t="n"/>
      <c r="EC245" s="8" t="n"/>
      <c r="ED245" s="8" t="n"/>
      <c r="EE245" s="8" t="n"/>
      <c r="EF245" s="8" t="n"/>
      <c r="EG245" s="8" t="n"/>
      <c r="EH245" s="8" t="n"/>
      <c r="EI245" s="8" t="n"/>
      <c r="EJ245" s="8" t="n"/>
      <c r="EK245" s="8" t="n"/>
      <c r="EL245" s="8" t="n"/>
      <c r="EM245" s="8" t="n"/>
      <c r="EN245" s="8" t="n"/>
      <c r="EO245" s="8" t="n"/>
      <c r="EP245" s="8" t="n"/>
      <c r="EQ245" s="8" t="n"/>
      <c r="ER245" s="8" t="n"/>
      <c r="ES245" s="8" t="n"/>
      <c r="ET245" s="8" t="n"/>
      <c r="EU245" s="8" t="n"/>
      <c r="EV245" s="8" t="n"/>
      <c r="EW245" s="8" t="n"/>
      <c r="EX245" s="8" t="n"/>
      <c r="EY245" s="8" t="n"/>
      <c r="EZ245" s="8" t="n"/>
      <c r="FA245" s="8" t="n"/>
      <c r="FB245" s="8" t="n"/>
      <c r="FC245" s="8" t="n"/>
      <c r="FD245" s="8" t="n"/>
      <c r="FE245" s="8" t="n"/>
      <c r="FF245" s="8" t="n"/>
      <c r="FG245" s="8" t="n"/>
      <c r="FH245" s="8" t="n"/>
      <c r="FI245" s="8" t="n"/>
      <c r="FJ245" s="8" t="n"/>
      <c r="FK245" s="8" t="n"/>
      <c r="FL245" s="8" t="n"/>
      <c r="FM245" s="8" t="n"/>
      <c r="FN245" s="8" t="n"/>
      <c r="FO245" s="8" t="n"/>
      <c r="FP245" s="8" t="n"/>
      <c r="FQ245" s="8" t="n"/>
      <c r="FR245" s="8" t="n"/>
      <c r="FS245" s="8" t="n"/>
      <c r="FT245" s="8" t="n"/>
      <c r="FU245" s="8" t="n"/>
      <c r="FV245" s="8" t="n"/>
      <c r="FW245" s="8" t="n"/>
      <c r="FX245" s="8" t="n"/>
      <c r="FY245" s="8" t="n"/>
      <c r="FZ245" s="8" t="n"/>
      <c r="GA245" s="8" t="n"/>
      <c r="GB245" s="8" t="n"/>
      <c r="GC245" s="8" t="n"/>
      <c r="GD245" s="8" t="n"/>
      <c r="GE245" s="8" t="n"/>
      <c r="GF245" s="8" t="n"/>
      <c r="GG245" s="8" t="n"/>
      <c r="GH245" s="8" t="n"/>
      <c r="GI245" s="8" t="n"/>
      <c r="GJ245" s="8" t="n"/>
      <c r="GK245" s="8" t="n"/>
      <c r="GL245" s="8" t="n"/>
      <c r="GM245" s="8" t="n"/>
      <c r="GN245" s="8" t="n"/>
      <c r="GO245" s="8" t="n"/>
      <c r="GP245" s="8" t="n"/>
      <c r="GQ245" s="8" t="n"/>
      <c r="GR245" s="8" t="n"/>
      <c r="GS245" s="8" t="n"/>
      <c r="GT245" s="8" t="n"/>
      <c r="GU245" s="8" t="n"/>
      <c r="GV245" s="8" t="n"/>
      <c r="GW245" s="8" t="n"/>
      <c r="GX245" s="8" t="n"/>
      <c r="GY245" s="8" t="n"/>
      <c r="GZ245" s="8" t="n"/>
      <c r="HA245" s="8" t="n"/>
      <c r="HB245" s="8" t="n"/>
      <c r="HC245" s="8" t="n"/>
      <c r="HD245" s="8" t="n"/>
      <c r="HE245" s="8" t="n"/>
      <c r="HF245" s="8" t="n"/>
      <c r="HG245" s="8" t="n"/>
      <c r="HH245" s="8" t="n"/>
      <c r="HI245" s="8" t="n"/>
      <c r="HJ245" s="8" t="n"/>
      <c r="HK245" s="8" t="n"/>
      <c r="HL245" s="8" t="n"/>
      <c r="HM245" s="8" t="n"/>
      <c r="HN245" s="8" t="n"/>
      <c r="HO245" s="8" t="n"/>
      <c r="HP245" s="8" t="n"/>
      <c r="HQ245" s="8" t="n"/>
      <c r="HR245" s="8" t="n"/>
      <c r="HS245" s="8" t="n"/>
      <c r="HT245" s="8" t="n"/>
      <c r="HU245" s="8" t="n"/>
      <c r="HV245" s="8" t="n"/>
      <c r="HW245" s="8" t="n"/>
      <c r="HX245" s="8" t="n"/>
      <c r="HY245" s="8" t="n"/>
      <c r="HZ245" s="8" t="n"/>
      <c r="IA245" s="8" t="n"/>
      <c r="IB245" s="8" t="n"/>
      <c r="IC245" s="8" t="n"/>
      <c r="ID245" s="8" t="n"/>
      <c r="IE245" s="8" t="n"/>
      <c r="IF245" s="8" t="n"/>
      <c r="IG245" s="8" t="n"/>
      <c r="IH245" s="8" t="n"/>
      <c r="IJ245" s="9" t="inlineStr">
        <is>
          <t>ez_manage.py:3879 top()</t>
        </is>
      </c>
      <c r="IK245" s="9" t="inlineStr">
        <is>
          <t>v12_quick_engine.py:2914 x10</t>
        </is>
      </c>
    </row>
    <row r="246" ht="11" customHeight="1">
      <c r="A246" s="10" t="inlineStr">
        <is>
          <t>REENTRY_WT15M_SIZE_MULT</t>
        </is>
      </c>
      <c r="B246" s="11" t="inlineStr">
        <is>
          <t>0</t>
        </is>
      </c>
      <c r="E246">
        <f>IF(F246="",E245,IF(F246&gt;0,E245+F246,E245))</f>
        <v/>
      </c>
      <c r="F246">
        <f>IFERROR(VLOOKUP($A246,Results_30d_Deltas!$A$2:$H$5000,8,FALSE)-E245,"")</f>
        <v/>
      </c>
      <c r="G246">
        <f>IFERROR(VLOOKUP($A246,Results_30d_Deltas!$A$2:$H$5000,7,FALSE)-E245,"")</f>
        <v/>
      </c>
      <c r="H246">
        <f>IFERROR(VLOOKUP($A246,Results_30d_Deltas!$A$2:$H$5000,6,FALSE),"")</f>
        <v/>
      </c>
      <c r="K246">
        <f>IF(B246=C246,"YES","NO")</f>
        <v/>
      </c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8" t="n"/>
      <c r="AB246" s="8" t="n"/>
      <c r="AC246" s="8" t="n"/>
      <c r="AD246" s="8" t="n"/>
      <c r="AE246" s="8" t="n"/>
      <c r="AF246" s="8" t="n"/>
      <c r="AG246" s="8" t="n"/>
      <c r="AH246" s="8" t="n"/>
      <c r="AI246" s="8" t="n"/>
      <c r="AJ246" s="8" t="n"/>
      <c r="AK246" s="8" t="n"/>
      <c r="AL246" s="8" t="n"/>
      <c r="AM246" s="8" t="n"/>
      <c r="AN246" s="8" t="n"/>
      <c r="AO246" s="8" t="n"/>
      <c r="AP246" s="8" t="n"/>
      <c r="AQ246" s="8" t="n"/>
      <c r="AR246" s="8" t="n"/>
      <c r="AS246" s="8" t="n"/>
      <c r="AT246" s="8" t="n"/>
      <c r="AU246" s="8" t="n"/>
      <c r="AV246" s="8" t="n"/>
      <c r="AW246" s="8" t="n"/>
      <c r="AX246" s="8" t="n"/>
      <c r="AY246" s="8" t="n"/>
      <c r="AZ246" s="8" t="n"/>
      <c r="BA246" s="8" t="n"/>
      <c r="BB246" s="8" t="n"/>
      <c r="BC246" s="8" t="n"/>
      <c r="BD246" s="8" t="n"/>
      <c r="BE246" s="8" t="n"/>
      <c r="BF246" s="8" t="n"/>
      <c r="BG246" s="8" t="n"/>
      <c r="BH246" s="8" t="n"/>
      <c r="BI246" s="8" t="n"/>
      <c r="BJ246" s="8" t="n"/>
      <c r="BK246" s="8" t="n"/>
      <c r="BL246" s="8" t="n"/>
      <c r="BM246" s="8" t="n"/>
      <c r="BN246" s="8" t="n"/>
      <c r="BO246" s="8" t="n"/>
      <c r="BP246" s="8" t="n"/>
      <c r="BQ246" s="8" t="n"/>
      <c r="BR246" s="8" t="n"/>
      <c r="BS246" s="8" t="n"/>
      <c r="BT246" s="8" t="n"/>
      <c r="BU246" s="8" t="n"/>
      <c r="BV246" s="8" t="n"/>
      <c r="BW246" s="8" t="n"/>
      <c r="BX246" s="8" t="n"/>
      <c r="BY246" s="8" t="n"/>
      <c r="BZ246" s="8" t="n"/>
      <c r="CA246" s="8" t="n"/>
      <c r="CB246" s="8" t="n"/>
      <c r="CC246" s="8" t="n"/>
      <c r="CD246" s="8" t="n"/>
      <c r="CE246" s="8" t="n"/>
      <c r="CF246" s="8" t="n"/>
      <c r="CG246" s="8" t="n"/>
      <c r="CH246" s="8" t="n"/>
      <c r="CI246" s="8" t="n"/>
      <c r="CJ246" s="8" t="n"/>
      <c r="CK246" s="8" t="n"/>
      <c r="CL246" s="8" t="n"/>
      <c r="CM246" s="8" t="n"/>
      <c r="CN246" s="8" t="n"/>
      <c r="CO246" s="8" t="n"/>
      <c r="CP246" s="8" t="n"/>
      <c r="CQ246" s="8" t="n"/>
      <c r="CR246" s="8" t="n"/>
      <c r="CS246" s="8" t="n"/>
      <c r="CT246" s="8" t="n"/>
      <c r="CU246" s="8" t="n"/>
      <c r="CV246" s="8" t="n"/>
      <c r="CW246" s="8" t="n"/>
      <c r="CX246" s="8" t="n"/>
      <c r="CY246" s="8" t="n"/>
      <c r="CZ246" s="8" t="n"/>
      <c r="DA246" s="8" t="n"/>
      <c r="DB246" s="8" t="n"/>
      <c r="DC246" s="8" t="n"/>
      <c r="DD246" s="8" t="n"/>
      <c r="DE246" s="8" t="n"/>
      <c r="DF246" s="8" t="n"/>
      <c r="DG246" s="8" t="n"/>
      <c r="DH246" s="8" t="n"/>
      <c r="DI246" s="8" t="n"/>
      <c r="DJ246" s="8" t="n"/>
      <c r="DK246" s="8" t="n"/>
      <c r="DL246" s="8" t="n"/>
      <c r="DM246" s="8" t="n"/>
      <c r="DN246" s="8" t="n"/>
      <c r="DO246" s="8" t="n"/>
      <c r="DP246" s="8" t="n"/>
      <c r="DQ246" s="8" t="n"/>
      <c r="DR246" s="8" t="n"/>
      <c r="DS246" s="8" t="n"/>
      <c r="DT246" s="8" t="n"/>
      <c r="DU246" s="8" t="n"/>
      <c r="DV246" s="8" t="n"/>
      <c r="DW246" s="8" t="n"/>
      <c r="DX246" s="8" t="n"/>
      <c r="DY246" s="8" t="n"/>
      <c r="DZ246" s="8" t="n"/>
      <c r="EA246" s="8" t="n"/>
      <c r="EB246" s="8" t="n"/>
      <c r="EC246" s="8" t="n"/>
      <c r="ED246" s="8" t="n"/>
      <c r="EE246" s="8" t="n"/>
      <c r="EF246" s="8" t="n"/>
      <c r="EG246" s="8" t="n"/>
      <c r="EH246" s="8" t="n"/>
      <c r="EI246" s="8" t="n"/>
      <c r="EJ246" s="8" t="n"/>
      <c r="EK246" s="8" t="n"/>
      <c r="EL246" s="8" t="n"/>
      <c r="EM246" s="8" t="n"/>
      <c r="EN246" s="8" t="n"/>
      <c r="EO246" s="8" t="n"/>
      <c r="EP246" s="8" t="n"/>
      <c r="EQ246" s="8" t="n"/>
      <c r="ER246" s="8" t="n"/>
      <c r="ES246" s="8" t="n"/>
      <c r="ET246" s="8" t="n"/>
      <c r="EU246" s="8" t="n"/>
      <c r="EV246" s="8" t="n"/>
      <c r="EW246" s="8" t="n"/>
      <c r="EX246" s="8" t="n"/>
      <c r="EY246" s="8" t="n"/>
      <c r="EZ246" s="8" t="n"/>
      <c r="FA246" s="8" t="n"/>
      <c r="FB246" s="8" t="n"/>
      <c r="FC246" s="8" t="n"/>
      <c r="FD246" s="8" t="n"/>
      <c r="FE246" s="8" t="n"/>
      <c r="FF246" s="8" t="n"/>
      <c r="FG246" s="8" t="n"/>
      <c r="FH246" s="8" t="n"/>
      <c r="FI246" s="8" t="n"/>
      <c r="FJ246" s="8" t="n"/>
      <c r="FK246" s="8" t="n"/>
      <c r="FL246" s="8" t="n"/>
      <c r="FM246" s="8" t="n"/>
      <c r="FN246" s="8" t="n"/>
      <c r="FO246" s="8" t="n"/>
      <c r="FP246" s="8" t="n"/>
      <c r="FQ246" s="8" t="n"/>
      <c r="FR246" s="8" t="n"/>
      <c r="FS246" s="8" t="n"/>
      <c r="FT246" s="8" t="n"/>
      <c r="FU246" s="8" t="n"/>
      <c r="FV246" s="8" t="n"/>
      <c r="FW246" s="8" t="n"/>
      <c r="FX246" s="8" t="n"/>
      <c r="FY246" s="8" t="n"/>
      <c r="FZ246" s="8" t="n"/>
      <c r="GA246" s="8" t="n"/>
      <c r="GB246" s="8" t="n"/>
      <c r="GC246" s="8" t="n"/>
      <c r="GD246" s="8" t="n"/>
      <c r="GE246" s="8" t="n"/>
      <c r="GF246" s="8" t="n"/>
      <c r="GG246" s="8" t="n"/>
      <c r="GH246" s="8" t="n"/>
      <c r="GI246" s="8" t="n"/>
      <c r="GJ246" s="8" t="n"/>
      <c r="GK246" s="8" t="n"/>
      <c r="GL246" s="8" t="n"/>
      <c r="GM246" s="8" t="n"/>
      <c r="GN246" s="8" t="n"/>
      <c r="GO246" s="8" t="n"/>
      <c r="GP246" s="8" t="n"/>
      <c r="GQ246" s="8" t="n"/>
      <c r="GR246" s="8" t="n"/>
      <c r="GS246" s="8" t="n"/>
      <c r="GT246" s="8" t="n"/>
      <c r="GU246" s="8" t="n"/>
      <c r="GV246" s="8" t="n"/>
      <c r="GW246" s="8" t="n"/>
      <c r="GX246" s="8" t="n"/>
      <c r="GY246" s="8" t="n"/>
      <c r="GZ246" s="8" t="n"/>
      <c r="HA246" s="8" t="n"/>
      <c r="HB246" s="8" t="n"/>
      <c r="HC246" s="8" t="n"/>
      <c r="HD246" s="8" t="n"/>
      <c r="HE246" s="8" t="n"/>
      <c r="HF246" s="8" t="n"/>
      <c r="HG246" s="8" t="n"/>
      <c r="HH246" s="8" t="n"/>
      <c r="HI246" s="8" t="n"/>
      <c r="HJ246" s="8" t="n"/>
      <c r="HK246" s="8" t="n"/>
      <c r="HL246" s="8" t="n"/>
      <c r="HM246" s="8" t="n"/>
      <c r="HN246" s="8" t="n"/>
      <c r="HO246" s="8" t="n"/>
      <c r="HP246" s="8" t="n"/>
      <c r="HQ246" s="8" t="n"/>
      <c r="HR246" s="8" t="n"/>
      <c r="HS246" s="8" t="n"/>
      <c r="HT246" s="8" t="n"/>
      <c r="HU246" s="8" t="n"/>
      <c r="HV246" s="8" t="n"/>
      <c r="HW246" s="8" t="n"/>
      <c r="HX246" s="8" t="n"/>
      <c r="HY246" s="8" t="n"/>
      <c r="HZ246" s="8" t="n"/>
      <c r="IA246" s="8" t="n"/>
      <c r="IB246" s="8" t="n"/>
      <c r="IC246" s="8" t="n"/>
      <c r="ID246" s="8" t="n"/>
      <c r="IE246" s="8" t="n"/>
      <c r="IF246" s="8" t="n"/>
      <c r="IG246" s="8" t="n"/>
      <c r="IH246" s="8" t="n"/>
      <c r="IJ246" s="9" t="inlineStr">
        <is>
          <t>ez_manage.py:3884 top()</t>
        </is>
      </c>
      <c r="IK246" s="9" t="inlineStr">
        <is>
          <t>v12_quick_engine.py:2926 x5</t>
        </is>
      </c>
    </row>
    <row r="247" ht="11" customHeight="1">
      <c r="A247" s="10" t="inlineStr">
        <is>
          <t>REENTRY_WT15M_SIZE_MULT</t>
        </is>
      </c>
      <c r="B247" s="11" t="inlineStr">
        <is>
          <t>0.5</t>
        </is>
      </c>
      <c r="E247">
        <f>IF(F247="",E246,IF(F247&gt;0,E246+F247,E246))</f>
        <v/>
      </c>
      <c r="F247">
        <f>IFERROR(VLOOKUP($A247,Results_30d_Deltas!$A$2:$H$5000,8,FALSE)-E246,"")</f>
        <v/>
      </c>
      <c r="G247">
        <f>IFERROR(VLOOKUP($A247,Results_30d_Deltas!$A$2:$H$5000,7,FALSE)-E246,"")</f>
        <v/>
      </c>
      <c r="H247">
        <f>IFERROR(VLOOKUP($A247,Results_30d_Deltas!$A$2:$H$5000,6,FALSE),"")</f>
        <v/>
      </c>
      <c r="K247">
        <f>IF(B247=C247,"YES","NO")</f>
        <v/>
      </c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  <c r="AB247" s="8" t="n"/>
      <c r="AC247" s="8" t="n"/>
      <c r="AD247" s="8" t="n"/>
      <c r="AE247" s="8" t="n"/>
      <c r="AF247" s="8" t="n"/>
      <c r="AG247" s="8" t="n"/>
      <c r="AH247" s="8" t="n"/>
      <c r="AI247" s="8" t="n"/>
      <c r="AJ247" s="8" t="n"/>
      <c r="AK247" s="8" t="n"/>
      <c r="AL247" s="8" t="n"/>
      <c r="AM247" s="8" t="n"/>
      <c r="AN247" s="8" t="n"/>
      <c r="AO247" s="8" t="n"/>
      <c r="AP247" s="8" t="n"/>
      <c r="AQ247" s="8" t="n"/>
      <c r="AR247" s="8" t="n"/>
      <c r="AS247" s="8" t="n"/>
      <c r="AT247" s="8" t="n"/>
      <c r="AU247" s="8" t="n"/>
      <c r="AV247" s="8" t="n"/>
      <c r="AW247" s="8" t="n"/>
      <c r="AX247" s="8" t="n"/>
      <c r="AY247" s="8" t="n"/>
      <c r="AZ247" s="8" t="n"/>
      <c r="BA247" s="8" t="n"/>
      <c r="BB247" s="8" t="n"/>
      <c r="BC247" s="8" t="n"/>
      <c r="BD247" s="8" t="n"/>
      <c r="BE247" s="8" t="n"/>
      <c r="BF247" s="8" t="n"/>
      <c r="BG247" s="8" t="n"/>
      <c r="BH247" s="8" t="n"/>
      <c r="BI247" s="8" t="n"/>
      <c r="BJ247" s="8" t="n"/>
      <c r="BK247" s="8" t="n"/>
      <c r="BL247" s="8" t="n"/>
      <c r="BM247" s="8" t="n"/>
      <c r="BN247" s="8" t="n"/>
      <c r="BO247" s="8" t="n"/>
      <c r="BP247" s="8" t="n"/>
      <c r="BQ247" s="8" t="n"/>
      <c r="BR247" s="8" t="n"/>
      <c r="BS247" s="8" t="n"/>
      <c r="BT247" s="8" t="n"/>
      <c r="BU247" s="8" t="n"/>
      <c r="BV247" s="8" t="n"/>
      <c r="BW247" s="8" t="n"/>
      <c r="BX247" s="8" t="n"/>
      <c r="BY247" s="8" t="n"/>
      <c r="BZ247" s="8" t="n"/>
      <c r="CA247" s="8" t="n"/>
      <c r="CB247" s="8" t="n"/>
      <c r="CC247" s="8" t="n"/>
      <c r="CD247" s="8" t="n"/>
      <c r="CE247" s="8" t="n"/>
      <c r="CF247" s="8" t="n"/>
      <c r="CG247" s="8" t="n"/>
      <c r="CH247" s="8" t="n"/>
      <c r="CI247" s="8" t="n"/>
      <c r="CJ247" s="8" t="n"/>
      <c r="CK247" s="8" t="n"/>
      <c r="CL247" s="8" t="n"/>
      <c r="CM247" s="8" t="n"/>
      <c r="CN247" s="8" t="n"/>
      <c r="CO247" s="8" t="n"/>
      <c r="CP247" s="8" t="n"/>
      <c r="CQ247" s="8" t="n"/>
      <c r="CR247" s="8" t="n"/>
      <c r="CS247" s="8" t="n"/>
      <c r="CT247" s="8" t="n"/>
      <c r="CU247" s="8" t="n"/>
      <c r="CV247" s="8" t="n"/>
      <c r="CW247" s="8" t="n"/>
      <c r="CX247" s="8" t="n"/>
      <c r="CY247" s="8" t="n"/>
      <c r="CZ247" s="8" t="n"/>
      <c r="DA247" s="8" t="n"/>
      <c r="DB247" s="8" t="n"/>
      <c r="DC247" s="8" t="n"/>
      <c r="DD247" s="8" t="n"/>
      <c r="DE247" s="8" t="n"/>
      <c r="DF247" s="8" t="n"/>
      <c r="DG247" s="8" t="n"/>
      <c r="DH247" s="8" t="n"/>
      <c r="DI247" s="8" t="n"/>
      <c r="DJ247" s="8" t="n"/>
      <c r="DK247" s="8" t="n"/>
      <c r="DL247" s="8" t="n"/>
      <c r="DM247" s="8" t="n"/>
      <c r="DN247" s="8" t="n"/>
      <c r="DO247" s="8" t="n"/>
      <c r="DP247" s="8" t="n"/>
      <c r="DQ247" s="8" t="n"/>
      <c r="DR247" s="8" t="n"/>
      <c r="DS247" s="8" t="n"/>
      <c r="DT247" s="8" t="n"/>
      <c r="DU247" s="8" t="n"/>
      <c r="DV247" s="8" t="n"/>
      <c r="DW247" s="8" t="n"/>
      <c r="DX247" s="8" t="n"/>
      <c r="DY247" s="8" t="n"/>
      <c r="DZ247" s="8" t="n"/>
      <c r="EA247" s="8" t="n"/>
      <c r="EB247" s="8" t="n"/>
      <c r="EC247" s="8" t="n"/>
      <c r="ED247" s="8" t="n"/>
      <c r="EE247" s="8" t="n"/>
      <c r="EF247" s="8" t="n"/>
      <c r="EG247" s="8" t="n"/>
      <c r="EH247" s="8" t="n"/>
      <c r="EI247" s="8" t="n"/>
      <c r="EJ247" s="8" t="n"/>
      <c r="EK247" s="8" t="n"/>
      <c r="EL247" s="8" t="n"/>
      <c r="EM247" s="8" t="n"/>
      <c r="EN247" s="8" t="n"/>
      <c r="EO247" s="8" t="n"/>
      <c r="EP247" s="8" t="n"/>
      <c r="EQ247" s="8" t="n"/>
      <c r="ER247" s="8" t="n"/>
      <c r="ES247" s="8" t="n"/>
      <c r="ET247" s="8" t="n"/>
      <c r="EU247" s="8" t="n"/>
      <c r="EV247" s="8" t="n"/>
      <c r="EW247" s="8" t="n"/>
      <c r="EX247" s="8" t="n"/>
      <c r="EY247" s="8" t="n"/>
      <c r="EZ247" s="8" t="n"/>
      <c r="FA247" s="8" t="n"/>
      <c r="FB247" s="8" t="n"/>
      <c r="FC247" s="8" t="n"/>
      <c r="FD247" s="8" t="n"/>
      <c r="FE247" s="8" t="n"/>
      <c r="FF247" s="8" t="n"/>
      <c r="FG247" s="8" t="n"/>
      <c r="FH247" s="8" t="n"/>
      <c r="FI247" s="8" t="n"/>
      <c r="FJ247" s="8" t="n"/>
      <c r="FK247" s="8" t="n"/>
      <c r="FL247" s="8" t="n"/>
      <c r="FM247" s="8" t="n"/>
      <c r="FN247" s="8" t="n"/>
      <c r="FO247" s="8" t="n"/>
      <c r="FP247" s="8" t="n"/>
      <c r="FQ247" s="8" t="n"/>
      <c r="FR247" s="8" t="n"/>
      <c r="FS247" s="8" t="n"/>
      <c r="FT247" s="8" t="n"/>
      <c r="FU247" s="8" t="n"/>
      <c r="FV247" s="8" t="n"/>
      <c r="FW247" s="8" t="n"/>
      <c r="FX247" s="8" t="n"/>
      <c r="FY247" s="8" t="n"/>
      <c r="FZ247" s="8" t="n"/>
      <c r="GA247" s="8" t="n"/>
      <c r="GB247" s="8" t="n"/>
      <c r="GC247" s="8" t="n"/>
      <c r="GD247" s="8" t="n"/>
      <c r="GE247" s="8" t="n"/>
      <c r="GF247" s="8" t="n"/>
      <c r="GG247" s="8" t="n"/>
      <c r="GH247" s="8" t="n"/>
      <c r="GI247" s="8" t="n"/>
      <c r="GJ247" s="8" t="n"/>
      <c r="GK247" s="8" t="n"/>
      <c r="GL247" s="8" t="n"/>
      <c r="GM247" s="8" t="n"/>
      <c r="GN247" s="8" t="n"/>
      <c r="GO247" s="8" t="n"/>
      <c r="GP247" s="8" t="n"/>
      <c r="GQ247" s="8" t="n"/>
      <c r="GR247" s="8" t="n"/>
      <c r="GS247" s="8" t="n"/>
      <c r="GT247" s="8" t="n"/>
      <c r="GU247" s="8" t="n"/>
      <c r="GV247" s="8" t="n"/>
      <c r="GW247" s="8" t="n"/>
      <c r="GX247" s="8" t="n"/>
      <c r="GY247" s="8" t="n"/>
      <c r="GZ247" s="8" t="n"/>
      <c r="HA247" s="8" t="n"/>
      <c r="HB247" s="8" t="n"/>
      <c r="HC247" s="8" t="n"/>
      <c r="HD247" s="8" t="n"/>
      <c r="HE247" s="8" t="n"/>
      <c r="HF247" s="8" t="n"/>
      <c r="HG247" s="8" t="n"/>
      <c r="HH247" s="8" t="n"/>
      <c r="HI247" s="8" t="n"/>
      <c r="HJ247" s="8" t="n"/>
      <c r="HK247" s="8" t="n"/>
      <c r="HL247" s="8" t="n"/>
      <c r="HM247" s="8" t="n"/>
      <c r="HN247" s="8" t="n"/>
      <c r="HO247" s="8" t="n"/>
      <c r="HP247" s="8" t="n"/>
      <c r="HQ247" s="8" t="n"/>
      <c r="HR247" s="8" t="n"/>
      <c r="HS247" s="8" t="n"/>
      <c r="HT247" s="8" t="n"/>
      <c r="HU247" s="8" t="n"/>
      <c r="HV247" s="8" t="n"/>
      <c r="HW247" s="8" t="n"/>
      <c r="HX247" s="8" t="n"/>
      <c r="HY247" s="8" t="n"/>
      <c r="HZ247" s="8" t="n"/>
      <c r="IA247" s="8" t="n"/>
      <c r="IB247" s="8" t="n"/>
      <c r="IC247" s="8" t="n"/>
      <c r="ID247" s="8" t="n"/>
      <c r="IE247" s="8" t="n"/>
      <c r="IF247" s="8" t="n"/>
      <c r="IG247" s="8" t="n"/>
      <c r="IH247" s="8" t="n"/>
      <c r="IJ247" s="9" t="inlineStr">
        <is>
          <t>ez_manage.py:3884 top()</t>
        </is>
      </c>
      <c r="IK247" s="9" t="inlineStr">
        <is>
          <t>v12_quick_engine.py:2926 x5</t>
        </is>
      </c>
    </row>
    <row r="248" ht="11" customHeight="1">
      <c r="A248" s="10" t="inlineStr">
        <is>
          <t>REENTRY_WT15M_SIZE_MULT</t>
        </is>
      </c>
      <c r="B248" s="11" t="inlineStr">
        <is>
          <t>1.0</t>
        </is>
      </c>
      <c r="E248">
        <f>IF(F248="",E247,IF(F248&gt;0,E247+F248,E247))</f>
        <v/>
      </c>
      <c r="F248">
        <f>IFERROR(VLOOKUP($A248,Results_30d_Deltas!$A$2:$H$5000,8,FALSE)-E247,"")</f>
        <v/>
      </c>
      <c r="G248">
        <f>IFERROR(VLOOKUP($A248,Results_30d_Deltas!$A$2:$H$5000,7,FALSE)-E247,"")</f>
        <v/>
      </c>
      <c r="H248">
        <f>IFERROR(VLOOKUP($A248,Results_30d_Deltas!$A$2:$H$5000,6,FALSE),"")</f>
        <v/>
      </c>
      <c r="K248">
        <f>IF(B248=C248,"YES","NO")</f>
        <v/>
      </c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8" t="n"/>
      <c r="AB248" s="8" t="n"/>
      <c r="AC248" s="8" t="n"/>
      <c r="AD248" s="8" t="n"/>
      <c r="AE248" s="8" t="n"/>
      <c r="AF248" s="8" t="n"/>
      <c r="AG248" s="8" t="n"/>
      <c r="AH248" s="8" t="n"/>
      <c r="AI248" s="8" t="n"/>
      <c r="AJ248" s="8" t="n"/>
      <c r="AK248" s="8" t="n"/>
      <c r="AL248" s="8" t="n"/>
      <c r="AM248" s="8" t="n"/>
      <c r="AN248" s="8" t="n"/>
      <c r="AO248" s="8" t="n"/>
      <c r="AP248" s="8" t="n"/>
      <c r="AQ248" s="8" t="n"/>
      <c r="AR248" s="8" t="n"/>
      <c r="AS248" s="8" t="n"/>
      <c r="AT248" s="8" t="n"/>
      <c r="AU248" s="8" t="n"/>
      <c r="AV248" s="8" t="n"/>
      <c r="AW248" s="8" t="n"/>
      <c r="AX248" s="8" t="n"/>
      <c r="AY248" s="8" t="n"/>
      <c r="AZ248" s="8" t="n"/>
      <c r="BA248" s="8" t="n"/>
      <c r="BB248" s="8" t="n"/>
      <c r="BC248" s="8" t="n"/>
      <c r="BD248" s="8" t="n"/>
      <c r="BE248" s="8" t="n"/>
      <c r="BF248" s="8" t="n"/>
      <c r="BG248" s="8" t="n"/>
      <c r="BH248" s="8" t="n"/>
      <c r="BI248" s="8" t="n"/>
      <c r="BJ248" s="8" t="n"/>
      <c r="BK248" s="8" t="n"/>
      <c r="BL248" s="8" t="n"/>
      <c r="BM248" s="8" t="n"/>
      <c r="BN248" s="8" t="n"/>
      <c r="BO248" s="8" t="n"/>
      <c r="BP248" s="8" t="n"/>
      <c r="BQ248" s="8" t="n"/>
      <c r="BR248" s="8" t="n"/>
      <c r="BS248" s="8" t="n"/>
      <c r="BT248" s="8" t="n"/>
      <c r="BU248" s="8" t="n"/>
      <c r="BV248" s="8" t="n"/>
      <c r="BW248" s="8" t="n"/>
      <c r="BX248" s="8" t="n"/>
      <c r="BY248" s="8" t="n"/>
      <c r="BZ248" s="8" t="n"/>
      <c r="CA248" s="8" t="n"/>
      <c r="CB248" s="8" t="n"/>
      <c r="CC248" s="8" t="n"/>
      <c r="CD248" s="8" t="n"/>
      <c r="CE248" s="8" t="n"/>
      <c r="CF248" s="8" t="n"/>
      <c r="CG248" s="8" t="n"/>
      <c r="CH248" s="8" t="n"/>
      <c r="CI248" s="8" t="n"/>
      <c r="CJ248" s="8" t="n"/>
      <c r="CK248" s="8" t="n"/>
      <c r="CL248" s="8" t="n"/>
      <c r="CM248" s="8" t="n"/>
      <c r="CN248" s="8" t="n"/>
      <c r="CO248" s="8" t="n"/>
      <c r="CP248" s="8" t="n"/>
      <c r="CQ248" s="8" t="n"/>
      <c r="CR248" s="8" t="n"/>
      <c r="CS248" s="8" t="n"/>
      <c r="CT248" s="8" t="n"/>
      <c r="CU248" s="8" t="n"/>
      <c r="CV248" s="8" t="n"/>
      <c r="CW248" s="8" t="n"/>
      <c r="CX248" s="8" t="n"/>
      <c r="CY248" s="8" t="n"/>
      <c r="CZ248" s="8" t="n"/>
      <c r="DA248" s="8" t="n"/>
      <c r="DB248" s="8" t="n"/>
      <c r="DC248" s="8" t="n"/>
      <c r="DD248" s="8" t="n"/>
      <c r="DE248" s="8" t="n"/>
      <c r="DF248" s="8" t="n"/>
      <c r="DG248" s="8" t="n"/>
      <c r="DH248" s="8" t="n"/>
      <c r="DI248" s="8" t="n"/>
      <c r="DJ248" s="8" t="n"/>
      <c r="DK248" s="8" t="n"/>
      <c r="DL248" s="8" t="n"/>
      <c r="DM248" s="8" t="n"/>
      <c r="DN248" s="8" t="n"/>
      <c r="DO248" s="8" t="n"/>
      <c r="DP248" s="8" t="n"/>
      <c r="DQ248" s="8" t="n"/>
      <c r="DR248" s="8" t="n"/>
      <c r="DS248" s="8" t="n"/>
      <c r="DT248" s="8" t="n"/>
      <c r="DU248" s="8" t="n"/>
      <c r="DV248" s="8" t="n"/>
      <c r="DW248" s="8" t="n"/>
      <c r="DX248" s="8" t="n"/>
      <c r="DY248" s="8" t="n"/>
      <c r="DZ248" s="8" t="n"/>
      <c r="EA248" s="8" t="n"/>
      <c r="EB248" s="8" t="n"/>
      <c r="EC248" s="8" t="n"/>
      <c r="ED248" s="8" t="n"/>
      <c r="EE248" s="8" t="n"/>
      <c r="EF248" s="8" t="n"/>
      <c r="EG248" s="8" t="n"/>
      <c r="EH248" s="8" t="n"/>
      <c r="EI248" s="8" t="n"/>
      <c r="EJ248" s="8" t="n"/>
      <c r="EK248" s="8" t="n"/>
      <c r="EL248" s="8" t="n"/>
      <c r="EM248" s="8" t="n"/>
      <c r="EN248" s="8" t="n"/>
      <c r="EO248" s="8" t="n"/>
      <c r="EP248" s="8" t="n"/>
      <c r="EQ248" s="8" t="n"/>
      <c r="ER248" s="8" t="n"/>
      <c r="ES248" s="8" t="n"/>
      <c r="ET248" s="8" t="n"/>
      <c r="EU248" s="8" t="n"/>
      <c r="EV248" s="8" t="n"/>
      <c r="EW248" s="8" t="n"/>
      <c r="EX248" s="8" t="n"/>
      <c r="EY248" s="8" t="n"/>
      <c r="EZ248" s="8" t="n"/>
      <c r="FA248" s="8" t="n"/>
      <c r="FB248" s="8" t="n"/>
      <c r="FC248" s="8" t="n"/>
      <c r="FD248" s="8" t="n"/>
      <c r="FE248" s="8" t="n"/>
      <c r="FF248" s="8" t="n"/>
      <c r="FG248" s="8" t="n"/>
      <c r="FH248" s="8" t="n"/>
      <c r="FI248" s="8" t="n"/>
      <c r="FJ248" s="8" t="n"/>
      <c r="FK248" s="8" t="n"/>
      <c r="FL248" s="8" t="n"/>
      <c r="FM248" s="8" t="n"/>
      <c r="FN248" s="8" t="n"/>
      <c r="FO248" s="8" t="n"/>
      <c r="FP248" s="8" t="n"/>
      <c r="FQ248" s="8" t="n"/>
      <c r="FR248" s="8" t="n"/>
      <c r="FS248" s="8" t="n"/>
      <c r="FT248" s="8" t="n"/>
      <c r="FU248" s="8" t="n"/>
      <c r="FV248" s="8" t="n"/>
      <c r="FW248" s="8" t="n"/>
      <c r="FX248" s="8" t="n"/>
      <c r="FY248" s="8" t="n"/>
      <c r="FZ248" s="8" t="n"/>
      <c r="GA248" s="8" t="n"/>
      <c r="GB248" s="8" t="n"/>
      <c r="GC248" s="8" t="n"/>
      <c r="GD248" s="8" t="n"/>
      <c r="GE248" s="8" t="n"/>
      <c r="GF248" s="8" t="n"/>
      <c r="GG248" s="8" t="n"/>
      <c r="GH248" s="8" t="n"/>
      <c r="GI248" s="8" t="n"/>
      <c r="GJ248" s="8" t="n"/>
      <c r="GK248" s="8" t="n"/>
      <c r="GL248" s="8" t="n"/>
      <c r="GM248" s="8" t="n"/>
      <c r="GN248" s="8" t="n"/>
      <c r="GO248" s="8" t="n"/>
      <c r="GP248" s="8" t="n"/>
      <c r="GQ248" s="8" t="n"/>
      <c r="GR248" s="8" t="n"/>
      <c r="GS248" s="8" t="n"/>
      <c r="GT248" s="8" t="n"/>
      <c r="GU248" s="8" t="n"/>
      <c r="GV248" s="8" t="n"/>
      <c r="GW248" s="8" t="n"/>
      <c r="GX248" s="8" t="n"/>
      <c r="GY248" s="8" t="n"/>
      <c r="GZ248" s="8" t="n"/>
      <c r="HA248" s="8" t="n"/>
      <c r="HB248" s="8" t="n"/>
      <c r="HC248" s="8" t="n"/>
      <c r="HD248" s="8" t="n"/>
      <c r="HE248" s="8" t="n"/>
      <c r="HF248" s="8" t="n"/>
      <c r="HG248" s="8" t="n"/>
      <c r="HH248" s="8" t="n"/>
      <c r="HI248" s="8" t="n"/>
      <c r="HJ248" s="8" t="n"/>
      <c r="HK248" s="8" t="n"/>
      <c r="HL248" s="8" t="n"/>
      <c r="HM248" s="8" t="n"/>
      <c r="HN248" s="8" t="n"/>
      <c r="HO248" s="8" t="n"/>
      <c r="HP248" s="8" t="n"/>
      <c r="HQ248" s="8" t="n"/>
      <c r="HR248" s="8" t="n"/>
      <c r="HS248" s="8" t="n"/>
      <c r="HT248" s="8" t="n"/>
      <c r="HU248" s="8" t="n"/>
      <c r="HV248" s="8" t="n"/>
      <c r="HW248" s="8" t="n"/>
      <c r="HX248" s="8" t="n"/>
      <c r="HY248" s="8" t="n"/>
      <c r="HZ248" s="8" t="n"/>
      <c r="IA248" s="8" t="n"/>
      <c r="IB248" s="8" t="n"/>
      <c r="IC248" s="8" t="n"/>
      <c r="ID248" s="8" t="n"/>
      <c r="IE248" s="8" t="n"/>
      <c r="IF248" s="8" t="n"/>
      <c r="IG248" s="8" t="n"/>
      <c r="IH248" s="8" t="n"/>
      <c r="IJ248" s="9" t="inlineStr">
        <is>
          <t>ez_manage.py:3884 top()</t>
        </is>
      </c>
      <c r="IK248" s="9" t="inlineStr">
        <is>
          <t>v12_quick_engine.py:2926 x5</t>
        </is>
      </c>
    </row>
    <row r="249" ht="11" customHeight="1">
      <c r="A249" s="10" t="inlineStr">
        <is>
          <t>REENTRY_WT15M_SIZE_MULT</t>
        </is>
      </c>
      <c r="B249" s="11" t="inlineStr">
        <is>
          <t>2.0</t>
        </is>
      </c>
      <c r="E249">
        <f>IF(F249="",E248,IF(F249&gt;0,E248+F249,E248))</f>
        <v/>
      </c>
      <c r="F249">
        <f>IFERROR(VLOOKUP($A249,Results_30d_Deltas!$A$2:$H$5000,8,FALSE)-E248,"")</f>
        <v/>
      </c>
      <c r="G249">
        <f>IFERROR(VLOOKUP($A249,Results_30d_Deltas!$A$2:$H$5000,7,FALSE)-E248,"")</f>
        <v/>
      </c>
      <c r="H249">
        <f>IFERROR(VLOOKUP($A249,Results_30d_Deltas!$A$2:$H$5000,6,FALSE),"")</f>
        <v/>
      </c>
      <c r="K249">
        <f>IF(B249=C249,"YES","NO")</f>
        <v/>
      </c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  <c r="AA249" s="8" t="n"/>
      <c r="AB249" s="8" t="n"/>
      <c r="AC249" s="8" t="n"/>
      <c r="AD249" s="8" t="n"/>
      <c r="AE249" s="8" t="n"/>
      <c r="AF249" s="8" t="n"/>
      <c r="AG249" s="8" t="n"/>
      <c r="AH249" s="8" t="n"/>
      <c r="AI249" s="8" t="n"/>
      <c r="AJ249" s="8" t="n"/>
      <c r="AK249" s="8" t="n"/>
      <c r="AL249" s="8" t="n"/>
      <c r="AM249" s="8" t="n"/>
      <c r="AN249" s="8" t="n"/>
      <c r="AO249" s="8" t="n"/>
      <c r="AP249" s="8" t="n"/>
      <c r="AQ249" s="8" t="n"/>
      <c r="AR249" s="8" t="n"/>
      <c r="AS249" s="8" t="n"/>
      <c r="AT249" s="8" t="n"/>
      <c r="AU249" s="8" t="n"/>
      <c r="AV249" s="8" t="n"/>
      <c r="AW249" s="8" t="n"/>
      <c r="AX249" s="8" t="n"/>
      <c r="AY249" s="8" t="n"/>
      <c r="AZ249" s="8" t="n"/>
      <c r="BA249" s="8" t="n"/>
      <c r="BB249" s="8" t="n"/>
      <c r="BC249" s="8" t="n"/>
      <c r="BD249" s="8" t="n"/>
      <c r="BE249" s="8" t="n"/>
      <c r="BF249" s="8" t="n"/>
      <c r="BG249" s="8" t="n"/>
      <c r="BH249" s="8" t="n"/>
      <c r="BI249" s="8" t="n"/>
      <c r="BJ249" s="8" t="n"/>
      <c r="BK249" s="8" t="n"/>
      <c r="BL249" s="8" t="n"/>
      <c r="BM249" s="8" t="n"/>
      <c r="BN249" s="8" t="n"/>
      <c r="BO249" s="8" t="n"/>
      <c r="BP249" s="8" t="n"/>
      <c r="BQ249" s="8" t="n"/>
      <c r="BR249" s="8" t="n"/>
      <c r="BS249" s="8" t="n"/>
      <c r="BT249" s="8" t="n"/>
      <c r="BU249" s="8" t="n"/>
      <c r="BV249" s="8" t="n"/>
      <c r="BW249" s="8" t="n"/>
      <c r="BX249" s="8" t="n"/>
      <c r="BY249" s="8" t="n"/>
      <c r="BZ249" s="8" t="n"/>
      <c r="CA249" s="8" t="n"/>
      <c r="CB249" s="8" t="n"/>
      <c r="CC249" s="8" t="n"/>
      <c r="CD249" s="8" t="n"/>
      <c r="CE249" s="8" t="n"/>
      <c r="CF249" s="8" t="n"/>
      <c r="CG249" s="8" t="n"/>
      <c r="CH249" s="8" t="n"/>
      <c r="CI249" s="8" t="n"/>
      <c r="CJ249" s="8" t="n"/>
      <c r="CK249" s="8" t="n"/>
      <c r="CL249" s="8" t="n"/>
      <c r="CM249" s="8" t="n"/>
      <c r="CN249" s="8" t="n"/>
      <c r="CO249" s="8" t="n"/>
      <c r="CP249" s="8" t="n"/>
      <c r="CQ249" s="8" t="n"/>
      <c r="CR249" s="8" t="n"/>
      <c r="CS249" s="8" t="n"/>
      <c r="CT249" s="8" t="n"/>
      <c r="CU249" s="8" t="n"/>
      <c r="CV249" s="8" t="n"/>
      <c r="CW249" s="8" t="n"/>
      <c r="CX249" s="8" t="n"/>
      <c r="CY249" s="8" t="n"/>
      <c r="CZ249" s="8" t="n"/>
      <c r="DA249" s="8" t="n"/>
      <c r="DB249" s="8" t="n"/>
      <c r="DC249" s="8" t="n"/>
      <c r="DD249" s="8" t="n"/>
      <c r="DE249" s="8" t="n"/>
      <c r="DF249" s="8" t="n"/>
      <c r="DG249" s="8" t="n"/>
      <c r="DH249" s="8" t="n"/>
      <c r="DI249" s="8" t="n"/>
      <c r="DJ249" s="8" t="n"/>
      <c r="DK249" s="8" t="n"/>
      <c r="DL249" s="8" t="n"/>
      <c r="DM249" s="8" t="n"/>
      <c r="DN249" s="8" t="n"/>
      <c r="DO249" s="8" t="n"/>
      <c r="DP249" s="8" t="n"/>
      <c r="DQ249" s="8" t="n"/>
      <c r="DR249" s="8" t="n"/>
      <c r="DS249" s="8" t="n"/>
      <c r="DT249" s="8" t="n"/>
      <c r="DU249" s="8" t="n"/>
      <c r="DV249" s="8" t="n"/>
      <c r="DW249" s="8" t="n"/>
      <c r="DX249" s="8" t="n"/>
      <c r="DY249" s="8" t="n"/>
      <c r="DZ249" s="8" t="n"/>
      <c r="EA249" s="8" t="n"/>
      <c r="EB249" s="8" t="n"/>
      <c r="EC249" s="8" t="n"/>
      <c r="ED249" s="8" t="n"/>
      <c r="EE249" s="8" t="n"/>
      <c r="EF249" s="8" t="n"/>
      <c r="EG249" s="8" t="n"/>
      <c r="EH249" s="8" t="n"/>
      <c r="EI249" s="8" t="n"/>
      <c r="EJ249" s="8" t="n"/>
      <c r="EK249" s="8" t="n"/>
      <c r="EL249" s="8" t="n"/>
      <c r="EM249" s="8" t="n"/>
      <c r="EN249" s="8" t="n"/>
      <c r="EO249" s="8" t="n"/>
      <c r="EP249" s="8" t="n"/>
      <c r="EQ249" s="8" t="n"/>
      <c r="ER249" s="8" t="n"/>
      <c r="ES249" s="8" t="n"/>
      <c r="ET249" s="8" t="n"/>
      <c r="EU249" s="8" t="n"/>
      <c r="EV249" s="8" t="n"/>
      <c r="EW249" s="8" t="n"/>
      <c r="EX249" s="8" t="n"/>
      <c r="EY249" s="8" t="n"/>
      <c r="EZ249" s="8" t="n"/>
      <c r="FA249" s="8" t="n"/>
      <c r="FB249" s="8" t="n"/>
      <c r="FC249" s="8" t="n"/>
      <c r="FD249" s="8" t="n"/>
      <c r="FE249" s="8" t="n"/>
      <c r="FF249" s="8" t="n"/>
      <c r="FG249" s="8" t="n"/>
      <c r="FH249" s="8" t="n"/>
      <c r="FI249" s="8" t="n"/>
      <c r="FJ249" s="8" t="n"/>
      <c r="FK249" s="8" t="n"/>
      <c r="FL249" s="8" t="n"/>
      <c r="FM249" s="8" t="n"/>
      <c r="FN249" s="8" t="n"/>
      <c r="FO249" s="8" t="n"/>
      <c r="FP249" s="8" t="n"/>
      <c r="FQ249" s="8" t="n"/>
      <c r="FR249" s="8" t="n"/>
      <c r="FS249" s="8" t="n"/>
      <c r="FT249" s="8" t="n"/>
      <c r="FU249" s="8" t="n"/>
      <c r="FV249" s="8" t="n"/>
      <c r="FW249" s="8" t="n"/>
      <c r="FX249" s="8" t="n"/>
      <c r="FY249" s="8" t="n"/>
      <c r="FZ249" s="8" t="n"/>
      <c r="GA249" s="8" t="n"/>
      <c r="GB249" s="8" t="n"/>
      <c r="GC249" s="8" t="n"/>
      <c r="GD249" s="8" t="n"/>
      <c r="GE249" s="8" t="n"/>
      <c r="GF249" s="8" t="n"/>
      <c r="GG249" s="8" t="n"/>
      <c r="GH249" s="8" t="n"/>
      <c r="GI249" s="8" t="n"/>
      <c r="GJ249" s="8" t="n"/>
      <c r="GK249" s="8" t="n"/>
      <c r="GL249" s="8" t="n"/>
      <c r="GM249" s="8" t="n"/>
      <c r="GN249" s="8" t="n"/>
      <c r="GO249" s="8" t="n"/>
      <c r="GP249" s="8" t="n"/>
      <c r="GQ249" s="8" t="n"/>
      <c r="GR249" s="8" t="n"/>
      <c r="GS249" s="8" t="n"/>
      <c r="GT249" s="8" t="n"/>
      <c r="GU249" s="8" t="n"/>
      <c r="GV249" s="8" t="n"/>
      <c r="GW249" s="8" t="n"/>
      <c r="GX249" s="8" t="n"/>
      <c r="GY249" s="8" t="n"/>
      <c r="GZ249" s="8" t="n"/>
      <c r="HA249" s="8" t="n"/>
      <c r="HB249" s="8" t="n"/>
      <c r="HC249" s="8" t="n"/>
      <c r="HD249" s="8" t="n"/>
      <c r="HE249" s="8" t="n"/>
      <c r="HF249" s="8" t="n"/>
      <c r="HG249" s="8" t="n"/>
      <c r="HH249" s="8" t="n"/>
      <c r="HI249" s="8" t="n"/>
      <c r="HJ249" s="8" t="n"/>
      <c r="HK249" s="8" t="n"/>
      <c r="HL249" s="8" t="n"/>
      <c r="HM249" s="8" t="n"/>
      <c r="HN249" s="8" t="n"/>
      <c r="HO249" s="8" t="n"/>
      <c r="HP249" s="8" t="n"/>
      <c r="HQ249" s="8" t="n"/>
      <c r="HR249" s="8" t="n"/>
      <c r="HS249" s="8" t="n"/>
      <c r="HT249" s="8" t="n"/>
      <c r="HU249" s="8" t="n"/>
      <c r="HV249" s="8" t="n"/>
      <c r="HW249" s="8" t="n"/>
      <c r="HX249" s="8" t="n"/>
      <c r="HY249" s="8" t="n"/>
      <c r="HZ249" s="8" t="n"/>
      <c r="IA249" s="8" t="n"/>
      <c r="IB249" s="8" t="n"/>
      <c r="IC249" s="8" t="n"/>
      <c r="ID249" s="8" t="n"/>
      <c r="IE249" s="8" t="n"/>
      <c r="IF249" s="8" t="n"/>
      <c r="IG249" s="8" t="n"/>
      <c r="IH249" s="8" t="n"/>
      <c r="IJ249" s="9" t="inlineStr">
        <is>
          <t>ez_manage.py:3884 top()</t>
        </is>
      </c>
      <c r="IK249" s="9" t="inlineStr">
        <is>
          <t>v12_quick_engine.py:2926 x5</t>
        </is>
      </c>
    </row>
    <row r="250" ht="11" customHeight="1">
      <c r="A250" s="6" t="inlineStr">
        <is>
          <t>VEC_REENTRY_DC4_EXITPRICE_ENABLED</t>
        </is>
      </c>
      <c r="B250" s="7" t="inlineStr">
        <is>
          <t>False</t>
        </is>
      </c>
      <c r="E250">
        <f>IF(F250="",E249,IF(F250&gt;0,E249+F250,E249))</f>
        <v/>
      </c>
      <c r="F250">
        <f>IFERROR(VLOOKUP($A250,Results_30d_Deltas!$A$2:$H$5000,8,FALSE)-E249,"")</f>
        <v/>
      </c>
      <c r="G250">
        <f>IFERROR(VLOOKUP($A250,Results_30d_Deltas!$A$2:$H$5000,7,FALSE)-E249,"")</f>
        <v/>
      </c>
      <c r="H250">
        <f>IFERROR(VLOOKUP($A250,Results_30d_Deltas!$A$2:$H$5000,6,FALSE),"")</f>
        <v/>
      </c>
      <c r="K250">
        <f>IF(B250=C250,"YES","NO")</f>
        <v/>
      </c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  <c r="AA250" s="8" t="n"/>
      <c r="AB250" s="8" t="n"/>
      <c r="AC250" s="8" t="n"/>
      <c r="AD250" s="8" t="n"/>
      <c r="AE250" s="8" t="n"/>
      <c r="AF250" s="8" t="n"/>
      <c r="AG250" s="8" t="n"/>
      <c r="AH250" s="8" t="n"/>
      <c r="AI250" s="8" t="n"/>
      <c r="AJ250" s="8" t="n"/>
      <c r="AK250" s="8" t="n"/>
      <c r="AL250" s="8" t="n"/>
      <c r="AM250" s="8" t="n"/>
      <c r="AN250" s="8" t="n"/>
      <c r="AO250" s="8" t="n"/>
      <c r="AP250" s="8" t="n"/>
      <c r="AQ250" s="8" t="n"/>
      <c r="AR250" s="8" t="n"/>
      <c r="AS250" s="8" t="n"/>
      <c r="AT250" s="8" t="n"/>
      <c r="AU250" s="8" t="n"/>
      <c r="AV250" s="8" t="n"/>
      <c r="AW250" s="8" t="n"/>
      <c r="AX250" s="8" t="n"/>
      <c r="AY250" s="8" t="n"/>
      <c r="AZ250" s="8" t="n"/>
      <c r="BA250" s="8" t="n"/>
      <c r="BB250" s="8" t="n"/>
      <c r="BC250" s="8" t="n"/>
      <c r="BD250" s="8" t="n"/>
      <c r="BE250" s="8" t="n"/>
      <c r="BF250" s="8" t="n"/>
      <c r="BG250" s="8" t="n"/>
      <c r="BH250" s="8" t="n"/>
      <c r="BI250" s="8" t="n"/>
      <c r="BJ250" s="8" t="n"/>
      <c r="BK250" s="8" t="n"/>
      <c r="BL250" s="8" t="n"/>
      <c r="BM250" s="8" t="n"/>
      <c r="BN250" s="8" t="n"/>
      <c r="BO250" s="8" t="n"/>
      <c r="BP250" s="8" t="n"/>
      <c r="BQ250" s="8" t="n"/>
      <c r="BR250" s="8" t="n"/>
      <c r="BS250" s="8" t="n"/>
      <c r="BT250" s="8" t="n"/>
      <c r="BU250" s="8" t="n"/>
      <c r="BV250" s="8" t="n"/>
      <c r="BW250" s="8" t="n"/>
      <c r="BX250" s="8" t="n"/>
      <c r="BY250" s="8" t="n"/>
      <c r="BZ250" s="8" t="n"/>
      <c r="CA250" s="8" t="n"/>
      <c r="CB250" s="8" t="n"/>
      <c r="CC250" s="8" t="n"/>
      <c r="CD250" s="8" t="n"/>
      <c r="CE250" s="8" t="n"/>
      <c r="CF250" s="8" t="n"/>
      <c r="CG250" s="8" t="n"/>
      <c r="CH250" s="8" t="n"/>
      <c r="CI250" s="8" t="n"/>
      <c r="CJ250" s="8" t="n"/>
      <c r="CK250" s="8" t="n"/>
      <c r="CL250" s="8" t="n"/>
      <c r="CM250" s="8" t="n"/>
      <c r="CN250" s="8" t="n"/>
      <c r="CO250" s="8" t="n"/>
      <c r="CP250" s="8" t="n"/>
      <c r="CQ250" s="8" t="n"/>
      <c r="CR250" s="8" t="n"/>
      <c r="CS250" s="8" t="n"/>
      <c r="CT250" s="8" t="n"/>
      <c r="CU250" s="8" t="n"/>
      <c r="CV250" s="8" t="n"/>
      <c r="CW250" s="8" t="n"/>
      <c r="CX250" s="8" t="n"/>
      <c r="CY250" s="8" t="n"/>
      <c r="CZ250" s="8" t="n"/>
      <c r="DA250" s="8" t="n"/>
      <c r="DB250" s="8" t="n"/>
      <c r="DC250" s="8" t="n"/>
      <c r="DD250" s="8" t="n"/>
      <c r="DE250" s="8" t="n"/>
      <c r="DF250" s="8" t="n"/>
      <c r="DG250" s="8" t="n"/>
      <c r="DH250" s="8" t="n"/>
      <c r="DI250" s="8" t="n"/>
      <c r="DJ250" s="8" t="n"/>
      <c r="DK250" s="8" t="n"/>
      <c r="DL250" s="8" t="n"/>
      <c r="DM250" s="8" t="n"/>
      <c r="DN250" s="8" t="n"/>
      <c r="DO250" s="8" t="n"/>
      <c r="DP250" s="8" t="n"/>
      <c r="DQ250" s="8" t="n"/>
      <c r="DR250" s="8" t="n"/>
      <c r="DS250" s="8" t="n"/>
      <c r="DT250" s="8" t="n"/>
      <c r="DU250" s="8" t="n"/>
      <c r="DV250" s="8" t="n"/>
      <c r="DW250" s="8" t="n"/>
      <c r="DX250" s="8" t="n"/>
      <c r="DY250" s="8" t="n"/>
      <c r="DZ250" s="8" t="n"/>
      <c r="EA250" s="8" t="n"/>
      <c r="EB250" s="8" t="n"/>
      <c r="EC250" s="8" t="n"/>
      <c r="ED250" s="8" t="n"/>
      <c r="EE250" s="8" t="n"/>
      <c r="EF250" s="8" t="n"/>
      <c r="EG250" s="8" t="n"/>
      <c r="EH250" s="8" t="n"/>
      <c r="EI250" s="8" t="n"/>
      <c r="EJ250" s="8" t="n"/>
      <c r="EK250" s="8" t="n"/>
      <c r="EL250" s="8" t="n"/>
      <c r="EM250" s="8" t="n"/>
      <c r="EN250" s="8" t="n"/>
      <c r="EO250" s="8" t="n"/>
      <c r="EP250" s="8" t="n"/>
      <c r="EQ250" s="8" t="n"/>
      <c r="ER250" s="8" t="n"/>
      <c r="ES250" s="8" t="n"/>
      <c r="ET250" s="8" t="n"/>
      <c r="EU250" s="8" t="n"/>
      <c r="EV250" s="8" t="n"/>
      <c r="EW250" s="8" t="n"/>
      <c r="EX250" s="8" t="n"/>
      <c r="EY250" s="8" t="n"/>
      <c r="EZ250" s="8" t="n"/>
      <c r="FA250" s="8" t="n"/>
      <c r="FB250" s="8" t="n"/>
      <c r="FC250" s="8" t="n"/>
      <c r="FD250" s="8" t="n"/>
      <c r="FE250" s="8" t="n"/>
      <c r="FF250" s="8" t="n"/>
      <c r="FG250" s="8" t="n"/>
      <c r="FH250" s="8" t="n"/>
      <c r="FI250" s="8" t="n"/>
      <c r="FJ250" s="8" t="n"/>
      <c r="FK250" s="8" t="n"/>
      <c r="FL250" s="8" t="n"/>
      <c r="FM250" s="8" t="n"/>
      <c r="FN250" s="8" t="n"/>
      <c r="FO250" s="8" t="n"/>
      <c r="FP250" s="8" t="n"/>
      <c r="FQ250" s="8" t="n"/>
      <c r="FR250" s="8" t="n"/>
      <c r="FS250" s="8" t="n"/>
      <c r="FT250" s="8" t="n"/>
      <c r="FU250" s="8" t="n"/>
      <c r="FV250" s="8" t="n"/>
      <c r="FW250" s="8" t="n"/>
      <c r="FX250" s="8" t="n"/>
      <c r="FY250" s="8" t="n"/>
      <c r="FZ250" s="8" t="n"/>
      <c r="GA250" s="8" t="n"/>
      <c r="GB250" s="8" t="n"/>
      <c r="GC250" s="8" t="n"/>
      <c r="GD250" s="8" t="n"/>
      <c r="GE250" s="8" t="n"/>
      <c r="GF250" s="8" t="n"/>
      <c r="GG250" s="8" t="n"/>
      <c r="GH250" s="8" t="n"/>
      <c r="GI250" s="8" t="n"/>
      <c r="GJ250" s="8" t="n"/>
      <c r="GK250" s="8" t="n"/>
      <c r="GL250" s="8" t="n"/>
      <c r="GM250" s="8" t="n"/>
      <c r="GN250" s="8" t="n"/>
      <c r="GO250" s="8" t="n"/>
      <c r="GP250" s="8" t="n"/>
      <c r="GQ250" s="8" t="n"/>
      <c r="GR250" s="8" t="n"/>
      <c r="GS250" s="8" t="n"/>
      <c r="GT250" s="8" t="n"/>
      <c r="GU250" s="8" t="n"/>
      <c r="GV250" s="8" t="n"/>
      <c r="GW250" s="8" t="n"/>
      <c r="GX250" s="8" t="n"/>
      <c r="GY250" s="8" t="n"/>
      <c r="GZ250" s="8" t="n"/>
      <c r="HA250" s="8" t="n"/>
      <c r="HB250" s="8" t="n"/>
      <c r="HC250" s="8" t="n"/>
      <c r="HD250" s="8" t="n"/>
      <c r="HE250" s="8" t="n"/>
      <c r="HF250" s="8" t="n"/>
      <c r="HG250" s="8" t="n"/>
      <c r="HH250" s="8" t="n"/>
      <c r="HI250" s="8" t="n"/>
      <c r="HJ250" s="8" t="n"/>
      <c r="HK250" s="8" t="n"/>
      <c r="HL250" s="8" t="n"/>
      <c r="HM250" s="8" t="n"/>
      <c r="HN250" s="8" t="n"/>
      <c r="HO250" s="8" t="n"/>
      <c r="HP250" s="8" t="n"/>
      <c r="HQ250" s="8" t="n"/>
      <c r="HR250" s="8" t="n"/>
      <c r="HS250" s="8" t="n"/>
      <c r="HT250" s="8" t="n"/>
      <c r="HU250" s="8" t="n"/>
      <c r="HV250" s="8" t="n"/>
      <c r="HW250" s="8" t="n"/>
      <c r="HX250" s="8" t="n"/>
      <c r="HY250" s="8" t="n"/>
      <c r="HZ250" s="8" t="n"/>
      <c r="IA250" s="8" t="n"/>
      <c r="IB250" s="8" t="n"/>
      <c r="IC250" s="8" t="n"/>
      <c r="ID250" s="8" t="n"/>
      <c r="IE250" s="8" t="n"/>
      <c r="IF250" s="8" t="n"/>
      <c r="IG250" s="8" t="n"/>
      <c r="IH250" s="8" t="n"/>
      <c r="IJ250" s="9" t="inlineStr">
        <is>
          <t>ez_manage.py:6075 top()</t>
        </is>
      </c>
      <c r="IK250" s="9" t="inlineStr">
        <is>
          <t>v12_quick_engine.py:4287 x4</t>
        </is>
      </c>
    </row>
    <row r="251" ht="11" customHeight="1">
      <c r="A251" s="10" t="inlineStr">
        <is>
          <t>VEC_REENTRY_DC4_EXITPRICE_ENABLED</t>
        </is>
      </c>
      <c r="B251" s="11" t="inlineStr">
        <is>
          <t>True</t>
        </is>
      </c>
      <c r="E251">
        <f>IF(F251="",E250,IF(F251&gt;0,E250+F251,E250))</f>
        <v/>
      </c>
      <c r="F251">
        <f>IFERROR(VLOOKUP($A251,Results_30d_Deltas!$A$2:$H$5000,8,FALSE)-E250,"")</f>
        <v/>
      </c>
      <c r="G251">
        <f>IFERROR(VLOOKUP($A251,Results_30d_Deltas!$A$2:$H$5000,7,FALSE)-E250,"")</f>
        <v/>
      </c>
      <c r="H251">
        <f>IFERROR(VLOOKUP($A251,Results_30d_Deltas!$A$2:$H$5000,6,FALSE),"")</f>
        <v/>
      </c>
      <c r="K251">
        <f>IF(B251=C251,"YES","NO")</f>
        <v/>
      </c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  <c r="AA251" s="8" t="n"/>
      <c r="AB251" s="8" t="n"/>
      <c r="AC251" s="8" t="n"/>
      <c r="AD251" s="8" t="n"/>
      <c r="AE251" s="8" t="n"/>
      <c r="AF251" s="8" t="n"/>
      <c r="AG251" s="8" t="n"/>
      <c r="AH251" s="8" t="n"/>
      <c r="AI251" s="8" t="n"/>
      <c r="AJ251" s="8" t="n"/>
      <c r="AK251" s="8" t="n"/>
      <c r="AL251" s="8" t="n"/>
      <c r="AM251" s="8" t="n"/>
      <c r="AN251" s="8" t="n"/>
      <c r="AO251" s="8" t="n"/>
      <c r="AP251" s="8" t="n"/>
      <c r="AQ251" s="8" t="n"/>
      <c r="AR251" s="8" t="n"/>
      <c r="AS251" s="8" t="n"/>
      <c r="AT251" s="8" t="n"/>
      <c r="AU251" s="8" t="n"/>
      <c r="AV251" s="8" t="n"/>
      <c r="AW251" s="8" t="n"/>
      <c r="AX251" s="8" t="n"/>
      <c r="AY251" s="8" t="n"/>
      <c r="AZ251" s="8" t="n"/>
      <c r="BA251" s="8" t="n"/>
      <c r="BB251" s="8" t="n"/>
      <c r="BC251" s="8" t="n"/>
      <c r="BD251" s="8" t="n"/>
      <c r="BE251" s="8" t="n"/>
      <c r="BF251" s="8" t="n"/>
      <c r="BG251" s="8" t="n"/>
      <c r="BH251" s="8" t="n"/>
      <c r="BI251" s="8" t="n"/>
      <c r="BJ251" s="8" t="n"/>
      <c r="BK251" s="8" t="n"/>
      <c r="BL251" s="8" t="n"/>
      <c r="BM251" s="8" t="n"/>
      <c r="BN251" s="8" t="n"/>
      <c r="BO251" s="8" t="n"/>
      <c r="BP251" s="8" t="n"/>
      <c r="BQ251" s="8" t="n"/>
      <c r="BR251" s="8" t="n"/>
      <c r="BS251" s="8" t="n"/>
      <c r="BT251" s="8" t="n"/>
      <c r="BU251" s="8" t="n"/>
      <c r="BV251" s="8" t="n"/>
      <c r="BW251" s="8" t="n"/>
      <c r="BX251" s="8" t="n"/>
      <c r="BY251" s="8" t="n"/>
      <c r="BZ251" s="8" t="n"/>
      <c r="CA251" s="8" t="n"/>
      <c r="CB251" s="8" t="n"/>
      <c r="CC251" s="8" t="n"/>
      <c r="CD251" s="8" t="n"/>
      <c r="CE251" s="8" t="n"/>
      <c r="CF251" s="8" t="n"/>
      <c r="CG251" s="8" t="n"/>
      <c r="CH251" s="8" t="n"/>
      <c r="CI251" s="8" t="n"/>
      <c r="CJ251" s="8" t="n"/>
      <c r="CK251" s="8" t="n"/>
      <c r="CL251" s="8" t="n"/>
      <c r="CM251" s="8" t="n"/>
      <c r="CN251" s="8" t="n"/>
      <c r="CO251" s="8" t="n"/>
      <c r="CP251" s="8" t="n"/>
      <c r="CQ251" s="8" t="n"/>
      <c r="CR251" s="8" t="n"/>
      <c r="CS251" s="8" t="n"/>
      <c r="CT251" s="8" t="n"/>
      <c r="CU251" s="8" t="n"/>
      <c r="CV251" s="8" t="n"/>
      <c r="CW251" s="8" t="n"/>
      <c r="CX251" s="8" t="n"/>
      <c r="CY251" s="8" t="n"/>
      <c r="CZ251" s="8" t="n"/>
      <c r="DA251" s="8" t="n"/>
      <c r="DB251" s="8" t="n"/>
      <c r="DC251" s="8" t="n"/>
      <c r="DD251" s="8" t="n"/>
      <c r="DE251" s="8" t="n"/>
      <c r="DF251" s="8" t="n"/>
      <c r="DG251" s="8" t="n"/>
      <c r="DH251" s="8" t="n"/>
      <c r="DI251" s="8" t="n"/>
      <c r="DJ251" s="8" t="n"/>
      <c r="DK251" s="8" t="n"/>
      <c r="DL251" s="8" t="n"/>
      <c r="DM251" s="8" t="n"/>
      <c r="DN251" s="8" t="n"/>
      <c r="DO251" s="8" t="n"/>
      <c r="DP251" s="8" t="n"/>
      <c r="DQ251" s="8" t="n"/>
      <c r="DR251" s="8" t="n"/>
      <c r="DS251" s="8" t="n"/>
      <c r="DT251" s="8" t="n"/>
      <c r="DU251" s="8" t="n"/>
      <c r="DV251" s="8" t="n"/>
      <c r="DW251" s="8" t="n"/>
      <c r="DX251" s="8" t="n"/>
      <c r="DY251" s="8" t="n"/>
      <c r="DZ251" s="8" t="n"/>
      <c r="EA251" s="8" t="n"/>
      <c r="EB251" s="8" t="n"/>
      <c r="EC251" s="8" t="n"/>
      <c r="ED251" s="8" t="n"/>
      <c r="EE251" s="8" t="n"/>
      <c r="EF251" s="8" t="n"/>
      <c r="EG251" s="8" t="n"/>
      <c r="EH251" s="8" t="n"/>
      <c r="EI251" s="8" t="n"/>
      <c r="EJ251" s="8" t="n"/>
      <c r="EK251" s="8" t="n"/>
      <c r="EL251" s="8" t="n"/>
      <c r="EM251" s="8" t="n"/>
      <c r="EN251" s="8" t="n"/>
      <c r="EO251" s="8" t="n"/>
      <c r="EP251" s="8" t="n"/>
      <c r="EQ251" s="8" t="n"/>
      <c r="ER251" s="8" t="n"/>
      <c r="ES251" s="8" t="n"/>
      <c r="ET251" s="8" t="n"/>
      <c r="EU251" s="8" t="n"/>
      <c r="EV251" s="8" t="n"/>
      <c r="EW251" s="8" t="n"/>
      <c r="EX251" s="8" t="n"/>
      <c r="EY251" s="8" t="n"/>
      <c r="EZ251" s="8" t="n"/>
      <c r="FA251" s="8" t="n"/>
      <c r="FB251" s="8" t="n"/>
      <c r="FC251" s="8" t="n"/>
      <c r="FD251" s="8" t="n"/>
      <c r="FE251" s="8" t="n"/>
      <c r="FF251" s="8" t="n"/>
      <c r="FG251" s="8" t="n"/>
      <c r="FH251" s="8" t="n"/>
      <c r="FI251" s="8" t="n"/>
      <c r="FJ251" s="8" t="n"/>
      <c r="FK251" s="8" t="n"/>
      <c r="FL251" s="8" t="n"/>
      <c r="FM251" s="8" t="n"/>
      <c r="FN251" s="8" t="n"/>
      <c r="FO251" s="8" t="n"/>
      <c r="FP251" s="8" t="n"/>
      <c r="FQ251" s="8" t="n"/>
      <c r="FR251" s="8" t="n"/>
      <c r="FS251" s="8" t="n"/>
      <c r="FT251" s="8" t="n"/>
      <c r="FU251" s="8" t="n"/>
      <c r="FV251" s="8" t="n"/>
      <c r="FW251" s="8" t="n"/>
      <c r="FX251" s="8" t="n"/>
      <c r="FY251" s="8" t="n"/>
      <c r="FZ251" s="8" t="n"/>
      <c r="GA251" s="8" t="n"/>
      <c r="GB251" s="8" t="n"/>
      <c r="GC251" s="8" t="n"/>
      <c r="GD251" s="8" t="n"/>
      <c r="GE251" s="8" t="n"/>
      <c r="GF251" s="8" t="n"/>
      <c r="GG251" s="8" t="n"/>
      <c r="GH251" s="8" t="n"/>
      <c r="GI251" s="8" t="n"/>
      <c r="GJ251" s="8" t="n"/>
      <c r="GK251" s="8" t="n"/>
      <c r="GL251" s="8" t="n"/>
      <c r="GM251" s="8" t="n"/>
      <c r="GN251" s="8" t="n"/>
      <c r="GO251" s="8" t="n"/>
      <c r="GP251" s="8" t="n"/>
      <c r="GQ251" s="8" t="n"/>
      <c r="GR251" s="8" t="n"/>
      <c r="GS251" s="8" t="n"/>
      <c r="GT251" s="8" t="n"/>
      <c r="GU251" s="8" t="n"/>
      <c r="GV251" s="8" t="n"/>
      <c r="GW251" s="8" t="n"/>
      <c r="GX251" s="8" t="n"/>
      <c r="GY251" s="8" t="n"/>
      <c r="GZ251" s="8" t="n"/>
      <c r="HA251" s="8" t="n"/>
      <c r="HB251" s="8" t="n"/>
      <c r="HC251" s="8" t="n"/>
      <c r="HD251" s="8" t="n"/>
      <c r="HE251" s="8" t="n"/>
      <c r="HF251" s="8" t="n"/>
      <c r="HG251" s="8" t="n"/>
      <c r="HH251" s="8" t="n"/>
      <c r="HI251" s="8" t="n"/>
      <c r="HJ251" s="8" t="n"/>
      <c r="HK251" s="8" t="n"/>
      <c r="HL251" s="8" t="n"/>
      <c r="HM251" s="8" t="n"/>
      <c r="HN251" s="8" t="n"/>
      <c r="HO251" s="8" t="n"/>
      <c r="HP251" s="8" t="n"/>
      <c r="HQ251" s="8" t="n"/>
      <c r="HR251" s="8" t="n"/>
      <c r="HS251" s="8" t="n"/>
      <c r="HT251" s="8" t="n"/>
      <c r="HU251" s="8" t="n"/>
      <c r="HV251" s="8" t="n"/>
      <c r="HW251" s="8" t="n"/>
      <c r="HX251" s="8" t="n"/>
      <c r="HY251" s="8" t="n"/>
      <c r="HZ251" s="8" t="n"/>
      <c r="IA251" s="8" t="n"/>
      <c r="IB251" s="8" t="n"/>
      <c r="IC251" s="8" t="n"/>
      <c r="ID251" s="8" t="n"/>
      <c r="IE251" s="8" t="n"/>
      <c r="IF251" s="8" t="n"/>
      <c r="IG251" s="8" t="n"/>
      <c r="IH251" s="8" t="n"/>
      <c r="IJ251" s="9" t="inlineStr">
        <is>
          <t>ez_manage.py:6075 top()</t>
        </is>
      </c>
      <c r="IK251" s="9" t="inlineStr">
        <is>
          <t>v12_quick_engine.py:4287 x4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L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07 REENTRY_ADAPTIVE - 10 bases -&gt; 38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HLR_REENTRY_MULT_1H</t>
        </is>
      </c>
      <c r="B3" s="11" t="inlineStr">
        <is>
          <t>0.75</t>
        </is>
      </c>
      <c r="E3">
        <f>MAX('REENTRY_WINDOWED'!E:E)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ez_manage.py:4846 top()</t>
        </is>
      </c>
      <c r="IK3" s="9" t="inlineStr">
        <is>
          <t>v12_quick_engine.py:2026 x7</t>
        </is>
      </c>
    </row>
    <row r="4" ht="11" customHeight="1">
      <c r="A4" s="10" t="inlineStr">
        <is>
          <t>HLR_REENTRY_MULT_1H</t>
        </is>
      </c>
      <c r="B4" s="11" t="inlineStr">
        <is>
          <t>1.125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ez_manage.py:4846 top()</t>
        </is>
      </c>
      <c r="IK4" s="9" t="inlineStr">
        <is>
          <t>v12_quick_engine.py:2026 x7</t>
        </is>
      </c>
    </row>
    <row r="5" ht="11" customHeight="1">
      <c r="A5" s="6" t="inlineStr">
        <is>
          <t>HLR_REENTRY_MULT_1H</t>
        </is>
      </c>
      <c r="B5" s="7" t="inlineStr">
        <is>
          <t>1.5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ez_manage.py:4846 top()</t>
        </is>
      </c>
      <c r="IK5" s="9" t="inlineStr">
        <is>
          <t>v12_quick_engine.py:2026 x7</t>
        </is>
      </c>
    </row>
    <row r="6" ht="11" customHeight="1">
      <c r="A6" s="10" t="inlineStr">
        <is>
          <t>HLR_REENTRY_MULT_1H</t>
        </is>
      </c>
      <c r="B6" s="11" t="inlineStr">
        <is>
          <t>1.875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ez_manage.py:4846 top()</t>
        </is>
      </c>
      <c r="IK6" s="9" t="inlineStr">
        <is>
          <t>v12_quick_engine.py:2026 x7</t>
        </is>
      </c>
    </row>
    <row r="7" ht="11" customHeight="1">
      <c r="A7" s="10" t="inlineStr">
        <is>
          <t>HLR_REENTRY_MULT_1H</t>
        </is>
      </c>
      <c r="B7" s="11" t="inlineStr">
        <is>
          <t>2.25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ez_manage.py:4846 top()</t>
        </is>
      </c>
      <c r="IK7" s="9" t="inlineStr">
        <is>
          <t>v12_quick_engine.py:2026 x7</t>
        </is>
      </c>
    </row>
    <row r="8" ht="11" customHeight="1">
      <c r="A8" s="6" t="inlineStr">
        <is>
          <t>CHANNEL_REENTRY_STOP_ENABLED</t>
        </is>
      </c>
      <c r="B8" s="7" t="inlineStr">
        <is>
          <t>False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ez_manage.py:5968 top()</t>
        </is>
      </c>
      <c r="IK8" s="9" t="inlineStr">
        <is>
          <t>v12_quick_engine.py:482 x8</t>
        </is>
      </c>
    </row>
    <row r="9" ht="11" customHeight="1">
      <c r="A9" s="10" t="inlineStr">
        <is>
          <t>CHANNEL_REENTRY_STOP_ENABLED</t>
        </is>
      </c>
      <c r="B9" s="11" t="inlineStr">
        <is>
          <t>True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ez_manage.py:5968 top()</t>
        </is>
      </c>
      <c r="IK9" s="9" t="inlineStr">
        <is>
          <t>v12_quick_engine.py:482 x8</t>
        </is>
      </c>
    </row>
    <row r="10" ht="11" customHeight="1">
      <c r="A10" s="6" t="inlineStr">
        <is>
          <t>DAEMON_REENTRY_STALE_EXIT_ENABLED</t>
        </is>
      </c>
      <c r="B10" s="7" t="inlineStr">
        <is>
          <t>False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ez_manage.py:4561 top()</t>
        </is>
      </c>
      <c r="IK10" s="9" t="inlineStr">
        <is>
          <t>v12_quick_engine.py:519 x9</t>
        </is>
      </c>
    </row>
    <row r="11" ht="11" customHeight="1">
      <c r="A11" s="10" t="inlineStr">
        <is>
          <t>DAEMON_REENTRY_STALE_EXIT_ENABLED</t>
        </is>
      </c>
      <c r="B11" s="11" t="inlineStr">
        <is>
          <t>True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ez_manage.py:4561 top()</t>
        </is>
      </c>
      <c r="IK11" s="9" t="inlineStr">
        <is>
          <t>v12_quick_engine.py:519 x9</t>
        </is>
      </c>
    </row>
    <row r="12" ht="11" customHeight="1">
      <c r="A12" s="10" t="inlineStr">
        <is>
          <t>BREAKOUT_LEASH_REENTRY_MULT</t>
        </is>
      </c>
      <c r="B12" s="11" t="inlineStr">
        <is>
          <t>0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ez_manage.py:2999 top()</t>
        </is>
      </c>
      <c r="IK12" s="9" t="inlineStr">
        <is>
          <t>v12_quick_engine.py:371 x12</t>
        </is>
      </c>
    </row>
    <row r="13" ht="11" customHeight="1">
      <c r="A13" s="10" t="inlineStr">
        <is>
          <t>BREAKOUT_LEASH_REENTRY_MULT</t>
        </is>
      </c>
      <c r="B13" s="11" t="inlineStr">
        <is>
          <t>0.5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ez_manage.py:2999 top()</t>
        </is>
      </c>
      <c r="IK13" s="9" t="inlineStr">
        <is>
          <t>v12_quick_engine.py:371 x12</t>
        </is>
      </c>
    </row>
    <row r="14" ht="11" customHeight="1">
      <c r="A14" s="10" t="inlineStr">
        <is>
          <t>BREAKOUT_LEASH_REENTRY_MULT</t>
        </is>
      </c>
      <c r="B14" s="11" t="inlineStr">
        <is>
          <t>1.0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ez_manage.py:2999 top()</t>
        </is>
      </c>
      <c r="IK14" s="9" t="inlineStr">
        <is>
          <t>v12_quick_engine.py:371 x12</t>
        </is>
      </c>
    </row>
    <row r="15" ht="11" customHeight="1">
      <c r="A15" s="10" t="inlineStr">
        <is>
          <t>BREAKOUT_LEASH_REENTRY_MULT</t>
        </is>
      </c>
      <c r="B15" s="11" t="inlineStr">
        <is>
          <t>2.0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ez_manage.py:2999 top()</t>
        </is>
      </c>
      <c r="IK15" s="9" t="inlineStr">
        <is>
          <t>v12_quick_engine.py:371 x12</t>
        </is>
      </c>
    </row>
    <row r="16" ht="11" customHeight="1">
      <c r="A16" s="6" t="inlineStr">
        <is>
          <t>DAEMON_REENTRY_SHORT_WT_XUNDER_GATE_ENABLED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ez_manage.py:4560 top()</t>
        </is>
      </c>
      <c r="IK16" s="9" t="inlineStr">
        <is>
          <t>v12_quick_engine.py:513 x9</t>
        </is>
      </c>
    </row>
    <row r="17" ht="11" customHeight="1">
      <c r="A17" s="10" t="inlineStr">
        <is>
          <t>DAEMON_REENTRY_SHORT_WT_XUNDER_GATE_ENABLED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ez_manage.py:4560 top()</t>
        </is>
      </c>
      <c r="IK17" s="9" t="inlineStr">
        <is>
          <t>v12_quick_engine.py:513 x9</t>
        </is>
      </c>
    </row>
    <row r="18" ht="11" customHeight="1">
      <c r="A18" s="10" t="inlineStr">
        <is>
          <t>HLR_REENTRY_MAX_AGE_S</t>
        </is>
      </c>
      <c r="B18" s="11" t="inlineStr">
        <is>
          <t>0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ez_manage.py:4844 top()</t>
        </is>
      </c>
      <c r="IK18" s="9" t="inlineStr">
        <is>
          <t>v12_quick_engine.py:2024 x4</t>
        </is>
      </c>
    </row>
    <row r="19" ht="11" customHeight="1">
      <c r="A19" s="10" t="inlineStr">
        <is>
          <t>HLR_REENTRY_MAX_AGE_S</t>
        </is>
      </c>
      <c r="B19" s="11" t="inlineStr">
        <is>
          <t>0.5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ez_manage.py:4844 top()</t>
        </is>
      </c>
      <c r="IK19" s="9" t="inlineStr">
        <is>
          <t>v12_quick_engine.py:2024 x4</t>
        </is>
      </c>
    </row>
    <row r="20" ht="11" customHeight="1">
      <c r="A20" s="10" t="inlineStr">
        <is>
          <t>HLR_REENTRY_MAX_AGE_S</t>
        </is>
      </c>
      <c r="B20" s="11" t="inlineStr">
        <is>
          <t>1.0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ez_manage.py:4844 top()</t>
        </is>
      </c>
      <c r="IK20" s="9" t="inlineStr">
        <is>
          <t>v12_quick_engine.py:2024 x4</t>
        </is>
      </c>
    </row>
    <row r="21" ht="11" customHeight="1">
      <c r="A21" s="10" t="inlineStr">
        <is>
          <t>HLR_REENTRY_MAX_AGE_S</t>
        </is>
      </c>
      <c r="B21" s="11" t="inlineStr">
        <is>
          <t>2.0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ez_manage.py:4844 top()</t>
        </is>
      </c>
      <c r="IK21" s="9" t="inlineStr">
        <is>
          <t>v12_quick_engine.py:2024 x4</t>
        </is>
      </c>
    </row>
    <row r="22" ht="11" customHeight="1">
      <c r="A22" s="10" t="inlineStr">
        <is>
          <t>HLR_REENTRY_MULT_4H</t>
        </is>
      </c>
      <c r="B22" s="11" t="inlineStr">
        <is>
          <t>1.0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ez_manage.py:4847 top()</t>
        </is>
      </c>
      <c r="IK22" s="9" t="inlineStr">
        <is>
          <t>v12_quick_engine.py:2027 x6</t>
        </is>
      </c>
    </row>
    <row r="23" ht="11" customHeight="1">
      <c r="A23" s="10" t="inlineStr">
        <is>
          <t>HLR_REENTRY_MULT_4H</t>
        </is>
      </c>
      <c r="B23" s="11" t="inlineStr">
        <is>
          <t>1.5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ez_manage.py:4847 top()</t>
        </is>
      </c>
      <c r="IK23" s="9" t="inlineStr">
        <is>
          <t>v12_quick_engine.py:2027 x6</t>
        </is>
      </c>
    </row>
    <row r="24" ht="11" customHeight="1">
      <c r="A24" s="6" t="inlineStr">
        <is>
          <t>HLR_REENTRY_MULT_4H</t>
        </is>
      </c>
      <c r="B24" s="7" t="inlineStr">
        <is>
          <t>2.0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ez_manage.py:4847 top()</t>
        </is>
      </c>
      <c r="IK24" s="9" t="inlineStr">
        <is>
          <t>v12_quick_engine.py:2027 x6</t>
        </is>
      </c>
    </row>
    <row r="25" ht="11" customHeight="1">
      <c r="A25" s="10" t="inlineStr">
        <is>
          <t>HLR_REENTRY_MULT_4H</t>
        </is>
      </c>
      <c r="B25" s="11" t="inlineStr">
        <is>
          <t>2.5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ez_manage.py:4847 top()</t>
        </is>
      </c>
      <c r="IK25" s="9" t="inlineStr">
        <is>
          <t>v12_quick_engine.py:2027 x6</t>
        </is>
      </c>
    </row>
    <row r="26" ht="11" customHeight="1">
      <c r="A26" s="10" t="inlineStr">
        <is>
          <t>HLR_REENTRY_MULT_4H</t>
        </is>
      </c>
      <c r="B26" s="11" t="inlineStr">
        <is>
          <t>3.0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ez_manage.py:4847 top()</t>
        </is>
      </c>
      <c r="IK26" s="9" t="inlineStr">
        <is>
          <t>v12_quick_engine.py:2027 x6</t>
        </is>
      </c>
    </row>
    <row r="27" ht="11" customHeight="1">
      <c r="A27" s="10" t="inlineStr">
        <is>
          <t>HLR_REENTRY_MULT_D</t>
        </is>
      </c>
      <c r="B27" s="11" t="inlineStr">
        <is>
          <t>1.25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ez_manage.py:4848 top()</t>
        </is>
      </c>
      <c r="IK27" s="9" t="inlineStr">
        <is>
          <t>v12_quick_engine.py:2028 x4</t>
        </is>
      </c>
    </row>
    <row r="28" ht="11" customHeight="1">
      <c r="A28" s="10" t="inlineStr">
        <is>
          <t>HLR_REENTRY_MULT_D</t>
        </is>
      </c>
      <c r="B28" s="11" t="inlineStr">
        <is>
          <t>1.875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ez_manage.py:4848 top()</t>
        </is>
      </c>
      <c r="IK28" s="9" t="inlineStr">
        <is>
          <t>v12_quick_engine.py:2028 x4</t>
        </is>
      </c>
    </row>
    <row r="29" ht="11" customHeight="1">
      <c r="A29" s="6" t="inlineStr">
        <is>
          <t>HLR_REENTRY_MULT_D</t>
        </is>
      </c>
      <c r="B29" s="7" t="inlineStr">
        <is>
          <t>2.5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ez_manage.py:4848 top()</t>
        </is>
      </c>
      <c r="IK29" s="9" t="inlineStr">
        <is>
          <t>v12_quick_engine.py:2028 x4</t>
        </is>
      </c>
    </row>
    <row r="30" ht="11" customHeight="1">
      <c r="A30" s="10" t="inlineStr">
        <is>
          <t>HLR_REENTRY_MULT_D</t>
        </is>
      </c>
      <c r="B30" s="11" t="inlineStr">
        <is>
          <t>3.125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ez_manage.py:4848 top()</t>
        </is>
      </c>
      <c r="IK30" s="9" t="inlineStr">
        <is>
          <t>v12_quick_engine.py:2028 x4</t>
        </is>
      </c>
    </row>
    <row r="31" ht="11" customHeight="1">
      <c r="A31" s="10" t="inlineStr">
        <is>
          <t>HLR_REENTRY_MULT_D</t>
        </is>
      </c>
      <c r="B31" s="11" t="inlineStr">
        <is>
          <t>3.75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ez_manage.py:4848 top()</t>
        </is>
      </c>
      <c r="IK31" s="9" t="inlineStr">
        <is>
          <t>v12_quick_engine.py:2028 x4</t>
        </is>
      </c>
    </row>
    <row r="32" ht="11" customHeight="1">
      <c r="A32" s="10" t="inlineStr">
        <is>
          <t>HLR_REENTRY_MULT_W</t>
        </is>
      </c>
      <c r="B32" s="11" t="inlineStr">
        <is>
          <t>1.5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ez_manage.py:4849 top()</t>
        </is>
      </c>
      <c r="IK32" s="9" t="inlineStr">
        <is>
          <t>v12_quick_engine.py:2029 x4</t>
        </is>
      </c>
    </row>
    <row r="33" ht="11" customHeight="1">
      <c r="A33" s="10" t="inlineStr">
        <is>
          <t>HLR_REENTRY_MULT_W</t>
        </is>
      </c>
      <c r="B33" s="11" t="inlineStr">
        <is>
          <t>2.25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ez_manage.py:4849 top()</t>
        </is>
      </c>
      <c r="IK33" s="9" t="inlineStr">
        <is>
          <t>v12_quick_engine.py:2029 x4</t>
        </is>
      </c>
    </row>
    <row r="34" ht="11" customHeight="1">
      <c r="A34" s="6" t="inlineStr">
        <is>
          <t>HLR_REENTRY_MULT_W</t>
        </is>
      </c>
      <c r="B34" s="7" t="inlineStr">
        <is>
          <t>3.0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ez_manage.py:4849 top()</t>
        </is>
      </c>
      <c r="IK34" s="9" t="inlineStr">
        <is>
          <t>v12_quick_engine.py:2029 x4</t>
        </is>
      </c>
    </row>
    <row r="35" ht="11" customHeight="1">
      <c r="A35" s="10" t="inlineStr">
        <is>
          <t>HLR_REENTRY_MULT_W</t>
        </is>
      </c>
      <c r="B35" s="11" t="inlineStr">
        <is>
          <t>3.75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ez_manage.py:4849 top()</t>
        </is>
      </c>
      <c r="IK35" s="9" t="inlineStr">
        <is>
          <t>v12_quick_engine.py:2029 x4</t>
        </is>
      </c>
    </row>
    <row r="36" ht="11" customHeight="1">
      <c r="A36" s="10" t="inlineStr">
        <is>
          <t>HLR_REENTRY_MULT_W</t>
        </is>
      </c>
      <c r="B36" s="11" t="inlineStr">
        <is>
          <t>4.5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ez_manage.py:4849 top()</t>
        </is>
      </c>
      <c r="IK36" s="9" t="inlineStr">
        <is>
          <t>v12_quick_engine.py:2029 x4</t>
        </is>
      </c>
    </row>
    <row r="37" ht="11" customHeight="1">
      <c r="A37" s="10" t="inlineStr">
        <is>
          <t>REENTRY_SIZE_BREAKOUT_MULT</t>
        </is>
      </c>
      <c r="B37" s="11" t="inlineStr">
        <is>
          <t>0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ez_manage.py:3870 top()</t>
        </is>
      </c>
      <c r="IK37" s="9" t="inlineStr">
        <is>
          <t>v12_quick_engine.py:2903 x3</t>
        </is>
      </c>
    </row>
    <row r="38" ht="11" customHeight="1">
      <c r="A38" s="10" t="inlineStr">
        <is>
          <t>REENTRY_SIZE_BREAKOUT_MULT</t>
        </is>
      </c>
      <c r="B38" s="11" t="inlineStr">
        <is>
          <t>0.5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ez_manage.py:3870 top()</t>
        </is>
      </c>
      <c r="IK38" s="9" t="inlineStr">
        <is>
          <t>v12_quick_engine.py:2903 x3</t>
        </is>
      </c>
    </row>
    <row r="39" ht="11" customHeight="1">
      <c r="A39" s="10" t="inlineStr">
        <is>
          <t>REENTRY_SIZE_BREAKOUT_MULT</t>
        </is>
      </c>
      <c r="B39" s="11" t="inlineStr">
        <is>
          <t>1.0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ez_manage.py:3870 top()</t>
        </is>
      </c>
      <c r="IK39" s="9" t="inlineStr">
        <is>
          <t>v12_quick_engine.py:2903 x3</t>
        </is>
      </c>
    </row>
    <row r="40" ht="11" customHeight="1">
      <c r="A40" s="10" t="inlineStr">
        <is>
          <t>REENTRY_SIZE_BREAKOUT_MULT</t>
        </is>
      </c>
      <c r="B40" s="11" t="inlineStr">
        <is>
          <t>2.0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ez_manage.py:3870 top()</t>
        </is>
      </c>
      <c r="IK40" s="9" t="inlineStr">
        <is>
          <t>v12_quick_engine.py:2903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08 AUGMENT_TREND - 5 bases -&gt; 24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AUGMENT_MIN_GAIN_PCT</t>
        </is>
      </c>
      <c r="B3" s="11" t="inlineStr">
        <is>
          <t>0.25</t>
        </is>
      </c>
      <c r="E3">
        <f>MAX('REENTRY_ADAPTIVE'!E:E)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ez_manage.py:30417 top()</t>
        </is>
      </c>
      <c r="IK3" s="9" t="inlineStr">
        <is>
          <t>v12_quick_engine.py:4874 x5</t>
        </is>
      </c>
    </row>
    <row r="4" ht="11" customHeight="1">
      <c r="A4" s="10" t="inlineStr">
        <is>
          <t>AUGMENT_MIN_GAIN_PCT</t>
        </is>
      </c>
      <c r="B4" s="11" t="inlineStr">
        <is>
          <t>0.375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ez_manage.py:30417 top()</t>
        </is>
      </c>
      <c r="IK4" s="9" t="inlineStr">
        <is>
          <t>v12_quick_engine.py:4874 x5</t>
        </is>
      </c>
    </row>
    <row r="5" ht="11" customHeight="1">
      <c r="A5" s="6" t="inlineStr">
        <is>
          <t>AUGMENT_MIN_GAIN_PCT</t>
        </is>
      </c>
      <c r="B5" s="7" t="inlineStr">
        <is>
          <t>0.5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ez_manage.py:30417 top()</t>
        </is>
      </c>
      <c r="IK5" s="9" t="inlineStr">
        <is>
          <t>v12_quick_engine.py:4874 x5</t>
        </is>
      </c>
    </row>
    <row r="6" ht="11" customHeight="1">
      <c r="A6" s="10" t="inlineStr">
        <is>
          <t>AUGMENT_MIN_GAIN_PCT</t>
        </is>
      </c>
      <c r="B6" s="11" t="inlineStr">
        <is>
          <t>0.625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ez_manage.py:30417 top()</t>
        </is>
      </c>
      <c r="IK6" s="9" t="inlineStr">
        <is>
          <t>v12_quick_engine.py:4874 x5</t>
        </is>
      </c>
    </row>
    <row r="7" ht="11" customHeight="1">
      <c r="A7" s="10" t="inlineStr">
        <is>
          <t>AUGMENT_MIN_GAIN_PCT</t>
        </is>
      </c>
      <c r="B7" s="11" t="inlineStr">
        <is>
          <t>0.75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ez_manage.py:30417 top()</t>
        </is>
      </c>
      <c r="IK7" s="9" t="inlineStr">
        <is>
          <t>v12_quick_engine.py:4874 x5</t>
        </is>
      </c>
    </row>
    <row r="8" ht="11" customHeight="1">
      <c r="A8" s="10" t="inlineStr">
        <is>
          <t>BOUNCE_AUGMENT_MIN_LOSS_PCT</t>
        </is>
      </c>
      <c r="B8" s="11" t="inlineStr">
        <is>
          <t>-0.75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ez_manage.py:4390 top()</t>
        </is>
      </c>
      <c r="IK8" s="9" t="inlineStr">
        <is>
          <t>v12_quick_engine.py:1310 x9</t>
        </is>
      </c>
    </row>
    <row r="9" ht="11" customHeight="1">
      <c r="A9" s="10" t="inlineStr">
        <is>
          <t>BOUNCE_AUGMENT_MIN_LOSS_PCT</t>
        </is>
      </c>
      <c r="B9" s="11" t="inlineStr">
        <is>
          <t>-0.625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ez_manage.py:4390 top()</t>
        </is>
      </c>
      <c r="IK9" s="9" t="inlineStr">
        <is>
          <t>v12_quick_engine.py:1310 x9</t>
        </is>
      </c>
    </row>
    <row r="10" ht="11" customHeight="1">
      <c r="A10" s="6" t="inlineStr">
        <is>
          <t>BOUNCE_AUGMENT_MIN_LOSS_PCT</t>
        </is>
      </c>
      <c r="B10" s="7" t="inlineStr">
        <is>
          <t>-0.5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ez_manage.py:4390 top()</t>
        </is>
      </c>
      <c r="IK10" s="9" t="inlineStr">
        <is>
          <t>v12_quick_engine.py:1310 x9</t>
        </is>
      </c>
    </row>
    <row r="11" ht="11" customHeight="1">
      <c r="A11" s="10" t="inlineStr">
        <is>
          <t>BOUNCE_AUGMENT_MIN_LOSS_PCT</t>
        </is>
      </c>
      <c r="B11" s="11" t="inlineStr">
        <is>
          <t>-0.375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ez_manage.py:4390 top()</t>
        </is>
      </c>
      <c r="IK11" s="9" t="inlineStr">
        <is>
          <t>v12_quick_engine.py:1310 x9</t>
        </is>
      </c>
    </row>
    <row r="12" ht="11" customHeight="1">
      <c r="A12" s="10" t="inlineStr">
        <is>
          <t>BOUNCE_AUGMENT_MIN_LOSS_PCT</t>
        </is>
      </c>
      <c r="B12" s="11" t="inlineStr">
        <is>
          <t>-0.25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ez_manage.py:4390 top()</t>
        </is>
      </c>
      <c r="IK12" s="9" t="inlineStr">
        <is>
          <t>v12_quick_engine.py:1310 x9</t>
        </is>
      </c>
    </row>
    <row r="13" ht="11" customHeight="1">
      <c r="A13" s="10" t="inlineStr">
        <is>
          <t>AUGMENT_BOUNCE_MIN_GAIN_PCT</t>
        </is>
      </c>
      <c r="B13" s="11" t="inlineStr">
        <is>
          <t>0.25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ez_manage.py:56856 top()</t>
        </is>
      </c>
      <c r="IK13" s="9" t="inlineStr">
        <is>
          <t>v12_quick_engine.py:4872 x2</t>
        </is>
      </c>
    </row>
    <row r="14" ht="11" customHeight="1">
      <c r="A14" s="10" t="inlineStr">
        <is>
          <t>AUGMENT_BOUNCE_MIN_GAIN_PCT</t>
        </is>
      </c>
      <c r="B14" s="11" t="inlineStr">
        <is>
          <t>0.375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ez_manage.py:56856 top()</t>
        </is>
      </c>
      <c r="IK14" s="9" t="inlineStr">
        <is>
          <t>v12_quick_engine.py:4872 x2</t>
        </is>
      </c>
    </row>
    <row r="15" ht="11" customHeight="1">
      <c r="A15" s="6" t="inlineStr">
        <is>
          <t>AUGMENT_BOUNCE_MIN_GAIN_PCT</t>
        </is>
      </c>
      <c r="B15" s="7" t="inlineStr">
        <is>
          <t>0.5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ez_manage.py:56856 top()</t>
        </is>
      </c>
      <c r="IK15" s="9" t="inlineStr">
        <is>
          <t>v12_quick_engine.py:4872 x2</t>
        </is>
      </c>
    </row>
    <row r="16" ht="11" customHeight="1">
      <c r="A16" s="10" t="inlineStr">
        <is>
          <t>AUGMENT_BOUNCE_MIN_GAIN_PCT</t>
        </is>
      </c>
      <c r="B16" s="11" t="inlineStr">
        <is>
          <t>0.625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ez_manage.py:56856 top()</t>
        </is>
      </c>
      <c r="IK16" s="9" t="inlineStr">
        <is>
          <t>v12_quick_engine.py:4872 x2</t>
        </is>
      </c>
    </row>
    <row r="17" ht="11" customHeight="1">
      <c r="A17" s="10" t="inlineStr">
        <is>
          <t>AUGMENT_BOUNCE_MIN_GAIN_PCT</t>
        </is>
      </c>
      <c r="B17" s="11" t="inlineStr">
        <is>
          <t>0.75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ez_manage.py:56856 top()</t>
        </is>
      </c>
      <c r="IK17" s="9" t="inlineStr">
        <is>
          <t>v12_quick_engine.py:4872 x2</t>
        </is>
      </c>
    </row>
    <row r="18" ht="11" customHeight="1">
      <c r="A18" s="10" t="inlineStr">
        <is>
          <t>AUGMENT_BREAKOUT_MIN_GAIN_PCT</t>
        </is>
      </c>
      <c r="B18" s="11" t="inlineStr">
        <is>
          <t>0.25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ez_manage.py:56860 top()</t>
        </is>
      </c>
      <c r="IK18" s="9" t="inlineStr">
        <is>
          <t>v12_quick_engine.py:4873 x2</t>
        </is>
      </c>
    </row>
    <row r="19" ht="11" customHeight="1">
      <c r="A19" s="10" t="inlineStr">
        <is>
          <t>AUGMENT_BREAKOUT_MIN_GAIN_PCT</t>
        </is>
      </c>
      <c r="B19" s="11" t="inlineStr">
        <is>
          <t>0.375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ez_manage.py:56860 top()</t>
        </is>
      </c>
      <c r="IK19" s="9" t="inlineStr">
        <is>
          <t>v12_quick_engine.py:4873 x2</t>
        </is>
      </c>
    </row>
    <row r="20" ht="11" customHeight="1">
      <c r="A20" s="6" t="inlineStr">
        <is>
          <t>AUGMENT_BREAKOUT_MIN_GAIN_PCT</t>
        </is>
      </c>
      <c r="B20" s="7" t="inlineStr">
        <is>
          <t>0.5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ez_manage.py:56860 top()</t>
        </is>
      </c>
      <c r="IK20" s="9" t="inlineStr">
        <is>
          <t>v12_quick_engine.py:4873 x2</t>
        </is>
      </c>
    </row>
    <row r="21" ht="11" customHeight="1">
      <c r="A21" s="10" t="inlineStr">
        <is>
          <t>AUGMENT_BREAKOUT_MIN_GAIN_PCT</t>
        </is>
      </c>
      <c r="B21" s="11" t="inlineStr">
        <is>
          <t>0.625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ez_manage.py:56860 top()</t>
        </is>
      </c>
      <c r="IK21" s="9" t="inlineStr">
        <is>
          <t>v12_quick_engine.py:4873 x2</t>
        </is>
      </c>
    </row>
    <row r="22" ht="11" customHeight="1">
      <c r="A22" s="10" t="inlineStr">
        <is>
          <t>AUGMENT_BREAKOUT_MIN_GAIN_PCT</t>
        </is>
      </c>
      <c r="B22" s="11" t="inlineStr">
        <is>
          <t>0.75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ez_manage.py:56860 top()</t>
        </is>
      </c>
      <c r="IK22" s="9" t="inlineStr">
        <is>
          <t>v12_quick_engine.py:4873 x2</t>
        </is>
      </c>
    </row>
    <row r="23" ht="11" customHeight="1">
      <c r="A23" s="10" t="inlineStr">
        <is>
          <t>HTF_GATE_APPLY_TO_AUGMENT</t>
        </is>
      </c>
      <c r="B23" s="11" t="inlineStr">
        <is>
          <t>0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ez_manage.py:4876 top()</t>
        </is>
      </c>
      <c r="IK23" s="9" t="inlineStr">
        <is>
          <t>v12_quick_engine.py:2052 x6</t>
        </is>
      </c>
    </row>
    <row r="24" ht="11" customHeight="1">
      <c r="A24" s="10" t="inlineStr">
        <is>
          <t>HTF_GATE_APPLY_TO_AUGMENT</t>
        </is>
      </c>
      <c r="B24" s="11" t="inlineStr">
        <is>
          <t>0.5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ez_manage.py:4876 top()</t>
        </is>
      </c>
      <c r="IK24" s="9" t="inlineStr">
        <is>
          <t>v12_quick_engine.py:2052 x6</t>
        </is>
      </c>
    </row>
    <row r="25" ht="11" customHeight="1">
      <c r="A25" s="10" t="inlineStr">
        <is>
          <t>HTF_GATE_APPLY_TO_AUGMENT</t>
        </is>
      </c>
      <c r="B25" s="11" t="inlineStr">
        <is>
          <t>1.0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ez_manage.py:4876 top()</t>
        </is>
      </c>
      <c r="IK25" s="9" t="inlineStr">
        <is>
          <t>v12_quick_engine.py:2052 x6</t>
        </is>
      </c>
    </row>
    <row r="26" ht="11" customHeight="1">
      <c r="A26" s="10" t="inlineStr">
        <is>
          <t>HTF_GATE_APPLY_TO_AUGMENT</t>
        </is>
      </c>
      <c r="B26" s="11" t="inlineStr">
        <is>
          <t>2.0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ez_manage.py:4876 top()</t>
        </is>
      </c>
      <c r="IK26" s="9" t="inlineStr">
        <is>
          <t>v12_quick_engine.py:2052 x6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09 AUGMENT_RISK_SIZING - 17 bases -&gt; 56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DD_BOUNCE_ENABLED</t>
        </is>
      </c>
      <c r="B3" s="11" t="inlineStr">
        <is>
          <t>True</t>
        </is>
      </c>
      <c r="E3">
        <f>MAX('AUGMENT_TREND'!E:E)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ez_manage.py:4586 top()</t>
        </is>
      </c>
      <c r="IK3" s="9" t="inlineStr">
        <is>
          <t>v12_quick_engine.py:567 x9</t>
        </is>
      </c>
    </row>
    <row r="4" ht="11" customHeight="1">
      <c r="A4" s="10" t="inlineStr">
        <is>
          <t>MAX_AUGMENTS_PER_POSITION</t>
        </is>
      </c>
      <c r="B4" s="11" t="inlineStr">
        <is>
          <t>0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ez_manage.py:3521 top()</t>
        </is>
      </c>
      <c r="IK4" s="9" t="inlineStr">
        <is>
          <t>v12_quick_engine.py:2267 x7</t>
        </is>
      </c>
    </row>
    <row r="5" ht="11" customHeight="1">
      <c r="A5" s="10" t="inlineStr">
        <is>
          <t>MAX_AUGMENTS_PER_POSITION</t>
        </is>
      </c>
      <c r="B5" s="11" t="inlineStr">
        <is>
          <t>0.5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ez_manage.py:3521 top()</t>
        </is>
      </c>
      <c r="IK5" s="9" t="inlineStr">
        <is>
          <t>v12_quick_engine.py:2267 x7</t>
        </is>
      </c>
    </row>
    <row r="6" ht="11" customHeight="1">
      <c r="A6" s="10" t="inlineStr">
        <is>
          <t>MAX_AUGMENTS_PER_POSITION</t>
        </is>
      </c>
      <c r="B6" s="11" t="inlineStr">
        <is>
          <t>1.0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ez_manage.py:3521 top()</t>
        </is>
      </c>
      <c r="IK6" s="9" t="inlineStr">
        <is>
          <t>v12_quick_engine.py:2267 x7</t>
        </is>
      </c>
    </row>
    <row r="7" ht="11" customHeight="1">
      <c r="A7" s="10" t="inlineStr">
        <is>
          <t>MAX_AUGMENTS_PER_POSITION</t>
        </is>
      </c>
      <c r="B7" s="11" t="inlineStr">
        <is>
          <t>2.0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ez_manage.py:3521 top()</t>
        </is>
      </c>
      <c r="IK7" s="9" t="inlineStr">
        <is>
          <t>v12_quick_engine.py:2267 x7</t>
        </is>
      </c>
    </row>
    <row r="8" ht="11" customHeight="1">
      <c r="A8" s="10" t="inlineStr">
        <is>
          <t>AUGMENTED_POSITIONS_GUARD_FLOOR_MULT</t>
        </is>
      </c>
      <c r="B8" s="11" t="inlineStr">
        <is>
          <t>0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ez_manage.py:4336 top()</t>
        </is>
      </c>
      <c r="IK8" s="9" t="inlineStr">
        <is>
          <t>v12_quick_engine.py:221 x13</t>
        </is>
      </c>
    </row>
    <row r="9" ht="11" customHeight="1">
      <c r="A9" s="10" t="inlineStr">
        <is>
          <t>AUGMENTED_POSITIONS_GUARD_FLOOR_MULT</t>
        </is>
      </c>
      <c r="B9" s="11" t="inlineStr">
        <is>
          <t>0.5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ez_manage.py:4336 top()</t>
        </is>
      </c>
      <c r="IK9" s="9" t="inlineStr">
        <is>
          <t>v12_quick_engine.py:221 x13</t>
        </is>
      </c>
    </row>
    <row r="10" ht="11" customHeight="1">
      <c r="A10" s="10" t="inlineStr">
        <is>
          <t>AUGMENTED_POSITIONS_GUARD_FLOOR_MULT</t>
        </is>
      </c>
      <c r="B10" s="11" t="inlineStr">
        <is>
          <t>1.0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ez_manage.py:4336 top()</t>
        </is>
      </c>
      <c r="IK10" s="9" t="inlineStr">
        <is>
          <t>v12_quick_engine.py:221 x13</t>
        </is>
      </c>
    </row>
    <row r="11" ht="11" customHeight="1">
      <c r="A11" s="10" t="inlineStr">
        <is>
          <t>AUGMENTED_POSITIONS_GUARD_FLOOR_MULT</t>
        </is>
      </c>
      <c r="B11" s="11" t="inlineStr">
        <is>
          <t>2.0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ez_manage.py:4336 top()</t>
        </is>
      </c>
      <c r="IK11" s="9" t="inlineStr">
        <is>
          <t>v12_quick_engine.py:221 x13</t>
        </is>
      </c>
    </row>
    <row r="12" ht="11" customHeight="1">
      <c r="A12" s="6" t="inlineStr">
        <is>
          <t>AUGMENT_AT_LOSS_ENABLED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ez_manage.py:5956 top()</t>
        </is>
      </c>
      <c r="IK12" s="9" t="inlineStr">
        <is>
          <t>v12_quick_engine.py:228 x5</t>
        </is>
      </c>
    </row>
    <row r="13" ht="11" customHeight="1">
      <c r="A13" s="10" t="inlineStr">
        <is>
          <t>AUGMENT_AT_LOSS_ENABLED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ez_manage.py:5956 top()</t>
        </is>
      </c>
      <c r="IK13" s="9" t="inlineStr">
        <is>
          <t>v12_quick_engine.py:228 x5</t>
        </is>
      </c>
    </row>
    <row r="14" ht="11" customHeight="1">
      <c r="A14" s="10" t="inlineStr">
        <is>
          <t>AUGMENT_FALLBACK_GAIN_PCT</t>
        </is>
      </c>
      <c r="B14" s="11" t="inlineStr">
        <is>
          <t>0.5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ez_manage.py:56864 top()</t>
        </is>
      </c>
      <c r="IK14" s="9" t="inlineStr">
        <is>
          <t>v12_quick_engine.py:4990 x4</t>
        </is>
      </c>
    </row>
    <row r="15" ht="11" customHeight="1">
      <c r="A15" s="10" t="inlineStr">
        <is>
          <t>AUGMENT_FALLBACK_GAIN_PCT</t>
        </is>
      </c>
      <c r="B15" s="11" t="inlineStr">
        <is>
          <t>0.75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ez_manage.py:56864 top()</t>
        </is>
      </c>
      <c r="IK15" s="9" t="inlineStr">
        <is>
          <t>v12_quick_engine.py:4990 x4</t>
        </is>
      </c>
    </row>
    <row r="16" ht="11" customHeight="1">
      <c r="A16" s="6" t="inlineStr">
        <is>
          <t>AUGMENT_FALLBACK_GAIN_PCT</t>
        </is>
      </c>
      <c r="B16" s="7" t="inlineStr">
        <is>
          <t>1.0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ez_manage.py:56864 top()</t>
        </is>
      </c>
      <c r="IK16" s="9" t="inlineStr">
        <is>
          <t>v12_quick_engine.py:4990 x4</t>
        </is>
      </c>
    </row>
    <row r="17" ht="11" customHeight="1">
      <c r="A17" s="10" t="inlineStr">
        <is>
          <t>AUGMENT_FALLBACK_GAIN_PCT</t>
        </is>
      </c>
      <c r="B17" s="11" t="inlineStr">
        <is>
          <t>1.25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ez_manage.py:56864 top()</t>
        </is>
      </c>
      <c r="IK17" s="9" t="inlineStr">
        <is>
          <t>v12_quick_engine.py:4990 x4</t>
        </is>
      </c>
    </row>
    <row r="18" ht="11" customHeight="1">
      <c r="A18" s="10" t="inlineStr">
        <is>
          <t>AUGMENT_FALLBACK_GAIN_PCT</t>
        </is>
      </c>
      <c r="B18" s="11" t="inlineStr">
        <is>
          <t>1.5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ez_manage.py:56864 top()</t>
        </is>
      </c>
      <c r="IK18" s="9" t="inlineStr">
        <is>
          <t>v12_quick_engine.py:4990 x4</t>
        </is>
      </c>
    </row>
    <row r="19" ht="11" customHeight="1">
      <c r="A19" s="6" t="inlineStr">
        <is>
          <t>AUGMENT_FALLBACK_REDUCE_ENABLED</t>
        </is>
      </c>
      <c r="B19" s="7" t="inlineStr">
        <is>
          <t>False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ez_manage.py:56872 top()</t>
        </is>
      </c>
      <c r="IK19" s="9" t="inlineStr">
        <is>
          <t>v12_quick_engine.py:4988 x3</t>
        </is>
      </c>
    </row>
    <row r="20" ht="11" customHeight="1">
      <c r="A20" s="10" t="inlineStr">
        <is>
          <t>AUGMENT_FALLBACK_REDUCE_ENABLED</t>
        </is>
      </c>
      <c r="B20" s="11" t="inlineStr">
        <is>
          <t>True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ez_manage.py:56872 top()</t>
        </is>
      </c>
      <c r="IK20" s="9" t="inlineStr">
        <is>
          <t>v12_quick_engine.py:4988 x3</t>
        </is>
      </c>
    </row>
    <row r="21" ht="11" customHeight="1">
      <c r="A21" s="10" t="inlineStr">
        <is>
          <t>AUGMENT_FALLBACK_REDUCE_PCT</t>
        </is>
      </c>
      <c r="B21" s="11" t="inlineStr">
        <is>
          <t>0.25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ez_manage.py:56876 top()</t>
        </is>
      </c>
      <c r="IK21" s="9" t="inlineStr">
        <is>
          <t>v12_quick_engine.py:4989 x3</t>
        </is>
      </c>
    </row>
    <row r="22" ht="11" customHeight="1">
      <c r="A22" s="10" t="inlineStr">
        <is>
          <t>AUGMENT_FALLBACK_REDUCE_PCT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ez_manage.py:56876 top()</t>
        </is>
      </c>
      <c r="IK22" s="9" t="inlineStr">
        <is>
          <t>v12_quick_engine.py:4989 x3</t>
        </is>
      </c>
    </row>
    <row r="23" ht="11" customHeight="1">
      <c r="A23" s="6" t="inlineStr">
        <is>
          <t>AUGMENT_FALLBACK_REDUCE_PCT</t>
        </is>
      </c>
      <c r="B23" s="7" t="inlineStr">
        <is>
          <t>0.5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ez_manage.py:56876 top()</t>
        </is>
      </c>
      <c r="IK23" s="9" t="inlineStr">
        <is>
          <t>v12_quick_engine.py:4989 x3</t>
        </is>
      </c>
    </row>
    <row r="24" ht="11" customHeight="1">
      <c r="A24" s="10" t="inlineStr">
        <is>
          <t>AUGMENT_FALLBACK_REDUCE_PCT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ez_manage.py:56876 top()</t>
        </is>
      </c>
      <c r="IK24" s="9" t="inlineStr">
        <is>
          <t>v12_quick_engine.py:4989 x3</t>
        </is>
      </c>
    </row>
    <row r="25" ht="11" customHeight="1">
      <c r="A25" s="10" t="inlineStr">
        <is>
          <t>AUGMENT_FALLBACK_REDUCE_PCT</t>
        </is>
      </c>
      <c r="B25" s="11" t="inlineStr">
        <is>
          <t>0.75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ez_manage.py:56876 top()</t>
        </is>
      </c>
      <c r="IK25" s="9" t="inlineStr">
        <is>
          <t>v12_quick_engine.py:4989 x3</t>
        </is>
      </c>
    </row>
    <row r="26" ht="11" customHeight="1">
      <c r="A26" s="10" t="inlineStr">
        <is>
          <t>AUGMENT_ONLY_WHEN_PROFITABLE</t>
        </is>
      </c>
      <c r="B26" s="11" t="inlineStr">
        <is>
          <t>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ez_manage.py:2943 top()</t>
        </is>
      </c>
      <c r="IK26" s="9" t="inlineStr">
        <is>
          <t>v12_quick_engine.py:235 x18</t>
        </is>
      </c>
    </row>
    <row r="27" ht="11" customHeight="1">
      <c r="A27" s="10" t="inlineStr">
        <is>
          <t>AUGMENT_ONLY_WHEN_PROFITABLE</t>
        </is>
      </c>
      <c r="B27" s="11" t="inlineStr">
        <is>
          <t>0.5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ez_manage.py:2943 top()</t>
        </is>
      </c>
      <c r="IK27" s="9" t="inlineStr">
        <is>
          <t>v12_quick_engine.py:235 x18</t>
        </is>
      </c>
    </row>
    <row r="28" ht="11" customHeight="1">
      <c r="A28" s="10" t="inlineStr">
        <is>
          <t>AUGMENT_ONLY_WHEN_PROFITABLE</t>
        </is>
      </c>
      <c r="B28" s="11" t="inlineStr">
        <is>
          <t>1.0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ez_manage.py:2943 top()</t>
        </is>
      </c>
      <c r="IK28" s="9" t="inlineStr">
        <is>
          <t>v12_quick_engine.py:235 x18</t>
        </is>
      </c>
    </row>
    <row r="29" ht="11" customHeight="1">
      <c r="A29" s="10" t="inlineStr">
        <is>
          <t>AUGMENT_ONLY_WHEN_PROFITABLE</t>
        </is>
      </c>
      <c r="B29" s="11" t="inlineStr">
        <is>
          <t>2.0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ez_manage.py:2943 top()</t>
        </is>
      </c>
      <c r="IK29" s="9" t="inlineStr">
        <is>
          <t>v12_quick_engine.py:235 x18</t>
        </is>
      </c>
    </row>
    <row r="30" ht="11" customHeight="1">
      <c r="A30" s="6" t="inlineStr">
        <is>
          <t>AUGMENT_WT_4H_BOUNCE_ENABLED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ez_manage.py:5957 top()</t>
        </is>
      </c>
      <c r="IK30" s="9" t="inlineStr">
        <is>
          <t>v12_quick_engine.py:242 x9</t>
        </is>
      </c>
    </row>
    <row r="31" ht="11" customHeight="1">
      <c r="A31" s="10" t="inlineStr">
        <is>
          <t>AUGMENT_WT_4H_BOUNCE_ENABLED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ez_manage.py:5957 top()</t>
        </is>
      </c>
      <c r="IK31" s="9" t="inlineStr">
        <is>
          <t>v12_quick_engine.py:242 x9</t>
        </is>
      </c>
    </row>
    <row r="32" ht="11" customHeight="1">
      <c r="A32" s="10" t="inlineStr">
        <is>
          <t>DELTA_PYRAMID_MAX</t>
        </is>
      </c>
      <c r="B32" s="11" t="inlineStr">
        <is>
          <t>0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ez_manage.py:3153 top()</t>
        </is>
      </c>
      <c r="IK32" s="9" t="inlineStr">
        <is>
          <t>v12_quick_engine.py:591 x16</t>
        </is>
      </c>
    </row>
    <row r="33" ht="11" customHeight="1">
      <c r="A33" s="10" t="inlineStr">
        <is>
          <t>DELTA_PYRAMID_MAX</t>
        </is>
      </c>
      <c r="B33" s="11" t="inlineStr">
        <is>
          <t>0.5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ez_manage.py:3153 top()</t>
        </is>
      </c>
      <c r="IK33" s="9" t="inlineStr">
        <is>
          <t>v12_quick_engine.py:591 x16</t>
        </is>
      </c>
    </row>
    <row r="34" ht="11" customHeight="1">
      <c r="A34" s="10" t="inlineStr">
        <is>
          <t>DELTA_PYRAMID_MAX</t>
        </is>
      </c>
      <c r="B34" s="11" t="inlineStr">
        <is>
          <t>1.0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ez_manage.py:3153 top()</t>
        </is>
      </c>
      <c r="IK34" s="9" t="inlineStr">
        <is>
          <t>v12_quick_engine.py:591 x16</t>
        </is>
      </c>
    </row>
    <row r="35" ht="11" customHeight="1">
      <c r="A35" s="10" t="inlineStr">
        <is>
          <t>DELTA_PYRAMID_MAX</t>
        </is>
      </c>
      <c r="B35" s="11" t="inlineStr">
        <is>
          <t>2.0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ez_manage.py:3153 top()</t>
        </is>
      </c>
      <c r="IK35" s="9" t="inlineStr">
        <is>
          <t>v12_quick_engine.py:591 x16</t>
        </is>
      </c>
    </row>
    <row r="36" ht="11" customHeight="1">
      <c r="A36" s="10" t="inlineStr">
        <is>
          <t>DELTA_PYRAMID_PRICE_TOL</t>
        </is>
      </c>
      <c r="B36" s="11" t="inlineStr">
        <is>
          <t>0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ez_manage.py:3155 top()</t>
        </is>
      </c>
      <c r="IK36" s="9" t="inlineStr">
        <is>
          <t>v12_quick_engine.py:597 x16</t>
        </is>
      </c>
    </row>
    <row r="37" ht="11" customHeight="1">
      <c r="A37" s="10" t="inlineStr">
        <is>
          <t>DELTA_PYRAMID_PRICE_TOL</t>
        </is>
      </c>
      <c r="B37" s="11" t="inlineStr">
        <is>
          <t>0.5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ez_manage.py:3155 top()</t>
        </is>
      </c>
      <c r="IK37" s="9" t="inlineStr">
        <is>
          <t>v12_quick_engine.py:597 x16</t>
        </is>
      </c>
    </row>
    <row r="38" ht="11" customHeight="1">
      <c r="A38" s="10" t="inlineStr">
        <is>
          <t>DELTA_PYRAMID_PRICE_TOL</t>
        </is>
      </c>
      <c r="B38" s="11" t="inlineStr">
        <is>
          <t>1.0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ez_manage.py:3155 top()</t>
        </is>
      </c>
      <c r="IK38" s="9" t="inlineStr">
        <is>
          <t>v12_quick_engine.py:597 x16</t>
        </is>
      </c>
    </row>
    <row r="39" ht="11" customHeight="1">
      <c r="A39" s="10" t="inlineStr">
        <is>
          <t>DELTA_PYRAMID_PRICE_TOL</t>
        </is>
      </c>
      <c r="B39" s="11" t="inlineStr">
        <is>
          <t>2.0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ez_manage.py:3155 top()</t>
        </is>
      </c>
      <c r="IK39" s="9" t="inlineStr">
        <is>
          <t>v12_quick_engine.py:597 x16</t>
        </is>
      </c>
    </row>
    <row r="40" ht="11" customHeight="1">
      <c r="A40" s="6" t="inlineStr">
        <is>
          <t>DYNAMIC_SCORE_AUGMENT_ENABLED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ez_manage.py:5978 top()</t>
        </is>
      </c>
      <c r="IK40" s="9" t="inlineStr">
        <is>
          <t>v12_quick_engine.py:983 x9</t>
        </is>
      </c>
    </row>
    <row r="41" ht="11" customHeight="1">
      <c r="A41" s="10" t="inlineStr">
        <is>
          <t>DYNAMIC_SCORE_AUGMENT_ENABLED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ez_manage.py:5978 top()</t>
        </is>
      </c>
      <c r="IK41" s="9" t="inlineStr">
        <is>
          <t>v12_quick_engine.py:983 x9</t>
        </is>
      </c>
    </row>
    <row r="42" ht="11" customHeight="1">
      <c r="A42" s="10" t="inlineStr">
        <is>
          <t>HIGH_GAIN_AUGMENTATION_MIN_SIZE</t>
        </is>
      </c>
      <c r="B42" s="11" t="inlineStr">
        <is>
          <t>0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ez_manage.py:3366 top()</t>
        </is>
      </c>
      <c r="IK42" s="9" t="inlineStr">
        <is>
          <t>v12_quick_engine.py:2019 x10</t>
        </is>
      </c>
    </row>
    <row r="43" ht="11" customHeight="1">
      <c r="A43" s="10" t="inlineStr">
        <is>
          <t>HIGH_GAIN_AUGMENTATION_MIN_SIZE</t>
        </is>
      </c>
      <c r="B43" s="11" t="inlineStr">
        <is>
          <t>0.5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ez_manage.py:3366 top()</t>
        </is>
      </c>
      <c r="IK43" s="9" t="inlineStr">
        <is>
          <t>v12_quick_engine.py:2019 x10</t>
        </is>
      </c>
    </row>
    <row r="44" ht="11" customHeight="1">
      <c r="A44" s="10" t="inlineStr">
        <is>
          <t>HIGH_GAIN_AUGMENTATION_MIN_SIZE</t>
        </is>
      </c>
      <c r="B44" s="11" t="inlineStr">
        <is>
          <t>1.0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ez_manage.py:3366 top()</t>
        </is>
      </c>
      <c r="IK44" s="9" t="inlineStr">
        <is>
          <t>v12_quick_engine.py:2019 x10</t>
        </is>
      </c>
    </row>
    <row r="45" ht="11" customHeight="1">
      <c r="A45" s="10" t="inlineStr">
        <is>
          <t>HIGH_GAIN_AUGMENTATION_MIN_SIZE</t>
        </is>
      </c>
      <c r="B45" s="11" t="inlineStr">
        <is>
          <t>2.0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ez_manage.py:3366 top()</t>
        </is>
      </c>
      <c r="IK45" s="9" t="inlineStr">
        <is>
          <t>v12_quick_engine.py:2019 x10</t>
        </is>
      </c>
    </row>
    <row r="46" ht="11" customHeight="1">
      <c r="A46" s="10" t="inlineStr">
        <is>
          <t>PYRAMID_MIN_WT_VEL_1H</t>
        </is>
      </c>
      <c r="B46" s="11" t="inlineStr">
        <is>
          <t>1.0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ez_manage.py:5196 top()</t>
        </is>
      </c>
      <c r="IK46" s="9" t="inlineStr">
        <is>
          <t>v12_quick_engine.py:2727 x10</t>
        </is>
      </c>
    </row>
    <row r="47" ht="11" customHeight="1">
      <c r="A47" s="10" t="inlineStr">
        <is>
          <t>PYRAMID_MIN_WT_VEL_1H</t>
        </is>
      </c>
      <c r="B47" s="11" t="inlineStr">
        <is>
          <t>1.5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ez_manage.py:5196 top()</t>
        </is>
      </c>
      <c r="IK47" s="9" t="inlineStr">
        <is>
          <t>v12_quick_engine.py:2727 x10</t>
        </is>
      </c>
    </row>
    <row r="48" ht="11" customHeight="1">
      <c r="A48" s="6" t="inlineStr">
        <is>
          <t>PYRAMID_MIN_WT_VEL_1H</t>
        </is>
      </c>
      <c r="B48" s="7" t="inlineStr">
        <is>
          <t>2.0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ez_manage.py:5196 top()</t>
        </is>
      </c>
      <c r="IK48" s="9" t="inlineStr">
        <is>
          <t>v12_quick_engine.py:2727 x10</t>
        </is>
      </c>
    </row>
    <row r="49" ht="11" customHeight="1">
      <c r="A49" s="10" t="inlineStr">
        <is>
          <t>PYRAMID_MIN_WT_VEL_1H</t>
        </is>
      </c>
      <c r="B49" s="11" t="inlineStr">
        <is>
          <t>2.5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ez_manage.py:5196 top()</t>
        </is>
      </c>
      <c r="IK49" s="9" t="inlineStr">
        <is>
          <t>v12_quick_engine.py:2727 x10</t>
        </is>
      </c>
    </row>
    <row r="50" ht="11" customHeight="1">
      <c r="A50" s="10" t="inlineStr">
        <is>
          <t>PYRAMID_MIN_WT_VEL_1H</t>
        </is>
      </c>
      <c r="B50" s="11" t="inlineStr">
        <is>
          <t>3.0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ez_manage.py:5196 top()</t>
        </is>
      </c>
      <c r="IK50" s="9" t="inlineStr">
        <is>
          <t>v12_quick_engine.py:2727 x10</t>
        </is>
      </c>
    </row>
    <row r="51" ht="11" customHeight="1">
      <c r="A51" s="6" t="inlineStr">
        <is>
          <t>SCALP_V3_AUG_BE_STOP_ENABLED</t>
        </is>
      </c>
      <c r="B51" s="7" t="inlineStr">
        <is>
          <t>False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ez_manage.py:5494 top()</t>
        </is>
      </c>
      <c r="IK51" s="9" t="inlineStr">
        <is>
          <t>v12_quick_engine.py:3136 x8</t>
        </is>
      </c>
    </row>
    <row r="52" ht="11" customHeight="1">
      <c r="A52" s="10" t="inlineStr">
        <is>
          <t>SCALP_V3_AUG_BE_STOP_ENABLED</t>
        </is>
      </c>
      <c r="B52" s="11" t="inlineStr">
        <is>
          <t>True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ez_manage.py:5494 top()</t>
        </is>
      </c>
      <c r="IK52" s="9" t="inlineStr">
        <is>
          <t>v12_quick_engine.py:3136 x8</t>
        </is>
      </c>
    </row>
    <row r="53" ht="11" customHeight="1">
      <c r="A53" s="10" t="inlineStr">
        <is>
          <t>SCALP_V3_AUG_BE_STOP_PCT</t>
        </is>
      </c>
      <c r="B53" s="11" t="inlineStr">
        <is>
          <t>0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ez_manage.py:5495 top()</t>
        </is>
      </c>
      <c r="IK53" s="9" t="inlineStr">
        <is>
          <t>v12_quick_engine.py:4074 x7</t>
        </is>
      </c>
    </row>
    <row r="54" ht="11" customHeight="1">
      <c r="A54" s="10" t="inlineStr">
        <is>
          <t>SCALP_V3_AUG_BE_STOP_PCT</t>
        </is>
      </c>
      <c r="B54" s="11" t="inlineStr">
        <is>
          <t>0.5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ez_manage.py:5495 top()</t>
        </is>
      </c>
      <c r="IK54" s="9" t="inlineStr">
        <is>
          <t>v12_quick_engine.py:4074 x7</t>
        </is>
      </c>
    </row>
    <row r="55" ht="11" customHeight="1">
      <c r="A55" s="10" t="inlineStr">
        <is>
          <t>SCALP_V3_AUG_BE_STOP_PCT</t>
        </is>
      </c>
      <c r="B55" s="11" t="inlineStr">
        <is>
          <t>1.0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ez_manage.py:5495 top()</t>
        </is>
      </c>
      <c r="IK55" s="9" t="inlineStr">
        <is>
          <t>v12_quick_engine.py:4074 x7</t>
        </is>
      </c>
    </row>
    <row r="56" ht="11" customHeight="1">
      <c r="A56" s="10" t="inlineStr">
        <is>
          <t>SCALP_V3_AUG_BE_STOP_PCT</t>
        </is>
      </c>
      <c r="B56" s="11" t="inlineStr">
        <is>
          <t>2.0</t>
        </is>
      </c>
      <c r="E56">
        <f>IF(F56="",E55,IF(F56&gt;0,E55+F56,E55))</f>
        <v/>
      </c>
      <c r="F56">
        <f>IFERROR(VLOOKUP($A56,Results_30d_Deltas!$A$2:$H$5000,8,FALSE)-E55,"")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ez_manage.py:5495 top()</t>
        </is>
      </c>
      <c r="IK56" s="9" t="inlineStr">
        <is>
          <t>v12_quick_engine.py:4074 x7</t>
        </is>
      </c>
    </row>
    <row r="57" ht="11" customHeight="1">
      <c r="A57" s="6" t="inlineStr">
        <is>
          <t>UNIVERSAL_AUGMENT_GAIN_GATE_ENABLED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IFERROR(VLOOKUP($A57,Results_30d_Deltas!$A$2:$H$5000,8,FALSE)-E56,"")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ez_manage.py:5804 top()</t>
        </is>
      </c>
      <c r="IK57" s="9" t="inlineStr">
        <is>
          <t>v12_quick_engine.py:3581 x3</t>
        </is>
      </c>
    </row>
    <row r="58" ht="11" customHeight="1">
      <c r="A58" s="10" t="inlineStr">
        <is>
          <t>UNIVERSAL_AUGMENT_GAIN_GATE_ENABLED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IFERROR(VLOOKUP($A58,Results_30d_Deltas!$A$2:$H$5000,8,FALSE)-E57,"")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ez_manage.py:5804 top()</t>
        </is>
      </c>
      <c r="IK58" s="9" t="inlineStr">
        <is>
          <t>v12_quick_engine.py:3581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L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10 REDUCE_PROFIT_LOCK - 19 bases -&gt; 53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PEAK_GIVEBACK_DROP_TRIGGER_ENABLED</t>
        </is>
      </c>
      <c r="B3" s="7" t="inlineStr">
        <is>
          <t>False</t>
        </is>
      </c>
      <c r="E3">
        <f>MAX('AUGMENT_RISK_SIZING'!E:E)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ez_manage.py:5168 top()</t>
        </is>
      </c>
      <c r="IK3" s="9" t="inlineStr">
        <is>
          <t>v12_quick_engine.py:2682 x3</t>
        </is>
      </c>
    </row>
    <row r="4" ht="11" customHeight="1">
      <c r="A4" s="10" t="inlineStr">
        <is>
          <t>PEAK_GIVEBACK_DROP_TRIGGER_ENABLED</t>
        </is>
      </c>
      <c r="B4" s="11" t="inlineStr">
        <is>
          <t>True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ez_manage.py:5168 top()</t>
        </is>
      </c>
      <c r="IK4" s="9" t="inlineStr">
        <is>
          <t>v12_quick_engine.py:2682 x3</t>
        </is>
      </c>
    </row>
    <row r="5" ht="11" customHeight="1">
      <c r="A5" s="10" t="inlineStr">
        <is>
          <t>PARTIAL_PROFIT_LOCK_FRAC</t>
        </is>
      </c>
      <c r="B5" s="11" t="inlineStr">
        <is>
          <t>0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ez_manage.py:5158 top()</t>
        </is>
      </c>
      <c r="IK5" s="9" t="inlineStr">
        <is>
          <t>v12_quick_engine.py:2674 x7</t>
        </is>
      </c>
    </row>
    <row r="6" ht="11" customHeight="1">
      <c r="A6" s="10" t="inlineStr">
        <is>
          <t>PARTIAL_PROFIT_LOCK_FRAC</t>
        </is>
      </c>
      <c r="B6" s="11" t="inlineStr">
        <is>
          <t>0.5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ez_manage.py:5158 top()</t>
        </is>
      </c>
      <c r="IK6" s="9" t="inlineStr">
        <is>
          <t>v12_quick_engine.py:2674 x7</t>
        </is>
      </c>
    </row>
    <row r="7" ht="11" customHeight="1">
      <c r="A7" s="10" t="inlineStr">
        <is>
          <t>PARTIAL_PROFIT_LOCK_FRAC</t>
        </is>
      </c>
      <c r="B7" s="11" t="inlineStr">
        <is>
          <t>1.0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ez_manage.py:5158 top()</t>
        </is>
      </c>
      <c r="IK7" s="9" t="inlineStr">
        <is>
          <t>v12_quick_engine.py:2674 x7</t>
        </is>
      </c>
    </row>
    <row r="8" ht="11" customHeight="1">
      <c r="A8" s="10" t="inlineStr">
        <is>
          <t>PARTIAL_PROFIT_LOCK_FRAC</t>
        </is>
      </c>
      <c r="B8" s="11" t="inlineStr">
        <is>
          <t>2.0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ez_manage.py:5158 top()</t>
        </is>
      </c>
      <c r="IK8" s="9" t="inlineStr">
        <is>
          <t>v12_quick_engine.py:2674 x7</t>
        </is>
      </c>
    </row>
    <row r="9" ht="11" customHeight="1">
      <c r="A9" s="10" t="inlineStr">
        <is>
          <t>MIN_HOLD_BARS_BEFORE_EXIT</t>
        </is>
      </c>
      <c r="B9" s="11" t="inlineStr">
        <is>
          <t>16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ez_manage.py:4990 top()</t>
        </is>
      </c>
      <c r="IK9" s="9" t="inlineStr">
        <is>
          <t>v12_quick_engine.py:2309 x7</t>
        </is>
      </c>
    </row>
    <row r="10" ht="11" customHeight="1">
      <c r="A10" s="10" t="inlineStr">
        <is>
          <t>MIN_HOLD_BARS_BEFORE_EXIT</t>
        </is>
      </c>
      <c r="B10" s="11" t="inlineStr">
        <is>
          <t>24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ez_manage.py:4990 top()</t>
        </is>
      </c>
      <c r="IK10" s="9" t="inlineStr">
        <is>
          <t>v12_quick_engine.py:2309 x7</t>
        </is>
      </c>
    </row>
    <row r="11" ht="11" customHeight="1">
      <c r="A11" s="6" t="inlineStr">
        <is>
          <t>MIN_HOLD_BARS_BEFORE_EXIT</t>
        </is>
      </c>
      <c r="B11" s="7" t="inlineStr">
        <is>
          <t>32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ez_manage.py:4990 top()</t>
        </is>
      </c>
      <c r="IK11" s="9" t="inlineStr">
        <is>
          <t>v12_quick_engine.py:2309 x7</t>
        </is>
      </c>
    </row>
    <row r="12" ht="11" customHeight="1">
      <c r="A12" s="10" t="inlineStr">
        <is>
          <t>MIN_HOLD_BARS_BEFORE_EXIT</t>
        </is>
      </c>
      <c r="B12" s="11" t="inlineStr">
        <is>
          <t>40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ez_manage.py:4990 top()</t>
        </is>
      </c>
      <c r="IK12" s="9" t="inlineStr">
        <is>
          <t>v12_quick_engine.py:2309 x7</t>
        </is>
      </c>
    </row>
    <row r="13" ht="11" customHeight="1">
      <c r="A13" s="10" t="inlineStr">
        <is>
          <t>MIN_HOLD_BARS_BEFORE_EXIT</t>
        </is>
      </c>
      <c r="B13" s="11" t="inlineStr">
        <is>
          <t>48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ez_manage.py:4990 top()</t>
        </is>
      </c>
      <c r="IK13" s="9" t="inlineStr">
        <is>
          <t>v12_quick_engine.py:2309 x7</t>
        </is>
      </c>
    </row>
    <row r="14" ht="11" customHeight="1">
      <c r="A14" s="6" t="inlineStr">
        <is>
          <t>BREAKEVEN_GAIN_EROSION_ENABLED</t>
        </is>
      </c>
      <c r="B14" s="7" t="inlineStr">
        <is>
          <t>False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ez_manage.py:4400 top()</t>
        </is>
      </c>
      <c r="IK14" s="9" t="inlineStr">
        <is>
          <t>v12_quick_engine.py:341 x8</t>
        </is>
      </c>
    </row>
    <row r="15" ht="11" customHeight="1">
      <c r="A15" s="10" t="inlineStr">
        <is>
          <t>BREAKEVEN_GAIN_EROSION_ENABLED</t>
        </is>
      </c>
      <c r="B15" s="11" t="inlineStr">
        <is>
          <t>True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ez_manage.py:4400 top()</t>
        </is>
      </c>
      <c r="IK15" s="9" t="inlineStr">
        <is>
          <t>v12_quick_engine.py:341 x8</t>
        </is>
      </c>
    </row>
    <row r="16" ht="11" customHeight="1">
      <c r="A16" s="10" t="inlineStr">
        <is>
          <t>BREAKEVEN_GAIN_EROSION_MIN_GAIN</t>
        </is>
      </c>
      <c r="B16" s="11" t="inlineStr">
        <is>
          <t>25.0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ez_manage.py:4401 top()</t>
        </is>
      </c>
      <c r="IK16" s="9" t="inlineStr">
        <is>
          <t>v12_quick_engine.py:357 x14</t>
        </is>
      </c>
    </row>
    <row r="17" ht="11" customHeight="1">
      <c r="A17" s="10" t="inlineStr">
        <is>
          <t>BREAKEVEN_GAIN_EROSION_MIN_GAIN</t>
        </is>
      </c>
      <c r="B17" s="11" t="inlineStr">
        <is>
          <t>37.5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ez_manage.py:4401 top()</t>
        </is>
      </c>
      <c r="IK17" s="9" t="inlineStr">
        <is>
          <t>v12_quick_engine.py:357 x14</t>
        </is>
      </c>
    </row>
    <row r="18" ht="11" customHeight="1">
      <c r="A18" s="6" t="inlineStr">
        <is>
          <t>BREAKEVEN_GAIN_EROSION_MIN_GAIN</t>
        </is>
      </c>
      <c r="B18" s="7" t="inlineStr">
        <is>
          <t>50.0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ez_manage.py:4401 top()</t>
        </is>
      </c>
      <c r="IK18" s="9" t="inlineStr">
        <is>
          <t>v12_quick_engine.py:357 x14</t>
        </is>
      </c>
    </row>
    <row r="19" ht="11" customHeight="1">
      <c r="A19" s="10" t="inlineStr">
        <is>
          <t>BREAKEVEN_GAIN_EROSION_MIN_GAIN</t>
        </is>
      </c>
      <c r="B19" s="11" t="inlineStr">
        <is>
          <t>62.5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ez_manage.py:4401 top()</t>
        </is>
      </c>
      <c r="IK19" s="9" t="inlineStr">
        <is>
          <t>v12_quick_engine.py:357 x14</t>
        </is>
      </c>
    </row>
    <row r="20" ht="11" customHeight="1">
      <c r="A20" s="10" t="inlineStr">
        <is>
          <t>BREAKEVEN_GAIN_EROSION_MIN_GAIN</t>
        </is>
      </c>
      <c r="B20" s="11" t="inlineStr">
        <is>
          <t>75.0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ez_manage.py:4401 top()</t>
        </is>
      </c>
      <c r="IK20" s="9" t="inlineStr">
        <is>
          <t>v12_quick_engine.py:357 x14</t>
        </is>
      </c>
    </row>
    <row r="21" ht="11" customHeight="1">
      <c r="A21" s="10" t="inlineStr">
        <is>
          <t>BREAKEVEN_GAIN_EROSION_REQUIRE_PROFIT</t>
        </is>
      </c>
      <c r="B21" s="11" t="inlineStr">
        <is>
          <t>False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ez_manage.py:4402 top()</t>
        </is>
      </c>
      <c r="IK21" s="9" t="inlineStr">
        <is>
          <t>v12_quick_engine.py:364 x13</t>
        </is>
      </c>
    </row>
    <row r="22" ht="11" customHeight="1">
      <c r="A22" s="6" t="inlineStr">
        <is>
          <t>BREAKEVEN_GAIN_EROSION_REQUIRE_PROFIT</t>
        </is>
      </c>
      <c r="B22" s="7" t="inlineStr">
        <is>
          <t>True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ez_manage.py:4402 top()</t>
        </is>
      </c>
      <c r="IK22" s="9" t="inlineStr">
        <is>
          <t>v12_quick_engine.py:364 x13</t>
        </is>
      </c>
    </row>
    <row r="23" ht="11" customHeight="1">
      <c r="A23" s="6" t="inlineStr">
        <is>
          <t>FUNDING_GATE_LONG_MAX</t>
        </is>
      </c>
      <c r="B23" s="7" t="inlineStr">
        <is>
          <t>0.0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ez_manage.py:4730 top()</t>
        </is>
      </c>
      <c r="IK23" s="9" t="inlineStr">
        <is>
          <t>v12_quick_engine.py:1864 x6</t>
        </is>
      </c>
    </row>
    <row r="24" ht="11" customHeight="1">
      <c r="A24" s="10" t="inlineStr">
        <is>
          <t>FUNDING_GATE_LONG_MAX</t>
        </is>
      </c>
      <c r="B24" s="11" t="inlineStr">
        <is>
          <t>0.0_ALT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ez_manage.py:4730 top()</t>
        </is>
      </c>
      <c r="IK24" s="9" t="inlineStr">
        <is>
          <t>v12_quick_engine.py:1864 x6</t>
        </is>
      </c>
    </row>
    <row r="25" ht="11" customHeight="1">
      <c r="A25" s="6" t="inlineStr">
        <is>
          <t>FUNDING_GATE_MTF_REQUIRED</t>
        </is>
      </c>
      <c r="B25" s="7" t="inlineStr">
        <is>
          <t>0.0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ez_manage.py:4732 top()</t>
        </is>
      </c>
      <c r="IK25" s="9" t="inlineStr">
        <is>
          <t>v12_quick_engine.py:1866 x5</t>
        </is>
      </c>
    </row>
    <row r="26" ht="11" customHeight="1">
      <c r="A26" s="10" t="inlineStr">
        <is>
          <t>FUNDING_GATE_MTF_REQUIRED</t>
        </is>
      </c>
      <c r="B26" s="11" t="inlineStr">
        <is>
          <t>0.0_ALT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ez_manage.py:4732 top()</t>
        </is>
      </c>
      <c r="IK26" s="9" t="inlineStr">
        <is>
          <t>v12_quick_engine.py:1866 x5</t>
        </is>
      </c>
    </row>
    <row r="27" ht="11" customHeight="1">
      <c r="A27" s="6" t="inlineStr">
        <is>
          <t>FUNDING_GATE_SHORT_MIN</t>
        </is>
      </c>
      <c r="B27" s="7" t="inlineStr">
        <is>
          <t>0.0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ez_manage.py:4734 top()</t>
        </is>
      </c>
      <c r="IK27" s="9" t="inlineStr">
        <is>
          <t>v12_quick_engine.py:1870 x6</t>
        </is>
      </c>
    </row>
    <row r="28" ht="11" customHeight="1">
      <c r="A28" s="10" t="inlineStr">
        <is>
          <t>FUNDING_GATE_SHORT_MIN</t>
        </is>
      </c>
      <c r="B28" s="11" t="inlineStr">
        <is>
          <t>0.0_ALT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ez_manage.py:4734 top()</t>
        </is>
      </c>
      <c r="IK28" s="9" t="inlineStr">
        <is>
          <t>v12_quick_engine.py:1870 x6</t>
        </is>
      </c>
    </row>
    <row r="29" ht="11" customHeight="1">
      <c r="A29" s="6" t="inlineStr">
        <is>
          <t>HTF4_CONF</t>
        </is>
      </c>
      <c r="B29" s="7" t="inlineStr">
        <is>
          <t>False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ez_manage.py:3370 top()</t>
        </is>
      </c>
      <c r="IK29" s="9" t="inlineStr">
        <is>
          <t>v12_quick_engine.py:2038 x7</t>
        </is>
      </c>
    </row>
    <row r="30" ht="11" customHeight="1">
      <c r="A30" s="10" t="inlineStr">
        <is>
          <t>HTF4_CONF</t>
        </is>
      </c>
      <c r="B30" s="11" t="inlineStr">
        <is>
          <t>False_ALT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ez_manage.py:3370 top()</t>
        </is>
      </c>
      <c r="IK30" s="9" t="inlineStr">
        <is>
          <t>v12_quick_engine.py:2038 x7</t>
        </is>
      </c>
    </row>
    <row r="31" ht="11" customHeight="1">
      <c r="A31" s="6" t="inlineStr">
        <is>
          <t>HTF_DIRECTION_GATE_ENABLED</t>
        </is>
      </c>
      <c r="B31" s="7" t="inlineStr">
        <is>
          <t>False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ez_manage.py:4872 top()</t>
        </is>
      </c>
      <c r="IK31" s="9" t="inlineStr">
        <is>
          <t>v12_quick_engine.py:2048 x2</t>
        </is>
      </c>
    </row>
    <row r="32" ht="11" customHeight="1">
      <c r="A32" s="10" t="inlineStr">
        <is>
          <t>HTF_DIRECTION_GATE_ENABLED</t>
        </is>
      </c>
      <c r="B32" s="11" t="inlineStr">
        <is>
          <t>True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ez_manage.py:4872 top()</t>
        </is>
      </c>
      <c r="IK32" s="9" t="inlineStr">
        <is>
          <t>v12_quick_engine.py:2048 x2</t>
        </is>
      </c>
    </row>
    <row r="33" ht="11" customHeight="1">
      <c r="A33" s="10" t="inlineStr">
        <is>
          <t>HTF_GATE_APPLY_TO_OPEN</t>
        </is>
      </c>
      <c r="B33" s="11" t="inlineStr">
        <is>
          <t>0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ez_manage.py:4877 top()</t>
        </is>
      </c>
      <c r="IK33" s="9" t="inlineStr">
        <is>
          <t>v12_quick_engine.py:2053 x4</t>
        </is>
      </c>
    </row>
    <row r="34" ht="11" customHeight="1">
      <c r="A34" s="10" t="inlineStr">
        <is>
          <t>HTF_GATE_APPLY_TO_OPEN</t>
        </is>
      </c>
      <c r="B34" s="11" t="inlineStr">
        <is>
          <t>0.5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ez_manage.py:4877 top()</t>
        </is>
      </c>
      <c r="IK34" s="9" t="inlineStr">
        <is>
          <t>v12_quick_engine.py:2053 x4</t>
        </is>
      </c>
    </row>
    <row r="35" ht="11" customHeight="1">
      <c r="A35" s="10" t="inlineStr">
        <is>
          <t>HTF_GATE_APPLY_TO_OPEN</t>
        </is>
      </c>
      <c r="B35" s="11" t="inlineStr">
        <is>
          <t>1.0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ez_manage.py:4877 top()</t>
        </is>
      </c>
      <c r="IK35" s="9" t="inlineStr">
        <is>
          <t>v12_quick_engine.py:2053 x4</t>
        </is>
      </c>
    </row>
    <row r="36" ht="11" customHeight="1">
      <c r="A36" s="10" t="inlineStr">
        <is>
          <t>HTF_GATE_APPLY_TO_OPEN</t>
        </is>
      </c>
      <c r="B36" s="11" t="inlineStr">
        <is>
          <t>2.0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ez_manage.py:4877 top()</t>
        </is>
      </c>
      <c r="IK36" s="9" t="inlineStr">
        <is>
          <t>v12_quick_engine.py:2053 x4</t>
        </is>
      </c>
    </row>
    <row r="37" ht="11" customHeight="1">
      <c r="A37" s="6" t="inlineStr">
        <is>
          <t>HTF_GATE_BYPASS_RZ</t>
        </is>
      </c>
      <c r="B37" s="7" t="inlineStr">
        <is>
          <t>0.0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ez_manage.py:4878 top()</t>
        </is>
      </c>
      <c r="IK37" s="9" t="inlineStr">
        <is>
          <t>v12_quick_engine.py:2054 x4</t>
        </is>
      </c>
    </row>
    <row r="38" ht="11" customHeight="1">
      <c r="A38" s="10" t="inlineStr">
        <is>
          <t>HTF_GATE_BYPASS_RZ</t>
        </is>
      </c>
      <c r="B38" s="11" t="inlineStr">
        <is>
          <t>0.0_ALT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ez_manage.py:4878 top()</t>
        </is>
      </c>
      <c r="IK38" s="9" t="inlineStr">
        <is>
          <t>v12_quick_engine.py:2054 x4</t>
        </is>
      </c>
    </row>
    <row r="39" ht="11" customHeight="1">
      <c r="A39" s="6" t="inlineStr">
        <is>
          <t>HTF_GATE_D_MANDATORY</t>
        </is>
      </c>
      <c r="B39" s="7" t="inlineStr">
        <is>
          <t>0.0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ez_manage.py:4879 top()</t>
        </is>
      </c>
      <c r="IK39" s="9" t="inlineStr">
        <is>
          <t>v12_quick_engine.py:2055 x5</t>
        </is>
      </c>
    </row>
    <row r="40" ht="11" customHeight="1">
      <c r="A40" s="10" t="inlineStr">
        <is>
          <t>HTF_GATE_D_MANDATORY</t>
        </is>
      </c>
      <c r="B40" s="11" t="inlineStr">
        <is>
          <t>0.0_ALT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ez_manage.py:4879 top()</t>
        </is>
      </c>
      <c r="IK40" s="9" t="inlineStr">
        <is>
          <t>v12_quick_engine.py:2055 x5</t>
        </is>
      </c>
    </row>
    <row r="41" ht="11" customHeight="1">
      <c r="A41" s="6" t="inlineStr">
        <is>
          <t>HTF_GATE_MIN_CONFIRMATIONS</t>
        </is>
      </c>
      <c r="B41" s="7" t="inlineStr">
        <is>
          <t>0.0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ez_manage.py:4880 top()</t>
        </is>
      </c>
      <c r="IK41" s="9" t="inlineStr">
        <is>
          <t>v12_quick_engine.py:2056 x6</t>
        </is>
      </c>
    </row>
    <row r="42" ht="11" customHeight="1">
      <c r="A42" s="10" t="inlineStr">
        <is>
          <t>HTF_GATE_MIN_CONFIRMATIONS</t>
        </is>
      </c>
      <c r="B42" s="11" t="inlineStr">
        <is>
          <t>0.0_ALT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ez_manage.py:4880 top()</t>
        </is>
      </c>
      <c r="IK42" s="9" t="inlineStr">
        <is>
          <t>v12_quick_engine.py:2056 x6</t>
        </is>
      </c>
    </row>
    <row r="43" ht="11" customHeight="1">
      <c r="A43" s="6" t="inlineStr">
        <is>
          <t>MARKET_QUALITY_SCORE_ENABLED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ez_manage.py:3518 top()</t>
        </is>
      </c>
      <c r="IK43" s="9" t="inlineStr">
        <is>
          <t>v12_quick_engine.py:2263 x8</t>
        </is>
      </c>
    </row>
    <row r="44" ht="11" customHeight="1">
      <c r="A44" s="10" t="inlineStr">
        <is>
          <t>MARKET_QUALITY_SCORE_ENABLED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ez_manage.py:3518 top()</t>
        </is>
      </c>
      <c r="IK44" s="9" t="inlineStr">
        <is>
          <t>v12_quick_engine.py:2263 x8</t>
        </is>
      </c>
    </row>
    <row r="45" ht="11" customHeight="1">
      <c r="A45" s="10" t="inlineStr">
        <is>
          <t>NOLOSS_BYPASS_WT_5OF5_MIN_TFS</t>
        </is>
      </c>
      <c r="B45" s="11" t="inlineStr">
        <is>
          <t>2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ez_manage.py:5095 top()</t>
        </is>
      </c>
      <c r="IK45" s="9" t="inlineStr">
        <is>
          <t>v12_quick_engine.py:860 x7</t>
        </is>
      </c>
    </row>
    <row r="46" ht="11" customHeight="1">
      <c r="A46" s="10" t="inlineStr">
        <is>
          <t>NOLOSS_BYPASS_WT_5OF5_MIN_TFS</t>
        </is>
      </c>
      <c r="B46" s="11" t="inlineStr">
        <is>
          <t>4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ez_manage.py:5095 top()</t>
        </is>
      </c>
      <c r="IK46" s="9" t="inlineStr">
        <is>
          <t>v12_quick_engine.py:860 x7</t>
        </is>
      </c>
    </row>
    <row r="47" ht="11" customHeight="1">
      <c r="A47" s="6" t="inlineStr">
        <is>
          <t>NOLOSS_BYPASS_WT_5OF5_MIN_TFS</t>
        </is>
      </c>
      <c r="B47" s="7" t="inlineStr">
        <is>
          <t>5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ez_manage.py:5095 top()</t>
        </is>
      </c>
      <c r="IK47" s="9" t="inlineStr">
        <is>
          <t>v12_quick_engine.py:860 x7</t>
        </is>
      </c>
    </row>
    <row r="48" ht="11" customHeight="1">
      <c r="A48" s="10" t="inlineStr">
        <is>
          <t>NOLOSS_BYPASS_WT_5OF5_MIN_TFS</t>
        </is>
      </c>
      <c r="B48" s="11" t="inlineStr">
        <is>
          <t>6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ez_manage.py:5095 top()</t>
        </is>
      </c>
      <c r="IK48" s="9" t="inlineStr">
        <is>
          <t>v12_quick_engine.py:860 x7</t>
        </is>
      </c>
    </row>
    <row r="49" ht="11" customHeight="1">
      <c r="A49" s="10" t="inlineStr">
        <is>
          <t>NOLOSS_BYPASS_WT_5OF5_MIN_TFS</t>
        </is>
      </c>
      <c r="B49" s="11" t="inlineStr">
        <is>
          <t>8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ez_manage.py:5095 top()</t>
        </is>
      </c>
      <c r="IK49" s="9" t="inlineStr">
        <is>
          <t>v12_quick_engine.py:860 x7</t>
        </is>
      </c>
    </row>
    <row r="50" ht="11" customHeight="1">
      <c r="A50" s="6" t="inlineStr">
        <is>
          <t>SIMPLE_TP_EXIT_ENABLED</t>
        </is>
      </c>
      <c r="B50" s="7" t="inlineStr">
        <is>
          <t>False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ez_manage.py:4001 top()</t>
        </is>
      </c>
      <c r="IK50" s="9" t="inlineStr">
        <is>
          <t>v12_quick_engine.py:3227 x2</t>
        </is>
      </c>
    </row>
    <row r="51" ht="11" customHeight="1">
      <c r="A51" s="10" t="inlineStr">
        <is>
          <t>SIMPLE_TP_EXIT_ENABLED</t>
        </is>
      </c>
      <c r="B51" s="11" t="inlineStr">
        <is>
          <t>True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ez_manage.py:4001 top()</t>
        </is>
      </c>
      <c r="IK51" s="9" t="inlineStr">
        <is>
          <t>v12_quick_engine.py:3227 x2</t>
        </is>
      </c>
    </row>
    <row r="52" ht="11" customHeight="1">
      <c r="A52" s="10" t="inlineStr">
        <is>
          <t>SIMPLE_TP_PCT</t>
        </is>
      </c>
      <c r="B52" s="11" t="inlineStr">
        <is>
          <t>0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ez_manage.py:4002 top()</t>
        </is>
      </c>
      <c r="IK52" s="9" t="inlineStr">
        <is>
          <t>v12_quick_engine.py:3228 x2</t>
        </is>
      </c>
    </row>
    <row r="53" ht="11" customHeight="1">
      <c r="A53" s="10" t="inlineStr">
        <is>
          <t>SIMPLE_TP_PCT</t>
        </is>
      </c>
      <c r="B53" s="11" t="inlineStr">
        <is>
          <t>0.5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ez_manage.py:4002 top()</t>
        </is>
      </c>
      <c r="IK53" s="9" t="inlineStr">
        <is>
          <t>v12_quick_engine.py:3228 x2</t>
        </is>
      </c>
    </row>
    <row r="54" ht="11" customHeight="1">
      <c r="A54" s="10" t="inlineStr">
        <is>
          <t>SIMPLE_TP_PCT</t>
        </is>
      </c>
      <c r="B54" s="11" t="inlineStr">
        <is>
          <t>1.0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ez_manage.py:4002 top()</t>
        </is>
      </c>
      <c r="IK54" s="9" t="inlineStr">
        <is>
          <t>v12_quick_engine.py:3228 x2</t>
        </is>
      </c>
    </row>
    <row r="55" ht="11" customHeight="1">
      <c r="A55" s="10" t="inlineStr">
        <is>
          <t>SIMPLE_TP_PCT</t>
        </is>
      </c>
      <c r="B55" s="11" t="inlineStr">
        <is>
          <t>2.0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ez_manage.py:4002 top()</t>
        </is>
      </c>
      <c r="IK55" s="9" t="inlineStr">
        <is>
          <t>v12_quick_engine.py:3228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IL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11 REDUCE_SIGNAL_RATER - 42 bases -&gt; 143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QUICK_REDUCE_TECHNICAL_ONLY</t>
        </is>
      </c>
      <c r="B3" s="11" t="inlineStr">
        <is>
          <t>0</t>
        </is>
      </c>
      <c r="E3">
        <f>MAX('REDUCE_PROFIT_LOCK'!E:E)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ez_manage.py:5218 top()</t>
        </is>
      </c>
      <c r="IK3" s="9" t="inlineStr">
        <is>
          <t>v12_quick_engine.py:2747 x2</t>
        </is>
      </c>
    </row>
    <row r="4" ht="11" customHeight="1">
      <c r="A4" s="10" t="inlineStr">
        <is>
          <t>QUICK_REDUCE_TECHNICAL_ONLY</t>
        </is>
      </c>
      <c r="B4" s="11" t="inlineStr">
        <is>
          <t>0.5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ez_manage.py:5218 top()</t>
        </is>
      </c>
      <c r="IK4" s="9" t="inlineStr">
        <is>
          <t>v12_quick_engine.py:2747 x2</t>
        </is>
      </c>
    </row>
    <row r="5" ht="11" customHeight="1">
      <c r="A5" s="10" t="inlineStr">
        <is>
          <t>QUICK_REDUCE_TECHNICAL_ONLY</t>
        </is>
      </c>
      <c r="B5" s="11" t="inlineStr">
        <is>
          <t>1.0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ez_manage.py:5218 top()</t>
        </is>
      </c>
      <c r="IK5" s="9" t="inlineStr">
        <is>
          <t>v12_quick_engine.py:2747 x2</t>
        </is>
      </c>
    </row>
    <row r="6" ht="11" customHeight="1">
      <c r="A6" s="10" t="inlineStr">
        <is>
          <t>QUICK_REDUCE_TECHNICAL_ONLY</t>
        </is>
      </c>
      <c r="B6" s="11" t="inlineStr">
        <is>
          <t>2.0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ez_manage.py:5218 top()</t>
        </is>
      </c>
      <c r="IK6" s="9" t="inlineStr">
        <is>
          <t>v12_quick_engine.py:2747 x2</t>
        </is>
      </c>
    </row>
    <row r="7" ht="11" customHeight="1">
      <c r="A7" s="10" t="inlineStr">
        <is>
          <t>ALL_TF_AGAINST_CLOSE_MIN_TFS</t>
        </is>
      </c>
      <c r="B7" s="11" t="inlineStr">
        <is>
          <t>0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ez_manage.py:2932 top()</t>
        </is>
      </c>
      <c r="IK7" s="9" t="inlineStr">
        <is>
          <t>v12_quick_engine.py:181 x11</t>
        </is>
      </c>
    </row>
    <row r="8" ht="11" customHeight="1">
      <c r="A8" s="10" t="inlineStr">
        <is>
          <t>ALL_TF_AGAINST_CLOSE_MIN_TFS</t>
        </is>
      </c>
      <c r="B8" s="11" t="inlineStr">
        <is>
          <t>0.5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ez_manage.py:2932 top()</t>
        </is>
      </c>
      <c r="IK8" s="9" t="inlineStr">
        <is>
          <t>v12_quick_engine.py:181 x11</t>
        </is>
      </c>
    </row>
    <row r="9" ht="11" customHeight="1">
      <c r="A9" s="10" t="inlineStr">
        <is>
          <t>ALL_TF_AGAINST_CLOSE_MIN_TFS</t>
        </is>
      </c>
      <c r="B9" s="11" t="inlineStr">
        <is>
          <t>1.0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ez_manage.py:2932 top()</t>
        </is>
      </c>
      <c r="IK9" s="9" t="inlineStr">
        <is>
          <t>v12_quick_engine.py:181 x11</t>
        </is>
      </c>
    </row>
    <row r="10" ht="11" customHeight="1">
      <c r="A10" s="10" t="inlineStr">
        <is>
          <t>ALL_TF_AGAINST_CLOSE_MIN_TFS</t>
        </is>
      </c>
      <c r="B10" s="11" t="inlineStr">
        <is>
          <t>2.0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ez_manage.py:2932 top()</t>
        </is>
      </c>
      <c r="IK10" s="9" t="inlineStr">
        <is>
          <t>v12_quick_engine.py:181 x11</t>
        </is>
      </c>
    </row>
    <row r="11" ht="11" customHeight="1">
      <c r="A11" s="10" t="inlineStr">
        <is>
          <t>SATOSHIT_EXIT_LONG_RSI_MIN_TRADIER</t>
        </is>
      </c>
      <c r="B11" s="11" t="inlineStr">
        <is>
          <t>27.5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ez_manage.py:5452 top()</t>
        </is>
      </c>
      <c r="IK11" s="9" t="inlineStr">
        <is>
          <t>v12_quick_engine.py:3061 x7</t>
        </is>
      </c>
    </row>
    <row r="12" ht="11" customHeight="1">
      <c r="A12" s="10" t="inlineStr">
        <is>
          <t>SATOSHIT_EXIT_LONG_RSI_MIN_TRADIER</t>
        </is>
      </c>
      <c r="B12" s="11" t="inlineStr">
        <is>
          <t>41.25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ez_manage.py:5452 top()</t>
        </is>
      </c>
      <c r="IK12" s="9" t="inlineStr">
        <is>
          <t>v12_quick_engine.py:3061 x7</t>
        </is>
      </c>
    </row>
    <row r="13" ht="11" customHeight="1">
      <c r="A13" s="6" t="inlineStr">
        <is>
          <t>SATOSHIT_EXIT_LONG_RSI_MIN_TRADIER</t>
        </is>
      </c>
      <c r="B13" s="7" t="inlineStr">
        <is>
          <t>55.0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ez_manage.py:5452 top()</t>
        </is>
      </c>
      <c r="IK13" s="9" t="inlineStr">
        <is>
          <t>v12_quick_engine.py:3061 x7</t>
        </is>
      </c>
    </row>
    <row r="14" ht="11" customHeight="1">
      <c r="A14" s="10" t="inlineStr">
        <is>
          <t>SATOSHIT_EXIT_LONG_RSI_MIN_TRADIER</t>
        </is>
      </c>
      <c r="B14" s="11" t="inlineStr">
        <is>
          <t>68.75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ez_manage.py:5452 top()</t>
        </is>
      </c>
      <c r="IK14" s="9" t="inlineStr">
        <is>
          <t>v12_quick_engine.py:3061 x7</t>
        </is>
      </c>
    </row>
    <row r="15" ht="11" customHeight="1">
      <c r="A15" s="10" t="inlineStr">
        <is>
          <t>SATOSHIT_EXIT_LONG_RSI_MIN_TRADIER</t>
        </is>
      </c>
      <c r="B15" s="11" t="inlineStr">
        <is>
          <t>82.5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ez_manage.py:5452 top()</t>
        </is>
      </c>
      <c r="IK15" s="9" t="inlineStr">
        <is>
          <t>v12_quick_engine.py:3061 x7</t>
        </is>
      </c>
    </row>
    <row r="16" ht="11" customHeight="1">
      <c r="A16" s="6" t="inlineStr">
        <is>
          <t>DC_HOPELESS_EXIT_ENABLED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ez_manage.py:4572 top()</t>
        </is>
      </c>
      <c r="IK16" s="9" t="inlineStr">
        <is>
          <t>v12_quick_engine.py:541 x9</t>
        </is>
      </c>
    </row>
    <row r="17" ht="11" customHeight="1">
      <c r="A17" s="10" t="inlineStr">
        <is>
          <t>DC_HOPELESS_EXIT_ENABLED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ez_manage.py:4572 top()</t>
        </is>
      </c>
      <c r="IK17" s="9" t="inlineStr">
        <is>
          <t>v12_quick_engine.py:541 x9</t>
        </is>
      </c>
    </row>
    <row r="18" ht="11" customHeight="1">
      <c r="A18" s="6" t="inlineStr">
        <is>
          <t>WT_PERCENTILE_EXIT_ENABLED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ez_manage.py:5927 top()</t>
        </is>
      </c>
      <c r="IK18" s="9" t="inlineStr">
        <is>
          <t>v12_quick_engine.py:3767 x3</t>
        </is>
      </c>
    </row>
    <row r="19" ht="11" customHeight="1">
      <c r="A19" s="10" t="inlineStr">
        <is>
          <t>WT_PERCENTILE_EXIT_ENABLED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ez_manage.py:5927 top()</t>
        </is>
      </c>
      <c r="IK19" s="9" t="inlineStr">
        <is>
          <t>v12_quick_engine.py:3767 x3</t>
        </is>
      </c>
    </row>
    <row r="20" ht="11" customHeight="1">
      <c r="A20" s="10" t="inlineStr">
        <is>
          <t>ALL_TF_AGAINST_CLOSE_COOLDOWN_SEC</t>
        </is>
      </c>
      <c r="B20" s="11" t="inlineStr">
        <is>
          <t>0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ez_manage.py:4324 top()</t>
        </is>
      </c>
      <c r="IK20" s="9" t="inlineStr">
        <is>
          <t>v12_quick_engine.py:168 x9</t>
        </is>
      </c>
    </row>
    <row r="21" ht="11" customHeight="1">
      <c r="A21" s="10" t="inlineStr">
        <is>
          <t>ALL_TF_AGAINST_CLOSE_COOLDOWN_SEC</t>
        </is>
      </c>
      <c r="B21" s="11" t="inlineStr">
        <is>
          <t>0.5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ez_manage.py:4324 top()</t>
        </is>
      </c>
      <c r="IK21" s="9" t="inlineStr">
        <is>
          <t>v12_quick_engine.py:168 x9</t>
        </is>
      </c>
    </row>
    <row r="22" ht="11" customHeight="1">
      <c r="A22" s="10" t="inlineStr">
        <is>
          <t>ALL_TF_AGAINST_CLOSE_COOLDOWN_SEC</t>
        </is>
      </c>
      <c r="B22" s="11" t="inlineStr">
        <is>
          <t>1.0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ez_manage.py:4324 top()</t>
        </is>
      </c>
      <c r="IK22" s="9" t="inlineStr">
        <is>
          <t>v12_quick_engine.py:168 x9</t>
        </is>
      </c>
    </row>
    <row r="23" ht="11" customHeight="1">
      <c r="A23" s="10" t="inlineStr">
        <is>
          <t>ALL_TF_AGAINST_CLOSE_COOLDOWN_SEC</t>
        </is>
      </c>
      <c r="B23" s="11" t="inlineStr">
        <is>
          <t>2.0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ez_manage.py:4324 top()</t>
        </is>
      </c>
      <c r="IK23" s="9" t="inlineStr">
        <is>
          <t>v12_quick_engine.py:168 x9</t>
        </is>
      </c>
    </row>
    <row r="24" ht="11" customHeight="1">
      <c r="A24" s="6" t="inlineStr">
        <is>
          <t>ATR_TRAIL_SWEEP_ENABLED</t>
        </is>
      </c>
      <c r="B24" s="7" t="inlineStr">
        <is>
          <t>False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ez_manage.py:5955 top()</t>
        </is>
      </c>
      <c r="IK24" s="9" t="inlineStr">
        <is>
          <t>v12_quick_engine.py:215 x7</t>
        </is>
      </c>
    </row>
    <row r="25" ht="11" customHeight="1">
      <c r="A25" s="10" t="inlineStr">
        <is>
          <t>ATR_TRAIL_SWEEP_ENABLED</t>
        </is>
      </c>
      <c r="B25" s="11" t="inlineStr">
        <is>
          <t>True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ez_manage.py:5955 top()</t>
        </is>
      </c>
      <c r="IK25" s="9" t="inlineStr">
        <is>
          <t>v12_quick_engine.py:215 x7</t>
        </is>
      </c>
    </row>
    <row r="26" ht="11" customHeight="1">
      <c r="A26" s="10" t="inlineStr">
        <is>
          <t>BAND_ARROW_SLOPE_DEADBAND</t>
        </is>
      </c>
      <c r="B26" s="11" t="inlineStr">
        <is>
          <t>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ez_manage.py:2954 top()</t>
        </is>
      </c>
      <c r="IK26" s="9" t="inlineStr">
        <is>
          <t>v12_quick_engine.py:263 x12</t>
        </is>
      </c>
    </row>
    <row r="27" ht="11" customHeight="1">
      <c r="A27" s="10" t="inlineStr">
        <is>
          <t>BAND_ARROW_SLOPE_DEADBAND</t>
        </is>
      </c>
      <c r="B27" s="11" t="inlineStr">
        <is>
          <t>0.5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ez_manage.py:2954 top()</t>
        </is>
      </c>
      <c r="IK27" s="9" t="inlineStr">
        <is>
          <t>v12_quick_engine.py:263 x12</t>
        </is>
      </c>
    </row>
    <row r="28" ht="11" customHeight="1">
      <c r="A28" s="10" t="inlineStr">
        <is>
          <t>BAND_ARROW_SLOPE_DEADBAND</t>
        </is>
      </c>
      <c r="B28" s="11" t="inlineStr">
        <is>
          <t>1.0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ez_manage.py:2954 top()</t>
        </is>
      </c>
      <c r="IK28" s="9" t="inlineStr">
        <is>
          <t>v12_quick_engine.py:263 x12</t>
        </is>
      </c>
    </row>
    <row r="29" ht="11" customHeight="1">
      <c r="A29" s="10" t="inlineStr">
        <is>
          <t>BAND_ARROW_SLOPE_DEADBAND</t>
        </is>
      </c>
      <c r="B29" s="11" t="inlineStr">
        <is>
          <t>2.0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ez_manage.py:2954 top()</t>
        </is>
      </c>
      <c r="IK29" s="9" t="inlineStr">
        <is>
          <t>v12_quick_engine.py:263 x12</t>
        </is>
      </c>
    </row>
    <row r="30" ht="11" customHeight="1">
      <c r="A30" s="6" t="inlineStr">
        <is>
          <t>BREAKEVEN_DC_FIELD_MODE</t>
        </is>
      </c>
      <c r="B30" s="7" t="inlineStr">
        <is>
          <t>DC4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ez_manage.py:4394 top()</t>
        </is>
      </c>
      <c r="IK30" s="9" t="inlineStr">
        <is>
          <t>v12_quick_engine.py:333 x13</t>
        </is>
      </c>
    </row>
    <row r="31" ht="11" customHeight="1">
      <c r="A31" s="10" t="inlineStr">
        <is>
          <t>DC_HOPELESS_EXIT_MIN_AGE_S</t>
        </is>
      </c>
      <c r="B31" s="11" t="inlineStr">
        <is>
          <t>0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ez_manage.py:4573 top()</t>
        </is>
      </c>
      <c r="IK31" s="9" t="inlineStr">
        <is>
          <t>v12_quick_engine.py:547 x9</t>
        </is>
      </c>
    </row>
    <row r="32" ht="11" customHeight="1">
      <c r="A32" s="10" t="inlineStr">
        <is>
          <t>DC_HOPELESS_EXIT_MIN_AGE_S</t>
        </is>
      </c>
      <c r="B32" s="11" t="inlineStr">
        <is>
          <t>0.5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ez_manage.py:4573 top()</t>
        </is>
      </c>
      <c r="IK32" s="9" t="inlineStr">
        <is>
          <t>v12_quick_engine.py:547 x9</t>
        </is>
      </c>
    </row>
    <row r="33" ht="11" customHeight="1">
      <c r="A33" s="10" t="inlineStr">
        <is>
          <t>DC_HOPELESS_EXIT_MIN_AGE_S</t>
        </is>
      </c>
      <c r="B33" s="11" t="inlineStr">
        <is>
          <t>1.0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ez_manage.py:4573 top()</t>
        </is>
      </c>
      <c r="IK33" s="9" t="inlineStr">
        <is>
          <t>v12_quick_engine.py:547 x9</t>
        </is>
      </c>
    </row>
    <row r="34" ht="11" customHeight="1">
      <c r="A34" s="10" t="inlineStr">
        <is>
          <t>DC_HOPELESS_EXIT_MIN_AGE_S</t>
        </is>
      </c>
      <c r="B34" s="11" t="inlineStr">
        <is>
          <t>2.0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ez_manage.py:4573 top()</t>
        </is>
      </c>
      <c r="IK34" s="9" t="inlineStr">
        <is>
          <t>v12_quick_engine.py:547 x9</t>
        </is>
      </c>
    </row>
    <row r="35" ht="11" customHeight="1">
      <c r="A35" s="6" t="inlineStr">
        <is>
          <t>DYN_STRUCT_TRAIL_ENABLED</t>
        </is>
      </c>
      <c r="B35" s="7" t="inlineStr">
        <is>
          <t>False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ez_manage.py:5979 top()</t>
        </is>
      </c>
      <c r="IK35" s="9" t="inlineStr">
        <is>
          <t>v12_quick_engine.py:865 x8</t>
        </is>
      </c>
    </row>
    <row r="36" ht="11" customHeight="1">
      <c r="A36" s="10" t="inlineStr">
        <is>
          <t>DYN_STRUCT_TRAIL_ENABLED</t>
        </is>
      </c>
      <c r="B36" s="11" t="inlineStr">
        <is>
          <t>True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ez_manage.py:5979 top()</t>
        </is>
      </c>
      <c r="IK36" s="9" t="inlineStr">
        <is>
          <t>v12_quick_engine.py:865 x8</t>
        </is>
      </c>
    </row>
    <row r="37" ht="11" customHeight="1">
      <c r="A37" s="6" t="inlineStr">
        <is>
          <t>HLR_TOP_EXIT_ENABLED</t>
        </is>
      </c>
      <c r="B37" s="7" t="inlineStr">
        <is>
          <t>False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ez_manage.py:4858 top()</t>
        </is>
      </c>
      <c r="IK37" s="9" t="inlineStr">
        <is>
          <t>v12_quick_engine.py:2031 x5</t>
        </is>
      </c>
    </row>
    <row r="38" ht="11" customHeight="1">
      <c r="A38" s="10" t="inlineStr">
        <is>
          <t>HLR_TOP_EXIT_ENABLED</t>
        </is>
      </c>
      <c r="B38" s="11" t="inlineStr">
        <is>
          <t>True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ez_manage.py:4858 top()</t>
        </is>
      </c>
      <c r="IK38" s="9" t="inlineStr">
        <is>
          <t>v12_quick_engine.py:2031 x5</t>
        </is>
      </c>
    </row>
    <row r="39" ht="11" customHeight="1">
      <c r="A39" s="10" t="inlineStr">
        <is>
          <t>HTF_AGAINST_FORCE_CLOSE_CONFIRM_4H</t>
        </is>
      </c>
      <c r="B39" s="11" t="inlineStr">
        <is>
          <t>0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ez_manage.py:4868 top()</t>
        </is>
      </c>
      <c r="IK39" s="9" t="inlineStr">
        <is>
          <t>v12_quick_engine.py:2039 x7</t>
        </is>
      </c>
    </row>
    <row r="40" ht="11" customHeight="1">
      <c r="A40" s="10" t="inlineStr">
        <is>
          <t>HTF_AGAINST_FORCE_CLOSE_CONFIRM_4H</t>
        </is>
      </c>
      <c r="B40" s="11" t="inlineStr">
        <is>
          <t>0.5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ez_manage.py:4868 top()</t>
        </is>
      </c>
      <c r="IK40" s="9" t="inlineStr">
        <is>
          <t>v12_quick_engine.py:2039 x7</t>
        </is>
      </c>
    </row>
    <row r="41" ht="11" customHeight="1">
      <c r="A41" s="10" t="inlineStr">
        <is>
          <t>HTF_AGAINST_FORCE_CLOSE_CONFIRM_4H</t>
        </is>
      </c>
      <c r="B41" s="11" t="inlineStr">
        <is>
          <t>1.0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ez_manage.py:4868 top()</t>
        </is>
      </c>
      <c r="IK41" s="9" t="inlineStr">
        <is>
          <t>v12_quick_engine.py:2039 x7</t>
        </is>
      </c>
    </row>
    <row r="42" ht="11" customHeight="1">
      <c r="A42" s="10" t="inlineStr">
        <is>
          <t>HTF_AGAINST_FORCE_CLOSE_CONFIRM_4H</t>
        </is>
      </c>
      <c r="B42" s="11" t="inlineStr">
        <is>
          <t>2.0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ez_manage.py:4868 top()</t>
        </is>
      </c>
      <c r="IK42" s="9" t="inlineStr">
        <is>
          <t>v12_quick_engine.py:2039 x7</t>
        </is>
      </c>
    </row>
    <row r="43" ht="11" customHeight="1">
      <c r="A43" s="6" t="inlineStr">
        <is>
          <t>HTF_AGAINST_FORCE_CLOSE_ENABLED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ez_manage.py:4869 top()</t>
        </is>
      </c>
      <c r="IK43" s="9" t="inlineStr">
        <is>
          <t>v12_quick_engine.py:2040 x3</t>
        </is>
      </c>
    </row>
    <row r="44" ht="11" customHeight="1">
      <c r="A44" s="10" t="inlineStr">
        <is>
          <t>HTF_AGAINST_FORCE_CLOSE_ENABLED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ez_manage.py:4869 top()</t>
        </is>
      </c>
      <c r="IK44" s="9" t="inlineStr">
        <is>
          <t>v12_quick_engine.py:2040 x3</t>
        </is>
      </c>
    </row>
    <row r="45" ht="11" customHeight="1">
      <c r="A45" s="6" t="inlineStr">
        <is>
          <t>HTF_EXIT_VETO_ENABLED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ez_manage.py:4873 top()</t>
        </is>
      </c>
      <c r="IK45" s="9" t="inlineStr">
        <is>
          <t>v12_quick_engine.py:2049 x2</t>
        </is>
      </c>
    </row>
    <row r="46" ht="11" customHeight="1">
      <c r="A46" s="10" t="inlineStr">
        <is>
          <t>HTF_EXIT_VETO_ENABLED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ez_manage.py:4873 top()</t>
        </is>
      </c>
      <c r="IK46" s="9" t="inlineStr">
        <is>
          <t>v12_quick_engine.py:2049 x2</t>
        </is>
      </c>
    </row>
    <row r="47" ht="11" customHeight="1">
      <c r="A47" s="10" t="inlineStr">
        <is>
          <t>HTF_EXIT_VETO_MAX_LOSS_PCT</t>
        </is>
      </c>
      <c r="B47" s="11" t="inlineStr">
        <is>
          <t>0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ez_manage.py:4874 top()</t>
        </is>
      </c>
      <c r="IK47" s="9" t="inlineStr">
        <is>
          <t>v12_quick_engine.py:2050 x5</t>
        </is>
      </c>
    </row>
    <row r="48" ht="11" customHeight="1">
      <c r="A48" s="10" t="inlineStr">
        <is>
          <t>HTF_EXIT_VETO_MAX_LOSS_PCT</t>
        </is>
      </c>
      <c r="B48" s="11" t="inlineStr">
        <is>
          <t>0.5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ez_manage.py:4874 top()</t>
        </is>
      </c>
      <c r="IK48" s="9" t="inlineStr">
        <is>
          <t>v12_quick_engine.py:2050 x5</t>
        </is>
      </c>
    </row>
    <row r="49" ht="11" customHeight="1">
      <c r="A49" s="10" t="inlineStr">
        <is>
          <t>HTF_EXIT_VETO_MAX_LOSS_PCT</t>
        </is>
      </c>
      <c r="B49" s="11" t="inlineStr">
        <is>
          <t>1.0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ez_manage.py:4874 top()</t>
        </is>
      </c>
      <c r="IK49" s="9" t="inlineStr">
        <is>
          <t>v12_quick_engine.py:2050 x5</t>
        </is>
      </c>
    </row>
    <row r="50" ht="11" customHeight="1">
      <c r="A50" s="10" t="inlineStr">
        <is>
          <t>HTF_EXIT_VETO_MAX_LOSS_PCT</t>
        </is>
      </c>
      <c r="B50" s="11" t="inlineStr">
        <is>
          <t>2.0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ez_manage.py:4874 top()</t>
        </is>
      </c>
      <c r="IK50" s="9" t="inlineStr">
        <is>
          <t>v12_quick_engine.py:2050 x5</t>
        </is>
      </c>
    </row>
    <row r="51" ht="11" customHeight="1">
      <c r="A51" s="10" t="inlineStr">
        <is>
          <t>HTF_EXIT_VETO_MIN_ALIGNED</t>
        </is>
      </c>
      <c r="B51" s="11" t="inlineStr">
        <is>
          <t>0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ez_manage.py:4875 top()</t>
        </is>
      </c>
      <c r="IK51" s="9" t="inlineStr">
        <is>
          <t>v12_quick_engine.py:2051 x3</t>
        </is>
      </c>
    </row>
    <row r="52" ht="11" customHeight="1">
      <c r="A52" s="10" t="inlineStr">
        <is>
          <t>HTF_EXIT_VETO_MIN_ALIGNED</t>
        </is>
      </c>
      <c r="B52" s="11" t="inlineStr">
        <is>
          <t>0.5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ez_manage.py:4875 top()</t>
        </is>
      </c>
      <c r="IK52" s="9" t="inlineStr">
        <is>
          <t>v12_quick_engine.py:2051 x3</t>
        </is>
      </c>
    </row>
    <row r="53" ht="11" customHeight="1">
      <c r="A53" s="10" t="inlineStr">
        <is>
          <t>HTF_EXIT_VETO_MIN_ALIGNED</t>
        </is>
      </c>
      <c r="B53" s="11" t="inlineStr">
        <is>
          <t>1.0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ez_manage.py:4875 top()</t>
        </is>
      </c>
      <c r="IK53" s="9" t="inlineStr">
        <is>
          <t>v12_quick_engine.py:2051 x3</t>
        </is>
      </c>
    </row>
    <row r="54" ht="11" customHeight="1">
      <c r="A54" s="10" t="inlineStr">
        <is>
          <t>HTF_EXIT_VETO_MIN_ALIGNED</t>
        </is>
      </c>
      <c r="B54" s="11" t="inlineStr">
        <is>
          <t>2.0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ez_manage.py:4875 top()</t>
        </is>
      </c>
      <c r="IK54" s="9" t="inlineStr">
        <is>
          <t>v12_quick_engine.py:2051 x3</t>
        </is>
      </c>
    </row>
    <row r="55" ht="11" customHeight="1">
      <c r="A55" s="6" t="inlineStr">
        <is>
          <t>LOSS_EXIT_STALE_PRICE_ALLOW_NEAR_BE_ENABLED</t>
        </is>
      </c>
      <c r="B55" s="7" t="inlineStr">
        <is>
          <t>False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ez_manage.py:3455 top()</t>
        </is>
      </c>
      <c r="IK55" s="9" t="inlineStr">
        <is>
          <t>v12_quick_engine.py:2169 x4</t>
        </is>
      </c>
    </row>
    <row r="56" ht="11" customHeight="1">
      <c r="A56" s="10" t="inlineStr">
        <is>
          <t>LOSS_EXIT_STALE_PRICE_ALLOW_NEAR_BE_ENABLED</t>
        </is>
      </c>
      <c r="B56" s="11" t="inlineStr">
        <is>
          <t>True</t>
        </is>
      </c>
      <c r="E56">
        <f>IF(F56="",E55,IF(F56&gt;0,E55+F56,E55))</f>
        <v/>
      </c>
      <c r="F56">
        <f>IFERROR(VLOOKUP($A56,Results_30d_Deltas!$A$2:$H$5000,8,FALSE)-E55,"")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ez_manage.py:3455 top()</t>
        </is>
      </c>
      <c r="IK56" s="9" t="inlineStr">
        <is>
          <t>v12_quick_engine.py:2169 x4</t>
        </is>
      </c>
    </row>
    <row r="57" ht="11" customHeight="1">
      <c r="A57" s="6" t="inlineStr">
        <is>
          <t>LOSS_EXIT_STOP_FUNCTIONS_KILL_ENABLED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IFERROR(VLOOKUP($A57,Results_30d_Deltas!$A$2:$H$5000,8,FALSE)-E56,"")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ez_manage.py:3456 top()</t>
        </is>
      </c>
      <c r="IK57" s="9" t="inlineStr">
        <is>
          <t>v12_quick_engine.py:867 x5</t>
        </is>
      </c>
    </row>
    <row r="58" ht="11" customHeight="1">
      <c r="A58" s="10" t="inlineStr">
        <is>
          <t>LOSS_EXIT_STOP_FUNCTIONS_KILL_ENABLED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IFERROR(VLOOKUP($A58,Results_30d_Deltas!$A$2:$H$5000,8,FALSE)-E57,"")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ez_manage.py:3456 top()</t>
        </is>
      </c>
      <c r="IK58" s="9" t="inlineStr">
        <is>
          <t>v12_quick_engine.py:867 x5</t>
        </is>
      </c>
    </row>
    <row r="59" ht="11" customHeight="1">
      <c r="A59" s="6" t="inlineStr">
        <is>
          <t>MACD_EXIT_ENABLED</t>
        </is>
      </c>
      <c r="B59" s="7" t="inlineStr">
        <is>
          <t>False</t>
        </is>
      </c>
      <c r="E59">
        <f>IF(F59="",E58,IF(F59&gt;0,E58+F59,E58))</f>
        <v/>
      </c>
      <c r="F59">
        <f>IFERROR(VLOOKUP($A59,Results_30d_Deltas!$A$2:$H$5000,8,FALSE)-E58,"")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ez_manage.py:3496 top()</t>
        </is>
      </c>
      <c r="IK59" s="9" t="inlineStr">
        <is>
          <t>v12_quick_engine.py:2231 x2</t>
        </is>
      </c>
    </row>
    <row r="60" ht="11" customHeight="1">
      <c r="A60" s="10" t="inlineStr">
        <is>
          <t>MACD_EXIT_ENABLED</t>
        </is>
      </c>
      <c r="B60" s="11" t="inlineStr">
        <is>
          <t>True</t>
        </is>
      </c>
      <c r="E60">
        <f>IF(F60="",E59,IF(F60&gt;0,E59+F60,E59))</f>
        <v/>
      </c>
      <c r="F60">
        <f>IFERROR(VLOOKUP($A60,Results_30d_Deltas!$A$2:$H$5000,8,FALSE)-E59,"")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ez_manage.py:3496 top()</t>
        </is>
      </c>
      <c r="IK60" s="9" t="inlineStr">
        <is>
          <t>v12_quick_engine.py:2231 x2</t>
        </is>
      </c>
    </row>
    <row r="61" ht="11" customHeight="1">
      <c r="A61" s="10" t="inlineStr">
        <is>
          <t>MACD_EXIT_MIN_GAIN</t>
        </is>
      </c>
      <c r="B61" s="11" t="inlineStr">
        <is>
          <t>0</t>
        </is>
      </c>
      <c r="E61">
        <f>IF(F61="",E60,IF(F61&gt;0,E60+F61,E60))</f>
        <v/>
      </c>
      <c r="F61">
        <f>IFERROR(VLOOKUP($A61,Results_30d_Deltas!$A$2:$H$5000,8,FALSE)-E60,"")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ez_manage.py:3497 top()</t>
        </is>
      </c>
      <c r="IK61" s="9" t="inlineStr">
        <is>
          <t>v12_quick_engine.py:2232 x2</t>
        </is>
      </c>
    </row>
    <row r="62" ht="11" customHeight="1">
      <c r="A62" s="10" t="inlineStr">
        <is>
          <t>MACD_EXIT_MIN_GAIN</t>
        </is>
      </c>
      <c r="B62" s="11" t="inlineStr">
        <is>
          <t>0.5</t>
        </is>
      </c>
      <c r="E62">
        <f>IF(F62="",E61,IF(F62&gt;0,E61+F62,E61))</f>
        <v/>
      </c>
      <c r="F62">
        <f>IFERROR(VLOOKUP($A62,Results_30d_Deltas!$A$2:$H$5000,8,FALSE)-E61,"")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ez_manage.py:3497 top()</t>
        </is>
      </c>
      <c r="IK62" s="9" t="inlineStr">
        <is>
          <t>v12_quick_engine.py:2232 x2</t>
        </is>
      </c>
    </row>
    <row r="63" ht="11" customHeight="1">
      <c r="A63" s="10" t="inlineStr">
        <is>
          <t>MACD_EXIT_MIN_GAIN</t>
        </is>
      </c>
      <c r="B63" s="11" t="inlineStr">
        <is>
          <t>1.0</t>
        </is>
      </c>
      <c r="E63">
        <f>IF(F63="",E62,IF(F63&gt;0,E62+F63,E62))</f>
        <v/>
      </c>
      <c r="F63">
        <f>IFERROR(VLOOKUP($A63,Results_30d_Deltas!$A$2:$H$5000,8,FALSE)-E62,"")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ez_manage.py:3497 top()</t>
        </is>
      </c>
      <c r="IK63" s="9" t="inlineStr">
        <is>
          <t>v12_quick_engine.py:2232 x2</t>
        </is>
      </c>
    </row>
    <row r="64" ht="11" customHeight="1">
      <c r="A64" s="10" t="inlineStr">
        <is>
          <t>MACD_EXIT_MIN_GAIN</t>
        </is>
      </c>
      <c r="B64" s="11" t="inlineStr">
        <is>
          <t>2.0</t>
        </is>
      </c>
      <c r="E64">
        <f>IF(F64="",E63,IF(F64&gt;0,E63+F64,E63))</f>
        <v/>
      </c>
      <c r="F64">
        <f>IFERROR(VLOOKUP($A64,Results_30d_Deltas!$A$2:$H$5000,8,FALSE)-E63,"")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ez_manage.py:3497 top()</t>
        </is>
      </c>
      <c r="IK64" s="9" t="inlineStr">
        <is>
          <t>v12_quick_engine.py:2232 x2</t>
        </is>
      </c>
    </row>
    <row r="65" ht="11" customHeight="1">
      <c r="A65" s="10" t="inlineStr">
        <is>
          <t>MACD_EXIT_TF</t>
        </is>
      </c>
      <c r="B65" s="11" t="inlineStr">
        <is>
          <t>OFF</t>
        </is>
      </c>
      <c r="E65">
        <f>IF(F65="",E64,IF(F65&gt;0,E64+F65,E64))</f>
        <v/>
      </c>
      <c r="F65">
        <f>IFERROR(VLOOKUP($A65,Results_30d_Deltas!$A$2:$H$5000,8,FALSE)-E64,"")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ez_manage.py:3498 top()</t>
        </is>
      </c>
      <c r="IK65" s="9" t="inlineStr">
        <is>
          <t>v12_quick_engine.py:2233 x2</t>
        </is>
      </c>
    </row>
    <row r="66" ht="11" customHeight="1">
      <c r="A66" s="10" t="inlineStr">
        <is>
          <t>MACD_EXIT_TF</t>
        </is>
      </c>
      <c r="B66" s="11" t="inlineStr">
        <is>
          <t>D</t>
        </is>
      </c>
      <c r="E66">
        <f>IF(F66="",E65,IF(F66&gt;0,E65+F66,E65))</f>
        <v/>
      </c>
      <c r="F66">
        <f>IFERROR(VLOOKUP($A66,Results_30d_Deltas!$A$2:$H$5000,8,FALSE)-E65,"")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ez_manage.py:3498 top()</t>
        </is>
      </c>
      <c r="IK66" s="9" t="inlineStr">
        <is>
          <t>v12_quick_engine.py:2233 x2</t>
        </is>
      </c>
    </row>
    <row r="67" ht="11" customHeight="1">
      <c r="A67" s="10" t="inlineStr">
        <is>
          <t>MACD_EXIT_TF</t>
        </is>
      </c>
      <c r="B67" s="11" t="inlineStr">
        <is>
          <t>4h</t>
        </is>
      </c>
      <c r="E67">
        <f>IF(F67="",E66,IF(F67&gt;0,E66+F67,E66))</f>
        <v/>
      </c>
      <c r="F67">
        <f>IFERROR(VLOOKUP($A67,Results_30d_Deltas!$A$2:$H$5000,8,FALSE)-E66,"")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ez_manage.py:3498 top()</t>
        </is>
      </c>
      <c r="IK67" s="9" t="inlineStr">
        <is>
          <t>v12_quick_engine.py:2233 x2</t>
        </is>
      </c>
    </row>
    <row r="68" ht="11" customHeight="1">
      <c r="A68" s="10" t="inlineStr">
        <is>
          <t>MACD_EXIT_TF</t>
        </is>
      </c>
      <c r="B68" s="11" t="inlineStr">
        <is>
          <t>1h</t>
        </is>
      </c>
      <c r="E68">
        <f>IF(F68="",E67,IF(F68&gt;0,E67+F68,E67))</f>
        <v/>
      </c>
      <c r="F68">
        <f>IFERROR(VLOOKUP($A68,Results_30d_Deltas!$A$2:$H$5000,8,FALSE)-E67,"")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ez_manage.py:3498 top()</t>
        </is>
      </c>
      <c r="IK68" s="9" t="inlineStr">
        <is>
          <t>v12_quick_engine.py:2233 x2</t>
        </is>
      </c>
    </row>
    <row r="69" ht="11" customHeight="1">
      <c r="A69" s="6" t="inlineStr">
        <is>
          <t>MACD_EXIT_TF</t>
        </is>
      </c>
      <c r="B69" s="7" t="inlineStr">
        <is>
          <t>15m</t>
        </is>
      </c>
      <c r="E69">
        <f>IF(F69="",E68,IF(F69&gt;0,E68+F69,E68))</f>
        <v/>
      </c>
      <c r="F69">
        <f>IFERROR(VLOOKUP($A69,Results_30d_Deltas!$A$2:$H$5000,8,FALSE)-E68,"")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ez_manage.py:3498 top()</t>
        </is>
      </c>
      <c r="IK69" s="9" t="inlineStr">
        <is>
          <t>v12_quick_engine.py:2233 x2</t>
        </is>
      </c>
    </row>
    <row r="70" ht="11" customHeight="1">
      <c r="A70" s="6" t="inlineStr">
        <is>
          <t>MI_DIV_EXIT_ENABLED</t>
        </is>
      </c>
      <c r="B70" s="7" t="inlineStr">
        <is>
          <t>False</t>
        </is>
      </c>
      <c r="E70">
        <f>IF(F70="",E69,IF(F70&gt;0,E69+F70,E69))</f>
        <v/>
      </c>
      <c r="F70">
        <f>IFERROR(VLOOKUP($A70,Results_30d_Deltas!$A$2:$H$5000,8,FALSE)-E69,"")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ez_manage.py:3560 top()</t>
        </is>
      </c>
      <c r="IK70" s="9" t="inlineStr">
        <is>
          <t>v12_quick_engine.py:2329 x8</t>
        </is>
      </c>
    </row>
    <row r="71" ht="11" customHeight="1">
      <c r="A71" s="10" t="inlineStr">
        <is>
          <t>MI_DIV_EXIT_ENABLED</t>
        </is>
      </c>
      <c r="B71" s="11" t="inlineStr">
        <is>
          <t>True</t>
        </is>
      </c>
      <c r="E71">
        <f>IF(F71="",E70,IF(F71&gt;0,E70+F71,E70))</f>
        <v/>
      </c>
      <c r="F71">
        <f>IFERROR(VLOOKUP($A71,Results_30d_Deltas!$A$2:$H$5000,8,FALSE)-E70,"")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ez_manage.py:3560 top()</t>
        </is>
      </c>
      <c r="IK71" s="9" t="inlineStr">
        <is>
          <t>v12_quick_engine.py:2329 x8</t>
        </is>
      </c>
    </row>
    <row r="72" ht="11" customHeight="1">
      <c r="A72" s="6" t="inlineStr">
        <is>
          <t>MI_ENTRY_ENABLED</t>
        </is>
      </c>
      <c r="B72" s="7" t="inlineStr">
        <is>
          <t>False</t>
        </is>
      </c>
      <c r="E72">
        <f>IF(F72="",E71,IF(F72&gt;0,E71+F72,E71))</f>
        <v/>
      </c>
      <c r="F72">
        <f>IFERROR(VLOOKUP($A72,Results_30d_Deltas!$A$2:$H$5000,8,FALSE)-E71,"")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ez_manage.py:4996 top()</t>
        </is>
      </c>
      <c r="IK72" s="9" t="inlineStr">
        <is>
          <t>v12_quick_engine.py:2331 x16</t>
        </is>
      </c>
    </row>
    <row r="73" ht="11" customHeight="1">
      <c r="A73" s="10" t="inlineStr">
        <is>
          <t>MI_ENTRY_ENABLED</t>
        </is>
      </c>
      <c r="B73" s="11" t="inlineStr">
        <is>
          <t>True</t>
        </is>
      </c>
      <c r="E73">
        <f>IF(F73="",E72,IF(F73&gt;0,E72+F73,E72))</f>
        <v/>
      </c>
      <c r="F73">
        <f>IFERROR(VLOOKUP($A73,Results_30d_Deltas!$A$2:$H$5000,8,FALSE)-E72,"")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ez_manage.py:4996 top()</t>
        </is>
      </c>
      <c r="IK73" s="9" t="inlineStr">
        <is>
          <t>v12_quick_engine.py:2331 x16</t>
        </is>
      </c>
    </row>
    <row r="74" ht="11" customHeight="1">
      <c r="A74" s="10" t="inlineStr">
        <is>
          <t>MI_ENTRY_EXHAUST_BONUS</t>
        </is>
      </c>
      <c r="B74" s="11" t="inlineStr">
        <is>
          <t>4</t>
        </is>
      </c>
      <c r="E74">
        <f>IF(F74="",E73,IF(F74&gt;0,E73+F74,E73))</f>
        <v/>
      </c>
      <c r="F74">
        <f>IFERROR(VLOOKUP($A74,Results_30d_Deltas!$A$2:$H$5000,8,FALSE)-E73,"")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ez_manage.py:3561 top()</t>
        </is>
      </c>
      <c r="IK74" s="9" t="inlineStr">
        <is>
          <t>v12_quick_engine.py:2333 x8</t>
        </is>
      </c>
    </row>
    <row r="75" ht="11" customHeight="1">
      <c r="A75" s="10" t="inlineStr">
        <is>
          <t>MI_ENTRY_EXHAUST_BONUS</t>
        </is>
      </c>
      <c r="B75" s="11" t="inlineStr">
        <is>
          <t>6</t>
        </is>
      </c>
      <c r="E75">
        <f>IF(F75="",E74,IF(F75&gt;0,E74+F75,E74))</f>
        <v/>
      </c>
      <c r="F75">
        <f>IFERROR(VLOOKUP($A75,Results_30d_Deltas!$A$2:$H$5000,8,FALSE)-E74,"")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ez_manage.py:3561 top()</t>
        </is>
      </c>
      <c r="IK75" s="9" t="inlineStr">
        <is>
          <t>v12_quick_engine.py:2333 x8</t>
        </is>
      </c>
    </row>
    <row r="76" ht="11" customHeight="1">
      <c r="A76" s="6" t="inlineStr">
        <is>
          <t>MI_ENTRY_EXHAUST_BONUS</t>
        </is>
      </c>
      <c r="B76" s="7" t="inlineStr">
        <is>
          <t>8</t>
        </is>
      </c>
      <c r="E76">
        <f>IF(F76="",E75,IF(F76&gt;0,E75+F76,E75))</f>
        <v/>
      </c>
      <c r="F76">
        <f>IFERROR(VLOOKUP($A76,Results_30d_Deltas!$A$2:$H$5000,8,FALSE)-E75,"")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ez_manage.py:3561 top()</t>
        </is>
      </c>
      <c r="IK76" s="9" t="inlineStr">
        <is>
          <t>v12_quick_engine.py:2333 x8</t>
        </is>
      </c>
    </row>
    <row r="77" ht="11" customHeight="1">
      <c r="A77" s="10" t="inlineStr">
        <is>
          <t>MI_ENTRY_EXHAUST_BONUS</t>
        </is>
      </c>
      <c r="B77" s="11" t="inlineStr">
        <is>
          <t>10</t>
        </is>
      </c>
      <c r="E77">
        <f>IF(F77="",E76,IF(F77&gt;0,E76+F77,E76))</f>
        <v/>
      </c>
      <c r="F77">
        <f>IFERROR(VLOOKUP($A77,Results_30d_Deltas!$A$2:$H$5000,8,FALSE)-E76,"")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ez_manage.py:3561 top()</t>
        </is>
      </c>
      <c r="IK77" s="9" t="inlineStr">
        <is>
          <t>v12_quick_engine.py:2333 x8</t>
        </is>
      </c>
    </row>
    <row r="78" ht="11" customHeight="1">
      <c r="A78" s="10" t="inlineStr">
        <is>
          <t>MI_ENTRY_EXHAUST_BONUS</t>
        </is>
      </c>
      <c r="B78" s="11" t="inlineStr">
        <is>
          <t>12</t>
        </is>
      </c>
      <c r="E78">
        <f>IF(F78="",E77,IF(F78&gt;0,E77+F78,E77))</f>
        <v/>
      </c>
      <c r="F78">
        <f>IFERROR(VLOOKUP($A78,Results_30d_Deltas!$A$2:$H$5000,8,FALSE)-E77,"")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ez_manage.py:3561 top()</t>
        </is>
      </c>
      <c r="IK78" s="9" t="inlineStr">
        <is>
          <t>v12_quick_engine.py:2333 x8</t>
        </is>
      </c>
    </row>
    <row r="79" ht="11" customHeight="1">
      <c r="A79" s="10" t="inlineStr">
        <is>
          <t>MI_ENTRY_STRUCT_BONUS</t>
        </is>
      </c>
      <c r="B79" s="11" t="inlineStr">
        <is>
          <t>5</t>
        </is>
      </c>
      <c r="E79">
        <f>IF(F79="",E78,IF(F79&gt;0,E78+F79,E78))</f>
        <v/>
      </c>
      <c r="F79">
        <f>IFERROR(VLOOKUP($A79,Results_30d_Deltas!$A$2:$H$5000,8,FALSE)-E78,"")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ez_manage.py:3562 top()</t>
        </is>
      </c>
      <c r="IK79" s="9" t="inlineStr">
        <is>
          <t>v12_quick_engine.py:2335 x8</t>
        </is>
      </c>
    </row>
    <row r="80" ht="11" customHeight="1">
      <c r="A80" s="10" t="inlineStr">
        <is>
          <t>MI_ENTRY_STRUCT_BONUS</t>
        </is>
      </c>
      <c r="B80" s="11" t="inlineStr">
        <is>
          <t>8</t>
        </is>
      </c>
      <c r="E80">
        <f>IF(F80="",E79,IF(F80&gt;0,E79+F80,E79))</f>
        <v/>
      </c>
      <c r="F80">
        <f>IFERROR(VLOOKUP($A80,Results_30d_Deltas!$A$2:$H$5000,8,FALSE)-E79,"")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ez_manage.py:3562 top()</t>
        </is>
      </c>
      <c r="IK80" s="9" t="inlineStr">
        <is>
          <t>v12_quick_engine.py:2335 x8</t>
        </is>
      </c>
    </row>
    <row r="81" ht="11" customHeight="1">
      <c r="A81" s="6" t="inlineStr">
        <is>
          <t>MI_ENTRY_STRUCT_BONUS</t>
        </is>
      </c>
      <c r="B81" s="7" t="inlineStr">
        <is>
          <t>10</t>
        </is>
      </c>
      <c r="E81">
        <f>IF(F81="",E80,IF(F81&gt;0,E80+F81,E80))</f>
        <v/>
      </c>
      <c r="F81">
        <f>IFERROR(VLOOKUP($A81,Results_30d_Deltas!$A$2:$H$5000,8,FALSE)-E80,"")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ez_manage.py:3562 top()</t>
        </is>
      </c>
      <c r="IK81" s="9" t="inlineStr">
        <is>
          <t>v12_quick_engine.py:2335 x8</t>
        </is>
      </c>
    </row>
    <row r="82" ht="11" customHeight="1">
      <c r="A82" s="10" t="inlineStr">
        <is>
          <t>MI_ENTRY_STRUCT_BONUS</t>
        </is>
      </c>
      <c r="B82" s="11" t="inlineStr">
        <is>
          <t>12</t>
        </is>
      </c>
      <c r="E82">
        <f>IF(F82="",E81,IF(F82&gt;0,E81+F82,E81))</f>
        <v/>
      </c>
      <c r="F82">
        <f>IFERROR(VLOOKUP($A82,Results_30d_Deltas!$A$2:$H$5000,8,FALSE)-E81,"")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ez_manage.py:3562 top()</t>
        </is>
      </c>
      <c r="IK82" s="9" t="inlineStr">
        <is>
          <t>v12_quick_engine.py:2335 x8</t>
        </is>
      </c>
    </row>
    <row r="83" ht="11" customHeight="1">
      <c r="A83" s="10" t="inlineStr">
        <is>
          <t>MI_ENTRY_STRUCT_BONUS</t>
        </is>
      </c>
      <c r="B83" s="11" t="inlineStr">
        <is>
          <t>15</t>
        </is>
      </c>
      <c r="E83">
        <f>IF(F83="",E82,IF(F83&gt;0,E82+F83,E82))</f>
        <v/>
      </c>
      <c r="F83">
        <f>IFERROR(VLOOKUP($A83,Results_30d_Deltas!$A$2:$H$5000,8,FALSE)-E82,"")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ez_manage.py:3562 top()</t>
        </is>
      </c>
      <c r="IK83" s="9" t="inlineStr">
        <is>
          <t>v12_quick_engine.py:2335 x8</t>
        </is>
      </c>
    </row>
    <row r="84" ht="11" customHeight="1">
      <c r="A84" s="6" t="inlineStr">
        <is>
          <t>MI_EXHAUST_EXIT_ENABLED</t>
        </is>
      </c>
      <c r="B84" s="7" t="inlineStr">
        <is>
          <t>False</t>
        </is>
      </c>
      <c r="E84">
        <f>IF(F84="",E83,IF(F84&gt;0,E83+F84,E83))</f>
        <v/>
      </c>
      <c r="F84">
        <f>IFERROR(VLOOKUP($A84,Results_30d_Deltas!$A$2:$H$5000,8,FALSE)-E83,"")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ez_manage.py:3563 top()</t>
        </is>
      </c>
      <c r="IK84" s="9" t="inlineStr">
        <is>
          <t>v12_quick_engine.py:2337 x8</t>
        </is>
      </c>
    </row>
    <row r="85" ht="11" customHeight="1">
      <c r="A85" s="10" t="inlineStr">
        <is>
          <t>MI_EXHAUST_EXIT_ENABLED</t>
        </is>
      </c>
      <c r="B85" s="11" t="inlineStr">
        <is>
          <t>True</t>
        </is>
      </c>
      <c r="E85">
        <f>IF(F85="",E84,IF(F85&gt;0,E84+F85,E84))</f>
        <v/>
      </c>
      <c r="F85">
        <f>IFERROR(VLOOKUP($A85,Results_30d_Deltas!$A$2:$H$5000,8,FALSE)-E84,"")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ez_manage.py:3563 top()</t>
        </is>
      </c>
      <c r="IK85" s="9" t="inlineStr">
        <is>
          <t>v12_quick_engine.py:2337 x8</t>
        </is>
      </c>
    </row>
    <row r="86" ht="11" customHeight="1">
      <c r="A86" s="10" t="inlineStr">
        <is>
          <t>REGIME_RANGING_EXIT_GAIN_MIN</t>
        </is>
      </c>
      <c r="B86" s="11" t="inlineStr">
        <is>
          <t>0.075</t>
        </is>
      </c>
      <c r="E86">
        <f>IF(F86="",E85,IF(F86&gt;0,E85+F86,E85))</f>
        <v/>
      </c>
      <c r="F86">
        <f>IFERROR(VLOOKUP($A86,Results_30d_Deltas!$A$2:$H$5000,8,FALSE)-E85,"")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ez_manage.py:5346 top()</t>
        </is>
      </c>
      <c r="IK86" s="9" t="inlineStr">
        <is>
          <t>v12_quick_engine.py:2938 x6</t>
        </is>
      </c>
    </row>
    <row r="87" ht="11" customHeight="1">
      <c r="A87" s="10" t="inlineStr">
        <is>
          <t>REGIME_RANGING_EXIT_GAIN_MIN</t>
        </is>
      </c>
      <c r="B87" s="11" t="inlineStr">
        <is>
          <t>0.1125</t>
        </is>
      </c>
      <c r="E87">
        <f>IF(F87="",E86,IF(F87&gt;0,E86+F87,E86))</f>
        <v/>
      </c>
      <c r="F87">
        <f>IFERROR(VLOOKUP($A87,Results_30d_Deltas!$A$2:$H$5000,8,FALSE)-E86,"")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ez_manage.py:5346 top()</t>
        </is>
      </c>
      <c r="IK87" s="9" t="inlineStr">
        <is>
          <t>v12_quick_engine.py:2938 x6</t>
        </is>
      </c>
    </row>
    <row r="88" ht="11" customHeight="1">
      <c r="A88" s="6" t="inlineStr">
        <is>
          <t>REGIME_RANGING_EXIT_GAIN_MIN</t>
        </is>
      </c>
      <c r="B88" s="7" t="inlineStr">
        <is>
          <t>0.15</t>
        </is>
      </c>
      <c r="E88">
        <f>IF(F88="",E87,IF(F88&gt;0,E87+F88,E87))</f>
        <v/>
      </c>
      <c r="F88">
        <f>IFERROR(VLOOKUP($A88,Results_30d_Deltas!$A$2:$H$5000,8,FALSE)-E87,"")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ez_manage.py:5346 top()</t>
        </is>
      </c>
      <c r="IK88" s="9" t="inlineStr">
        <is>
          <t>v12_quick_engine.py:2938 x6</t>
        </is>
      </c>
    </row>
    <row r="89" ht="11" customHeight="1">
      <c r="A89" s="10" t="inlineStr">
        <is>
          <t>REGIME_RANGING_EXIT_GAIN_MIN</t>
        </is>
      </c>
      <c r="B89" s="11" t="inlineStr">
        <is>
          <t>0.1875</t>
        </is>
      </c>
      <c r="E89">
        <f>IF(F89="",E88,IF(F89&gt;0,E88+F89,E88))</f>
        <v/>
      </c>
      <c r="F89">
        <f>IFERROR(VLOOKUP($A89,Results_30d_Deltas!$A$2:$H$5000,8,FALSE)-E88,"")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ez_manage.py:5346 top()</t>
        </is>
      </c>
      <c r="IK89" s="9" t="inlineStr">
        <is>
          <t>v12_quick_engine.py:2938 x6</t>
        </is>
      </c>
    </row>
    <row r="90" ht="11" customHeight="1">
      <c r="A90" s="10" t="inlineStr">
        <is>
          <t>REGIME_RANGING_EXIT_GAIN_MIN</t>
        </is>
      </c>
      <c r="B90" s="11" t="inlineStr">
        <is>
          <t>0.225</t>
        </is>
      </c>
      <c r="E90">
        <f>IF(F90="",E89,IF(F90&gt;0,E89+F90,E89))</f>
        <v/>
      </c>
      <c r="F90">
        <f>IFERROR(VLOOKUP($A90,Results_30d_Deltas!$A$2:$H$5000,8,FALSE)-E89,"")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ez_manage.py:5346 top()</t>
        </is>
      </c>
      <c r="IK90" s="9" t="inlineStr">
        <is>
          <t>v12_quick_engine.py:2938 x6</t>
        </is>
      </c>
    </row>
    <row r="91" ht="11" customHeight="1">
      <c r="A91" s="10" t="inlineStr">
        <is>
          <t>REGIME_RANGING_WT_REDUCE_FRAC_LOW</t>
        </is>
      </c>
      <c r="B91" s="11" t="inlineStr">
        <is>
          <t>0.2</t>
        </is>
      </c>
      <c r="E91">
        <f>IF(F91="",E90,IF(F91&gt;0,E90+F91,E90))</f>
        <v/>
      </c>
      <c r="F91">
        <f>IFERROR(VLOOKUP($A91,Results_30d_Deltas!$A$2:$H$5000,8,FALSE)-E90,"")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ez_manage.py:5356 top()</t>
        </is>
      </c>
      <c r="IK91" s="9" t="inlineStr">
        <is>
          <t>v12_quick_engine.py:2948 x4</t>
        </is>
      </c>
    </row>
    <row r="92" ht="11" customHeight="1">
      <c r="A92" s="10" t="inlineStr">
        <is>
          <t>REGIME_RANGING_WT_REDUCE_FRAC_LOW</t>
        </is>
      </c>
      <c r="B92" s="11" t="inlineStr">
        <is>
          <t>0.3</t>
        </is>
      </c>
      <c r="E92">
        <f>IF(F92="",E91,IF(F92&gt;0,E91+F92,E91))</f>
        <v/>
      </c>
      <c r="F92">
        <f>IFERROR(VLOOKUP($A92,Results_30d_Deltas!$A$2:$H$5000,8,FALSE)-E91,"")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ez_manage.py:5356 top()</t>
        </is>
      </c>
      <c r="IK92" s="9" t="inlineStr">
        <is>
          <t>v12_quick_engine.py:2948 x4</t>
        </is>
      </c>
    </row>
    <row r="93" ht="11" customHeight="1">
      <c r="A93" s="6" t="inlineStr">
        <is>
          <t>REGIME_RANGING_WT_REDUCE_FRAC_LOW</t>
        </is>
      </c>
      <c r="B93" s="7" t="inlineStr">
        <is>
          <t>0.4</t>
        </is>
      </c>
      <c r="E93">
        <f>IF(F93="",E92,IF(F93&gt;0,E92+F93,E92))</f>
        <v/>
      </c>
      <c r="F93">
        <f>IFERROR(VLOOKUP($A93,Results_30d_Deltas!$A$2:$H$5000,8,FALSE)-E92,"")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ez_manage.py:5356 top()</t>
        </is>
      </c>
      <c r="IK93" s="9" t="inlineStr">
        <is>
          <t>v12_quick_engine.py:2948 x4</t>
        </is>
      </c>
    </row>
    <row r="94" ht="11" customHeight="1">
      <c r="A94" s="10" t="inlineStr">
        <is>
          <t>REGIME_RANGING_WT_REDUCE_FRAC_LOW</t>
        </is>
      </c>
      <c r="B94" s="11" t="inlineStr">
        <is>
          <t>0.5</t>
        </is>
      </c>
      <c r="E94">
        <f>IF(F94="",E93,IF(F94&gt;0,E93+F94,E93))</f>
        <v/>
      </c>
      <c r="F94">
        <f>IFERROR(VLOOKUP($A94,Results_30d_Deltas!$A$2:$H$5000,8,FALSE)-E93,"")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ez_manage.py:5356 top()</t>
        </is>
      </c>
      <c r="IK94" s="9" t="inlineStr">
        <is>
          <t>v12_quick_engine.py:2948 x4</t>
        </is>
      </c>
    </row>
    <row r="95" ht="11" customHeight="1">
      <c r="A95" s="10" t="inlineStr">
        <is>
          <t>REGIME_RANGING_WT_REDUCE_FRAC_LOW</t>
        </is>
      </c>
      <c r="B95" s="11" t="inlineStr">
        <is>
          <t>0.6</t>
        </is>
      </c>
      <c r="E95">
        <f>IF(F95="",E94,IF(F95&gt;0,E94+F95,E94))</f>
        <v/>
      </c>
      <c r="F95">
        <f>IFERROR(VLOOKUP($A95,Results_30d_Deltas!$A$2:$H$5000,8,FALSE)-E94,"")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ez_manage.py:5356 top()</t>
        </is>
      </c>
      <c r="IK95" s="9" t="inlineStr">
        <is>
          <t>v12_quick_engine.py:2948 x4</t>
        </is>
      </c>
    </row>
    <row r="96" ht="11" customHeight="1">
      <c r="A96" s="6" t="inlineStr">
        <is>
          <t>WT_EXHAUST_ENTRY_GATE_ENABLED</t>
        </is>
      </c>
      <c r="B96" s="7" t="inlineStr">
        <is>
          <t>False</t>
        </is>
      </c>
      <c r="E96">
        <f>IF(F96="",E95,IF(F96&gt;0,E95+F96,E95))</f>
        <v/>
      </c>
      <c r="F96">
        <f>IFERROR(VLOOKUP($A96,Results_30d_Deltas!$A$2:$H$5000,8,FALSE)-E95,"")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ez_manage.py:5914 top()</t>
        </is>
      </c>
      <c r="IK96" s="9" t="inlineStr">
        <is>
          <t>v12_quick_engine.py:3750 x2</t>
        </is>
      </c>
    </row>
    <row r="97" ht="11" customHeight="1">
      <c r="A97" s="10" t="inlineStr">
        <is>
          <t>WT_EXHAUST_ENTRY_GATE_ENABLED</t>
        </is>
      </c>
      <c r="B97" s="11" t="inlineStr">
        <is>
          <t>True</t>
        </is>
      </c>
      <c r="E97">
        <f>IF(F97="",E96,IF(F97&gt;0,E96+F97,E96))</f>
        <v/>
      </c>
      <c r="F97">
        <f>IFERROR(VLOOKUP($A97,Results_30d_Deltas!$A$2:$H$5000,8,FALSE)-E96,"")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ez_manage.py:5914 top()</t>
        </is>
      </c>
      <c r="IK97" s="9" t="inlineStr">
        <is>
          <t>v12_quick_engine.py:3750 x2</t>
        </is>
      </c>
    </row>
    <row r="98" ht="11" customHeight="1">
      <c r="A98" s="10" t="inlineStr">
        <is>
          <t>WT_EXHAUST_EXIT_MIN_GAIN_PCT</t>
        </is>
      </c>
      <c r="B98" s="11" t="inlineStr">
        <is>
          <t>0</t>
        </is>
      </c>
      <c r="E98">
        <f>IF(F98="",E97,IF(F98&gt;0,E97+F98,E97))</f>
        <v/>
      </c>
      <c r="F98">
        <f>IFERROR(VLOOKUP($A98,Results_30d_Deltas!$A$2:$H$5000,8,FALSE)-E97,"")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ez_manage.py:5916 top()</t>
        </is>
      </c>
      <c r="IK98" s="9" t="inlineStr">
        <is>
          <t>v12_quick_engine.py:3752 x3</t>
        </is>
      </c>
    </row>
    <row r="99" ht="11" customHeight="1">
      <c r="A99" s="10" t="inlineStr">
        <is>
          <t>WT_EXHAUST_EXIT_MIN_GAIN_PCT</t>
        </is>
      </c>
      <c r="B99" s="11" t="inlineStr">
        <is>
          <t>0.5</t>
        </is>
      </c>
      <c r="E99">
        <f>IF(F99="",E98,IF(F99&gt;0,E98+F99,E98))</f>
        <v/>
      </c>
      <c r="F99">
        <f>IFERROR(VLOOKUP($A99,Results_30d_Deltas!$A$2:$H$5000,8,FALSE)-E98,"")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ez_manage.py:5916 top()</t>
        </is>
      </c>
      <c r="IK99" s="9" t="inlineStr">
        <is>
          <t>v12_quick_engine.py:3752 x3</t>
        </is>
      </c>
    </row>
    <row r="100" ht="11" customHeight="1">
      <c r="A100" s="10" t="inlineStr">
        <is>
          <t>WT_EXHAUST_EXIT_MIN_GAIN_PCT</t>
        </is>
      </c>
      <c r="B100" s="11" t="inlineStr">
        <is>
          <t>1.0</t>
        </is>
      </c>
      <c r="E100">
        <f>IF(F100="",E99,IF(F100&gt;0,E99+F100,E99))</f>
        <v/>
      </c>
      <c r="F100">
        <f>IFERROR(VLOOKUP($A100,Results_30d_Deltas!$A$2:$H$5000,8,FALSE)-E99,"")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ez_manage.py:5916 top()</t>
        </is>
      </c>
      <c r="IK100" s="9" t="inlineStr">
        <is>
          <t>v12_quick_engine.py:3752 x3</t>
        </is>
      </c>
    </row>
    <row r="101" ht="11" customHeight="1">
      <c r="A101" s="10" t="inlineStr">
        <is>
          <t>WT_EXHAUST_EXIT_MIN_GAIN_PCT</t>
        </is>
      </c>
      <c r="B101" s="11" t="inlineStr">
        <is>
          <t>2.0</t>
        </is>
      </c>
      <c r="E101">
        <f>IF(F101="",E100,IF(F101&gt;0,E100+F101,E100))</f>
        <v/>
      </c>
      <c r="F101">
        <f>IFERROR(VLOOKUP($A101,Results_30d_Deltas!$A$2:$H$5000,8,FALSE)-E100,"")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ez_manage.py:5916 top()</t>
        </is>
      </c>
      <c r="IK101" s="9" t="inlineStr">
        <is>
          <t>v12_quick_engine.py:3752 x3</t>
        </is>
      </c>
    </row>
    <row r="102" ht="11" customHeight="1">
      <c r="A102" s="10" t="inlineStr">
        <is>
          <t>WT_EXHAUST_EXIT_REQUIRE_GAIN</t>
        </is>
      </c>
      <c r="B102" s="11" t="inlineStr">
        <is>
          <t>0</t>
        </is>
      </c>
      <c r="E102">
        <f>IF(F102="",E101,IF(F102&gt;0,E101+F102,E101))</f>
        <v/>
      </c>
      <c r="F102">
        <f>IFERROR(VLOOKUP($A102,Results_30d_Deltas!$A$2:$H$5000,8,FALSE)-E101,"")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ez_manage.py:5917 top()</t>
        </is>
      </c>
      <c r="IK102" s="9" t="inlineStr">
        <is>
          <t>v12_quick_engine.py:3753 x3</t>
        </is>
      </c>
    </row>
    <row r="103" ht="11" customHeight="1">
      <c r="A103" s="10" t="inlineStr">
        <is>
          <t>WT_EXHAUST_EXIT_REQUIRE_GAIN</t>
        </is>
      </c>
      <c r="B103" s="11" t="inlineStr">
        <is>
          <t>0.5</t>
        </is>
      </c>
      <c r="E103">
        <f>IF(F103="",E102,IF(F103&gt;0,E102+F103,E102))</f>
        <v/>
      </c>
      <c r="F103">
        <f>IFERROR(VLOOKUP($A103,Results_30d_Deltas!$A$2:$H$5000,8,FALSE)-E102,"")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ez_manage.py:5917 top()</t>
        </is>
      </c>
      <c r="IK103" s="9" t="inlineStr">
        <is>
          <t>v12_quick_engine.py:3753 x3</t>
        </is>
      </c>
    </row>
    <row r="104" ht="11" customHeight="1">
      <c r="A104" s="10" t="inlineStr">
        <is>
          <t>WT_EXHAUST_EXIT_REQUIRE_GAIN</t>
        </is>
      </c>
      <c r="B104" s="11" t="inlineStr">
        <is>
          <t>1.0</t>
        </is>
      </c>
      <c r="E104">
        <f>IF(F104="",E103,IF(F104&gt;0,E103+F104,E103))</f>
        <v/>
      </c>
      <c r="F104">
        <f>IFERROR(VLOOKUP($A104,Results_30d_Deltas!$A$2:$H$5000,8,FALSE)-E103,"")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ez_manage.py:5917 top()</t>
        </is>
      </c>
      <c r="IK104" s="9" t="inlineStr">
        <is>
          <t>v12_quick_engine.py:3753 x3</t>
        </is>
      </c>
    </row>
    <row r="105" ht="11" customHeight="1">
      <c r="A105" s="10" t="inlineStr">
        <is>
          <t>WT_EXHAUST_EXIT_REQUIRE_GAIN</t>
        </is>
      </c>
      <c r="B105" s="11" t="inlineStr">
        <is>
          <t>2.0</t>
        </is>
      </c>
      <c r="E105">
        <f>IF(F105="",E104,IF(F105&gt;0,E104+F105,E104))</f>
        <v/>
      </c>
      <c r="F105">
        <f>IFERROR(VLOOKUP($A105,Results_30d_Deltas!$A$2:$H$5000,8,FALSE)-E104,"")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ez_manage.py:5917 top()</t>
        </is>
      </c>
      <c r="IK105" s="9" t="inlineStr">
        <is>
          <t>v12_quick_engine.py:3753 x3</t>
        </is>
      </c>
    </row>
    <row r="106" ht="11" customHeight="1">
      <c r="A106" s="6" t="inlineStr">
        <is>
          <t>WT_PERCENTILE_ENTRY_GATE_ENABLED</t>
        </is>
      </c>
      <c r="B106" s="7" t="inlineStr">
        <is>
          <t>False</t>
        </is>
      </c>
      <c r="E106">
        <f>IF(F106="",E105,IF(F106&gt;0,E105+F106,E105))</f>
        <v/>
      </c>
      <c r="F106">
        <f>IFERROR(VLOOKUP($A106,Results_30d_Deltas!$A$2:$H$5000,8,FALSE)-E105,"")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ez_manage.py:5924 top()</t>
        </is>
      </c>
      <c r="IK106" s="9" t="inlineStr">
        <is>
          <t>v12_quick_engine.py:3764 x2</t>
        </is>
      </c>
    </row>
    <row r="107" ht="11" customHeight="1">
      <c r="A107" s="10" t="inlineStr">
        <is>
          <t>WT_PERCENTILE_ENTRY_GATE_ENABLED</t>
        </is>
      </c>
      <c r="B107" s="11" t="inlineStr">
        <is>
          <t>True</t>
        </is>
      </c>
      <c r="E107">
        <f>IF(F107="",E106,IF(F107&gt;0,E106+F107,E106))</f>
        <v/>
      </c>
      <c r="F107">
        <f>IFERROR(VLOOKUP($A107,Results_30d_Deltas!$A$2:$H$5000,8,FALSE)-E106,"")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ez_manage.py:5924 top()</t>
        </is>
      </c>
      <c r="IK107" s="9" t="inlineStr">
        <is>
          <t>v12_quick_engine.py:3764 x2</t>
        </is>
      </c>
    </row>
    <row r="108" ht="11" customHeight="1">
      <c r="A108" s="10" t="inlineStr">
        <is>
          <t>WT_PERCENTILE_ENTRY_OB_D</t>
        </is>
      </c>
      <c r="B108" s="11" t="inlineStr">
        <is>
          <t>45.0</t>
        </is>
      </c>
      <c r="E108">
        <f>IF(F108="",E107,IF(F108&gt;0,E107+F108,E107))</f>
        <v/>
      </c>
      <c r="F108">
        <f>IFERROR(VLOOKUP($A108,Results_30d_Deltas!$A$2:$H$5000,8,FALSE)-E107,"")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ez_manage.py:5925 top()</t>
        </is>
      </c>
      <c r="IK108" s="9" t="inlineStr">
        <is>
          <t>v12_quick_engine.py:3765 x2</t>
        </is>
      </c>
    </row>
    <row r="109" ht="11" customHeight="1">
      <c r="A109" s="10" t="inlineStr">
        <is>
          <t>WT_PERCENTILE_ENTRY_OB_D</t>
        </is>
      </c>
      <c r="B109" s="11" t="inlineStr">
        <is>
          <t>67.5</t>
        </is>
      </c>
      <c r="E109">
        <f>IF(F109="",E108,IF(F109&gt;0,E108+F109,E108))</f>
        <v/>
      </c>
      <c r="F109">
        <f>IFERROR(VLOOKUP($A109,Results_30d_Deltas!$A$2:$H$5000,8,FALSE)-E108,"")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ez_manage.py:5925 top()</t>
        </is>
      </c>
      <c r="IK109" s="9" t="inlineStr">
        <is>
          <t>v12_quick_engine.py:3765 x2</t>
        </is>
      </c>
    </row>
    <row r="110" ht="11" customHeight="1">
      <c r="A110" s="6" t="inlineStr">
        <is>
          <t>WT_PERCENTILE_ENTRY_OB_D</t>
        </is>
      </c>
      <c r="B110" s="7" t="inlineStr">
        <is>
          <t>90.0</t>
        </is>
      </c>
      <c r="E110">
        <f>IF(F110="",E109,IF(F110&gt;0,E109+F110,E109))</f>
        <v/>
      </c>
      <c r="F110">
        <f>IFERROR(VLOOKUP($A110,Results_30d_Deltas!$A$2:$H$5000,8,FALSE)-E109,"")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ez_manage.py:5925 top()</t>
        </is>
      </c>
      <c r="IK110" s="9" t="inlineStr">
        <is>
          <t>v12_quick_engine.py:3765 x2</t>
        </is>
      </c>
    </row>
    <row r="111" ht="11" customHeight="1">
      <c r="A111" s="10" t="inlineStr">
        <is>
          <t>WT_PERCENTILE_ENTRY_OB_D</t>
        </is>
      </c>
      <c r="B111" s="11" t="inlineStr">
        <is>
          <t>112.5</t>
        </is>
      </c>
      <c r="E111">
        <f>IF(F111="",E110,IF(F111&gt;0,E110+F111,E110))</f>
        <v/>
      </c>
      <c r="F111">
        <f>IFERROR(VLOOKUP($A111,Results_30d_Deltas!$A$2:$H$5000,8,FALSE)-E110,"")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ez_manage.py:5925 top()</t>
        </is>
      </c>
      <c r="IK111" s="9" t="inlineStr">
        <is>
          <t>v12_quick_engine.py:3765 x2</t>
        </is>
      </c>
    </row>
    <row r="112" ht="11" customHeight="1">
      <c r="A112" s="10" t="inlineStr">
        <is>
          <t>WT_PERCENTILE_ENTRY_OB_D</t>
        </is>
      </c>
      <c r="B112" s="11" t="inlineStr">
        <is>
          <t>135.0</t>
        </is>
      </c>
      <c r="E112">
        <f>IF(F112="",E111,IF(F112&gt;0,E111+F112,E111))</f>
        <v/>
      </c>
      <c r="F112">
        <f>IFERROR(VLOOKUP($A112,Results_30d_Deltas!$A$2:$H$5000,8,FALSE)-E111,"")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ez_manage.py:5925 top()</t>
        </is>
      </c>
      <c r="IK112" s="9" t="inlineStr">
        <is>
          <t>v12_quick_engine.py:3765 x2</t>
        </is>
      </c>
    </row>
    <row r="113" ht="11" customHeight="1">
      <c r="A113" s="10" t="inlineStr">
        <is>
          <t>WT_PERCENTILE_ENTRY_OS_D</t>
        </is>
      </c>
      <c r="B113" s="11" t="inlineStr">
        <is>
          <t>5.0</t>
        </is>
      </c>
      <c r="E113">
        <f>IF(F113="",E112,IF(F113&gt;0,E112+F113,E112))</f>
        <v/>
      </c>
      <c r="F113">
        <f>IFERROR(VLOOKUP($A113,Results_30d_Deltas!$A$2:$H$5000,8,FALSE)-E112,"")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ez_manage.py:5926 top()</t>
        </is>
      </c>
      <c r="IK113" s="9" t="inlineStr">
        <is>
          <t>v12_quick_engine.py:3766 x2</t>
        </is>
      </c>
    </row>
    <row r="114" ht="11" customHeight="1">
      <c r="A114" s="10" t="inlineStr">
        <is>
          <t>WT_PERCENTILE_ENTRY_OS_D</t>
        </is>
      </c>
      <c r="B114" s="11" t="inlineStr">
        <is>
          <t>7.5</t>
        </is>
      </c>
      <c r="E114">
        <f>IF(F114="",E113,IF(F114&gt;0,E113+F114,E113))</f>
        <v/>
      </c>
      <c r="F114">
        <f>IFERROR(VLOOKUP($A114,Results_30d_Deltas!$A$2:$H$5000,8,FALSE)-E113,"")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ez_manage.py:5926 top()</t>
        </is>
      </c>
      <c r="IK114" s="9" t="inlineStr">
        <is>
          <t>v12_quick_engine.py:3766 x2</t>
        </is>
      </c>
    </row>
    <row r="115" ht="11" customHeight="1">
      <c r="A115" s="6" t="inlineStr">
        <is>
          <t>WT_PERCENTILE_ENTRY_OS_D</t>
        </is>
      </c>
      <c r="B115" s="7" t="inlineStr">
        <is>
          <t>10.0</t>
        </is>
      </c>
      <c r="E115">
        <f>IF(F115="",E114,IF(F115&gt;0,E114+F115,E114))</f>
        <v/>
      </c>
      <c r="F115">
        <f>IFERROR(VLOOKUP($A115,Results_30d_Deltas!$A$2:$H$5000,8,FALSE)-E114,"")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ez_manage.py:5926 top()</t>
        </is>
      </c>
      <c r="IK115" s="9" t="inlineStr">
        <is>
          <t>v12_quick_engine.py:3766 x2</t>
        </is>
      </c>
    </row>
    <row r="116" ht="11" customHeight="1">
      <c r="A116" s="10" t="inlineStr">
        <is>
          <t>WT_PERCENTILE_ENTRY_OS_D</t>
        </is>
      </c>
      <c r="B116" s="11" t="inlineStr">
        <is>
          <t>12.5</t>
        </is>
      </c>
      <c r="E116">
        <f>IF(F116="",E115,IF(F116&gt;0,E115+F116,E115))</f>
        <v/>
      </c>
      <c r="F116">
        <f>IFERROR(VLOOKUP($A116,Results_30d_Deltas!$A$2:$H$5000,8,FALSE)-E115,"")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ez_manage.py:5926 top()</t>
        </is>
      </c>
      <c r="IK116" s="9" t="inlineStr">
        <is>
          <t>v12_quick_engine.py:3766 x2</t>
        </is>
      </c>
    </row>
    <row r="117" ht="11" customHeight="1">
      <c r="A117" s="10" t="inlineStr">
        <is>
          <t>WT_PERCENTILE_ENTRY_OS_D</t>
        </is>
      </c>
      <c r="B117" s="11" t="inlineStr">
        <is>
          <t>15.0</t>
        </is>
      </c>
      <c r="E117">
        <f>IF(F117="",E116,IF(F117&gt;0,E116+F117,E116))</f>
        <v/>
      </c>
      <c r="F117">
        <f>IFERROR(VLOOKUP($A117,Results_30d_Deltas!$A$2:$H$5000,8,FALSE)-E116,"")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ez_manage.py:5926 top()</t>
        </is>
      </c>
      <c r="IK117" s="9" t="inlineStr">
        <is>
          <t>v12_quick_engine.py:3766 x2</t>
        </is>
      </c>
    </row>
    <row r="118" ht="11" customHeight="1">
      <c r="A118" s="10" t="inlineStr">
        <is>
          <t>WT_PERCENTILE_EXIT_OB_4H</t>
        </is>
      </c>
      <c r="B118" s="11" t="inlineStr">
        <is>
          <t>0</t>
        </is>
      </c>
      <c r="E118">
        <f>IF(F118="",E117,IF(F118&gt;0,E117+F118,E117))</f>
        <v/>
      </c>
      <c r="F118">
        <f>IFERROR(VLOOKUP($A118,Results_30d_Deltas!$A$2:$H$5000,8,FALSE)-E117,"")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ez_manage.py:5928 top()</t>
        </is>
      </c>
      <c r="IK118" s="9" t="inlineStr">
        <is>
          <t>v12_quick_engine.py:3768 x5</t>
        </is>
      </c>
    </row>
    <row r="119" ht="11" customHeight="1">
      <c r="A119" s="10" t="inlineStr">
        <is>
          <t>WT_PERCENTILE_EXIT_OB_4H</t>
        </is>
      </c>
      <c r="B119" s="11" t="inlineStr">
        <is>
          <t>0.5</t>
        </is>
      </c>
      <c r="E119">
        <f>IF(F119="",E118,IF(F119&gt;0,E118+F119,E118))</f>
        <v/>
      </c>
      <c r="F119">
        <f>IFERROR(VLOOKUP($A119,Results_30d_Deltas!$A$2:$H$5000,8,FALSE)-E118,"")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ez_manage.py:5928 top()</t>
        </is>
      </c>
      <c r="IK119" s="9" t="inlineStr">
        <is>
          <t>v12_quick_engine.py:3768 x5</t>
        </is>
      </c>
    </row>
    <row r="120" ht="11" customHeight="1">
      <c r="A120" s="10" t="inlineStr">
        <is>
          <t>WT_PERCENTILE_EXIT_OB_4H</t>
        </is>
      </c>
      <c r="B120" s="11" t="inlineStr">
        <is>
          <t>1.0</t>
        </is>
      </c>
      <c r="E120">
        <f>IF(F120="",E119,IF(F120&gt;0,E119+F120,E119))</f>
        <v/>
      </c>
      <c r="F120">
        <f>IFERROR(VLOOKUP($A120,Results_30d_Deltas!$A$2:$H$5000,8,FALSE)-E119,"")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ez_manage.py:5928 top()</t>
        </is>
      </c>
      <c r="IK120" s="9" t="inlineStr">
        <is>
          <t>v12_quick_engine.py:3768 x5</t>
        </is>
      </c>
    </row>
    <row r="121" ht="11" customHeight="1">
      <c r="A121" s="10" t="inlineStr">
        <is>
          <t>WT_PERCENTILE_EXIT_OB_4H</t>
        </is>
      </c>
      <c r="B121" s="11" t="inlineStr">
        <is>
          <t>2.0</t>
        </is>
      </c>
      <c r="E121">
        <f>IF(F121="",E120,IF(F121&gt;0,E120+F121,E120))</f>
        <v/>
      </c>
      <c r="F121">
        <f>IFERROR(VLOOKUP($A121,Results_30d_Deltas!$A$2:$H$5000,8,FALSE)-E120,"")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ez_manage.py:5928 top()</t>
        </is>
      </c>
      <c r="IK121" s="9" t="inlineStr">
        <is>
          <t>v12_quick_engine.py:3768 x5</t>
        </is>
      </c>
    </row>
    <row r="122" ht="11" customHeight="1">
      <c r="A122" s="10" t="inlineStr">
        <is>
          <t>WT_PERCENTILE_EXIT_OB_D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IFERROR(VLOOKUP($A122,Results_30d_Deltas!$A$2:$H$5000,8,FALSE)-E121,"")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ez_manage.py:5929 top()</t>
        </is>
      </c>
      <c r="IK122" s="9" t="inlineStr">
        <is>
          <t>v12_quick_engine.py:3769 x3</t>
        </is>
      </c>
    </row>
    <row r="123" ht="11" customHeight="1">
      <c r="A123" s="10" t="inlineStr">
        <is>
          <t>WT_PERCENTILE_EXIT_OB_D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IFERROR(VLOOKUP($A123,Results_30d_Deltas!$A$2:$H$5000,8,FALSE)-E122,"")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ez_manage.py:5929 top()</t>
        </is>
      </c>
      <c r="IK123" s="9" t="inlineStr">
        <is>
          <t>v12_quick_engine.py:3769 x3</t>
        </is>
      </c>
    </row>
    <row r="124" ht="11" customHeight="1">
      <c r="A124" s="10" t="inlineStr">
        <is>
          <t>WT_PERCENTILE_EXIT_OB_D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IFERROR(VLOOKUP($A124,Results_30d_Deltas!$A$2:$H$5000,8,FALSE)-E123,"")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ez_manage.py:5929 top()</t>
        </is>
      </c>
      <c r="IK124" s="9" t="inlineStr">
        <is>
          <t>v12_quick_engine.py:3769 x3</t>
        </is>
      </c>
    </row>
    <row r="125" ht="11" customHeight="1">
      <c r="A125" s="10" t="inlineStr">
        <is>
          <t>WT_PERCENTILE_EXIT_OB_D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IFERROR(VLOOKUP($A125,Results_30d_Deltas!$A$2:$H$5000,8,FALSE)-E124,"")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ez_manage.py:5929 top()</t>
        </is>
      </c>
      <c r="IK125" s="9" t="inlineStr">
        <is>
          <t>v12_quick_engine.py:3769 x3</t>
        </is>
      </c>
    </row>
    <row r="126" ht="11" customHeight="1">
      <c r="A126" s="10" t="inlineStr">
        <is>
          <t>WT_PERCENTILE_EXIT_OS_4H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IFERROR(VLOOKUP($A126,Results_30d_Deltas!$A$2:$H$5000,8,FALSE)-E125,"")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ez_manage.py:5930 top()</t>
        </is>
      </c>
      <c r="IK126" s="9" t="inlineStr">
        <is>
          <t>v12_quick_engine.py:3770 x5</t>
        </is>
      </c>
    </row>
    <row r="127" ht="11" customHeight="1">
      <c r="A127" s="10" t="inlineStr">
        <is>
          <t>WT_PERCENTILE_EXIT_OS_4H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IFERROR(VLOOKUP($A127,Results_30d_Deltas!$A$2:$H$5000,8,FALSE)-E126,"")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ez_manage.py:5930 top()</t>
        </is>
      </c>
      <c r="IK127" s="9" t="inlineStr">
        <is>
          <t>v12_quick_engine.py:3770 x5</t>
        </is>
      </c>
    </row>
    <row r="128" ht="11" customHeight="1">
      <c r="A128" s="10" t="inlineStr">
        <is>
          <t>WT_PERCENTILE_EXIT_OS_4H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IFERROR(VLOOKUP($A128,Results_30d_Deltas!$A$2:$H$5000,8,FALSE)-E127,"")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ez_manage.py:5930 top()</t>
        </is>
      </c>
      <c r="IK128" s="9" t="inlineStr">
        <is>
          <t>v12_quick_engine.py:3770 x5</t>
        </is>
      </c>
    </row>
    <row r="129" ht="11" customHeight="1">
      <c r="A129" s="10" t="inlineStr">
        <is>
          <t>WT_PERCENTILE_EXIT_OS_4H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IFERROR(VLOOKUP($A129,Results_30d_Deltas!$A$2:$H$5000,8,FALSE)-E128,"")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ez_manage.py:5930 top()</t>
        </is>
      </c>
      <c r="IK129" s="9" t="inlineStr">
        <is>
          <t>v12_quick_engine.py:3770 x5</t>
        </is>
      </c>
    </row>
    <row r="130" ht="11" customHeight="1">
      <c r="A130" s="10" t="inlineStr">
        <is>
          <t>WT_PERCENTILE_EXIT_OS_D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IFERROR(VLOOKUP($A130,Results_30d_Deltas!$A$2:$H$5000,8,FALSE)-E129,"")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ez_manage.py:5931 top()</t>
        </is>
      </c>
      <c r="IK130" s="9" t="inlineStr">
        <is>
          <t>v12_quick_engine.py:3771 x3</t>
        </is>
      </c>
    </row>
    <row r="131" ht="11" customHeight="1">
      <c r="A131" s="10" t="inlineStr">
        <is>
          <t>WT_PERCENTILE_EXIT_OS_D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IFERROR(VLOOKUP($A131,Results_30d_Deltas!$A$2:$H$5000,8,FALSE)-E130,"")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ez_manage.py:5931 top()</t>
        </is>
      </c>
      <c r="IK131" s="9" t="inlineStr">
        <is>
          <t>v12_quick_engine.py:3771 x3</t>
        </is>
      </c>
    </row>
    <row r="132" ht="11" customHeight="1">
      <c r="A132" s="10" t="inlineStr">
        <is>
          <t>WT_PERCENTILE_EXIT_OS_D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IFERROR(VLOOKUP($A132,Results_30d_Deltas!$A$2:$H$5000,8,FALSE)-E131,"")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ez_manage.py:5931 top()</t>
        </is>
      </c>
      <c r="IK132" s="9" t="inlineStr">
        <is>
          <t>v12_quick_engine.py:3771 x3</t>
        </is>
      </c>
    </row>
    <row r="133" ht="11" customHeight="1">
      <c r="A133" s="10" t="inlineStr">
        <is>
          <t>WT_PERCENTILE_EXIT_OS_D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IFERROR(VLOOKUP($A133,Results_30d_Deltas!$A$2:$H$5000,8,FALSE)-E132,"")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ez_manage.py:5931 top()</t>
        </is>
      </c>
      <c r="IK133" s="9" t="inlineStr">
        <is>
          <t>v12_quick_engine.py:3771 x3</t>
        </is>
      </c>
    </row>
    <row r="134" ht="11" customHeight="1">
      <c r="A134" s="10" t="inlineStr">
        <is>
          <t>WT_REDUCE_FRAC_HIGH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IFERROR(VLOOKUP($A134,Results_30d_Deltas!$A$2:$H$5000,8,FALSE)-E133,"")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ez_manage.py:4307 top()</t>
        </is>
      </c>
      <c r="IK134" s="9" t="inlineStr">
        <is>
          <t>v12_quick_engine.py:3772 x2</t>
        </is>
      </c>
    </row>
    <row r="135" ht="11" customHeight="1">
      <c r="A135" s="10" t="inlineStr">
        <is>
          <t>WT_REDUCE_FRAC_HIGH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IFERROR(VLOOKUP($A135,Results_30d_Deltas!$A$2:$H$5000,8,FALSE)-E134,"")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ez_manage.py:4307 top()</t>
        </is>
      </c>
      <c r="IK135" s="9" t="inlineStr">
        <is>
          <t>v12_quick_engine.py:3772 x2</t>
        </is>
      </c>
    </row>
    <row r="136" ht="11" customHeight="1">
      <c r="A136" s="10" t="inlineStr">
        <is>
          <t>WT_REDUCE_FRAC_HIGH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IFERROR(VLOOKUP($A136,Results_30d_Deltas!$A$2:$H$5000,8,FALSE)-E135,"")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ez_manage.py:4307 top()</t>
        </is>
      </c>
      <c r="IK136" s="9" t="inlineStr">
        <is>
          <t>v12_quick_engine.py:3772 x2</t>
        </is>
      </c>
    </row>
    <row r="137" ht="11" customHeight="1">
      <c r="A137" s="10" t="inlineStr">
        <is>
          <t>WT_REDUCE_FRAC_HIGH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IFERROR(VLOOKUP($A137,Results_30d_Deltas!$A$2:$H$5000,8,FALSE)-E136,"")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ez_manage.py:4307 top()</t>
        </is>
      </c>
      <c r="IK137" s="9" t="inlineStr">
        <is>
          <t>v12_quick_engine.py:3772 x2</t>
        </is>
      </c>
    </row>
    <row r="138" ht="11" customHeight="1">
      <c r="A138" s="10" t="inlineStr">
        <is>
          <t>WT_REDUCE_FRAC_LOW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IFERROR(VLOOKUP($A138,Results_30d_Deltas!$A$2:$H$5000,8,FALSE)-E137,"")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ez_manage.py:4308 top()</t>
        </is>
      </c>
      <c r="IK138" s="9" t="inlineStr">
        <is>
          <t>v12_quick_engine.py:2948 x10</t>
        </is>
      </c>
    </row>
    <row r="139" ht="11" customHeight="1">
      <c r="A139" s="10" t="inlineStr">
        <is>
          <t>WT_REDUCE_FRAC_LOW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IFERROR(VLOOKUP($A139,Results_30d_Deltas!$A$2:$H$5000,8,FALSE)-E138,"")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ez_manage.py:4308 top()</t>
        </is>
      </c>
      <c r="IK139" s="9" t="inlineStr">
        <is>
          <t>v12_quick_engine.py:2948 x10</t>
        </is>
      </c>
    </row>
    <row r="140" ht="11" customHeight="1">
      <c r="A140" s="10" t="inlineStr">
        <is>
          <t>WT_REDUCE_FRAC_LOW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IFERROR(VLOOKUP($A140,Results_30d_Deltas!$A$2:$H$5000,8,FALSE)-E139,"")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ez_manage.py:4308 top()</t>
        </is>
      </c>
      <c r="IK140" s="9" t="inlineStr">
        <is>
          <t>v12_quick_engine.py:2948 x10</t>
        </is>
      </c>
    </row>
    <row r="141" ht="11" customHeight="1">
      <c r="A141" s="10" t="inlineStr">
        <is>
          <t>WT_REDUCE_FRAC_LOW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IFERROR(VLOOKUP($A141,Results_30d_Deltas!$A$2:$H$5000,8,FALSE)-E140,"")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ez_manage.py:4308 top()</t>
        </is>
      </c>
      <c r="IK141" s="9" t="inlineStr">
        <is>
          <t>v12_quick_engine.py:2948 x10</t>
        </is>
      </c>
    </row>
    <row r="142" ht="11" customHeight="1">
      <c r="A142" s="10" t="inlineStr">
        <is>
          <t>WT_REDUCE_FRAC_MED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IFERROR(VLOOKUP($A142,Results_30d_Deltas!$A$2:$H$5000,8,FALSE)-E141,"")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ez_manage.py:4309 top()</t>
        </is>
      </c>
      <c r="IK142" s="9" t="inlineStr">
        <is>
          <t>v12_quick_engine.py:2949 x14</t>
        </is>
      </c>
    </row>
    <row r="143" ht="11" customHeight="1">
      <c r="A143" s="10" t="inlineStr">
        <is>
          <t>WT_REDUCE_FRAC_MED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IFERROR(VLOOKUP($A143,Results_30d_Deltas!$A$2:$H$5000,8,FALSE)-E142,"")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ez_manage.py:4309 top()</t>
        </is>
      </c>
      <c r="IK143" s="9" t="inlineStr">
        <is>
          <t>v12_quick_engine.py:2949 x14</t>
        </is>
      </c>
    </row>
    <row r="144" ht="11" customHeight="1">
      <c r="A144" s="10" t="inlineStr">
        <is>
          <t>WT_REDUCE_FRAC_MED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IFERROR(VLOOKUP($A144,Results_30d_Deltas!$A$2:$H$5000,8,FALSE)-E143,"")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ez_manage.py:4309 top()</t>
        </is>
      </c>
      <c r="IK144" s="9" t="inlineStr">
        <is>
          <t>v12_quick_engine.py:2949 x14</t>
        </is>
      </c>
    </row>
    <row r="145" ht="11" customHeight="1">
      <c r="A145" s="10" t="inlineStr">
        <is>
          <t>WT_REDUCE_FRAC_MED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IFERROR(VLOOKUP($A145,Results_30d_Deltas!$A$2:$H$5000,8,FALSE)-E144,"")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ez_manage.py:4309 top()</t>
        </is>
      </c>
      <c r="IK145" s="9" t="inlineStr">
        <is>
          <t>v12_quick_engine.py:2949 x14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IL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12 GLOBAL_RISK_GATES - 17 bases -&gt; 38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UNIVERSAL_NOLOSS_GATE</t>
        </is>
      </c>
      <c r="B3" s="7" t="inlineStr">
        <is>
          <t>False</t>
        </is>
      </c>
      <c r="E3">
        <f>MAX('REDUCE_SIGNAL_RATER'!E:E)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ez_manage.py:4233 top()</t>
        </is>
      </c>
      <c r="IK3" s="9" t="inlineStr">
        <is>
          <t>v12_quick_engine.py:837 x18</t>
        </is>
      </c>
    </row>
    <row r="4" ht="11" customHeight="1">
      <c r="A4" s="10" t="inlineStr">
        <is>
          <t>UNIVERSAL_NOLOSS_GATE</t>
        </is>
      </c>
      <c r="B4" s="11" t="inlineStr">
        <is>
          <t>True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ez_manage.py:4233 top()</t>
        </is>
      </c>
      <c r="IK4" s="9" t="inlineStr">
        <is>
          <t>v12_quick_engine.py:837 x18</t>
        </is>
      </c>
    </row>
    <row r="5" ht="11" customHeight="1">
      <c r="A5" s="10" t="inlineStr">
        <is>
          <t>COUNTER_TREND_ADD_BLOCK_ENABLED</t>
        </is>
      </c>
      <c r="B5" s="11" t="inlineStr">
        <is>
          <t>False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ez_manage.py:3055 top()</t>
        </is>
      </c>
      <c r="IK5" s="9" t="inlineStr">
        <is>
          <t>v12_quick_engine.py:1469 x2</t>
        </is>
      </c>
    </row>
    <row r="6" ht="11" customHeight="1">
      <c r="A6" s="6" t="inlineStr">
        <is>
          <t>COUNTER_TREND_ADD_BLOCK_ENABLED</t>
        </is>
      </c>
      <c r="B6" s="7" t="inlineStr">
        <is>
          <t>True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ez_manage.py:3055 top()</t>
        </is>
      </c>
      <c r="IK6" s="9" t="inlineStr">
        <is>
          <t>v12_quick_engine.py:1469 x2</t>
        </is>
      </c>
    </row>
    <row r="7" ht="11" customHeight="1">
      <c r="A7" s="10" t="inlineStr">
        <is>
          <t>RECENT_REDUCTION_GUARD_ENABLED</t>
        </is>
      </c>
      <c r="B7" s="11" t="inlineStr">
        <is>
          <t>False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ez_manage.py:5264 top()</t>
        </is>
      </c>
      <c r="IK7" s="9" t="inlineStr">
        <is>
          <t>v12_quick_engine.py:2806 x1</t>
        </is>
      </c>
    </row>
    <row r="8" ht="11" customHeight="1">
      <c r="A8" s="6" t="inlineStr">
        <is>
          <t>RECENT_REDUCTION_GUARD_ENABLED</t>
        </is>
      </c>
      <c r="B8" s="7" t="inlineStr">
        <is>
          <t>True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ez_manage.py:5264 top()</t>
        </is>
      </c>
      <c r="IK8" s="9" t="inlineStr">
        <is>
          <t>v12_quick_engine.py:2806 x1</t>
        </is>
      </c>
    </row>
    <row r="9" ht="11" customHeight="1">
      <c r="A9" s="6" t="inlineStr">
        <is>
          <t>ABSOLUTE_OPEN_LOCK_SEC</t>
        </is>
      </c>
      <c r="B9" s="7" t="inlineStr"/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config only</t>
        </is>
      </c>
      <c r="IK9" s="9" t="inlineStr">
        <is>
          <t>not declared</t>
        </is>
      </c>
    </row>
    <row r="10" ht="11" customHeight="1">
      <c r="A10" s="6" t="inlineStr">
        <is>
          <t>BALANCE_FLOOR_USD</t>
        </is>
      </c>
      <c r="B10" s="7" t="inlineStr"/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config only</t>
        </is>
      </c>
      <c r="IK10" s="9" t="inlineStr">
        <is>
          <t>not declared</t>
        </is>
      </c>
    </row>
    <row r="11" ht="11" customHeight="1">
      <c r="A11" s="6" t="inlineStr">
        <is>
          <t>BLACKLIST_SYMBOLS</t>
        </is>
      </c>
      <c r="B11" s="7" t="inlineStr">
        <is>
          <t>()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ez_manage.py:4377 top()</t>
        </is>
      </c>
      <c r="IK11" s="9" t="inlineStr">
        <is>
          <t>v12_quick_engine.py:3798 x5</t>
        </is>
      </c>
    </row>
    <row r="12" ht="11" customHeight="1">
      <c r="A12" s="6" t="inlineStr">
        <is>
          <t>CIRCUIT_BREAKER_THRESHOLD_PCT</t>
        </is>
      </c>
      <c r="B12" s="7" t="inlineStr"/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config only</t>
        </is>
      </c>
      <c r="IK12" s="9" t="inlineStr">
        <is>
          <t>not declared</t>
        </is>
      </c>
    </row>
    <row r="13" ht="11" customHeight="1">
      <c r="A13" s="10" t="inlineStr">
        <is>
          <t>COUNTER_TREND_SMA200_BYPASS_ENABLED</t>
        </is>
      </c>
      <c r="B13" s="11" t="inlineStr">
        <is>
          <t>False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ez_manage.py:3056 top()</t>
        </is>
      </c>
      <c r="IK13" s="9" t="inlineStr">
        <is>
          <t>v12_quick_engine.py:1470 x6</t>
        </is>
      </c>
    </row>
    <row r="14" ht="11" customHeight="1">
      <c r="A14" s="6" t="inlineStr">
        <is>
          <t>COUNTER_TREND_SMA200_BYPASS_ENABLED</t>
        </is>
      </c>
      <c r="B14" s="7" t="inlineStr">
        <is>
          <t>True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ez_manage.py:3056 top()</t>
        </is>
      </c>
      <c r="IK14" s="9" t="inlineStr">
        <is>
          <t>v12_quick_engine.py:1470 x6</t>
        </is>
      </c>
    </row>
    <row r="15" ht="11" customHeight="1">
      <c r="A15" s="10" t="inlineStr">
        <is>
          <t>EXECUTE_NOW_MAX_MARK_AGE_S</t>
        </is>
      </c>
      <c r="B15" s="11" t="inlineStr">
        <is>
          <t>30.0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ez_manage.py:4656 top()</t>
        </is>
      </c>
      <c r="IK15" s="9" t="inlineStr">
        <is>
          <t>v12_quick_engine.py:3868 x1</t>
        </is>
      </c>
    </row>
    <row r="16" ht="11" customHeight="1">
      <c r="A16" s="10" t="inlineStr">
        <is>
          <t>EXECUTE_NOW_MAX_MARK_AGE_S</t>
        </is>
      </c>
      <c r="B16" s="11" t="inlineStr">
        <is>
          <t>45.0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ez_manage.py:4656 top()</t>
        </is>
      </c>
      <c r="IK16" s="9" t="inlineStr">
        <is>
          <t>v12_quick_engine.py:3868 x1</t>
        </is>
      </c>
    </row>
    <row r="17" ht="11" customHeight="1">
      <c r="A17" s="6" t="inlineStr">
        <is>
          <t>EXECUTE_NOW_MAX_MARK_AGE_S</t>
        </is>
      </c>
      <c r="B17" s="7" t="inlineStr">
        <is>
          <t>60.0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ez_manage.py:4656 top()</t>
        </is>
      </c>
      <c r="IK17" s="9" t="inlineStr">
        <is>
          <t>v12_quick_engine.py:3868 x1</t>
        </is>
      </c>
    </row>
    <row r="18" ht="11" customHeight="1">
      <c r="A18" s="10" t="inlineStr">
        <is>
          <t>EXECUTE_NOW_MAX_MARK_AGE_S</t>
        </is>
      </c>
      <c r="B18" s="11" t="inlineStr">
        <is>
          <t>75.0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ez_manage.py:4656 top()</t>
        </is>
      </c>
      <c r="IK18" s="9" t="inlineStr">
        <is>
          <t>v12_quick_engine.py:3868 x1</t>
        </is>
      </c>
    </row>
    <row r="19" ht="11" customHeight="1">
      <c r="A19" s="10" t="inlineStr">
        <is>
          <t>EXECUTE_NOW_MAX_MARK_AGE_S</t>
        </is>
      </c>
      <c r="B19" s="11" t="inlineStr">
        <is>
          <t>90.0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ez_manage.py:4656 top()</t>
        </is>
      </c>
      <c r="IK19" s="9" t="inlineStr">
        <is>
          <t>v12_quick_engine.py:3868 x1</t>
        </is>
      </c>
    </row>
    <row r="20" ht="11" customHeight="1">
      <c r="A20" s="6" t="inlineStr">
        <is>
          <t>HARD_AUGMENT_LOCK_SEC</t>
        </is>
      </c>
      <c r="B20" s="7" t="inlineStr"/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config only</t>
        </is>
      </c>
      <c r="IK20" s="9" t="inlineStr">
        <is>
          <t>not declared</t>
        </is>
      </c>
    </row>
    <row r="21" ht="11" customHeight="1">
      <c r="A21" s="6" t="inlineStr">
        <is>
          <t>HARD_REDUCE_LOCK_SEC</t>
        </is>
      </c>
      <c r="B21" s="7" t="inlineStr"/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config only</t>
        </is>
      </c>
      <c r="IK21" s="9" t="inlineStr">
        <is>
          <t>not declared</t>
        </is>
      </c>
    </row>
    <row r="22" ht="11" customHeight="1">
      <c r="A22" s="10" t="inlineStr">
        <is>
          <t>OPEN_RATE_BREAKER_ENABLED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ez_manage.py:5141 top()</t>
        </is>
      </c>
      <c r="IK22" s="9" t="inlineStr">
        <is>
          <t>v12_quick_engine.py:2538 x1</t>
        </is>
      </c>
    </row>
    <row r="23" ht="11" customHeight="1">
      <c r="A23" s="6" t="inlineStr">
        <is>
          <t>OPEN_RATE_BREAKER_ENABLED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ez_manage.py:5141 top()</t>
        </is>
      </c>
      <c r="IK23" s="9" t="inlineStr">
        <is>
          <t>v12_quick_engine.py:2538 x1</t>
        </is>
      </c>
    </row>
    <row r="24" ht="11" customHeight="1">
      <c r="A24" s="10" t="inlineStr">
        <is>
          <t>OPEN_RATE_MAX</t>
        </is>
      </c>
      <c r="B24" s="11" t="inlineStr">
        <is>
          <t>15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ez_manage.py:5142 top()</t>
        </is>
      </c>
      <c r="IK24" s="9" t="inlineStr">
        <is>
          <t>v12_quick_engine.py:2539 x1</t>
        </is>
      </c>
    </row>
    <row r="25" ht="11" customHeight="1">
      <c r="A25" s="10" t="inlineStr">
        <is>
          <t>OPEN_RATE_MAX</t>
        </is>
      </c>
      <c r="B25" s="11" t="inlineStr">
        <is>
          <t>22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ez_manage.py:5142 top()</t>
        </is>
      </c>
      <c r="IK25" s="9" t="inlineStr">
        <is>
          <t>v12_quick_engine.py:2539 x1</t>
        </is>
      </c>
    </row>
    <row r="26" ht="11" customHeight="1">
      <c r="A26" s="6" t="inlineStr">
        <is>
          <t>OPEN_RATE_MAX</t>
        </is>
      </c>
      <c r="B26" s="7" t="inlineStr">
        <is>
          <t>30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ez_manage.py:5142 top()</t>
        </is>
      </c>
      <c r="IK26" s="9" t="inlineStr">
        <is>
          <t>v12_quick_engine.py:2539 x1</t>
        </is>
      </c>
    </row>
    <row r="27" ht="11" customHeight="1">
      <c r="A27" s="10" t="inlineStr">
        <is>
          <t>OPEN_RATE_MAX</t>
        </is>
      </c>
      <c r="B27" s="11" t="inlineStr">
        <is>
          <t>38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ez_manage.py:5142 top()</t>
        </is>
      </c>
      <c r="IK27" s="9" t="inlineStr">
        <is>
          <t>v12_quick_engine.py:2539 x1</t>
        </is>
      </c>
    </row>
    <row r="28" ht="11" customHeight="1">
      <c r="A28" s="10" t="inlineStr">
        <is>
          <t>OPEN_RATE_MAX</t>
        </is>
      </c>
      <c r="B28" s="11" t="inlineStr">
        <is>
          <t>45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ez_manage.py:5142 top()</t>
        </is>
      </c>
      <c r="IK28" s="9" t="inlineStr">
        <is>
          <t>v12_quick_engine.py:2539 x1</t>
        </is>
      </c>
    </row>
    <row r="29" ht="11" customHeight="1">
      <c r="A29" s="10" t="inlineStr">
        <is>
          <t>RECENT_REDUCTION_GUARD_WINDOW_S</t>
        </is>
      </c>
      <c r="B29" s="11" t="inlineStr">
        <is>
          <t>450.0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ez_manage.py:5266 top()</t>
        </is>
      </c>
      <c r="IK29" s="9" t="inlineStr">
        <is>
          <t>v12_quick_engine.py:4016 x1</t>
        </is>
      </c>
    </row>
    <row r="30" ht="11" customHeight="1">
      <c r="A30" s="10" t="inlineStr">
        <is>
          <t>RECENT_REDUCTION_GUARD_WINDOW_S</t>
        </is>
      </c>
      <c r="B30" s="11" t="inlineStr">
        <is>
          <t>675.0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ez_manage.py:5266 top()</t>
        </is>
      </c>
      <c r="IK30" s="9" t="inlineStr">
        <is>
          <t>v12_quick_engine.py:4016 x1</t>
        </is>
      </c>
    </row>
    <row r="31" ht="11" customHeight="1">
      <c r="A31" s="6" t="inlineStr">
        <is>
          <t>RECENT_REDUCTION_GUARD_WINDOW_S</t>
        </is>
      </c>
      <c r="B31" s="7" t="inlineStr">
        <is>
          <t>900.0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ez_manage.py:5266 top()</t>
        </is>
      </c>
      <c r="IK31" s="9" t="inlineStr">
        <is>
          <t>v12_quick_engine.py:4016 x1</t>
        </is>
      </c>
    </row>
    <row r="32" ht="11" customHeight="1">
      <c r="A32" s="10" t="inlineStr">
        <is>
          <t>RECENT_REDUCTION_GUARD_WINDOW_S</t>
        </is>
      </c>
      <c r="B32" s="11" t="inlineStr">
        <is>
          <t>1125.0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ez_manage.py:5266 top()</t>
        </is>
      </c>
      <c r="IK32" s="9" t="inlineStr">
        <is>
          <t>v12_quick_engine.py:4016 x1</t>
        </is>
      </c>
    </row>
    <row r="33" ht="11" customHeight="1">
      <c r="A33" s="10" t="inlineStr">
        <is>
          <t>RECENT_REDUCTION_GUARD_WINDOW_S</t>
        </is>
      </c>
      <c r="B33" s="11" t="inlineStr">
        <is>
          <t>1350.0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ez_manage.py:5266 top()</t>
        </is>
      </c>
      <c r="IK33" s="9" t="inlineStr">
        <is>
          <t>v12_quick_engine.py:4016 x1</t>
        </is>
      </c>
    </row>
    <row r="34" ht="11" customHeight="1">
      <c r="A34" s="6" t="inlineStr">
        <is>
          <t>STALE_HOLD_ENABLED</t>
        </is>
      </c>
      <c r="B34" s="7" t="inlineStr"/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config only</t>
        </is>
      </c>
      <c r="IK34" s="9" t="inlineStr">
        <is>
          <t>not declared</t>
        </is>
      </c>
    </row>
    <row r="35" ht="11" customHeight="1">
      <c r="A35" s="10" t="inlineStr">
        <is>
          <t>TRADES_PER_SYM_PER_DAY_MAX</t>
        </is>
      </c>
      <c r="B35" s="11" t="inlineStr">
        <is>
          <t>4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ez_manage.py:4116 top()</t>
        </is>
      </c>
      <c r="IK35" s="9" t="inlineStr">
        <is>
          <t>v12_quick_engine.py:3383 x1</t>
        </is>
      </c>
    </row>
    <row r="36" ht="11" customHeight="1">
      <c r="A36" s="10" t="inlineStr">
        <is>
          <t>TRADES_PER_SYM_PER_DAY_MAX</t>
        </is>
      </c>
      <c r="B36" s="11" t="inlineStr">
        <is>
          <t>6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ez_manage.py:4116 top()</t>
        </is>
      </c>
      <c r="IK36" s="9" t="inlineStr">
        <is>
          <t>v12_quick_engine.py:3383 x1</t>
        </is>
      </c>
    </row>
    <row r="37" ht="11" customHeight="1">
      <c r="A37" s="6" t="inlineStr">
        <is>
          <t>TRADES_PER_SYM_PER_DAY_MAX</t>
        </is>
      </c>
      <c r="B37" s="7" t="inlineStr">
        <is>
          <t>8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ez_manage.py:4116 top()</t>
        </is>
      </c>
      <c r="IK37" s="9" t="inlineStr">
        <is>
          <t>v12_quick_engine.py:3383 x1</t>
        </is>
      </c>
    </row>
    <row r="38" ht="11" customHeight="1">
      <c r="A38" s="10" t="inlineStr">
        <is>
          <t>TRADES_PER_SYM_PER_DAY_MAX</t>
        </is>
      </c>
      <c r="B38" s="11" t="inlineStr">
        <is>
          <t>10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ez_manage.py:4116 top()</t>
        </is>
      </c>
      <c r="IK38" s="9" t="inlineStr">
        <is>
          <t>v12_quick_engine.py:3383 x1</t>
        </is>
      </c>
    </row>
    <row r="39" ht="11" customHeight="1">
      <c r="A39" s="10" t="inlineStr">
        <is>
          <t>TRADES_PER_SYM_PER_DAY_MAX</t>
        </is>
      </c>
      <c r="B39" s="11" t="inlineStr">
        <is>
          <t>12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ez_manage.py:4116 top()</t>
        </is>
      </c>
      <c r="IK39" s="9" t="inlineStr">
        <is>
          <t>v12_quick_engine.py:3383 x1</t>
        </is>
      </c>
    </row>
    <row r="40" ht="11" customHeight="1">
      <c r="A40" s="6" t="inlineStr">
        <is>
          <t>UNIVERSAL_NOLOSS_BYPASS_REASONS</t>
        </is>
      </c>
      <c r="B40" s="7" t="inlineStr"/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config only</t>
        </is>
      </c>
      <c r="IK40" s="9" t="inlineStr">
        <is>
          <t>not declared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param</t>
        </is>
      </c>
      <c r="B1" s="12" t="inlineStr">
        <is>
          <t>default</t>
        </is>
      </c>
      <c r="C1" s="12" t="inlineStr">
        <is>
          <t>override</t>
        </is>
      </c>
      <c r="D1" s="12" t="inlineStr">
        <is>
          <t>is_non_default</t>
        </is>
      </c>
      <c r="E1" s="12" t="inlineStr">
        <is>
          <t>delta_gain_vs_bh</t>
        </is>
      </c>
      <c r="F1" s="12" t="inlineStr">
        <is>
          <t>delta_sharpe</t>
        </is>
      </c>
      <c r="G1" s="12" t="inlineStr">
        <is>
          <t>delta_trades</t>
        </is>
      </c>
      <c r="H1" s="12" t="inlineStr">
        <is>
          <t>variant_gain</t>
        </is>
      </c>
      <c r="I1" s="13" t="inlineStr">
        <is>
          <t>REAL_COMPLETE_DELTA</t>
        </is>
      </c>
      <c r="J1" s="12" t="inlineStr">
        <is>
          <t>variant_sharpe</t>
        </is>
      </c>
      <c r="K1" s="12" t="inlineStr">
        <is>
          <t>trades</t>
        </is>
      </c>
      <c r="L1" s="12" t="inlineStr">
        <is>
          <t>tim</t>
        </is>
      </c>
      <c r="M1" s="12" t="inlineStr">
        <is>
          <t>dd</t>
        </is>
      </c>
      <c r="N1" s="12" t="inlineStr">
        <is>
          <t>filter_or_override</t>
        </is>
      </c>
      <c r="O1" s="12" t="inlineStr">
        <is>
          <t>notes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metric</t>
        </is>
      </c>
      <c r="B1" s="14" t="inlineStr">
        <is>
          <t>value</t>
        </is>
      </c>
      <c r="I1" s="13" t="inlineStr">
        <is>
          <t>REAL_COMPLETE_DELTA</t>
        </is>
      </c>
    </row>
    <row r="2">
      <c r="A2" s="15" t="inlineStr">
        <is>
          <t>gain_pct (baseline honest)</t>
        </is>
      </c>
      <c r="B2" s="15" t="n"/>
    </row>
    <row r="3">
      <c r="A3" s="15" t="inlineStr">
        <is>
          <t>trades</t>
        </is>
      </c>
      <c r="B3" s="15" t="n"/>
    </row>
    <row r="4">
      <c r="A4" s="15" t="inlineStr">
        <is>
          <t>sharpe</t>
        </is>
      </c>
      <c r="B4" s="15" t="n"/>
    </row>
    <row r="5">
      <c r="A5" s="15" t="inlineStr">
        <is>
          <t>max_dd_pct</t>
        </is>
      </c>
      <c r="B5" s="15" t="n"/>
    </row>
    <row r="6">
      <c r="A6" s="15" t="inlineStr">
        <is>
          <t>tim_pct</t>
        </is>
      </c>
      <c r="B6" s="15" t="n"/>
    </row>
    <row r="7">
      <c r="A7" s="15" t="inlineStr">
        <is>
          <t>bh_pct</t>
        </is>
      </c>
      <c r="B7" s="15" t="n"/>
    </row>
    <row r="8">
      <c r="A8" s="15" t="inlineStr">
        <is>
          <t>window_bars</t>
        </is>
      </c>
      <c r="B8" s="15" t="n"/>
    </row>
    <row r="9">
      <c r="A9" s="15" t="inlineStr">
        <is>
          <t>peak_notional</t>
        </is>
      </c>
      <c r="B9" s="15" t="n"/>
    </row>
    <row r="10">
      <c r="A10" s="15" t="inlineStr">
        <is>
          <t>source</t>
        </is>
      </c>
      <c r="B10" s="15" t="n"/>
    </row>
    <row r="11">
      <c r="A11" s="15" t="inlineStr">
        <is>
          <t>as_of (NPZ last_ts -30d)</t>
        </is>
      </c>
      <c r="B11" s="15" t="n"/>
    </row>
    <row r="12">
      <c r="A12" s="15" t="n"/>
      <c r="B12" s="15" t="n"/>
    </row>
    <row r="13">
      <c r="A13" s="15" t="n"/>
      <c r="B13" s="15" t="n"/>
    </row>
    <row r="14">
      <c r="A14" s="15" t="n"/>
      <c r="B14" s="15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427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#</t>
        </is>
      </c>
      <c r="B1" s="16" t="inlineStr">
        <is>
          <t>Filter</t>
        </is>
      </c>
      <c r="C1" s="16" t="inlineStr">
        <is>
          <t>Option Value (per-row)</t>
        </is>
      </c>
      <c r="D1" s="16" t="inlineStr">
        <is>
          <t>What it does — exact semantics</t>
        </is>
      </c>
      <c r="E1" s="16" t="inlineStr">
        <is>
          <t>Live location</t>
        </is>
      </c>
      <c r="F1" s="16" t="inlineStr">
        <is>
          <t>Sheets applicable</t>
        </is>
      </c>
      <c r="G1" s="16" t="inlineStr">
        <is>
          <t>Switches exactly it gates</t>
        </is>
      </c>
      <c r="H1" s="16" t="inlineStr">
        <is>
          <t>Recommendation</t>
        </is>
      </c>
      <c r="I1" s="16" t="inlineStr">
        <is>
          <t>Status</t>
        </is>
      </c>
      <c r="J1" s="16" t="inlineStr">
        <is>
          <t>Note</t>
        </is>
      </c>
      <c r="K1" s="16" t="inlineStr">
        <is>
          <t>TC (Timeframes Count)</t>
        </is>
      </c>
      <c r="L1" s="16" t="inlineStr">
        <is>
          <t>Options (all settings)</t>
        </is>
      </c>
      <c r="M1" s="16" t="inlineStr">
        <is>
          <t>Default (config)</t>
        </is>
      </c>
      <c r="N1" s="16" t="inlineStr">
        <is>
          <t>Type</t>
        </is>
      </c>
      <c r="O1" s="16" t="inlineStr">
        <is>
          <t>QC Field</t>
        </is>
      </c>
      <c r="P1" s="16" t="inlineStr">
        <is>
          <t>Vec Hook</t>
        </is>
      </c>
      <c r="Q1" s="16" t="inlineStr">
        <is>
          <t>Is Default (bold)</t>
        </is>
      </c>
    </row>
    <row r="2">
      <c r="A2" s="17" t="n">
        <v>1</v>
      </c>
      <c r="B2" s="18" t="inlineStr">
        <is>
          <t>ADX_RANGING_THRESHOLD</t>
        </is>
      </c>
      <c r="C2" s="19" t="inlineStr">
        <is>
          <t>20</t>
        </is>
      </c>
      <c r="D2" s="20" t="inlineStr">
        <is>
          <t>Threshold/gate: ADX_RANGING_THRESHOLD — _adx_thresh = float(getattr(config, "ADX_RANGING_THRESHOLD", 20.0)) | ex: `_adx_thresh = float(getattr(config, "ADX_RANGING_THRESHOLD", 20.0))`</t>
        </is>
      </c>
      <c r="E2" s="20" t="inlineStr">
        <is>
          <t>ENTRY, GLOBAL_CHECK, STOCKS_EXIT</t>
        </is>
      </c>
      <c r="F2" s="17" t="inlineStr">
        <is>
          <t>ENTRY, GLOBAL_CHECK, STOCKS_EXIT</t>
        </is>
      </c>
      <c r="G2" s="20" t="inlineStr">
        <is>
          <t>ADX_RANGING_THRESHOLD</t>
        </is>
      </c>
      <c r="H2" s="17" t="inlineStr">
        <is>
          <t>GENERAL</t>
        </is>
      </c>
      <c r="I2" s="17" t="inlineStr">
        <is>
          <t>LIVE — wired</t>
        </is>
      </c>
      <c r="J2" s="17" t="n"/>
      <c r="K2" s="21" t="inlineStr">
        <is>
          <t>—</t>
        </is>
      </c>
      <c r="L2" s="21" t="inlineStr">
        <is>
          <t>20.0, ±25%, ±50% (4)</t>
        </is>
      </c>
      <c r="M2" s="21" t="inlineStr">
        <is>
          <t>20.0</t>
        </is>
      </c>
      <c r="N2" s="21" t="inlineStr">
        <is>
          <t>threshold</t>
        </is>
      </c>
      <c r="O2" s="21" t="inlineStr">
        <is>
          <t>ADX_RANGING_THRESHOLD</t>
        </is>
      </c>
      <c r="P2" s="21" t="inlineStr">
        <is>
          <t>getattr(cfg,"ADX_RANGING_THRESHOLD")</t>
        </is>
      </c>
      <c r="Q2" t="inlineStr">
        <is>
          <t>YES</t>
        </is>
      </c>
    </row>
    <row r="3">
      <c r="A3" s="17" t="n">
        <v>1</v>
      </c>
      <c r="B3" s="22" t="inlineStr">
        <is>
          <t>ADX_RANGING_THRESHOLD</t>
        </is>
      </c>
      <c r="C3" s="23" t="inlineStr">
        <is>
          <t>25</t>
        </is>
      </c>
      <c r="D3" s="20" t="inlineStr">
        <is>
          <t>Threshold/gate: ADX_RANGING_THRESHOLD — _adx_thresh = float(getattr(config, "ADX_RANGING_THRESHOLD", 20.0)) | ex: `_adx_thresh = float(getattr(config, "ADX_RANGING_THRESHOLD", 20.0))`</t>
        </is>
      </c>
      <c r="E3" s="20" t="inlineStr">
        <is>
          <t>ENTRY, GLOBAL_CHECK, STOCKS_EXIT</t>
        </is>
      </c>
      <c r="F3" s="17" t="inlineStr">
        <is>
          <t>ENTRY, GLOBAL_CHECK, STOCKS_EXIT</t>
        </is>
      </c>
      <c r="G3" s="20" t="inlineStr">
        <is>
          <t>ADX_RANGING_THRESHOLD</t>
        </is>
      </c>
      <c r="H3" s="17" t="inlineStr">
        <is>
          <t>GENERAL</t>
        </is>
      </c>
      <c r="I3" s="17" t="inlineStr">
        <is>
          <t>LIVE — wired</t>
        </is>
      </c>
      <c r="J3" s="17" t="n"/>
      <c r="K3" s="21" t="inlineStr">
        <is>
          <t>—</t>
        </is>
      </c>
      <c r="L3" s="21" t="inlineStr">
        <is>
          <t>20.0, ±25%, ±50% (4)</t>
        </is>
      </c>
      <c r="M3" s="21" t="inlineStr">
        <is>
          <t>20.0</t>
        </is>
      </c>
      <c r="N3" s="21" t="inlineStr">
        <is>
          <t>threshold</t>
        </is>
      </c>
      <c r="O3" s="21" t="inlineStr">
        <is>
          <t>ADX_RANGING_THRESHOLD</t>
        </is>
      </c>
      <c r="P3" s="21" t="inlineStr">
        <is>
          <t>getattr(cfg,"ADX_RANGING_THRESHOLD")</t>
        </is>
      </c>
      <c r="Q3" t="inlineStr">
        <is>
          <t>NO</t>
        </is>
      </c>
    </row>
    <row r="4">
      <c r="A4" s="17" t="n">
        <v>1</v>
      </c>
      <c r="B4" s="22" t="inlineStr">
        <is>
          <t>ADX_RANGING_THRESHOLD</t>
        </is>
      </c>
      <c r="C4" s="23" t="inlineStr">
        <is>
          <t>15</t>
        </is>
      </c>
      <c r="D4" s="20" t="inlineStr">
        <is>
          <t>Threshold/gate: ADX_RANGING_THRESHOLD — _adx_thresh = float(getattr(config, "ADX_RANGING_THRESHOLD", 20.0)) | ex: `_adx_thresh = float(getattr(config, "ADX_RANGING_THRESHOLD", 20.0))`</t>
        </is>
      </c>
      <c r="E4" s="20" t="inlineStr">
        <is>
          <t>ENTRY, GLOBAL_CHECK, STOCKS_EXIT</t>
        </is>
      </c>
      <c r="F4" s="17" t="inlineStr">
        <is>
          <t>ENTRY, GLOBAL_CHECK, STOCKS_EXIT</t>
        </is>
      </c>
      <c r="G4" s="20" t="inlineStr">
        <is>
          <t>ADX_RANGING_THRESHOLD</t>
        </is>
      </c>
      <c r="H4" s="17" t="inlineStr">
        <is>
          <t>GENERAL</t>
        </is>
      </c>
      <c r="I4" s="17" t="inlineStr">
        <is>
          <t>LIVE — wired</t>
        </is>
      </c>
      <c r="J4" s="17" t="n"/>
      <c r="K4" s="21" t="inlineStr">
        <is>
          <t>—</t>
        </is>
      </c>
      <c r="L4" s="21" t="inlineStr">
        <is>
          <t>20.0, ±25%, ±50% (4)</t>
        </is>
      </c>
      <c r="M4" s="21" t="inlineStr">
        <is>
          <t>20.0</t>
        </is>
      </c>
      <c r="N4" s="21" t="inlineStr">
        <is>
          <t>threshold</t>
        </is>
      </c>
      <c r="O4" s="21" t="inlineStr">
        <is>
          <t>ADX_RANGING_THRESHOLD</t>
        </is>
      </c>
      <c r="P4" s="21" t="inlineStr">
        <is>
          <t>getattr(cfg,"ADX_RANGING_THRESHOLD")</t>
        </is>
      </c>
      <c r="Q4" t="inlineStr">
        <is>
          <t>NO</t>
        </is>
      </c>
    </row>
    <row r="5">
      <c r="A5" s="17" t="n">
        <v>1</v>
      </c>
      <c r="B5" s="22" t="inlineStr">
        <is>
          <t>ADX_RANGING_THRESHOLD</t>
        </is>
      </c>
      <c r="C5" s="23" t="inlineStr">
        <is>
          <t>10</t>
        </is>
      </c>
      <c r="D5" s="20" t="inlineStr">
        <is>
          <t>Threshold/gate: ADX_RANGING_THRESHOLD — _adx_thresh = float(getattr(config, "ADX_RANGING_THRESHOLD", 20.0)) | ex: `_adx_thresh = float(getattr(config, "ADX_RANGING_THRESHOLD", 20.0))`</t>
        </is>
      </c>
      <c r="E5" s="20" t="inlineStr">
        <is>
          <t>ENTRY, GLOBAL_CHECK, STOCKS_EXIT</t>
        </is>
      </c>
      <c r="F5" s="17" t="inlineStr">
        <is>
          <t>ENTRY, GLOBAL_CHECK, STOCKS_EXIT</t>
        </is>
      </c>
      <c r="G5" s="20" t="inlineStr">
        <is>
          <t>ADX_RANGING_THRESHOLD</t>
        </is>
      </c>
      <c r="H5" s="17" t="inlineStr">
        <is>
          <t>GENERAL</t>
        </is>
      </c>
      <c r="I5" s="17" t="inlineStr">
        <is>
          <t>LIVE — wired</t>
        </is>
      </c>
      <c r="J5" s="17" t="n"/>
      <c r="K5" s="21" t="inlineStr">
        <is>
          <t>—</t>
        </is>
      </c>
      <c r="L5" s="21" t="inlineStr">
        <is>
          <t>20.0, ±25%, ±50% (4)</t>
        </is>
      </c>
      <c r="M5" s="21" t="inlineStr">
        <is>
          <t>20.0</t>
        </is>
      </c>
      <c r="N5" s="21" t="inlineStr">
        <is>
          <t>threshold</t>
        </is>
      </c>
      <c r="O5" s="21" t="inlineStr">
        <is>
          <t>ADX_RANGING_THRESHOLD</t>
        </is>
      </c>
      <c r="P5" s="21" t="inlineStr">
        <is>
          <t>getattr(cfg,"ADX_RANGING_THRESHOLD")</t>
        </is>
      </c>
      <c r="Q5" t="inlineStr">
        <is>
          <t>NO</t>
        </is>
      </c>
    </row>
    <row r="6">
      <c r="A6" s="24" t="n">
        <v>2</v>
      </c>
      <c r="B6" s="25" t="inlineStr">
        <is>
          <t>ATR_TRAIL_FILTER_TF</t>
        </is>
      </c>
      <c r="C6" s="23" t="inlineStr">
        <is>
          <t>OFF</t>
        </is>
      </c>
      <c r="D6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6" s="26" t="inlineStr">
        <is>
          <t>GLOBAL_CHECK</t>
        </is>
      </c>
      <c r="F6" s="24" t="inlineStr">
        <is>
          <t>EXIT</t>
        </is>
      </c>
      <c r="G6" s="26" t="inlineStr">
        <is>
          <t>ATR trail exits</t>
        </is>
      </c>
      <c r="H6" s="24" t="inlineStr">
        <is>
          <t>SPECIFIC — only gated switches</t>
        </is>
      </c>
      <c r="I6" s="24" t="inlineStr">
        <is>
          <t>LIVE — wired</t>
        </is>
      </c>
      <c r="J6" s="24" t="n"/>
      <c r="K6" s="21" t="inlineStr">
        <is>
          <t>1/4</t>
        </is>
      </c>
      <c r="L6" s="21" t="inlineStr">
        <is>
          <t>OFF, 15m, 1h, 4h, D (5 options)</t>
        </is>
      </c>
      <c r="M6" s="21" t="inlineStr">
        <is>
          <t>15m</t>
        </is>
      </c>
      <c r="N6" s="21" t="inlineStr">
        <is>
          <t>TF selector</t>
        </is>
      </c>
      <c r="O6" s="21" t="inlineStr">
        <is>
          <t>ATR_TRAIL_FILTER_TF</t>
        </is>
      </c>
      <c r="P6" s="21" t="inlineStr">
        <is>
          <t>getattr(cfg,"ATR_TRAIL_FILTER_TF")</t>
        </is>
      </c>
      <c r="Q6" t="inlineStr">
        <is>
          <t>NO</t>
        </is>
      </c>
    </row>
    <row r="7">
      <c r="A7" s="24" t="n">
        <v>2</v>
      </c>
      <c r="B7" s="25" t="inlineStr">
        <is>
          <t>ATR_TRAIL_FILTER_TF</t>
        </is>
      </c>
      <c r="C7" s="23" t="inlineStr">
        <is>
          <t>D</t>
        </is>
      </c>
      <c r="D7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7" s="26" t="inlineStr">
        <is>
          <t>GLOBAL_CHECK</t>
        </is>
      </c>
      <c r="F7" s="24" t="inlineStr">
        <is>
          <t>EXIT</t>
        </is>
      </c>
      <c r="G7" s="26" t="inlineStr">
        <is>
          <t>ATR trail exits</t>
        </is>
      </c>
      <c r="H7" s="24" t="inlineStr">
        <is>
          <t>SPECIFIC — only gated switches</t>
        </is>
      </c>
      <c r="I7" s="24" t="inlineStr">
        <is>
          <t>LIVE — wired</t>
        </is>
      </c>
      <c r="J7" s="24" t="n"/>
      <c r="K7" s="21" t="inlineStr">
        <is>
          <t>1/4</t>
        </is>
      </c>
      <c r="L7" s="21" t="inlineStr">
        <is>
          <t>OFF, 15m, 1h, 4h, D (5 options)</t>
        </is>
      </c>
      <c r="M7" s="21" t="inlineStr">
        <is>
          <t>15m</t>
        </is>
      </c>
      <c r="N7" s="21" t="inlineStr">
        <is>
          <t>TF selector</t>
        </is>
      </c>
      <c r="O7" s="21" t="inlineStr">
        <is>
          <t>ATR_TRAIL_FILTER_TF</t>
        </is>
      </c>
      <c r="P7" s="21" t="inlineStr">
        <is>
          <t>getattr(cfg,"ATR_TRAIL_FILTER_TF")</t>
        </is>
      </c>
      <c r="Q7" t="inlineStr">
        <is>
          <t>NO</t>
        </is>
      </c>
    </row>
    <row r="8">
      <c r="A8" s="24" t="n">
        <v>2</v>
      </c>
      <c r="B8" s="25" t="inlineStr">
        <is>
          <t>ATR_TRAIL_FILTER_TF</t>
        </is>
      </c>
      <c r="C8" s="23" t="inlineStr">
        <is>
          <t>4h</t>
        </is>
      </c>
      <c r="D8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8" s="26" t="inlineStr">
        <is>
          <t>GLOBAL_CHECK</t>
        </is>
      </c>
      <c r="F8" s="24" t="inlineStr">
        <is>
          <t>EXIT</t>
        </is>
      </c>
      <c r="G8" s="26" t="inlineStr">
        <is>
          <t>ATR trail exits</t>
        </is>
      </c>
      <c r="H8" s="24" t="inlineStr">
        <is>
          <t>SPECIFIC — only gated switches</t>
        </is>
      </c>
      <c r="I8" s="24" t="inlineStr">
        <is>
          <t>LIVE — wired</t>
        </is>
      </c>
      <c r="J8" s="24" t="n"/>
      <c r="K8" s="21" t="inlineStr">
        <is>
          <t>1/4</t>
        </is>
      </c>
      <c r="L8" s="21" t="inlineStr">
        <is>
          <t>OFF, 15m, 1h, 4h, D (5 options)</t>
        </is>
      </c>
      <c r="M8" s="21" t="inlineStr">
        <is>
          <t>15m</t>
        </is>
      </c>
      <c r="N8" s="21" t="inlineStr">
        <is>
          <t>TF selector</t>
        </is>
      </c>
      <c r="O8" s="21" t="inlineStr">
        <is>
          <t>ATR_TRAIL_FILTER_TF</t>
        </is>
      </c>
      <c r="P8" s="21" t="inlineStr">
        <is>
          <t>getattr(cfg,"ATR_TRAIL_FILTER_TF")</t>
        </is>
      </c>
      <c r="Q8" t="inlineStr">
        <is>
          <t>NO</t>
        </is>
      </c>
    </row>
    <row r="9">
      <c r="A9" s="24" t="n">
        <v>2</v>
      </c>
      <c r="B9" s="25" t="inlineStr">
        <is>
          <t>ATR_TRAIL_FILTER_TF</t>
        </is>
      </c>
      <c r="C9" s="23" t="inlineStr">
        <is>
          <t>1h</t>
        </is>
      </c>
      <c r="D9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9" s="26" t="inlineStr">
        <is>
          <t>GLOBAL_CHECK</t>
        </is>
      </c>
      <c r="F9" s="24" t="inlineStr">
        <is>
          <t>EXIT</t>
        </is>
      </c>
      <c r="G9" s="26" t="inlineStr">
        <is>
          <t>ATR trail exits</t>
        </is>
      </c>
      <c r="H9" s="24" t="inlineStr">
        <is>
          <t>SPECIFIC — only gated switches</t>
        </is>
      </c>
      <c r="I9" s="24" t="inlineStr">
        <is>
          <t>LIVE — wired</t>
        </is>
      </c>
      <c r="J9" s="24" t="n"/>
      <c r="K9" s="21" t="inlineStr">
        <is>
          <t>1/4</t>
        </is>
      </c>
      <c r="L9" s="21" t="inlineStr">
        <is>
          <t>OFF, 15m, 1h, 4h, D (5 options)</t>
        </is>
      </c>
      <c r="M9" s="21" t="inlineStr">
        <is>
          <t>15m</t>
        </is>
      </c>
      <c r="N9" s="21" t="inlineStr">
        <is>
          <t>TF selector</t>
        </is>
      </c>
      <c r="O9" s="21" t="inlineStr">
        <is>
          <t>ATR_TRAIL_FILTER_TF</t>
        </is>
      </c>
      <c r="P9" s="21" t="inlineStr">
        <is>
          <t>getattr(cfg,"ATR_TRAIL_FILTER_TF")</t>
        </is>
      </c>
      <c r="Q9" t="inlineStr">
        <is>
          <t>NO</t>
        </is>
      </c>
    </row>
    <row r="10">
      <c r="A10" s="24" t="n">
        <v>2</v>
      </c>
      <c r="B10" s="27" t="inlineStr">
        <is>
          <t>ATR_TRAIL_FILTER_TF</t>
        </is>
      </c>
      <c r="C10" s="19" t="inlineStr">
        <is>
          <t>15m</t>
        </is>
      </c>
      <c r="D10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10" s="26" t="inlineStr">
        <is>
          <t>GLOBAL_CHECK</t>
        </is>
      </c>
      <c r="F10" s="24" t="inlineStr">
        <is>
          <t>EXIT</t>
        </is>
      </c>
      <c r="G10" s="26" t="inlineStr">
        <is>
          <t>ATR trail exits</t>
        </is>
      </c>
      <c r="H10" s="24" t="inlineStr">
        <is>
          <t>SPECIFIC — only gated switches</t>
        </is>
      </c>
      <c r="I10" s="24" t="inlineStr">
        <is>
          <t>LIVE — wired</t>
        </is>
      </c>
      <c r="J10" s="24" t="n"/>
      <c r="K10" s="21" t="inlineStr">
        <is>
          <t>1/4</t>
        </is>
      </c>
      <c r="L10" s="21" t="inlineStr">
        <is>
          <t>OFF, 15m, 1h, 4h, D (5 options)</t>
        </is>
      </c>
      <c r="M10" s="21" t="inlineStr">
        <is>
          <t>15m</t>
        </is>
      </c>
      <c r="N10" s="21" t="inlineStr">
        <is>
          <t>TF selector</t>
        </is>
      </c>
      <c r="O10" s="21" t="inlineStr">
        <is>
          <t>ATR_TRAIL_FILTER_TF</t>
        </is>
      </c>
      <c r="P10" s="21" t="inlineStr">
        <is>
          <t>getattr(cfg,"ATR_TRAIL_FILTER_TF")</t>
        </is>
      </c>
      <c r="Q10" t="inlineStr">
        <is>
          <t>YES</t>
        </is>
      </c>
    </row>
    <row r="11">
      <c r="A11" s="17" t="n">
        <v>3</v>
      </c>
      <c r="B11" s="18" t="inlineStr">
        <is>
          <t>BANDAID_OFF_LOSER_RECOVER_PCT</t>
        </is>
      </c>
      <c r="C11" s="19" t="inlineStr">
        <is>
          <t>0</t>
        </is>
      </c>
      <c r="D11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1" s="20" t="inlineStr">
        <is>
          <t>AUGMENT, ENTRY, EXIT, GLOBAL_CHECK, REDUCE, STOCKS_EXIT</t>
        </is>
      </c>
      <c r="F11" s="17" t="inlineStr">
        <is>
          <t>AUGMENT, ENTRY, EXIT, GLOBAL_CHECK, REDUCE, STOCKS_EXIT</t>
        </is>
      </c>
      <c r="G11" s="20" t="inlineStr">
        <is>
          <t>BANDAID_OFF_LOSER_RECOVER_PCT</t>
        </is>
      </c>
      <c r="H11" s="17" t="inlineStr">
        <is>
          <t>GENERAL</t>
        </is>
      </c>
      <c r="I11" s="17" t="inlineStr">
        <is>
          <t>LIVE — wired</t>
        </is>
      </c>
      <c r="J11" s="17" t="n"/>
      <c r="K11" s="21" t="inlineStr">
        <is>
          <t>—</t>
        </is>
      </c>
      <c r="L11" s="21" t="inlineStr">
        <is>
          <t>0.0, ±25%, ±50% (4)</t>
        </is>
      </c>
      <c r="M11" s="21" t="inlineStr">
        <is>
          <t>0.0</t>
        </is>
      </c>
      <c r="N11" s="21" t="inlineStr">
        <is>
          <t>threshold</t>
        </is>
      </c>
      <c r="O11" s="21" t="inlineStr">
        <is>
          <t>BANDAID_OFF_LOSER_RECOVER_PCT</t>
        </is>
      </c>
      <c r="P11" s="21" t="inlineStr">
        <is>
          <t>getattr(cfg,"BANDAID_OFF_LOSER_RECOVER_PCT")</t>
        </is>
      </c>
      <c r="Q11" t="inlineStr">
        <is>
          <t>YES</t>
        </is>
      </c>
    </row>
    <row r="12">
      <c r="A12" s="17" t="n">
        <v>3</v>
      </c>
      <c r="B12" s="22" t="inlineStr">
        <is>
          <t>BANDAID_OFF_LOSER_RECOVER_PCT</t>
        </is>
      </c>
      <c r="C12" s="23" t="inlineStr">
        <is>
          <t>2.0</t>
        </is>
      </c>
      <c r="D12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2" s="20" t="inlineStr">
        <is>
          <t>AUGMENT, ENTRY, EXIT, GLOBAL_CHECK, REDUCE, STOCKS_EXIT</t>
        </is>
      </c>
      <c r="F12" s="17" t="inlineStr">
        <is>
          <t>AUGMENT, ENTRY, EXIT, GLOBAL_CHECK, REDUCE, STOCKS_EXIT</t>
        </is>
      </c>
      <c r="G12" s="20" t="inlineStr">
        <is>
          <t>BANDAID_OFF_LOSER_RECOVER_PCT</t>
        </is>
      </c>
      <c r="H12" s="17" t="inlineStr">
        <is>
          <t>GENERAL</t>
        </is>
      </c>
      <c r="I12" s="17" t="inlineStr">
        <is>
          <t>LIVE — wired</t>
        </is>
      </c>
      <c r="J12" s="17" t="n"/>
      <c r="K12" s="21" t="inlineStr">
        <is>
          <t>—</t>
        </is>
      </c>
      <c r="L12" s="21" t="inlineStr">
        <is>
          <t>0.0, ±25%, ±50% (4)</t>
        </is>
      </c>
      <c r="M12" s="21" t="inlineStr">
        <is>
          <t>0.0</t>
        </is>
      </c>
      <c r="N12" s="21" t="inlineStr">
        <is>
          <t>threshold</t>
        </is>
      </c>
      <c r="O12" s="21" t="inlineStr">
        <is>
          <t>BANDAID_OFF_LOSER_RECOVER_PCT</t>
        </is>
      </c>
      <c r="P12" s="21" t="inlineStr">
        <is>
          <t>getattr(cfg,"BANDAID_OFF_LOSER_RECOVER_PCT")</t>
        </is>
      </c>
      <c r="Q12" t="inlineStr">
        <is>
          <t>NO</t>
        </is>
      </c>
    </row>
    <row r="13">
      <c r="A13" s="17" t="n">
        <v>3</v>
      </c>
      <c r="B13" s="22" t="inlineStr">
        <is>
          <t>BANDAID_OFF_LOSER_RECOVER_PCT</t>
        </is>
      </c>
      <c r="C13" s="23" t="inlineStr">
        <is>
          <t>1.0</t>
        </is>
      </c>
      <c r="D13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3" s="20" t="inlineStr">
        <is>
          <t>AUGMENT, ENTRY, EXIT, GLOBAL_CHECK, REDUCE, STOCKS_EXIT</t>
        </is>
      </c>
      <c r="F13" s="17" t="inlineStr">
        <is>
          <t>AUGMENT, ENTRY, EXIT, GLOBAL_CHECK, REDUCE, STOCKS_EXIT</t>
        </is>
      </c>
      <c r="G13" s="20" t="inlineStr">
        <is>
          <t>BANDAID_OFF_LOSER_RECOVER_PCT</t>
        </is>
      </c>
      <c r="H13" s="17" t="inlineStr">
        <is>
          <t>GENERAL</t>
        </is>
      </c>
      <c r="I13" s="17" t="inlineStr">
        <is>
          <t>LIVE — wired</t>
        </is>
      </c>
      <c r="J13" s="17" t="n"/>
      <c r="K13" s="21" t="inlineStr">
        <is>
          <t>—</t>
        </is>
      </c>
      <c r="L13" s="21" t="inlineStr">
        <is>
          <t>0.0, ±25%, ±50% (4)</t>
        </is>
      </c>
      <c r="M13" s="21" t="inlineStr">
        <is>
          <t>0.0</t>
        </is>
      </c>
      <c r="N13" s="21" t="inlineStr">
        <is>
          <t>threshold</t>
        </is>
      </c>
      <c r="O13" s="21" t="inlineStr">
        <is>
          <t>BANDAID_OFF_LOSER_RECOVER_PCT</t>
        </is>
      </c>
      <c r="P13" s="21" t="inlineStr">
        <is>
          <t>getattr(cfg,"BANDAID_OFF_LOSER_RECOVER_PCT")</t>
        </is>
      </c>
      <c r="Q13" t="inlineStr">
        <is>
          <t>NO</t>
        </is>
      </c>
    </row>
    <row r="14">
      <c r="A14" s="17" t="n">
        <v>3</v>
      </c>
      <c r="B14" s="22" t="inlineStr">
        <is>
          <t>BANDAID_OFF_LOSER_RECOVER_PCT</t>
        </is>
      </c>
      <c r="C14" s="23" t="inlineStr">
        <is>
          <t>0.5</t>
        </is>
      </c>
      <c r="D14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4" s="20" t="inlineStr">
        <is>
          <t>AUGMENT, ENTRY, EXIT, GLOBAL_CHECK, REDUCE, STOCKS_EXIT</t>
        </is>
      </c>
      <c r="F14" s="17" t="inlineStr">
        <is>
          <t>AUGMENT, ENTRY, EXIT, GLOBAL_CHECK, REDUCE, STOCKS_EXIT</t>
        </is>
      </c>
      <c r="G14" s="20" t="inlineStr">
        <is>
          <t>BANDAID_OFF_LOSER_RECOVER_PCT</t>
        </is>
      </c>
      <c r="H14" s="17" t="inlineStr">
        <is>
          <t>GENERAL</t>
        </is>
      </c>
      <c r="I14" s="17" t="inlineStr">
        <is>
          <t>LIVE — wired</t>
        </is>
      </c>
      <c r="J14" s="17" t="n"/>
      <c r="K14" s="21" t="inlineStr">
        <is>
          <t>—</t>
        </is>
      </c>
      <c r="L14" s="21" t="inlineStr">
        <is>
          <t>0.0, ±25%, ±50% (4)</t>
        </is>
      </c>
      <c r="M14" s="21" t="inlineStr">
        <is>
          <t>0.0</t>
        </is>
      </c>
      <c r="N14" s="21" t="inlineStr">
        <is>
          <t>threshold</t>
        </is>
      </c>
      <c r="O14" s="21" t="inlineStr">
        <is>
          <t>BANDAID_OFF_LOSER_RECOVER_PCT</t>
        </is>
      </c>
      <c r="P14" s="21" t="inlineStr">
        <is>
          <t>getattr(cfg,"BANDAID_OFF_LOSER_RECOVER_PCT")</t>
        </is>
      </c>
      <c r="Q14" t="inlineStr">
        <is>
          <t>NO</t>
        </is>
      </c>
    </row>
    <row r="15">
      <c r="A15" s="17" t="n">
        <v>4</v>
      </c>
      <c r="B15" s="18" t="inlineStr">
        <is>
          <t>BAND_ARROW_ENABLED</t>
        </is>
      </c>
      <c r="C15" s="19" t="inlineStr">
        <is>
          <t>False</t>
        </is>
      </c>
      <c r="D15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5" s="20" t="inlineStr">
        <is>
          <t>GLOBAL_CHECK, STOCKS_EXIT</t>
        </is>
      </c>
      <c r="F15" s="17" t="inlineStr">
        <is>
          <t>GLOBAL_CHECK, STOCKS_EXIT</t>
        </is>
      </c>
      <c r="G15" s="20" t="inlineStr">
        <is>
          <t>BAND_ARROW_ENABLED</t>
        </is>
      </c>
      <c r="H15" s="17" t="inlineStr">
        <is>
          <t>GENERAL</t>
        </is>
      </c>
      <c r="I15" s="17" t="inlineStr">
        <is>
          <t>LIVE — wired</t>
        </is>
      </c>
      <c r="J15" s="17" t="n"/>
      <c r="K15" s="21" t="inlineStr">
        <is>
          <t>—</t>
        </is>
      </c>
      <c r="L15" s="21" t="inlineStr">
        <is>
          <t>False, True (2)</t>
        </is>
      </c>
      <c r="M15" s="21" t="inlineStr">
        <is>
          <t>False</t>
        </is>
      </c>
      <c r="N15" s="21" t="inlineStr">
        <is>
          <t>bool gate</t>
        </is>
      </c>
      <c r="O15" s="21" t="inlineStr">
        <is>
          <t>BAND_ARROW_ENABLED</t>
        </is>
      </c>
      <c r="P15" s="21" t="inlineStr">
        <is>
          <t>getattr(cfg,"BAND_ARROW_ENABLED")</t>
        </is>
      </c>
      <c r="Q15" t="inlineStr">
        <is>
          <t>YES</t>
        </is>
      </c>
    </row>
    <row r="16">
      <c r="A16" s="17" t="n">
        <v>4</v>
      </c>
      <c r="B16" s="22" t="inlineStr">
        <is>
          <t>BAND_ARROW_ENABLED</t>
        </is>
      </c>
      <c r="C16" s="23" t="inlineStr">
        <is>
          <t>True</t>
        </is>
      </c>
      <c r="D16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6" s="20" t="inlineStr">
        <is>
          <t>GLOBAL_CHECK, STOCKS_EXIT</t>
        </is>
      </c>
      <c r="F16" s="17" t="inlineStr">
        <is>
          <t>GLOBAL_CHECK, STOCKS_EXIT</t>
        </is>
      </c>
      <c r="G16" s="20" t="inlineStr">
        <is>
          <t>BAND_ARROW_ENABLED</t>
        </is>
      </c>
      <c r="H16" s="17" t="inlineStr">
        <is>
          <t>GENERAL</t>
        </is>
      </c>
      <c r="I16" s="17" t="inlineStr">
        <is>
          <t>LIVE — wired</t>
        </is>
      </c>
      <c r="J16" s="17" t="n"/>
      <c r="K16" s="21" t="inlineStr">
        <is>
          <t>—</t>
        </is>
      </c>
      <c r="L16" s="21" t="inlineStr">
        <is>
          <t>False, True (2)</t>
        </is>
      </c>
      <c r="M16" s="21" t="inlineStr">
        <is>
          <t>False</t>
        </is>
      </c>
      <c r="N16" s="21" t="inlineStr">
        <is>
          <t>bool gate</t>
        </is>
      </c>
      <c r="O16" s="21" t="inlineStr">
        <is>
          <t>BAND_ARROW_ENABLED</t>
        </is>
      </c>
      <c r="P16" s="21" t="inlineStr">
        <is>
          <t>getattr(cfg,"BAND_ARROW_ENABLED")</t>
        </is>
      </c>
      <c r="Q16" t="inlineStr">
        <is>
          <t>NO</t>
        </is>
      </c>
    </row>
    <row r="17">
      <c r="A17" s="24" t="n">
        <v>5</v>
      </c>
      <c r="B17" s="25" t="inlineStr">
        <is>
          <t>BAR_PATTERNS_FILTER_TF</t>
        </is>
      </c>
      <c r="C17" s="23" t="inlineStr">
        <is>
          <t>OFF</t>
        </is>
      </c>
      <c r="D17" s="26" t="inlineStr">
        <is>
          <t>Requires bar-pattern (engulfing/pin) confirmation on given TFs before entry. | Live read: `_EXHAUSTIVE_FILTER_LIST_LIVE = ['ADAPTIVE_REGIME_DC_BREAKDOWN_THRESHOLD', 'ADAPT`</t>
        </is>
      </c>
      <c r="E17" s="26" t="inlineStr">
        <is>
          <t>GLOBAL_CHECK</t>
        </is>
      </c>
      <c r="F17" s="24" t="inlineStr">
        <is>
          <t>GLOBAL_CHECK</t>
        </is>
      </c>
      <c r="G17" s="26" t="inlineStr">
        <is>
          <t>BAR_PATTERNS</t>
        </is>
      </c>
      <c r="H17" s="24" t="inlineStr">
        <is>
          <t>SPECIFIC — only gated switches</t>
        </is>
      </c>
      <c r="I17" s="24" t="inlineStr">
        <is>
          <t>LIVE — wired</t>
        </is>
      </c>
      <c r="J17" s="24" t="n"/>
      <c r="K17" s="21" t="inlineStr">
        <is>
          <t>1/4</t>
        </is>
      </c>
      <c r="L17" s="21" t="inlineStr">
        <is>
          <t>OFF, 15m, 1h, 4h, D (5 options)</t>
        </is>
      </c>
      <c r="M17" s="21" t="inlineStr">
        <is>
          <t>15m</t>
        </is>
      </c>
      <c r="N17" s="21" t="inlineStr">
        <is>
          <t>TF selector</t>
        </is>
      </c>
      <c r="O17" s="21" t="inlineStr">
        <is>
          <t>BAR_PATTERNS_FILTER_TF</t>
        </is>
      </c>
      <c r="P17" s="21" t="inlineStr">
        <is>
          <t>getattr(cfg,"BAR_PATTERNS_FILTER_TF")</t>
        </is>
      </c>
      <c r="Q17" t="inlineStr">
        <is>
          <t>NO</t>
        </is>
      </c>
    </row>
    <row r="18">
      <c r="A18" s="24" t="n">
        <v>5</v>
      </c>
      <c r="B18" s="25" t="inlineStr">
        <is>
          <t>BAR_PATTERNS_FILTER_TF</t>
        </is>
      </c>
      <c r="C18" s="23" t="inlineStr">
        <is>
          <t>D</t>
        </is>
      </c>
      <c r="D18" s="26" t="inlineStr">
        <is>
          <t>Requires bar-pattern (engulfing/pin) confirmation on given TFs before entry. | Live read: `_EXHAUSTIVE_FILTER_LIST_LIVE = ['ADAPTIVE_REGIME_DC_BREAKDOWN_THRESHOLD', 'ADAPT`</t>
        </is>
      </c>
      <c r="E18" s="26" t="inlineStr">
        <is>
          <t>GLOBAL_CHECK</t>
        </is>
      </c>
      <c r="F18" s="24" t="inlineStr">
        <is>
          <t>GLOBAL_CHECK</t>
        </is>
      </c>
      <c r="G18" s="26" t="inlineStr">
        <is>
          <t>BAR_PATTERNS</t>
        </is>
      </c>
      <c r="H18" s="24" t="inlineStr">
        <is>
          <t>SPECIFIC — only gated switches</t>
        </is>
      </c>
      <c r="I18" s="24" t="inlineStr">
        <is>
          <t>LIVE — wired</t>
        </is>
      </c>
      <c r="J18" s="24" t="n"/>
      <c r="K18" s="21" t="inlineStr">
        <is>
          <t>1/4</t>
        </is>
      </c>
      <c r="L18" s="21" t="inlineStr">
        <is>
          <t>OFF, 15m, 1h, 4h, D (5 options)</t>
        </is>
      </c>
      <c r="M18" s="21" t="inlineStr">
        <is>
          <t>15m</t>
        </is>
      </c>
      <c r="N18" s="21" t="inlineStr">
        <is>
          <t>TF selector</t>
        </is>
      </c>
      <c r="O18" s="21" t="inlineStr">
        <is>
          <t>BAR_PATTERNS_FILTER_TF</t>
        </is>
      </c>
      <c r="P18" s="21" t="inlineStr">
        <is>
          <t>getattr(cfg,"BAR_PATTERNS_FILTER_TF")</t>
        </is>
      </c>
      <c r="Q18" t="inlineStr">
        <is>
          <t>NO</t>
        </is>
      </c>
    </row>
    <row r="19">
      <c r="A19" s="24" t="n">
        <v>5</v>
      </c>
      <c r="B19" s="25" t="inlineStr">
        <is>
          <t>BAR_PATTERNS_FILTER_TF</t>
        </is>
      </c>
      <c r="C19" s="23" t="inlineStr">
        <is>
          <t>4h</t>
        </is>
      </c>
      <c r="D19" s="26" t="inlineStr">
        <is>
          <t>Requires bar-pattern (engulfing/pin) confirmation on given TFs before entry. | Live read: `_EXHAUSTIVE_FILTER_LIST_LIVE = ['ADAPTIVE_REGIME_DC_BREAKDOWN_THRESHOLD', 'ADAPT`</t>
        </is>
      </c>
      <c r="E19" s="26" t="inlineStr">
        <is>
          <t>GLOBAL_CHECK</t>
        </is>
      </c>
      <c r="F19" s="24" t="inlineStr">
        <is>
          <t>GLOBAL_CHECK</t>
        </is>
      </c>
      <c r="G19" s="26" t="inlineStr">
        <is>
          <t>BAR_PATTERNS</t>
        </is>
      </c>
      <c r="H19" s="24" t="inlineStr">
        <is>
          <t>SPECIFIC — only gated switches</t>
        </is>
      </c>
      <c r="I19" s="24" t="inlineStr">
        <is>
          <t>LIVE — wired</t>
        </is>
      </c>
      <c r="J19" s="24" t="n"/>
      <c r="K19" s="21" t="inlineStr">
        <is>
          <t>1/4</t>
        </is>
      </c>
      <c r="L19" s="21" t="inlineStr">
        <is>
          <t>OFF, 15m, 1h, 4h, D (5 options)</t>
        </is>
      </c>
      <c r="M19" s="21" t="inlineStr">
        <is>
          <t>15m</t>
        </is>
      </c>
      <c r="N19" s="21" t="inlineStr">
        <is>
          <t>TF selector</t>
        </is>
      </c>
      <c r="O19" s="21" t="inlineStr">
        <is>
          <t>BAR_PATTERNS_FILTER_TF</t>
        </is>
      </c>
      <c r="P19" s="21" t="inlineStr">
        <is>
          <t>getattr(cfg,"BAR_PATTERNS_FILTER_TF")</t>
        </is>
      </c>
      <c r="Q19" t="inlineStr">
        <is>
          <t>NO</t>
        </is>
      </c>
    </row>
    <row r="20">
      <c r="A20" s="24" t="n">
        <v>5</v>
      </c>
      <c r="B20" s="25" t="inlineStr">
        <is>
          <t>BAR_PATTERNS_FILTER_TF</t>
        </is>
      </c>
      <c r="C20" s="23" t="inlineStr">
        <is>
          <t>1h</t>
        </is>
      </c>
      <c r="D20" s="26" t="inlineStr">
        <is>
          <t>Requires bar-pattern (engulfing/pin) confirmation on given TFs before entry. | Live read: `_EXHAUSTIVE_FILTER_LIST_LIVE = ['ADAPTIVE_REGIME_DC_BREAKDOWN_THRESHOLD', 'ADAPT`</t>
        </is>
      </c>
      <c r="E20" s="26" t="inlineStr">
        <is>
          <t>GLOBAL_CHECK</t>
        </is>
      </c>
      <c r="F20" s="24" t="inlineStr">
        <is>
          <t>GLOBAL_CHECK</t>
        </is>
      </c>
      <c r="G20" s="26" t="inlineStr">
        <is>
          <t>BAR_PATTERNS</t>
        </is>
      </c>
      <c r="H20" s="24" t="inlineStr">
        <is>
          <t>SPECIFIC — only gated switches</t>
        </is>
      </c>
      <c r="I20" s="24" t="inlineStr">
        <is>
          <t>LIVE — wired</t>
        </is>
      </c>
      <c r="J20" s="24" t="n"/>
      <c r="K20" s="21" t="inlineStr">
        <is>
          <t>1/4</t>
        </is>
      </c>
      <c r="L20" s="21" t="inlineStr">
        <is>
          <t>OFF, 15m, 1h, 4h, D (5 options)</t>
        </is>
      </c>
      <c r="M20" s="21" t="inlineStr">
        <is>
          <t>15m</t>
        </is>
      </c>
      <c r="N20" s="21" t="inlineStr">
        <is>
          <t>TF selector</t>
        </is>
      </c>
      <c r="O20" s="21" t="inlineStr">
        <is>
          <t>BAR_PATTERNS_FILTER_TF</t>
        </is>
      </c>
      <c r="P20" s="21" t="inlineStr">
        <is>
          <t>getattr(cfg,"BAR_PATTERNS_FILTER_TF")</t>
        </is>
      </c>
      <c r="Q20" t="inlineStr">
        <is>
          <t>NO</t>
        </is>
      </c>
    </row>
    <row r="21">
      <c r="A21" s="24" t="n">
        <v>5</v>
      </c>
      <c r="B21" s="27" t="inlineStr">
        <is>
          <t>BAR_PATTERNS_FILTER_TF</t>
        </is>
      </c>
      <c r="C21" s="19" t="inlineStr">
        <is>
          <t>15m</t>
        </is>
      </c>
      <c r="D21" s="26" t="inlineStr">
        <is>
          <t>Requires bar-pattern (engulfing/pin) confirmation on given TFs before entry. | Live read: `_EXHAUSTIVE_FILTER_LIST_LIVE = ['ADAPTIVE_REGIME_DC_BREAKDOWN_THRESHOLD', 'ADAPT`</t>
        </is>
      </c>
      <c r="E21" s="26" t="inlineStr">
        <is>
          <t>GLOBAL_CHECK</t>
        </is>
      </c>
      <c r="F21" s="24" t="inlineStr">
        <is>
          <t>GLOBAL_CHECK</t>
        </is>
      </c>
      <c r="G21" s="26" t="inlineStr">
        <is>
          <t>BAR_PATTERNS</t>
        </is>
      </c>
      <c r="H21" s="24" t="inlineStr">
        <is>
          <t>SPECIFIC — only gated switches</t>
        </is>
      </c>
      <c r="I21" s="24" t="inlineStr">
        <is>
          <t>LIVE — wired</t>
        </is>
      </c>
      <c r="J21" s="24" t="n"/>
      <c r="K21" s="21" t="inlineStr">
        <is>
          <t>1/4</t>
        </is>
      </c>
      <c r="L21" s="21" t="inlineStr">
        <is>
          <t>OFF, 15m, 1h, 4h, D (5 options)</t>
        </is>
      </c>
      <c r="M21" s="21" t="inlineStr">
        <is>
          <t>15m</t>
        </is>
      </c>
      <c r="N21" s="21" t="inlineStr">
        <is>
          <t>TF selector</t>
        </is>
      </c>
      <c r="O21" s="21" t="inlineStr">
        <is>
          <t>BAR_PATTERNS_FILTER_TF</t>
        </is>
      </c>
      <c r="P21" s="21" t="inlineStr">
        <is>
          <t>getattr(cfg,"BAR_PATTERNS_FILTER_TF")</t>
        </is>
      </c>
      <c r="Q21" t="inlineStr">
        <is>
          <t>YES</t>
        </is>
      </c>
    </row>
    <row r="22">
      <c r="A22" s="24" t="n">
        <v>6</v>
      </c>
      <c r="B22" s="25" t="inlineStr">
        <is>
          <t>BB_PULLBACK_GATE_FILTER_TF</t>
        </is>
      </c>
      <c r="C22" s="23" t="inlineStr">
        <is>
          <t>OFF</t>
        </is>
      </c>
      <c r="D22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2" s="26" t="inlineStr">
        <is>
          <t>GLOBAL_CHECK</t>
        </is>
      </c>
      <c r="F22" s="24" t="inlineStr">
        <is>
          <t>GLOBAL_CHECK</t>
        </is>
      </c>
      <c r="G22" s="26" t="inlineStr">
        <is>
          <t>BB pullback entries</t>
        </is>
      </c>
      <c r="H22" s="24" t="inlineStr">
        <is>
          <t>SPECIFIC — only gated switches</t>
        </is>
      </c>
      <c r="I22" s="24" t="inlineStr">
        <is>
          <t>LIVE — wired</t>
        </is>
      </c>
      <c r="J22" s="24" t="n"/>
      <c r="K22" s="21" t="inlineStr">
        <is>
          <t>1/4</t>
        </is>
      </c>
      <c r="L22" s="21" t="inlineStr">
        <is>
          <t>OFF, 15m, 1h, 4h, D (5 options)</t>
        </is>
      </c>
      <c r="M22" s="21" t="inlineStr">
        <is>
          <t>15m</t>
        </is>
      </c>
      <c r="N22" s="21" t="inlineStr">
        <is>
          <t>TF selector</t>
        </is>
      </c>
      <c r="O22" s="21" t="inlineStr">
        <is>
          <t>BB_PULLBACK_GATE_FILTER_TF</t>
        </is>
      </c>
      <c r="P22" s="21" t="inlineStr">
        <is>
          <t>getattr(cfg,"BB_PULLBACK_GATE_FILTER_TF")</t>
        </is>
      </c>
      <c r="Q22" t="inlineStr">
        <is>
          <t>NO</t>
        </is>
      </c>
    </row>
    <row r="23">
      <c r="A23" s="24" t="n">
        <v>6</v>
      </c>
      <c r="B23" s="25" t="inlineStr">
        <is>
          <t>BB_PULLBACK_GATE_FILTER_TF</t>
        </is>
      </c>
      <c r="C23" s="23" t="inlineStr">
        <is>
          <t>D</t>
        </is>
      </c>
      <c r="D23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3" s="26" t="inlineStr">
        <is>
          <t>GLOBAL_CHECK</t>
        </is>
      </c>
      <c r="F23" s="24" t="inlineStr">
        <is>
          <t>GLOBAL_CHECK</t>
        </is>
      </c>
      <c r="G23" s="26" t="inlineStr">
        <is>
          <t>BB pullback entries</t>
        </is>
      </c>
      <c r="H23" s="24" t="inlineStr">
        <is>
          <t>SPECIFIC — only gated switches</t>
        </is>
      </c>
      <c r="I23" s="24" t="inlineStr">
        <is>
          <t>LIVE — wired</t>
        </is>
      </c>
      <c r="J23" s="24" t="n"/>
      <c r="K23" s="21" t="inlineStr">
        <is>
          <t>1/4</t>
        </is>
      </c>
      <c r="L23" s="21" t="inlineStr">
        <is>
          <t>OFF, 15m, 1h, 4h, D (5 options)</t>
        </is>
      </c>
      <c r="M23" s="21" t="inlineStr">
        <is>
          <t>15m</t>
        </is>
      </c>
      <c r="N23" s="21" t="inlineStr">
        <is>
          <t>TF selector</t>
        </is>
      </c>
      <c r="O23" s="21" t="inlineStr">
        <is>
          <t>BB_PULLBACK_GATE_FILTER_TF</t>
        </is>
      </c>
      <c r="P23" s="21" t="inlineStr">
        <is>
          <t>getattr(cfg,"BB_PULLBACK_GATE_FILTER_TF")</t>
        </is>
      </c>
      <c r="Q23" t="inlineStr">
        <is>
          <t>NO</t>
        </is>
      </c>
    </row>
    <row r="24">
      <c r="A24" s="24" t="n">
        <v>6</v>
      </c>
      <c r="B24" s="25" t="inlineStr">
        <is>
          <t>BB_PULLBACK_GATE_FILTER_TF</t>
        </is>
      </c>
      <c r="C24" s="23" t="inlineStr">
        <is>
          <t>4h</t>
        </is>
      </c>
      <c r="D24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4" s="26" t="inlineStr">
        <is>
          <t>GLOBAL_CHECK</t>
        </is>
      </c>
      <c r="F24" s="24" t="inlineStr">
        <is>
          <t>GLOBAL_CHECK</t>
        </is>
      </c>
      <c r="G24" s="26" t="inlineStr">
        <is>
          <t>BB pullback entries</t>
        </is>
      </c>
      <c r="H24" s="24" t="inlineStr">
        <is>
          <t>SPECIFIC — only gated switches</t>
        </is>
      </c>
      <c r="I24" s="24" t="inlineStr">
        <is>
          <t>LIVE — wired</t>
        </is>
      </c>
      <c r="J24" s="24" t="n"/>
      <c r="K24" s="21" t="inlineStr">
        <is>
          <t>1/4</t>
        </is>
      </c>
      <c r="L24" s="21" t="inlineStr">
        <is>
          <t>OFF, 15m, 1h, 4h, D (5 options)</t>
        </is>
      </c>
      <c r="M24" s="21" t="inlineStr">
        <is>
          <t>15m</t>
        </is>
      </c>
      <c r="N24" s="21" t="inlineStr">
        <is>
          <t>TF selector</t>
        </is>
      </c>
      <c r="O24" s="21" t="inlineStr">
        <is>
          <t>BB_PULLBACK_GATE_FILTER_TF</t>
        </is>
      </c>
      <c r="P24" s="21" t="inlineStr">
        <is>
          <t>getattr(cfg,"BB_PULLBACK_GATE_FILTER_TF")</t>
        </is>
      </c>
      <c r="Q24" t="inlineStr">
        <is>
          <t>NO</t>
        </is>
      </c>
    </row>
    <row r="25">
      <c r="A25" s="24" t="n">
        <v>6</v>
      </c>
      <c r="B25" s="25" t="inlineStr">
        <is>
          <t>BB_PULLBACK_GATE_FILTER_TF</t>
        </is>
      </c>
      <c r="C25" s="23" t="inlineStr">
        <is>
          <t>1h</t>
        </is>
      </c>
      <c r="D25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5" s="26" t="inlineStr">
        <is>
          <t>GLOBAL_CHECK</t>
        </is>
      </c>
      <c r="F25" s="24" t="inlineStr">
        <is>
          <t>GLOBAL_CHECK</t>
        </is>
      </c>
      <c r="G25" s="26" t="inlineStr">
        <is>
          <t>BB pullback entries</t>
        </is>
      </c>
      <c r="H25" s="24" t="inlineStr">
        <is>
          <t>SPECIFIC — only gated switches</t>
        </is>
      </c>
      <c r="I25" s="24" t="inlineStr">
        <is>
          <t>LIVE — wired</t>
        </is>
      </c>
      <c r="J25" s="24" t="n"/>
      <c r="K25" s="21" t="inlineStr">
        <is>
          <t>1/4</t>
        </is>
      </c>
      <c r="L25" s="21" t="inlineStr">
        <is>
          <t>OFF, 15m, 1h, 4h, D (5 options)</t>
        </is>
      </c>
      <c r="M25" s="21" t="inlineStr">
        <is>
          <t>15m</t>
        </is>
      </c>
      <c r="N25" s="21" t="inlineStr">
        <is>
          <t>TF selector</t>
        </is>
      </c>
      <c r="O25" s="21" t="inlineStr">
        <is>
          <t>BB_PULLBACK_GATE_FILTER_TF</t>
        </is>
      </c>
      <c r="P25" s="21" t="inlineStr">
        <is>
          <t>getattr(cfg,"BB_PULLBACK_GATE_FILTER_TF")</t>
        </is>
      </c>
      <c r="Q25" t="inlineStr">
        <is>
          <t>NO</t>
        </is>
      </c>
    </row>
    <row r="26">
      <c r="A26" s="24" t="n">
        <v>6</v>
      </c>
      <c r="B26" s="27" t="inlineStr">
        <is>
          <t>BB_PULLBACK_GATE_FILTER_TF</t>
        </is>
      </c>
      <c r="C26" s="19" t="inlineStr">
        <is>
          <t>15m</t>
        </is>
      </c>
      <c r="D26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6" s="26" t="inlineStr">
        <is>
          <t>GLOBAL_CHECK</t>
        </is>
      </c>
      <c r="F26" s="24" t="inlineStr">
        <is>
          <t>GLOBAL_CHECK</t>
        </is>
      </c>
      <c r="G26" s="26" t="inlineStr">
        <is>
          <t>BB pullback entries</t>
        </is>
      </c>
      <c r="H26" s="24" t="inlineStr">
        <is>
          <t>SPECIFIC — only gated switches</t>
        </is>
      </c>
      <c r="I26" s="24" t="inlineStr">
        <is>
          <t>LIVE — wired</t>
        </is>
      </c>
      <c r="J26" s="24" t="n"/>
      <c r="K26" s="21" t="inlineStr">
        <is>
          <t>1/4</t>
        </is>
      </c>
      <c r="L26" s="21" t="inlineStr">
        <is>
          <t>OFF, 15m, 1h, 4h, D (5 options)</t>
        </is>
      </c>
      <c r="M26" s="21" t="inlineStr">
        <is>
          <t>15m</t>
        </is>
      </c>
      <c r="N26" s="21" t="inlineStr">
        <is>
          <t>TF selector</t>
        </is>
      </c>
      <c r="O26" s="21" t="inlineStr">
        <is>
          <t>BB_PULLBACK_GATE_FILTER_TF</t>
        </is>
      </c>
      <c r="P26" s="21" t="inlineStr">
        <is>
          <t>getattr(cfg,"BB_PULLBACK_GATE_FILTER_TF")</t>
        </is>
      </c>
      <c r="Q26" t="inlineStr">
        <is>
          <t>YES</t>
        </is>
      </c>
    </row>
    <row r="27">
      <c r="A27" s="24" t="n">
        <v>7</v>
      </c>
      <c r="B27" s="25" t="inlineStr">
        <is>
          <t>BB_RECOVERY_ENTRY_FILTER_TF</t>
        </is>
      </c>
      <c r="C27" s="23" t="inlineStr">
        <is>
          <t>OFF</t>
        </is>
      </c>
      <c r="D27" s="26" t="inlineStr">
        <is>
          <t>Requires BB recovery (price reclaiming mid-band) on FILTER_TF before pullback entry. | Live read: `_EXHAUSTIVE_ENTRY_LIST_LIVE = ['ADAPTIVE_REGIME_DC_BREAKOUT_THRESHOLD', 'BAND_AR`</t>
        </is>
      </c>
      <c r="E27" s="26" t="inlineStr">
        <is>
          <t>GLOBAL_CHECK</t>
        </is>
      </c>
      <c r="F27" s="24" t="inlineStr">
        <is>
          <t>GLOBAL_CHECK</t>
        </is>
      </c>
      <c r="G27" s="26" t="inlineStr">
        <is>
          <t>BB recovery</t>
        </is>
      </c>
      <c r="H27" s="24" t="inlineStr">
        <is>
          <t>SPECIFIC — only gated switches</t>
        </is>
      </c>
      <c r="I27" s="24" t="inlineStr">
        <is>
          <t>LIVE — wired</t>
        </is>
      </c>
      <c r="J27" s="24" t="n"/>
      <c r="K27" s="21" t="inlineStr">
        <is>
          <t>1/4</t>
        </is>
      </c>
      <c r="L27" s="21" t="inlineStr">
        <is>
          <t>OFF, 15m, 1h, 4h, D (5 options)</t>
        </is>
      </c>
      <c r="M27" s="21" t="inlineStr">
        <is>
          <t>15m</t>
        </is>
      </c>
      <c r="N27" s="21" t="inlineStr">
        <is>
          <t>TF selector</t>
        </is>
      </c>
      <c r="O27" s="21" t="inlineStr">
        <is>
          <t>BB_RECOVERY_ENTRY_FILTER_TF</t>
        </is>
      </c>
      <c r="P27" s="21" t="inlineStr">
        <is>
          <t>getattr(cfg,"BB_RECOVERY_ENTRY_FILTER_TF")</t>
        </is>
      </c>
      <c r="Q27" t="inlineStr">
        <is>
          <t>NO</t>
        </is>
      </c>
    </row>
    <row r="28">
      <c r="A28" s="24" t="n">
        <v>7</v>
      </c>
      <c r="B28" s="25" t="inlineStr">
        <is>
          <t>BB_RECOVERY_ENTRY_FILTER_TF</t>
        </is>
      </c>
      <c r="C28" s="23" t="inlineStr">
        <is>
          <t>D</t>
        </is>
      </c>
      <c r="D28" s="26" t="inlineStr">
        <is>
          <t>Requires BB recovery (price reclaiming mid-band) on FILTER_TF before pullback entry. | Live read: `_EXHAUSTIVE_ENTRY_LIST_LIVE = ['ADAPTIVE_REGIME_DC_BREAKOUT_THRESHOLD', 'BAND_AR`</t>
        </is>
      </c>
      <c r="E28" s="26" t="inlineStr">
        <is>
          <t>GLOBAL_CHECK</t>
        </is>
      </c>
      <c r="F28" s="24" t="inlineStr">
        <is>
          <t>GLOBAL_CHECK</t>
        </is>
      </c>
      <c r="G28" s="26" t="inlineStr">
        <is>
          <t>BB recovery</t>
        </is>
      </c>
      <c r="H28" s="24" t="inlineStr">
        <is>
          <t>SPECIFIC — only gated switches</t>
        </is>
      </c>
      <c r="I28" s="24" t="inlineStr">
        <is>
          <t>LIVE — wired</t>
        </is>
      </c>
      <c r="J28" s="24" t="n"/>
      <c r="K28" s="21" t="inlineStr">
        <is>
          <t>1/4</t>
        </is>
      </c>
      <c r="L28" s="21" t="inlineStr">
        <is>
          <t>OFF, 15m, 1h, 4h, D (5 options)</t>
        </is>
      </c>
      <c r="M28" s="21" t="inlineStr">
        <is>
          <t>15m</t>
        </is>
      </c>
      <c r="N28" s="21" t="inlineStr">
        <is>
          <t>TF selector</t>
        </is>
      </c>
      <c r="O28" s="21" t="inlineStr">
        <is>
          <t>BB_RECOVERY_ENTRY_FILTER_TF</t>
        </is>
      </c>
      <c r="P28" s="21" t="inlineStr">
        <is>
          <t>getattr(cfg,"BB_RECOVERY_ENTRY_FILTER_TF")</t>
        </is>
      </c>
      <c r="Q28" t="inlineStr">
        <is>
          <t>NO</t>
        </is>
      </c>
    </row>
    <row r="29">
      <c r="A29" s="24" t="n">
        <v>7</v>
      </c>
      <c r="B29" s="25" t="inlineStr">
        <is>
          <t>BB_RECOVERY_ENTRY_FILTER_TF</t>
        </is>
      </c>
      <c r="C29" s="23" t="inlineStr">
        <is>
          <t>4h</t>
        </is>
      </c>
      <c r="D29" s="26" t="inlineStr">
        <is>
          <t>Requires BB recovery (price reclaiming mid-band) on FILTER_TF before pullback entry. | Live read: `_EXHAUSTIVE_ENTRY_LIST_LIVE = ['ADAPTIVE_REGIME_DC_BREAKOUT_THRESHOLD', 'BAND_AR`</t>
        </is>
      </c>
      <c r="E29" s="26" t="inlineStr">
        <is>
          <t>GLOBAL_CHECK</t>
        </is>
      </c>
      <c r="F29" s="24" t="inlineStr">
        <is>
          <t>GLOBAL_CHECK</t>
        </is>
      </c>
      <c r="G29" s="26" t="inlineStr">
        <is>
          <t>BB recovery</t>
        </is>
      </c>
      <c r="H29" s="24" t="inlineStr">
        <is>
          <t>SPECIFIC — only gated switches</t>
        </is>
      </c>
      <c r="I29" s="24" t="inlineStr">
        <is>
          <t>LIVE — wired</t>
        </is>
      </c>
      <c r="J29" s="24" t="n"/>
      <c r="K29" s="21" t="inlineStr">
        <is>
          <t>1/4</t>
        </is>
      </c>
      <c r="L29" s="21" t="inlineStr">
        <is>
          <t>OFF, 15m, 1h, 4h, D (5 options)</t>
        </is>
      </c>
      <c r="M29" s="21" t="inlineStr">
        <is>
          <t>15m</t>
        </is>
      </c>
      <c r="N29" s="21" t="inlineStr">
        <is>
          <t>TF selector</t>
        </is>
      </c>
      <c r="O29" s="21" t="inlineStr">
        <is>
          <t>BB_RECOVERY_ENTRY_FILTER_TF</t>
        </is>
      </c>
      <c r="P29" s="21" t="inlineStr">
        <is>
          <t>getattr(cfg,"BB_RECOVERY_ENTRY_FILTER_TF")</t>
        </is>
      </c>
      <c r="Q29" t="inlineStr">
        <is>
          <t>NO</t>
        </is>
      </c>
    </row>
    <row r="30">
      <c r="A30" s="24" t="n">
        <v>7</v>
      </c>
      <c r="B30" s="25" t="inlineStr">
        <is>
          <t>BB_RECOVERY_ENTRY_FILTER_TF</t>
        </is>
      </c>
      <c r="C30" s="23" t="inlineStr">
        <is>
          <t>1h</t>
        </is>
      </c>
      <c r="D30" s="26" t="inlineStr">
        <is>
          <t>Requires BB recovery (price reclaiming mid-band) on FILTER_TF before pullback entry. | Live read: `_EXHAUSTIVE_ENTRY_LIST_LIVE = ['ADAPTIVE_REGIME_DC_BREAKOUT_THRESHOLD', 'BAND_AR`</t>
        </is>
      </c>
      <c r="E30" s="26" t="inlineStr">
        <is>
          <t>GLOBAL_CHECK</t>
        </is>
      </c>
      <c r="F30" s="24" t="inlineStr">
        <is>
          <t>GLOBAL_CHECK</t>
        </is>
      </c>
      <c r="G30" s="26" t="inlineStr">
        <is>
          <t>BB recovery</t>
        </is>
      </c>
      <c r="H30" s="24" t="inlineStr">
        <is>
          <t>SPECIFIC — only gated switches</t>
        </is>
      </c>
      <c r="I30" s="24" t="inlineStr">
        <is>
          <t>LIVE — wired</t>
        </is>
      </c>
      <c r="J30" s="24" t="n"/>
      <c r="K30" s="21" t="inlineStr">
        <is>
          <t>1/4</t>
        </is>
      </c>
      <c r="L30" s="21" t="inlineStr">
        <is>
          <t>OFF, 15m, 1h, 4h, D (5 options)</t>
        </is>
      </c>
      <c r="M30" s="21" t="inlineStr">
        <is>
          <t>15m</t>
        </is>
      </c>
      <c r="N30" s="21" t="inlineStr">
        <is>
          <t>TF selector</t>
        </is>
      </c>
      <c r="O30" s="21" t="inlineStr">
        <is>
          <t>BB_RECOVERY_ENTRY_FILTER_TF</t>
        </is>
      </c>
      <c r="P30" s="21" t="inlineStr">
        <is>
          <t>getattr(cfg,"BB_RECOVERY_ENTRY_FILTER_TF")</t>
        </is>
      </c>
      <c r="Q30" t="inlineStr">
        <is>
          <t>NO</t>
        </is>
      </c>
    </row>
    <row r="31">
      <c r="A31" s="24" t="n">
        <v>7</v>
      </c>
      <c r="B31" s="27" t="inlineStr">
        <is>
          <t>BB_RECOVERY_ENTRY_FILTER_TF</t>
        </is>
      </c>
      <c r="C31" s="19" t="inlineStr">
        <is>
          <t>15m</t>
        </is>
      </c>
      <c r="D31" s="26" t="inlineStr">
        <is>
          <t>Requires BB recovery (price reclaiming mid-band) on FILTER_TF before pullback entry. | Live read: `_EXHAUSTIVE_ENTRY_LIST_LIVE = ['ADAPTIVE_REGIME_DC_BREAKOUT_THRESHOLD', 'BAND_AR`</t>
        </is>
      </c>
      <c r="E31" s="26" t="inlineStr">
        <is>
          <t>GLOBAL_CHECK</t>
        </is>
      </c>
      <c r="F31" s="24" t="inlineStr">
        <is>
          <t>GLOBAL_CHECK</t>
        </is>
      </c>
      <c r="G31" s="26" t="inlineStr">
        <is>
          <t>BB recovery</t>
        </is>
      </c>
      <c r="H31" s="24" t="inlineStr">
        <is>
          <t>SPECIFIC — only gated switches</t>
        </is>
      </c>
      <c r="I31" s="24" t="inlineStr">
        <is>
          <t>LIVE — wired</t>
        </is>
      </c>
      <c r="J31" s="24" t="n"/>
      <c r="K31" s="21" t="inlineStr">
        <is>
          <t>1/4</t>
        </is>
      </c>
      <c r="L31" s="21" t="inlineStr">
        <is>
          <t>OFF, 15m, 1h, 4h, D (5 options)</t>
        </is>
      </c>
      <c r="M31" s="21" t="inlineStr">
        <is>
          <t>15m</t>
        </is>
      </c>
      <c r="N31" s="21" t="inlineStr">
        <is>
          <t>TF selector</t>
        </is>
      </c>
      <c r="O31" s="21" t="inlineStr">
        <is>
          <t>BB_RECOVERY_ENTRY_FILTER_TF</t>
        </is>
      </c>
      <c r="P31" s="21" t="inlineStr">
        <is>
          <t>getattr(cfg,"BB_RECOVERY_ENTRY_FILTER_TF")</t>
        </is>
      </c>
      <c r="Q31" t="inlineStr">
        <is>
          <t>YES</t>
        </is>
      </c>
    </row>
    <row r="32">
      <c r="A32" s="24" t="n">
        <v>8</v>
      </c>
      <c r="B32" s="25" t="inlineStr">
        <is>
          <t>BB_RECOVERY_FILTER_TF</t>
        </is>
      </c>
      <c r="C32" s="23" t="inlineStr">
        <is>
          <t>OFF</t>
        </is>
      </c>
      <c r="D32" s="26" t="inlineStr">
        <is>
          <t>Same as above but generic BB recovery gate (covers both entry &amp; reentry). | Live read: `_EXHAUSTIVE_FILTER_LIST_LIVE = ['ADAPTIVE_REGIME_DC_BREAKDOWN_THRESHOLD', 'ADAPT`</t>
        </is>
      </c>
      <c r="E32" s="26" t="inlineStr">
        <is>
          <t>GLOBAL_CHECK</t>
        </is>
      </c>
      <c r="F32" s="24" t="inlineStr">
        <is>
          <t>GLOBAL_CHECK</t>
        </is>
      </c>
      <c r="G32" s="26" t="inlineStr">
        <is>
          <t>BB recovery</t>
        </is>
      </c>
      <c r="H32" s="24" t="inlineStr">
        <is>
          <t>SPECIFIC — only gated switches</t>
        </is>
      </c>
      <c r="I32" s="24" t="inlineStr">
        <is>
          <t>LIVE — wired</t>
        </is>
      </c>
      <c r="J32" s="24" t="n"/>
      <c r="K32" s="21" t="inlineStr">
        <is>
          <t>1/4</t>
        </is>
      </c>
      <c r="L32" s="21" t="inlineStr">
        <is>
          <t>OFF, 15m, 1h, 4h, D (5 options)</t>
        </is>
      </c>
      <c r="M32" s="21" t="inlineStr">
        <is>
          <t>15m</t>
        </is>
      </c>
      <c r="N32" s="21" t="inlineStr">
        <is>
          <t>TF selector</t>
        </is>
      </c>
      <c r="O32" s="21" t="inlineStr">
        <is>
          <t>BB_RECOVERY_FILTER_TF</t>
        </is>
      </c>
      <c r="P32" s="21" t="inlineStr">
        <is>
          <t>getattr(cfg,"BB_RECOVERY_FILTER_TF")</t>
        </is>
      </c>
      <c r="Q32" t="inlineStr">
        <is>
          <t>NO</t>
        </is>
      </c>
    </row>
    <row r="33">
      <c r="A33" s="24" t="n">
        <v>8</v>
      </c>
      <c r="B33" s="25" t="inlineStr">
        <is>
          <t>BB_RECOVERY_FILTER_TF</t>
        </is>
      </c>
      <c r="C33" s="23" t="inlineStr">
        <is>
          <t>D</t>
        </is>
      </c>
      <c r="D33" s="26" t="inlineStr">
        <is>
          <t>Same as above but generic BB recovery gate (covers both entry &amp; reentry). | Live read: `_EXHAUSTIVE_FILTER_LIST_LIVE = ['ADAPTIVE_REGIME_DC_BREAKDOWN_THRESHOLD', 'ADAPT`</t>
        </is>
      </c>
      <c r="E33" s="26" t="inlineStr">
        <is>
          <t>GLOBAL_CHECK</t>
        </is>
      </c>
      <c r="F33" s="24" t="inlineStr">
        <is>
          <t>GLOBAL_CHECK</t>
        </is>
      </c>
      <c r="G33" s="26" t="inlineStr">
        <is>
          <t>BB recovery</t>
        </is>
      </c>
      <c r="H33" s="24" t="inlineStr">
        <is>
          <t>SPECIFIC — only gated switches</t>
        </is>
      </c>
      <c r="I33" s="24" t="inlineStr">
        <is>
          <t>LIVE — wired</t>
        </is>
      </c>
      <c r="J33" s="24" t="n"/>
      <c r="K33" s="21" t="inlineStr">
        <is>
          <t>1/4</t>
        </is>
      </c>
      <c r="L33" s="21" t="inlineStr">
        <is>
          <t>OFF, 15m, 1h, 4h, D (5 options)</t>
        </is>
      </c>
      <c r="M33" s="21" t="inlineStr">
        <is>
          <t>15m</t>
        </is>
      </c>
      <c r="N33" s="21" t="inlineStr">
        <is>
          <t>TF selector</t>
        </is>
      </c>
      <c r="O33" s="21" t="inlineStr">
        <is>
          <t>BB_RECOVERY_FILTER_TF</t>
        </is>
      </c>
      <c r="P33" s="21" t="inlineStr">
        <is>
          <t>getattr(cfg,"BB_RECOVERY_FILTER_TF")</t>
        </is>
      </c>
      <c r="Q33" t="inlineStr">
        <is>
          <t>NO</t>
        </is>
      </c>
    </row>
    <row r="34">
      <c r="A34" s="24" t="n">
        <v>8</v>
      </c>
      <c r="B34" s="25" t="inlineStr">
        <is>
          <t>BB_RECOVERY_FILTER_TF</t>
        </is>
      </c>
      <c r="C34" s="23" t="inlineStr">
        <is>
          <t>4h</t>
        </is>
      </c>
      <c r="D34" s="26" t="inlineStr">
        <is>
          <t>Same as above but generic BB recovery gate (covers both entry &amp; reentry). | Live read: `_EXHAUSTIVE_FILTER_LIST_LIVE = ['ADAPTIVE_REGIME_DC_BREAKDOWN_THRESHOLD', 'ADAPT`</t>
        </is>
      </c>
      <c r="E34" s="26" t="inlineStr">
        <is>
          <t>GLOBAL_CHECK</t>
        </is>
      </c>
      <c r="F34" s="24" t="inlineStr">
        <is>
          <t>GLOBAL_CHECK</t>
        </is>
      </c>
      <c r="G34" s="26" t="inlineStr">
        <is>
          <t>BB recovery</t>
        </is>
      </c>
      <c r="H34" s="24" t="inlineStr">
        <is>
          <t>SPECIFIC — only gated switches</t>
        </is>
      </c>
      <c r="I34" s="24" t="inlineStr">
        <is>
          <t>LIVE — wired</t>
        </is>
      </c>
      <c r="J34" s="24" t="n"/>
      <c r="K34" s="21" t="inlineStr">
        <is>
          <t>1/4</t>
        </is>
      </c>
      <c r="L34" s="21" t="inlineStr">
        <is>
          <t>OFF, 15m, 1h, 4h, D (5 options)</t>
        </is>
      </c>
      <c r="M34" s="21" t="inlineStr">
        <is>
          <t>15m</t>
        </is>
      </c>
      <c r="N34" s="21" t="inlineStr">
        <is>
          <t>TF selector</t>
        </is>
      </c>
      <c r="O34" s="21" t="inlineStr">
        <is>
          <t>BB_RECOVERY_FILTER_TF</t>
        </is>
      </c>
      <c r="P34" s="21" t="inlineStr">
        <is>
          <t>getattr(cfg,"BB_RECOVERY_FILTER_TF")</t>
        </is>
      </c>
      <c r="Q34" t="inlineStr">
        <is>
          <t>NO</t>
        </is>
      </c>
    </row>
    <row r="35">
      <c r="A35" s="24" t="n">
        <v>8</v>
      </c>
      <c r="B35" s="25" t="inlineStr">
        <is>
          <t>BB_RECOVERY_FILTER_TF</t>
        </is>
      </c>
      <c r="C35" s="23" t="inlineStr">
        <is>
          <t>1h</t>
        </is>
      </c>
      <c r="D35" s="26" t="inlineStr">
        <is>
          <t>Same as above but generic BB recovery gate (covers both entry &amp; reentry). | Live read: `_EXHAUSTIVE_FILTER_LIST_LIVE = ['ADAPTIVE_REGIME_DC_BREAKDOWN_THRESHOLD', 'ADAPT`</t>
        </is>
      </c>
      <c r="E35" s="26" t="inlineStr">
        <is>
          <t>GLOBAL_CHECK</t>
        </is>
      </c>
      <c r="F35" s="24" t="inlineStr">
        <is>
          <t>GLOBAL_CHECK</t>
        </is>
      </c>
      <c r="G35" s="26" t="inlineStr">
        <is>
          <t>BB recovery</t>
        </is>
      </c>
      <c r="H35" s="24" t="inlineStr">
        <is>
          <t>SPECIFIC — only gated switches</t>
        </is>
      </c>
      <c r="I35" s="24" t="inlineStr">
        <is>
          <t>LIVE — wired</t>
        </is>
      </c>
      <c r="J35" s="24" t="n"/>
      <c r="K35" s="21" t="inlineStr">
        <is>
          <t>1/4</t>
        </is>
      </c>
      <c r="L35" s="21" t="inlineStr">
        <is>
          <t>OFF, 15m, 1h, 4h, D (5 options)</t>
        </is>
      </c>
      <c r="M35" s="21" t="inlineStr">
        <is>
          <t>15m</t>
        </is>
      </c>
      <c r="N35" s="21" t="inlineStr">
        <is>
          <t>TF selector</t>
        </is>
      </c>
      <c r="O35" s="21" t="inlineStr">
        <is>
          <t>BB_RECOVERY_FILTER_TF</t>
        </is>
      </c>
      <c r="P35" s="21" t="inlineStr">
        <is>
          <t>getattr(cfg,"BB_RECOVERY_FILTER_TF")</t>
        </is>
      </c>
      <c r="Q35" t="inlineStr">
        <is>
          <t>NO</t>
        </is>
      </c>
    </row>
    <row r="36">
      <c r="A36" s="24" t="n">
        <v>8</v>
      </c>
      <c r="B36" s="27" t="inlineStr">
        <is>
          <t>BB_RECOVERY_FILTER_TF</t>
        </is>
      </c>
      <c r="C36" s="19" t="inlineStr">
        <is>
          <t>15m</t>
        </is>
      </c>
      <c r="D36" s="26" t="inlineStr">
        <is>
          <t>Same as above but generic BB recovery gate (covers both entry &amp; reentry). | Live read: `_EXHAUSTIVE_FILTER_LIST_LIVE = ['ADAPTIVE_REGIME_DC_BREAKDOWN_THRESHOLD', 'ADAPT`</t>
        </is>
      </c>
      <c r="E36" s="26" t="inlineStr">
        <is>
          <t>GLOBAL_CHECK</t>
        </is>
      </c>
      <c r="F36" s="24" t="inlineStr">
        <is>
          <t>GLOBAL_CHECK</t>
        </is>
      </c>
      <c r="G36" s="26" t="inlineStr">
        <is>
          <t>BB recovery</t>
        </is>
      </c>
      <c r="H36" s="24" t="inlineStr">
        <is>
          <t>SPECIFIC — only gated switches</t>
        </is>
      </c>
      <c r="I36" s="24" t="inlineStr">
        <is>
          <t>LIVE — wired</t>
        </is>
      </c>
      <c r="J36" s="24" t="n"/>
      <c r="K36" s="21" t="inlineStr">
        <is>
          <t>1/4</t>
        </is>
      </c>
      <c r="L36" s="21" t="inlineStr">
        <is>
          <t>OFF, 15m, 1h, 4h, D (5 options)</t>
        </is>
      </c>
      <c r="M36" s="21" t="inlineStr">
        <is>
          <t>15m</t>
        </is>
      </c>
      <c r="N36" s="21" t="inlineStr">
        <is>
          <t>TF selector</t>
        </is>
      </c>
      <c r="O36" s="21" t="inlineStr">
        <is>
          <t>BB_RECOVERY_FILTER_TF</t>
        </is>
      </c>
      <c r="P36" s="21" t="inlineStr">
        <is>
          <t>getattr(cfg,"BB_RECOVERY_FILTER_TF")</t>
        </is>
      </c>
      <c r="Q36" t="inlineStr">
        <is>
          <t>YES</t>
        </is>
      </c>
    </row>
    <row r="37">
      <c r="A37" s="24" t="n">
        <v>9</v>
      </c>
      <c r="B37" s="25" t="inlineStr">
        <is>
          <t>BREAKEVEN_GAIN_EROSION_FILTER_TF</t>
        </is>
      </c>
      <c r="C37" s="23" t="inlineStr">
        <is>
          <t>OFF</t>
        </is>
      </c>
      <c r="D37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7" s="26" t="inlineStr">
        <is>
          <t>GLOBAL_CHECK</t>
        </is>
      </c>
      <c r="F37" s="24" t="inlineStr">
        <is>
          <t>GLOBAL_CHECK</t>
        </is>
      </c>
      <c r="G37" s="26" t="inlineStr">
        <is>
          <t>BREAKEVEN_GAIN_EROSION</t>
        </is>
      </c>
      <c r="H37" s="24" t="inlineStr">
        <is>
          <t>SPECIFIC — only gated switches</t>
        </is>
      </c>
      <c r="I37" s="24" t="inlineStr">
        <is>
          <t>LIVE — wired</t>
        </is>
      </c>
      <c r="J37" s="24" t="n"/>
      <c r="K37" s="21" t="inlineStr">
        <is>
          <t>1/4</t>
        </is>
      </c>
      <c r="L37" s="21" t="inlineStr">
        <is>
          <t>OFF, 15m, 1h, 4h, D (5 options)</t>
        </is>
      </c>
      <c r="M37" s="21" t="inlineStr">
        <is>
          <t>15m</t>
        </is>
      </c>
      <c r="N37" s="21" t="inlineStr">
        <is>
          <t>TF selector</t>
        </is>
      </c>
      <c r="O37" s="21" t="inlineStr">
        <is>
          <t>BREAKEVEN_GAIN_EROSION_FILTER_TF</t>
        </is>
      </c>
      <c r="P37" s="21" t="inlineStr">
        <is>
          <t>getattr(cfg,"BREAKEVEN_GAIN_EROSION_FILTER_TF")</t>
        </is>
      </c>
      <c r="Q37" t="inlineStr">
        <is>
          <t>NO</t>
        </is>
      </c>
    </row>
    <row r="38">
      <c r="A38" s="24" t="n">
        <v>9</v>
      </c>
      <c r="B38" s="25" t="inlineStr">
        <is>
          <t>BREAKEVEN_GAIN_EROSION_FILTER_TF</t>
        </is>
      </c>
      <c r="C38" s="23" t="inlineStr">
        <is>
          <t>D</t>
        </is>
      </c>
      <c r="D38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8" s="26" t="inlineStr">
        <is>
          <t>GLOBAL_CHECK</t>
        </is>
      </c>
      <c r="F38" s="24" t="inlineStr">
        <is>
          <t>GLOBAL_CHECK</t>
        </is>
      </c>
      <c r="G38" s="26" t="inlineStr">
        <is>
          <t>BREAKEVEN_GAIN_EROSION</t>
        </is>
      </c>
      <c r="H38" s="24" t="inlineStr">
        <is>
          <t>SPECIFIC — only gated switches</t>
        </is>
      </c>
      <c r="I38" s="24" t="inlineStr">
        <is>
          <t>LIVE — wired</t>
        </is>
      </c>
      <c r="J38" s="24" t="n"/>
      <c r="K38" s="21" t="inlineStr">
        <is>
          <t>1/4</t>
        </is>
      </c>
      <c r="L38" s="21" t="inlineStr">
        <is>
          <t>OFF, 15m, 1h, 4h, D (5 options)</t>
        </is>
      </c>
      <c r="M38" s="21" t="inlineStr">
        <is>
          <t>15m</t>
        </is>
      </c>
      <c r="N38" s="21" t="inlineStr">
        <is>
          <t>TF selector</t>
        </is>
      </c>
      <c r="O38" s="21" t="inlineStr">
        <is>
          <t>BREAKEVEN_GAIN_EROSION_FILTER_TF</t>
        </is>
      </c>
      <c r="P38" s="21" t="inlineStr">
        <is>
          <t>getattr(cfg,"BREAKEVEN_GAIN_EROSION_FILTER_TF")</t>
        </is>
      </c>
      <c r="Q38" t="inlineStr">
        <is>
          <t>NO</t>
        </is>
      </c>
    </row>
    <row r="39">
      <c r="A39" s="24" t="n">
        <v>9</v>
      </c>
      <c r="B39" s="25" t="inlineStr">
        <is>
          <t>BREAKEVEN_GAIN_EROSION_FILTER_TF</t>
        </is>
      </c>
      <c r="C39" s="23" t="inlineStr">
        <is>
          <t>4h</t>
        </is>
      </c>
      <c r="D39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9" s="26" t="inlineStr">
        <is>
          <t>GLOBAL_CHECK</t>
        </is>
      </c>
      <c r="F39" s="24" t="inlineStr">
        <is>
          <t>GLOBAL_CHECK</t>
        </is>
      </c>
      <c r="G39" s="26" t="inlineStr">
        <is>
          <t>BREAKEVEN_GAIN_EROSION</t>
        </is>
      </c>
      <c r="H39" s="24" t="inlineStr">
        <is>
          <t>SPECIFIC — only gated switches</t>
        </is>
      </c>
      <c r="I39" s="24" t="inlineStr">
        <is>
          <t>LIVE — wired</t>
        </is>
      </c>
      <c r="J39" s="24" t="n"/>
      <c r="K39" s="21" t="inlineStr">
        <is>
          <t>1/4</t>
        </is>
      </c>
      <c r="L39" s="21" t="inlineStr">
        <is>
          <t>OFF, 15m, 1h, 4h, D (5 options)</t>
        </is>
      </c>
      <c r="M39" s="21" t="inlineStr">
        <is>
          <t>15m</t>
        </is>
      </c>
      <c r="N39" s="21" t="inlineStr">
        <is>
          <t>TF selector</t>
        </is>
      </c>
      <c r="O39" s="21" t="inlineStr">
        <is>
          <t>BREAKEVEN_GAIN_EROSION_FILTER_TF</t>
        </is>
      </c>
      <c r="P39" s="21" t="inlineStr">
        <is>
          <t>getattr(cfg,"BREAKEVEN_GAIN_EROSION_FILTER_TF")</t>
        </is>
      </c>
      <c r="Q39" t="inlineStr">
        <is>
          <t>NO</t>
        </is>
      </c>
    </row>
    <row r="40">
      <c r="A40" s="24" t="n">
        <v>9</v>
      </c>
      <c r="B40" s="25" t="inlineStr">
        <is>
          <t>BREAKEVEN_GAIN_EROSION_FILTER_TF</t>
        </is>
      </c>
      <c r="C40" s="23" t="inlineStr">
        <is>
          <t>1h</t>
        </is>
      </c>
      <c r="D40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0" s="26" t="inlineStr">
        <is>
          <t>GLOBAL_CHECK</t>
        </is>
      </c>
      <c r="F40" s="24" t="inlineStr">
        <is>
          <t>GLOBAL_CHECK</t>
        </is>
      </c>
      <c r="G40" s="26" t="inlineStr">
        <is>
          <t>BREAKEVEN_GAIN_EROSION</t>
        </is>
      </c>
      <c r="H40" s="24" t="inlineStr">
        <is>
          <t>SPECIFIC — only gated switches</t>
        </is>
      </c>
      <c r="I40" s="24" t="inlineStr">
        <is>
          <t>LIVE — wired</t>
        </is>
      </c>
      <c r="J40" s="24" t="n"/>
      <c r="K40" s="21" t="inlineStr">
        <is>
          <t>1/4</t>
        </is>
      </c>
      <c r="L40" s="21" t="inlineStr">
        <is>
          <t>OFF, 15m, 1h, 4h, D (5 options)</t>
        </is>
      </c>
      <c r="M40" s="21" t="inlineStr">
        <is>
          <t>15m</t>
        </is>
      </c>
      <c r="N40" s="21" t="inlineStr">
        <is>
          <t>TF selector</t>
        </is>
      </c>
      <c r="O40" s="21" t="inlineStr">
        <is>
          <t>BREAKEVEN_GAIN_EROSION_FILTER_TF</t>
        </is>
      </c>
      <c r="P40" s="21" t="inlineStr">
        <is>
          <t>getattr(cfg,"BREAKEVEN_GAIN_EROSION_FILTER_TF")</t>
        </is>
      </c>
      <c r="Q40" t="inlineStr">
        <is>
          <t>NO</t>
        </is>
      </c>
    </row>
    <row r="41">
      <c r="A41" s="24" t="n">
        <v>9</v>
      </c>
      <c r="B41" s="27" t="inlineStr">
        <is>
          <t>BREAKEVEN_GAIN_EROSION_FILTER_TF</t>
        </is>
      </c>
      <c r="C41" s="19" t="inlineStr">
        <is>
          <t>15m</t>
        </is>
      </c>
      <c r="D41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1" s="26" t="inlineStr">
        <is>
          <t>GLOBAL_CHECK</t>
        </is>
      </c>
      <c r="F41" s="24" t="inlineStr">
        <is>
          <t>GLOBAL_CHECK</t>
        </is>
      </c>
      <c r="G41" s="26" t="inlineStr">
        <is>
          <t>BREAKEVEN_GAIN_EROSION</t>
        </is>
      </c>
      <c r="H41" s="24" t="inlineStr">
        <is>
          <t>SPECIFIC — only gated switches</t>
        </is>
      </c>
      <c r="I41" s="24" t="inlineStr">
        <is>
          <t>LIVE — wired</t>
        </is>
      </c>
      <c r="J41" s="24" t="n"/>
      <c r="K41" s="21" t="inlineStr">
        <is>
          <t>1/4</t>
        </is>
      </c>
      <c r="L41" s="21" t="inlineStr">
        <is>
          <t>OFF, 15m, 1h, 4h, D (5 options)</t>
        </is>
      </c>
      <c r="M41" s="21" t="inlineStr">
        <is>
          <t>15m</t>
        </is>
      </c>
      <c r="N41" s="21" t="inlineStr">
        <is>
          <t>TF selector</t>
        </is>
      </c>
      <c r="O41" s="21" t="inlineStr">
        <is>
          <t>BREAKEVEN_GAIN_EROSION_FILTER_TF</t>
        </is>
      </c>
      <c r="P41" s="21" t="inlineStr">
        <is>
          <t>getattr(cfg,"BREAKEVEN_GAIN_EROSION_FILTER_TF")</t>
        </is>
      </c>
      <c r="Q41" t="inlineStr">
        <is>
          <t>YES</t>
        </is>
      </c>
    </row>
    <row r="42">
      <c r="A42" s="24" t="n">
        <v>10</v>
      </c>
      <c r="B42" s="25" t="inlineStr">
        <is>
          <t>BREAKOUT_RETEST_FILTER_TF</t>
        </is>
      </c>
      <c r="C42" s="23" t="inlineStr">
        <is>
          <t>OFF</t>
        </is>
      </c>
      <c r="D42" s="26" t="inlineStr">
        <is>
          <t>Breakout filter: after DC/BB breakout, requires retest hold on FILTER_TF before entry. | Live read: `UM_CHECK_ENABLED', 'BREAKOUT_HTF_MIN_ALIGNED', 'BREAKOUT_INJECT_LIVE', 'BREAKOUT`</t>
        </is>
      </c>
      <c r="E42" s="26" t="inlineStr">
        <is>
          <t>GLOBAL_CHECK</t>
        </is>
      </c>
      <c r="F42" s="24" t="inlineStr">
        <is>
          <t>GLOBAL_CHECK</t>
        </is>
      </c>
      <c r="G42" s="26" t="inlineStr">
        <is>
          <t>Breakout retest</t>
        </is>
      </c>
      <c r="H42" s="24" t="inlineStr">
        <is>
          <t>SPECIFIC — only gated switches</t>
        </is>
      </c>
      <c r="I42" s="24" t="inlineStr">
        <is>
          <t>LIVE — wired</t>
        </is>
      </c>
      <c r="J42" s="24" t="n"/>
      <c r="K42" s="21" t="inlineStr">
        <is>
          <t>1/4</t>
        </is>
      </c>
      <c r="L42" s="21" t="inlineStr">
        <is>
          <t>OFF, 15m, 1h, 4h, D (5 options)</t>
        </is>
      </c>
      <c r="M42" s="21" t="inlineStr">
        <is>
          <t>15m</t>
        </is>
      </c>
      <c r="N42" s="21" t="inlineStr">
        <is>
          <t>TF selector</t>
        </is>
      </c>
      <c r="O42" s="21" t="inlineStr">
        <is>
          <t>BREAKOUT_RETEST_FILTER_TF</t>
        </is>
      </c>
      <c r="P42" s="21" t="inlineStr">
        <is>
          <t>getattr(cfg,"BREAKOUT_RETEST_FILTER_TF")</t>
        </is>
      </c>
      <c r="Q42" t="inlineStr">
        <is>
          <t>NO</t>
        </is>
      </c>
    </row>
    <row r="43">
      <c r="A43" s="24" t="n">
        <v>10</v>
      </c>
      <c r="B43" s="25" t="inlineStr">
        <is>
          <t>BREAKOUT_RETEST_FILTER_TF</t>
        </is>
      </c>
      <c r="C43" s="23" t="inlineStr">
        <is>
          <t>D</t>
        </is>
      </c>
      <c r="D43" s="26" t="inlineStr">
        <is>
          <t>Breakout filter: after DC/BB breakout, requires retest hold on FILTER_TF before entry. | Live read: `UM_CHECK_ENABLED', 'BREAKOUT_HTF_MIN_ALIGNED', 'BREAKOUT_INJECT_LIVE', 'BREAKOUT`</t>
        </is>
      </c>
      <c r="E43" s="26" t="inlineStr">
        <is>
          <t>GLOBAL_CHECK</t>
        </is>
      </c>
      <c r="F43" s="24" t="inlineStr">
        <is>
          <t>GLOBAL_CHECK</t>
        </is>
      </c>
      <c r="G43" s="26" t="inlineStr">
        <is>
          <t>Breakout retest</t>
        </is>
      </c>
      <c r="H43" s="24" t="inlineStr">
        <is>
          <t>SPECIFIC — only gated switches</t>
        </is>
      </c>
      <c r="I43" s="24" t="inlineStr">
        <is>
          <t>LIVE — wired</t>
        </is>
      </c>
      <c r="J43" s="24" t="n"/>
      <c r="K43" s="21" t="inlineStr">
        <is>
          <t>1/4</t>
        </is>
      </c>
      <c r="L43" s="21" t="inlineStr">
        <is>
          <t>OFF, 15m, 1h, 4h, D (5 options)</t>
        </is>
      </c>
      <c r="M43" s="21" t="inlineStr">
        <is>
          <t>15m</t>
        </is>
      </c>
      <c r="N43" s="21" t="inlineStr">
        <is>
          <t>TF selector</t>
        </is>
      </c>
      <c r="O43" s="21" t="inlineStr">
        <is>
          <t>BREAKOUT_RETEST_FILTER_TF</t>
        </is>
      </c>
      <c r="P43" s="21" t="inlineStr">
        <is>
          <t>getattr(cfg,"BREAKOUT_RETEST_FILTER_TF")</t>
        </is>
      </c>
      <c r="Q43" t="inlineStr">
        <is>
          <t>NO</t>
        </is>
      </c>
    </row>
    <row r="44">
      <c r="A44" s="24" t="n">
        <v>10</v>
      </c>
      <c r="B44" s="25" t="inlineStr">
        <is>
          <t>BREAKOUT_RETEST_FILTER_TF</t>
        </is>
      </c>
      <c r="C44" s="23" t="inlineStr">
        <is>
          <t>4h</t>
        </is>
      </c>
      <c r="D44" s="26" t="inlineStr">
        <is>
          <t>Breakout filter: after DC/BB breakout, requires retest hold on FILTER_TF before entry. | Live read: `UM_CHECK_ENABLED', 'BREAKOUT_HTF_MIN_ALIGNED', 'BREAKOUT_INJECT_LIVE', 'BREAKOUT`</t>
        </is>
      </c>
      <c r="E44" s="26" t="inlineStr">
        <is>
          <t>GLOBAL_CHECK</t>
        </is>
      </c>
      <c r="F44" s="24" t="inlineStr">
        <is>
          <t>GLOBAL_CHECK</t>
        </is>
      </c>
      <c r="G44" s="26" t="inlineStr">
        <is>
          <t>Breakout retest</t>
        </is>
      </c>
      <c r="H44" s="24" t="inlineStr">
        <is>
          <t>SPECIFIC — only gated switches</t>
        </is>
      </c>
      <c r="I44" s="24" t="inlineStr">
        <is>
          <t>LIVE — wired</t>
        </is>
      </c>
      <c r="J44" s="24" t="n"/>
      <c r="K44" s="21" t="inlineStr">
        <is>
          <t>1/4</t>
        </is>
      </c>
      <c r="L44" s="21" t="inlineStr">
        <is>
          <t>OFF, 15m, 1h, 4h, D (5 options)</t>
        </is>
      </c>
      <c r="M44" s="21" t="inlineStr">
        <is>
          <t>15m</t>
        </is>
      </c>
      <c r="N44" s="21" t="inlineStr">
        <is>
          <t>TF selector</t>
        </is>
      </c>
      <c r="O44" s="21" t="inlineStr">
        <is>
          <t>BREAKOUT_RETEST_FILTER_TF</t>
        </is>
      </c>
      <c r="P44" s="21" t="inlineStr">
        <is>
          <t>getattr(cfg,"BREAKOUT_RETEST_FILTER_TF")</t>
        </is>
      </c>
      <c r="Q44" t="inlineStr">
        <is>
          <t>NO</t>
        </is>
      </c>
    </row>
    <row r="45">
      <c r="A45" s="24" t="n">
        <v>10</v>
      </c>
      <c r="B45" s="25" t="inlineStr">
        <is>
          <t>BREAKOUT_RETEST_FILTER_TF</t>
        </is>
      </c>
      <c r="C45" s="23" t="inlineStr">
        <is>
          <t>1h</t>
        </is>
      </c>
      <c r="D45" s="26" t="inlineStr">
        <is>
          <t>Breakout filter: after DC/BB breakout, requires retest hold on FILTER_TF before entry. | Live read: `UM_CHECK_ENABLED', 'BREAKOUT_HTF_MIN_ALIGNED', 'BREAKOUT_INJECT_LIVE', 'BREAKOUT`</t>
        </is>
      </c>
      <c r="E45" s="26" t="inlineStr">
        <is>
          <t>GLOBAL_CHECK</t>
        </is>
      </c>
      <c r="F45" s="24" t="inlineStr">
        <is>
          <t>GLOBAL_CHECK</t>
        </is>
      </c>
      <c r="G45" s="26" t="inlineStr">
        <is>
          <t>Breakout retest</t>
        </is>
      </c>
      <c r="H45" s="24" t="inlineStr">
        <is>
          <t>SPECIFIC — only gated switches</t>
        </is>
      </c>
      <c r="I45" s="24" t="inlineStr">
        <is>
          <t>LIVE — wired</t>
        </is>
      </c>
      <c r="J45" s="24" t="n"/>
      <c r="K45" s="21" t="inlineStr">
        <is>
          <t>1/4</t>
        </is>
      </c>
      <c r="L45" s="21" t="inlineStr">
        <is>
          <t>OFF, 15m, 1h, 4h, D (5 options)</t>
        </is>
      </c>
      <c r="M45" s="21" t="inlineStr">
        <is>
          <t>15m</t>
        </is>
      </c>
      <c r="N45" s="21" t="inlineStr">
        <is>
          <t>TF selector</t>
        </is>
      </c>
      <c r="O45" s="21" t="inlineStr">
        <is>
          <t>BREAKOUT_RETEST_FILTER_TF</t>
        </is>
      </c>
      <c r="P45" s="21" t="inlineStr">
        <is>
          <t>getattr(cfg,"BREAKOUT_RETEST_FILTER_TF")</t>
        </is>
      </c>
      <c r="Q45" t="inlineStr">
        <is>
          <t>NO</t>
        </is>
      </c>
    </row>
    <row r="46">
      <c r="A46" s="24" t="n">
        <v>10</v>
      </c>
      <c r="B46" s="27" t="inlineStr">
        <is>
          <t>BREAKOUT_RETEST_FILTER_TF</t>
        </is>
      </c>
      <c r="C46" s="19" t="inlineStr">
        <is>
          <t>15m</t>
        </is>
      </c>
      <c r="D46" s="26" t="inlineStr">
        <is>
          <t>Breakout filter: after DC/BB breakout, requires retest hold on FILTER_TF before entry. | Live read: `UM_CHECK_ENABLED', 'BREAKOUT_HTF_MIN_ALIGNED', 'BREAKOUT_INJECT_LIVE', 'BREAKOUT`</t>
        </is>
      </c>
      <c r="E46" s="26" t="inlineStr">
        <is>
          <t>GLOBAL_CHECK</t>
        </is>
      </c>
      <c r="F46" s="24" t="inlineStr">
        <is>
          <t>GLOBAL_CHECK</t>
        </is>
      </c>
      <c r="G46" s="26" t="inlineStr">
        <is>
          <t>Breakout retest</t>
        </is>
      </c>
      <c r="H46" s="24" t="inlineStr">
        <is>
          <t>SPECIFIC — only gated switches</t>
        </is>
      </c>
      <c r="I46" s="24" t="inlineStr">
        <is>
          <t>LIVE — wired</t>
        </is>
      </c>
      <c r="J46" s="24" t="n"/>
      <c r="K46" s="21" t="inlineStr">
        <is>
          <t>1/4</t>
        </is>
      </c>
      <c r="L46" s="21" t="inlineStr">
        <is>
          <t>OFF, 15m, 1h, 4h, D (5 options)</t>
        </is>
      </c>
      <c r="M46" s="21" t="inlineStr">
        <is>
          <t>15m</t>
        </is>
      </c>
      <c r="N46" s="21" t="inlineStr">
        <is>
          <t>TF selector</t>
        </is>
      </c>
      <c r="O46" s="21" t="inlineStr">
        <is>
          <t>BREAKOUT_RETEST_FILTER_TF</t>
        </is>
      </c>
      <c r="P46" s="21" t="inlineStr">
        <is>
          <t>getattr(cfg,"BREAKOUT_RETEST_FILTER_TF")</t>
        </is>
      </c>
      <c r="Q46" t="inlineStr">
        <is>
          <t>YES</t>
        </is>
      </c>
    </row>
    <row r="47">
      <c r="A47" s="28" t="n">
        <v>11</v>
      </c>
      <c r="B47" s="29" t="inlineStr">
        <is>
          <t>BTC_ACCEL_RAMP_REQUIRE_POSITIVE</t>
        </is>
      </c>
      <c r="C47" s="19" t="inlineStr">
        <is>
          <t>0.0</t>
        </is>
      </c>
      <c r="D47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7" s="30" t="inlineStr">
        <is>
          <t>UNIVERSAL (ex-BTC) — ENTRY/EXIT/REENTRY</t>
        </is>
      </c>
      <c r="F47" s="28" t="inlineStr">
        <is>
          <t>UNIVERSAL (ex-BTC) — ENTRY/EXIT/REENTRY</t>
        </is>
      </c>
      <c r="G47" s="30" t="inlineStr">
        <is>
          <t>Accel ramp (UNIVERSAL) — UNIVERSAL</t>
        </is>
      </c>
      <c r="H47" s="28" t="inlineStr">
        <is>
          <t>GENERAL</t>
        </is>
      </c>
      <c r="I47" s="28" t="inlineStr">
        <is>
          <t>LIVE — UNIVERSAL (ex-BTC)</t>
        </is>
      </c>
      <c r="J47" s="28" t="inlineStr">
        <is>
          <t>BTC→UNIVERSAL 2026-08-28</t>
        </is>
      </c>
      <c r="K47" s="21" t="inlineStr">
        <is>
          <t>—</t>
        </is>
      </c>
      <c r="L47" s="21" t="inlineStr">
        <is>
          <t>0.0, alt</t>
        </is>
      </c>
      <c r="M47" s="21" t="inlineStr">
        <is>
          <t>0.0</t>
        </is>
      </c>
      <c r="N47" s="21" t="inlineStr">
        <is>
          <t>param</t>
        </is>
      </c>
      <c r="O47" s="21" t="inlineStr">
        <is>
          <t>BTC_ACCEL_RAMP_REQUIRE_POSITIVE</t>
        </is>
      </c>
      <c r="P47" s="21" t="inlineStr">
        <is>
          <t>getattr(cfg,"BTC_ACCEL_RAMP_REQUIRE_POSITIVE")</t>
        </is>
      </c>
      <c r="Q47" t="inlineStr">
        <is>
          <t>YES</t>
        </is>
      </c>
    </row>
    <row r="48">
      <c r="A48" s="28" t="n">
        <v>11</v>
      </c>
      <c r="B48" s="31" t="inlineStr">
        <is>
          <t>BTC_ACCEL_RAMP_REQUIRE_POSITIVE</t>
        </is>
      </c>
      <c r="C48" s="23" t="inlineStr">
        <is>
          <t>0.0_ALT</t>
        </is>
      </c>
      <c r="D48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8" s="30" t="inlineStr">
        <is>
          <t>UNIVERSAL (ex-BTC) — ENTRY/EXIT/REENTRY</t>
        </is>
      </c>
      <c r="F48" s="28" t="inlineStr">
        <is>
          <t>UNIVERSAL (ex-BTC) — ENTRY/EXIT/REENTRY</t>
        </is>
      </c>
      <c r="G48" s="30" t="inlineStr">
        <is>
          <t>Accel ramp (UNIVERSAL) — UNIVERSAL</t>
        </is>
      </c>
      <c r="H48" s="28" t="inlineStr">
        <is>
          <t>GENERAL</t>
        </is>
      </c>
      <c r="I48" s="28" t="inlineStr">
        <is>
          <t>LIVE — UNIVERSAL (ex-BTC)</t>
        </is>
      </c>
      <c r="J48" s="28" t="inlineStr">
        <is>
          <t>BTC→UNIVERSAL 2026-08-28</t>
        </is>
      </c>
      <c r="K48" s="21" t="inlineStr">
        <is>
          <t>—</t>
        </is>
      </c>
      <c r="L48" s="21" t="inlineStr">
        <is>
          <t>0.0, alt</t>
        </is>
      </c>
      <c r="M48" s="21" t="inlineStr">
        <is>
          <t>0.0</t>
        </is>
      </c>
      <c r="N48" s="21" t="inlineStr">
        <is>
          <t>param</t>
        </is>
      </c>
      <c r="O48" s="21" t="inlineStr">
        <is>
          <t>BTC_ACCEL_RAMP_REQUIRE_POSITIVE</t>
        </is>
      </c>
      <c r="P48" s="21" t="inlineStr">
        <is>
          <t>getattr(cfg,"BTC_ACCEL_RAMP_REQUIRE_POSITIVE")</t>
        </is>
      </c>
      <c r="Q48" t="inlineStr">
        <is>
          <t>NO</t>
        </is>
      </c>
    </row>
    <row r="49">
      <c r="A49" s="28" t="n">
        <v>12</v>
      </c>
      <c r="B49" s="31" t="inlineStr">
        <is>
          <t>BTC_DEDICATED_FILTER_TF</t>
        </is>
      </c>
      <c r="C49" s="23" t="inlineStr">
        <is>
          <t>OFF</t>
        </is>
      </c>
      <c r="D49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49" s="30" t="inlineStr">
        <is>
          <t>UNIVERSAL (ex-BTC) — ENTRY/EXIT/REENTRY</t>
        </is>
      </c>
      <c r="F49" s="28" t="inlineStr">
        <is>
          <t>UNIVERSAL (ex-BTC) — ENTRY/EXIT/REENTRY</t>
        </is>
      </c>
      <c r="G49" s="30" t="inlineStr">
        <is>
          <t>Dedicated (UNIVERSAL) — UNIVERSAL</t>
        </is>
      </c>
      <c r="H49" s="28" t="inlineStr">
        <is>
          <t>SPECIFIC — only gated switches</t>
        </is>
      </c>
      <c r="I49" s="28" t="inlineStr">
        <is>
          <t>LIVE — UNIVERSAL (ex-BTC)</t>
        </is>
      </c>
      <c r="J49" s="28" t="inlineStr">
        <is>
          <t>BTC→UNIVERSAL 2026-08-28</t>
        </is>
      </c>
      <c r="K49" s="21" t="inlineStr">
        <is>
          <t>1/4</t>
        </is>
      </c>
      <c r="L49" s="21" t="inlineStr">
        <is>
          <t>OFF, 15m, 1h, 4h, D (5 options)</t>
        </is>
      </c>
      <c r="M49" s="21" t="inlineStr">
        <is>
          <t>15m</t>
        </is>
      </c>
      <c r="N49" s="21" t="inlineStr">
        <is>
          <t>TF selector</t>
        </is>
      </c>
      <c r="O49" s="21" t="inlineStr">
        <is>
          <t>BTC_DEDICATED_FILTER_TF</t>
        </is>
      </c>
      <c r="P49" s="21" t="inlineStr">
        <is>
          <t>getattr(cfg,"BTC_DEDICATED_FILTER_TF")</t>
        </is>
      </c>
      <c r="Q49" t="inlineStr">
        <is>
          <t>NO</t>
        </is>
      </c>
    </row>
    <row r="50">
      <c r="A50" s="28" t="n">
        <v>12</v>
      </c>
      <c r="B50" s="31" t="inlineStr">
        <is>
          <t>BTC_DEDICATED_FILTER_TF</t>
        </is>
      </c>
      <c r="C50" s="23" t="inlineStr">
        <is>
          <t>D</t>
        </is>
      </c>
      <c r="D50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0" s="30" t="inlineStr">
        <is>
          <t>UNIVERSAL (ex-BTC) — ENTRY/EXIT/REENTRY</t>
        </is>
      </c>
      <c r="F50" s="28" t="inlineStr">
        <is>
          <t>UNIVERSAL (ex-BTC) — ENTRY/EXIT/REENTRY</t>
        </is>
      </c>
      <c r="G50" s="30" t="inlineStr">
        <is>
          <t>Dedicated (UNIVERSAL) — UNIVERSAL</t>
        </is>
      </c>
      <c r="H50" s="28" t="inlineStr">
        <is>
          <t>SPECIFIC — only gated switches</t>
        </is>
      </c>
      <c r="I50" s="28" t="inlineStr">
        <is>
          <t>LIVE — UNIVERSAL (ex-BTC)</t>
        </is>
      </c>
      <c r="J50" s="28" t="inlineStr">
        <is>
          <t>BTC→UNIVERSAL 2026-08-28</t>
        </is>
      </c>
      <c r="K50" s="21" t="inlineStr">
        <is>
          <t>1/4</t>
        </is>
      </c>
      <c r="L50" s="21" t="inlineStr">
        <is>
          <t>OFF, 15m, 1h, 4h, D (5 options)</t>
        </is>
      </c>
      <c r="M50" s="21" t="inlineStr">
        <is>
          <t>15m</t>
        </is>
      </c>
      <c r="N50" s="21" t="inlineStr">
        <is>
          <t>TF selector</t>
        </is>
      </c>
      <c r="O50" s="21" t="inlineStr">
        <is>
          <t>BTC_DEDICATED_FILTER_TF</t>
        </is>
      </c>
      <c r="P50" s="21" t="inlineStr">
        <is>
          <t>getattr(cfg,"BTC_DEDICATED_FILTER_TF")</t>
        </is>
      </c>
      <c r="Q50" t="inlineStr">
        <is>
          <t>NO</t>
        </is>
      </c>
    </row>
    <row r="51">
      <c r="A51" s="28" t="n">
        <v>12</v>
      </c>
      <c r="B51" s="31" t="inlineStr">
        <is>
          <t>BTC_DEDICATED_FILTER_TF</t>
        </is>
      </c>
      <c r="C51" s="23" t="inlineStr">
        <is>
          <t>4h</t>
        </is>
      </c>
      <c r="D51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1" s="30" t="inlineStr">
        <is>
          <t>UNIVERSAL (ex-BTC) — ENTRY/EXIT/REENTRY</t>
        </is>
      </c>
      <c r="F51" s="28" t="inlineStr">
        <is>
          <t>UNIVERSAL (ex-BTC) — ENTRY/EXIT/REENTRY</t>
        </is>
      </c>
      <c r="G51" s="30" t="inlineStr">
        <is>
          <t>Dedicated (UNIVERSAL) — UNIVERSAL</t>
        </is>
      </c>
      <c r="H51" s="28" t="inlineStr">
        <is>
          <t>SPECIFIC — only gated switches</t>
        </is>
      </c>
      <c r="I51" s="28" t="inlineStr">
        <is>
          <t>LIVE — UNIVERSAL (ex-BTC)</t>
        </is>
      </c>
      <c r="J51" s="28" t="inlineStr">
        <is>
          <t>BTC→UNIVERSAL 2026-08-28</t>
        </is>
      </c>
      <c r="K51" s="21" t="inlineStr">
        <is>
          <t>1/4</t>
        </is>
      </c>
      <c r="L51" s="21" t="inlineStr">
        <is>
          <t>OFF, 15m, 1h, 4h, D (5 options)</t>
        </is>
      </c>
      <c r="M51" s="21" t="inlineStr">
        <is>
          <t>15m</t>
        </is>
      </c>
      <c r="N51" s="21" t="inlineStr">
        <is>
          <t>TF selector</t>
        </is>
      </c>
      <c r="O51" s="21" t="inlineStr">
        <is>
          <t>BTC_DEDICATED_FILTER_TF</t>
        </is>
      </c>
      <c r="P51" s="21" t="inlineStr">
        <is>
          <t>getattr(cfg,"BTC_DEDICATED_FILTER_TF")</t>
        </is>
      </c>
      <c r="Q51" t="inlineStr">
        <is>
          <t>NO</t>
        </is>
      </c>
    </row>
    <row r="52">
      <c r="A52" s="28" t="n">
        <v>12</v>
      </c>
      <c r="B52" s="31" t="inlineStr">
        <is>
          <t>BTC_DEDICATED_FILTER_TF</t>
        </is>
      </c>
      <c r="C52" s="23" t="inlineStr">
        <is>
          <t>1h</t>
        </is>
      </c>
      <c r="D52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2" s="30" t="inlineStr">
        <is>
          <t>UNIVERSAL (ex-BTC) — ENTRY/EXIT/REENTRY</t>
        </is>
      </c>
      <c r="F52" s="28" t="inlineStr">
        <is>
          <t>UNIVERSAL (ex-BTC) — ENTRY/EXIT/REENTRY</t>
        </is>
      </c>
      <c r="G52" s="30" t="inlineStr">
        <is>
          <t>Dedicated (UNIVERSAL) — UNIVERSAL</t>
        </is>
      </c>
      <c r="H52" s="28" t="inlineStr">
        <is>
          <t>SPECIFIC — only gated switches</t>
        </is>
      </c>
      <c r="I52" s="28" t="inlineStr">
        <is>
          <t>LIVE — UNIVERSAL (ex-BTC)</t>
        </is>
      </c>
      <c r="J52" s="28" t="inlineStr">
        <is>
          <t>BTC→UNIVERSAL 2026-08-28</t>
        </is>
      </c>
      <c r="K52" s="21" t="inlineStr">
        <is>
          <t>1/4</t>
        </is>
      </c>
      <c r="L52" s="21" t="inlineStr">
        <is>
          <t>OFF, 15m, 1h, 4h, D (5 options)</t>
        </is>
      </c>
      <c r="M52" s="21" t="inlineStr">
        <is>
          <t>15m</t>
        </is>
      </c>
      <c r="N52" s="21" t="inlineStr">
        <is>
          <t>TF selector</t>
        </is>
      </c>
      <c r="O52" s="21" t="inlineStr">
        <is>
          <t>BTC_DEDICATED_FILTER_TF</t>
        </is>
      </c>
      <c r="P52" s="21" t="inlineStr">
        <is>
          <t>getattr(cfg,"BTC_DEDICATED_FILTER_TF")</t>
        </is>
      </c>
      <c r="Q52" t="inlineStr">
        <is>
          <t>NO</t>
        </is>
      </c>
    </row>
    <row r="53">
      <c r="A53" s="28" t="n">
        <v>12</v>
      </c>
      <c r="B53" s="29" t="inlineStr">
        <is>
          <t>BTC_DEDICATED_FILTER_TF</t>
        </is>
      </c>
      <c r="C53" s="19" t="inlineStr">
        <is>
          <t>15m</t>
        </is>
      </c>
      <c r="D53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3" s="30" t="inlineStr">
        <is>
          <t>UNIVERSAL (ex-BTC) — ENTRY/EXIT/REENTRY</t>
        </is>
      </c>
      <c r="F53" s="28" t="inlineStr">
        <is>
          <t>UNIVERSAL (ex-BTC) — ENTRY/EXIT/REENTRY</t>
        </is>
      </c>
      <c r="G53" s="30" t="inlineStr">
        <is>
          <t>Dedicated (UNIVERSAL) — UNIVERSAL</t>
        </is>
      </c>
      <c r="H53" s="28" t="inlineStr">
        <is>
          <t>SPECIFIC — only gated switches</t>
        </is>
      </c>
      <c r="I53" s="28" t="inlineStr">
        <is>
          <t>LIVE — UNIVERSAL (ex-BTC)</t>
        </is>
      </c>
      <c r="J53" s="28" t="inlineStr">
        <is>
          <t>BTC→UNIVERSAL 2026-08-28</t>
        </is>
      </c>
      <c r="K53" s="21" t="inlineStr">
        <is>
          <t>1/4</t>
        </is>
      </c>
      <c r="L53" s="21" t="inlineStr">
        <is>
          <t>OFF, 15m, 1h, 4h, D (5 options)</t>
        </is>
      </c>
      <c r="M53" s="21" t="inlineStr">
        <is>
          <t>15m</t>
        </is>
      </c>
      <c r="N53" s="21" t="inlineStr">
        <is>
          <t>TF selector</t>
        </is>
      </c>
      <c r="O53" s="21" t="inlineStr">
        <is>
          <t>BTC_DEDICATED_FILTER_TF</t>
        </is>
      </c>
      <c r="P53" s="21" t="inlineStr">
        <is>
          <t>getattr(cfg,"BTC_DEDICATED_FILTER_TF")</t>
        </is>
      </c>
      <c r="Q53" t="inlineStr">
        <is>
          <t>YES</t>
        </is>
      </c>
    </row>
    <row r="54">
      <c r="A54" s="28" t="n">
        <v>13</v>
      </c>
      <c r="B54" s="29" t="inlineStr">
        <is>
          <t>BTC_HARD_BLOCK_OTHER_ACCOUNTS</t>
        </is>
      </c>
      <c r="C54" s="19" t="inlineStr">
        <is>
          <t>0.0</t>
        </is>
      </c>
      <c r="D54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4" s="30" t="inlineStr">
        <is>
          <t>UNIVERSAL (ex-BTC) — ENTRY/EXIT/REENTRY</t>
        </is>
      </c>
      <c r="F54" s="28" t="inlineStr">
        <is>
          <t>UNIVERSAL (ex-BTC) — ENTRY/EXIT/REENTRY</t>
        </is>
      </c>
      <c r="G54" s="30" t="inlineStr">
        <is>
          <t>Global block (UNIVERSAL) — UNIVERSAL</t>
        </is>
      </c>
      <c r="H54" s="28" t="inlineStr">
        <is>
          <t>GENERAL</t>
        </is>
      </c>
      <c r="I54" s="28" t="inlineStr">
        <is>
          <t>LIVE — UNIVERSAL (ex-BTC)</t>
        </is>
      </c>
      <c r="J54" s="28" t="inlineStr">
        <is>
          <t>BTC→UNIVERSAL 2026-08-28</t>
        </is>
      </c>
      <c r="K54" s="21" t="inlineStr">
        <is>
          <t>—</t>
        </is>
      </c>
      <c r="L54" s="21" t="inlineStr">
        <is>
          <t>0.0, alt</t>
        </is>
      </c>
      <c r="M54" s="21" t="inlineStr">
        <is>
          <t>0.0</t>
        </is>
      </c>
      <c r="N54" s="21" t="inlineStr">
        <is>
          <t>param</t>
        </is>
      </c>
      <c r="O54" s="21" t="inlineStr">
        <is>
          <t>BTC_HARD_BLOCK_OTHER_ACCOUNTS</t>
        </is>
      </c>
      <c r="P54" s="21" t="inlineStr">
        <is>
          <t>getattr(cfg,"BTC_HARD_BLOCK_OTHER_ACCOUNTS")</t>
        </is>
      </c>
      <c r="Q54" t="inlineStr">
        <is>
          <t>YES</t>
        </is>
      </c>
    </row>
    <row r="55">
      <c r="A55" s="28" t="n">
        <v>13</v>
      </c>
      <c r="B55" s="31" t="inlineStr">
        <is>
          <t>BTC_HARD_BLOCK_OTHER_ACCOUNTS</t>
        </is>
      </c>
      <c r="C55" s="23" t="inlineStr">
        <is>
          <t>0.0_ALT</t>
        </is>
      </c>
      <c r="D55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5" s="30" t="inlineStr">
        <is>
          <t>UNIVERSAL (ex-BTC) — ENTRY/EXIT/REENTRY</t>
        </is>
      </c>
      <c r="F55" s="28" t="inlineStr">
        <is>
          <t>UNIVERSAL (ex-BTC) — ENTRY/EXIT/REENTRY</t>
        </is>
      </c>
      <c r="G55" s="30" t="inlineStr">
        <is>
          <t>Global block (UNIVERSAL) — UNIVERSAL</t>
        </is>
      </c>
      <c r="H55" s="28" t="inlineStr">
        <is>
          <t>GENERAL</t>
        </is>
      </c>
      <c r="I55" s="28" t="inlineStr">
        <is>
          <t>LIVE — UNIVERSAL (ex-BTC)</t>
        </is>
      </c>
      <c r="J55" s="28" t="inlineStr">
        <is>
          <t>BTC→UNIVERSAL 2026-08-28</t>
        </is>
      </c>
      <c r="K55" s="21" t="inlineStr">
        <is>
          <t>—</t>
        </is>
      </c>
      <c r="L55" s="21" t="inlineStr">
        <is>
          <t>0.0, alt</t>
        </is>
      </c>
      <c r="M55" s="21" t="inlineStr">
        <is>
          <t>0.0</t>
        </is>
      </c>
      <c r="N55" s="21" t="inlineStr">
        <is>
          <t>param</t>
        </is>
      </c>
      <c r="O55" s="21" t="inlineStr">
        <is>
          <t>BTC_HARD_BLOCK_OTHER_ACCOUNTS</t>
        </is>
      </c>
      <c r="P55" s="21" t="inlineStr">
        <is>
          <t>getattr(cfg,"BTC_HARD_BLOCK_OTHER_ACCOUNTS")</t>
        </is>
      </c>
      <c r="Q55" t="inlineStr">
        <is>
          <t>NO</t>
        </is>
      </c>
    </row>
    <row r="56">
      <c r="A56" s="28" t="n">
        <v>14</v>
      </c>
      <c r="B56" s="29" t="inlineStr">
        <is>
          <t>BTC_ROUND_BANDS_EACH_SIDE</t>
        </is>
      </c>
      <c r="C56" s="19" t="inlineStr">
        <is>
          <t>0.0</t>
        </is>
      </c>
      <c r="D56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6" s="30" t="inlineStr">
        <is>
          <t>UNIVERSAL (ex-BTC) — ENTRY/EXIT/REENTRY</t>
        </is>
      </c>
      <c r="F56" s="28" t="inlineStr">
        <is>
          <t>UNIVERSAL (ex-BTC) — ENTRY/EXIT/REENTRY</t>
        </is>
      </c>
      <c r="G56" s="30" t="inlineStr">
        <is>
          <t>Band sizing (UNIVERSAL) — UNIVERSAL</t>
        </is>
      </c>
      <c r="H56" s="28" t="inlineStr">
        <is>
          <t>GENERAL</t>
        </is>
      </c>
      <c r="I56" s="28" t="inlineStr">
        <is>
          <t>LIVE — UNIVERSAL (ex-BTC)</t>
        </is>
      </c>
      <c r="J56" s="28" t="inlineStr">
        <is>
          <t>BTC→UNIVERSAL 2026-08-28</t>
        </is>
      </c>
      <c r="K56" s="21" t="inlineStr">
        <is>
          <t>—</t>
        </is>
      </c>
      <c r="L56" s="21" t="inlineStr">
        <is>
          <t>0.0, alt</t>
        </is>
      </c>
      <c r="M56" s="21" t="inlineStr">
        <is>
          <t>0.0</t>
        </is>
      </c>
      <c r="N56" s="21" t="inlineStr">
        <is>
          <t>param</t>
        </is>
      </c>
      <c r="O56" s="21" t="inlineStr">
        <is>
          <t>BTC_ROUND_BANDS_EACH_SIDE</t>
        </is>
      </c>
      <c r="P56" s="21" t="inlineStr">
        <is>
          <t>getattr(cfg,"BTC_ROUND_BANDS_EACH_SIDE")</t>
        </is>
      </c>
      <c r="Q56" t="inlineStr">
        <is>
          <t>YES</t>
        </is>
      </c>
    </row>
    <row r="57">
      <c r="A57" s="28" t="n">
        <v>14</v>
      </c>
      <c r="B57" s="31" t="inlineStr">
        <is>
          <t>BTC_ROUND_BANDS_EACH_SIDE</t>
        </is>
      </c>
      <c r="C57" s="23" t="inlineStr">
        <is>
          <t>0.0_ALT</t>
        </is>
      </c>
      <c r="D57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7" s="30" t="inlineStr">
        <is>
          <t>UNIVERSAL (ex-BTC) — ENTRY/EXIT/REENTRY</t>
        </is>
      </c>
      <c r="F57" s="28" t="inlineStr">
        <is>
          <t>UNIVERSAL (ex-BTC) — ENTRY/EXIT/REENTRY</t>
        </is>
      </c>
      <c r="G57" s="30" t="inlineStr">
        <is>
          <t>Band sizing (UNIVERSAL) — UNIVERSAL</t>
        </is>
      </c>
      <c r="H57" s="28" t="inlineStr">
        <is>
          <t>GENERAL</t>
        </is>
      </c>
      <c r="I57" s="28" t="inlineStr">
        <is>
          <t>LIVE — UNIVERSAL (ex-BTC)</t>
        </is>
      </c>
      <c r="J57" s="28" t="inlineStr">
        <is>
          <t>BTC→UNIVERSAL 2026-08-28</t>
        </is>
      </c>
      <c r="K57" s="21" t="inlineStr">
        <is>
          <t>—</t>
        </is>
      </c>
      <c r="L57" s="21" t="inlineStr">
        <is>
          <t>0.0, alt</t>
        </is>
      </c>
      <c r="M57" s="21" t="inlineStr">
        <is>
          <t>0.0</t>
        </is>
      </c>
      <c r="N57" s="21" t="inlineStr">
        <is>
          <t>param</t>
        </is>
      </c>
      <c r="O57" s="21" t="inlineStr">
        <is>
          <t>BTC_ROUND_BANDS_EACH_SIDE</t>
        </is>
      </c>
      <c r="P57" s="21" t="inlineStr">
        <is>
          <t>getattr(cfg,"BTC_ROUND_BANDS_EACH_SIDE")</t>
        </is>
      </c>
      <c r="Q57" t="inlineStr">
        <is>
          <t>NO</t>
        </is>
      </c>
    </row>
    <row r="58">
      <c r="A58" s="24" t="n">
        <v>15</v>
      </c>
      <c r="B58" s="25" t="inlineStr">
        <is>
          <t>BT_WT_CROSS_LADDER_FILTER_TF</t>
        </is>
      </c>
      <c r="C58" s="23" t="inlineStr">
        <is>
          <t>OFF</t>
        </is>
      </c>
      <c r="D58" s="26" t="inlineStr">
        <is>
          <t>WT cross ladder confirmation on FILTER_TF. | Live read: `_EXHAUSTIVE_FILTER_LIST_LIVE = ['ADAPTIVE_REGIME_DC_BREAKDOWN_THRESHOLD', 'ADAPT`</t>
        </is>
      </c>
      <c r="E58" s="26" t="inlineStr">
        <is>
          <t>GLOBAL_CHECK</t>
        </is>
      </c>
      <c r="F58" s="24" t="inlineStr">
        <is>
          <t>GLOBAL_CHECK</t>
        </is>
      </c>
      <c r="G58" s="26" t="inlineStr">
        <is>
          <t>BT_WT_CROSS_LADDER</t>
        </is>
      </c>
      <c r="H58" s="24" t="inlineStr">
        <is>
          <t>SPECIFIC — only gated switches</t>
        </is>
      </c>
      <c r="I58" s="24" t="inlineStr">
        <is>
          <t>LIVE — wired</t>
        </is>
      </c>
      <c r="J58" s="24" t="n"/>
      <c r="K58" s="21" t="inlineStr">
        <is>
          <t>1/4</t>
        </is>
      </c>
      <c r="L58" s="21" t="inlineStr">
        <is>
          <t>OFF, 15m, 1h, 4h, D (5 options)</t>
        </is>
      </c>
      <c r="M58" s="21" t="inlineStr">
        <is>
          <t>15m</t>
        </is>
      </c>
      <c r="N58" s="21" t="inlineStr">
        <is>
          <t>TF selector</t>
        </is>
      </c>
      <c r="O58" s="21" t="inlineStr">
        <is>
          <t>BT_WT_CROSS_LADDER_FILTER_TF</t>
        </is>
      </c>
      <c r="P58" s="21" t="inlineStr">
        <is>
          <t>getattr(cfg,"BT_WT_CROSS_LADDER_FILTER_TF")</t>
        </is>
      </c>
      <c r="Q58" t="inlineStr">
        <is>
          <t>NO</t>
        </is>
      </c>
    </row>
    <row r="59">
      <c r="A59" s="24" t="n">
        <v>15</v>
      </c>
      <c r="B59" s="25" t="inlineStr">
        <is>
          <t>BT_WT_CROSS_LADDER_FILTER_TF</t>
        </is>
      </c>
      <c r="C59" s="23" t="inlineStr">
        <is>
          <t>D</t>
        </is>
      </c>
      <c r="D59" s="26" t="inlineStr">
        <is>
          <t>WT cross ladder confirmation on FILTER_TF. | Live read: `_EXHAUSTIVE_FILTER_LIST_LIVE = ['ADAPTIVE_REGIME_DC_BREAKDOWN_THRESHOLD', 'ADAPT`</t>
        </is>
      </c>
      <c r="E59" s="26" t="inlineStr">
        <is>
          <t>GLOBAL_CHECK</t>
        </is>
      </c>
      <c r="F59" s="24" t="inlineStr">
        <is>
          <t>GLOBAL_CHECK</t>
        </is>
      </c>
      <c r="G59" s="26" t="inlineStr">
        <is>
          <t>BT_WT_CROSS_LADDER</t>
        </is>
      </c>
      <c r="H59" s="24" t="inlineStr">
        <is>
          <t>SPECIFIC — only gated switches</t>
        </is>
      </c>
      <c r="I59" s="24" t="inlineStr">
        <is>
          <t>LIVE — wired</t>
        </is>
      </c>
      <c r="J59" s="24" t="n"/>
      <c r="K59" s="21" t="inlineStr">
        <is>
          <t>1/4</t>
        </is>
      </c>
      <c r="L59" s="21" t="inlineStr">
        <is>
          <t>OFF, 15m, 1h, 4h, D (5 options)</t>
        </is>
      </c>
      <c r="M59" s="21" t="inlineStr">
        <is>
          <t>15m</t>
        </is>
      </c>
      <c r="N59" s="21" t="inlineStr">
        <is>
          <t>TF selector</t>
        </is>
      </c>
      <c r="O59" s="21" t="inlineStr">
        <is>
          <t>BT_WT_CROSS_LADDER_FILTER_TF</t>
        </is>
      </c>
      <c r="P59" s="21" t="inlineStr">
        <is>
          <t>getattr(cfg,"BT_WT_CROSS_LADDER_FILTER_TF")</t>
        </is>
      </c>
      <c r="Q59" t="inlineStr">
        <is>
          <t>NO</t>
        </is>
      </c>
    </row>
    <row r="60">
      <c r="A60" s="24" t="n">
        <v>15</v>
      </c>
      <c r="B60" s="25" t="inlineStr">
        <is>
          <t>BT_WT_CROSS_LADDER_FILTER_TF</t>
        </is>
      </c>
      <c r="C60" s="23" t="inlineStr">
        <is>
          <t>4h</t>
        </is>
      </c>
      <c r="D60" s="26" t="inlineStr">
        <is>
          <t>WT cross ladder confirmation on FILTER_TF. | Live read: `_EXHAUSTIVE_FILTER_LIST_LIVE = ['ADAPTIVE_REGIME_DC_BREAKDOWN_THRESHOLD', 'ADAPT`</t>
        </is>
      </c>
      <c r="E60" s="26" t="inlineStr">
        <is>
          <t>GLOBAL_CHECK</t>
        </is>
      </c>
      <c r="F60" s="24" t="inlineStr">
        <is>
          <t>GLOBAL_CHECK</t>
        </is>
      </c>
      <c r="G60" s="26" t="inlineStr">
        <is>
          <t>BT_WT_CROSS_LADDER</t>
        </is>
      </c>
      <c r="H60" s="24" t="inlineStr">
        <is>
          <t>SPECIFIC — only gated switches</t>
        </is>
      </c>
      <c r="I60" s="24" t="inlineStr">
        <is>
          <t>LIVE — wired</t>
        </is>
      </c>
      <c r="J60" s="24" t="n"/>
      <c r="K60" s="21" t="inlineStr">
        <is>
          <t>1/4</t>
        </is>
      </c>
      <c r="L60" s="21" t="inlineStr">
        <is>
          <t>OFF, 15m, 1h, 4h, D (5 options)</t>
        </is>
      </c>
      <c r="M60" s="21" t="inlineStr">
        <is>
          <t>15m</t>
        </is>
      </c>
      <c r="N60" s="21" t="inlineStr">
        <is>
          <t>TF selector</t>
        </is>
      </c>
      <c r="O60" s="21" t="inlineStr">
        <is>
          <t>BT_WT_CROSS_LADDER_FILTER_TF</t>
        </is>
      </c>
      <c r="P60" s="21" t="inlineStr">
        <is>
          <t>getattr(cfg,"BT_WT_CROSS_LADDER_FILTER_TF")</t>
        </is>
      </c>
      <c r="Q60" t="inlineStr">
        <is>
          <t>NO</t>
        </is>
      </c>
    </row>
    <row r="61">
      <c r="A61" s="24" t="n">
        <v>15</v>
      </c>
      <c r="B61" s="25" t="inlineStr">
        <is>
          <t>BT_WT_CROSS_LADDER_FILTER_TF</t>
        </is>
      </c>
      <c r="C61" s="23" t="inlineStr">
        <is>
          <t>1h</t>
        </is>
      </c>
      <c r="D61" s="26" t="inlineStr">
        <is>
          <t>WT cross ladder confirmation on FILTER_TF. | Live read: `_EXHAUSTIVE_FILTER_LIST_LIVE = ['ADAPTIVE_REGIME_DC_BREAKDOWN_THRESHOLD', 'ADAPT`</t>
        </is>
      </c>
      <c r="E61" s="26" t="inlineStr">
        <is>
          <t>GLOBAL_CHECK</t>
        </is>
      </c>
      <c r="F61" s="24" t="inlineStr">
        <is>
          <t>GLOBAL_CHECK</t>
        </is>
      </c>
      <c r="G61" s="26" t="inlineStr">
        <is>
          <t>BT_WT_CROSS_LADDER</t>
        </is>
      </c>
      <c r="H61" s="24" t="inlineStr">
        <is>
          <t>SPECIFIC — only gated switches</t>
        </is>
      </c>
      <c r="I61" s="24" t="inlineStr">
        <is>
          <t>LIVE — wired</t>
        </is>
      </c>
      <c r="J61" s="24" t="n"/>
      <c r="K61" s="21" t="inlineStr">
        <is>
          <t>1/4</t>
        </is>
      </c>
      <c r="L61" s="21" t="inlineStr">
        <is>
          <t>OFF, 15m, 1h, 4h, D (5 options)</t>
        </is>
      </c>
      <c r="M61" s="21" t="inlineStr">
        <is>
          <t>15m</t>
        </is>
      </c>
      <c r="N61" s="21" t="inlineStr">
        <is>
          <t>TF selector</t>
        </is>
      </c>
      <c r="O61" s="21" t="inlineStr">
        <is>
          <t>BT_WT_CROSS_LADDER_FILTER_TF</t>
        </is>
      </c>
      <c r="P61" s="21" t="inlineStr">
        <is>
          <t>getattr(cfg,"BT_WT_CROSS_LADDER_FILTER_TF")</t>
        </is>
      </c>
      <c r="Q61" t="inlineStr">
        <is>
          <t>NO</t>
        </is>
      </c>
    </row>
    <row r="62">
      <c r="A62" s="24" t="n">
        <v>15</v>
      </c>
      <c r="B62" s="27" t="inlineStr">
        <is>
          <t>BT_WT_CROSS_LADDER_FILTER_TF</t>
        </is>
      </c>
      <c r="C62" s="19" t="inlineStr">
        <is>
          <t>15m</t>
        </is>
      </c>
      <c r="D62" s="26" t="inlineStr">
        <is>
          <t>WT cross ladder confirmation on FILTER_TF. | Live read: `_EXHAUSTIVE_FILTER_LIST_LIVE = ['ADAPTIVE_REGIME_DC_BREAKDOWN_THRESHOLD', 'ADAPT`</t>
        </is>
      </c>
      <c r="E62" s="26" t="inlineStr">
        <is>
          <t>GLOBAL_CHECK</t>
        </is>
      </c>
      <c r="F62" s="24" t="inlineStr">
        <is>
          <t>GLOBAL_CHECK</t>
        </is>
      </c>
      <c r="G62" s="26" t="inlineStr">
        <is>
          <t>BT_WT_CROSS_LADDER</t>
        </is>
      </c>
      <c r="H62" s="24" t="inlineStr">
        <is>
          <t>SPECIFIC — only gated switches</t>
        </is>
      </c>
      <c r="I62" s="24" t="inlineStr">
        <is>
          <t>LIVE — wired</t>
        </is>
      </c>
      <c r="J62" s="24" t="n"/>
      <c r="K62" s="21" t="inlineStr">
        <is>
          <t>1/4</t>
        </is>
      </c>
      <c r="L62" s="21" t="inlineStr">
        <is>
          <t>OFF, 15m, 1h, 4h, D (5 options)</t>
        </is>
      </c>
      <c r="M62" s="21" t="inlineStr">
        <is>
          <t>15m</t>
        </is>
      </c>
      <c r="N62" s="21" t="inlineStr">
        <is>
          <t>TF selector</t>
        </is>
      </c>
      <c r="O62" s="21" t="inlineStr">
        <is>
          <t>BT_WT_CROSS_LADDER_FILTER_TF</t>
        </is>
      </c>
      <c r="P62" s="21" t="inlineStr">
        <is>
          <t>getattr(cfg,"BT_WT_CROSS_LADDER_FILTER_TF")</t>
        </is>
      </c>
      <c r="Q62" t="inlineStr">
        <is>
          <t>YES</t>
        </is>
      </c>
    </row>
    <row r="63">
      <c r="A63" s="24" t="n">
        <v>16</v>
      </c>
      <c r="B63" s="25" t="inlineStr">
        <is>
          <t>CANDLE_PATTERN_STOPS_FILTER_TF</t>
        </is>
      </c>
      <c r="C63" s="23" t="inlineStr">
        <is>
          <t>OFF</t>
        </is>
      </c>
      <c r="D63" s="26" t="inlineStr">
        <is>
          <t>Exit stops driven by candle patterns; FILTER_TF selects confirmation TF. | Live read: `QUIRE_WT_3M_AND_1H', 'BTC_HEDGE_SAMESYM_ENABLED', 'BTC_HEDGE_SAMESYM_HEDGE_HARD_`</t>
        </is>
      </c>
      <c r="E63" s="26" t="inlineStr">
        <is>
          <t>GLOBAL_CHECK</t>
        </is>
      </c>
      <c r="F63" s="24" t="inlineStr">
        <is>
          <t>GLOBAL_CHECK</t>
        </is>
      </c>
      <c r="G63" s="26" t="inlineStr">
        <is>
          <t>CANDLE_PATTERN_STOPS</t>
        </is>
      </c>
      <c r="H63" s="24" t="inlineStr">
        <is>
          <t>SPECIFIC — only gated switches</t>
        </is>
      </c>
      <c r="I63" s="24" t="inlineStr">
        <is>
          <t>LIVE — wired</t>
        </is>
      </c>
      <c r="J63" s="24" t="n"/>
      <c r="K63" s="21" t="inlineStr">
        <is>
          <t>1/4</t>
        </is>
      </c>
      <c r="L63" s="21" t="inlineStr">
        <is>
          <t>OFF, 15m, 1h, 4h, D (5 options)</t>
        </is>
      </c>
      <c r="M63" s="21" t="inlineStr">
        <is>
          <t>15m</t>
        </is>
      </c>
      <c r="N63" s="21" t="inlineStr">
        <is>
          <t>TF selector</t>
        </is>
      </c>
      <c r="O63" s="21" t="inlineStr">
        <is>
          <t>CANDLE_PATTERN_STOPS_FILTER_TF</t>
        </is>
      </c>
      <c r="P63" s="21" t="inlineStr">
        <is>
          <t>getattr(cfg,"CANDLE_PATTERN_STOPS_FILTER_TF")</t>
        </is>
      </c>
      <c r="Q63" t="inlineStr">
        <is>
          <t>NO</t>
        </is>
      </c>
    </row>
    <row r="64">
      <c r="A64" s="24" t="n">
        <v>16</v>
      </c>
      <c r="B64" s="25" t="inlineStr">
        <is>
          <t>CANDLE_PATTERN_STOPS_FILTER_TF</t>
        </is>
      </c>
      <c r="C64" s="23" t="inlineStr">
        <is>
          <t>D</t>
        </is>
      </c>
      <c r="D64" s="26" t="inlineStr">
        <is>
          <t>Exit stops driven by candle patterns; FILTER_TF selects confirmation TF. | Live read: `QUIRE_WT_3M_AND_1H', 'BTC_HEDGE_SAMESYM_ENABLED', 'BTC_HEDGE_SAMESYM_HEDGE_HARD_`</t>
        </is>
      </c>
      <c r="E64" s="26" t="inlineStr">
        <is>
          <t>GLOBAL_CHECK</t>
        </is>
      </c>
      <c r="F64" s="24" t="inlineStr">
        <is>
          <t>GLOBAL_CHECK</t>
        </is>
      </c>
      <c r="G64" s="26" t="inlineStr">
        <is>
          <t>CANDLE_PATTERN_STOPS</t>
        </is>
      </c>
      <c r="H64" s="24" t="inlineStr">
        <is>
          <t>SPECIFIC — only gated switches</t>
        </is>
      </c>
      <c r="I64" s="24" t="inlineStr">
        <is>
          <t>LIVE — wired</t>
        </is>
      </c>
      <c r="J64" s="24" t="n"/>
      <c r="K64" s="21" t="inlineStr">
        <is>
          <t>1/4</t>
        </is>
      </c>
      <c r="L64" s="21" t="inlineStr">
        <is>
          <t>OFF, 15m, 1h, 4h, D (5 options)</t>
        </is>
      </c>
      <c r="M64" s="21" t="inlineStr">
        <is>
          <t>15m</t>
        </is>
      </c>
      <c r="N64" s="21" t="inlineStr">
        <is>
          <t>TF selector</t>
        </is>
      </c>
      <c r="O64" s="21" t="inlineStr">
        <is>
          <t>CANDLE_PATTERN_STOPS_FILTER_TF</t>
        </is>
      </c>
      <c r="P64" s="21" t="inlineStr">
        <is>
          <t>getattr(cfg,"CANDLE_PATTERN_STOPS_FILTER_TF")</t>
        </is>
      </c>
      <c r="Q64" t="inlineStr">
        <is>
          <t>NO</t>
        </is>
      </c>
    </row>
    <row r="65">
      <c r="A65" s="24" t="n">
        <v>16</v>
      </c>
      <c r="B65" s="25" t="inlineStr">
        <is>
          <t>CANDLE_PATTERN_STOPS_FILTER_TF</t>
        </is>
      </c>
      <c r="C65" s="23" t="inlineStr">
        <is>
          <t>4h</t>
        </is>
      </c>
      <c r="D65" s="26" t="inlineStr">
        <is>
          <t>Exit stops driven by candle patterns; FILTER_TF selects confirmation TF. | Live read: `QUIRE_WT_3M_AND_1H', 'BTC_HEDGE_SAMESYM_ENABLED', 'BTC_HEDGE_SAMESYM_HEDGE_HARD_`</t>
        </is>
      </c>
      <c r="E65" s="26" t="inlineStr">
        <is>
          <t>GLOBAL_CHECK</t>
        </is>
      </c>
      <c r="F65" s="24" t="inlineStr">
        <is>
          <t>GLOBAL_CHECK</t>
        </is>
      </c>
      <c r="G65" s="26" t="inlineStr">
        <is>
          <t>CANDLE_PATTERN_STOPS</t>
        </is>
      </c>
      <c r="H65" s="24" t="inlineStr">
        <is>
          <t>SPECIFIC — only gated switches</t>
        </is>
      </c>
      <c r="I65" s="24" t="inlineStr">
        <is>
          <t>LIVE — wired</t>
        </is>
      </c>
      <c r="J65" s="24" t="n"/>
      <c r="K65" s="21" t="inlineStr">
        <is>
          <t>1/4</t>
        </is>
      </c>
      <c r="L65" s="21" t="inlineStr">
        <is>
          <t>OFF, 15m, 1h, 4h, D (5 options)</t>
        </is>
      </c>
      <c r="M65" s="21" t="inlineStr">
        <is>
          <t>15m</t>
        </is>
      </c>
      <c r="N65" s="21" t="inlineStr">
        <is>
          <t>TF selector</t>
        </is>
      </c>
      <c r="O65" s="21" t="inlineStr">
        <is>
          <t>CANDLE_PATTERN_STOPS_FILTER_TF</t>
        </is>
      </c>
      <c r="P65" s="21" t="inlineStr">
        <is>
          <t>getattr(cfg,"CANDLE_PATTERN_STOPS_FILTER_TF")</t>
        </is>
      </c>
      <c r="Q65" t="inlineStr">
        <is>
          <t>NO</t>
        </is>
      </c>
    </row>
    <row r="66">
      <c r="A66" s="24" t="n">
        <v>16</v>
      </c>
      <c r="B66" s="25" t="inlineStr">
        <is>
          <t>CANDLE_PATTERN_STOPS_FILTER_TF</t>
        </is>
      </c>
      <c r="C66" s="23" t="inlineStr">
        <is>
          <t>1h</t>
        </is>
      </c>
      <c r="D66" s="26" t="inlineStr">
        <is>
          <t>Exit stops driven by candle patterns; FILTER_TF selects confirmation TF. | Live read: `QUIRE_WT_3M_AND_1H', 'BTC_HEDGE_SAMESYM_ENABLED', 'BTC_HEDGE_SAMESYM_HEDGE_HARD_`</t>
        </is>
      </c>
      <c r="E66" s="26" t="inlineStr">
        <is>
          <t>GLOBAL_CHECK</t>
        </is>
      </c>
      <c r="F66" s="24" t="inlineStr">
        <is>
          <t>GLOBAL_CHECK</t>
        </is>
      </c>
      <c r="G66" s="26" t="inlineStr">
        <is>
          <t>CANDLE_PATTERN_STOPS</t>
        </is>
      </c>
      <c r="H66" s="24" t="inlineStr">
        <is>
          <t>SPECIFIC — only gated switches</t>
        </is>
      </c>
      <c r="I66" s="24" t="inlineStr">
        <is>
          <t>LIVE — wired</t>
        </is>
      </c>
      <c r="J66" s="24" t="n"/>
      <c r="K66" s="21" t="inlineStr">
        <is>
          <t>1/4</t>
        </is>
      </c>
      <c r="L66" s="21" t="inlineStr">
        <is>
          <t>OFF, 15m, 1h, 4h, D (5 options)</t>
        </is>
      </c>
      <c r="M66" s="21" t="inlineStr">
        <is>
          <t>15m</t>
        </is>
      </c>
      <c r="N66" s="21" t="inlineStr">
        <is>
          <t>TF selector</t>
        </is>
      </c>
      <c r="O66" s="21" t="inlineStr">
        <is>
          <t>CANDLE_PATTERN_STOPS_FILTER_TF</t>
        </is>
      </c>
      <c r="P66" s="21" t="inlineStr">
        <is>
          <t>getattr(cfg,"CANDLE_PATTERN_STOPS_FILTER_TF")</t>
        </is>
      </c>
      <c r="Q66" t="inlineStr">
        <is>
          <t>NO</t>
        </is>
      </c>
    </row>
    <row r="67">
      <c r="A67" s="24" t="n">
        <v>16</v>
      </c>
      <c r="B67" s="27" t="inlineStr">
        <is>
          <t>CANDLE_PATTERN_STOPS_FILTER_TF</t>
        </is>
      </c>
      <c r="C67" s="19" t="inlineStr">
        <is>
          <t>15m</t>
        </is>
      </c>
      <c r="D67" s="26" t="inlineStr">
        <is>
          <t>Exit stops driven by candle patterns; FILTER_TF selects confirmation TF. | Live read: `QUIRE_WT_3M_AND_1H', 'BTC_HEDGE_SAMESYM_ENABLED', 'BTC_HEDGE_SAMESYM_HEDGE_HARD_`</t>
        </is>
      </c>
      <c r="E67" s="26" t="inlineStr">
        <is>
          <t>GLOBAL_CHECK</t>
        </is>
      </c>
      <c r="F67" s="24" t="inlineStr">
        <is>
          <t>GLOBAL_CHECK</t>
        </is>
      </c>
      <c r="G67" s="26" t="inlineStr">
        <is>
          <t>CANDLE_PATTERN_STOPS</t>
        </is>
      </c>
      <c r="H67" s="24" t="inlineStr">
        <is>
          <t>SPECIFIC — only gated switches</t>
        </is>
      </c>
      <c r="I67" s="24" t="inlineStr">
        <is>
          <t>LIVE — wired</t>
        </is>
      </c>
      <c r="J67" s="24" t="n"/>
      <c r="K67" s="21" t="inlineStr">
        <is>
          <t>1/4</t>
        </is>
      </c>
      <c r="L67" s="21" t="inlineStr">
        <is>
          <t>OFF, 15m, 1h, 4h, D (5 options)</t>
        </is>
      </c>
      <c r="M67" s="21" t="inlineStr">
        <is>
          <t>15m</t>
        </is>
      </c>
      <c r="N67" s="21" t="inlineStr">
        <is>
          <t>TF selector</t>
        </is>
      </c>
      <c r="O67" s="21" t="inlineStr">
        <is>
          <t>CANDLE_PATTERN_STOPS_FILTER_TF</t>
        </is>
      </c>
      <c r="P67" s="21" t="inlineStr">
        <is>
          <t>getattr(cfg,"CANDLE_PATTERN_STOPS_FILTER_TF")</t>
        </is>
      </c>
      <c r="Q67" t="inlineStr">
        <is>
          <t>YES</t>
        </is>
      </c>
    </row>
    <row r="68">
      <c r="A68" s="24" t="n">
        <v>17</v>
      </c>
      <c r="B68" s="25" t="inlineStr">
        <is>
          <t>CIRCUIT_SHARPE_GATES_FILTER_TF</t>
        </is>
      </c>
      <c r="C68" s="23" t="inlineStr">
        <is>
          <t>OFF</t>
        </is>
      </c>
      <c r="D68" s="26" t="inlineStr">
        <is>
          <t>Circuit breaker gated by rolling Sharpe on FILTER_TF. | Live read: `THRESHOLD', 'ADAPTIVE_REGIME_DECAY_HALFLIFE_H', 'ADAPTIVE_REGIME_HEAT_TRIGGER', `</t>
        </is>
      </c>
      <c r="E68" s="26" t="inlineStr">
        <is>
          <t>GLOBAL_CHECK</t>
        </is>
      </c>
      <c r="F68" s="24" t="inlineStr">
        <is>
          <t>GLOBAL_CHECK</t>
        </is>
      </c>
      <c r="G68" s="26" t="inlineStr">
        <is>
          <t>CIRCUIT_SHARPE_GATES</t>
        </is>
      </c>
      <c r="H68" s="24" t="inlineStr">
        <is>
          <t>SPECIFIC — only gated switches</t>
        </is>
      </c>
      <c r="I68" s="24" t="inlineStr">
        <is>
          <t>LIVE — wired</t>
        </is>
      </c>
      <c r="J68" s="24" t="n"/>
      <c r="K68" s="21" t="inlineStr">
        <is>
          <t>1/4</t>
        </is>
      </c>
      <c r="L68" s="21" t="inlineStr">
        <is>
          <t>OFF, 15m, 1h, 4h, D (5 options)</t>
        </is>
      </c>
      <c r="M68" s="21" t="inlineStr">
        <is>
          <t>15m</t>
        </is>
      </c>
      <c r="N68" s="21" t="inlineStr">
        <is>
          <t>TF selector</t>
        </is>
      </c>
      <c r="O68" s="21" t="inlineStr">
        <is>
          <t>CIRCUIT_SHARPE_GATES_FILTER_TF</t>
        </is>
      </c>
      <c r="P68" s="21" t="inlineStr">
        <is>
          <t>getattr(cfg,"CIRCUIT_SHARPE_GATES_FILTER_TF")</t>
        </is>
      </c>
      <c r="Q68" t="inlineStr">
        <is>
          <t>NO</t>
        </is>
      </c>
    </row>
    <row r="69">
      <c r="A69" s="24" t="n">
        <v>17</v>
      </c>
      <c r="B69" s="25" t="inlineStr">
        <is>
          <t>CIRCUIT_SHARPE_GATES_FILTER_TF</t>
        </is>
      </c>
      <c r="C69" s="23" t="inlineStr">
        <is>
          <t>D</t>
        </is>
      </c>
      <c r="D69" s="26" t="inlineStr">
        <is>
          <t>Circuit breaker gated by rolling Sharpe on FILTER_TF. | Live read: `THRESHOLD', 'ADAPTIVE_REGIME_DECAY_HALFLIFE_H', 'ADAPTIVE_REGIME_HEAT_TRIGGER', `</t>
        </is>
      </c>
      <c r="E69" s="26" t="inlineStr">
        <is>
          <t>GLOBAL_CHECK</t>
        </is>
      </c>
      <c r="F69" s="24" t="inlineStr">
        <is>
          <t>GLOBAL_CHECK</t>
        </is>
      </c>
      <c r="G69" s="26" t="inlineStr">
        <is>
          <t>CIRCUIT_SHARPE_GATES</t>
        </is>
      </c>
      <c r="H69" s="24" t="inlineStr">
        <is>
          <t>SPECIFIC — only gated switches</t>
        </is>
      </c>
      <c r="I69" s="24" t="inlineStr">
        <is>
          <t>LIVE — wired</t>
        </is>
      </c>
      <c r="J69" s="24" t="n"/>
      <c r="K69" s="21" t="inlineStr">
        <is>
          <t>1/4</t>
        </is>
      </c>
      <c r="L69" s="21" t="inlineStr">
        <is>
          <t>OFF, 15m, 1h, 4h, D (5 options)</t>
        </is>
      </c>
      <c r="M69" s="21" t="inlineStr">
        <is>
          <t>15m</t>
        </is>
      </c>
      <c r="N69" s="21" t="inlineStr">
        <is>
          <t>TF selector</t>
        </is>
      </c>
      <c r="O69" s="21" t="inlineStr">
        <is>
          <t>CIRCUIT_SHARPE_GATES_FILTER_TF</t>
        </is>
      </c>
      <c r="P69" s="21" t="inlineStr">
        <is>
          <t>getattr(cfg,"CIRCUIT_SHARPE_GATES_FILTER_TF")</t>
        </is>
      </c>
      <c r="Q69" t="inlineStr">
        <is>
          <t>NO</t>
        </is>
      </c>
    </row>
    <row r="70">
      <c r="A70" s="24" t="n">
        <v>17</v>
      </c>
      <c r="B70" s="25" t="inlineStr">
        <is>
          <t>CIRCUIT_SHARPE_GATES_FILTER_TF</t>
        </is>
      </c>
      <c r="C70" s="23" t="inlineStr">
        <is>
          <t>4h</t>
        </is>
      </c>
      <c r="D70" s="26" t="inlineStr">
        <is>
          <t>Circuit breaker gated by rolling Sharpe on FILTER_TF. | Live read: `THRESHOLD', 'ADAPTIVE_REGIME_DECAY_HALFLIFE_H', 'ADAPTIVE_REGIME_HEAT_TRIGGER', `</t>
        </is>
      </c>
      <c r="E70" s="26" t="inlineStr">
        <is>
          <t>GLOBAL_CHECK</t>
        </is>
      </c>
      <c r="F70" s="24" t="inlineStr">
        <is>
          <t>GLOBAL_CHECK</t>
        </is>
      </c>
      <c r="G70" s="26" t="inlineStr">
        <is>
          <t>CIRCUIT_SHARPE_GATES</t>
        </is>
      </c>
      <c r="H70" s="24" t="inlineStr">
        <is>
          <t>SPECIFIC — only gated switches</t>
        </is>
      </c>
      <c r="I70" s="24" t="inlineStr">
        <is>
          <t>LIVE — wired</t>
        </is>
      </c>
      <c r="J70" s="24" t="n"/>
      <c r="K70" s="21" t="inlineStr">
        <is>
          <t>1/4</t>
        </is>
      </c>
      <c r="L70" s="21" t="inlineStr">
        <is>
          <t>OFF, 15m, 1h, 4h, D (5 options)</t>
        </is>
      </c>
      <c r="M70" s="21" t="inlineStr">
        <is>
          <t>15m</t>
        </is>
      </c>
      <c r="N70" s="21" t="inlineStr">
        <is>
          <t>TF selector</t>
        </is>
      </c>
      <c r="O70" s="21" t="inlineStr">
        <is>
          <t>CIRCUIT_SHARPE_GATES_FILTER_TF</t>
        </is>
      </c>
      <c r="P70" s="21" t="inlineStr">
        <is>
          <t>getattr(cfg,"CIRCUIT_SHARPE_GATES_FILTER_TF")</t>
        </is>
      </c>
      <c r="Q70" t="inlineStr">
        <is>
          <t>NO</t>
        </is>
      </c>
    </row>
    <row r="71">
      <c r="A71" s="24" t="n">
        <v>17</v>
      </c>
      <c r="B71" s="25" t="inlineStr">
        <is>
          <t>CIRCUIT_SHARPE_GATES_FILTER_TF</t>
        </is>
      </c>
      <c r="C71" s="23" t="inlineStr">
        <is>
          <t>1h</t>
        </is>
      </c>
      <c r="D71" s="26" t="inlineStr">
        <is>
          <t>Circuit breaker gated by rolling Sharpe on FILTER_TF. | Live read: `THRESHOLD', 'ADAPTIVE_REGIME_DECAY_HALFLIFE_H', 'ADAPTIVE_REGIME_HEAT_TRIGGER', `</t>
        </is>
      </c>
      <c r="E71" s="26" t="inlineStr">
        <is>
          <t>GLOBAL_CHECK</t>
        </is>
      </c>
      <c r="F71" s="24" t="inlineStr">
        <is>
          <t>GLOBAL_CHECK</t>
        </is>
      </c>
      <c r="G71" s="26" t="inlineStr">
        <is>
          <t>CIRCUIT_SHARPE_GATES</t>
        </is>
      </c>
      <c r="H71" s="24" t="inlineStr">
        <is>
          <t>SPECIFIC — only gated switches</t>
        </is>
      </c>
      <c r="I71" s="24" t="inlineStr">
        <is>
          <t>LIVE — wired</t>
        </is>
      </c>
      <c r="J71" s="24" t="n"/>
      <c r="K71" s="21" t="inlineStr">
        <is>
          <t>1/4</t>
        </is>
      </c>
      <c r="L71" s="21" t="inlineStr">
        <is>
          <t>OFF, 15m, 1h, 4h, D (5 options)</t>
        </is>
      </c>
      <c r="M71" s="21" t="inlineStr">
        <is>
          <t>15m</t>
        </is>
      </c>
      <c r="N71" s="21" t="inlineStr">
        <is>
          <t>TF selector</t>
        </is>
      </c>
      <c r="O71" s="21" t="inlineStr">
        <is>
          <t>CIRCUIT_SHARPE_GATES_FILTER_TF</t>
        </is>
      </c>
      <c r="P71" s="21" t="inlineStr">
        <is>
          <t>getattr(cfg,"CIRCUIT_SHARPE_GATES_FILTER_TF")</t>
        </is>
      </c>
      <c r="Q71" t="inlineStr">
        <is>
          <t>NO</t>
        </is>
      </c>
    </row>
    <row r="72">
      <c r="A72" s="24" t="n">
        <v>17</v>
      </c>
      <c r="B72" s="27" t="inlineStr">
        <is>
          <t>CIRCUIT_SHARPE_GATES_FILTER_TF</t>
        </is>
      </c>
      <c r="C72" s="19" t="inlineStr">
        <is>
          <t>15m</t>
        </is>
      </c>
      <c r="D72" s="26" t="inlineStr">
        <is>
          <t>Circuit breaker gated by rolling Sharpe on FILTER_TF. | Live read: `THRESHOLD', 'ADAPTIVE_REGIME_DECAY_HALFLIFE_H', 'ADAPTIVE_REGIME_HEAT_TRIGGER', `</t>
        </is>
      </c>
      <c r="E72" s="26" t="inlineStr">
        <is>
          <t>GLOBAL_CHECK</t>
        </is>
      </c>
      <c r="F72" s="24" t="inlineStr">
        <is>
          <t>GLOBAL_CHECK</t>
        </is>
      </c>
      <c r="G72" s="26" t="inlineStr">
        <is>
          <t>CIRCUIT_SHARPE_GATES</t>
        </is>
      </c>
      <c r="H72" s="24" t="inlineStr">
        <is>
          <t>SPECIFIC — only gated switches</t>
        </is>
      </c>
      <c r="I72" s="24" t="inlineStr">
        <is>
          <t>LIVE — wired</t>
        </is>
      </c>
      <c r="J72" s="24" t="n"/>
      <c r="K72" s="21" t="inlineStr">
        <is>
          <t>1/4</t>
        </is>
      </c>
      <c r="L72" s="21" t="inlineStr">
        <is>
          <t>OFF, 15m, 1h, 4h, D (5 options)</t>
        </is>
      </c>
      <c r="M72" s="21" t="inlineStr">
        <is>
          <t>15m</t>
        </is>
      </c>
      <c r="N72" s="21" t="inlineStr">
        <is>
          <t>TF selector</t>
        </is>
      </c>
      <c r="O72" s="21" t="inlineStr">
        <is>
          <t>CIRCUIT_SHARPE_GATES_FILTER_TF</t>
        </is>
      </c>
      <c r="P72" s="21" t="inlineStr">
        <is>
          <t>getattr(cfg,"CIRCUIT_SHARPE_GATES_FILTER_TF")</t>
        </is>
      </c>
      <c r="Q72" t="inlineStr">
        <is>
          <t>YES</t>
        </is>
      </c>
    </row>
    <row r="73">
      <c r="A73" s="17" t="n">
        <v>18</v>
      </c>
      <c r="B73" s="22" t="inlineStr">
        <is>
          <t>COOLDOWN_LOCKS_FILTER_TF</t>
        </is>
      </c>
      <c r="C73" s="23" t="inlineStr">
        <is>
          <t>OFF</t>
        </is>
      </c>
      <c r="D73" s="20" t="inlineStr">
        <is>
          <t>Cooldown lockout after recent trade on FILTER_TF. | Live read: `EAT_TRIGGER', 'ADAPTIVE_REGIME_LOOKBACK_DAYS', 'ADAPTIVE_REGIME_MIN_SIGNALS', 'A`</t>
        </is>
      </c>
      <c r="E73" s="20" t="inlineStr">
        <is>
          <t>GLOBAL_CHECK</t>
        </is>
      </c>
      <c r="F73" s="17" t="inlineStr">
        <is>
          <t>GLOBAL_CHECK</t>
        </is>
      </c>
      <c r="G73" s="20" t="inlineStr">
        <is>
          <t>COOLDOWN_LOCKS</t>
        </is>
      </c>
      <c r="H73" s="17" t="inlineStr">
        <is>
          <t>GENERAL — uniform</t>
        </is>
      </c>
      <c r="I73" s="17" t="inlineStr">
        <is>
          <t>LIVE — wired</t>
        </is>
      </c>
      <c r="J73" s="17" t="n"/>
      <c r="K73" s="21" t="inlineStr">
        <is>
          <t>1/4</t>
        </is>
      </c>
      <c r="L73" s="21" t="inlineStr">
        <is>
          <t>OFF, 15m, 1h, 4h, D (5 options)</t>
        </is>
      </c>
      <c r="M73" s="21" t="inlineStr">
        <is>
          <t>15m</t>
        </is>
      </c>
      <c r="N73" s="21" t="inlineStr">
        <is>
          <t>TF selector</t>
        </is>
      </c>
      <c r="O73" s="21" t="inlineStr">
        <is>
          <t>COOLDOWN_LOCKS_FILTER_TF</t>
        </is>
      </c>
      <c r="P73" s="21" t="inlineStr">
        <is>
          <t>getattr(cfg,"COOLDOWN_LOCKS_FILTER_TF")</t>
        </is>
      </c>
      <c r="Q73" t="inlineStr">
        <is>
          <t>NO</t>
        </is>
      </c>
    </row>
    <row r="74">
      <c r="A74" s="17" t="n">
        <v>18</v>
      </c>
      <c r="B74" s="22" t="inlineStr">
        <is>
          <t>COOLDOWN_LOCKS_FILTER_TF</t>
        </is>
      </c>
      <c r="C74" s="23" t="inlineStr">
        <is>
          <t>D</t>
        </is>
      </c>
      <c r="D74" s="20" t="inlineStr">
        <is>
          <t>Cooldown lockout after recent trade on FILTER_TF. | Live read: `EAT_TRIGGER', 'ADAPTIVE_REGIME_LOOKBACK_DAYS', 'ADAPTIVE_REGIME_MIN_SIGNALS', 'A`</t>
        </is>
      </c>
      <c r="E74" s="20" t="inlineStr">
        <is>
          <t>GLOBAL_CHECK</t>
        </is>
      </c>
      <c r="F74" s="17" t="inlineStr">
        <is>
          <t>GLOBAL_CHECK</t>
        </is>
      </c>
      <c r="G74" s="20" t="inlineStr">
        <is>
          <t>COOLDOWN_LOCKS</t>
        </is>
      </c>
      <c r="H74" s="17" t="inlineStr">
        <is>
          <t>GENERAL — uniform</t>
        </is>
      </c>
      <c r="I74" s="17" t="inlineStr">
        <is>
          <t>LIVE — wired</t>
        </is>
      </c>
      <c r="J74" s="17" t="n"/>
      <c r="K74" s="21" t="inlineStr">
        <is>
          <t>1/4</t>
        </is>
      </c>
      <c r="L74" s="21" t="inlineStr">
        <is>
          <t>OFF, 15m, 1h, 4h, D (5 options)</t>
        </is>
      </c>
      <c r="M74" s="21" t="inlineStr">
        <is>
          <t>15m</t>
        </is>
      </c>
      <c r="N74" s="21" t="inlineStr">
        <is>
          <t>TF selector</t>
        </is>
      </c>
      <c r="O74" s="21" t="inlineStr">
        <is>
          <t>COOLDOWN_LOCKS_FILTER_TF</t>
        </is>
      </c>
      <c r="P74" s="21" t="inlineStr">
        <is>
          <t>getattr(cfg,"COOLDOWN_LOCKS_FILTER_TF")</t>
        </is>
      </c>
      <c r="Q74" t="inlineStr">
        <is>
          <t>NO</t>
        </is>
      </c>
    </row>
    <row r="75">
      <c r="A75" s="17" t="n">
        <v>18</v>
      </c>
      <c r="B75" s="22" t="inlineStr">
        <is>
          <t>COOLDOWN_LOCKS_FILTER_TF</t>
        </is>
      </c>
      <c r="C75" s="23" t="inlineStr">
        <is>
          <t>4h</t>
        </is>
      </c>
      <c r="D75" s="20" t="inlineStr">
        <is>
          <t>Cooldown lockout after recent trade on FILTER_TF. | Live read: `EAT_TRIGGER', 'ADAPTIVE_REGIME_LOOKBACK_DAYS', 'ADAPTIVE_REGIME_MIN_SIGNALS', 'A`</t>
        </is>
      </c>
      <c r="E75" s="20" t="inlineStr">
        <is>
          <t>GLOBAL_CHECK</t>
        </is>
      </c>
      <c r="F75" s="17" t="inlineStr">
        <is>
          <t>GLOBAL_CHECK</t>
        </is>
      </c>
      <c r="G75" s="20" t="inlineStr">
        <is>
          <t>COOLDOWN_LOCKS</t>
        </is>
      </c>
      <c r="H75" s="17" t="inlineStr">
        <is>
          <t>GENERAL — uniform</t>
        </is>
      </c>
      <c r="I75" s="17" t="inlineStr">
        <is>
          <t>LIVE — wired</t>
        </is>
      </c>
      <c r="J75" s="17" t="n"/>
      <c r="K75" s="21" t="inlineStr">
        <is>
          <t>1/4</t>
        </is>
      </c>
      <c r="L75" s="21" t="inlineStr">
        <is>
          <t>OFF, 15m, 1h, 4h, D (5 options)</t>
        </is>
      </c>
      <c r="M75" s="21" t="inlineStr">
        <is>
          <t>15m</t>
        </is>
      </c>
      <c r="N75" s="21" t="inlineStr">
        <is>
          <t>TF selector</t>
        </is>
      </c>
      <c r="O75" s="21" t="inlineStr">
        <is>
          <t>COOLDOWN_LOCKS_FILTER_TF</t>
        </is>
      </c>
      <c r="P75" s="21" t="inlineStr">
        <is>
          <t>getattr(cfg,"COOLDOWN_LOCKS_FILTER_TF")</t>
        </is>
      </c>
      <c r="Q75" t="inlineStr">
        <is>
          <t>NO</t>
        </is>
      </c>
    </row>
    <row r="76">
      <c r="A76" s="17" t="n">
        <v>18</v>
      </c>
      <c r="B76" s="22" t="inlineStr">
        <is>
          <t>COOLDOWN_LOCKS_FILTER_TF</t>
        </is>
      </c>
      <c r="C76" s="23" t="inlineStr">
        <is>
          <t>1h</t>
        </is>
      </c>
      <c r="D76" s="20" t="inlineStr">
        <is>
          <t>Cooldown lockout after recent trade on FILTER_TF. | Live read: `EAT_TRIGGER', 'ADAPTIVE_REGIME_LOOKBACK_DAYS', 'ADAPTIVE_REGIME_MIN_SIGNALS', 'A`</t>
        </is>
      </c>
      <c r="E76" s="20" t="inlineStr">
        <is>
          <t>GLOBAL_CHECK</t>
        </is>
      </c>
      <c r="F76" s="17" t="inlineStr">
        <is>
          <t>GLOBAL_CHECK</t>
        </is>
      </c>
      <c r="G76" s="20" t="inlineStr">
        <is>
          <t>COOLDOWN_LOCKS</t>
        </is>
      </c>
      <c r="H76" s="17" t="inlineStr">
        <is>
          <t>GENERAL — uniform</t>
        </is>
      </c>
      <c r="I76" s="17" t="inlineStr">
        <is>
          <t>LIVE — wired</t>
        </is>
      </c>
      <c r="J76" s="17" t="n"/>
      <c r="K76" s="21" t="inlineStr">
        <is>
          <t>1/4</t>
        </is>
      </c>
      <c r="L76" s="21" t="inlineStr">
        <is>
          <t>OFF, 15m, 1h, 4h, D (5 options)</t>
        </is>
      </c>
      <c r="M76" s="21" t="inlineStr">
        <is>
          <t>15m</t>
        </is>
      </c>
      <c r="N76" s="21" t="inlineStr">
        <is>
          <t>TF selector</t>
        </is>
      </c>
      <c r="O76" s="21" t="inlineStr">
        <is>
          <t>COOLDOWN_LOCKS_FILTER_TF</t>
        </is>
      </c>
      <c r="P76" s="21" t="inlineStr">
        <is>
          <t>getattr(cfg,"COOLDOWN_LOCKS_FILTER_TF")</t>
        </is>
      </c>
      <c r="Q76" t="inlineStr">
        <is>
          <t>NO</t>
        </is>
      </c>
    </row>
    <row r="77">
      <c r="A77" s="17" t="n">
        <v>18</v>
      </c>
      <c r="B77" s="18" t="inlineStr">
        <is>
          <t>COOLDOWN_LOCKS_FILTER_TF</t>
        </is>
      </c>
      <c r="C77" s="19" t="inlineStr">
        <is>
          <t>15m</t>
        </is>
      </c>
      <c r="D77" s="20" t="inlineStr">
        <is>
          <t>Cooldown lockout after recent trade on FILTER_TF. | Live read: `EAT_TRIGGER', 'ADAPTIVE_REGIME_LOOKBACK_DAYS', 'ADAPTIVE_REGIME_MIN_SIGNALS', 'A`</t>
        </is>
      </c>
      <c r="E77" s="20" t="inlineStr">
        <is>
          <t>GLOBAL_CHECK</t>
        </is>
      </c>
      <c r="F77" s="17" t="inlineStr">
        <is>
          <t>GLOBAL_CHECK</t>
        </is>
      </c>
      <c r="G77" s="20" t="inlineStr">
        <is>
          <t>COOLDOWN_LOCKS</t>
        </is>
      </c>
      <c r="H77" s="17" t="inlineStr">
        <is>
          <t>GENERAL — uniform</t>
        </is>
      </c>
      <c r="I77" s="17" t="inlineStr">
        <is>
          <t>LIVE — wired</t>
        </is>
      </c>
      <c r="J77" s="17" t="n"/>
      <c r="K77" s="21" t="inlineStr">
        <is>
          <t>1/4</t>
        </is>
      </c>
      <c r="L77" s="21" t="inlineStr">
        <is>
          <t>OFF, 15m, 1h, 4h, D (5 options)</t>
        </is>
      </c>
      <c r="M77" s="21" t="inlineStr">
        <is>
          <t>15m</t>
        </is>
      </c>
      <c r="N77" s="21" t="inlineStr">
        <is>
          <t>TF selector</t>
        </is>
      </c>
      <c r="O77" s="21" t="inlineStr">
        <is>
          <t>COOLDOWN_LOCKS_FILTER_TF</t>
        </is>
      </c>
      <c r="P77" s="21" t="inlineStr">
        <is>
          <t>getattr(cfg,"COOLDOWN_LOCKS_FILTER_TF")</t>
        </is>
      </c>
      <c r="Q77" t="inlineStr">
        <is>
          <t>YES</t>
        </is>
      </c>
    </row>
    <row r="78">
      <c r="A78" s="17" t="n">
        <v>19</v>
      </c>
      <c r="B78" s="18" t="inlineStr">
        <is>
          <t>CRYPTO_SPIKE_FADE_THRESHOLD_PCT</t>
        </is>
      </c>
      <c r="C78" s="19" t="inlineStr">
        <is>
          <t>10</t>
        </is>
      </c>
      <c r="D78" s="20" t="inlineStr">
        <is>
          <t>Blocks entries after crypto spike &gt; threshold (fade the spike). | Live read: `ME_LOOKBACK_DAYS', 'ADAPTIVE_REGIME_MIN_SIGNALS', 'ADAPTIVE_REGIME_NPZ_CACHE_HOU`</t>
        </is>
      </c>
      <c r="E78" s="20" t="inlineStr">
        <is>
          <t>GLOBAL_CHECK, STOCKS_EXIT</t>
        </is>
      </c>
      <c r="F78" s="17" t="inlineStr">
        <is>
          <t>GLOBAL_CHECK, STOCKS_EXIT</t>
        </is>
      </c>
      <c r="G78" s="20" t="inlineStr">
        <is>
          <t>CRYPTO_SPIKE_FADE_THRESHOLD_PCT</t>
        </is>
      </c>
      <c r="H78" s="17" t="inlineStr">
        <is>
          <t>GENERAL</t>
        </is>
      </c>
      <c r="I78" s="17" t="inlineStr">
        <is>
          <t>LIVE — wired</t>
        </is>
      </c>
      <c r="J78" s="17" t="n"/>
      <c r="K78" s="21" t="inlineStr">
        <is>
          <t>—</t>
        </is>
      </c>
      <c r="L78" s="21" t="inlineStr">
        <is>
          <t>10.0, ±25%, ±50% (4)</t>
        </is>
      </c>
      <c r="M78" s="21" t="inlineStr">
        <is>
          <t>10.0</t>
        </is>
      </c>
      <c r="N78" s="21" t="inlineStr">
        <is>
          <t>threshold</t>
        </is>
      </c>
      <c r="O78" s="21" t="inlineStr">
        <is>
          <t>CRYPTO_SPIKE_FADE_THRESHOLD_PCT</t>
        </is>
      </c>
      <c r="P78" s="21" t="inlineStr">
        <is>
          <t>getattr(cfg,"CRYPTO_SPIKE_FADE_THRESHOLD_PCT")</t>
        </is>
      </c>
      <c r="Q78" t="inlineStr">
        <is>
          <t>YES</t>
        </is>
      </c>
    </row>
    <row r="79">
      <c r="A79" s="17" t="n">
        <v>19</v>
      </c>
      <c r="B79" s="22" t="inlineStr">
        <is>
          <t>CRYPTO_SPIKE_FADE_THRESHOLD_PCT</t>
        </is>
      </c>
      <c r="C79" s="23" t="inlineStr">
        <is>
          <t>12.5</t>
        </is>
      </c>
      <c r="D79" s="20" t="inlineStr">
        <is>
          <t>Blocks entries after crypto spike &gt; threshold (fade the spike). | Live read: `ME_LOOKBACK_DAYS', 'ADAPTIVE_REGIME_MIN_SIGNALS', 'ADAPTIVE_REGIME_NPZ_CACHE_HOU`</t>
        </is>
      </c>
      <c r="E79" s="20" t="inlineStr">
        <is>
          <t>GLOBAL_CHECK, STOCKS_EXIT</t>
        </is>
      </c>
      <c r="F79" s="17" t="inlineStr">
        <is>
          <t>GLOBAL_CHECK, STOCKS_EXIT</t>
        </is>
      </c>
      <c r="G79" s="20" t="inlineStr">
        <is>
          <t>CRYPTO_SPIKE_FADE_THRESHOLD_PCT</t>
        </is>
      </c>
      <c r="H79" s="17" t="inlineStr">
        <is>
          <t>GENERAL</t>
        </is>
      </c>
      <c r="I79" s="17" t="inlineStr">
        <is>
          <t>LIVE — wired</t>
        </is>
      </c>
      <c r="J79" s="17" t="n"/>
      <c r="K79" s="21" t="inlineStr">
        <is>
          <t>—</t>
        </is>
      </c>
      <c r="L79" s="21" t="inlineStr">
        <is>
          <t>10.0, ±25%, ±50% (4)</t>
        </is>
      </c>
      <c r="M79" s="21" t="inlineStr">
        <is>
          <t>10.0</t>
        </is>
      </c>
      <c r="N79" s="21" t="inlineStr">
        <is>
          <t>threshold</t>
        </is>
      </c>
      <c r="O79" s="21" t="inlineStr">
        <is>
          <t>CRYPTO_SPIKE_FADE_THRESHOLD_PCT</t>
        </is>
      </c>
      <c r="P79" s="21" t="inlineStr">
        <is>
          <t>getattr(cfg,"CRYPTO_SPIKE_FADE_THRESHOLD_PCT")</t>
        </is>
      </c>
      <c r="Q79" t="inlineStr">
        <is>
          <t>NO</t>
        </is>
      </c>
    </row>
    <row r="80">
      <c r="A80" s="17" t="n">
        <v>19</v>
      </c>
      <c r="B80" s="22" t="inlineStr">
        <is>
          <t>CRYPTO_SPIKE_FADE_THRESHOLD_PCT</t>
        </is>
      </c>
      <c r="C80" s="23" t="inlineStr">
        <is>
          <t>7.5</t>
        </is>
      </c>
      <c r="D80" s="20" t="inlineStr">
        <is>
          <t>Blocks entries after crypto spike &gt; threshold (fade the spike). | Live read: `ME_LOOKBACK_DAYS', 'ADAPTIVE_REGIME_MIN_SIGNALS', 'ADAPTIVE_REGIME_NPZ_CACHE_HOU`</t>
        </is>
      </c>
      <c r="E80" s="20" t="inlineStr">
        <is>
          <t>GLOBAL_CHECK, STOCKS_EXIT</t>
        </is>
      </c>
      <c r="F80" s="17" t="inlineStr">
        <is>
          <t>GLOBAL_CHECK, STOCKS_EXIT</t>
        </is>
      </c>
      <c r="G80" s="20" t="inlineStr">
        <is>
          <t>CRYPTO_SPIKE_FADE_THRESHOLD_PCT</t>
        </is>
      </c>
      <c r="H80" s="17" t="inlineStr">
        <is>
          <t>GENERAL</t>
        </is>
      </c>
      <c r="I80" s="17" t="inlineStr">
        <is>
          <t>LIVE — wired</t>
        </is>
      </c>
      <c r="J80" s="17" t="n"/>
      <c r="K80" s="21" t="inlineStr">
        <is>
          <t>—</t>
        </is>
      </c>
      <c r="L80" s="21" t="inlineStr">
        <is>
          <t>10.0, ±25%, ±50% (4)</t>
        </is>
      </c>
      <c r="M80" s="21" t="inlineStr">
        <is>
          <t>10.0</t>
        </is>
      </c>
      <c r="N80" s="21" t="inlineStr">
        <is>
          <t>threshold</t>
        </is>
      </c>
      <c r="O80" s="21" t="inlineStr">
        <is>
          <t>CRYPTO_SPIKE_FADE_THRESHOLD_PCT</t>
        </is>
      </c>
      <c r="P80" s="21" t="inlineStr">
        <is>
          <t>getattr(cfg,"CRYPTO_SPIKE_FADE_THRESHOLD_PCT")</t>
        </is>
      </c>
      <c r="Q80" t="inlineStr">
        <is>
          <t>NO</t>
        </is>
      </c>
    </row>
    <row r="81">
      <c r="A81" s="17" t="n">
        <v>19</v>
      </c>
      <c r="B81" s="22" t="inlineStr">
        <is>
          <t>CRYPTO_SPIKE_FADE_THRESHOLD_PCT</t>
        </is>
      </c>
      <c r="C81" s="23" t="inlineStr">
        <is>
          <t>5</t>
        </is>
      </c>
      <c r="D81" s="20" t="inlineStr">
        <is>
          <t>Blocks entries after crypto spike &gt; threshold (fade the spike). | Live read: `ME_LOOKBACK_DAYS', 'ADAPTIVE_REGIME_MIN_SIGNALS', 'ADAPTIVE_REGIME_NPZ_CACHE_HOU`</t>
        </is>
      </c>
      <c r="E81" s="20" t="inlineStr">
        <is>
          <t>GLOBAL_CHECK, STOCKS_EXIT</t>
        </is>
      </c>
      <c r="F81" s="17" t="inlineStr">
        <is>
          <t>GLOBAL_CHECK, STOCKS_EXIT</t>
        </is>
      </c>
      <c r="G81" s="20" t="inlineStr">
        <is>
          <t>CRYPTO_SPIKE_FADE_THRESHOLD_PCT</t>
        </is>
      </c>
      <c r="H81" s="17" t="inlineStr">
        <is>
          <t>GENERAL</t>
        </is>
      </c>
      <c r="I81" s="17" t="inlineStr">
        <is>
          <t>LIVE — wired</t>
        </is>
      </c>
      <c r="J81" s="17" t="n"/>
      <c r="K81" s="21" t="inlineStr">
        <is>
          <t>—</t>
        </is>
      </c>
      <c r="L81" s="21" t="inlineStr">
        <is>
          <t>10.0, ±25%, ±50% (4)</t>
        </is>
      </c>
      <c r="M81" s="21" t="inlineStr">
        <is>
          <t>10.0</t>
        </is>
      </c>
      <c r="N81" s="21" t="inlineStr">
        <is>
          <t>threshold</t>
        </is>
      </c>
      <c r="O81" s="21" t="inlineStr">
        <is>
          <t>CRYPTO_SPIKE_FADE_THRESHOLD_PCT</t>
        </is>
      </c>
      <c r="P81" s="21" t="inlineStr">
        <is>
          <t>getattr(cfg,"CRYPTO_SPIKE_FADE_THRESHOLD_PCT")</t>
        </is>
      </c>
      <c r="Q81" t="inlineStr">
        <is>
          <t>NO</t>
        </is>
      </c>
    </row>
    <row r="82">
      <c r="A82" s="24" t="n">
        <v>20</v>
      </c>
      <c r="B82" s="25" t="inlineStr">
        <is>
          <t>DC_BREACH_REDUCE_FILTER_TF</t>
        </is>
      </c>
      <c r="C82" s="23" t="inlineStr">
        <is>
          <t>OFF</t>
        </is>
      </c>
      <c r="D82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2" s="26" t="inlineStr">
        <is>
          <t>GLOBAL_CHECK</t>
        </is>
      </c>
      <c r="F82" s="24" t="inlineStr">
        <is>
          <t>GLOBAL_CHECK</t>
        </is>
      </c>
      <c r="G82" s="26" t="inlineStr">
        <is>
          <t>DC breach reduce</t>
        </is>
      </c>
      <c r="H82" s="24" t="inlineStr">
        <is>
          <t>SPECIFIC — only gated switches</t>
        </is>
      </c>
      <c r="I82" s="24" t="inlineStr">
        <is>
          <t>LIVE — wired</t>
        </is>
      </c>
      <c r="J82" s="24" t="n"/>
      <c r="K82" s="21" t="inlineStr">
        <is>
          <t>1/4</t>
        </is>
      </c>
      <c r="L82" s="21" t="inlineStr">
        <is>
          <t>OFF, 15m, 1h, 4h, D (5 options)</t>
        </is>
      </c>
      <c r="M82" s="21" t="inlineStr">
        <is>
          <t>15m</t>
        </is>
      </c>
      <c r="N82" s="21" t="inlineStr">
        <is>
          <t>TF selector</t>
        </is>
      </c>
      <c r="O82" s="21" t="inlineStr">
        <is>
          <t>DC_BREACH_REDUCE_FILTER_TF</t>
        </is>
      </c>
      <c r="P82" s="21" t="inlineStr">
        <is>
          <t>getattr(cfg,"DC_BREACH_REDUCE_FILTER_TF")</t>
        </is>
      </c>
      <c r="Q82" t="inlineStr">
        <is>
          <t>NO</t>
        </is>
      </c>
    </row>
    <row r="83">
      <c r="A83" s="24" t="n">
        <v>20</v>
      </c>
      <c r="B83" s="25" t="inlineStr">
        <is>
          <t>DC_BREACH_REDUCE_FILTER_TF</t>
        </is>
      </c>
      <c r="C83" s="23" t="inlineStr">
        <is>
          <t>D</t>
        </is>
      </c>
      <c r="D83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3" s="26" t="inlineStr">
        <is>
          <t>GLOBAL_CHECK</t>
        </is>
      </c>
      <c r="F83" s="24" t="inlineStr">
        <is>
          <t>GLOBAL_CHECK</t>
        </is>
      </c>
      <c r="G83" s="26" t="inlineStr">
        <is>
          <t>DC breach reduce</t>
        </is>
      </c>
      <c r="H83" s="24" t="inlineStr">
        <is>
          <t>SPECIFIC — only gated switches</t>
        </is>
      </c>
      <c r="I83" s="24" t="inlineStr">
        <is>
          <t>LIVE — wired</t>
        </is>
      </c>
      <c r="J83" s="24" t="n"/>
      <c r="K83" s="21" t="inlineStr">
        <is>
          <t>1/4</t>
        </is>
      </c>
      <c r="L83" s="21" t="inlineStr">
        <is>
          <t>OFF, 15m, 1h, 4h, D (5 options)</t>
        </is>
      </c>
      <c r="M83" s="21" t="inlineStr">
        <is>
          <t>15m</t>
        </is>
      </c>
      <c r="N83" s="21" t="inlineStr">
        <is>
          <t>TF selector</t>
        </is>
      </c>
      <c r="O83" s="21" t="inlineStr">
        <is>
          <t>DC_BREACH_REDUCE_FILTER_TF</t>
        </is>
      </c>
      <c r="P83" s="21" t="inlineStr">
        <is>
          <t>getattr(cfg,"DC_BREACH_REDUCE_FILTER_TF")</t>
        </is>
      </c>
      <c r="Q83" t="inlineStr">
        <is>
          <t>NO</t>
        </is>
      </c>
    </row>
    <row r="84">
      <c r="A84" s="24" t="n">
        <v>20</v>
      </c>
      <c r="B84" s="25" t="inlineStr">
        <is>
          <t>DC_BREACH_REDUCE_FILTER_TF</t>
        </is>
      </c>
      <c r="C84" s="23" t="inlineStr">
        <is>
          <t>4h</t>
        </is>
      </c>
      <c r="D84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4" s="26" t="inlineStr">
        <is>
          <t>GLOBAL_CHECK</t>
        </is>
      </c>
      <c r="F84" s="24" t="inlineStr">
        <is>
          <t>GLOBAL_CHECK</t>
        </is>
      </c>
      <c r="G84" s="26" t="inlineStr">
        <is>
          <t>DC breach reduce</t>
        </is>
      </c>
      <c r="H84" s="24" t="inlineStr">
        <is>
          <t>SPECIFIC — only gated switches</t>
        </is>
      </c>
      <c r="I84" s="24" t="inlineStr">
        <is>
          <t>LIVE — wired</t>
        </is>
      </c>
      <c r="J84" s="24" t="n"/>
      <c r="K84" s="21" t="inlineStr">
        <is>
          <t>1/4</t>
        </is>
      </c>
      <c r="L84" s="21" t="inlineStr">
        <is>
          <t>OFF, 15m, 1h, 4h, D (5 options)</t>
        </is>
      </c>
      <c r="M84" s="21" t="inlineStr">
        <is>
          <t>15m</t>
        </is>
      </c>
      <c r="N84" s="21" t="inlineStr">
        <is>
          <t>TF selector</t>
        </is>
      </c>
      <c r="O84" s="21" t="inlineStr">
        <is>
          <t>DC_BREACH_REDUCE_FILTER_TF</t>
        </is>
      </c>
      <c r="P84" s="21" t="inlineStr">
        <is>
          <t>getattr(cfg,"DC_BREACH_REDUCE_FILTER_TF")</t>
        </is>
      </c>
      <c r="Q84" t="inlineStr">
        <is>
          <t>NO</t>
        </is>
      </c>
    </row>
    <row r="85">
      <c r="A85" s="24" t="n">
        <v>20</v>
      </c>
      <c r="B85" s="25" t="inlineStr">
        <is>
          <t>DC_BREACH_REDUCE_FILTER_TF</t>
        </is>
      </c>
      <c r="C85" s="23" t="inlineStr">
        <is>
          <t>1h</t>
        </is>
      </c>
      <c r="D85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5" s="26" t="inlineStr">
        <is>
          <t>GLOBAL_CHECK</t>
        </is>
      </c>
      <c r="F85" s="24" t="inlineStr">
        <is>
          <t>GLOBAL_CHECK</t>
        </is>
      </c>
      <c r="G85" s="26" t="inlineStr">
        <is>
          <t>DC breach reduce</t>
        </is>
      </c>
      <c r="H85" s="24" t="inlineStr">
        <is>
          <t>SPECIFIC — only gated switches</t>
        </is>
      </c>
      <c r="I85" s="24" t="inlineStr">
        <is>
          <t>LIVE — wired</t>
        </is>
      </c>
      <c r="J85" s="24" t="n"/>
      <c r="K85" s="21" t="inlineStr">
        <is>
          <t>1/4</t>
        </is>
      </c>
      <c r="L85" s="21" t="inlineStr">
        <is>
          <t>OFF, 15m, 1h, 4h, D (5 options)</t>
        </is>
      </c>
      <c r="M85" s="21" t="inlineStr">
        <is>
          <t>15m</t>
        </is>
      </c>
      <c r="N85" s="21" t="inlineStr">
        <is>
          <t>TF selector</t>
        </is>
      </c>
      <c r="O85" s="21" t="inlineStr">
        <is>
          <t>DC_BREACH_REDUCE_FILTER_TF</t>
        </is>
      </c>
      <c r="P85" s="21" t="inlineStr">
        <is>
          <t>getattr(cfg,"DC_BREACH_REDUCE_FILTER_TF")</t>
        </is>
      </c>
      <c r="Q85" t="inlineStr">
        <is>
          <t>NO</t>
        </is>
      </c>
    </row>
    <row r="86">
      <c r="A86" s="24" t="n">
        <v>20</v>
      </c>
      <c r="B86" s="27" t="inlineStr">
        <is>
          <t>DC_BREACH_REDUCE_FILTER_TF</t>
        </is>
      </c>
      <c r="C86" s="19" t="inlineStr">
        <is>
          <t>15m</t>
        </is>
      </c>
      <c r="D86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6" s="26" t="inlineStr">
        <is>
          <t>GLOBAL_CHECK</t>
        </is>
      </c>
      <c r="F86" s="24" t="inlineStr">
        <is>
          <t>GLOBAL_CHECK</t>
        </is>
      </c>
      <c r="G86" s="26" t="inlineStr">
        <is>
          <t>DC breach reduce</t>
        </is>
      </c>
      <c r="H86" s="24" t="inlineStr">
        <is>
          <t>SPECIFIC — only gated switches</t>
        </is>
      </c>
      <c r="I86" s="24" t="inlineStr">
        <is>
          <t>LIVE — wired</t>
        </is>
      </c>
      <c r="J86" s="24" t="n"/>
      <c r="K86" s="21" t="inlineStr">
        <is>
          <t>1/4</t>
        </is>
      </c>
      <c r="L86" s="21" t="inlineStr">
        <is>
          <t>OFF, 15m, 1h, 4h, D (5 options)</t>
        </is>
      </c>
      <c r="M86" s="21" t="inlineStr">
        <is>
          <t>15m</t>
        </is>
      </c>
      <c r="N86" s="21" t="inlineStr">
        <is>
          <t>TF selector</t>
        </is>
      </c>
      <c r="O86" s="21" t="inlineStr">
        <is>
          <t>DC_BREACH_REDUCE_FILTER_TF</t>
        </is>
      </c>
      <c r="P86" s="21" t="inlineStr">
        <is>
          <t>getattr(cfg,"DC_BREACH_REDUCE_FILTER_TF")</t>
        </is>
      </c>
      <c r="Q86" t="inlineStr">
        <is>
          <t>YES</t>
        </is>
      </c>
    </row>
    <row r="87">
      <c r="A87" s="24" t="n">
        <v>21</v>
      </c>
      <c r="B87" s="25" t="inlineStr">
        <is>
          <t>DC_BREAK_FILTER_TF</t>
        </is>
      </c>
      <c r="C87" s="23" t="inlineStr">
        <is>
          <t>OFF</t>
        </is>
      </c>
      <c r="D87" s="26" t="inlineStr">
        <is>
          <t>Donchian break confirmation on FILTER_TF before breakout entry. | Live read: `RY_REENTRY_K15_HIGH_SIZE_FRAC', 'OBLIGATORY_REENTRY_LONG_ENABLED', 'OBLIGATORY_R`</t>
        </is>
      </c>
      <c r="E87" s="26" t="inlineStr">
        <is>
          <t>ENTRY, GLOBAL_CHECK, REENTRY, STOCKS_EXIT</t>
        </is>
      </c>
      <c r="F87" s="24" t="inlineStr">
        <is>
          <t>ENTRY, GLOBAL_CHECK, REENTRY, STOCKS_EXIT</t>
        </is>
      </c>
      <c r="G87" s="26" t="inlineStr">
        <is>
          <t>Donchian breakout</t>
        </is>
      </c>
      <c r="H87" s="24" t="inlineStr">
        <is>
          <t>SPECIFIC — only gated switches</t>
        </is>
      </c>
      <c r="I87" s="24" t="inlineStr">
        <is>
          <t>LIVE — wired</t>
        </is>
      </c>
      <c r="J87" s="24" t="n"/>
      <c r="K87" s="21" t="inlineStr">
        <is>
          <t>1/4</t>
        </is>
      </c>
      <c r="L87" s="21" t="inlineStr">
        <is>
          <t>OFF, 15m, 1h, 4h, D (5 options)</t>
        </is>
      </c>
      <c r="M87" s="21" t="inlineStr">
        <is>
          <t>15m</t>
        </is>
      </c>
      <c r="N87" s="21" t="inlineStr">
        <is>
          <t>TF selector</t>
        </is>
      </c>
      <c r="O87" s="21" t="inlineStr">
        <is>
          <t>DC_BREAK_FILTER_TF</t>
        </is>
      </c>
      <c r="P87" s="21" t="inlineStr">
        <is>
          <t>getattr(cfg,"DC_BREAK_FILTER_TF")</t>
        </is>
      </c>
      <c r="Q87" t="inlineStr">
        <is>
          <t>NO</t>
        </is>
      </c>
    </row>
    <row r="88">
      <c r="A88" s="24" t="n">
        <v>21</v>
      </c>
      <c r="B88" s="25" t="inlineStr">
        <is>
          <t>DC_BREAK_FILTER_TF</t>
        </is>
      </c>
      <c r="C88" s="23" t="inlineStr">
        <is>
          <t>D</t>
        </is>
      </c>
      <c r="D88" s="26" t="inlineStr">
        <is>
          <t>Donchian break confirmation on FILTER_TF before breakout entry. | Live read: `RY_REENTRY_K15_HIGH_SIZE_FRAC', 'OBLIGATORY_REENTRY_LONG_ENABLED', 'OBLIGATORY_R`</t>
        </is>
      </c>
      <c r="E88" s="26" t="inlineStr">
        <is>
          <t>ENTRY, GLOBAL_CHECK, REENTRY, STOCKS_EXIT</t>
        </is>
      </c>
      <c r="F88" s="24" t="inlineStr">
        <is>
          <t>ENTRY, GLOBAL_CHECK, REENTRY, STOCKS_EXIT</t>
        </is>
      </c>
      <c r="G88" s="26" t="inlineStr">
        <is>
          <t>Donchian breakout</t>
        </is>
      </c>
      <c r="H88" s="24" t="inlineStr">
        <is>
          <t>SPECIFIC — only gated switches</t>
        </is>
      </c>
      <c r="I88" s="24" t="inlineStr">
        <is>
          <t>LIVE — wired</t>
        </is>
      </c>
      <c r="J88" s="24" t="n"/>
      <c r="K88" s="21" t="inlineStr">
        <is>
          <t>1/4</t>
        </is>
      </c>
      <c r="L88" s="21" t="inlineStr">
        <is>
          <t>OFF, 15m, 1h, 4h, D (5 options)</t>
        </is>
      </c>
      <c r="M88" s="21" t="inlineStr">
        <is>
          <t>15m</t>
        </is>
      </c>
      <c r="N88" s="21" t="inlineStr">
        <is>
          <t>TF selector</t>
        </is>
      </c>
      <c r="O88" s="21" t="inlineStr">
        <is>
          <t>DC_BREAK_FILTER_TF</t>
        </is>
      </c>
      <c r="P88" s="21" t="inlineStr">
        <is>
          <t>getattr(cfg,"DC_BREAK_FILTER_TF")</t>
        </is>
      </c>
      <c r="Q88" t="inlineStr">
        <is>
          <t>NO</t>
        </is>
      </c>
    </row>
    <row r="89">
      <c r="A89" s="24" t="n">
        <v>21</v>
      </c>
      <c r="B89" s="25" t="inlineStr">
        <is>
          <t>DC_BREAK_FILTER_TF</t>
        </is>
      </c>
      <c r="C89" s="23" t="inlineStr">
        <is>
          <t>4h</t>
        </is>
      </c>
      <c r="D89" s="26" t="inlineStr">
        <is>
          <t>Donchian break confirmation on FILTER_TF before breakout entry. | Live read: `RY_REENTRY_K15_HIGH_SIZE_FRAC', 'OBLIGATORY_REENTRY_LONG_ENABLED', 'OBLIGATORY_R`</t>
        </is>
      </c>
      <c r="E89" s="26" t="inlineStr">
        <is>
          <t>ENTRY, GLOBAL_CHECK, REENTRY, STOCKS_EXIT</t>
        </is>
      </c>
      <c r="F89" s="24" t="inlineStr">
        <is>
          <t>ENTRY, GLOBAL_CHECK, REENTRY, STOCKS_EXIT</t>
        </is>
      </c>
      <c r="G89" s="26" t="inlineStr">
        <is>
          <t>Donchian breakout</t>
        </is>
      </c>
      <c r="H89" s="24" t="inlineStr">
        <is>
          <t>SPECIFIC — only gated switches</t>
        </is>
      </c>
      <c r="I89" s="24" t="inlineStr">
        <is>
          <t>LIVE — wired</t>
        </is>
      </c>
      <c r="J89" s="24" t="n"/>
      <c r="K89" s="21" t="inlineStr">
        <is>
          <t>1/4</t>
        </is>
      </c>
      <c r="L89" s="21" t="inlineStr">
        <is>
          <t>OFF, 15m, 1h, 4h, D (5 options)</t>
        </is>
      </c>
      <c r="M89" s="21" t="inlineStr">
        <is>
          <t>15m</t>
        </is>
      </c>
      <c r="N89" s="21" t="inlineStr">
        <is>
          <t>TF selector</t>
        </is>
      </c>
      <c r="O89" s="21" t="inlineStr">
        <is>
          <t>DC_BREAK_FILTER_TF</t>
        </is>
      </c>
      <c r="P89" s="21" t="inlineStr">
        <is>
          <t>getattr(cfg,"DC_BREAK_FILTER_TF")</t>
        </is>
      </c>
      <c r="Q89" t="inlineStr">
        <is>
          <t>NO</t>
        </is>
      </c>
    </row>
    <row r="90">
      <c r="A90" s="24" t="n">
        <v>21</v>
      </c>
      <c r="B90" s="25" t="inlineStr">
        <is>
          <t>DC_BREAK_FILTER_TF</t>
        </is>
      </c>
      <c r="C90" s="23" t="inlineStr">
        <is>
          <t>1h</t>
        </is>
      </c>
      <c r="D90" s="26" t="inlineStr">
        <is>
          <t>Donchian break confirmation on FILTER_TF before breakout entry. | Live read: `RY_REENTRY_K15_HIGH_SIZE_FRAC', 'OBLIGATORY_REENTRY_LONG_ENABLED', 'OBLIGATORY_R`</t>
        </is>
      </c>
      <c r="E90" s="26" t="inlineStr">
        <is>
          <t>ENTRY, GLOBAL_CHECK, REENTRY, STOCKS_EXIT</t>
        </is>
      </c>
      <c r="F90" s="24" t="inlineStr">
        <is>
          <t>ENTRY, GLOBAL_CHECK, REENTRY, STOCKS_EXIT</t>
        </is>
      </c>
      <c r="G90" s="26" t="inlineStr">
        <is>
          <t>Donchian breakout</t>
        </is>
      </c>
      <c r="H90" s="24" t="inlineStr">
        <is>
          <t>SPECIFIC — only gated switches</t>
        </is>
      </c>
      <c r="I90" s="24" t="inlineStr">
        <is>
          <t>LIVE — wired</t>
        </is>
      </c>
      <c r="J90" s="24" t="n"/>
      <c r="K90" s="21" t="inlineStr">
        <is>
          <t>1/4</t>
        </is>
      </c>
      <c r="L90" s="21" t="inlineStr">
        <is>
          <t>OFF, 15m, 1h, 4h, D (5 options)</t>
        </is>
      </c>
      <c r="M90" s="21" t="inlineStr">
        <is>
          <t>15m</t>
        </is>
      </c>
      <c r="N90" s="21" t="inlineStr">
        <is>
          <t>TF selector</t>
        </is>
      </c>
      <c r="O90" s="21" t="inlineStr">
        <is>
          <t>DC_BREAK_FILTER_TF</t>
        </is>
      </c>
      <c r="P90" s="21" t="inlineStr">
        <is>
          <t>getattr(cfg,"DC_BREAK_FILTER_TF")</t>
        </is>
      </c>
      <c r="Q90" t="inlineStr">
        <is>
          <t>NO</t>
        </is>
      </c>
    </row>
    <row r="91">
      <c r="A91" s="24" t="n">
        <v>21</v>
      </c>
      <c r="B91" s="27" t="inlineStr">
        <is>
          <t>DC_BREAK_FILTER_TF</t>
        </is>
      </c>
      <c r="C91" s="19" t="inlineStr">
        <is>
          <t>15m</t>
        </is>
      </c>
      <c r="D91" s="26" t="inlineStr">
        <is>
          <t>Donchian break confirmation on FILTER_TF before breakout entry. | Live read: `RY_REENTRY_K15_HIGH_SIZE_FRAC', 'OBLIGATORY_REENTRY_LONG_ENABLED', 'OBLIGATORY_R`</t>
        </is>
      </c>
      <c r="E91" s="26" t="inlineStr">
        <is>
          <t>ENTRY, GLOBAL_CHECK, REENTRY, STOCKS_EXIT</t>
        </is>
      </c>
      <c r="F91" s="24" t="inlineStr">
        <is>
          <t>ENTRY, GLOBAL_CHECK, REENTRY, STOCKS_EXIT</t>
        </is>
      </c>
      <c r="G91" s="26" t="inlineStr">
        <is>
          <t>Donchian breakout</t>
        </is>
      </c>
      <c r="H91" s="24" t="inlineStr">
        <is>
          <t>SPECIFIC — only gated switches</t>
        </is>
      </c>
      <c r="I91" s="24" t="inlineStr">
        <is>
          <t>LIVE — wired</t>
        </is>
      </c>
      <c r="J91" s="24" t="n"/>
      <c r="K91" s="21" t="inlineStr">
        <is>
          <t>1/4</t>
        </is>
      </c>
      <c r="L91" s="21" t="inlineStr">
        <is>
          <t>OFF, 15m, 1h, 4h, D (5 options)</t>
        </is>
      </c>
      <c r="M91" s="21" t="inlineStr">
        <is>
          <t>15m</t>
        </is>
      </c>
      <c r="N91" s="21" t="inlineStr">
        <is>
          <t>TF selector</t>
        </is>
      </c>
      <c r="O91" s="21" t="inlineStr">
        <is>
          <t>DC_BREAK_FILTER_TF</t>
        </is>
      </c>
      <c r="P91" s="21" t="inlineStr">
        <is>
          <t>getattr(cfg,"DC_BREAK_FILTER_TF")</t>
        </is>
      </c>
      <c r="Q91" t="inlineStr">
        <is>
          <t>YES</t>
        </is>
      </c>
    </row>
    <row r="92">
      <c r="A92" s="24" t="n">
        <v>22</v>
      </c>
      <c r="B92" s="25" t="inlineStr">
        <is>
          <t>DC_MOMENTUM_BOTA_SCORER_FILTER_TF</t>
        </is>
      </c>
      <c r="C92" s="23" t="inlineStr">
        <is>
          <t>OFF</t>
        </is>
      </c>
      <c r="D92" s="26" t="inlineStr">
        <is>
          <t>BOTA momentum scorer confirmation on FILTER_TF. | Live read: `APTIVE_REGIME_SHARPE_FLOOR', 'BAND_ARROW_ENABLED', 'BAR_PATTERNS_FILTER_TF', 'BB`</t>
        </is>
      </c>
      <c r="E92" s="26" t="inlineStr">
        <is>
          <t>GLOBAL_CHECK</t>
        </is>
      </c>
      <c r="F92" s="24" t="inlineStr">
        <is>
          <t>GLOBAL_CHECK</t>
        </is>
      </c>
      <c r="G92" s="26" t="inlineStr">
        <is>
          <t>DC_MOMENTUM_BOTA_SCORER</t>
        </is>
      </c>
      <c r="H92" s="24" t="inlineStr">
        <is>
          <t>SPECIFIC — only gated switches</t>
        </is>
      </c>
      <c r="I92" s="24" t="inlineStr">
        <is>
          <t>LIVE — wired</t>
        </is>
      </c>
      <c r="J92" s="24" t="n"/>
      <c r="K92" s="21" t="inlineStr">
        <is>
          <t>1/4</t>
        </is>
      </c>
      <c r="L92" s="21" t="inlineStr">
        <is>
          <t>OFF, 15m, 1h, 4h, D (5 options)</t>
        </is>
      </c>
      <c r="M92" s="21" t="inlineStr">
        <is>
          <t>15m</t>
        </is>
      </c>
      <c r="N92" s="21" t="inlineStr">
        <is>
          <t>TF selector</t>
        </is>
      </c>
      <c r="O92" s="21" t="inlineStr">
        <is>
          <t>DC_MOMENTUM_BOTA_SCORER_FILTER_TF</t>
        </is>
      </c>
      <c r="P92" s="21" t="inlineStr">
        <is>
          <t>getattr(cfg,"DC_MOMENTUM_BOTA_SCORER_FILTER_TF")</t>
        </is>
      </c>
      <c r="Q92" t="inlineStr">
        <is>
          <t>NO</t>
        </is>
      </c>
    </row>
    <row r="93">
      <c r="A93" s="24" t="n">
        <v>22</v>
      </c>
      <c r="B93" s="25" t="inlineStr">
        <is>
          <t>DC_MOMENTUM_BOTA_SCORER_FILTER_TF</t>
        </is>
      </c>
      <c r="C93" s="23" t="inlineStr">
        <is>
          <t>D</t>
        </is>
      </c>
      <c r="D93" s="26" t="inlineStr">
        <is>
          <t>BOTA momentum scorer confirmation on FILTER_TF. | Live read: `APTIVE_REGIME_SHARPE_FLOOR', 'BAND_ARROW_ENABLED', 'BAR_PATTERNS_FILTER_TF', 'BB`</t>
        </is>
      </c>
      <c r="E93" s="26" t="inlineStr">
        <is>
          <t>GLOBAL_CHECK</t>
        </is>
      </c>
      <c r="F93" s="24" t="inlineStr">
        <is>
          <t>GLOBAL_CHECK</t>
        </is>
      </c>
      <c r="G93" s="26" t="inlineStr">
        <is>
          <t>DC_MOMENTUM_BOTA_SCORER</t>
        </is>
      </c>
      <c r="H93" s="24" t="inlineStr">
        <is>
          <t>SPECIFIC — only gated switches</t>
        </is>
      </c>
      <c r="I93" s="24" t="inlineStr">
        <is>
          <t>LIVE — wired</t>
        </is>
      </c>
      <c r="J93" s="24" t="n"/>
      <c r="K93" s="21" t="inlineStr">
        <is>
          <t>1/4</t>
        </is>
      </c>
      <c r="L93" s="21" t="inlineStr">
        <is>
          <t>OFF, 15m, 1h, 4h, D (5 options)</t>
        </is>
      </c>
      <c r="M93" s="21" t="inlineStr">
        <is>
          <t>15m</t>
        </is>
      </c>
      <c r="N93" s="21" t="inlineStr">
        <is>
          <t>TF selector</t>
        </is>
      </c>
      <c r="O93" s="21" t="inlineStr">
        <is>
          <t>DC_MOMENTUM_BOTA_SCORER_FILTER_TF</t>
        </is>
      </c>
      <c r="P93" s="21" t="inlineStr">
        <is>
          <t>getattr(cfg,"DC_MOMENTUM_BOTA_SCORER_FILTER_TF")</t>
        </is>
      </c>
      <c r="Q93" t="inlineStr">
        <is>
          <t>NO</t>
        </is>
      </c>
    </row>
    <row r="94">
      <c r="A94" s="24" t="n">
        <v>22</v>
      </c>
      <c r="B94" s="25" t="inlineStr">
        <is>
          <t>DC_MOMENTUM_BOTA_SCORER_FILTER_TF</t>
        </is>
      </c>
      <c r="C94" s="23" t="inlineStr">
        <is>
          <t>4h</t>
        </is>
      </c>
      <c r="D94" s="26" t="inlineStr">
        <is>
          <t>BOTA momentum scorer confirmation on FILTER_TF. | Live read: `APTIVE_REGIME_SHARPE_FLOOR', 'BAND_ARROW_ENABLED', 'BAR_PATTERNS_FILTER_TF', 'BB`</t>
        </is>
      </c>
      <c r="E94" s="26" t="inlineStr">
        <is>
          <t>GLOBAL_CHECK</t>
        </is>
      </c>
      <c r="F94" s="24" t="inlineStr">
        <is>
          <t>GLOBAL_CHECK</t>
        </is>
      </c>
      <c r="G94" s="26" t="inlineStr">
        <is>
          <t>DC_MOMENTUM_BOTA_SCORER</t>
        </is>
      </c>
      <c r="H94" s="24" t="inlineStr">
        <is>
          <t>SPECIFIC — only gated switches</t>
        </is>
      </c>
      <c r="I94" s="24" t="inlineStr">
        <is>
          <t>LIVE — wired</t>
        </is>
      </c>
      <c r="J94" s="24" t="n"/>
      <c r="K94" s="21" t="inlineStr">
        <is>
          <t>1/4</t>
        </is>
      </c>
      <c r="L94" s="21" t="inlineStr">
        <is>
          <t>OFF, 15m, 1h, 4h, D (5 options)</t>
        </is>
      </c>
      <c r="M94" s="21" t="inlineStr">
        <is>
          <t>15m</t>
        </is>
      </c>
      <c r="N94" s="21" t="inlineStr">
        <is>
          <t>TF selector</t>
        </is>
      </c>
      <c r="O94" s="21" t="inlineStr">
        <is>
          <t>DC_MOMENTUM_BOTA_SCORER_FILTER_TF</t>
        </is>
      </c>
      <c r="P94" s="21" t="inlineStr">
        <is>
          <t>getattr(cfg,"DC_MOMENTUM_BOTA_SCORER_FILTER_TF")</t>
        </is>
      </c>
      <c r="Q94" t="inlineStr">
        <is>
          <t>NO</t>
        </is>
      </c>
    </row>
    <row r="95">
      <c r="A95" s="24" t="n">
        <v>22</v>
      </c>
      <c r="B95" s="25" t="inlineStr">
        <is>
          <t>DC_MOMENTUM_BOTA_SCORER_FILTER_TF</t>
        </is>
      </c>
      <c r="C95" s="23" t="inlineStr">
        <is>
          <t>1h</t>
        </is>
      </c>
      <c r="D95" s="26" t="inlineStr">
        <is>
          <t>BOTA momentum scorer confirmation on FILTER_TF. | Live read: `APTIVE_REGIME_SHARPE_FLOOR', 'BAND_ARROW_ENABLED', 'BAR_PATTERNS_FILTER_TF', 'BB`</t>
        </is>
      </c>
      <c r="E95" s="26" t="inlineStr">
        <is>
          <t>GLOBAL_CHECK</t>
        </is>
      </c>
      <c r="F95" s="24" t="inlineStr">
        <is>
          <t>GLOBAL_CHECK</t>
        </is>
      </c>
      <c r="G95" s="26" t="inlineStr">
        <is>
          <t>DC_MOMENTUM_BOTA_SCORER</t>
        </is>
      </c>
      <c r="H95" s="24" t="inlineStr">
        <is>
          <t>SPECIFIC — only gated switches</t>
        </is>
      </c>
      <c r="I95" s="24" t="inlineStr">
        <is>
          <t>LIVE — wired</t>
        </is>
      </c>
      <c r="J95" s="24" t="n"/>
      <c r="K95" s="21" t="inlineStr">
        <is>
          <t>1/4</t>
        </is>
      </c>
      <c r="L95" s="21" t="inlineStr">
        <is>
          <t>OFF, 15m, 1h, 4h, D (5 options)</t>
        </is>
      </c>
      <c r="M95" s="21" t="inlineStr">
        <is>
          <t>15m</t>
        </is>
      </c>
      <c r="N95" s="21" t="inlineStr">
        <is>
          <t>TF selector</t>
        </is>
      </c>
      <c r="O95" s="21" t="inlineStr">
        <is>
          <t>DC_MOMENTUM_BOTA_SCORER_FILTER_TF</t>
        </is>
      </c>
      <c r="P95" s="21" t="inlineStr">
        <is>
          <t>getattr(cfg,"DC_MOMENTUM_BOTA_SCORER_FILTER_TF")</t>
        </is>
      </c>
      <c r="Q95" t="inlineStr">
        <is>
          <t>NO</t>
        </is>
      </c>
    </row>
    <row r="96">
      <c r="A96" s="24" t="n">
        <v>22</v>
      </c>
      <c r="B96" s="27" t="inlineStr">
        <is>
          <t>DC_MOMENTUM_BOTA_SCORER_FILTER_TF</t>
        </is>
      </c>
      <c r="C96" s="19" t="inlineStr">
        <is>
          <t>15m</t>
        </is>
      </c>
      <c r="D96" s="26" t="inlineStr">
        <is>
          <t>BOTA momentum scorer confirmation on FILTER_TF. | Live read: `APTIVE_REGIME_SHARPE_FLOOR', 'BAND_ARROW_ENABLED', 'BAR_PATTERNS_FILTER_TF', 'BB`</t>
        </is>
      </c>
      <c r="E96" s="26" t="inlineStr">
        <is>
          <t>GLOBAL_CHECK</t>
        </is>
      </c>
      <c r="F96" s="24" t="inlineStr">
        <is>
          <t>GLOBAL_CHECK</t>
        </is>
      </c>
      <c r="G96" s="26" t="inlineStr">
        <is>
          <t>DC_MOMENTUM_BOTA_SCORER</t>
        </is>
      </c>
      <c r="H96" s="24" t="inlineStr">
        <is>
          <t>SPECIFIC — only gated switches</t>
        </is>
      </c>
      <c r="I96" s="24" t="inlineStr">
        <is>
          <t>LIVE — wired</t>
        </is>
      </c>
      <c r="J96" s="24" t="n"/>
      <c r="K96" s="21" t="inlineStr">
        <is>
          <t>1/4</t>
        </is>
      </c>
      <c r="L96" s="21" t="inlineStr">
        <is>
          <t>OFF, 15m, 1h, 4h, D (5 options)</t>
        </is>
      </c>
      <c r="M96" s="21" t="inlineStr">
        <is>
          <t>15m</t>
        </is>
      </c>
      <c r="N96" s="21" t="inlineStr">
        <is>
          <t>TF selector</t>
        </is>
      </c>
      <c r="O96" s="21" t="inlineStr">
        <is>
          <t>DC_MOMENTUM_BOTA_SCORER_FILTER_TF</t>
        </is>
      </c>
      <c r="P96" s="21" t="inlineStr">
        <is>
          <t>getattr(cfg,"DC_MOMENTUM_BOTA_SCORER_FILTER_TF")</t>
        </is>
      </c>
      <c r="Q96" t="inlineStr">
        <is>
          <t>YES</t>
        </is>
      </c>
    </row>
    <row r="97">
      <c r="A97" s="17" t="n">
        <v>23</v>
      </c>
      <c r="B97" s="18" t="inlineStr">
        <is>
          <t>DC_MOMENT_STRONG_THRESHOLD</t>
        </is>
      </c>
      <c r="C97" s="19" t="inlineStr">
        <is>
          <t>40</t>
        </is>
      </c>
      <c r="D97" s="20" t="inlineStr">
        <is>
          <t>Threshold for strong momentum regime (DC momentum). | Live read: `ROW_ENABLED', 'BAR_PATTERNS_FILTER_TF', 'BB_PULLBACK_GATE_FILTER_TF', 'BB_PULLBA`</t>
        </is>
      </c>
      <c r="E97" s="20" t="inlineStr">
        <is>
          <t>ENTRY, GLOBAL_CHECK, STOCKS_EXIT</t>
        </is>
      </c>
      <c r="F97" s="17" t="inlineStr">
        <is>
          <t>ENTRY, GLOBAL_CHECK, STOCKS_EXIT</t>
        </is>
      </c>
      <c r="G97" s="20" t="inlineStr">
        <is>
          <t>DC_MOMENT_STRONG_THRESHOLD</t>
        </is>
      </c>
      <c r="H97" s="17" t="inlineStr">
        <is>
          <t>GENERAL</t>
        </is>
      </c>
      <c r="I97" s="17" t="inlineStr">
        <is>
          <t>LIVE — wired</t>
        </is>
      </c>
      <c r="J97" s="17" t="n"/>
      <c r="K97" s="21" t="inlineStr">
        <is>
          <t>—</t>
        </is>
      </c>
      <c r="L97" s="21" t="inlineStr">
        <is>
          <t>40.0, ±25%, ±50% (4)</t>
        </is>
      </c>
      <c r="M97" s="21" t="inlineStr">
        <is>
          <t>40.0</t>
        </is>
      </c>
      <c r="N97" s="21" t="inlineStr">
        <is>
          <t>threshold</t>
        </is>
      </c>
      <c r="O97" s="21" t="inlineStr">
        <is>
          <t>DC_MOMENT_STRONG_THRESHOLD</t>
        </is>
      </c>
      <c r="P97" s="21" t="inlineStr">
        <is>
          <t>getattr(cfg,"DC_MOMENT_STRONG_THRESHOLD")</t>
        </is>
      </c>
      <c r="Q97" t="inlineStr">
        <is>
          <t>YES</t>
        </is>
      </c>
    </row>
    <row r="98">
      <c r="A98" s="17" t="n">
        <v>23</v>
      </c>
      <c r="B98" s="22" t="inlineStr">
        <is>
          <t>DC_MOMENT_STRONG_THRESHOLD</t>
        </is>
      </c>
      <c r="C98" s="23" t="inlineStr">
        <is>
          <t>50</t>
        </is>
      </c>
      <c r="D98" s="20" t="inlineStr">
        <is>
          <t>Threshold for strong momentum regime (DC momentum). | Live read: `ROW_ENABLED', 'BAR_PATTERNS_FILTER_TF', 'BB_PULLBACK_GATE_FILTER_TF', 'BB_PULLBA`</t>
        </is>
      </c>
      <c r="E98" s="20" t="inlineStr">
        <is>
          <t>ENTRY, GLOBAL_CHECK, STOCKS_EXIT</t>
        </is>
      </c>
      <c r="F98" s="17" t="inlineStr">
        <is>
          <t>ENTRY, GLOBAL_CHECK, STOCKS_EXIT</t>
        </is>
      </c>
      <c r="G98" s="20" t="inlineStr">
        <is>
          <t>DC_MOMENT_STRONG_THRESHOLD</t>
        </is>
      </c>
      <c r="H98" s="17" t="inlineStr">
        <is>
          <t>GENERAL</t>
        </is>
      </c>
      <c r="I98" s="17" t="inlineStr">
        <is>
          <t>LIVE — wired</t>
        </is>
      </c>
      <c r="J98" s="17" t="n"/>
      <c r="K98" s="21" t="inlineStr">
        <is>
          <t>—</t>
        </is>
      </c>
      <c r="L98" s="21" t="inlineStr">
        <is>
          <t>40.0, ±25%, ±50% (4)</t>
        </is>
      </c>
      <c r="M98" s="21" t="inlineStr">
        <is>
          <t>40.0</t>
        </is>
      </c>
      <c r="N98" s="21" t="inlineStr">
        <is>
          <t>threshold</t>
        </is>
      </c>
      <c r="O98" s="21" t="inlineStr">
        <is>
          <t>DC_MOMENT_STRONG_THRESHOLD</t>
        </is>
      </c>
      <c r="P98" s="21" t="inlineStr">
        <is>
          <t>getattr(cfg,"DC_MOMENT_STRONG_THRESHOLD")</t>
        </is>
      </c>
      <c r="Q98" t="inlineStr">
        <is>
          <t>NO</t>
        </is>
      </c>
    </row>
    <row r="99">
      <c r="A99" s="17" t="n">
        <v>23</v>
      </c>
      <c r="B99" s="22" t="inlineStr">
        <is>
          <t>DC_MOMENT_STRONG_THRESHOLD</t>
        </is>
      </c>
      <c r="C99" s="23" t="inlineStr">
        <is>
          <t>30</t>
        </is>
      </c>
      <c r="D99" s="20" t="inlineStr">
        <is>
          <t>Threshold for strong momentum regime (DC momentum). | Live read: `ROW_ENABLED', 'BAR_PATTERNS_FILTER_TF', 'BB_PULLBACK_GATE_FILTER_TF', 'BB_PULLBA`</t>
        </is>
      </c>
      <c r="E99" s="20" t="inlineStr">
        <is>
          <t>ENTRY, GLOBAL_CHECK, STOCKS_EXIT</t>
        </is>
      </c>
      <c r="F99" s="17" t="inlineStr">
        <is>
          <t>ENTRY, GLOBAL_CHECK, STOCKS_EXIT</t>
        </is>
      </c>
      <c r="G99" s="20" t="inlineStr">
        <is>
          <t>DC_MOMENT_STRONG_THRESHOLD</t>
        </is>
      </c>
      <c r="H99" s="17" t="inlineStr">
        <is>
          <t>GENERAL</t>
        </is>
      </c>
      <c r="I99" s="17" t="inlineStr">
        <is>
          <t>LIVE — wired</t>
        </is>
      </c>
      <c r="J99" s="17" t="n"/>
      <c r="K99" s="21" t="inlineStr">
        <is>
          <t>—</t>
        </is>
      </c>
      <c r="L99" s="21" t="inlineStr">
        <is>
          <t>40.0, ±25%, ±50% (4)</t>
        </is>
      </c>
      <c r="M99" s="21" t="inlineStr">
        <is>
          <t>40.0</t>
        </is>
      </c>
      <c r="N99" s="21" t="inlineStr">
        <is>
          <t>threshold</t>
        </is>
      </c>
      <c r="O99" s="21" t="inlineStr">
        <is>
          <t>DC_MOMENT_STRONG_THRESHOLD</t>
        </is>
      </c>
      <c r="P99" s="21" t="inlineStr">
        <is>
          <t>getattr(cfg,"DC_MOMENT_STRONG_THRESHOLD")</t>
        </is>
      </c>
      <c r="Q99" t="inlineStr">
        <is>
          <t>NO</t>
        </is>
      </c>
    </row>
    <row r="100">
      <c r="A100" s="17" t="n">
        <v>23</v>
      </c>
      <c r="B100" s="22" t="inlineStr">
        <is>
          <t>DC_MOMENT_STRONG_THRESHOLD</t>
        </is>
      </c>
      <c r="C100" s="23" t="inlineStr">
        <is>
          <t>20</t>
        </is>
      </c>
      <c r="D100" s="20" t="inlineStr">
        <is>
          <t>Threshold for strong momentum regime (DC momentum). | Live read: `ROW_ENABLED', 'BAR_PATTERNS_FILTER_TF', 'BB_PULLBACK_GATE_FILTER_TF', 'BB_PULLBA`</t>
        </is>
      </c>
      <c r="E100" s="20" t="inlineStr">
        <is>
          <t>ENTRY, GLOBAL_CHECK, STOCKS_EXIT</t>
        </is>
      </c>
      <c r="F100" s="17" t="inlineStr">
        <is>
          <t>ENTRY, GLOBAL_CHECK, STOCKS_EXIT</t>
        </is>
      </c>
      <c r="G100" s="20" t="inlineStr">
        <is>
          <t>DC_MOMENT_STRONG_THRESHOLD</t>
        </is>
      </c>
      <c r="H100" s="17" t="inlineStr">
        <is>
          <t>GENERAL</t>
        </is>
      </c>
      <c r="I100" s="17" t="inlineStr">
        <is>
          <t>LIVE — wired</t>
        </is>
      </c>
      <c r="J100" s="17" t="n"/>
      <c r="K100" s="21" t="inlineStr">
        <is>
          <t>—</t>
        </is>
      </c>
      <c r="L100" s="21" t="inlineStr">
        <is>
          <t>40.0, ±25%, ±50% (4)</t>
        </is>
      </c>
      <c r="M100" s="21" t="inlineStr">
        <is>
          <t>40.0</t>
        </is>
      </c>
      <c r="N100" s="21" t="inlineStr">
        <is>
          <t>threshold</t>
        </is>
      </c>
      <c r="O100" s="21" t="inlineStr">
        <is>
          <t>DC_MOMENT_STRONG_THRESHOLD</t>
        </is>
      </c>
      <c r="P100" s="21" t="inlineStr">
        <is>
          <t>getattr(cfg,"DC_MOMENT_STRONG_THRESHOLD")</t>
        </is>
      </c>
      <c r="Q100" t="inlineStr">
        <is>
          <t>NO</t>
        </is>
      </c>
    </row>
    <row r="101">
      <c r="A101" s="24" t="n">
        <v>24</v>
      </c>
      <c r="B101" s="25" t="inlineStr">
        <is>
          <t>DELTA_ENGINE_FILTER_TF</t>
        </is>
      </c>
      <c r="C101" s="23" t="inlineStr">
        <is>
          <t>OFF</t>
        </is>
      </c>
      <c r="D101" s="26" t="inlineStr">
        <is>
          <t>Delta (order-flow) engine confirmation TF. | Live read: `LTER_TF', 'BB_PULLBACK_GATE_FILTER_TF', 'BB_PULLBACK_GATE_MIN_TFS', 'BB_RECOVERY`</t>
        </is>
      </c>
      <c r="E101" s="26" t="inlineStr">
        <is>
          <t>GLOBAL_CHECK</t>
        </is>
      </c>
      <c r="F101" s="24" t="inlineStr">
        <is>
          <t>GLOBAL_CHECK</t>
        </is>
      </c>
      <c r="G101" s="26" t="inlineStr">
        <is>
          <t>DELTA_ENGINE</t>
        </is>
      </c>
      <c r="H101" s="24" t="inlineStr">
        <is>
          <t>SPECIFIC — only gated switches</t>
        </is>
      </c>
      <c r="I101" s="24" t="inlineStr">
        <is>
          <t>LIVE — wired</t>
        </is>
      </c>
      <c r="J101" s="24" t="n"/>
      <c r="K101" s="21" t="inlineStr">
        <is>
          <t>1/4</t>
        </is>
      </c>
      <c r="L101" s="21" t="inlineStr">
        <is>
          <t>OFF, 15m, 1h, 4h, D (5 options)</t>
        </is>
      </c>
      <c r="M101" s="21" t="inlineStr">
        <is>
          <t>15m</t>
        </is>
      </c>
      <c r="N101" s="21" t="inlineStr">
        <is>
          <t>TF selector</t>
        </is>
      </c>
      <c r="O101" s="21" t="inlineStr">
        <is>
          <t>DELTA_ENGINE_FILTER_TF</t>
        </is>
      </c>
      <c r="P101" s="21" t="inlineStr">
        <is>
          <t>getattr(cfg,"DELTA_ENGINE_FILTER_TF")</t>
        </is>
      </c>
      <c r="Q101" t="inlineStr">
        <is>
          <t>NO</t>
        </is>
      </c>
    </row>
    <row r="102">
      <c r="A102" s="24" t="n">
        <v>24</v>
      </c>
      <c r="B102" s="25" t="inlineStr">
        <is>
          <t>DELTA_ENGINE_FILTER_TF</t>
        </is>
      </c>
      <c r="C102" s="23" t="inlineStr">
        <is>
          <t>D</t>
        </is>
      </c>
      <c r="D102" s="26" t="inlineStr">
        <is>
          <t>Delta (order-flow) engine confirmation TF. | Live read: `LTER_TF', 'BB_PULLBACK_GATE_FILTER_TF', 'BB_PULLBACK_GATE_MIN_TFS', 'BB_RECOVERY`</t>
        </is>
      </c>
      <c r="E102" s="26" t="inlineStr">
        <is>
          <t>GLOBAL_CHECK</t>
        </is>
      </c>
      <c r="F102" s="24" t="inlineStr">
        <is>
          <t>GLOBAL_CHECK</t>
        </is>
      </c>
      <c r="G102" s="26" t="inlineStr">
        <is>
          <t>DELTA_ENGINE</t>
        </is>
      </c>
      <c r="H102" s="24" t="inlineStr">
        <is>
          <t>SPECIFIC — only gated switches</t>
        </is>
      </c>
      <c r="I102" s="24" t="inlineStr">
        <is>
          <t>LIVE — wired</t>
        </is>
      </c>
      <c r="J102" s="24" t="n"/>
      <c r="K102" s="21" t="inlineStr">
        <is>
          <t>1/4</t>
        </is>
      </c>
      <c r="L102" s="21" t="inlineStr">
        <is>
          <t>OFF, 15m, 1h, 4h, D (5 options)</t>
        </is>
      </c>
      <c r="M102" s="21" t="inlineStr">
        <is>
          <t>15m</t>
        </is>
      </c>
      <c r="N102" s="21" t="inlineStr">
        <is>
          <t>TF selector</t>
        </is>
      </c>
      <c r="O102" s="21" t="inlineStr">
        <is>
          <t>DELTA_ENGINE_FILTER_TF</t>
        </is>
      </c>
      <c r="P102" s="21" t="inlineStr">
        <is>
          <t>getattr(cfg,"DELTA_ENGINE_FILTER_TF")</t>
        </is>
      </c>
      <c r="Q102" t="inlineStr">
        <is>
          <t>NO</t>
        </is>
      </c>
    </row>
    <row r="103">
      <c r="A103" s="24" t="n">
        <v>24</v>
      </c>
      <c r="B103" s="25" t="inlineStr">
        <is>
          <t>DELTA_ENGINE_FILTER_TF</t>
        </is>
      </c>
      <c r="C103" s="23" t="inlineStr">
        <is>
          <t>4h</t>
        </is>
      </c>
      <c r="D103" s="26" t="inlineStr">
        <is>
          <t>Delta (order-flow) engine confirmation TF. | Live read: `LTER_TF', 'BB_PULLBACK_GATE_FILTER_TF', 'BB_PULLBACK_GATE_MIN_TFS', 'BB_RECOVERY`</t>
        </is>
      </c>
      <c r="E103" s="26" t="inlineStr">
        <is>
          <t>GLOBAL_CHECK</t>
        </is>
      </c>
      <c r="F103" s="24" t="inlineStr">
        <is>
          <t>GLOBAL_CHECK</t>
        </is>
      </c>
      <c r="G103" s="26" t="inlineStr">
        <is>
          <t>DELTA_ENGINE</t>
        </is>
      </c>
      <c r="H103" s="24" t="inlineStr">
        <is>
          <t>SPECIFIC — only gated switches</t>
        </is>
      </c>
      <c r="I103" s="24" t="inlineStr">
        <is>
          <t>LIVE — wired</t>
        </is>
      </c>
      <c r="J103" s="24" t="n"/>
      <c r="K103" s="21" t="inlineStr">
        <is>
          <t>1/4</t>
        </is>
      </c>
      <c r="L103" s="21" t="inlineStr">
        <is>
          <t>OFF, 15m, 1h, 4h, D (5 options)</t>
        </is>
      </c>
      <c r="M103" s="21" t="inlineStr">
        <is>
          <t>15m</t>
        </is>
      </c>
      <c r="N103" s="21" t="inlineStr">
        <is>
          <t>TF selector</t>
        </is>
      </c>
      <c r="O103" s="21" t="inlineStr">
        <is>
          <t>DELTA_ENGINE_FILTER_TF</t>
        </is>
      </c>
      <c r="P103" s="21" t="inlineStr">
        <is>
          <t>getattr(cfg,"DELTA_ENGINE_FILTER_TF")</t>
        </is>
      </c>
      <c r="Q103" t="inlineStr">
        <is>
          <t>NO</t>
        </is>
      </c>
    </row>
    <row r="104">
      <c r="A104" s="24" t="n">
        <v>24</v>
      </c>
      <c r="B104" s="25" t="inlineStr">
        <is>
          <t>DELTA_ENGINE_FILTER_TF</t>
        </is>
      </c>
      <c r="C104" s="23" t="inlineStr">
        <is>
          <t>1h</t>
        </is>
      </c>
      <c r="D104" s="26" t="inlineStr">
        <is>
          <t>Delta (order-flow) engine confirmation TF. | Live read: `LTER_TF', 'BB_PULLBACK_GATE_FILTER_TF', 'BB_PULLBACK_GATE_MIN_TFS', 'BB_RECOVERY`</t>
        </is>
      </c>
      <c r="E104" s="26" t="inlineStr">
        <is>
          <t>GLOBAL_CHECK</t>
        </is>
      </c>
      <c r="F104" s="24" t="inlineStr">
        <is>
          <t>GLOBAL_CHECK</t>
        </is>
      </c>
      <c r="G104" s="26" t="inlineStr">
        <is>
          <t>DELTA_ENGINE</t>
        </is>
      </c>
      <c r="H104" s="24" t="inlineStr">
        <is>
          <t>SPECIFIC — only gated switches</t>
        </is>
      </c>
      <c r="I104" s="24" t="inlineStr">
        <is>
          <t>LIVE — wired</t>
        </is>
      </c>
      <c r="J104" s="24" t="n"/>
      <c r="K104" s="21" t="inlineStr">
        <is>
          <t>1/4</t>
        </is>
      </c>
      <c r="L104" s="21" t="inlineStr">
        <is>
          <t>OFF, 15m, 1h, 4h, D (5 options)</t>
        </is>
      </c>
      <c r="M104" s="21" t="inlineStr">
        <is>
          <t>15m</t>
        </is>
      </c>
      <c r="N104" s="21" t="inlineStr">
        <is>
          <t>TF selector</t>
        </is>
      </c>
      <c r="O104" s="21" t="inlineStr">
        <is>
          <t>DELTA_ENGINE_FILTER_TF</t>
        </is>
      </c>
      <c r="P104" s="21" t="inlineStr">
        <is>
          <t>getattr(cfg,"DELTA_ENGINE_FILTER_TF")</t>
        </is>
      </c>
      <c r="Q104" t="inlineStr">
        <is>
          <t>NO</t>
        </is>
      </c>
    </row>
    <row r="105">
      <c r="A105" s="24" t="n">
        <v>24</v>
      </c>
      <c r="B105" s="27" t="inlineStr">
        <is>
          <t>DELTA_ENGINE_FILTER_TF</t>
        </is>
      </c>
      <c r="C105" s="19" t="inlineStr">
        <is>
          <t>15m</t>
        </is>
      </c>
      <c r="D105" s="26" t="inlineStr">
        <is>
          <t>Delta (order-flow) engine confirmation TF. | Live read: `LTER_TF', 'BB_PULLBACK_GATE_FILTER_TF', 'BB_PULLBACK_GATE_MIN_TFS', 'BB_RECOVERY`</t>
        </is>
      </c>
      <c r="E105" s="26" t="inlineStr">
        <is>
          <t>GLOBAL_CHECK</t>
        </is>
      </c>
      <c r="F105" s="24" t="inlineStr">
        <is>
          <t>GLOBAL_CHECK</t>
        </is>
      </c>
      <c r="G105" s="26" t="inlineStr">
        <is>
          <t>DELTA_ENGINE</t>
        </is>
      </c>
      <c r="H105" s="24" t="inlineStr">
        <is>
          <t>SPECIFIC — only gated switches</t>
        </is>
      </c>
      <c r="I105" s="24" t="inlineStr">
        <is>
          <t>LIVE — wired</t>
        </is>
      </c>
      <c r="J105" s="24" t="n"/>
      <c r="K105" s="21" t="inlineStr">
        <is>
          <t>1/4</t>
        </is>
      </c>
      <c r="L105" s="21" t="inlineStr">
        <is>
          <t>OFF, 15m, 1h, 4h, D (5 options)</t>
        </is>
      </c>
      <c r="M105" s="21" t="inlineStr">
        <is>
          <t>15m</t>
        </is>
      </c>
      <c r="N105" s="21" t="inlineStr">
        <is>
          <t>TF selector</t>
        </is>
      </c>
      <c r="O105" s="21" t="inlineStr">
        <is>
          <t>DELTA_ENGINE_FILTER_TF</t>
        </is>
      </c>
      <c r="P105" s="21" t="inlineStr">
        <is>
          <t>getattr(cfg,"DELTA_ENGINE_FILTER_TF")</t>
        </is>
      </c>
      <c r="Q105" t="inlineStr">
        <is>
          <t>YES</t>
        </is>
      </c>
    </row>
    <row r="106">
      <c r="A106" s="17" t="n">
        <v>25</v>
      </c>
      <c r="B106" s="18" t="inlineStr">
        <is>
          <t>DELTA_HTF_GATE</t>
        </is>
      </c>
      <c r="C106" s="19" t="inlineStr">
        <is>
          <t>4h</t>
        </is>
      </c>
      <c r="D106" s="20" t="inlineStr">
        <is>
          <t>Delta HTF alignment gate (requires HTF delta agreement). | Live read: `N_TFS', 'BB_RECOVERY_FILTER_TF', 'BTC_DEDICATED_FILTER_TF', 'BTC_DIVERGENCE_REQU`</t>
        </is>
      </c>
      <c r="E106" s="20" t="inlineStr">
        <is>
          <t>ENTRY, GLOBAL_CHECK, STOCKS_EXIT</t>
        </is>
      </c>
      <c r="F106" s="17" t="inlineStr">
        <is>
          <t>ENTRY, GLOBAL_CHECK, STOCKS_EXIT</t>
        </is>
      </c>
      <c r="G106" s="20" t="inlineStr">
        <is>
          <t>DELTA_HTF_GATE</t>
        </is>
      </c>
      <c r="H106" s="17" t="inlineStr">
        <is>
          <t>GENERAL</t>
        </is>
      </c>
      <c r="I106" s="17" t="inlineStr">
        <is>
          <t>LIVE — wired</t>
        </is>
      </c>
      <c r="J106" s="17" t="n"/>
      <c r="K106" s="21" t="inlineStr">
        <is>
          <t>—</t>
        </is>
      </c>
      <c r="L106" s="21" t="inlineStr">
        <is>
          <t>4h, alt</t>
        </is>
      </c>
      <c r="M106" s="21" t="inlineStr">
        <is>
          <t>4h</t>
        </is>
      </c>
      <c r="N106" s="21" t="inlineStr">
        <is>
          <t>param</t>
        </is>
      </c>
      <c r="O106" s="21" t="inlineStr">
        <is>
          <t>DELTA_HTF_GATE</t>
        </is>
      </c>
      <c r="P106" s="21" t="inlineStr">
        <is>
          <t>getattr(cfg,"DELTA_HTF_GATE")</t>
        </is>
      </c>
      <c r="Q106" t="inlineStr">
        <is>
          <t>YES</t>
        </is>
      </c>
    </row>
    <row r="107">
      <c r="A107" s="17" t="n">
        <v>25</v>
      </c>
      <c r="B107" s="22" t="inlineStr">
        <is>
          <t>DELTA_HTF_GATE</t>
        </is>
      </c>
      <c r="C107" s="23" t="inlineStr">
        <is>
          <t>4h_ALT</t>
        </is>
      </c>
      <c r="D107" s="20" t="inlineStr">
        <is>
          <t>Delta HTF alignment gate (requires HTF delta agreement). | Live read: `N_TFS', 'BB_RECOVERY_FILTER_TF', 'BTC_DEDICATED_FILTER_TF', 'BTC_DIVERGENCE_REQU`</t>
        </is>
      </c>
      <c r="E107" s="20" t="inlineStr">
        <is>
          <t>ENTRY, GLOBAL_CHECK, STOCKS_EXIT</t>
        </is>
      </c>
      <c r="F107" s="17" t="inlineStr">
        <is>
          <t>ENTRY, GLOBAL_CHECK, STOCKS_EXIT</t>
        </is>
      </c>
      <c r="G107" s="20" t="inlineStr">
        <is>
          <t>DELTA_HTF_GATE</t>
        </is>
      </c>
      <c r="H107" s="17" t="inlineStr">
        <is>
          <t>GENERAL</t>
        </is>
      </c>
      <c r="I107" s="17" t="inlineStr">
        <is>
          <t>LIVE — wired</t>
        </is>
      </c>
      <c r="J107" s="17" t="n"/>
      <c r="K107" s="21" t="inlineStr">
        <is>
          <t>—</t>
        </is>
      </c>
      <c r="L107" s="21" t="inlineStr">
        <is>
          <t>4h, alt</t>
        </is>
      </c>
      <c r="M107" s="21" t="inlineStr">
        <is>
          <t>4h</t>
        </is>
      </c>
      <c r="N107" s="21" t="inlineStr">
        <is>
          <t>param</t>
        </is>
      </c>
      <c r="O107" s="21" t="inlineStr">
        <is>
          <t>DELTA_HTF_GATE</t>
        </is>
      </c>
      <c r="P107" s="21" t="inlineStr">
        <is>
          <t>getattr(cfg,"DELTA_HTF_GATE")</t>
        </is>
      </c>
      <c r="Q107" t="inlineStr">
        <is>
          <t>NO</t>
        </is>
      </c>
    </row>
    <row r="108">
      <c r="A108" s="17" t="n">
        <v>26</v>
      </c>
      <c r="B108" s="18" t="inlineStr">
        <is>
          <t>DELTA_REENTRY_FILTER_ENABLED</t>
        </is>
      </c>
      <c r="C108" s="19" t="inlineStr">
        <is>
          <t>False</t>
        </is>
      </c>
      <c r="D108" s="20" t="inlineStr">
        <is>
          <t>When OFF, disables delta-based reentry gating. | Live read: `Y_REQUIRE_TREND', 'BTC_ENTRY_PRIMARY_REQUIRE_ACCEL_RAMP', 'BTC_ENTRY_PRIMARY_REQ`</t>
        </is>
      </c>
      <c r="E108" s="20" t="inlineStr">
        <is>
          <t>ENTRY, GLOBAL_CHECK, STOCKS_EXIT</t>
        </is>
      </c>
      <c r="F108" s="17" t="inlineStr">
        <is>
          <t>ENTRY, GLOBAL_CHECK, STOCKS_EXIT</t>
        </is>
      </c>
      <c r="G108" s="20" t="inlineStr">
        <is>
          <t>DELTA_REENTRY_FILTER_ENABLED</t>
        </is>
      </c>
      <c r="H108" s="17" t="inlineStr">
        <is>
          <t>GENERAL</t>
        </is>
      </c>
      <c r="I108" s="17" t="inlineStr">
        <is>
          <t>LIVE — wired</t>
        </is>
      </c>
      <c r="J108" s="17" t="n"/>
      <c r="K108" s="21" t="inlineStr">
        <is>
          <t>—</t>
        </is>
      </c>
      <c r="L108" s="21" t="inlineStr">
        <is>
          <t>False, True (2)</t>
        </is>
      </c>
      <c r="M108" s="21" t="inlineStr">
        <is>
          <t>False</t>
        </is>
      </c>
      <c r="N108" s="21" t="inlineStr">
        <is>
          <t>bool gate</t>
        </is>
      </c>
      <c r="O108" s="21" t="inlineStr">
        <is>
          <t>DELTA_REENTRY_FILTER_ENABLED</t>
        </is>
      </c>
      <c r="P108" s="21" t="inlineStr">
        <is>
          <t>getattr(cfg,"DELTA_REENTRY_FILTER_ENABLED")</t>
        </is>
      </c>
      <c r="Q108" t="inlineStr">
        <is>
          <t>YES</t>
        </is>
      </c>
    </row>
    <row r="109">
      <c r="A109" s="17" t="n">
        <v>26</v>
      </c>
      <c r="B109" s="22" t="inlineStr">
        <is>
          <t>DELTA_REENTRY_FILTER_ENABLED</t>
        </is>
      </c>
      <c r="C109" s="23" t="inlineStr">
        <is>
          <t>True</t>
        </is>
      </c>
      <c r="D109" s="20" t="inlineStr">
        <is>
          <t>When OFF, disables delta-based reentry gating. | Live read: `Y_REQUIRE_TREND', 'BTC_ENTRY_PRIMARY_REQUIRE_ACCEL_RAMP', 'BTC_ENTRY_PRIMARY_REQ`</t>
        </is>
      </c>
      <c r="E109" s="20" t="inlineStr">
        <is>
          <t>ENTRY, GLOBAL_CHECK, STOCKS_EXIT</t>
        </is>
      </c>
      <c r="F109" s="17" t="inlineStr">
        <is>
          <t>ENTRY, GLOBAL_CHECK, STOCKS_EXIT</t>
        </is>
      </c>
      <c r="G109" s="20" t="inlineStr">
        <is>
          <t>DELTA_REENTRY_FILTER_ENABLED</t>
        </is>
      </c>
      <c r="H109" s="17" t="inlineStr">
        <is>
          <t>GENERAL</t>
        </is>
      </c>
      <c r="I109" s="17" t="inlineStr">
        <is>
          <t>LIVE — wired</t>
        </is>
      </c>
      <c r="J109" s="17" t="n"/>
      <c r="K109" s="21" t="inlineStr">
        <is>
          <t>—</t>
        </is>
      </c>
      <c r="L109" s="21" t="inlineStr">
        <is>
          <t>False, True (2)</t>
        </is>
      </c>
      <c r="M109" s="21" t="inlineStr">
        <is>
          <t>False</t>
        </is>
      </c>
      <c r="N109" s="21" t="inlineStr">
        <is>
          <t>bool gate</t>
        </is>
      </c>
      <c r="O109" s="21" t="inlineStr">
        <is>
          <t>DELTA_REENTRY_FILTER_ENABLED</t>
        </is>
      </c>
      <c r="P109" s="21" t="inlineStr">
        <is>
          <t>getattr(cfg,"DELTA_REENTRY_FILTER_ENABLED")</t>
        </is>
      </c>
      <c r="Q109" t="inlineStr">
        <is>
          <t>NO</t>
        </is>
      </c>
    </row>
    <row r="110">
      <c r="A110" s="17" t="n">
        <v>27</v>
      </c>
      <c r="B110" s="22" t="inlineStr">
        <is>
          <t>DUP_GUARD_FILTER_TF</t>
        </is>
      </c>
      <c r="C110" s="23" t="inlineStr">
        <is>
          <t>OFF</t>
        </is>
      </c>
      <c r="D110" s="20" t="inlineStr">
        <is>
          <t>Duplicate guard — prevents re-entering same signal on FILTER_TF. | Live read: `DIVERGENCE_REQUIRE_D_CONFIRM_BARS', 'BTC_HARD_BLOCK_OTHER_ACCOUNTS', 'BTC_REGIME`</t>
        </is>
      </c>
      <c r="E110" s="20" t="inlineStr">
        <is>
          <t>GLOBAL_CHECK</t>
        </is>
      </c>
      <c r="F110" s="17" t="inlineStr">
        <is>
          <t>GLOBAL_CHECK</t>
        </is>
      </c>
      <c r="G110" s="20" t="inlineStr">
        <is>
          <t>DUP_GUARD</t>
        </is>
      </c>
      <c r="H110" s="17" t="inlineStr">
        <is>
          <t>GENERAL — uniform</t>
        </is>
      </c>
      <c r="I110" s="17" t="inlineStr">
        <is>
          <t>LIVE — wired</t>
        </is>
      </c>
      <c r="J110" s="17" t="n"/>
      <c r="K110" s="21" t="inlineStr">
        <is>
          <t>1/4</t>
        </is>
      </c>
      <c r="L110" s="21" t="inlineStr">
        <is>
          <t>OFF, 15m, 1h, 4h, D (5 options)</t>
        </is>
      </c>
      <c r="M110" s="21" t="inlineStr">
        <is>
          <t>15m</t>
        </is>
      </c>
      <c r="N110" s="21" t="inlineStr">
        <is>
          <t>TF selector</t>
        </is>
      </c>
      <c r="O110" s="21" t="inlineStr">
        <is>
          <t>DUP_GUARD_FILTER_TF</t>
        </is>
      </c>
      <c r="P110" s="21" t="inlineStr">
        <is>
          <t>getattr(cfg,"DUP_GUARD_FILTER_TF")</t>
        </is>
      </c>
      <c r="Q110" t="inlineStr">
        <is>
          <t>NO</t>
        </is>
      </c>
    </row>
    <row r="111">
      <c r="A111" s="17" t="n">
        <v>27</v>
      </c>
      <c r="B111" s="22" t="inlineStr">
        <is>
          <t>DUP_GUARD_FILTER_TF</t>
        </is>
      </c>
      <c r="C111" s="23" t="inlineStr">
        <is>
          <t>D</t>
        </is>
      </c>
      <c r="D111" s="20" t="inlineStr">
        <is>
          <t>Duplicate guard — prevents re-entering same signal on FILTER_TF. | Live read: `DIVERGENCE_REQUIRE_D_CONFIRM_BARS', 'BTC_HARD_BLOCK_OTHER_ACCOUNTS', 'BTC_REGIME`</t>
        </is>
      </c>
      <c r="E111" s="20" t="inlineStr">
        <is>
          <t>GLOBAL_CHECK</t>
        </is>
      </c>
      <c r="F111" s="17" t="inlineStr">
        <is>
          <t>GLOBAL_CHECK</t>
        </is>
      </c>
      <c r="G111" s="20" t="inlineStr">
        <is>
          <t>DUP_GUARD</t>
        </is>
      </c>
      <c r="H111" s="17" t="inlineStr">
        <is>
          <t>GENERAL — uniform</t>
        </is>
      </c>
      <c r="I111" s="17" t="inlineStr">
        <is>
          <t>LIVE — wired</t>
        </is>
      </c>
      <c r="J111" s="17" t="n"/>
      <c r="K111" s="21" t="inlineStr">
        <is>
          <t>1/4</t>
        </is>
      </c>
      <c r="L111" s="21" t="inlineStr">
        <is>
          <t>OFF, 15m, 1h, 4h, D (5 options)</t>
        </is>
      </c>
      <c r="M111" s="21" t="inlineStr">
        <is>
          <t>15m</t>
        </is>
      </c>
      <c r="N111" s="21" t="inlineStr">
        <is>
          <t>TF selector</t>
        </is>
      </c>
      <c r="O111" s="21" t="inlineStr">
        <is>
          <t>DUP_GUARD_FILTER_TF</t>
        </is>
      </c>
      <c r="P111" s="21" t="inlineStr">
        <is>
          <t>getattr(cfg,"DUP_GUARD_FILTER_TF")</t>
        </is>
      </c>
      <c r="Q111" t="inlineStr">
        <is>
          <t>NO</t>
        </is>
      </c>
    </row>
    <row r="112">
      <c r="A112" s="17" t="n">
        <v>27</v>
      </c>
      <c r="B112" s="22" t="inlineStr">
        <is>
          <t>DUP_GUARD_FILTER_TF</t>
        </is>
      </c>
      <c r="C112" s="23" t="inlineStr">
        <is>
          <t>4h</t>
        </is>
      </c>
      <c r="D112" s="20" t="inlineStr">
        <is>
          <t>Duplicate guard — prevents re-entering same signal on FILTER_TF. | Live read: `DIVERGENCE_REQUIRE_D_CONFIRM_BARS', 'BTC_HARD_BLOCK_OTHER_ACCOUNTS', 'BTC_REGIME`</t>
        </is>
      </c>
      <c r="E112" s="20" t="inlineStr">
        <is>
          <t>GLOBAL_CHECK</t>
        </is>
      </c>
      <c r="F112" s="17" t="inlineStr">
        <is>
          <t>GLOBAL_CHECK</t>
        </is>
      </c>
      <c r="G112" s="20" t="inlineStr">
        <is>
          <t>DUP_GUARD</t>
        </is>
      </c>
      <c r="H112" s="17" t="inlineStr">
        <is>
          <t>GENERAL — uniform</t>
        </is>
      </c>
      <c r="I112" s="17" t="inlineStr">
        <is>
          <t>LIVE — wired</t>
        </is>
      </c>
      <c r="J112" s="17" t="n"/>
      <c r="K112" s="21" t="inlineStr">
        <is>
          <t>1/4</t>
        </is>
      </c>
      <c r="L112" s="21" t="inlineStr">
        <is>
          <t>OFF, 15m, 1h, 4h, D (5 options)</t>
        </is>
      </c>
      <c r="M112" s="21" t="inlineStr">
        <is>
          <t>15m</t>
        </is>
      </c>
      <c r="N112" s="21" t="inlineStr">
        <is>
          <t>TF selector</t>
        </is>
      </c>
      <c r="O112" s="21" t="inlineStr">
        <is>
          <t>DUP_GUARD_FILTER_TF</t>
        </is>
      </c>
      <c r="P112" s="21" t="inlineStr">
        <is>
          <t>getattr(cfg,"DUP_GUARD_FILTER_TF")</t>
        </is>
      </c>
      <c r="Q112" t="inlineStr">
        <is>
          <t>NO</t>
        </is>
      </c>
    </row>
    <row r="113">
      <c r="A113" s="17" t="n">
        <v>27</v>
      </c>
      <c r="B113" s="22" t="inlineStr">
        <is>
          <t>DUP_GUARD_FILTER_TF</t>
        </is>
      </c>
      <c r="C113" s="23" t="inlineStr">
        <is>
          <t>1h</t>
        </is>
      </c>
      <c r="D113" s="20" t="inlineStr">
        <is>
          <t>Duplicate guard — prevents re-entering same signal on FILTER_TF. | Live read: `DIVERGENCE_REQUIRE_D_CONFIRM_BARS', 'BTC_HARD_BLOCK_OTHER_ACCOUNTS', 'BTC_REGIME`</t>
        </is>
      </c>
      <c r="E113" s="20" t="inlineStr">
        <is>
          <t>GLOBAL_CHECK</t>
        </is>
      </c>
      <c r="F113" s="17" t="inlineStr">
        <is>
          <t>GLOBAL_CHECK</t>
        </is>
      </c>
      <c r="G113" s="20" t="inlineStr">
        <is>
          <t>DUP_GUARD</t>
        </is>
      </c>
      <c r="H113" s="17" t="inlineStr">
        <is>
          <t>GENERAL — uniform</t>
        </is>
      </c>
      <c r="I113" s="17" t="inlineStr">
        <is>
          <t>LIVE — wired</t>
        </is>
      </c>
      <c r="J113" s="17" t="n"/>
      <c r="K113" s="21" t="inlineStr">
        <is>
          <t>1/4</t>
        </is>
      </c>
      <c r="L113" s="21" t="inlineStr">
        <is>
          <t>OFF, 15m, 1h, 4h, D (5 options)</t>
        </is>
      </c>
      <c r="M113" s="21" t="inlineStr">
        <is>
          <t>15m</t>
        </is>
      </c>
      <c r="N113" s="21" t="inlineStr">
        <is>
          <t>TF selector</t>
        </is>
      </c>
      <c r="O113" s="21" t="inlineStr">
        <is>
          <t>DUP_GUARD_FILTER_TF</t>
        </is>
      </c>
      <c r="P113" s="21" t="inlineStr">
        <is>
          <t>getattr(cfg,"DUP_GUARD_FILTER_TF")</t>
        </is>
      </c>
      <c r="Q113" t="inlineStr">
        <is>
          <t>NO</t>
        </is>
      </c>
    </row>
    <row r="114">
      <c r="A114" s="17" t="n">
        <v>27</v>
      </c>
      <c r="B114" s="18" t="inlineStr">
        <is>
          <t>DUP_GUARD_FILTER_TF</t>
        </is>
      </c>
      <c r="C114" s="19" t="inlineStr">
        <is>
          <t>15m</t>
        </is>
      </c>
      <c r="D114" s="20" t="inlineStr">
        <is>
          <t>Duplicate guard — prevents re-entering same signal on FILTER_TF. | Live read: `DIVERGENCE_REQUIRE_D_CONFIRM_BARS', 'BTC_HARD_BLOCK_OTHER_ACCOUNTS', 'BTC_REGIME`</t>
        </is>
      </c>
      <c r="E114" s="20" t="inlineStr">
        <is>
          <t>GLOBAL_CHECK</t>
        </is>
      </c>
      <c r="F114" s="17" t="inlineStr">
        <is>
          <t>GLOBAL_CHECK</t>
        </is>
      </c>
      <c r="G114" s="20" t="inlineStr">
        <is>
          <t>DUP_GUARD</t>
        </is>
      </c>
      <c r="H114" s="17" t="inlineStr">
        <is>
          <t>GENERAL — uniform</t>
        </is>
      </c>
      <c r="I114" s="17" t="inlineStr">
        <is>
          <t>LIVE — wired</t>
        </is>
      </c>
      <c r="J114" s="17" t="n"/>
      <c r="K114" s="21" t="inlineStr">
        <is>
          <t>1/4</t>
        </is>
      </c>
      <c r="L114" s="21" t="inlineStr">
        <is>
          <t>OFF, 15m, 1h, 4h, D (5 options)</t>
        </is>
      </c>
      <c r="M114" s="21" t="inlineStr">
        <is>
          <t>15m</t>
        </is>
      </c>
      <c r="N114" s="21" t="inlineStr">
        <is>
          <t>TF selector</t>
        </is>
      </c>
      <c r="O114" s="21" t="inlineStr">
        <is>
          <t>DUP_GUARD_FILTER_TF</t>
        </is>
      </c>
      <c r="P114" s="21" t="inlineStr">
        <is>
          <t>getattr(cfg,"DUP_GUARD_FILTER_TF")</t>
        </is>
      </c>
      <c r="Q114" t="inlineStr">
        <is>
          <t>YES</t>
        </is>
      </c>
    </row>
    <row r="115">
      <c r="A115" s="32" t="n">
        <v>28</v>
      </c>
      <c r="B115" s="33" t="inlineStr">
        <is>
          <t>E2E_REPLAY_VALIDATOR_FILTER_TF</t>
        </is>
      </c>
      <c r="C115" s="23" t="inlineStr">
        <is>
          <t>OFF</t>
        </is>
      </c>
      <c r="D115" s="34" t="inlineStr">
        <is>
          <t>Dead/misnamed filter — no read in ez_manage/ez_positions_quick/tradier_manage. Appears 0x; likely legacy or typo.</t>
        </is>
      </c>
      <c r="E115" s="34" t="inlineStr">
        <is>
          <t>DEAD</t>
        </is>
      </c>
      <c r="F115" s="32" t="inlineStr">
        <is>
          <t>DEAD</t>
        </is>
      </c>
      <c r="G115" s="34" t="inlineStr">
        <is>
          <t>E2E_REPLAY_VALIDATOR</t>
        </is>
      </c>
      <c r="H115" s="32" t="inlineStr">
        <is>
          <t>SPECIFIC — only gated switches</t>
        </is>
      </c>
      <c r="I115" s="32" t="inlineStr">
        <is>
          <t>DEAD — REMOVE</t>
        </is>
      </c>
      <c r="J115" s="32" t="n"/>
      <c r="K115" s="21" t="inlineStr">
        <is>
          <t>1/4</t>
        </is>
      </c>
      <c r="L115" s="21" t="inlineStr">
        <is>
          <t>OFF, 15m, 1h, 4h, D (5 options)</t>
        </is>
      </c>
      <c r="M115" s="21" t="inlineStr">
        <is>
          <t>15m</t>
        </is>
      </c>
      <c r="N115" s="21" t="inlineStr">
        <is>
          <t>TF selector</t>
        </is>
      </c>
      <c r="O115" s="21" t="inlineStr">
        <is>
          <t>E2E_REPLAY_VALIDATOR_FILTER_TF</t>
        </is>
      </c>
      <c r="P115" s="21" t="inlineStr">
        <is>
          <t>getattr(cfg,"E2E_REPLAY_VALIDATOR_FILTER_TF")</t>
        </is>
      </c>
      <c r="Q115" t="inlineStr">
        <is>
          <t>NO</t>
        </is>
      </c>
    </row>
    <row r="116">
      <c r="A116" s="32" t="n">
        <v>28</v>
      </c>
      <c r="B116" s="33" t="inlineStr">
        <is>
          <t>E2E_REPLAY_VALIDATOR_FILTER_TF</t>
        </is>
      </c>
      <c r="C116" s="23" t="inlineStr">
        <is>
          <t>D</t>
        </is>
      </c>
      <c r="D116" s="34" t="inlineStr">
        <is>
          <t>Dead/misnamed filter — no read in ez_manage/ez_positions_quick/tradier_manage. Appears 0x; likely legacy or typo.</t>
        </is>
      </c>
      <c r="E116" s="34" t="inlineStr">
        <is>
          <t>DEAD</t>
        </is>
      </c>
      <c r="F116" s="32" t="inlineStr">
        <is>
          <t>DEAD</t>
        </is>
      </c>
      <c r="G116" s="34" t="inlineStr">
        <is>
          <t>E2E_REPLAY_VALIDATOR</t>
        </is>
      </c>
      <c r="H116" s="32" t="inlineStr">
        <is>
          <t>SPECIFIC — only gated switches</t>
        </is>
      </c>
      <c r="I116" s="32" t="inlineStr">
        <is>
          <t>DEAD — REMOVE</t>
        </is>
      </c>
      <c r="J116" s="32" t="n"/>
      <c r="K116" s="21" t="inlineStr">
        <is>
          <t>1/4</t>
        </is>
      </c>
      <c r="L116" s="21" t="inlineStr">
        <is>
          <t>OFF, 15m, 1h, 4h, D (5 options)</t>
        </is>
      </c>
      <c r="M116" s="21" t="inlineStr">
        <is>
          <t>15m</t>
        </is>
      </c>
      <c r="N116" s="21" t="inlineStr">
        <is>
          <t>TF selector</t>
        </is>
      </c>
      <c r="O116" s="21" t="inlineStr">
        <is>
          <t>E2E_REPLAY_VALIDATOR_FILTER_TF</t>
        </is>
      </c>
      <c r="P116" s="21" t="inlineStr">
        <is>
          <t>getattr(cfg,"E2E_REPLAY_VALIDATOR_FILTER_TF")</t>
        </is>
      </c>
      <c r="Q116" t="inlineStr">
        <is>
          <t>NO</t>
        </is>
      </c>
    </row>
    <row r="117">
      <c r="A117" s="32" t="n">
        <v>28</v>
      </c>
      <c r="B117" s="33" t="inlineStr">
        <is>
          <t>E2E_REPLAY_VALIDATOR_FILTER_TF</t>
        </is>
      </c>
      <c r="C117" s="23" t="inlineStr">
        <is>
          <t>4h</t>
        </is>
      </c>
      <c r="D117" s="34" t="inlineStr">
        <is>
          <t>Dead/misnamed filter — no read in ez_manage/ez_positions_quick/tradier_manage. Appears 0x; likely legacy or typo.</t>
        </is>
      </c>
      <c r="E117" s="34" t="inlineStr">
        <is>
          <t>DEAD</t>
        </is>
      </c>
      <c r="F117" s="32" t="inlineStr">
        <is>
          <t>DEAD</t>
        </is>
      </c>
      <c r="G117" s="34" t="inlineStr">
        <is>
          <t>E2E_REPLAY_VALIDATOR</t>
        </is>
      </c>
      <c r="H117" s="32" t="inlineStr">
        <is>
          <t>SPECIFIC — only gated switches</t>
        </is>
      </c>
      <c r="I117" s="32" t="inlineStr">
        <is>
          <t>DEAD — REMOVE</t>
        </is>
      </c>
      <c r="J117" s="32" t="n"/>
      <c r="K117" s="21" t="inlineStr">
        <is>
          <t>1/4</t>
        </is>
      </c>
      <c r="L117" s="21" t="inlineStr">
        <is>
          <t>OFF, 15m, 1h, 4h, D (5 options)</t>
        </is>
      </c>
      <c r="M117" s="21" t="inlineStr">
        <is>
          <t>15m</t>
        </is>
      </c>
      <c r="N117" s="21" t="inlineStr">
        <is>
          <t>TF selector</t>
        </is>
      </c>
      <c r="O117" s="21" t="inlineStr">
        <is>
          <t>E2E_REPLAY_VALIDATOR_FILTER_TF</t>
        </is>
      </c>
      <c r="P117" s="21" t="inlineStr">
        <is>
          <t>getattr(cfg,"E2E_REPLAY_VALIDATOR_FILTER_TF")</t>
        </is>
      </c>
      <c r="Q117" t="inlineStr">
        <is>
          <t>NO</t>
        </is>
      </c>
    </row>
    <row r="118">
      <c r="A118" s="32" t="n">
        <v>28</v>
      </c>
      <c r="B118" s="33" t="inlineStr">
        <is>
          <t>E2E_REPLAY_VALIDATOR_FILTER_TF</t>
        </is>
      </c>
      <c r="C118" s="23" t="inlineStr">
        <is>
          <t>1h</t>
        </is>
      </c>
      <c r="D118" s="34" t="inlineStr">
        <is>
          <t>Dead/misnamed filter — no read in ez_manage/ez_positions_quick/tradier_manage. Appears 0x; likely legacy or typo.</t>
        </is>
      </c>
      <c r="E118" s="34" t="inlineStr">
        <is>
          <t>DEAD</t>
        </is>
      </c>
      <c r="F118" s="32" t="inlineStr">
        <is>
          <t>DEAD</t>
        </is>
      </c>
      <c r="G118" s="34" t="inlineStr">
        <is>
          <t>E2E_REPLAY_VALIDATOR</t>
        </is>
      </c>
      <c r="H118" s="32" t="inlineStr">
        <is>
          <t>SPECIFIC — only gated switches</t>
        </is>
      </c>
      <c r="I118" s="32" t="inlineStr">
        <is>
          <t>DEAD — REMOVE</t>
        </is>
      </c>
      <c r="J118" s="32" t="n"/>
      <c r="K118" s="21" t="inlineStr">
        <is>
          <t>1/4</t>
        </is>
      </c>
      <c r="L118" s="21" t="inlineStr">
        <is>
          <t>OFF, 15m, 1h, 4h, D (5 options)</t>
        </is>
      </c>
      <c r="M118" s="21" t="inlineStr">
        <is>
          <t>15m</t>
        </is>
      </c>
      <c r="N118" s="21" t="inlineStr">
        <is>
          <t>TF selector</t>
        </is>
      </c>
      <c r="O118" s="21" t="inlineStr">
        <is>
          <t>E2E_REPLAY_VALIDATOR_FILTER_TF</t>
        </is>
      </c>
      <c r="P118" s="21" t="inlineStr">
        <is>
          <t>getattr(cfg,"E2E_REPLAY_VALIDATOR_FILTER_TF")</t>
        </is>
      </c>
      <c r="Q118" t="inlineStr">
        <is>
          <t>NO</t>
        </is>
      </c>
    </row>
    <row r="119">
      <c r="A119" s="32" t="n">
        <v>28</v>
      </c>
      <c r="B119" s="35" t="inlineStr">
        <is>
          <t>E2E_REPLAY_VALIDATOR_FILTER_TF</t>
        </is>
      </c>
      <c r="C119" s="19" t="inlineStr">
        <is>
          <t>15m</t>
        </is>
      </c>
      <c r="D119" s="34" t="inlineStr">
        <is>
          <t>Dead/misnamed filter — no read in ez_manage/ez_positions_quick/tradier_manage. Appears 0x; likely legacy or typo.</t>
        </is>
      </c>
      <c r="E119" s="34" t="inlineStr">
        <is>
          <t>DEAD</t>
        </is>
      </c>
      <c r="F119" s="32" t="inlineStr">
        <is>
          <t>DEAD</t>
        </is>
      </c>
      <c r="G119" s="34" t="inlineStr">
        <is>
          <t>E2E_REPLAY_VALIDATOR</t>
        </is>
      </c>
      <c r="H119" s="32" t="inlineStr">
        <is>
          <t>SPECIFIC — only gated switches</t>
        </is>
      </c>
      <c r="I119" s="32" t="inlineStr">
        <is>
          <t>DEAD — REMOVE</t>
        </is>
      </c>
      <c r="J119" s="32" t="n"/>
      <c r="K119" s="21" t="inlineStr">
        <is>
          <t>1/4</t>
        </is>
      </c>
      <c r="L119" s="21" t="inlineStr">
        <is>
          <t>OFF, 15m, 1h, 4h, D (5 options)</t>
        </is>
      </c>
      <c r="M119" s="21" t="inlineStr">
        <is>
          <t>15m</t>
        </is>
      </c>
      <c r="N119" s="21" t="inlineStr">
        <is>
          <t>TF selector</t>
        </is>
      </c>
      <c r="O119" s="21" t="inlineStr">
        <is>
          <t>E2E_REPLAY_VALIDATOR_FILTER_TF</t>
        </is>
      </c>
      <c r="P119" s="21" t="inlineStr">
        <is>
          <t>getattr(cfg,"E2E_REPLAY_VALIDATOR_FILTER_TF")</t>
        </is>
      </c>
      <c r="Q119" t="inlineStr">
        <is>
          <t>YES</t>
        </is>
      </c>
    </row>
    <row r="120">
      <c r="A120" s="24" t="n">
        <v>29</v>
      </c>
      <c r="B120" s="25" t="inlineStr">
        <is>
          <t>EMA_9_21_FILTER_FILTER_TF</t>
        </is>
      </c>
      <c r="C120" s="23" t="inlineStr">
        <is>
          <t>OFF</t>
        </is>
      </c>
      <c r="D120" s="26" t="inlineStr">
        <is>
          <t>EMA 9/21 cross filter on FILTER_TF. | Live read: `NFIRM_BARS', 'BTC_HARD_BLOCK_OTHER_ACCOUNTS', 'BTC_REGIME_PAUSE_ENABLED', 'BTC_R`</t>
        </is>
      </c>
      <c r="E120" s="26" t="inlineStr">
        <is>
          <t>GLOBAL_CHECK</t>
        </is>
      </c>
      <c r="F120" s="24" t="inlineStr">
        <is>
          <t>GLOBAL_CHECK</t>
        </is>
      </c>
      <c r="G120" s="26" t="inlineStr">
        <is>
          <t>EMA_9_21_FILTER</t>
        </is>
      </c>
      <c r="H120" s="24" t="inlineStr">
        <is>
          <t>SPECIFIC — only gated switches</t>
        </is>
      </c>
      <c r="I120" s="24" t="inlineStr">
        <is>
          <t>LIVE — wired</t>
        </is>
      </c>
      <c r="J120" s="24" t="n"/>
      <c r="K120" s="21" t="inlineStr">
        <is>
          <t>1/4</t>
        </is>
      </c>
      <c r="L120" s="21" t="inlineStr">
        <is>
          <t>OFF, 15m, 1h, 4h, D (5 options)</t>
        </is>
      </c>
      <c r="M120" s="21" t="inlineStr">
        <is>
          <t>15m</t>
        </is>
      </c>
      <c r="N120" s="21" t="inlineStr">
        <is>
          <t>TF selector</t>
        </is>
      </c>
      <c r="O120" s="21" t="inlineStr">
        <is>
          <t>EMA_9_21_FILTER_FILTER_TF</t>
        </is>
      </c>
      <c r="P120" s="21" t="inlineStr">
        <is>
          <t>getattr(cfg,"EMA_9_21_FILTER_FILTER_TF")</t>
        </is>
      </c>
      <c r="Q120" t="inlineStr">
        <is>
          <t>NO</t>
        </is>
      </c>
    </row>
    <row r="121">
      <c r="A121" s="24" t="n">
        <v>29</v>
      </c>
      <c r="B121" s="25" t="inlineStr">
        <is>
          <t>EMA_9_21_FILTER_FILTER_TF</t>
        </is>
      </c>
      <c r="C121" s="23" t="inlineStr">
        <is>
          <t>D</t>
        </is>
      </c>
      <c r="D121" s="26" t="inlineStr">
        <is>
          <t>EMA 9/21 cross filter on FILTER_TF. | Live read: `NFIRM_BARS', 'BTC_HARD_BLOCK_OTHER_ACCOUNTS', 'BTC_REGIME_PAUSE_ENABLED', 'BTC_R`</t>
        </is>
      </c>
      <c r="E121" s="26" t="inlineStr">
        <is>
          <t>GLOBAL_CHECK</t>
        </is>
      </c>
      <c r="F121" s="24" t="inlineStr">
        <is>
          <t>GLOBAL_CHECK</t>
        </is>
      </c>
      <c r="G121" s="26" t="inlineStr">
        <is>
          <t>EMA_9_21_FILTER</t>
        </is>
      </c>
      <c r="H121" s="24" t="inlineStr">
        <is>
          <t>SPECIFIC — only gated switches</t>
        </is>
      </c>
      <c r="I121" s="24" t="inlineStr">
        <is>
          <t>LIVE — wired</t>
        </is>
      </c>
      <c r="J121" s="24" t="n"/>
      <c r="K121" s="21" t="inlineStr">
        <is>
          <t>1/4</t>
        </is>
      </c>
      <c r="L121" s="21" t="inlineStr">
        <is>
          <t>OFF, 15m, 1h, 4h, D (5 options)</t>
        </is>
      </c>
      <c r="M121" s="21" t="inlineStr">
        <is>
          <t>15m</t>
        </is>
      </c>
      <c r="N121" s="21" t="inlineStr">
        <is>
          <t>TF selector</t>
        </is>
      </c>
      <c r="O121" s="21" t="inlineStr">
        <is>
          <t>EMA_9_21_FILTER_FILTER_TF</t>
        </is>
      </c>
      <c r="P121" s="21" t="inlineStr">
        <is>
          <t>getattr(cfg,"EMA_9_21_FILTER_FILTER_TF")</t>
        </is>
      </c>
      <c r="Q121" t="inlineStr">
        <is>
          <t>NO</t>
        </is>
      </c>
    </row>
    <row r="122">
      <c r="A122" s="24" t="n">
        <v>29</v>
      </c>
      <c r="B122" s="25" t="inlineStr">
        <is>
          <t>EMA_9_21_FILTER_FILTER_TF</t>
        </is>
      </c>
      <c r="C122" s="23" t="inlineStr">
        <is>
          <t>4h</t>
        </is>
      </c>
      <c r="D122" s="26" t="inlineStr">
        <is>
          <t>EMA 9/21 cross filter on FILTER_TF. | Live read: `NFIRM_BARS', 'BTC_HARD_BLOCK_OTHER_ACCOUNTS', 'BTC_REGIME_PAUSE_ENABLED', 'BTC_R`</t>
        </is>
      </c>
      <c r="E122" s="26" t="inlineStr">
        <is>
          <t>GLOBAL_CHECK</t>
        </is>
      </c>
      <c r="F122" s="24" t="inlineStr">
        <is>
          <t>GLOBAL_CHECK</t>
        </is>
      </c>
      <c r="G122" s="26" t="inlineStr">
        <is>
          <t>EMA_9_21_FILTER</t>
        </is>
      </c>
      <c r="H122" s="24" t="inlineStr">
        <is>
          <t>SPECIFIC — only gated switches</t>
        </is>
      </c>
      <c r="I122" s="24" t="inlineStr">
        <is>
          <t>LIVE — wired</t>
        </is>
      </c>
      <c r="J122" s="24" t="n"/>
      <c r="K122" s="21" t="inlineStr">
        <is>
          <t>1/4</t>
        </is>
      </c>
      <c r="L122" s="21" t="inlineStr">
        <is>
          <t>OFF, 15m, 1h, 4h, D (5 options)</t>
        </is>
      </c>
      <c r="M122" s="21" t="inlineStr">
        <is>
          <t>15m</t>
        </is>
      </c>
      <c r="N122" s="21" t="inlineStr">
        <is>
          <t>TF selector</t>
        </is>
      </c>
      <c r="O122" s="21" t="inlineStr">
        <is>
          <t>EMA_9_21_FILTER_FILTER_TF</t>
        </is>
      </c>
      <c r="P122" s="21" t="inlineStr">
        <is>
          <t>getattr(cfg,"EMA_9_21_FILTER_FILTER_TF")</t>
        </is>
      </c>
      <c r="Q122" t="inlineStr">
        <is>
          <t>NO</t>
        </is>
      </c>
    </row>
    <row r="123">
      <c r="A123" s="24" t="n">
        <v>29</v>
      </c>
      <c r="B123" s="25" t="inlineStr">
        <is>
          <t>EMA_9_21_FILTER_FILTER_TF</t>
        </is>
      </c>
      <c r="C123" s="23" t="inlineStr">
        <is>
          <t>1h</t>
        </is>
      </c>
      <c r="D123" s="26" t="inlineStr">
        <is>
          <t>EMA 9/21 cross filter on FILTER_TF. | Live read: `NFIRM_BARS', 'BTC_HARD_BLOCK_OTHER_ACCOUNTS', 'BTC_REGIME_PAUSE_ENABLED', 'BTC_R`</t>
        </is>
      </c>
      <c r="E123" s="26" t="inlineStr">
        <is>
          <t>GLOBAL_CHECK</t>
        </is>
      </c>
      <c r="F123" s="24" t="inlineStr">
        <is>
          <t>GLOBAL_CHECK</t>
        </is>
      </c>
      <c r="G123" s="26" t="inlineStr">
        <is>
          <t>EMA_9_21_FILTER</t>
        </is>
      </c>
      <c r="H123" s="24" t="inlineStr">
        <is>
          <t>SPECIFIC — only gated switches</t>
        </is>
      </c>
      <c r="I123" s="24" t="inlineStr">
        <is>
          <t>LIVE — wired</t>
        </is>
      </c>
      <c r="J123" s="24" t="n"/>
      <c r="K123" s="21" t="inlineStr">
        <is>
          <t>1/4</t>
        </is>
      </c>
      <c r="L123" s="21" t="inlineStr">
        <is>
          <t>OFF, 15m, 1h, 4h, D (5 options)</t>
        </is>
      </c>
      <c r="M123" s="21" t="inlineStr">
        <is>
          <t>15m</t>
        </is>
      </c>
      <c r="N123" s="21" t="inlineStr">
        <is>
          <t>TF selector</t>
        </is>
      </c>
      <c r="O123" s="21" t="inlineStr">
        <is>
          <t>EMA_9_21_FILTER_FILTER_TF</t>
        </is>
      </c>
      <c r="P123" s="21" t="inlineStr">
        <is>
          <t>getattr(cfg,"EMA_9_21_FILTER_FILTER_TF")</t>
        </is>
      </c>
      <c r="Q123" t="inlineStr">
        <is>
          <t>NO</t>
        </is>
      </c>
    </row>
    <row r="124">
      <c r="A124" s="24" t="n">
        <v>29</v>
      </c>
      <c r="B124" s="27" t="inlineStr">
        <is>
          <t>EMA_9_21_FILTER_FILTER_TF</t>
        </is>
      </c>
      <c r="C124" s="19" t="inlineStr">
        <is>
          <t>15m</t>
        </is>
      </c>
      <c r="D124" s="26" t="inlineStr">
        <is>
          <t>EMA 9/21 cross filter on FILTER_TF. | Live read: `NFIRM_BARS', 'BTC_HARD_BLOCK_OTHER_ACCOUNTS', 'BTC_REGIME_PAUSE_ENABLED', 'BTC_R`</t>
        </is>
      </c>
      <c r="E124" s="26" t="inlineStr">
        <is>
          <t>GLOBAL_CHECK</t>
        </is>
      </c>
      <c r="F124" s="24" t="inlineStr">
        <is>
          <t>GLOBAL_CHECK</t>
        </is>
      </c>
      <c r="G124" s="26" t="inlineStr">
        <is>
          <t>EMA_9_21_FILTER</t>
        </is>
      </c>
      <c r="H124" s="24" t="inlineStr">
        <is>
          <t>SPECIFIC — only gated switches</t>
        </is>
      </c>
      <c r="I124" s="24" t="inlineStr">
        <is>
          <t>LIVE — wired</t>
        </is>
      </c>
      <c r="J124" s="24" t="n"/>
      <c r="K124" s="21" t="inlineStr">
        <is>
          <t>1/4</t>
        </is>
      </c>
      <c r="L124" s="21" t="inlineStr">
        <is>
          <t>OFF, 15m, 1h, 4h, D (5 options)</t>
        </is>
      </c>
      <c r="M124" s="21" t="inlineStr">
        <is>
          <t>15m</t>
        </is>
      </c>
      <c r="N124" s="21" t="inlineStr">
        <is>
          <t>TF selector</t>
        </is>
      </c>
      <c r="O124" s="21" t="inlineStr">
        <is>
          <t>EMA_9_21_FILTER_FILTER_TF</t>
        </is>
      </c>
      <c r="P124" s="21" t="inlineStr">
        <is>
          <t>getattr(cfg,"EMA_9_21_FILTER_FILTER_TF")</t>
        </is>
      </c>
      <c r="Q124" t="inlineStr">
        <is>
          <t>YES</t>
        </is>
      </c>
    </row>
    <row r="125">
      <c r="A125" s="17" t="n">
        <v>30</v>
      </c>
      <c r="B125" s="18" t="inlineStr">
        <is>
          <t>EMA_9_21_FILTER_MIN_TFS</t>
        </is>
      </c>
      <c r="C125" s="19" t="inlineStr">
        <is>
          <t>0</t>
        </is>
      </c>
      <c r="D125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5" s="20" t="inlineStr">
        <is>
          <t>GLOBAL_CHECK</t>
        </is>
      </c>
      <c r="F125" s="17" t="inlineStr">
        <is>
          <t>GLOBAL_CHECK</t>
        </is>
      </c>
      <c r="G125" s="20" t="inlineStr">
        <is>
          <t>EMA_9_21_FILTER_MIN_TFS</t>
        </is>
      </c>
      <c r="H125" s="17" t="inlineStr">
        <is>
          <t>GENERAL</t>
        </is>
      </c>
      <c r="I125" s="17" t="inlineStr">
        <is>
          <t>LIVE — wired</t>
        </is>
      </c>
      <c r="J125" s="17" t="n"/>
      <c r="K125" s="21" t="inlineStr">
        <is>
          <t>N</t>
        </is>
      </c>
      <c r="L125" s="21" t="inlineStr">
        <is>
          <t>0.0, +1, +2 (3)</t>
        </is>
      </c>
      <c r="M125" s="21" t="inlineStr">
        <is>
          <t>0.0</t>
        </is>
      </c>
      <c r="N125" s="21" t="inlineStr">
        <is>
          <t>count</t>
        </is>
      </c>
      <c r="O125" s="21" t="inlineStr">
        <is>
          <t>EMA_9_21_FILTER_MIN_TFS</t>
        </is>
      </c>
      <c r="P125" s="21" t="inlineStr">
        <is>
          <t>getattr(cfg,"EMA_9_21_FILTER_MIN_TFS")</t>
        </is>
      </c>
      <c r="Q125" t="inlineStr">
        <is>
          <t>YES</t>
        </is>
      </c>
    </row>
    <row r="126">
      <c r="A126" s="17" t="n">
        <v>30</v>
      </c>
      <c r="B126" s="22" t="inlineStr">
        <is>
          <t>EMA_9_21_FILTER_MIN_TFS</t>
        </is>
      </c>
      <c r="C126" s="23" t="inlineStr">
        <is>
          <t>2</t>
        </is>
      </c>
      <c r="D126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6" s="20" t="inlineStr">
        <is>
          <t>GLOBAL_CHECK</t>
        </is>
      </c>
      <c r="F126" s="17" t="inlineStr">
        <is>
          <t>GLOBAL_CHECK</t>
        </is>
      </c>
      <c r="G126" s="20" t="inlineStr">
        <is>
          <t>EMA_9_21_FILTER_MIN_TFS</t>
        </is>
      </c>
      <c r="H126" s="17" t="inlineStr">
        <is>
          <t>GENERAL</t>
        </is>
      </c>
      <c r="I126" s="17" t="inlineStr">
        <is>
          <t>LIVE — wired</t>
        </is>
      </c>
      <c r="J126" s="17" t="n"/>
      <c r="K126" s="21" t="inlineStr">
        <is>
          <t>N</t>
        </is>
      </c>
      <c r="L126" s="21" t="inlineStr">
        <is>
          <t>0.0, +1, +2 (3)</t>
        </is>
      </c>
      <c r="M126" s="21" t="inlineStr">
        <is>
          <t>0.0</t>
        </is>
      </c>
      <c r="N126" s="21" t="inlineStr">
        <is>
          <t>count</t>
        </is>
      </c>
      <c r="O126" s="21" t="inlineStr">
        <is>
          <t>EMA_9_21_FILTER_MIN_TFS</t>
        </is>
      </c>
      <c r="P126" s="21" t="inlineStr">
        <is>
          <t>getattr(cfg,"EMA_9_21_FILTER_MIN_TFS")</t>
        </is>
      </c>
      <c r="Q126" t="inlineStr">
        <is>
          <t>NO</t>
        </is>
      </c>
    </row>
    <row r="127">
      <c r="A127" s="17" t="n">
        <v>30</v>
      </c>
      <c r="B127" s="22" t="inlineStr">
        <is>
          <t>EMA_9_21_FILTER_MIN_TFS</t>
        </is>
      </c>
      <c r="C127" s="23" t="inlineStr">
        <is>
          <t>1</t>
        </is>
      </c>
      <c r="D127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7" s="20" t="inlineStr">
        <is>
          <t>GLOBAL_CHECK</t>
        </is>
      </c>
      <c r="F127" s="17" t="inlineStr">
        <is>
          <t>GLOBAL_CHECK</t>
        </is>
      </c>
      <c r="G127" s="20" t="inlineStr">
        <is>
          <t>EMA_9_21_FILTER_MIN_TFS</t>
        </is>
      </c>
      <c r="H127" s="17" t="inlineStr">
        <is>
          <t>GENERAL</t>
        </is>
      </c>
      <c r="I127" s="17" t="inlineStr">
        <is>
          <t>LIVE — wired</t>
        </is>
      </c>
      <c r="J127" s="17" t="n"/>
      <c r="K127" s="21" t="inlineStr">
        <is>
          <t>N</t>
        </is>
      </c>
      <c r="L127" s="21" t="inlineStr">
        <is>
          <t>0.0, +1, +2 (3)</t>
        </is>
      </c>
      <c r="M127" s="21" t="inlineStr">
        <is>
          <t>0.0</t>
        </is>
      </c>
      <c r="N127" s="21" t="inlineStr">
        <is>
          <t>count</t>
        </is>
      </c>
      <c r="O127" s="21" t="inlineStr">
        <is>
          <t>EMA_9_21_FILTER_MIN_TFS</t>
        </is>
      </c>
      <c r="P127" s="21" t="inlineStr">
        <is>
          <t>getattr(cfg,"EMA_9_21_FILTER_MIN_TFS")</t>
        </is>
      </c>
      <c r="Q127" t="inlineStr">
        <is>
          <t>NO</t>
        </is>
      </c>
    </row>
    <row r="128">
      <c r="A128" s="17" t="n">
        <v>31</v>
      </c>
      <c r="B128" s="18" t="inlineStr">
        <is>
          <t>EMA_BLANKET_FILTER_ENABLED</t>
        </is>
      </c>
      <c r="C128" s="19" t="inlineStr">
        <is>
          <t>False</t>
        </is>
      </c>
      <c r="D128" s="20" t="inlineStr">
        <is>
          <t>Blanket EMA filter (price above/below EMA blanket). | Live read: `E_PAUSE_ENABLED', 'BTC_REVERSE_REQUIRE_HTF_ALIGNED', 'BTC_ROUND_BANDS_EACH_SIDE'`</t>
        </is>
      </c>
      <c r="E128" s="20" t="inlineStr">
        <is>
          <t>GLOBAL_CHECK</t>
        </is>
      </c>
      <c r="F128" s="17" t="inlineStr">
        <is>
          <t>GLOBAL_CHECK</t>
        </is>
      </c>
      <c r="G128" s="20" t="inlineStr">
        <is>
          <t>EMA_BLANKET_FILTER_ENABLED</t>
        </is>
      </c>
      <c r="H128" s="17" t="inlineStr">
        <is>
          <t>GENERAL</t>
        </is>
      </c>
      <c r="I128" s="17" t="inlineStr">
        <is>
          <t>LIVE — wired</t>
        </is>
      </c>
      <c r="J128" s="17" t="n"/>
      <c r="K128" s="21" t="inlineStr">
        <is>
          <t>—</t>
        </is>
      </c>
      <c r="L128" s="21" t="inlineStr">
        <is>
          <t>False, True (2)</t>
        </is>
      </c>
      <c r="M128" s="21" t="inlineStr">
        <is>
          <t>False</t>
        </is>
      </c>
      <c r="N128" s="21" t="inlineStr">
        <is>
          <t>bool gate</t>
        </is>
      </c>
      <c r="O128" s="21" t="inlineStr">
        <is>
          <t>EMA_BLANKET_FILTER_ENABLED</t>
        </is>
      </c>
      <c r="P128" s="21" t="inlineStr">
        <is>
          <t>getattr(cfg,"EMA_BLANKET_FILTER_ENABLED")</t>
        </is>
      </c>
      <c r="Q128" t="inlineStr">
        <is>
          <t>YES</t>
        </is>
      </c>
    </row>
    <row r="129">
      <c r="A129" s="17" t="n">
        <v>31</v>
      </c>
      <c r="B129" s="22" t="inlineStr">
        <is>
          <t>EMA_BLANKET_FILTER_ENABLED</t>
        </is>
      </c>
      <c r="C129" s="23" t="inlineStr">
        <is>
          <t>True</t>
        </is>
      </c>
      <c r="D129" s="20" t="inlineStr">
        <is>
          <t>Blanket EMA filter (price above/below EMA blanket). | Live read: `E_PAUSE_ENABLED', 'BTC_REVERSE_REQUIRE_HTF_ALIGNED', 'BTC_ROUND_BANDS_EACH_SIDE'`</t>
        </is>
      </c>
      <c r="E129" s="20" t="inlineStr">
        <is>
          <t>GLOBAL_CHECK</t>
        </is>
      </c>
      <c r="F129" s="17" t="inlineStr">
        <is>
          <t>GLOBAL_CHECK</t>
        </is>
      </c>
      <c r="G129" s="20" t="inlineStr">
        <is>
          <t>EMA_BLANKET_FILTER_ENABLED</t>
        </is>
      </c>
      <c r="H129" s="17" t="inlineStr">
        <is>
          <t>GENERAL</t>
        </is>
      </c>
      <c r="I129" s="17" t="inlineStr">
        <is>
          <t>LIVE — wired</t>
        </is>
      </c>
      <c r="J129" s="17" t="n"/>
      <c r="K129" s="21" t="inlineStr">
        <is>
          <t>—</t>
        </is>
      </c>
      <c r="L129" s="21" t="inlineStr">
        <is>
          <t>False, True (2)</t>
        </is>
      </c>
      <c r="M129" s="21" t="inlineStr">
        <is>
          <t>False</t>
        </is>
      </c>
      <c r="N129" s="21" t="inlineStr">
        <is>
          <t>bool gate</t>
        </is>
      </c>
      <c r="O129" s="21" t="inlineStr">
        <is>
          <t>EMA_BLANKET_FILTER_ENABLED</t>
        </is>
      </c>
      <c r="P129" s="21" t="inlineStr">
        <is>
          <t>getattr(cfg,"EMA_BLANKET_FILTER_ENABLED")</t>
        </is>
      </c>
      <c r="Q129" t="inlineStr">
        <is>
          <t>NO</t>
        </is>
      </c>
    </row>
    <row r="130">
      <c r="A130" s="24" t="n">
        <v>32</v>
      </c>
      <c r="B130" s="25" t="inlineStr">
        <is>
          <t>EMA_BLANKET_FILTER_FILTER_TF</t>
        </is>
      </c>
      <c r="C130" s="23" t="inlineStr">
        <is>
          <t>OFF</t>
        </is>
      </c>
      <c r="D130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0" s="26" t="inlineStr">
        <is>
          <t>GLOBAL_CHECK</t>
        </is>
      </c>
      <c r="F130" s="24" t="inlineStr">
        <is>
          <t>GLOBAL_CHECK</t>
        </is>
      </c>
      <c r="G130" s="26" t="inlineStr">
        <is>
          <t>EMA_BLANKET_FILTER</t>
        </is>
      </c>
      <c r="H130" s="24" t="inlineStr">
        <is>
          <t>SPECIFIC — only gated switches</t>
        </is>
      </c>
      <c r="I130" s="24" t="inlineStr">
        <is>
          <t>LIVE — wired</t>
        </is>
      </c>
      <c r="J130" s="24" t="n"/>
      <c r="K130" s="21" t="inlineStr">
        <is>
          <t>1/4</t>
        </is>
      </c>
      <c r="L130" s="21" t="inlineStr">
        <is>
          <t>OFF, 15m, 1h, 4h, D (5 options)</t>
        </is>
      </c>
      <c r="M130" s="21" t="inlineStr">
        <is>
          <t>15m</t>
        </is>
      </c>
      <c r="N130" s="21" t="inlineStr">
        <is>
          <t>TF selector</t>
        </is>
      </c>
      <c r="O130" s="21" t="inlineStr">
        <is>
          <t>EMA_BLANKET_FILTER_FILTER_TF</t>
        </is>
      </c>
      <c r="P130" s="21" t="inlineStr">
        <is>
          <t>getattr(cfg,"EMA_BLANKET_FILTER_FILTER_TF")</t>
        </is>
      </c>
      <c r="Q130" t="inlineStr">
        <is>
          <t>NO</t>
        </is>
      </c>
    </row>
    <row r="131">
      <c r="A131" s="24" t="n">
        <v>32</v>
      </c>
      <c r="B131" s="25" t="inlineStr">
        <is>
          <t>EMA_BLANKET_FILTER_FILTER_TF</t>
        </is>
      </c>
      <c r="C131" s="23" t="inlineStr">
        <is>
          <t>D</t>
        </is>
      </c>
      <c r="D131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1" s="26" t="inlineStr">
        <is>
          <t>GLOBAL_CHECK</t>
        </is>
      </c>
      <c r="F131" s="24" t="inlineStr">
        <is>
          <t>GLOBAL_CHECK</t>
        </is>
      </c>
      <c r="G131" s="26" t="inlineStr">
        <is>
          <t>EMA_BLANKET_FILTER</t>
        </is>
      </c>
      <c r="H131" s="24" t="inlineStr">
        <is>
          <t>SPECIFIC — only gated switches</t>
        </is>
      </c>
      <c r="I131" s="24" t="inlineStr">
        <is>
          <t>LIVE — wired</t>
        </is>
      </c>
      <c r="J131" s="24" t="n"/>
      <c r="K131" s="21" t="inlineStr">
        <is>
          <t>1/4</t>
        </is>
      </c>
      <c r="L131" s="21" t="inlineStr">
        <is>
          <t>OFF, 15m, 1h, 4h, D (5 options)</t>
        </is>
      </c>
      <c r="M131" s="21" t="inlineStr">
        <is>
          <t>15m</t>
        </is>
      </c>
      <c r="N131" s="21" t="inlineStr">
        <is>
          <t>TF selector</t>
        </is>
      </c>
      <c r="O131" s="21" t="inlineStr">
        <is>
          <t>EMA_BLANKET_FILTER_FILTER_TF</t>
        </is>
      </c>
      <c r="P131" s="21" t="inlineStr">
        <is>
          <t>getattr(cfg,"EMA_BLANKET_FILTER_FILTER_TF")</t>
        </is>
      </c>
      <c r="Q131" t="inlineStr">
        <is>
          <t>NO</t>
        </is>
      </c>
    </row>
    <row r="132">
      <c r="A132" s="24" t="n">
        <v>32</v>
      </c>
      <c r="B132" s="25" t="inlineStr">
        <is>
          <t>EMA_BLANKET_FILTER_FILTER_TF</t>
        </is>
      </c>
      <c r="C132" s="23" t="inlineStr">
        <is>
          <t>4h</t>
        </is>
      </c>
      <c r="D132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2" s="26" t="inlineStr">
        <is>
          <t>GLOBAL_CHECK</t>
        </is>
      </c>
      <c r="F132" s="24" t="inlineStr">
        <is>
          <t>GLOBAL_CHECK</t>
        </is>
      </c>
      <c r="G132" s="26" t="inlineStr">
        <is>
          <t>EMA_BLANKET_FILTER</t>
        </is>
      </c>
      <c r="H132" s="24" t="inlineStr">
        <is>
          <t>SPECIFIC — only gated switches</t>
        </is>
      </c>
      <c r="I132" s="24" t="inlineStr">
        <is>
          <t>LIVE — wired</t>
        </is>
      </c>
      <c r="J132" s="24" t="n"/>
      <c r="K132" s="21" t="inlineStr">
        <is>
          <t>1/4</t>
        </is>
      </c>
      <c r="L132" s="21" t="inlineStr">
        <is>
          <t>OFF, 15m, 1h, 4h, D (5 options)</t>
        </is>
      </c>
      <c r="M132" s="21" t="inlineStr">
        <is>
          <t>15m</t>
        </is>
      </c>
      <c r="N132" s="21" t="inlineStr">
        <is>
          <t>TF selector</t>
        </is>
      </c>
      <c r="O132" s="21" t="inlineStr">
        <is>
          <t>EMA_BLANKET_FILTER_FILTER_TF</t>
        </is>
      </c>
      <c r="P132" s="21" t="inlineStr">
        <is>
          <t>getattr(cfg,"EMA_BLANKET_FILTER_FILTER_TF")</t>
        </is>
      </c>
      <c r="Q132" t="inlineStr">
        <is>
          <t>NO</t>
        </is>
      </c>
    </row>
    <row r="133">
      <c r="A133" s="24" t="n">
        <v>32</v>
      </c>
      <c r="B133" s="25" t="inlineStr">
        <is>
          <t>EMA_BLANKET_FILTER_FILTER_TF</t>
        </is>
      </c>
      <c r="C133" s="23" t="inlineStr">
        <is>
          <t>1h</t>
        </is>
      </c>
      <c r="D133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3" s="26" t="inlineStr">
        <is>
          <t>GLOBAL_CHECK</t>
        </is>
      </c>
      <c r="F133" s="24" t="inlineStr">
        <is>
          <t>GLOBAL_CHECK</t>
        </is>
      </c>
      <c r="G133" s="26" t="inlineStr">
        <is>
          <t>EMA_BLANKET_FILTER</t>
        </is>
      </c>
      <c r="H133" s="24" t="inlineStr">
        <is>
          <t>SPECIFIC — only gated switches</t>
        </is>
      </c>
      <c r="I133" s="24" t="inlineStr">
        <is>
          <t>LIVE — wired</t>
        </is>
      </c>
      <c r="J133" s="24" t="n"/>
      <c r="K133" s="21" t="inlineStr">
        <is>
          <t>1/4</t>
        </is>
      </c>
      <c r="L133" s="21" t="inlineStr">
        <is>
          <t>OFF, 15m, 1h, 4h, D (5 options)</t>
        </is>
      </c>
      <c r="M133" s="21" t="inlineStr">
        <is>
          <t>15m</t>
        </is>
      </c>
      <c r="N133" s="21" t="inlineStr">
        <is>
          <t>TF selector</t>
        </is>
      </c>
      <c r="O133" s="21" t="inlineStr">
        <is>
          <t>EMA_BLANKET_FILTER_FILTER_TF</t>
        </is>
      </c>
      <c r="P133" s="21" t="inlineStr">
        <is>
          <t>getattr(cfg,"EMA_BLANKET_FILTER_FILTER_TF")</t>
        </is>
      </c>
      <c r="Q133" t="inlineStr">
        <is>
          <t>NO</t>
        </is>
      </c>
    </row>
    <row r="134">
      <c r="A134" s="24" t="n">
        <v>32</v>
      </c>
      <c r="B134" s="27" t="inlineStr">
        <is>
          <t>EMA_BLANKET_FILTER_FILTER_TF</t>
        </is>
      </c>
      <c r="C134" s="19" t="inlineStr">
        <is>
          <t>15m</t>
        </is>
      </c>
      <c r="D134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4" s="26" t="inlineStr">
        <is>
          <t>GLOBAL_CHECK</t>
        </is>
      </c>
      <c r="F134" s="24" t="inlineStr">
        <is>
          <t>GLOBAL_CHECK</t>
        </is>
      </c>
      <c r="G134" s="26" t="inlineStr">
        <is>
          <t>EMA_BLANKET_FILTER</t>
        </is>
      </c>
      <c r="H134" s="24" t="inlineStr">
        <is>
          <t>SPECIFIC — only gated switches</t>
        </is>
      </c>
      <c r="I134" s="24" t="inlineStr">
        <is>
          <t>LIVE — wired</t>
        </is>
      </c>
      <c r="J134" s="24" t="n"/>
      <c r="K134" s="21" t="inlineStr">
        <is>
          <t>1/4</t>
        </is>
      </c>
      <c r="L134" s="21" t="inlineStr">
        <is>
          <t>OFF, 15m, 1h, 4h, D (5 options)</t>
        </is>
      </c>
      <c r="M134" s="21" t="inlineStr">
        <is>
          <t>15m</t>
        </is>
      </c>
      <c r="N134" s="21" t="inlineStr">
        <is>
          <t>TF selector</t>
        </is>
      </c>
      <c r="O134" s="21" t="inlineStr">
        <is>
          <t>EMA_BLANKET_FILTER_FILTER_TF</t>
        </is>
      </c>
      <c r="P134" s="21" t="inlineStr">
        <is>
          <t>getattr(cfg,"EMA_BLANKET_FILTER_FILTER_TF")</t>
        </is>
      </c>
      <c r="Q134" t="inlineStr">
        <is>
          <t>YES</t>
        </is>
      </c>
    </row>
    <row r="135">
      <c r="A135" s="17" t="n">
        <v>33</v>
      </c>
      <c r="B135" s="18" t="inlineStr">
        <is>
          <t>EMA_BLANKET_FILTER_MIN_TFS</t>
        </is>
      </c>
      <c r="C135" s="19" t="inlineStr">
        <is>
          <t>0</t>
        </is>
      </c>
      <c r="D135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5" s="20" t="inlineStr">
        <is>
          <t>GLOBAL_CHECK</t>
        </is>
      </c>
      <c r="F135" s="17" t="inlineStr">
        <is>
          <t>GLOBAL_CHECK</t>
        </is>
      </c>
      <c r="G135" s="20" t="inlineStr">
        <is>
          <t>EMA_BLANKET_FILTER_MIN_TFS</t>
        </is>
      </c>
      <c r="H135" s="17" t="inlineStr">
        <is>
          <t>GENERAL</t>
        </is>
      </c>
      <c r="I135" s="17" t="inlineStr">
        <is>
          <t>LIVE — wired</t>
        </is>
      </c>
      <c r="J135" s="17" t="n"/>
      <c r="K135" s="21" t="inlineStr">
        <is>
          <t>N</t>
        </is>
      </c>
      <c r="L135" s="21" t="inlineStr">
        <is>
          <t>0.0, +1, +2 (3)</t>
        </is>
      </c>
      <c r="M135" s="21" t="inlineStr">
        <is>
          <t>0.0</t>
        </is>
      </c>
      <c r="N135" s="21" t="inlineStr">
        <is>
          <t>count</t>
        </is>
      </c>
      <c r="O135" s="21" t="inlineStr">
        <is>
          <t>EMA_BLANKET_FILTER_MIN_TFS</t>
        </is>
      </c>
      <c r="P135" s="21" t="inlineStr">
        <is>
          <t>getattr(cfg,"EMA_BLANKET_FILTER_MIN_TFS")</t>
        </is>
      </c>
      <c r="Q135" t="inlineStr">
        <is>
          <t>YES</t>
        </is>
      </c>
    </row>
    <row r="136">
      <c r="A136" s="17" t="n">
        <v>33</v>
      </c>
      <c r="B136" s="22" t="inlineStr">
        <is>
          <t>EMA_BLANKET_FILTER_MIN_TFS</t>
        </is>
      </c>
      <c r="C136" s="23" t="inlineStr">
        <is>
          <t>2</t>
        </is>
      </c>
      <c r="D136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6" s="20" t="inlineStr">
        <is>
          <t>GLOBAL_CHECK</t>
        </is>
      </c>
      <c r="F136" s="17" t="inlineStr">
        <is>
          <t>GLOBAL_CHECK</t>
        </is>
      </c>
      <c r="G136" s="20" t="inlineStr">
        <is>
          <t>EMA_BLANKET_FILTER_MIN_TFS</t>
        </is>
      </c>
      <c r="H136" s="17" t="inlineStr">
        <is>
          <t>GENERAL</t>
        </is>
      </c>
      <c r="I136" s="17" t="inlineStr">
        <is>
          <t>LIVE — wired</t>
        </is>
      </c>
      <c r="J136" s="17" t="n"/>
      <c r="K136" s="21" t="inlineStr">
        <is>
          <t>N</t>
        </is>
      </c>
      <c r="L136" s="21" t="inlineStr">
        <is>
          <t>0.0, +1, +2 (3)</t>
        </is>
      </c>
      <c r="M136" s="21" t="inlineStr">
        <is>
          <t>0.0</t>
        </is>
      </c>
      <c r="N136" s="21" t="inlineStr">
        <is>
          <t>count</t>
        </is>
      </c>
      <c r="O136" s="21" t="inlineStr">
        <is>
          <t>EMA_BLANKET_FILTER_MIN_TFS</t>
        </is>
      </c>
      <c r="P136" s="21" t="inlineStr">
        <is>
          <t>getattr(cfg,"EMA_BLANKET_FILTER_MIN_TFS")</t>
        </is>
      </c>
      <c r="Q136" t="inlineStr">
        <is>
          <t>NO</t>
        </is>
      </c>
    </row>
    <row r="137">
      <c r="A137" s="17" t="n">
        <v>33</v>
      </c>
      <c r="B137" s="22" t="inlineStr">
        <is>
          <t>EMA_BLANKET_FILTER_MIN_TFS</t>
        </is>
      </c>
      <c r="C137" s="23" t="inlineStr">
        <is>
          <t>1</t>
        </is>
      </c>
      <c r="D137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7" s="20" t="inlineStr">
        <is>
          <t>GLOBAL_CHECK</t>
        </is>
      </c>
      <c r="F137" s="17" t="inlineStr">
        <is>
          <t>GLOBAL_CHECK</t>
        </is>
      </c>
      <c r="G137" s="20" t="inlineStr">
        <is>
          <t>EMA_BLANKET_FILTER_MIN_TFS</t>
        </is>
      </c>
      <c r="H137" s="17" t="inlineStr">
        <is>
          <t>GENERAL</t>
        </is>
      </c>
      <c r="I137" s="17" t="inlineStr">
        <is>
          <t>LIVE — wired</t>
        </is>
      </c>
      <c r="J137" s="17" t="n"/>
      <c r="K137" s="21" t="inlineStr">
        <is>
          <t>N</t>
        </is>
      </c>
      <c r="L137" s="21" t="inlineStr">
        <is>
          <t>0.0, +1, +2 (3)</t>
        </is>
      </c>
      <c r="M137" s="21" t="inlineStr">
        <is>
          <t>0.0</t>
        </is>
      </c>
      <c r="N137" s="21" t="inlineStr">
        <is>
          <t>count</t>
        </is>
      </c>
      <c r="O137" s="21" t="inlineStr">
        <is>
          <t>EMA_BLANKET_FILTER_MIN_TFS</t>
        </is>
      </c>
      <c r="P137" s="21" t="inlineStr">
        <is>
          <t>getattr(cfg,"EMA_BLANKET_FILTER_MIN_TFS")</t>
        </is>
      </c>
      <c r="Q137" t="inlineStr">
        <is>
          <t>NO</t>
        </is>
      </c>
    </row>
    <row r="138">
      <c r="A138" s="24" t="n">
        <v>34</v>
      </c>
      <c r="B138" s="25" t="inlineStr">
        <is>
          <t>EMERGENCY_BRAKE_FILTER_TF</t>
        </is>
      </c>
      <c r="C138" s="23" t="inlineStr">
        <is>
          <t>OFF</t>
        </is>
      </c>
      <c r="D138" s="26" t="inlineStr">
        <is>
          <t>Emergency brake (kill switch) confirmation TF. | Live read: `SS_LADDER_FILTER_TF', 'CIRCUIT_SHARPE_GATES_ENABLED', 'CIRCUIT_SHARPE_GATES_FILT`</t>
        </is>
      </c>
      <c r="E138" s="26" t="inlineStr">
        <is>
          <t>GLOBAL_CHECK</t>
        </is>
      </c>
      <c r="F138" s="24" t="inlineStr">
        <is>
          <t>GLOBAL_CHECK</t>
        </is>
      </c>
      <c r="G138" s="26" t="inlineStr">
        <is>
          <t>EMERGENCY_BRAKE</t>
        </is>
      </c>
      <c r="H138" s="24" t="inlineStr">
        <is>
          <t>SPECIFIC — only gated switches</t>
        </is>
      </c>
      <c r="I138" s="24" t="inlineStr">
        <is>
          <t>LIVE — wired</t>
        </is>
      </c>
      <c r="J138" s="24" t="n"/>
      <c r="K138" s="21" t="inlineStr">
        <is>
          <t>1/4</t>
        </is>
      </c>
      <c r="L138" s="21" t="inlineStr">
        <is>
          <t>OFF, 15m, 1h, 4h, D (5 options)</t>
        </is>
      </c>
      <c r="M138" s="21" t="inlineStr">
        <is>
          <t>15m</t>
        </is>
      </c>
      <c r="N138" s="21" t="inlineStr">
        <is>
          <t>TF selector</t>
        </is>
      </c>
      <c r="O138" s="21" t="inlineStr">
        <is>
          <t>EMERGENCY_BRAKE_FILTER_TF</t>
        </is>
      </c>
      <c r="P138" s="21" t="inlineStr">
        <is>
          <t>getattr(cfg,"EMERGENCY_BRAKE_FILTER_TF")</t>
        </is>
      </c>
      <c r="Q138" t="inlineStr">
        <is>
          <t>NO</t>
        </is>
      </c>
    </row>
    <row r="139">
      <c r="A139" s="24" t="n">
        <v>34</v>
      </c>
      <c r="B139" s="25" t="inlineStr">
        <is>
          <t>EMERGENCY_BRAKE_FILTER_TF</t>
        </is>
      </c>
      <c r="C139" s="23" t="inlineStr">
        <is>
          <t>D</t>
        </is>
      </c>
      <c r="D139" s="26" t="inlineStr">
        <is>
          <t>Emergency brake (kill switch) confirmation TF. | Live read: `SS_LADDER_FILTER_TF', 'CIRCUIT_SHARPE_GATES_ENABLED', 'CIRCUIT_SHARPE_GATES_FILT`</t>
        </is>
      </c>
      <c r="E139" s="26" t="inlineStr">
        <is>
          <t>GLOBAL_CHECK</t>
        </is>
      </c>
      <c r="F139" s="24" t="inlineStr">
        <is>
          <t>GLOBAL_CHECK</t>
        </is>
      </c>
      <c r="G139" s="26" t="inlineStr">
        <is>
          <t>EMERGENCY_BRAKE</t>
        </is>
      </c>
      <c r="H139" s="24" t="inlineStr">
        <is>
          <t>SPECIFIC — only gated switches</t>
        </is>
      </c>
      <c r="I139" s="24" t="inlineStr">
        <is>
          <t>LIVE — wired</t>
        </is>
      </c>
      <c r="J139" s="24" t="n"/>
      <c r="K139" s="21" t="inlineStr">
        <is>
          <t>1/4</t>
        </is>
      </c>
      <c r="L139" s="21" t="inlineStr">
        <is>
          <t>OFF, 15m, 1h, 4h, D (5 options)</t>
        </is>
      </c>
      <c r="M139" s="21" t="inlineStr">
        <is>
          <t>15m</t>
        </is>
      </c>
      <c r="N139" s="21" t="inlineStr">
        <is>
          <t>TF selector</t>
        </is>
      </c>
      <c r="O139" s="21" t="inlineStr">
        <is>
          <t>EMERGENCY_BRAKE_FILTER_TF</t>
        </is>
      </c>
      <c r="P139" s="21" t="inlineStr">
        <is>
          <t>getattr(cfg,"EMERGENCY_BRAKE_FILTER_TF")</t>
        </is>
      </c>
      <c r="Q139" t="inlineStr">
        <is>
          <t>NO</t>
        </is>
      </c>
    </row>
    <row r="140">
      <c r="A140" s="24" t="n">
        <v>34</v>
      </c>
      <c r="B140" s="25" t="inlineStr">
        <is>
          <t>EMERGENCY_BRAKE_FILTER_TF</t>
        </is>
      </c>
      <c r="C140" s="23" t="inlineStr">
        <is>
          <t>4h</t>
        </is>
      </c>
      <c r="D140" s="26" t="inlineStr">
        <is>
          <t>Emergency brake (kill switch) confirmation TF. | Live read: `SS_LADDER_FILTER_TF', 'CIRCUIT_SHARPE_GATES_ENABLED', 'CIRCUIT_SHARPE_GATES_FILT`</t>
        </is>
      </c>
      <c r="E140" s="26" t="inlineStr">
        <is>
          <t>GLOBAL_CHECK</t>
        </is>
      </c>
      <c r="F140" s="24" t="inlineStr">
        <is>
          <t>GLOBAL_CHECK</t>
        </is>
      </c>
      <c r="G140" s="26" t="inlineStr">
        <is>
          <t>EMERGENCY_BRAKE</t>
        </is>
      </c>
      <c r="H140" s="24" t="inlineStr">
        <is>
          <t>SPECIFIC — only gated switches</t>
        </is>
      </c>
      <c r="I140" s="24" t="inlineStr">
        <is>
          <t>LIVE — wired</t>
        </is>
      </c>
      <c r="J140" s="24" t="n"/>
      <c r="K140" s="21" t="inlineStr">
        <is>
          <t>1/4</t>
        </is>
      </c>
      <c r="L140" s="21" t="inlineStr">
        <is>
          <t>OFF, 15m, 1h, 4h, D (5 options)</t>
        </is>
      </c>
      <c r="M140" s="21" t="inlineStr">
        <is>
          <t>15m</t>
        </is>
      </c>
      <c r="N140" s="21" t="inlineStr">
        <is>
          <t>TF selector</t>
        </is>
      </c>
      <c r="O140" s="21" t="inlineStr">
        <is>
          <t>EMERGENCY_BRAKE_FILTER_TF</t>
        </is>
      </c>
      <c r="P140" s="21" t="inlineStr">
        <is>
          <t>getattr(cfg,"EMERGENCY_BRAKE_FILTER_TF")</t>
        </is>
      </c>
      <c r="Q140" t="inlineStr">
        <is>
          <t>NO</t>
        </is>
      </c>
    </row>
    <row r="141">
      <c r="A141" s="24" t="n">
        <v>34</v>
      </c>
      <c r="B141" s="25" t="inlineStr">
        <is>
          <t>EMERGENCY_BRAKE_FILTER_TF</t>
        </is>
      </c>
      <c r="C141" s="23" t="inlineStr">
        <is>
          <t>1h</t>
        </is>
      </c>
      <c r="D141" s="26" t="inlineStr">
        <is>
          <t>Emergency brake (kill switch) confirmation TF. | Live read: `SS_LADDER_FILTER_TF', 'CIRCUIT_SHARPE_GATES_ENABLED', 'CIRCUIT_SHARPE_GATES_FILT`</t>
        </is>
      </c>
      <c r="E141" s="26" t="inlineStr">
        <is>
          <t>GLOBAL_CHECK</t>
        </is>
      </c>
      <c r="F141" s="24" t="inlineStr">
        <is>
          <t>GLOBAL_CHECK</t>
        </is>
      </c>
      <c r="G141" s="26" t="inlineStr">
        <is>
          <t>EMERGENCY_BRAKE</t>
        </is>
      </c>
      <c r="H141" s="24" t="inlineStr">
        <is>
          <t>SPECIFIC — only gated switches</t>
        </is>
      </c>
      <c r="I141" s="24" t="inlineStr">
        <is>
          <t>LIVE — wired</t>
        </is>
      </c>
      <c r="J141" s="24" t="n"/>
      <c r="K141" s="21" t="inlineStr">
        <is>
          <t>1/4</t>
        </is>
      </c>
      <c r="L141" s="21" t="inlineStr">
        <is>
          <t>OFF, 15m, 1h, 4h, D (5 options)</t>
        </is>
      </c>
      <c r="M141" s="21" t="inlineStr">
        <is>
          <t>15m</t>
        </is>
      </c>
      <c r="N141" s="21" t="inlineStr">
        <is>
          <t>TF selector</t>
        </is>
      </c>
      <c r="O141" s="21" t="inlineStr">
        <is>
          <t>EMERGENCY_BRAKE_FILTER_TF</t>
        </is>
      </c>
      <c r="P141" s="21" t="inlineStr">
        <is>
          <t>getattr(cfg,"EMERGENCY_BRAKE_FILTER_TF")</t>
        </is>
      </c>
      <c r="Q141" t="inlineStr">
        <is>
          <t>NO</t>
        </is>
      </c>
    </row>
    <row r="142">
      <c r="A142" s="24" t="n">
        <v>34</v>
      </c>
      <c r="B142" s="27" t="inlineStr">
        <is>
          <t>EMERGENCY_BRAKE_FILTER_TF</t>
        </is>
      </c>
      <c r="C142" s="19" t="inlineStr">
        <is>
          <t>15m</t>
        </is>
      </c>
      <c r="D142" s="26" t="inlineStr">
        <is>
          <t>Emergency brake (kill switch) confirmation TF. | Live read: `SS_LADDER_FILTER_TF', 'CIRCUIT_SHARPE_GATES_ENABLED', 'CIRCUIT_SHARPE_GATES_FILT`</t>
        </is>
      </c>
      <c r="E142" s="26" t="inlineStr">
        <is>
          <t>GLOBAL_CHECK</t>
        </is>
      </c>
      <c r="F142" s="24" t="inlineStr">
        <is>
          <t>GLOBAL_CHECK</t>
        </is>
      </c>
      <c r="G142" s="26" t="inlineStr">
        <is>
          <t>EMERGENCY_BRAKE</t>
        </is>
      </c>
      <c r="H142" s="24" t="inlineStr">
        <is>
          <t>SPECIFIC — only gated switches</t>
        </is>
      </c>
      <c r="I142" s="24" t="inlineStr">
        <is>
          <t>LIVE — wired</t>
        </is>
      </c>
      <c r="J142" s="24" t="n"/>
      <c r="K142" s="21" t="inlineStr">
        <is>
          <t>1/4</t>
        </is>
      </c>
      <c r="L142" s="21" t="inlineStr">
        <is>
          <t>OFF, 15m, 1h, 4h, D (5 options)</t>
        </is>
      </c>
      <c r="M142" s="21" t="inlineStr">
        <is>
          <t>15m</t>
        </is>
      </c>
      <c r="N142" s="21" t="inlineStr">
        <is>
          <t>TF selector</t>
        </is>
      </c>
      <c r="O142" s="21" t="inlineStr">
        <is>
          <t>EMERGENCY_BRAKE_FILTER_TF</t>
        </is>
      </c>
      <c r="P142" s="21" t="inlineStr">
        <is>
          <t>getattr(cfg,"EMERGENCY_BRAKE_FILTER_TF")</t>
        </is>
      </c>
      <c r="Q142" t="inlineStr">
        <is>
          <t>YES</t>
        </is>
      </c>
    </row>
    <row r="143">
      <c r="A143" s="17" t="n">
        <v>35</v>
      </c>
      <c r="B143" s="18" t="inlineStr">
        <is>
          <t>EXECUTE_NOW_SINGLE_GATE_ENFORCE</t>
        </is>
      </c>
      <c r="C143" s="19" t="inlineStr">
        <is>
          <t>0.0</t>
        </is>
      </c>
      <c r="D143" s="20" t="inlineStr">
        <is>
          <t>Enforces single-gate through execute_now (THE ONLY gate). | Live read: `'EXECUTE_NOW_SINGLE_GATE_ENFORCE', 'EXECUTE_NOW_WIRE_TRIPWIRE_MAX_LAG_S', 'EXECU`</t>
        </is>
      </c>
      <c r="E143" s="20" t="inlineStr">
        <is>
          <t>ENTRY, GLOBAL_CHECK, STOCKS_EXIT</t>
        </is>
      </c>
      <c r="F143" s="17" t="inlineStr">
        <is>
          <t>ENTRY, GLOBAL_CHECK, STOCKS_EXIT</t>
        </is>
      </c>
      <c r="G143" s="20" t="inlineStr">
        <is>
          <t>EXECUTE_NOW_SINGLE_GATE_ENFORCE</t>
        </is>
      </c>
      <c r="H143" s="17" t="inlineStr">
        <is>
          <t>GENERAL</t>
        </is>
      </c>
      <c r="I143" s="17" t="inlineStr">
        <is>
          <t>LIVE — wired</t>
        </is>
      </c>
      <c r="J143" s="17" t="n"/>
      <c r="K143" s="21" t="inlineStr">
        <is>
          <t>—</t>
        </is>
      </c>
      <c r="L143" s="21" t="inlineStr">
        <is>
          <t>0.0, alt</t>
        </is>
      </c>
      <c r="M143" s="21" t="inlineStr">
        <is>
          <t>0.0</t>
        </is>
      </c>
      <c r="N143" s="21" t="inlineStr">
        <is>
          <t>param</t>
        </is>
      </c>
      <c r="O143" s="21" t="inlineStr">
        <is>
          <t>EXECUTE_NOW_SINGLE_GATE_ENFORCE</t>
        </is>
      </c>
      <c r="P143" s="21" t="inlineStr">
        <is>
          <t>getattr(cfg,"EXECUTE_NOW_SINGLE_GATE_ENFORCE")</t>
        </is>
      </c>
      <c r="Q143" t="inlineStr">
        <is>
          <t>YES</t>
        </is>
      </c>
    </row>
    <row r="144">
      <c r="A144" s="17" t="n">
        <v>35</v>
      </c>
      <c r="B144" s="22" t="inlineStr">
        <is>
          <t>EXECUTE_NOW_SINGLE_GATE_ENFORCE</t>
        </is>
      </c>
      <c r="C144" s="23" t="inlineStr">
        <is>
          <t>0.0_ALT</t>
        </is>
      </c>
      <c r="D144" s="20" t="inlineStr">
        <is>
          <t>Enforces single-gate through execute_now (THE ONLY gate). | Live read: `'EXECUTE_NOW_SINGLE_GATE_ENFORCE', 'EXECUTE_NOW_WIRE_TRIPWIRE_MAX_LAG_S', 'EXECU`</t>
        </is>
      </c>
      <c r="E144" s="20" t="inlineStr">
        <is>
          <t>ENTRY, GLOBAL_CHECK, STOCKS_EXIT</t>
        </is>
      </c>
      <c r="F144" s="17" t="inlineStr">
        <is>
          <t>ENTRY, GLOBAL_CHECK, STOCKS_EXIT</t>
        </is>
      </c>
      <c r="G144" s="20" t="inlineStr">
        <is>
          <t>EXECUTE_NOW_SINGLE_GATE_ENFORCE</t>
        </is>
      </c>
      <c r="H144" s="17" t="inlineStr">
        <is>
          <t>GENERAL</t>
        </is>
      </c>
      <c r="I144" s="17" t="inlineStr">
        <is>
          <t>LIVE — wired</t>
        </is>
      </c>
      <c r="J144" s="17" t="n"/>
      <c r="K144" s="21" t="inlineStr">
        <is>
          <t>—</t>
        </is>
      </c>
      <c r="L144" s="21" t="inlineStr">
        <is>
          <t>0.0, alt</t>
        </is>
      </c>
      <c r="M144" s="21" t="inlineStr">
        <is>
          <t>0.0</t>
        </is>
      </c>
      <c r="N144" s="21" t="inlineStr">
        <is>
          <t>param</t>
        </is>
      </c>
      <c r="O144" s="21" t="inlineStr">
        <is>
          <t>EXECUTE_NOW_SINGLE_GATE_ENFORCE</t>
        </is>
      </c>
      <c r="P144" s="21" t="inlineStr">
        <is>
          <t>getattr(cfg,"EXECUTE_NOW_SINGLE_GATE_ENFORCE")</t>
        </is>
      </c>
      <c r="Q144" t="inlineStr">
        <is>
          <t>NO</t>
        </is>
      </c>
    </row>
    <row r="145">
      <c r="A145" s="32" t="n">
        <v>36</v>
      </c>
      <c r="B145" s="33" t="inlineStr">
        <is>
          <t>EXHAUSTION_EXIT_FILTER_TF</t>
        </is>
      </c>
      <c r="C145" s="23" t="inlineStr">
        <is>
          <t>OFF</t>
        </is>
      </c>
      <c r="D145" s="34" t="inlineStr">
        <is>
          <t>Dead/misnamed filter — no read in ez_manage/ez_positions_quick/tradier_manage. Appears 0x; likely legacy or typo.</t>
        </is>
      </c>
      <c r="E145" s="34" t="inlineStr">
        <is>
          <t>DEAD</t>
        </is>
      </c>
      <c r="F145" s="32" t="inlineStr">
        <is>
          <t>DEAD</t>
        </is>
      </c>
      <c r="G145" s="34" t="inlineStr">
        <is>
          <t>EXHAUSTION_EXIT</t>
        </is>
      </c>
      <c r="H145" s="32" t="inlineStr">
        <is>
          <t>SPECIFIC — only gated switches</t>
        </is>
      </c>
      <c r="I145" s="32" t="inlineStr">
        <is>
          <t>DEAD — REMOVE</t>
        </is>
      </c>
      <c r="J145" s="32" t="n"/>
      <c r="K145" s="21" t="inlineStr">
        <is>
          <t>1/4</t>
        </is>
      </c>
      <c r="L145" s="21" t="inlineStr">
        <is>
          <t>OFF, 15m, 1h, 4h, D (5 options)</t>
        </is>
      </c>
      <c r="M145" s="21" t="inlineStr">
        <is>
          <t>15m</t>
        </is>
      </c>
      <c r="N145" s="21" t="inlineStr">
        <is>
          <t>TF selector</t>
        </is>
      </c>
      <c r="O145" s="21" t="inlineStr">
        <is>
          <t>EXHAUSTION_EXIT_FILTER_TF</t>
        </is>
      </c>
      <c r="P145" s="21" t="inlineStr">
        <is>
          <t>getattr(cfg,"EXHAUSTION_EXIT_FILTER_TF")</t>
        </is>
      </c>
      <c r="Q145" t="inlineStr">
        <is>
          <t>NO</t>
        </is>
      </c>
    </row>
    <row r="146">
      <c r="A146" s="32" t="n">
        <v>36</v>
      </c>
      <c r="B146" s="33" t="inlineStr">
        <is>
          <t>EXHAUSTION_EXIT_FILTER_TF</t>
        </is>
      </c>
      <c r="C146" s="23" t="inlineStr">
        <is>
          <t>D</t>
        </is>
      </c>
      <c r="D146" s="34" t="inlineStr">
        <is>
          <t>Dead/misnamed filter — no read in ez_manage/ez_positions_quick/tradier_manage. Appears 0x; likely legacy or typo.</t>
        </is>
      </c>
      <c r="E146" s="34" t="inlineStr">
        <is>
          <t>DEAD</t>
        </is>
      </c>
      <c r="F146" s="32" t="inlineStr">
        <is>
          <t>DEAD</t>
        </is>
      </c>
      <c r="G146" s="34" t="inlineStr">
        <is>
          <t>EXHAUSTION_EXIT</t>
        </is>
      </c>
      <c r="H146" s="32" t="inlineStr">
        <is>
          <t>SPECIFIC — only gated switches</t>
        </is>
      </c>
      <c r="I146" s="32" t="inlineStr">
        <is>
          <t>DEAD — REMOVE</t>
        </is>
      </c>
      <c r="J146" s="32" t="n"/>
      <c r="K146" s="21" t="inlineStr">
        <is>
          <t>1/4</t>
        </is>
      </c>
      <c r="L146" s="21" t="inlineStr">
        <is>
          <t>OFF, 15m, 1h, 4h, D (5 options)</t>
        </is>
      </c>
      <c r="M146" s="21" t="inlineStr">
        <is>
          <t>15m</t>
        </is>
      </c>
      <c r="N146" s="21" t="inlineStr">
        <is>
          <t>TF selector</t>
        </is>
      </c>
      <c r="O146" s="21" t="inlineStr">
        <is>
          <t>EXHAUSTION_EXIT_FILTER_TF</t>
        </is>
      </c>
      <c r="P146" s="21" t="inlineStr">
        <is>
          <t>getattr(cfg,"EXHAUSTION_EXIT_FILTER_TF")</t>
        </is>
      </c>
      <c r="Q146" t="inlineStr">
        <is>
          <t>NO</t>
        </is>
      </c>
    </row>
    <row r="147">
      <c r="A147" s="32" t="n">
        <v>36</v>
      </c>
      <c r="B147" s="33" t="inlineStr">
        <is>
          <t>EXHAUSTION_EXIT_FILTER_TF</t>
        </is>
      </c>
      <c r="C147" s="23" t="inlineStr">
        <is>
          <t>4h</t>
        </is>
      </c>
      <c r="D147" s="34" t="inlineStr">
        <is>
          <t>Dead/misnamed filter — no read in ez_manage/ez_positions_quick/tradier_manage. Appears 0x; likely legacy or typo.</t>
        </is>
      </c>
      <c r="E147" s="34" t="inlineStr">
        <is>
          <t>DEAD</t>
        </is>
      </c>
      <c r="F147" s="32" t="inlineStr">
        <is>
          <t>DEAD</t>
        </is>
      </c>
      <c r="G147" s="34" t="inlineStr">
        <is>
          <t>EXHAUSTION_EXIT</t>
        </is>
      </c>
      <c r="H147" s="32" t="inlineStr">
        <is>
          <t>SPECIFIC — only gated switches</t>
        </is>
      </c>
      <c r="I147" s="32" t="inlineStr">
        <is>
          <t>DEAD — REMOVE</t>
        </is>
      </c>
      <c r="J147" s="32" t="n"/>
      <c r="K147" s="21" t="inlineStr">
        <is>
          <t>1/4</t>
        </is>
      </c>
      <c r="L147" s="21" t="inlineStr">
        <is>
          <t>OFF, 15m, 1h, 4h, D (5 options)</t>
        </is>
      </c>
      <c r="M147" s="21" t="inlineStr">
        <is>
          <t>15m</t>
        </is>
      </c>
      <c r="N147" s="21" t="inlineStr">
        <is>
          <t>TF selector</t>
        </is>
      </c>
      <c r="O147" s="21" t="inlineStr">
        <is>
          <t>EXHAUSTION_EXIT_FILTER_TF</t>
        </is>
      </c>
      <c r="P147" s="21" t="inlineStr">
        <is>
          <t>getattr(cfg,"EXHAUSTION_EXIT_FILTER_TF")</t>
        </is>
      </c>
      <c r="Q147" t="inlineStr">
        <is>
          <t>NO</t>
        </is>
      </c>
    </row>
    <row r="148">
      <c r="A148" s="32" t="n">
        <v>36</v>
      </c>
      <c r="B148" s="33" t="inlineStr">
        <is>
          <t>EXHAUSTION_EXIT_FILTER_TF</t>
        </is>
      </c>
      <c r="C148" s="23" t="inlineStr">
        <is>
          <t>1h</t>
        </is>
      </c>
      <c r="D148" s="34" t="inlineStr">
        <is>
          <t>Dead/misnamed filter — no read in ez_manage/ez_positions_quick/tradier_manage. Appears 0x; likely legacy or typo.</t>
        </is>
      </c>
      <c r="E148" s="34" t="inlineStr">
        <is>
          <t>DEAD</t>
        </is>
      </c>
      <c r="F148" s="32" t="inlineStr">
        <is>
          <t>DEAD</t>
        </is>
      </c>
      <c r="G148" s="34" t="inlineStr">
        <is>
          <t>EXHAUSTION_EXIT</t>
        </is>
      </c>
      <c r="H148" s="32" t="inlineStr">
        <is>
          <t>SPECIFIC — only gated switches</t>
        </is>
      </c>
      <c r="I148" s="32" t="inlineStr">
        <is>
          <t>DEAD — REMOVE</t>
        </is>
      </c>
      <c r="J148" s="32" t="n"/>
      <c r="K148" s="21" t="inlineStr">
        <is>
          <t>1/4</t>
        </is>
      </c>
      <c r="L148" s="21" t="inlineStr">
        <is>
          <t>OFF, 15m, 1h, 4h, D (5 options)</t>
        </is>
      </c>
      <c r="M148" s="21" t="inlineStr">
        <is>
          <t>15m</t>
        </is>
      </c>
      <c r="N148" s="21" t="inlineStr">
        <is>
          <t>TF selector</t>
        </is>
      </c>
      <c r="O148" s="21" t="inlineStr">
        <is>
          <t>EXHAUSTION_EXIT_FILTER_TF</t>
        </is>
      </c>
      <c r="P148" s="21" t="inlineStr">
        <is>
          <t>getattr(cfg,"EXHAUSTION_EXIT_FILTER_TF")</t>
        </is>
      </c>
      <c r="Q148" t="inlineStr">
        <is>
          <t>NO</t>
        </is>
      </c>
    </row>
    <row r="149">
      <c r="A149" s="32" t="n">
        <v>36</v>
      </c>
      <c r="B149" s="35" t="inlineStr">
        <is>
          <t>EXHAUSTION_EXIT_FILTER_TF</t>
        </is>
      </c>
      <c r="C149" s="19" t="inlineStr">
        <is>
          <t>15m</t>
        </is>
      </c>
      <c r="D149" s="34" t="inlineStr">
        <is>
          <t>Dead/misnamed filter — no read in ez_manage/ez_positions_quick/tradier_manage. Appears 0x; likely legacy or typo.</t>
        </is>
      </c>
      <c r="E149" s="34" t="inlineStr">
        <is>
          <t>DEAD</t>
        </is>
      </c>
      <c r="F149" s="32" t="inlineStr">
        <is>
          <t>DEAD</t>
        </is>
      </c>
      <c r="G149" s="34" t="inlineStr">
        <is>
          <t>EXHAUSTION_EXIT</t>
        </is>
      </c>
      <c r="H149" s="32" t="inlineStr">
        <is>
          <t>SPECIFIC — only gated switches</t>
        </is>
      </c>
      <c r="I149" s="32" t="inlineStr">
        <is>
          <t>DEAD — REMOVE</t>
        </is>
      </c>
      <c r="J149" s="32" t="n"/>
      <c r="K149" s="21" t="inlineStr">
        <is>
          <t>1/4</t>
        </is>
      </c>
      <c r="L149" s="21" t="inlineStr">
        <is>
          <t>OFF, 15m, 1h, 4h, D (5 options)</t>
        </is>
      </c>
      <c r="M149" s="21" t="inlineStr">
        <is>
          <t>15m</t>
        </is>
      </c>
      <c r="N149" s="21" t="inlineStr">
        <is>
          <t>TF selector</t>
        </is>
      </c>
      <c r="O149" s="21" t="inlineStr">
        <is>
          <t>EXHAUSTION_EXIT_FILTER_TF</t>
        </is>
      </c>
      <c r="P149" s="21" t="inlineStr">
        <is>
          <t>getattr(cfg,"EXHAUSTION_EXIT_FILTER_TF")</t>
        </is>
      </c>
      <c r="Q149" t="inlineStr">
        <is>
          <t>YES</t>
        </is>
      </c>
    </row>
    <row r="150">
      <c r="A150" s="24" t="n">
        <v>37</v>
      </c>
      <c r="B150" s="25" t="inlineStr">
        <is>
          <t>EXIT_R1_R2_FILTER_TF</t>
        </is>
      </c>
      <c r="C150" s="23" t="inlineStr">
        <is>
          <t>OFF</t>
        </is>
      </c>
      <c r="D150" s="26" t="inlineStr">
        <is>
          <t>Exit R1/R2 level confirmation TF. | Live read: `LESS_EXIT_ENABLED', 'DC_HOPELESS_EXIT_MIN_AGE_S', 'DC_LOW_FROZEN_STOP_TF', 'DC_R`</t>
        </is>
      </c>
      <c r="E150" s="26" t="inlineStr">
        <is>
          <t>GLOBAL_CHECK</t>
        </is>
      </c>
      <c r="F150" s="24" t="inlineStr">
        <is>
          <t>GLOBAL_CHECK</t>
        </is>
      </c>
      <c r="G150" s="26" t="inlineStr">
        <is>
          <t>EXIT_R1_R2</t>
        </is>
      </c>
      <c r="H150" s="24" t="inlineStr">
        <is>
          <t>SPECIFIC — only gated switches</t>
        </is>
      </c>
      <c r="I150" s="24" t="inlineStr">
        <is>
          <t>LIVE — wired</t>
        </is>
      </c>
      <c r="J150" s="24" t="n"/>
      <c r="K150" s="21" t="inlineStr">
        <is>
          <t>1/4</t>
        </is>
      </c>
      <c r="L150" s="21" t="inlineStr">
        <is>
          <t>OFF, 15m, 1h, 4h, D (5 options)</t>
        </is>
      </c>
      <c r="M150" s="21" t="inlineStr">
        <is>
          <t>15m</t>
        </is>
      </c>
      <c r="N150" s="21" t="inlineStr">
        <is>
          <t>TF selector</t>
        </is>
      </c>
      <c r="O150" s="21" t="inlineStr">
        <is>
          <t>EXIT_R1_R2_FILTER_TF</t>
        </is>
      </c>
      <c r="P150" s="21" t="inlineStr">
        <is>
          <t>getattr(cfg,"EXIT_R1_R2_FILTER_TF")</t>
        </is>
      </c>
      <c r="Q150" t="inlineStr">
        <is>
          <t>NO</t>
        </is>
      </c>
    </row>
    <row r="151">
      <c r="A151" s="24" t="n">
        <v>37</v>
      </c>
      <c r="B151" s="25" t="inlineStr">
        <is>
          <t>EXIT_R1_R2_FILTER_TF</t>
        </is>
      </c>
      <c r="C151" s="23" t="inlineStr">
        <is>
          <t>D</t>
        </is>
      </c>
      <c r="D151" s="26" t="inlineStr">
        <is>
          <t>Exit R1/R2 level confirmation TF. | Live read: `LESS_EXIT_ENABLED', 'DC_HOPELESS_EXIT_MIN_AGE_S', 'DC_LOW_FROZEN_STOP_TF', 'DC_R`</t>
        </is>
      </c>
      <c r="E151" s="26" t="inlineStr">
        <is>
          <t>GLOBAL_CHECK</t>
        </is>
      </c>
      <c r="F151" s="24" t="inlineStr">
        <is>
          <t>GLOBAL_CHECK</t>
        </is>
      </c>
      <c r="G151" s="26" t="inlineStr">
        <is>
          <t>EXIT_R1_R2</t>
        </is>
      </c>
      <c r="H151" s="24" t="inlineStr">
        <is>
          <t>SPECIFIC — only gated switches</t>
        </is>
      </c>
      <c r="I151" s="24" t="inlineStr">
        <is>
          <t>LIVE — wired</t>
        </is>
      </c>
      <c r="J151" s="24" t="n"/>
      <c r="K151" s="21" t="inlineStr">
        <is>
          <t>1/4</t>
        </is>
      </c>
      <c r="L151" s="21" t="inlineStr">
        <is>
          <t>OFF, 15m, 1h, 4h, D (5 options)</t>
        </is>
      </c>
      <c r="M151" s="21" t="inlineStr">
        <is>
          <t>15m</t>
        </is>
      </c>
      <c r="N151" s="21" t="inlineStr">
        <is>
          <t>TF selector</t>
        </is>
      </c>
      <c r="O151" s="21" t="inlineStr">
        <is>
          <t>EXIT_R1_R2_FILTER_TF</t>
        </is>
      </c>
      <c r="P151" s="21" t="inlineStr">
        <is>
          <t>getattr(cfg,"EXIT_R1_R2_FILTER_TF")</t>
        </is>
      </c>
      <c r="Q151" t="inlineStr">
        <is>
          <t>NO</t>
        </is>
      </c>
    </row>
    <row r="152">
      <c r="A152" s="24" t="n">
        <v>37</v>
      </c>
      <c r="B152" s="25" t="inlineStr">
        <is>
          <t>EXIT_R1_R2_FILTER_TF</t>
        </is>
      </c>
      <c r="C152" s="23" t="inlineStr">
        <is>
          <t>4h</t>
        </is>
      </c>
      <c r="D152" s="26" t="inlineStr">
        <is>
          <t>Exit R1/R2 level confirmation TF. | Live read: `LESS_EXIT_ENABLED', 'DC_HOPELESS_EXIT_MIN_AGE_S', 'DC_LOW_FROZEN_STOP_TF', 'DC_R`</t>
        </is>
      </c>
      <c r="E152" s="26" t="inlineStr">
        <is>
          <t>GLOBAL_CHECK</t>
        </is>
      </c>
      <c r="F152" s="24" t="inlineStr">
        <is>
          <t>GLOBAL_CHECK</t>
        </is>
      </c>
      <c r="G152" s="26" t="inlineStr">
        <is>
          <t>EXIT_R1_R2</t>
        </is>
      </c>
      <c r="H152" s="24" t="inlineStr">
        <is>
          <t>SPECIFIC — only gated switches</t>
        </is>
      </c>
      <c r="I152" s="24" t="inlineStr">
        <is>
          <t>LIVE — wired</t>
        </is>
      </c>
      <c r="J152" s="24" t="n"/>
      <c r="K152" s="21" t="inlineStr">
        <is>
          <t>1/4</t>
        </is>
      </c>
      <c r="L152" s="21" t="inlineStr">
        <is>
          <t>OFF, 15m, 1h, 4h, D (5 options)</t>
        </is>
      </c>
      <c r="M152" s="21" t="inlineStr">
        <is>
          <t>15m</t>
        </is>
      </c>
      <c r="N152" s="21" t="inlineStr">
        <is>
          <t>TF selector</t>
        </is>
      </c>
      <c r="O152" s="21" t="inlineStr">
        <is>
          <t>EXIT_R1_R2_FILTER_TF</t>
        </is>
      </c>
      <c r="P152" s="21" t="inlineStr">
        <is>
          <t>getattr(cfg,"EXIT_R1_R2_FILTER_TF")</t>
        </is>
      </c>
      <c r="Q152" t="inlineStr">
        <is>
          <t>NO</t>
        </is>
      </c>
    </row>
    <row r="153">
      <c r="A153" s="24" t="n">
        <v>37</v>
      </c>
      <c r="B153" s="25" t="inlineStr">
        <is>
          <t>EXIT_R1_R2_FILTER_TF</t>
        </is>
      </c>
      <c r="C153" s="23" t="inlineStr">
        <is>
          <t>1h</t>
        </is>
      </c>
      <c r="D153" s="26" t="inlineStr">
        <is>
          <t>Exit R1/R2 level confirmation TF. | Live read: `LESS_EXIT_ENABLED', 'DC_HOPELESS_EXIT_MIN_AGE_S', 'DC_LOW_FROZEN_STOP_TF', 'DC_R`</t>
        </is>
      </c>
      <c r="E153" s="26" t="inlineStr">
        <is>
          <t>GLOBAL_CHECK</t>
        </is>
      </c>
      <c r="F153" s="24" t="inlineStr">
        <is>
          <t>GLOBAL_CHECK</t>
        </is>
      </c>
      <c r="G153" s="26" t="inlineStr">
        <is>
          <t>EXIT_R1_R2</t>
        </is>
      </c>
      <c r="H153" s="24" t="inlineStr">
        <is>
          <t>SPECIFIC — only gated switches</t>
        </is>
      </c>
      <c r="I153" s="24" t="inlineStr">
        <is>
          <t>LIVE — wired</t>
        </is>
      </c>
      <c r="J153" s="24" t="n"/>
      <c r="K153" s="21" t="inlineStr">
        <is>
          <t>1/4</t>
        </is>
      </c>
      <c r="L153" s="21" t="inlineStr">
        <is>
          <t>OFF, 15m, 1h, 4h, D (5 options)</t>
        </is>
      </c>
      <c r="M153" s="21" t="inlineStr">
        <is>
          <t>15m</t>
        </is>
      </c>
      <c r="N153" s="21" t="inlineStr">
        <is>
          <t>TF selector</t>
        </is>
      </c>
      <c r="O153" s="21" t="inlineStr">
        <is>
          <t>EXIT_R1_R2_FILTER_TF</t>
        </is>
      </c>
      <c r="P153" s="21" t="inlineStr">
        <is>
          <t>getattr(cfg,"EXIT_R1_R2_FILTER_TF")</t>
        </is>
      </c>
      <c r="Q153" t="inlineStr">
        <is>
          <t>NO</t>
        </is>
      </c>
    </row>
    <row r="154">
      <c r="A154" s="24" t="n">
        <v>37</v>
      </c>
      <c r="B154" s="27" t="inlineStr">
        <is>
          <t>EXIT_R1_R2_FILTER_TF</t>
        </is>
      </c>
      <c r="C154" s="19" t="inlineStr">
        <is>
          <t>15m</t>
        </is>
      </c>
      <c r="D154" s="26" t="inlineStr">
        <is>
          <t>Exit R1/R2 level confirmation TF. | Live read: `LESS_EXIT_ENABLED', 'DC_HOPELESS_EXIT_MIN_AGE_S', 'DC_LOW_FROZEN_STOP_TF', 'DC_R`</t>
        </is>
      </c>
      <c r="E154" s="26" t="inlineStr">
        <is>
          <t>GLOBAL_CHECK</t>
        </is>
      </c>
      <c r="F154" s="24" t="inlineStr">
        <is>
          <t>GLOBAL_CHECK</t>
        </is>
      </c>
      <c r="G154" s="26" t="inlineStr">
        <is>
          <t>EXIT_R1_R2</t>
        </is>
      </c>
      <c r="H154" s="24" t="inlineStr">
        <is>
          <t>SPECIFIC — only gated switches</t>
        </is>
      </c>
      <c r="I154" s="24" t="inlineStr">
        <is>
          <t>LIVE — wired</t>
        </is>
      </c>
      <c r="J154" s="24" t="n"/>
      <c r="K154" s="21" t="inlineStr">
        <is>
          <t>1/4</t>
        </is>
      </c>
      <c r="L154" s="21" t="inlineStr">
        <is>
          <t>OFF, 15m, 1h, 4h, D (5 options)</t>
        </is>
      </c>
      <c r="M154" s="21" t="inlineStr">
        <is>
          <t>15m</t>
        </is>
      </c>
      <c r="N154" s="21" t="inlineStr">
        <is>
          <t>TF selector</t>
        </is>
      </c>
      <c r="O154" s="21" t="inlineStr">
        <is>
          <t>EXIT_R1_R2_FILTER_TF</t>
        </is>
      </c>
      <c r="P154" s="21" t="inlineStr">
        <is>
          <t>getattr(cfg,"EXIT_R1_R2_FILTER_TF")</t>
        </is>
      </c>
      <c r="Q154" t="inlineStr">
        <is>
          <t>YES</t>
        </is>
      </c>
    </row>
    <row r="155">
      <c r="A155" s="24" t="n">
        <v>38</v>
      </c>
      <c r="B155" s="25" t="inlineStr">
        <is>
          <t>EXIT_TIGHT_BREAKOUT_SCORER_FILTER_TF</t>
        </is>
      </c>
      <c r="C155" s="23" t="inlineStr">
        <is>
          <t>OFF</t>
        </is>
      </c>
      <c r="D155" s="26" t="inlineStr">
        <is>
          <t>Tight breakout scorer exit confirmation TF. | Live read: `T_SCORE_BONUS', 'DELTA_EXIT_SPEED_DECAY_MIN_GAIN', 'DELTA_EXIT_SPEED_DECAY_MIN_T`</t>
        </is>
      </c>
      <c r="E155" s="26" t="inlineStr">
        <is>
          <t>GLOBAL_CHECK</t>
        </is>
      </c>
      <c r="F155" s="24" t="inlineStr">
        <is>
          <t>GLOBAL_CHECK</t>
        </is>
      </c>
      <c r="G155" s="26" t="inlineStr">
        <is>
          <t>EXIT_TIGHT_BREAKOUT_SCORER</t>
        </is>
      </c>
      <c r="H155" s="24" t="inlineStr">
        <is>
          <t>SPECIFIC — only gated switches</t>
        </is>
      </c>
      <c r="I155" s="24" t="inlineStr">
        <is>
          <t>LIVE — wired</t>
        </is>
      </c>
      <c r="J155" s="24" t="n"/>
      <c r="K155" s="21" t="inlineStr">
        <is>
          <t>1/4</t>
        </is>
      </c>
      <c r="L155" s="21" t="inlineStr">
        <is>
          <t>OFF, 15m, 1h, 4h, D (5 options)</t>
        </is>
      </c>
      <c r="M155" s="21" t="inlineStr">
        <is>
          <t>15m</t>
        </is>
      </c>
      <c r="N155" s="21" t="inlineStr">
        <is>
          <t>TF selector</t>
        </is>
      </c>
      <c r="O155" s="21" t="inlineStr">
        <is>
          <t>EXIT_TIGHT_BREAKOUT_SCORER_FILTER_TF</t>
        </is>
      </c>
      <c r="P155" s="21" t="inlineStr">
        <is>
          <t>getattr(cfg,"EXIT_TIGHT_BREAKOUT_SCORER_FILTER_TF")</t>
        </is>
      </c>
      <c r="Q155" t="inlineStr">
        <is>
          <t>NO</t>
        </is>
      </c>
    </row>
    <row r="156">
      <c r="A156" s="24" t="n">
        <v>38</v>
      </c>
      <c r="B156" s="25" t="inlineStr">
        <is>
          <t>EXIT_TIGHT_BREAKOUT_SCORER_FILTER_TF</t>
        </is>
      </c>
      <c r="C156" s="23" t="inlineStr">
        <is>
          <t>D</t>
        </is>
      </c>
      <c r="D156" s="26" t="inlineStr">
        <is>
          <t>Tight breakout scorer exit confirmation TF. | Live read: `T_SCORE_BONUS', 'DELTA_EXIT_SPEED_DECAY_MIN_GAIN', 'DELTA_EXIT_SPEED_DECAY_MIN_T`</t>
        </is>
      </c>
      <c r="E156" s="26" t="inlineStr">
        <is>
          <t>GLOBAL_CHECK</t>
        </is>
      </c>
      <c r="F156" s="24" t="inlineStr">
        <is>
          <t>GLOBAL_CHECK</t>
        </is>
      </c>
      <c r="G156" s="26" t="inlineStr">
        <is>
          <t>EXIT_TIGHT_BREAKOUT_SCORER</t>
        </is>
      </c>
      <c r="H156" s="24" t="inlineStr">
        <is>
          <t>SPECIFIC — only gated switches</t>
        </is>
      </c>
      <c r="I156" s="24" t="inlineStr">
        <is>
          <t>LIVE — wired</t>
        </is>
      </c>
      <c r="J156" s="24" t="n"/>
      <c r="K156" s="21" t="inlineStr">
        <is>
          <t>1/4</t>
        </is>
      </c>
      <c r="L156" s="21" t="inlineStr">
        <is>
          <t>OFF, 15m, 1h, 4h, D (5 options)</t>
        </is>
      </c>
      <c r="M156" s="21" t="inlineStr">
        <is>
          <t>15m</t>
        </is>
      </c>
      <c r="N156" s="21" t="inlineStr">
        <is>
          <t>TF selector</t>
        </is>
      </c>
      <c r="O156" s="21" t="inlineStr">
        <is>
          <t>EXIT_TIGHT_BREAKOUT_SCORER_FILTER_TF</t>
        </is>
      </c>
      <c r="P156" s="21" t="inlineStr">
        <is>
          <t>getattr(cfg,"EXIT_TIGHT_BREAKOUT_SCORER_FILTER_TF")</t>
        </is>
      </c>
      <c r="Q156" t="inlineStr">
        <is>
          <t>NO</t>
        </is>
      </c>
    </row>
    <row r="157">
      <c r="A157" s="24" t="n">
        <v>38</v>
      </c>
      <c r="B157" s="25" t="inlineStr">
        <is>
          <t>EXIT_TIGHT_BREAKOUT_SCORER_FILTER_TF</t>
        </is>
      </c>
      <c r="C157" s="23" t="inlineStr">
        <is>
          <t>4h</t>
        </is>
      </c>
      <c r="D157" s="26" t="inlineStr">
        <is>
          <t>Tight breakout scorer exit confirmation TF. | Live read: `T_SCORE_BONUS', 'DELTA_EXIT_SPEED_DECAY_MIN_GAIN', 'DELTA_EXIT_SPEED_DECAY_MIN_T`</t>
        </is>
      </c>
      <c r="E157" s="26" t="inlineStr">
        <is>
          <t>GLOBAL_CHECK</t>
        </is>
      </c>
      <c r="F157" s="24" t="inlineStr">
        <is>
          <t>GLOBAL_CHECK</t>
        </is>
      </c>
      <c r="G157" s="26" t="inlineStr">
        <is>
          <t>EXIT_TIGHT_BREAKOUT_SCORER</t>
        </is>
      </c>
      <c r="H157" s="24" t="inlineStr">
        <is>
          <t>SPECIFIC — only gated switches</t>
        </is>
      </c>
      <c r="I157" s="24" t="inlineStr">
        <is>
          <t>LIVE — wired</t>
        </is>
      </c>
      <c r="J157" s="24" t="n"/>
      <c r="K157" s="21" t="inlineStr">
        <is>
          <t>1/4</t>
        </is>
      </c>
      <c r="L157" s="21" t="inlineStr">
        <is>
          <t>OFF, 15m, 1h, 4h, D (5 options)</t>
        </is>
      </c>
      <c r="M157" s="21" t="inlineStr">
        <is>
          <t>15m</t>
        </is>
      </c>
      <c r="N157" s="21" t="inlineStr">
        <is>
          <t>TF selector</t>
        </is>
      </c>
      <c r="O157" s="21" t="inlineStr">
        <is>
          <t>EXIT_TIGHT_BREAKOUT_SCORER_FILTER_TF</t>
        </is>
      </c>
      <c r="P157" s="21" t="inlineStr">
        <is>
          <t>getattr(cfg,"EXIT_TIGHT_BREAKOUT_SCORER_FILTER_TF")</t>
        </is>
      </c>
      <c r="Q157" t="inlineStr">
        <is>
          <t>NO</t>
        </is>
      </c>
    </row>
    <row r="158">
      <c r="A158" s="24" t="n">
        <v>38</v>
      </c>
      <c r="B158" s="25" t="inlineStr">
        <is>
          <t>EXIT_TIGHT_BREAKOUT_SCORER_FILTER_TF</t>
        </is>
      </c>
      <c r="C158" s="23" t="inlineStr">
        <is>
          <t>1h</t>
        </is>
      </c>
      <c r="D158" s="26" t="inlineStr">
        <is>
          <t>Tight breakout scorer exit confirmation TF. | Live read: `T_SCORE_BONUS', 'DELTA_EXIT_SPEED_DECAY_MIN_GAIN', 'DELTA_EXIT_SPEED_DECAY_MIN_T`</t>
        </is>
      </c>
      <c r="E158" s="26" t="inlineStr">
        <is>
          <t>GLOBAL_CHECK</t>
        </is>
      </c>
      <c r="F158" s="24" t="inlineStr">
        <is>
          <t>GLOBAL_CHECK</t>
        </is>
      </c>
      <c r="G158" s="26" t="inlineStr">
        <is>
          <t>EXIT_TIGHT_BREAKOUT_SCORER</t>
        </is>
      </c>
      <c r="H158" s="24" t="inlineStr">
        <is>
          <t>SPECIFIC — only gated switches</t>
        </is>
      </c>
      <c r="I158" s="24" t="inlineStr">
        <is>
          <t>LIVE — wired</t>
        </is>
      </c>
      <c r="J158" s="24" t="n"/>
      <c r="K158" s="21" t="inlineStr">
        <is>
          <t>1/4</t>
        </is>
      </c>
      <c r="L158" s="21" t="inlineStr">
        <is>
          <t>OFF, 15m, 1h, 4h, D (5 options)</t>
        </is>
      </c>
      <c r="M158" s="21" t="inlineStr">
        <is>
          <t>15m</t>
        </is>
      </c>
      <c r="N158" s="21" t="inlineStr">
        <is>
          <t>TF selector</t>
        </is>
      </c>
      <c r="O158" s="21" t="inlineStr">
        <is>
          <t>EXIT_TIGHT_BREAKOUT_SCORER_FILTER_TF</t>
        </is>
      </c>
      <c r="P158" s="21" t="inlineStr">
        <is>
          <t>getattr(cfg,"EXIT_TIGHT_BREAKOUT_SCORER_FILTER_TF")</t>
        </is>
      </c>
      <c r="Q158" t="inlineStr">
        <is>
          <t>NO</t>
        </is>
      </c>
    </row>
    <row r="159">
      <c r="A159" s="24" t="n">
        <v>38</v>
      </c>
      <c r="B159" s="27" t="inlineStr">
        <is>
          <t>EXIT_TIGHT_BREAKOUT_SCORER_FILTER_TF</t>
        </is>
      </c>
      <c r="C159" s="19" t="inlineStr">
        <is>
          <t>15m</t>
        </is>
      </c>
      <c r="D159" s="26" t="inlineStr">
        <is>
          <t>Tight breakout scorer exit confirmation TF. | Live read: `T_SCORE_BONUS', 'DELTA_EXIT_SPEED_DECAY_MIN_GAIN', 'DELTA_EXIT_SPEED_DECAY_MIN_T`</t>
        </is>
      </c>
      <c r="E159" s="26" t="inlineStr">
        <is>
          <t>GLOBAL_CHECK</t>
        </is>
      </c>
      <c r="F159" s="24" t="inlineStr">
        <is>
          <t>GLOBAL_CHECK</t>
        </is>
      </c>
      <c r="G159" s="26" t="inlineStr">
        <is>
          <t>EXIT_TIGHT_BREAKOUT_SCORER</t>
        </is>
      </c>
      <c r="H159" s="24" t="inlineStr">
        <is>
          <t>SPECIFIC — only gated switches</t>
        </is>
      </c>
      <c r="I159" s="24" t="inlineStr">
        <is>
          <t>LIVE — wired</t>
        </is>
      </c>
      <c r="J159" s="24" t="n"/>
      <c r="K159" s="21" t="inlineStr">
        <is>
          <t>1/4</t>
        </is>
      </c>
      <c r="L159" s="21" t="inlineStr">
        <is>
          <t>OFF, 15m, 1h, 4h, D (5 options)</t>
        </is>
      </c>
      <c r="M159" s="21" t="inlineStr">
        <is>
          <t>15m</t>
        </is>
      </c>
      <c r="N159" s="21" t="inlineStr">
        <is>
          <t>TF selector</t>
        </is>
      </c>
      <c r="O159" s="21" t="inlineStr">
        <is>
          <t>EXIT_TIGHT_BREAKOUT_SCORER_FILTER_TF</t>
        </is>
      </c>
      <c r="P159" s="21" t="inlineStr">
        <is>
          <t>getattr(cfg,"EXIT_TIGHT_BREAKOUT_SCORER_FILTER_TF")</t>
        </is>
      </c>
      <c r="Q159" t="inlineStr">
        <is>
          <t>YES</t>
        </is>
      </c>
    </row>
    <row r="160">
      <c r="A160" s="24" t="n">
        <v>39</v>
      </c>
      <c r="B160" s="25" t="inlineStr">
        <is>
          <t>EXIT_TOP_FADE_FILTER_TF</t>
        </is>
      </c>
      <c r="C160" s="23" t="inlineStr">
        <is>
          <t>OFF</t>
        </is>
      </c>
      <c r="D160" s="26" t="inlineStr">
        <is>
          <t>Top-fade exit confirmation TF. | Live read: `DECAY_VEC_ENABLED', 'DELTA_EXIT_TF', 'DELTA_LT_EXIT_SPEED_PCT', 'DELTA_LT_EXIT_T`</t>
        </is>
      </c>
      <c r="E160" s="26" t="inlineStr">
        <is>
          <t>GLOBAL_CHECK</t>
        </is>
      </c>
      <c r="F160" s="24" t="inlineStr">
        <is>
          <t>GLOBAL_CHECK</t>
        </is>
      </c>
      <c r="G160" s="26" t="inlineStr">
        <is>
          <t>EXIT_TOP_FADE</t>
        </is>
      </c>
      <c r="H160" s="24" t="inlineStr">
        <is>
          <t>SPECIFIC — only gated switches</t>
        </is>
      </c>
      <c r="I160" s="24" t="inlineStr">
        <is>
          <t>LIVE — wired</t>
        </is>
      </c>
      <c r="J160" s="24" t="n"/>
      <c r="K160" s="21" t="inlineStr">
        <is>
          <t>1/4</t>
        </is>
      </c>
      <c r="L160" s="21" t="inlineStr">
        <is>
          <t>OFF, 15m, 1h, 4h, D (5 options)</t>
        </is>
      </c>
      <c r="M160" s="21" t="inlineStr">
        <is>
          <t>15m</t>
        </is>
      </c>
      <c r="N160" s="21" t="inlineStr">
        <is>
          <t>TF selector</t>
        </is>
      </c>
      <c r="O160" s="21" t="inlineStr">
        <is>
          <t>EXIT_TOP_FADE_FILTER_TF</t>
        </is>
      </c>
      <c r="P160" s="21" t="inlineStr">
        <is>
          <t>getattr(cfg,"EXIT_TOP_FADE_FILTER_TF")</t>
        </is>
      </c>
      <c r="Q160" t="inlineStr">
        <is>
          <t>NO</t>
        </is>
      </c>
    </row>
    <row r="161">
      <c r="A161" s="24" t="n">
        <v>39</v>
      </c>
      <c r="B161" s="25" t="inlineStr">
        <is>
          <t>EXIT_TOP_FADE_FILTER_TF</t>
        </is>
      </c>
      <c r="C161" s="23" t="inlineStr">
        <is>
          <t>D</t>
        </is>
      </c>
      <c r="D161" s="26" t="inlineStr">
        <is>
          <t>Top-fade exit confirmation TF. | Live read: `DECAY_VEC_ENABLED', 'DELTA_EXIT_TF', 'DELTA_LT_EXIT_SPEED_PCT', 'DELTA_LT_EXIT_T`</t>
        </is>
      </c>
      <c r="E161" s="26" t="inlineStr">
        <is>
          <t>GLOBAL_CHECK</t>
        </is>
      </c>
      <c r="F161" s="24" t="inlineStr">
        <is>
          <t>GLOBAL_CHECK</t>
        </is>
      </c>
      <c r="G161" s="26" t="inlineStr">
        <is>
          <t>EXIT_TOP_FADE</t>
        </is>
      </c>
      <c r="H161" s="24" t="inlineStr">
        <is>
          <t>SPECIFIC — only gated switches</t>
        </is>
      </c>
      <c r="I161" s="24" t="inlineStr">
        <is>
          <t>LIVE — wired</t>
        </is>
      </c>
      <c r="J161" s="24" t="n"/>
      <c r="K161" s="21" t="inlineStr">
        <is>
          <t>1/4</t>
        </is>
      </c>
      <c r="L161" s="21" t="inlineStr">
        <is>
          <t>OFF, 15m, 1h, 4h, D (5 options)</t>
        </is>
      </c>
      <c r="M161" s="21" t="inlineStr">
        <is>
          <t>15m</t>
        </is>
      </c>
      <c r="N161" s="21" t="inlineStr">
        <is>
          <t>TF selector</t>
        </is>
      </c>
      <c r="O161" s="21" t="inlineStr">
        <is>
          <t>EXIT_TOP_FADE_FILTER_TF</t>
        </is>
      </c>
      <c r="P161" s="21" t="inlineStr">
        <is>
          <t>getattr(cfg,"EXIT_TOP_FADE_FILTER_TF")</t>
        </is>
      </c>
      <c r="Q161" t="inlineStr">
        <is>
          <t>NO</t>
        </is>
      </c>
    </row>
    <row r="162">
      <c r="A162" s="24" t="n">
        <v>39</v>
      </c>
      <c r="B162" s="25" t="inlineStr">
        <is>
          <t>EXIT_TOP_FADE_FILTER_TF</t>
        </is>
      </c>
      <c r="C162" s="23" t="inlineStr">
        <is>
          <t>4h</t>
        </is>
      </c>
      <c r="D162" s="26" t="inlineStr">
        <is>
          <t>Top-fade exit confirmation TF. | Live read: `DECAY_VEC_ENABLED', 'DELTA_EXIT_TF', 'DELTA_LT_EXIT_SPEED_PCT', 'DELTA_LT_EXIT_T`</t>
        </is>
      </c>
      <c r="E162" s="26" t="inlineStr">
        <is>
          <t>GLOBAL_CHECK</t>
        </is>
      </c>
      <c r="F162" s="24" t="inlineStr">
        <is>
          <t>GLOBAL_CHECK</t>
        </is>
      </c>
      <c r="G162" s="26" t="inlineStr">
        <is>
          <t>EXIT_TOP_FADE</t>
        </is>
      </c>
      <c r="H162" s="24" t="inlineStr">
        <is>
          <t>SPECIFIC — only gated switches</t>
        </is>
      </c>
      <c r="I162" s="24" t="inlineStr">
        <is>
          <t>LIVE — wired</t>
        </is>
      </c>
      <c r="J162" s="24" t="n"/>
      <c r="K162" s="21" t="inlineStr">
        <is>
          <t>1/4</t>
        </is>
      </c>
      <c r="L162" s="21" t="inlineStr">
        <is>
          <t>OFF, 15m, 1h, 4h, D (5 options)</t>
        </is>
      </c>
      <c r="M162" s="21" t="inlineStr">
        <is>
          <t>15m</t>
        </is>
      </c>
      <c r="N162" s="21" t="inlineStr">
        <is>
          <t>TF selector</t>
        </is>
      </c>
      <c r="O162" s="21" t="inlineStr">
        <is>
          <t>EXIT_TOP_FADE_FILTER_TF</t>
        </is>
      </c>
      <c r="P162" s="21" t="inlineStr">
        <is>
          <t>getattr(cfg,"EXIT_TOP_FADE_FILTER_TF")</t>
        </is>
      </c>
      <c r="Q162" t="inlineStr">
        <is>
          <t>NO</t>
        </is>
      </c>
    </row>
    <row r="163">
      <c r="A163" s="24" t="n">
        <v>39</v>
      </c>
      <c r="B163" s="25" t="inlineStr">
        <is>
          <t>EXIT_TOP_FADE_FILTER_TF</t>
        </is>
      </c>
      <c r="C163" s="23" t="inlineStr">
        <is>
          <t>1h</t>
        </is>
      </c>
      <c r="D163" s="26" t="inlineStr">
        <is>
          <t>Top-fade exit confirmation TF. | Live read: `DECAY_VEC_ENABLED', 'DELTA_EXIT_TF', 'DELTA_LT_EXIT_SPEED_PCT', 'DELTA_LT_EXIT_T`</t>
        </is>
      </c>
      <c r="E163" s="26" t="inlineStr">
        <is>
          <t>GLOBAL_CHECK</t>
        </is>
      </c>
      <c r="F163" s="24" t="inlineStr">
        <is>
          <t>GLOBAL_CHECK</t>
        </is>
      </c>
      <c r="G163" s="26" t="inlineStr">
        <is>
          <t>EXIT_TOP_FADE</t>
        </is>
      </c>
      <c r="H163" s="24" t="inlineStr">
        <is>
          <t>SPECIFIC — only gated switches</t>
        </is>
      </c>
      <c r="I163" s="24" t="inlineStr">
        <is>
          <t>LIVE — wired</t>
        </is>
      </c>
      <c r="J163" s="24" t="n"/>
      <c r="K163" s="21" t="inlineStr">
        <is>
          <t>1/4</t>
        </is>
      </c>
      <c r="L163" s="21" t="inlineStr">
        <is>
          <t>OFF, 15m, 1h, 4h, D (5 options)</t>
        </is>
      </c>
      <c r="M163" s="21" t="inlineStr">
        <is>
          <t>15m</t>
        </is>
      </c>
      <c r="N163" s="21" t="inlineStr">
        <is>
          <t>TF selector</t>
        </is>
      </c>
      <c r="O163" s="21" t="inlineStr">
        <is>
          <t>EXIT_TOP_FADE_FILTER_TF</t>
        </is>
      </c>
      <c r="P163" s="21" t="inlineStr">
        <is>
          <t>getattr(cfg,"EXIT_TOP_FADE_FILTER_TF")</t>
        </is>
      </c>
      <c r="Q163" t="inlineStr">
        <is>
          <t>NO</t>
        </is>
      </c>
    </row>
    <row r="164">
      <c r="A164" s="24" t="n">
        <v>39</v>
      </c>
      <c r="B164" s="27" t="inlineStr">
        <is>
          <t>EXIT_TOP_FADE_FILTER_TF</t>
        </is>
      </c>
      <c r="C164" s="19" t="inlineStr">
        <is>
          <t>15m</t>
        </is>
      </c>
      <c r="D164" s="26" t="inlineStr">
        <is>
          <t>Top-fade exit confirmation TF. | Live read: `DECAY_VEC_ENABLED', 'DELTA_EXIT_TF', 'DELTA_LT_EXIT_SPEED_PCT', 'DELTA_LT_EXIT_T`</t>
        </is>
      </c>
      <c r="E164" s="26" t="inlineStr">
        <is>
          <t>GLOBAL_CHECK</t>
        </is>
      </c>
      <c r="F164" s="24" t="inlineStr">
        <is>
          <t>GLOBAL_CHECK</t>
        </is>
      </c>
      <c r="G164" s="26" t="inlineStr">
        <is>
          <t>EXIT_TOP_FADE</t>
        </is>
      </c>
      <c r="H164" s="24" t="inlineStr">
        <is>
          <t>SPECIFIC — only gated switches</t>
        </is>
      </c>
      <c r="I164" s="24" t="inlineStr">
        <is>
          <t>LIVE — wired</t>
        </is>
      </c>
      <c r="J164" s="24" t="n"/>
      <c r="K164" s="21" t="inlineStr">
        <is>
          <t>1/4</t>
        </is>
      </c>
      <c r="L164" s="21" t="inlineStr">
        <is>
          <t>OFF, 15m, 1h, 4h, D (5 options)</t>
        </is>
      </c>
      <c r="M164" s="21" t="inlineStr">
        <is>
          <t>15m</t>
        </is>
      </c>
      <c r="N164" s="21" t="inlineStr">
        <is>
          <t>TF selector</t>
        </is>
      </c>
      <c r="O164" s="21" t="inlineStr">
        <is>
          <t>EXIT_TOP_FADE_FILTER_TF</t>
        </is>
      </c>
      <c r="P164" s="21" t="inlineStr">
        <is>
          <t>getattr(cfg,"EXIT_TOP_FADE_FILTER_TF")</t>
        </is>
      </c>
      <c r="Q164" t="inlineStr">
        <is>
          <t>YES</t>
        </is>
      </c>
    </row>
    <row r="165">
      <c r="A165" s="24" t="n">
        <v>40</v>
      </c>
      <c r="B165" s="25" t="inlineStr">
        <is>
          <t>EXIT_TO_REDUCE_ADAPTER_FILTER_TF</t>
        </is>
      </c>
      <c r="C165" s="23" t="inlineStr">
        <is>
          <t>OFF</t>
        </is>
      </c>
      <c r="D165" s="26" t="inlineStr">
        <is>
          <t>Adapts exit signal into reduce (partial) on FILTER_TF. | Live read: `ELTA_LT_EXIT_TYPE', 'DELTA_OPTIONS_EXIT_TYPE', 'DYN_STRUCT_TRAIL_ENABLED', 'EMER`</t>
        </is>
      </c>
      <c r="E165" s="26" t="inlineStr">
        <is>
          <t>GLOBAL_CHECK</t>
        </is>
      </c>
      <c r="F165" s="24" t="inlineStr">
        <is>
          <t>GLOBAL_CHECK</t>
        </is>
      </c>
      <c r="G165" s="26" t="inlineStr">
        <is>
          <t>EXIT_TO_REDUCE_ADAPTER</t>
        </is>
      </c>
      <c r="H165" s="24" t="inlineStr">
        <is>
          <t>SPECIFIC — only gated switches</t>
        </is>
      </c>
      <c r="I165" s="24" t="inlineStr">
        <is>
          <t>LIVE — wired</t>
        </is>
      </c>
      <c r="J165" s="24" t="n"/>
      <c r="K165" s="21" t="inlineStr">
        <is>
          <t>1/4</t>
        </is>
      </c>
      <c r="L165" s="21" t="inlineStr">
        <is>
          <t>OFF, 15m, 1h, 4h, D (5 options)</t>
        </is>
      </c>
      <c r="M165" s="21" t="inlineStr">
        <is>
          <t>15m</t>
        </is>
      </c>
      <c r="N165" s="21" t="inlineStr">
        <is>
          <t>TF selector</t>
        </is>
      </c>
      <c r="O165" s="21" t="inlineStr">
        <is>
          <t>EXIT_TO_REDUCE_ADAPTER_FILTER_TF</t>
        </is>
      </c>
      <c r="P165" s="21" t="inlineStr">
        <is>
          <t>getattr(cfg,"EXIT_TO_REDUCE_ADAPTER_FILTER_TF")</t>
        </is>
      </c>
      <c r="Q165" t="inlineStr">
        <is>
          <t>NO</t>
        </is>
      </c>
    </row>
    <row r="166">
      <c r="A166" s="24" t="n">
        <v>40</v>
      </c>
      <c r="B166" s="25" t="inlineStr">
        <is>
          <t>EXIT_TO_REDUCE_ADAPTER_FILTER_TF</t>
        </is>
      </c>
      <c r="C166" s="23" t="inlineStr">
        <is>
          <t>D</t>
        </is>
      </c>
      <c r="D166" s="26" t="inlineStr">
        <is>
          <t>Adapts exit signal into reduce (partial) on FILTER_TF. | Live read: `ELTA_LT_EXIT_TYPE', 'DELTA_OPTIONS_EXIT_TYPE', 'DYN_STRUCT_TRAIL_ENABLED', 'EMER`</t>
        </is>
      </c>
      <c r="E166" s="26" t="inlineStr">
        <is>
          <t>GLOBAL_CHECK</t>
        </is>
      </c>
      <c r="F166" s="24" t="inlineStr">
        <is>
          <t>GLOBAL_CHECK</t>
        </is>
      </c>
      <c r="G166" s="26" t="inlineStr">
        <is>
          <t>EXIT_TO_REDUCE_ADAPTER</t>
        </is>
      </c>
      <c r="H166" s="24" t="inlineStr">
        <is>
          <t>SPECIFIC — only gated switches</t>
        </is>
      </c>
      <c r="I166" s="24" t="inlineStr">
        <is>
          <t>LIVE — wired</t>
        </is>
      </c>
      <c r="J166" s="24" t="n"/>
      <c r="K166" s="21" t="inlineStr">
        <is>
          <t>1/4</t>
        </is>
      </c>
      <c r="L166" s="21" t="inlineStr">
        <is>
          <t>OFF, 15m, 1h, 4h, D (5 options)</t>
        </is>
      </c>
      <c r="M166" s="21" t="inlineStr">
        <is>
          <t>15m</t>
        </is>
      </c>
      <c r="N166" s="21" t="inlineStr">
        <is>
          <t>TF selector</t>
        </is>
      </c>
      <c r="O166" s="21" t="inlineStr">
        <is>
          <t>EXIT_TO_REDUCE_ADAPTER_FILTER_TF</t>
        </is>
      </c>
      <c r="P166" s="21" t="inlineStr">
        <is>
          <t>getattr(cfg,"EXIT_TO_REDUCE_ADAPTER_FILTER_TF")</t>
        </is>
      </c>
      <c r="Q166" t="inlineStr">
        <is>
          <t>NO</t>
        </is>
      </c>
    </row>
    <row r="167">
      <c r="A167" s="24" t="n">
        <v>40</v>
      </c>
      <c r="B167" s="25" t="inlineStr">
        <is>
          <t>EXIT_TO_REDUCE_ADAPTER_FILTER_TF</t>
        </is>
      </c>
      <c r="C167" s="23" t="inlineStr">
        <is>
          <t>4h</t>
        </is>
      </c>
      <c r="D167" s="26" t="inlineStr">
        <is>
          <t>Adapts exit signal into reduce (partial) on FILTER_TF. | Live read: `ELTA_LT_EXIT_TYPE', 'DELTA_OPTIONS_EXIT_TYPE', 'DYN_STRUCT_TRAIL_ENABLED', 'EMER`</t>
        </is>
      </c>
      <c r="E167" s="26" t="inlineStr">
        <is>
          <t>GLOBAL_CHECK</t>
        </is>
      </c>
      <c r="F167" s="24" t="inlineStr">
        <is>
          <t>GLOBAL_CHECK</t>
        </is>
      </c>
      <c r="G167" s="26" t="inlineStr">
        <is>
          <t>EXIT_TO_REDUCE_ADAPTER</t>
        </is>
      </c>
      <c r="H167" s="24" t="inlineStr">
        <is>
          <t>SPECIFIC — only gated switches</t>
        </is>
      </c>
      <c r="I167" s="24" t="inlineStr">
        <is>
          <t>LIVE — wired</t>
        </is>
      </c>
      <c r="J167" s="24" t="n"/>
      <c r="K167" s="21" t="inlineStr">
        <is>
          <t>1/4</t>
        </is>
      </c>
      <c r="L167" s="21" t="inlineStr">
        <is>
          <t>OFF, 15m, 1h, 4h, D (5 options)</t>
        </is>
      </c>
      <c r="M167" s="21" t="inlineStr">
        <is>
          <t>15m</t>
        </is>
      </c>
      <c r="N167" s="21" t="inlineStr">
        <is>
          <t>TF selector</t>
        </is>
      </c>
      <c r="O167" s="21" t="inlineStr">
        <is>
          <t>EXIT_TO_REDUCE_ADAPTER_FILTER_TF</t>
        </is>
      </c>
      <c r="P167" s="21" t="inlineStr">
        <is>
          <t>getattr(cfg,"EXIT_TO_REDUCE_ADAPTER_FILTER_TF")</t>
        </is>
      </c>
      <c r="Q167" t="inlineStr">
        <is>
          <t>NO</t>
        </is>
      </c>
    </row>
    <row r="168">
      <c r="A168" s="24" t="n">
        <v>40</v>
      </c>
      <c r="B168" s="25" t="inlineStr">
        <is>
          <t>EXIT_TO_REDUCE_ADAPTER_FILTER_TF</t>
        </is>
      </c>
      <c r="C168" s="23" t="inlineStr">
        <is>
          <t>1h</t>
        </is>
      </c>
      <c r="D168" s="26" t="inlineStr">
        <is>
          <t>Adapts exit signal into reduce (partial) on FILTER_TF. | Live read: `ELTA_LT_EXIT_TYPE', 'DELTA_OPTIONS_EXIT_TYPE', 'DYN_STRUCT_TRAIL_ENABLED', 'EMER`</t>
        </is>
      </c>
      <c r="E168" s="26" t="inlineStr">
        <is>
          <t>GLOBAL_CHECK</t>
        </is>
      </c>
      <c r="F168" s="24" t="inlineStr">
        <is>
          <t>GLOBAL_CHECK</t>
        </is>
      </c>
      <c r="G168" s="26" t="inlineStr">
        <is>
          <t>EXIT_TO_REDUCE_ADAPTER</t>
        </is>
      </c>
      <c r="H168" s="24" t="inlineStr">
        <is>
          <t>SPECIFIC — only gated switches</t>
        </is>
      </c>
      <c r="I168" s="24" t="inlineStr">
        <is>
          <t>LIVE — wired</t>
        </is>
      </c>
      <c r="J168" s="24" t="n"/>
      <c r="K168" s="21" t="inlineStr">
        <is>
          <t>1/4</t>
        </is>
      </c>
      <c r="L168" s="21" t="inlineStr">
        <is>
          <t>OFF, 15m, 1h, 4h, D (5 options)</t>
        </is>
      </c>
      <c r="M168" s="21" t="inlineStr">
        <is>
          <t>15m</t>
        </is>
      </c>
      <c r="N168" s="21" t="inlineStr">
        <is>
          <t>TF selector</t>
        </is>
      </c>
      <c r="O168" s="21" t="inlineStr">
        <is>
          <t>EXIT_TO_REDUCE_ADAPTER_FILTER_TF</t>
        </is>
      </c>
      <c r="P168" s="21" t="inlineStr">
        <is>
          <t>getattr(cfg,"EXIT_TO_REDUCE_ADAPTER_FILTER_TF")</t>
        </is>
      </c>
      <c r="Q168" t="inlineStr">
        <is>
          <t>NO</t>
        </is>
      </c>
    </row>
    <row r="169">
      <c r="A169" s="24" t="n">
        <v>40</v>
      </c>
      <c r="B169" s="27" t="inlineStr">
        <is>
          <t>EXIT_TO_REDUCE_ADAPTER_FILTER_TF</t>
        </is>
      </c>
      <c r="C169" s="19" t="inlineStr">
        <is>
          <t>15m</t>
        </is>
      </c>
      <c r="D169" s="26" t="inlineStr">
        <is>
          <t>Adapts exit signal into reduce (partial) on FILTER_TF. | Live read: `ELTA_LT_EXIT_TYPE', 'DELTA_OPTIONS_EXIT_TYPE', 'DYN_STRUCT_TRAIL_ENABLED', 'EMER`</t>
        </is>
      </c>
      <c r="E169" s="26" t="inlineStr">
        <is>
          <t>GLOBAL_CHECK</t>
        </is>
      </c>
      <c r="F169" s="24" t="inlineStr">
        <is>
          <t>GLOBAL_CHECK</t>
        </is>
      </c>
      <c r="G169" s="26" t="inlineStr">
        <is>
          <t>EXIT_TO_REDUCE_ADAPTER</t>
        </is>
      </c>
      <c r="H169" s="24" t="inlineStr">
        <is>
          <t>SPECIFIC — only gated switches</t>
        </is>
      </c>
      <c r="I169" s="24" t="inlineStr">
        <is>
          <t>LIVE — wired</t>
        </is>
      </c>
      <c r="J169" s="24" t="n"/>
      <c r="K169" s="21" t="inlineStr">
        <is>
          <t>1/4</t>
        </is>
      </c>
      <c r="L169" s="21" t="inlineStr">
        <is>
          <t>OFF, 15m, 1h, 4h, D (5 options)</t>
        </is>
      </c>
      <c r="M169" s="21" t="inlineStr">
        <is>
          <t>15m</t>
        </is>
      </c>
      <c r="N169" s="21" t="inlineStr">
        <is>
          <t>TF selector</t>
        </is>
      </c>
      <c r="O169" s="21" t="inlineStr">
        <is>
          <t>EXIT_TO_REDUCE_ADAPTER_FILTER_TF</t>
        </is>
      </c>
      <c r="P169" s="21" t="inlineStr">
        <is>
          <t>getattr(cfg,"EXIT_TO_REDUCE_ADAPTER_FILTER_TF")</t>
        </is>
      </c>
      <c r="Q169" t="inlineStr">
        <is>
          <t>YES</t>
        </is>
      </c>
    </row>
    <row r="170">
      <c r="A170" s="17" t="n">
        <v>41</v>
      </c>
      <c r="B170" s="18" t="inlineStr">
        <is>
          <t>EZ_MANAGE_THROTTLER_RATE</t>
        </is>
      </c>
      <c r="C170" s="19" t="inlineStr">
        <is>
          <t>0.0</t>
        </is>
      </c>
      <c r="D170" s="20" t="inlineStr">
        <is>
          <t>Throttler: max decisions per second for ez_manage loop. | Live read: `'EZ_KLINES_SEMAPHORE', 'EZ_MANAGE_CONCURRENCY_LIMIT', 'EZ_MANAGE_MAKER_SEMAPHORE`</t>
        </is>
      </c>
      <c r="E170" s="20" t="inlineStr">
        <is>
          <t>GLOBAL_CHECK, STOCKS_EXIT</t>
        </is>
      </c>
      <c r="F170" s="17" t="inlineStr">
        <is>
          <t>GLOBAL_CHECK, STOCKS_EXIT</t>
        </is>
      </c>
      <c r="G170" s="20" t="inlineStr">
        <is>
          <t>EZ_MANAGE_THROTTLER_RATE</t>
        </is>
      </c>
      <c r="H170" s="17" t="inlineStr">
        <is>
          <t>GENERAL</t>
        </is>
      </c>
      <c r="I170" s="17" t="inlineStr">
        <is>
          <t>LIVE — wired</t>
        </is>
      </c>
      <c r="J170" s="17" t="n"/>
      <c r="K170" s="21" t="inlineStr">
        <is>
          <t>—</t>
        </is>
      </c>
      <c r="L170" s="21" t="inlineStr">
        <is>
          <t>0.0, alt</t>
        </is>
      </c>
      <c r="M170" s="21" t="inlineStr">
        <is>
          <t>0.0</t>
        </is>
      </c>
      <c r="N170" s="21" t="inlineStr">
        <is>
          <t>param</t>
        </is>
      </c>
      <c r="O170" s="21" t="inlineStr">
        <is>
          <t>EZ_MANAGE_THROTTLER_RATE</t>
        </is>
      </c>
      <c r="P170" s="21" t="inlineStr">
        <is>
          <t>getattr(cfg,"EZ_MANAGE_THROTTLER_RATE")</t>
        </is>
      </c>
      <c r="Q170" t="inlineStr">
        <is>
          <t>YES</t>
        </is>
      </c>
    </row>
    <row r="171">
      <c r="A171" s="17" t="n">
        <v>41</v>
      </c>
      <c r="B171" s="22" t="inlineStr">
        <is>
          <t>EZ_MANAGE_THROTTLER_RATE</t>
        </is>
      </c>
      <c r="C171" s="23" t="inlineStr">
        <is>
          <t>0.0_ALT</t>
        </is>
      </c>
      <c r="D171" s="20" t="inlineStr">
        <is>
          <t>Throttler: max decisions per second for ez_manage loop. | Live read: `'EZ_KLINES_SEMAPHORE', 'EZ_MANAGE_CONCURRENCY_LIMIT', 'EZ_MANAGE_MAKER_SEMAPHORE`</t>
        </is>
      </c>
      <c r="E171" s="20" t="inlineStr">
        <is>
          <t>GLOBAL_CHECK, STOCKS_EXIT</t>
        </is>
      </c>
      <c r="F171" s="17" t="inlineStr">
        <is>
          <t>GLOBAL_CHECK, STOCKS_EXIT</t>
        </is>
      </c>
      <c r="G171" s="20" t="inlineStr">
        <is>
          <t>EZ_MANAGE_THROTTLER_RATE</t>
        </is>
      </c>
      <c r="H171" s="17" t="inlineStr">
        <is>
          <t>GENERAL</t>
        </is>
      </c>
      <c r="I171" s="17" t="inlineStr">
        <is>
          <t>LIVE — wired</t>
        </is>
      </c>
      <c r="J171" s="17" t="n"/>
      <c r="K171" s="21" t="inlineStr">
        <is>
          <t>—</t>
        </is>
      </c>
      <c r="L171" s="21" t="inlineStr">
        <is>
          <t>0.0, alt</t>
        </is>
      </c>
      <c r="M171" s="21" t="inlineStr">
        <is>
          <t>0.0</t>
        </is>
      </c>
      <c r="N171" s="21" t="inlineStr">
        <is>
          <t>param</t>
        </is>
      </c>
      <c r="O171" s="21" t="inlineStr">
        <is>
          <t>EZ_MANAGE_THROTTLER_RATE</t>
        </is>
      </c>
      <c r="P171" s="21" t="inlineStr">
        <is>
          <t>getattr(cfg,"EZ_MANAGE_THROTTLER_RATE")</t>
        </is>
      </c>
      <c r="Q171" t="inlineStr">
        <is>
          <t>NO</t>
        </is>
      </c>
    </row>
    <row r="172">
      <c r="A172" s="24" t="n">
        <v>42</v>
      </c>
      <c r="B172" s="25" t="inlineStr">
        <is>
          <t>FAST_RISER_FILTER_TF</t>
        </is>
      </c>
      <c r="C172" s="23" t="inlineStr">
        <is>
          <t>OFF</t>
        </is>
      </c>
      <c r="D172" s="26" t="inlineStr">
        <is>
          <t>Fast-riser filter (parabolic move) on FILTER_TF. | Live read: `T_SHARPE_GATES_ENABLED', 'CIRCUIT_SHARPE_GATES_FILTER_TF', 'CIRCUIT_SHARPE_GATES`</t>
        </is>
      </c>
      <c r="E172" s="26" t="inlineStr">
        <is>
          <t>GLOBAL_CHECK</t>
        </is>
      </c>
      <c r="F172" s="24" t="inlineStr">
        <is>
          <t>GLOBAL_CHECK</t>
        </is>
      </c>
      <c r="G172" s="26" t="inlineStr">
        <is>
          <t>FAST_RISER</t>
        </is>
      </c>
      <c r="H172" s="24" t="inlineStr">
        <is>
          <t>SPECIFIC — only gated switches</t>
        </is>
      </c>
      <c r="I172" s="24" t="inlineStr">
        <is>
          <t>LIVE — wired</t>
        </is>
      </c>
      <c r="J172" s="24" t="n"/>
      <c r="K172" s="21" t="inlineStr">
        <is>
          <t>1/4</t>
        </is>
      </c>
      <c r="L172" s="21" t="inlineStr">
        <is>
          <t>OFF, 15m, 1h, 4h, D (5 options)</t>
        </is>
      </c>
      <c r="M172" s="21" t="inlineStr">
        <is>
          <t>15m</t>
        </is>
      </c>
      <c r="N172" s="21" t="inlineStr">
        <is>
          <t>TF selector</t>
        </is>
      </c>
      <c r="O172" s="21" t="inlineStr">
        <is>
          <t>FAST_RISER_FILTER_TF</t>
        </is>
      </c>
      <c r="P172" s="21" t="inlineStr">
        <is>
          <t>getattr(cfg,"FAST_RISER_FILTER_TF")</t>
        </is>
      </c>
      <c r="Q172" t="inlineStr">
        <is>
          <t>NO</t>
        </is>
      </c>
    </row>
    <row r="173">
      <c r="A173" s="24" t="n">
        <v>42</v>
      </c>
      <c r="B173" s="25" t="inlineStr">
        <is>
          <t>FAST_RISER_FILTER_TF</t>
        </is>
      </c>
      <c r="C173" s="23" t="inlineStr">
        <is>
          <t>D</t>
        </is>
      </c>
      <c r="D173" s="26" t="inlineStr">
        <is>
          <t>Fast-riser filter (parabolic move) on FILTER_TF. | Live read: `T_SHARPE_GATES_ENABLED', 'CIRCUIT_SHARPE_GATES_FILTER_TF', 'CIRCUIT_SHARPE_GATES`</t>
        </is>
      </c>
      <c r="E173" s="26" t="inlineStr">
        <is>
          <t>GLOBAL_CHECK</t>
        </is>
      </c>
      <c r="F173" s="24" t="inlineStr">
        <is>
          <t>GLOBAL_CHECK</t>
        </is>
      </c>
      <c r="G173" s="26" t="inlineStr">
        <is>
          <t>FAST_RISER</t>
        </is>
      </c>
      <c r="H173" s="24" t="inlineStr">
        <is>
          <t>SPECIFIC — only gated switches</t>
        </is>
      </c>
      <c r="I173" s="24" t="inlineStr">
        <is>
          <t>LIVE — wired</t>
        </is>
      </c>
      <c r="J173" s="24" t="n"/>
      <c r="K173" s="21" t="inlineStr">
        <is>
          <t>1/4</t>
        </is>
      </c>
      <c r="L173" s="21" t="inlineStr">
        <is>
          <t>OFF, 15m, 1h, 4h, D (5 options)</t>
        </is>
      </c>
      <c r="M173" s="21" t="inlineStr">
        <is>
          <t>15m</t>
        </is>
      </c>
      <c r="N173" s="21" t="inlineStr">
        <is>
          <t>TF selector</t>
        </is>
      </c>
      <c r="O173" s="21" t="inlineStr">
        <is>
          <t>FAST_RISER_FILTER_TF</t>
        </is>
      </c>
      <c r="P173" s="21" t="inlineStr">
        <is>
          <t>getattr(cfg,"FAST_RISER_FILTER_TF")</t>
        </is>
      </c>
      <c r="Q173" t="inlineStr">
        <is>
          <t>NO</t>
        </is>
      </c>
    </row>
    <row r="174">
      <c r="A174" s="24" t="n">
        <v>42</v>
      </c>
      <c r="B174" s="25" t="inlineStr">
        <is>
          <t>FAST_RISER_FILTER_TF</t>
        </is>
      </c>
      <c r="C174" s="23" t="inlineStr">
        <is>
          <t>4h</t>
        </is>
      </c>
      <c r="D174" s="26" t="inlineStr">
        <is>
          <t>Fast-riser filter (parabolic move) on FILTER_TF. | Live read: `T_SHARPE_GATES_ENABLED', 'CIRCUIT_SHARPE_GATES_FILTER_TF', 'CIRCUIT_SHARPE_GATES`</t>
        </is>
      </c>
      <c r="E174" s="26" t="inlineStr">
        <is>
          <t>GLOBAL_CHECK</t>
        </is>
      </c>
      <c r="F174" s="24" t="inlineStr">
        <is>
          <t>GLOBAL_CHECK</t>
        </is>
      </c>
      <c r="G174" s="26" t="inlineStr">
        <is>
          <t>FAST_RISER</t>
        </is>
      </c>
      <c r="H174" s="24" t="inlineStr">
        <is>
          <t>SPECIFIC — only gated switches</t>
        </is>
      </c>
      <c r="I174" s="24" t="inlineStr">
        <is>
          <t>LIVE — wired</t>
        </is>
      </c>
      <c r="J174" s="24" t="n"/>
      <c r="K174" s="21" t="inlineStr">
        <is>
          <t>1/4</t>
        </is>
      </c>
      <c r="L174" s="21" t="inlineStr">
        <is>
          <t>OFF, 15m, 1h, 4h, D (5 options)</t>
        </is>
      </c>
      <c r="M174" s="21" t="inlineStr">
        <is>
          <t>15m</t>
        </is>
      </c>
      <c r="N174" s="21" t="inlineStr">
        <is>
          <t>TF selector</t>
        </is>
      </c>
      <c r="O174" s="21" t="inlineStr">
        <is>
          <t>FAST_RISER_FILTER_TF</t>
        </is>
      </c>
      <c r="P174" s="21" t="inlineStr">
        <is>
          <t>getattr(cfg,"FAST_RISER_FILTER_TF")</t>
        </is>
      </c>
      <c r="Q174" t="inlineStr">
        <is>
          <t>NO</t>
        </is>
      </c>
    </row>
    <row r="175">
      <c r="A175" s="24" t="n">
        <v>42</v>
      </c>
      <c r="B175" s="25" t="inlineStr">
        <is>
          <t>FAST_RISER_FILTER_TF</t>
        </is>
      </c>
      <c r="C175" s="23" t="inlineStr">
        <is>
          <t>1h</t>
        </is>
      </c>
      <c r="D175" s="26" t="inlineStr">
        <is>
          <t>Fast-riser filter (parabolic move) on FILTER_TF. | Live read: `T_SHARPE_GATES_ENABLED', 'CIRCUIT_SHARPE_GATES_FILTER_TF', 'CIRCUIT_SHARPE_GATES`</t>
        </is>
      </c>
      <c r="E175" s="26" t="inlineStr">
        <is>
          <t>GLOBAL_CHECK</t>
        </is>
      </c>
      <c r="F175" s="24" t="inlineStr">
        <is>
          <t>GLOBAL_CHECK</t>
        </is>
      </c>
      <c r="G175" s="26" t="inlineStr">
        <is>
          <t>FAST_RISER</t>
        </is>
      </c>
      <c r="H175" s="24" t="inlineStr">
        <is>
          <t>SPECIFIC — only gated switches</t>
        </is>
      </c>
      <c r="I175" s="24" t="inlineStr">
        <is>
          <t>LIVE — wired</t>
        </is>
      </c>
      <c r="J175" s="24" t="n"/>
      <c r="K175" s="21" t="inlineStr">
        <is>
          <t>1/4</t>
        </is>
      </c>
      <c r="L175" s="21" t="inlineStr">
        <is>
          <t>OFF, 15m, 1h, 4h, D (5 options)</t>
        </is>
      </c>
      <c r="M175" s="21" t="inlineStr">
        <is>
          <t>15m</t>
        </is>
      </c>
      <c r="N175" s="21" t="inlineStr">
        <is>
          <t>TF selector</t>
        </is>
      </c>
      <c r="O175" s="21" t="inlineStr">
        <is>
          <t>FAST_RISER_FILTER_TF</t>
        </is>
      </c>
      <c r="P175" s="21" t="inlineStr">
        <is>
          <t>getattr(cfg,"FAST_RISER_FILTER_TF")</t>
        </is>
      </c>
      <c r="Q175" t="inlineStr">
        <is>
          <t>NO</t>
        </is>
      </c>
    </row>
    <row r="176">
      <c r="A176" s="24" t="n">
        <v>42</v>
      </c>
      <c r="B176" s="27" t="inlineStr">
        <is>
          <t>FAST_RISER_FILTER_TF</t>
        </is>
      </c>
      <c r="C176" s="19" t="inlineStr">
        <is>
          <t>15m</t>
        </is>
      </c>
      <c r="D176" s="26" t="inlineStr">
        <is>
          <t>Fast-riser filter (parabolic move) on FILTER_TF. | Live read: `T_SHARPE_GATES_ENABLED', 'CIRCUIT_SHARPE_GATES_FILTER_TF', 'CIRCUIT_SHARPE_GATES`</t>
        </is>
      </c>
      <c r="E176" s="26" t="inlineStr">
        <is>
          <t>GLOBAL_CHECK</t>
        </is>
      </c>
      <c r="F176" s="24" t="inlineStr">
        <is>
          <t>GLOBAL_CHECK</t>
        </is>
      </c>
      <c r="G176" s="26" t="inlineStr">
        <is>
          <t>FAST_RISER</t>
        </is>
      </c>
      <c r="H176" s="24" t="inlineStr">
        <is>
          <t>SPECIFIC — only gated switches</t>
        </is>
      </c>
      <c r="I176" s="24" t="inlineStr">
        <is>
          <t>LIVE — wired</t>
        </is>
      </c>
      <c r="J176" s="24" t="n"/>
      <c r="K176" s="21" t="inlineStr">
        <is>
          <t>1/4</t>
        </is>
      </c>
      <c r="L176" s="21" t="inlineStr">
        <is>
          <t>OFF, 15m, 1h, 4h, D (5 options)</t>
        </is>
      </c>
      <c r="M176" s="21" t="inlineStr">
        <is>
          <t>15m</t>
        </is>
      </c>
      <c r="N176" s="21" t="inlineStr">
        <is>
          <t>TF selector</t>
        </is>
      </c>
      <c r="O176" s="21" t="inlineStr">
        <is>
          <t>FAST_RISER_FILTER_TF</t>
        </is>
      </c>
      <c r="P176" s="21" t="inlineStr">
        <is>
          <t>getattr(cfg,"FAST_RISER_FILTER_TF")</t>
        </is>
      </c>
      <c r="Q176" t="inlineStr">
        <is>
          <t>YES</t>
        </is>
      </c>
    </row>
    <row r="177">
      <c r="A177" s="17" t="n">
        <v>43</v>
      </c>
      <c r="B177" s="18" t="inlineStr">
        <is>
          <t>FG_FEAR_THRESHOLD</t>
        </is>
      </c>
      <c r="C177" s="19" t="inlineStr">
        <is>
          <t>25</t>
        </is>
      </c>
      <c r="D177" s="20" t="inlineStr">
        <is>
          <t>Fear/Greed index fear threshold. | Live read: `'CIRCUIT_SHARPE_GATES_FILTER_TF', 'CIRCUIT_SHARPE_GATES_MIN_TFS', 'COOLDOWN_LOCK`</t>
        </is>
      </c>
      <c r="E177" s="20" t="inlineStr">
        <is>
          <t>GLOBAL_CHECK, STOCKS_EXIT</t>
        </is>
      </c>
      <c r="F177" s="17" t="inlineStr">
        <is>
          <t>GLOBAL_CHECK, STOCKS_EXIT</t>
        </is>
      </c>
      <c r="G177" s="20" t="inlineStr">
        <is>
          <t>FG_FEAR_THRESHOLD</t>
        </is>
      </c>
      <c r="H177" s="17" t="inlineStr">
        <is>
          <t>GENERAL</t>
        </is>
      </c>
      <c r="I177" s="17" t="inlineStr">
        <is>
          <t>LIVE — wired</t>
        </is>
      </c>
      <c r="J177" s="17" t="n"/>
      <c r="K177" s="21" t="inlineStr">
        <is>
          <t>—</t>
        </is>
      </c>
      <c r="L177" s="21" t="inlineStr">
        <is>
          <t>25, ±25%, ±50% (4)</t>
        </is>
      </c>
      <c r="M177" s="21" t="inlineStr">
        <is>
          <t>25</t>
        </is>
      </c>
      <c r="N177" s="21" t="inlineStr">
        <is>
          <t>threshold</t>
        </is>
      </c>
      <c r="O177" s="21" t="inlineStr">
        <is>
          <t>FG_FEAR_THRESHOLD</t>
        </is>
      </c>
      <c r="P177" s="21" t="inlineStr">
        <is>
          <t>getattr(cfg,"FG_FEAR_THRESHOLD")</t>
        </is>
      </c>
      <c r="Q177" t="inlineStr">
        <is>
          <t>YES</t>
        </is>
      </c>
    </row>
    <row r="178">
      <c r="A178" s="17" t="n">
        <v>43</v>
      </c>
      <c r="B178" s="22" t="inlineStr">
        <is>
          <t>FG_FEAR_THRESHOLD</t>
        </is>
      </c>
      <c r="C178" s="23" t="inlineStr">
        <is>
          <t>31.25</t>
        </is>
      </c>
      <c r="D178" s="20" t="inlineStr">
        <is>
          <t>Fear/Greed index fear threshold. | Live read: `'CIRCUIT_SHARPE_GATES_FILTER_TF', 'CIRCUIT_SHARPE_GATES_MIN_TFS', 'COOLDOWN_LOCK`</t>
        </is>
      </c>
      <c r="E178" s="20" t="inlineStr">
        <is>
          <t>GLOBAL_CHECK, STOCKS_EXIT</t>
        </is>
      </c>
      <c r="F178" s="17" t="inlineStr">
        <is>
          <t>GLOBAL_CHECK, STOCKS_EXIT</t>
        </is>
      </c>
      <c r="G178" s="20" t="inlineStr">
        <is>
          <t>FG_FEAR_THRESHOLD</t>
        </is>
      </c>
      <c r="H178" s="17" t="inlineStr">
        <is>
          <t>GENERAL</t>
        </is>
      </c>
      <c r="I178" s="17" t="inlineStr">
        <is>
          <t>LIVE — wired</t>
        </is>
      </c>
      <c r="J178" s="17" t="n"/>
      <c r="K178" s="21" t="inlineStr">
        <is>
          <t>—</t>
        </is>
      </c>
      <c r="L178" s="21" t="inlineStr">
        <is>
          <t>25, ±25%, ±50% (4)</t>
        </is>
      </c>
      <c r="M178" s="21" t="inlineStr">
        <is>
          <t>25</t>
        </is>
      </c>
      <c r="N178" s="21" t="inlineStr">
        <is>
          <t>threshold</t>
        </is>
      </c>
      <c r="O178" s="21" t="inlineStr">
        <is>
          <t>FG_FEAR_THRESHOLD</t>
        </is>
      </c>
      <c r="P178" s="21" t="inlineStr">
        <is>
          <t>getattr(cfg,"FG_FEAR_THRESHOLD")</t>
        </is>
      </c>
      <c r="Q178" t="inlineStr">
        <is>
          <t>NO</t>
        </is>
      </c>
    </row>
    <row r="179">
      <c r="A179" s="17" t="n">
        <v>43</v>
      </c>
      <c r="B179" s="22" t="inlineStr">
        <is>
          <t>FG_FEAR_THRESHOLD</t>
        </is>
      </c>
      <c r="C179" s="23" t="inlineStr">
        <is>
          <t>18.75</t>
        </is>
      </c>
      <c r="D179" s="20" t="inlineStr">
        <is>
          <t>Fear/Greed index fear threshold. | Live read: `'CIRCUIT_SHARPE_GATES_FILTER_TF', 'CIRCUIT_SHARPE_GATES_MIN_TFS', 'COOLDOWN_LOCK`</t>
        </is>
      </c>
      <c r="E179" s="20" t="inlineStr">
        <is>
          <t>GLOBAL_CHECK, STOCKS_EXIT</t>
        </is>
      </c>
      <c r="F179" s="17" t="inlineStr">
        <is>
          <t>GLOBAL_CHECK, STOCKS_EXIT</t>
        </is>
      </c>
      <c r="G179" s="20" t="inlineStr">
        <is>
          <t>FG_FEAR_THRESHOLD</t>
        </is>
      </c>
      <c r="H179" s="17" t="inlineStr">
        <is>
          <t>GENERAL</t>
        </is>
      </c>
      <c r="I179" s="17" t="inlineStr">
        <is>
          <t>LIVE — wired</t>
        </is>
      </c>
      <c r="J179" s="17" t="n"/>
      <c r="K179" s="21" t="inlineStr">
        <is>
          <t>—</t>
        </is>
      </c>
      <c r="L179" s="21" t="inlineStr">
        <is>
          <t>25, ±25%, ±50% (4)</t>
        </is>
      </c>
      <c r="M179" s="21" t="inlineStr">
        <is>
          <t>25</t>
        </is>
      </c>
      <c r="N179" s="21" t="inlineStr">
        <is>
          <t>threshold</t>
        </is>
      </c>
      <c r="O179" s="21" t="inlineStr">
        <is>
          <t>FG_FEAR_THRESHOLD</t>
        </is>
      </c>
      <c r="P179" s="21" t="inlineStr">
        <is>
          <t>getattr(cfg,"FG_FEAR_THRESHOLD")</t>
        </is>
      </c>
      <c r="Q179" t="inlineStr">
        <is>
          <t>NO</t>
        </is>
      </c>
    </row>
    <row r="180">
      <c r="A180" s="17" t="n">
        <v>43</v>
      </c>
      <c r="B180" s="22" t="inlineStr">
        <is>
          <t>FG_FEAR_THRESHOLD</t>
        </is>
      </c>
      <c r="C180" s="23" t="inlineStr">
        <is>
          <t>12.5</t>
        </is>
      </c>
      <c r="D180" s="20" t="inlineStr">
        <is>
          <t>Fear/Greed index fear threshold. | Live read: `'CIRCUIT_SHARPE_GATES_FILTER_TF', 'CIRCUIT_SHARPE_GATES_MIN_TFS', 'COOLDOWN_LOCK`</t>
        </is>
      </c>
      <c r="E180" s="20" t="inlineStr">
        <is>
          <t>GLOBAL_CHECK, STOCKS_EXIT</t>
        </is>
      </c>
      <c r="F180" s="17" t="inlineStr">
        <is>
          <t>GLOBAL_CHECK, STOCKS_EXIT</t>
        </is>
      </c>
      <c r="G180" s="20" t="inlineStr">
        <is>
          <t>FG_FEAR_THRESHOLD</t>
        </is>
      </c>
      <c r="H180" s="17" t="inlineStr">
        <is>
          <t>GENERAL</t>
        </is>
      </c>
      <c r="I180" s="17" t="inlineStr">
        <is>
          <t>LIVE — wired</t>
        </is>
      </c>
      <c r="J180" s="17" t="n"/>
      <c r="K180" s="21" t="inlineStr">
        <is>
          <t>—</t>
        </is>
      </c>
      <c r="L180" s="21" t="inlineStr">
        <is>
          <t>25, ±25%, ±50% (4)</t>
        </is>
      </c>
      <c r="M180" s="21" t="inlineStr">
        <is>
          <t>25</t>
        </is>
      </c>
      <c r="N180" s="21" t="inlineStr">
        <is>
          <t>threshold</t>
        </is>
      </c>
      <c r="O180" s="21" t="inlineStr">
        <is>
          <t>FG_FEAR_THRESHOLD</t>
        </is>
      </c>
      <c r="P180" s="21" t="inlineStr">
        <is>
          <t>getattr(cfg,"FG_FEAR_THRESHOLD")</t>
        </is>
      </c>
      <c r="Q180" t="inlineStr">
        <is>
          <t>NO</t>
        </is>
      </c>
    </row>
    <row r="181">
      <c r="A181" s="17" t="n">
        <v>44</v>
      </c>
      <c r="B181" s="18" t="inlineStr">
        <is>
          <t>FG_GREED_THRESHOLD</t>
        </is>
      </c>
      <c r="C181" s="19" t="inlineStr">
        <is>
          <t>75</t>
        </is>
      </c>
      <c r="D181" s="20" t="inlineStr">
        <is>
          <t>Fear/Greed greed threshold. | Live read: `S_FILTER_TF', 'CIRCUIT_SHARPE_GATES_MIN_TFS', 'COOLDOWN_LOCKS_FILTER_TF', 'CRYPT`</t>
        </is>
      </c>
      <c r="E181" s="20" t="inlineStr">
        <is>
          <t>GLOBAL_CHECK, STOCKS_EXIT</t>
        </is>
      </c>
      <c r="F181" s="17" t="inlineStr">
        <is>
          <t>GLOBAL_CHECK, STOCKS_EXIT</t>
        </is>
      </c>
      <c r="G181" s="20" t="inlineStr">
        <is>
          <t>FG_GREED_THRESHOLD</t>
        </is>
      </c>
      <c r="H181" s="17" t="inlineStr">
        <is>
          <t>GENERAL</t>
        </is>
      </c>
      <c r="I181" s="17" t="inlineStr">
        <is>
          <t>LIVE — wired</t>
        </is>
      </c>
      <c r="J181" s="17" t="n"/>
      <c r="K181" s="21" t="inlineStr">
        <is>
          <t>—</t>
        </is>
      </c>
      <c r="L181" s="21" t="inlineStr">
        <is>
          <t>75, ±25%, ±50% (4)</t>
        </is>
      </c>
      <c r="M181" s="21" t="inlineStr">
        <is>
          <t>75</t>
        </is>
      </c>
      <c r="N181" s="21" t="inlineStr">
        <is>
          <t>threshold</t>
        </is>
      </c>
      <c r="O181" s="21" t="inlineStr">
        <is>
          <t>FG_GREED_THRESHOLD</t>
        </is>
      </c>
      <c r="P181" s="21" t="inlineStr">
        <is>
          <t>getattr(cfg,"FG_GREED_THRESHOLD")</t>
        </is>
      </c>
      <c r="Q181" t="inlineStr">
        <is>
          <t>YES</t>
        </is>
      </c>
    </row>
    <row r="182">
      <c r="A182" s="17" t="n">
        <v>44</v>
      </c>
      <c r="B182" s="22" t="inlineStr">
        <is>
          <t>FG_GREED_THRESHOLD</t>
        </is>
      </c>
      <c r="C182" s="23" t="inlineStr">
        <is>
          <t>93.75</t>
        </is>
      </c>
      <c r="D182" s="20" t="inlineStr">
        <is>
          <t>Fear/Greed greed threshold. | Live read: `S_FILTER_TF', 'CIRCUIT_SHARPE_GATES_MIN_TFS', 'COOLDOWN_LOCKS_FILTER_TF', 'CRYPT`</t>
        </is>
      </c>
      <c r="E182" s="20" t="inlineStr">
        <is>
          <t>GLOBAL_CHECK, STOCKS_EXIT</t>
        </is>
      </c>
      <c r="F182" s="17" t="inlineStr">
        <is>
          <t>GLOBAL_CHECK, STOCKS_EXIT</t>
        </is>
      </c>
      <c r="G182" s="20" t="inlineStr">
        <is>
          <t>FG_GREED_THRESHOLD</t>
        </is>
      </c>
      <c r="H182" s="17" t="inlineStr">
        <is>
          <t>GENERAL</t>
        </is>
      </c>
      <c r="I182" s="17" t="inlineStr">
        <is>
          <t>LIVE — wired</t>
        </is>
      </c>
      <c r="J182" s="17" t="n"/>
      <c r="K182" s="21" t="inlineStr">
        <is>
          <t>—</t>
        </is>
      </c>
      <c r="L182" s="21" t="inlineStr">
        <is>
          <t>75, ±25%, ±50% (4)</t>
        </is>
      </c>
      <c r="M182" s="21" t="inlineStr">
        <is>
          <t>75</t>
        </is>
      </c>
      <c r="N182" s="21" t="inlineStr">
        <is>
          <t>threshold</t>
        </is>
      </c>
      <c r="O182" s="21" t="inlineStr">
        <is>
          <t>FG_GREED_THRESHOLD</t>
        </is>
      </c>
      <c r="P182" s="21" t="inlineStr">
        <is>
          <t>getattr(cfg,"FG_GREED_THRESHOLD")</t>
        </is>
      </c>
      <c r="Q182" t="inlineStr">
        <is>
          <t>NO</t>
        </is>
      </c>
    </row>
    <row r="183">
      <c r="A183" s="17" t="n">
        <v>44</v>
      </c>
      <c r="B183" s="22" t="inlineStr">
        <is>
          <t>FG_GREED_THRESHOLD</t>
        </is>
      </c>
      <c r="C183" s="23" t="inlineStr">
        <is>
          <t>56.25</t>
        </is>
      </c>
      <c r="D183" s="20" t="inlineStr">
        <is>
          <t>Fear/Greed greed threshold. | Live read: `S_FILTER_TF', 'CIRCUIT_SHARPE_GATES_MIN_TFS', 'COOLDOWN_LOCKS_FILTER_TF', 'CRYPT`</t>
        </is>
      </c>
      <c r="E183" s="20" t="inlineStr">
        <is>
          <t>GLOBAL_CHECK, STOCKS_EXIT</t>
        </is>
      </c>
      <c r="F183" s="17" t="inlineStr">
        <is>
          <t>GLOBAL_CHECK, STOCKS_EXIT</t>
        </is>
      </c>
      <c r="G183" s="20" t="inlineStr">
        <is>
          <t>FG_GREED_THRESHOLD</t>
        </is>
      </c>
      <c r="H183" s="17" t="inlineStr">
        <is>
          <t>GENERAL</t>
        </is>
      </c>
      <c r="I183" s="17" t="inlineStr">
        <is>
          <t>LIVE — wired</t>
        </is>
      </c>
      <c r="J183" s="17" t="n"/>
      <c r="K183" s="21" t="inlineStr">
        <is>
          <t>—</t>
        </is>
      </c>
      <c r="L183" s="21" t="inlineStr">
        <is>
          <t>75, ±25%, ±50% (4)</t>
        </is>
      </c>
      <c r="M183" s="21" t="inlineStr">
        <is>
          <t>75</t>
        </is>
      </c>
      <c r="N183" s="21" t="inlineStr">
        <is>
          <t>threshold</t>
        </is>
      </c>
      <c r="O183" s="21" t="inlineStr">
        <is>
          <t>FG_GREED_THRESHOLD</t>
        </is>
      </c>
      <c r="P183" s="21" t="inlineStr">
        <is>
          <t>getattr(cfg,"FG_GREED_THRESHOLD")</t>
        </is>
      </c>
      <c r="Q183" t="inlineStr">
        <is>
          <t>NO</t>
        </is>
      </c>
    </row>
    <row r="184">
      <c r="A184" s="17" t="n">
        <v>44</v>
      </c>
      <c r="B184" s="22" t="inlineStr">
        <is>
          <t>FG_GREED_THRESHOLD</t>
        </is>
      </c>
      <c r="C184" s="23" t="inlineStr">
        <is>
          <t>37.5</t>
        </is>
      </c>
      <c r="D184" s="20" t="inlineStr">
        <is>
          <t>Fear/Greed greed threshold. | Live read: `S_FILTER_TF', 'CIRCUIT_SHARPE_GATES_MIN_TFS', 'COOLDOWN_LOCKS_FILTER_TF', 'CRYPT`</t>
        </is>
      </c>
      <c r="E184" s="20" t="inlineStr">
        <is>
          <t>GLOBAL_CHECK, STOCKS_EXIT</t>
        </is>
      </c>
      <c r="F184" s="17" t="inlineStr">
        <is>
          <t>GLOBAL_CHECK, STOCKS_EXIT</t>
        </is>
      </c>
      <c r="G184" s="20" t="inlineStr">
        <is>
          <t>FG_GREED_THRESHOLD</t>
        </is>
      </c>
      <c r="H184" s="17" t="inlineStr">
        <is>
          <t>GENERAL</t>
        </is>
      </c>
      <c r="I184" s="17" t="inlineStr">
        <is>
          <t>LIVE — wired</t>
        </is>
      </c>
      <c r="J184" s="17" t="n"/>
      <c r="K184" s="21" t="inlineStr">
        <is>
          <t>—</t>
        </is>
      </c>
      <c r="L184" s="21" t="inlineStr">
        <is>
          <t>75, ±25%, ±50% (4)</t>
        </is>
      </c>
      <c r="M184" s="21" t="inlineStr">
        <is>
          <t>75</t>
        </is>
      </c>
      <c r="N184" s="21" t="inlineStr">
        <is>
          <t>threshold</t>
        </is>
      </c>
      <c r="O184" s="21" t="inlineStr">
        <is>
          <t>FG_GREED_THRESHOLD</t>
        </is>
      </c>
      <c r="P184" s="21" t="inlineStr">
        <is>
          <t>getattr(cfg,"FG_GREED_THRESHOLD")</t>
        </is>
      </c>
      <c r="Q184" t="inlineStr">
        <is>
          <t>NO</t>
        </is>
      </c>
    </row>
    <row r="185">
      <c r="A185" s="24" t="n">
        <v>45</v>
      </c>
      <c r="B185" s="25" t="inlineStr">
        <is>
          <t>FH_MOMENTUM_FILTER_TF</t>
        </is>
      </c>
      <c r="C185" s="23" t="inlineStr">
        <is>
          <t>OFF</t>
        </is>
      </c>
      <c r="D185" s="26" t="inlineStr">
        <is>
          <t>FH momentum confirmation TF. | Live read: `_SHARPE_GATES_MIN_TFS', 'COOLDOWN_LOCKS_FILTER_TF', 'CRYPTO_SPIKE_FADE_THRESHOLD`</t>
        </is>
      </c>
      <c r="E185" s="26" t="inlineStr">
        <is>
          <t>GLOBAL_CHECK</t>
        </is>
      </c>
      <c r="F185" s="24" t="inlineStr">
        <is>
          <t>GLOBAL_CHECK</t>
        </is>
      </c>
      <c r="G185" s="26" t="inlineStr">
        <is>
          <t>FH_MOMENTUM</t>
        </is>
      </c>
      <c r="H185" s="24" t="inlineStr">
        <is>
          <t>SPECIFIC — only gated switches</t>
        </is>
      </c>
      <c r="I185" s="24" t="inlineStr">
        <is>
          <t>LIVE — wired</t>
        </is>
      </c>
      <c r="J185" s="24" t="n"/>
      <c r="K185" s="21" t="inlineStr">
        <is>
          <t>1/4</t>
        </is>
      </c>
      <c r="L185" s="21" t="inlineStr">
        <is>
          <t>OFF, 15m, 1h, 4h, D (5 options)</t>
        </is>
      </c>
      <c r="M185" s="21" t="inlineStr">
        <is>
          <t>15m</t>
        </is>
      </c>
      <c r="N185" s="21" t="inlineStr">
        <is>
          <t>TF selector</t>
        </is>
      </c>
      <c r="O185" s="21" t="inlineStr">
        <is>
          <t>FH_MOMENTUM_FILTER_TF</t>
        </is>
      </c>
      <c r="P185" s="21" t="inlineStr">
        <is>
          <t>getattr(cfg,"FH_MOMENTUM_FILTER_TF")</t>
        </is>
      </c>
      <c r="Q185" t="inlineStr">
        <is>
          <t>NO</t>
        </is>
      </c>
    </row>
    <row r="186">
      <c r="A186" s="24" t="n">
        <v>45</v>
      </c>
      <c r="B186" s="25" t="inlineStr">
        <is>
          <t>FH_MOMENTUM_FILTER_TF</t>
        </is>
      </c>
      <c r="C186" s="23" t="inlineStr">
        <is>
          <t>D</t>
        </is>
      </c>
      <c r="D186" s="26" t="inlineStr">
        <is>
          <t>FH momentum confirmation TF. | Live read: `_SHARPE_GATES_MIN_TFS', 'COOLDOWN_LOCKS_FILTER_TF', 'CRYPTO_SPIKE_FADE_THRESHOLD`</t>
        </is>
      </c>
      <c r="E186" s="26" t="inlineStr">
        <is>
          <t>GLOBAL_CHECK</t>
        </is>
      </c>
      <c r="F186" s="24" t="inlineStr">
        <is>
          <t>GLOBAL_CHECK</t>
        </is>
      </c>
      <c r="G186" s="26" t="inlineStr">
        <is>
          <t>FH_MOMENTUM</t>
        </is>
      </c>
      <c r="H186" s="24" t="inlineStr">
        <is>
          <t>SPECIFIC — only gated switches</t>
        </is>
      </c>
      <c r="I186" s="24" t="inlineStr">
        <is>
          <t>LIVE — wired</t>
        </is>
      </c>
      <c r="J186" s="24" t="n"/>
      <c r="K186" s="21" t="inlineStr">
        <is>
          <t>1/4</t>
        </is>
      </c>
      <c r="L186" s="21" t="inlineStr">
        <is>
          <t>OFF, 15m, 1h, 4h, D (5 options)</t>
        </is>
      </c>
      <c r="M186" s="21" t="inlineStr">
        <is>
          <t>15m</t>
        </is>
      </c>
      <c r="N186" s="21" t="inlineStr">
        <is>
          <t>TF selector</t>
        </is>
      </c>
      <c r="O186" s="21" t="inlineStr">
        <is>
          <t>FH_MOMENTUM_FILTER_TF</t>
        </is>
      </c>
      <c r="P186" s="21" t="inlineStr">
        <is>
          <t>getattr(cfg,"FH_MOMENTUM_FILTER_TF")</t>
        </is>
      </c>
      <c r="Q186" t="inlineStr">
        <is>
          <t>NO</t>
        </is>
      </c>
    </row>
    <row r="187">
      <c r="A187" s="24" t="n">
        <v>45</v>
      </c>
      <c r="B187" s="25" t="inlineStr">
        <is>
          <t>FH_MOMENTUM_FILTER_TF</t>
        </is>
      </c>
      <c r="C187" s="23" t="inlineStr">
        <is>
          <t>4h</t>
        </is>
      </c>
      <c r="D187" s="26" t="inlineStr">
        <is>
          <t>FH momentum confirmation TF. | Live read: `_SHARPE_GATES_MIN_TFS', 'COOLDOWN_LOCKS_FILTER_TF', 'CRYPTO_SPIKE_FADE_THRESHOLD`</t>
        </is>
      </c>
      <c r="E187" s="26" t="inlineStr">
        <is>
          <t>GLOBAL_CHECK</t>
        </is>
      </c>
      <c r="F187" s="24" t="inlineStr">
        <is>
          <t>GLOBAL_CHECK</t>
        </is>
      </c>
      <c r="G187" s="26" t="inlineStr">
        <is>
          <t>FH_MOMENTUM</t>
        </is>
      </c>
      <c r="H187" s="24" t="inlineStr">
        <is>
          <t>SPECIFIC — only gated switches</t>
        </is>
      </c>
      <c r="I187" s="24" t="inlineStr">
        <is>
          <t>LIVE — wired</t>
        </is>
      </c>
      <c r="J187" s="24" t="n"/>
      <c r="K187" s="21" t="inlineStr">
        <is>
          <t>1/4</t>
        </is>
      </c>
      <c r="L187" s="21" t="inlineStr">
        <is>
          <t>OFF, 15m, 1h, 4h, D (5 options)</t>
        </is>
      </c>
      <c r="M187" s="21" t="inlineStr">
        <is>
          <t>15m</t>
        </is>
      </c>
      <c r="N187" s="21" t="inlineStr">
        <is>
          <t>TF selector</t>
        </is>
      </c>
      <c r="O187" s="21" t="inlineStr">
        <is>
          <t>FH_MOMENTUM_FILTER_TF</t>
        </is>
      </c>
      <c r="P187" s="21" t="inlineStr">
        <is>
          <t>getattr(cfg,"FH_MOMENTUM_FILTER_TF")</t>
        </is>
      </c>
      <c r="Q187" t="inlineStr">
        <is>
          <t>NO</t>
        </is>
      </c>
    </row>
    <row r="188">
      <c r="A188" s="24" t="n">
        <v>45</v>
      </c>
      <c r="B188" s="25" t="inlineStr">
        <is>
          <t>FH_MOMENTUM_FILTER_TF</t>
        </is>
      </c>
      <c r="C188" s="23" t="inlineStr">
        <is>
          <t>1h</t>
        </is>
      </c>
      <c r="D188" s="26" t="inlineStr">
        <is>
          <t>FH momentum confirmation TF. | Live read: `_SHARPE_GATES_MIN_TFS', 'COOLDOWN_LOCKS_FILTER_TF', 'CRYPTO_SPIKE_FADE_THRESHOLD`</t>
        </is>
      </c>
      <c r="E188" s="26" t="inlineStr">
        <is>
          <t>GLOBAL_CHECK</t>
        </is>
      </c>
      <c r="F188" s="24" t="inlineStr">
        <is>
          <t>GLOBAL_CHECK</t>
        </is>
      </c>
      <c r="G188" s="26" t="inlineStr">
        <is>
          <t>FH_MOMENTUM</t>
        </is>
      </c>
      <c r="H188" s="24" t="inlineStr">
        <is>
          <t>SPECIFIC — only gated switches</t>
        </is>
      </c>
      <c r="I188" s="24" t="inlineStr">
        <is>
          <t>LIVE — wired</t>
        </is>
      </c>
      <c r="J188" s="24" t="n"/>
      <c r="K188" s="21" t="inlineStr">
        <is>
          <t>1/4</t>
        </is>
      </c>
      <c r="L188" s="21" t="inlineStr">
        <is>
          <t>OFF, 15m, 1h, 4h, D (5 options)</t>
        </is>
      </c>
      <c r="M188" s="21" t="inlineStr">
        <is>
          <t>15m</t>
        </is>
      </c>
      <c r="N188" s="21" t="inlineStr">
        <is>
          <t>TF selector</t>
        </is>
      </c>
      <c r="O188" s="21" t="inlineStr">
        <is>
          <t>FH_MOMENTUM_FILTER_TF</t>
        </is>
      </c>
      <c r="P188" s="21" t="inlineStr">
        <is>
          <t>getattr(cfg,"FH_MOMENTUM_FILTER_TF")</t>
        </is>
      </c>
      <c r="Q188" t="inlineStr">
        <is>
          <t>NO</t>
        </is>
      </c>
    </row>
    <row r="189">
      <c r="A189" s="24" t="n">
        <v>45</v>
      </c>
      <c r="B189" s="27" t="inlineStr">
        <is>
          <t>FH_MOMENTUM_FILTER_TF</t>
        </is>
      </c>
      <c r="C189" s="19" t="inlineStr">
        <is>
          <t>15m</t>
        </is>
      </c>
      <c r="D189" s="26" t="inlineStr">
        <is>
          <t>FH momentum confirmation TF. | Live read: `_SHARPE_GATES_MIN_TFS', 'COOLDOWN_LOCKS_FILTER_TF', 'CRYPTO_SPIKE_FADE_THRESHOLD`</t>
        </is>
      </c>
      <c r="E189" s="26" t="inlineStr">
        <is>
          <t>GLOBAL_CHECK</t>
        </is>
      </c>
      <c r="F189" s="24" t="inlineStr">
        <is>
          <t>GLOBAL_CHECK</t>
        </is>
      </c>
      <c r="G189" s="26" t="inlineStr">
        <is>
          <t>FH_MOMENTUM</t>
        </is>
      </c>
      <c r="H189" s="24" t="inlineStr">
        <is>
          <t>SPECIFIC — only gated switches</t>
        </is>
      </c>
      <c r="I189" s="24" t="inlineStr">
        <is>
          <t>LIVE — wired</t>
        </is>
      </c>
      <c r="J189" s="24" t="n"/>
      <c r="K189" s="21" t="inlineStr">
        <is>
          <t>1/4</t>
        </is>
      </c>
      <c r="L189" s="21" t="inlineStr">
        <is>
          <t>OFF, 15m, 1h, 4h, D (5 options)</t>
        </is>
      </c>
      <c r="M189" s="21" t="inlineStr">
        <is>
          <t>15m</t>
        </is>
      </c>
      <c r="N189" s="21" t="inlineStr">
        <is>
          <t>TF selector</t>
        </is>
      </c>
      <c r="O189" s="21" t="inlineStr">
        <is>
          <t>FH_MOMENTUM_FILTER_TF</t>
        </is>
      </c>
      <c r="P189" s="21" t="inlineStr">
        <is>
          <t>getattr(cfg,"FH_MOMENTUM_FILTER_TF")</t>
        </is>
      </c>
      <c r="Q189" t="inlineStr">
        <is>
          <t>YES</t>
        </is>
      </c>
    </row>
    <row r="190">
      <c r="A190" s="24" t="n">
        <v>46</v>
      </c>
      <c r="B190" s="25" t="inlineStr">
        <is>
          <t>FIRST_OPEN_THROTTLE_FILTER_TF</t>
        </is>
      </c>
      <c r="C190" s="23" t="inlineStr">
        <is>
          <t>OFF</t>
        </is>
      </c>
      <c r="D190" s="26" t="inlineStr">
        <is>
          <t>Throttles first open after cooldown on FILTER_TF. | Live read: `SHOLD', 'ENTRY_BB_SQUEEZE_LOOKBACK', 'ENTRY_BB_SQUEEZE_RATIO', 'ENTRY_BB_SQUEEZE`</t>
        </is>
      </c>
      <c r="E190" s="26" t="inlineStr">
        <is>
          <t>GLOBAL_CHECK</t>
        </is>
      </c>
      <c r="F190" s="24" t="inlineStr">
        <is>
          <t>GLOBAL_CHECK</t>
        </is>
      </c>
      <c r="G190" s="26" t="inlineStr">
        <is>
          <t>FIRST_OPEN_THROTTLE</t>
        </is>
      </c>
      <c r="H190" s="24" t="inlineStr">
        <is>
          <t>SPECIFIC — only gated switches</t>
        </is>
      </c>
      <c r="I190" s="24" t="inlineStr">
        <is>
          <t>LIVE — wired</t>
        </is>
      </c>
      <c r="J190" s="24" t="n"/>
      <c r="K190" s="21" t="inlineStr">
        <is>
          <t>1/4</t>
        </is>
      </c>
      <c r="L190" s="21" t="inlineStr">
        <is>
          <t>OFF, 15m, 1h, 4h, D (5 options)</t>
        </is>
      </c>
      <c r="M190" s="21" t="inlineStr">
        <is>
          <t>15m</t>
        </is>
      </c>
      <c r="N190" s="21" t="inlineStr">
        <is>
          <t>TF selector</t>
        </is>
      </c>
      <c r="O190" s="21" t="inlineStr">
        <is>
          <t>FIRST_OPEN_THROTTLE_FILTER_TF</t>
        </is>
      </c>
      <c r="P190" s="21" t="inlineStr">
        <is>
          <t>getattr(cfg,"FIRST_OPEN_THROTTLE_FILTER_TF")</t>
        </is>
      </c>
      <c r="Q190" t="inlineStr">
        <is>
          <t>NO</t>
        </is>
      </c>
    </row>
    <row r="191">
      <c r="A191" s="24" t="n">
        <v>46</v>
      </c>
      <c r="B191" s="25" t="inlineStr">
        <is>
          <t>FIRST_OPEN_THROTTLE_FILTER_TF</t>
        </is>
      </c>
      <c r="C191" s="23" t="inlineStr">
        <is>
          <t>D</t>
        </is>
      </c>
      <c r="D191" s="26" t="inlineStr">
        <is>
          <t>Throttles first open after cooldown on FILTER_TF. | Live read: `SHOLD', 'ENTRY_BB_SQUEEZE_LOOKBACK', 'ENTRY_BB_SQUEEZE_RATIO', 'ENTRY_BB_SQUEEZE`</t>
        </is>
      </c>
      <c r="E191" s="26" t="inlineStr">
        <is>
          <t>GLOBAL_CHECK</t>
        </is>
      </c>
      <c r="F191" s="24" t="inlineStr">
        <is>
          <t>GLOBAL_CHECK</t>
        </is>
      </c>
      <c r="G191" s="26" t="inlineStr">
        <is>
          <t>FIRST_OPEN_THROTTLE</t>
        </is>
      </c>
      <c r="H191" s="24" t="inlineStr">
        <is>
          <t>SPECIFIC — only gated switches</t>
        </is>
      </c>
      <c r="I191" s="24" t="inlineStr">
        <is>
          <t>LIVE — wired</t>
        </is>
      </c>
      <c r="J191" s="24" t="n"/>
      <c r="K191" s="21" t="inlineStr">
        <is>
          <t>1/4</t>
        </is>
      </c>
      <c r="L191" s="21" t="inlineStr">
        <is>
          <t>OFF, 15m, 1h, 4h, D (5 options)</t>
        </is>
      </c>
      <c r="M191" s="21" t="inlineStr">
        <is>
          <t>15m</t>
        </is>
      </c>
      <c r="N191" s="21" t="inlineStr">
        <is>
          <t>TF selector</t>
        </is>
      </c>
      <c r="O191" s="21" t="inlineStr">
        <is>
          <t>FIRST_OPEN_THROTTLE_FILTER_TF</t>
        </is>
      </c>
      <c r="P191" s="21" t="inlineStr">
        <is>
          <t>getattr(cfg,"FIRST_OPEN_THROTTLE_FILTER_TF")</t>
        </is>
      </c>
      <c r="Q191" t="inlineStr">
        <is>
          <t>NO</t>
        </is>
      </c>
    </row>
    <row r="192">
      <c r="A192" s="24" t="n">
        <v>46</v>
      </c>
      <c r="B192" s="25" t="inlineStr">
        <is>
          <t>FIRST_OPEN_THROTTLE_FILTER_TF</t>
        </is>
      </c>
      <c r="C192" s="23" t="inlineStr">
        <is>
          <t>4h</t>
        </is>
      </c>
      <c r="D192" s="26" t="inlineStr">
        <is>
          <t>Throttles first open after cooldown on FILTER_TF. | Live read: `SHOLD', 'ENTRY_BB_SQUEEZE_LOOKBACK', 'ENTRY_BB_SQUEEZE_RATIO', 'ENTRY_BB_SQUEEZE`</t>
        </is>
      </c>
      <c r="E192" s="26" t="inlineStr">
        <is>
          <t>GLOBAL_CHECK</t>
        </is>
      </c>
      <c r="F192" s="24" t="inlineStr">
        <is>
          <t>GLOBAL_CHECK</t>
        </is>
      </c>
      <c r="G192" s="26" t="inlineStr">
        <is>
          <t>FIRST_OPEN_THROTTLE</t>
        </is>
      </c>
      <c r="H192" s="24" t="inlineStr">
        <is>
          <t>SPECIFIC — only gated switches</t>
        </is>
      </c>
      <c r="I192" s="24" t="inlineStr">
        <is>
          <t>LIVE — wired</t>
        </is>
      </c>
      <c r="J192" s="24" t="n"/>
      <c r="K192" s="21" t="inlineStr">
        <is>
          <t>1/4</t>
        </is>
      </c>
      <c r="L192" s="21" t="inlineStr">
        <is>
          <t>OFF, 15m, 1h, 4h, D (5 options)</t>
        </is>
      </c>
      <c r="M192" s="21" t="inlineStr">
        <is>
          <t>15m</t>
        </is>
      </c>
      <c r="N192" s="21" t="inlineStr">
        <is>
          <t>TF selector</t>
        </is>
      </c>
      <c r="O192" s="21" t="inlineStr">
        <is>
          <t>FIRST_OPEN_THROTTLE_FILTER_TF</t>
        </is>
      </c>
      <c r="P192" s="21" t="inlineStr">
        <is>
          <t>getattr(cfg,"FIRST_OPEN_THROTTLE_FILTER_TF")</t>
        </is>
      </c>
      <c r="Q192" t="inlineStr">
        <is>
          <t>NO</t>
        </is>
      </c>
    </row>
    <row r="193">
      <c r="A193" s="24" t="n">
        <v>46</v>
      </c>
      <c r="B193" s="25" t="inlineStr">
        <is>
          <t>FIRST_OPEN_THROTTLE_FILTER_TF</t>
        </is>
      </c>
      <c r="C193" s="23" t="inlineStr">
        <is>
          <t>1h</t>
        </is>
      </c>
      <c r="D193" s="26" t="inlineStr">
        <is>
          <t>Throttles first open after cooldown on FILTER_TF. | Live read: `SHOLD', 'ENTRY_BB_SQUEEZE_LOOKBACK', 'ENTRY_BB_SQUEEZE_RATIO', 'ENTRY_BB_SQUEEZE`</t>
        </is>
      </c>
      <c r="E193" s="26" t="inlineStr">
        <is>
          <t>GLOBAL_CHECK</t>
        </is>
      </c>
      <c r="F193" s="24" t="inlineStr">
        <is>
          <t>GLOBAL_CHECK</t>
        </is>
      </c>
      <c r="G193" s="26" t="inlineStr">
        <is>
          <t>FIRST_OPEN_THROTTLE</t>
        </is>
      </c>
      <c r="H193" s="24" t="inlineStr">
        <is>
          <t>SPECIFIC — only gated switches</t>
        </is>
      </c>
      <c r="I193" s="24" t="inlineStr">
        <is>
          <t>LIVE — wired</t>
        </is>
      </c>
      <c r="J193" s="24" t="n"/>
      <c r="K193" s="21" t="inlineStr">
        <is>
          <t>1/4</t>
        </is>
      </c>
      <c r="L193" s="21" t="inlineStr">
        <is>
          <t>OFF, 15m, 1h, 4h, D (5 options)</t>
        </is>
      </c>
      <c r="M193" s="21" t="inlineStr">
        <is>
          <t>15m</t>
        </is>
      </c>
      <c r="N193" s="21" t="inlineStr">
        <is>
          <t>TF selector</t>
        </is>
      </c>
      <c r="O193" s="21" t="inlineStr">
        <is>
          <t>FIRST_OPEN_THROTTLE_FILTER_TF</t>
        </is>
      </c>
      <c r="P193" s="21" t="inlineStr">
        <is>
          <t>getattr(cfg,"FIRST_OPEN_THROTTLE_FILTER_TF")</t>
        </is>
      </c>
      <c r="Q193" t="inlineStr">
        <is>
          <t>NO</t>
        </is>
      </c>
    </row>
    <row r="194">
      <c r="A194" s="24" t="n">
        <v>46</v>
      </c>
      <c r="B194" s="27" t="inlineStr">
        <is>
          <t>FIRST_OPEN_THROTTLE_FILTER_TF</t>
        </is>
      </c>
      <c r="C194" s="19" t="inlineStr">
        <is>
          <t>15m</t>
        </is>
      </c>
      <c r="D194" s="26" t="inlineStr">
        <is>
          <t>Throttles first open after cooldown on FILTER_TF. | Live read: `SHOLD', 'ENTRY_BB_SQUEEZE_LOOKBACK', 'ENTRY_BB_SQUEEZE_RATIO', 'ENTRY_BB_SQUEEZE`</t>
        </is>
      </c>
      <c r="E194" s="26" t="inlineStr">
        <is>
          <t>GLOBAL_CHECK</t>
        </is>
      </c>
      <c r="F194" s="24" t="inlineStr">
        <is>
          <t>GLOBAL_CHECK</t>
        </is>
      </c>
      <c r="G194" s="26" t="inlineStr">
        <is>
          <t>FIRST_OPEN_THROTTLE</t>
        </is>
      </c>
      <c r="H194" s="24" t="inlineStr">
        <is>
          <t>SPECIFIC — only gated switches</t>
        </is>
      </c>
      <c r="I194" s="24" t="inlineStr">
        <is>
          <t>LIVE — wired</t>
        </is>
      </c>
      <c r="J194" s="24" t="n"/>
      <c r="K194" s="21" t="inlineStr">
        <is>
          <t>1/4</t>
        </is>
      </c>
      <c r="L194" s="21" t="inlineStr">
        <is>
          <t>OFF, 15m, 1h, 4h, D (5 options)</t>
        </is>
      </c>
      <c r="M194" s="21" t="inlineStr">
        <is>
          <t>15m</t>
        </is>
      </c>
      <c r="N194" s="21" t="inlineStr">
        <is>
          <t>TF selector</t>
        </is>
      </c>
      <c r="O194" s="21" t="inlineStr">
        <is>
          <t>FIRST_OPEN_THROTTLE_FILTER_TF</t>
        </is>
      </c>
      <c r="P194" s="21" t="inlineStr">
        <is>
          <t>getattr(cfg,"FIRST_OPEN_THROTTLE_FILTER_TF")</t>
        </is>
      </c>
      <c r="Q194" t="inlineStr">
        <is>
          <t>YES</t>
        </is>
      </c>
    </row>
    <row r="195">
      <c r="A195" s="24" t="n">
        <v>47</v>
      </c>
      <c r="B195" s="25" t="inlineStr">
        <is>
          <t>FROZEN_STOP_FILTER_TF</t>
        </is>
      </c>
      <c r="C195" s="23" t="inlineStr">
        <is>
          <t>OFF</t>
        </is>
      </c>
      <c r="D195" s="26" t="inlineStr">
        <is>
          <t>Frozen (stale) stop — avoids stop triggered on stale DC/BB. | Live read: `TIGHT_BREAKOUT_SCORER_FILTER_TF', 'EXIT_TIGHT_BREAKOUT_SCORER_MIN_TFS', 'EXIT_TO`</t>
        </is>
      </c>
      <c r="E195" s="26" t="inlineStr">
        <is>
          <t>GLOBAL_CHECK</t>
        </is>
      </c>
      <c r="F195" s="24" t="inlineStr">
        <is>
          <t>GLOBAL_CHECK</t>
        </is>
      </c>
      <c r="G195" s="26" t="inlineStr">
        <is>
          <t>FROZEN_STOP</t>
        </is>
      </c>
      <c r="H195" s="24" t="inlineStr">
        <is>
          <t>SPECIFIC — only gated switches</t>
        </is>
      </c>
      <c r="I195" s="24" t="inlineStr">
        <is>
          <t>LIVE — wired</t>
        </is>
      </c>
      <c r="J195" s="24" t="n"/>
      <c r="K195" s="21" t="inlineStr">
        <is>
          <t>1/4</t>
        </is>
      </c>
      <c r="L195" s="21" t="inlineStr">
        <is>
          <t>OFF, 15m, 1h, 4h, D (5 options)</t>
        </is>
      </c>
      <c r="M195" s="21" t="inlineStr">
        <is>
          <t>15m</t>
        </is>
      </c>
      <c r="N195" s="21" t="inlineStr">
        <is>
          <t>TF selector</t>
        </is>
      </c>
      <c r="O195" s="21" t="inlineStr">
        <is>
          <t>FROZEN_STOP_FILTER_TF</t>
        </is>
      </c>
      <c r="P195" s="21" t="inlineStr">
        <is>
          <t>getattr(cfg,"FROZEN_STOP_FILTER_TF")</t>
        </is>
      </c>
      <c r="Q195" t="inlineStr">
        <is>
          <t>NO</t>
        </is>
      </c>
    </row>
    <row r="196">
      <c r="A196" s="24" t="n">
        <v>47</v>
      </c>
      <c r="B196" s="25" t="inlineStr">
        <is>
          <t>FROZEN_STOP_FILTER_TF</t>
        </is>
      </c>
      <c r="C196" s="23" t="inlineStr">
        <is>
          <t>D</t>
        </is>
      </c>
      <c r="D196" s="26" t="inlineStr">
        <is>
          <t>Frozen (stale) stop — avoids stop triggered on stale DC/BB. | Live read: `TIGHT_BREAKOUT_SCORER_FILTER_TF', 'EXIT_TIGHT_BREAKOUT_SCORER_MIN_TFS', 'EXIT_TO`</t>
        </is>
      </c>
      <c r="E196" s="26" t="inlineStr">
        <is>
          <t>GLOBAL_CHECK</t>
        </is>
      </c>
      <c r="F196" s="24" t="inlineStr">
        <is>
          <t>GLOBAL_CHECK</t>
        </is>
      </c>
      <c r="G196" s="26" t="inlineStr">
        <is>
          <t>FROZEN_STOP</t>
        </is>
      </c>
      <c r="H196" s="24" t="inlineStr">
        <is>
          <t>SPECIFIC — only gated switches</t>
        </is>
      </c>
      <c r="I196" s="24" t="inlineStr">
        <is>
          <t>LIVE — wired</t>
        </is>
      </c>
      <c r="J196" s="24" t="n"/>
      <c r="K196" s="21" t="inlineStr">
        <is>
          <t>1/4</t>
        </is>
      </c>
      <c r="L196" s="21" t="inlineStr">
        <is>
          <t>OFF, 15m, 1h, 4h, D (5 options)</t>
        </is>
      </c>
      <c r="M196" s="21" t="inlineStr">
        <is>
          <t>15m</t>
        </is>
      </c>
      <c r="N196" s="21" t="inlineStr">
        <is>
          <t>TF selector</t>
        </is>
      </c>
      <c r="O196" s="21" t="inlineStr">
        <is>
          <t>FROZEN_STOP_FILTER_TF</t>
        </is>
      </c>
      <c r="P196" s="21" t="inlineStr">
        <is>
          <t>getattr(cfg,"FROZEN_STOP_FILTER_TF")</t>
        </is>
      </c>
      <c r="Q196" t="inlineStr">
        <is>
          <t>NO</t>
        </is>
      </c>
    </row>
    <row r="197">
      <c r="A197" s="24" t="n">
        <v>47</v>
      </c>
      <c r="B197" s="25" t="inlineStr">
        <is>
          <t>FROZEN_STOP_FILTER_TF</t>
        </is>
      </c>
      <c r="C197" s="23" t="inlineStr">
        <is>
          <t>4h</t>
        </is>
      </c>
      <c r="D197" s="26" t="inlineStr">
        <is>
          <t>Frozen (stale) stop — avoids stop triggered on stale DC/BB. | Live read: `TIGHT_BREAKOUT_SCORER_FILTER_TF', 'EXIT_TIGHT_BREAKOUT_SCORER_MIN_TFS', 'EXIT_TO`</t>
        </is>
      </c>
      <c r="E197" s="26" t="inlineStr">
        <is>
          <t>GLOBAL_CHECK</t>
        </is>
      </c>
      <c r="F197" s="24" t="inlineStr">
        <is>
          <t>GLOBAL_CHECK</t>
        </is>
      </c>
      <c r="G197" s="26" t="inlineStr">
        <is>
          <t>FROZEN_STOP</t>
        </is>
      </c>
      <c r="H197" s="24" t="inlineStr">
        <is>
          <t>SPECIFIC — only gated switches</t>
        </is>
      </c>
      <c r="I197" s="24" t="inlineStr">
        <is>
          <t>LIVE — wired</t>
        </is>
      </c>
      <c r="J197" s="24" t="n"/>
      <c r="K197" s="21" t="inlineStr">
        <is>
          <t>1/4</t>
        </is>
      </c>
      <c r="L197" s="21" t="inlineStr">
        <is>
          <t>OFF, 15m, 1h, 4h, D (5 options)</t>
        </is>
      </c>
      <c r="M197" s="21" t="inlineStr">
        <is>
          <t>15m</t>
        </is>
      </c>
      <c r="N197" s="21" t="inlineStr">
        <is>
          <t>TF selector</t>
        </is>
      </c>
      <c r="O197" s="21" t="inlineStr">
        <is>
          <t>FROZEN_STOP_FILTER_TF</t>
        </is>
      </c>
      <c r="P197" s="21" t="inlineStr">
        <is>
          <t>getattr(cfg,"FROZEN_STOP_FILTER_TF")</t>
        </is>
      </c>
      <c r="Q197" t="inlineStr">
        <is>
          <t>NO</t>
        </is>
      </c>
    </row>
    <row r="198">
      <c r="A198" s="24" t="n">
        <v>47</v>
      </c>
      <c r="B198" s="25" t="inlineStr">
        <is>
          <t>FROZEN_STOP_FILTER_TF</t>
        </is>
      </c>
      <c r="C198" s="23" t="inlineStr">
        <is>
          <t>1h</t>
        </is>
      </c>
      <c r="D198" s="26" t="inlineStr">
        <is>
          <t>Frozen (stale) stop — avoids stop triggered on stale DC/BB. | Live read: `TIGHT_BREAKOUT_SCORER_FILTER_TF', 'EXIT_TIGHT_BREAKOUT_SCORER_MIN_TFS', 'EXIT_TO`</t>
        </is>
      </c>
      <c r="E198" s="26" t="inlineStr">
        <is>
          <t>GLOBAL_CHECK</t>
        </is>
      </c>
      <c r="F198" s="24" t="inlineStr">
        <is>
          <t>GLOBAL_CHECK</t>
        </is>
      </c>
      <c r="G198" s="26" t="inlineStr">
        <is>
          <t>FROZEN_STOP</t>
        </is>
      </c>
      <c r="H198" s="24" t="inlineStr">
        <is>
          <t>SPECIFIC — only gated switches</t>
        </is>
      </c>
      <c r="I198" s="24" t="inlineStr">
        <is>
          <t>LIVE — wired</t>
        </is>
      </c>
      <c r="J198" s="24" t="n"/>
      <c r="K198" s="21" t="inlineStr">
        <is>
          <t>1/4</t>
        </is>
      </c>
      <c r="L198" s="21" t="inlineStr">
        <is>
          <t>OFF, 15m, 1h, 4h, D (5 options)</t>
        </is>
      </c>
      <c r="M198" s="21" t="inlineStr">
        <is>
          <t>15m</t>
        </is>
      </c>
      <c r="N198" s="21" t="inlineStr">
        <is>
          <t>TF selector</t>
        </is>
      </c>
      <c r="O198" s="21" t="inlineStr">
        <is>
          <t>FROZEN_STOP_FILTER_TF</t>
        </is>
      </c>
      <c r="P198" s="21" t="inlineStr">
        <is>
          <t>getattr(cfg,"FROZEN_STOP_FILTER_TF")</t>
        </is>
      </c>
      <c r="Q198" t="inlineStr">
        <is>
          <t>NO</t>
        </is>
      </c>
    </row>
    <row r="199">
      <c r="A199" s="24" t="n">
        <v>47</v>
      </c>
      <c r="B199" s="27" t="inlineStr">
        <is>
          <t>FROZEN_STOP_FILTER_TF</t>
        </is>
      </c>
      <c r="C199" s="19" t="inlineStr">
        <is>
          <t>15m</t>
        </is>
      </c>
      <c r="D199" s="26" t="inlineStr">
        <is>
          <t>Frozen (stale) stop — avoids stop triggered on stale DC/BB. | Live read: `TIGHT_BREAKOUT_SCORER_FILTER_TF', 'EXIT_TIGHT_BREAKOUT_SCORER_MIN_TFS', 'EXIT_TO`</t>
        </is>
      </c>
      <c r="E199" s="26" t="inlineStr">
        <is>
          <t>GLOBAL_CHECK</t>
        </is>
      </c>
      <c r="F199" s="24" t="inlineStr">
        <is>
          <t>GLOBAL_CHECK</t>
        </is>
      </c>
      <c r="G199" s="26" t="inlineStr">
        <is>
          <t>FROZEN_STOP</t>
        </is>
      </c>
      <c r="H199" s="24" t="inlineStr">
        <is>
          <t>SPECIFIC — only gated switches</t>
        </is>
      </c>
      <c r="I199" s="24" t="inlineStr">
        <is>
          <t>LIVE — wired</t>
        </is>
      </c>
      <c r="J199" s="24" t="n"/>
      <c r="K199" s="21" t="inlineStr">
        <is>
          <t>1/4</t>
        </is>
      </c>
      <c r="L199" s="21" t="inlineStr">
        <is>
          <t>OFF, 15m, 1h, 4h, D (5 options)</t>
        </is>
      </c>
      <c r="M199" s="21" t="inlineStr">
        <is>
          <t>15m</t>
        </is>
      </c>
      <c r="N199" s="21" t="inlineStr">
        <is>
          <t>TF selector</t>
        </is>
      </c>
      <c r="O199" s="21" t="inlineStr">
        <is>
          <t>FROZEN_STOP_FILTER_TF</t>
        </is>
      </c>
      <c r="P199" s="21" t="inlineStr">
        <is>
          <t>getattr(cfg,"FROZEN_STOP_FILTER_TF")</t>
        </is>
      </c>
      <c r="Q199" t="inlineStr">
        <is>
          <t>YES</t>
        </is>
      </c>
    </row>
    <row r="200">
      <c r="A200" s="17" t="n">
        <v>48</v>
      </c>
      <c r="B200" s="22" t="inlineStr">
        <is>
          <t>FUNDING_GATE_FILTER_TF</t>
        </is>
      </c>
      <c r="C200" s="23" t="inlineStr">
        <is>
          <t>OFF</t>
        </is>
      </c>
      <c r="D200" s="20" t="inlineStr">
        <is>
          <t>Funding rate gate on FILTER_TF (perp funding). | Live read: `COOLDOWN_LOCKS_FILTER_TF', 'CRYPTO_SPIKE_FADE_THRESHOLD_PCT', 'DC_BREAK_FILTER_T`</t>
        </is>
      </c>
      <c r="E200" s="20" t="inlineStr">
        <is>
          <t>GLOBAL_CHECK</t>
        </is>
      </c>
      <c r="F200" s="17" t="inlineStr">
        <is>
          <t>GLOBAL_CHECK</t>
        </is>
      </c>
      <c r="G200" s="20" t="inlineStr">
        <is>
          <t>Funding gate</t>
        </is>
      </c>
      <c r="H200" s="17" t="inlineStr">
        <is>
          <t>GENERAL — uniform</t>
        </is>
      </c>
      <c r="I200" s="17" t="inlineStr">
        <is>
          <t>LIVE — wired</t>
        </is>
      </c>
      <c r="J200" s="17" t="n"/>
      <c r="K200" s="21" t="inlineStr">
        <is>
          <t>1/4</t>
        </is>
      </c>
      <c r="L200" s="21" t="inlineStr">
        <is>
          <t>OFF, 15m, 1h, 4h, D (5 options)</t>
        </is>
      </c>
      <c r="M200" s="21" t="inlineStr">
        <is>
          <t>15m</t>
        </is>
      </c>
      <c r="N200" s="21" t="inlineStr">
        <is>
          <t>TF selector</t>
        </is>
      </c>
      <c r="O200" s="21" t="inlineStr">
        <is>
          <t>FUNDING_GATE_FILTER_TF</t>
        </is>
      </c>
      <c r="P200" s="21" t="inlineStr">
        <is>
          <t>getattr(cfg,"FUNDING_GATE_FILTER_TF")</t>
        </is>
      </c>
      <c r="Q200" t="inlineStr">
        <is>
          <t>NO</t>
        </is>
      </c>
    </row>
    <row r="201">
      <c r="A201" s="17" t="n">
        <v>48</v>
      </c>
      <c r="B201" s="22" t="inlineStr">
        <is>
          <t>FUNDING_GATE_FILTER_TF</t>
        </is>
      </c>
      <c r="C201" s="23" t="inlineStr">
        <is>
          <t>D</t>
        </is>
      </c>
      <c r="D201" s="20" t="inlineStr">
        <is>
          <t>Funding rate gate on FILTER_TF (perp funding). | Live read: `COOLDOWN_LOCKS_FILTER_TF', 'CRYPTO_SPIKE_FADE_THRESHOLD_PCT', 'DC_BREAK_FILTER_T`</t>
        </is>
      </c>
      <c r="E201" s="20" t="inlineStr">
        <is>
          <t>GLOBAL_CHECK</t>
        </is>
      </c>
      <c r="F201" s="17" t="inlineStr">
        <is>
          <t>GLOBAL_CHECK</t>
        </is>
      </c>
      <c r="G201" s="20" t="inlineStr">
        <is>
          <t>Funding gate</t>
        </is>
      </c>
      <c r="H201" s="17" t="inlineStr">
        <is>
          <t>GENERAL — uniform</t>
        </is>
      </c>
      <c r="I201" s="17" t="inlineStr">
        <is>
          <t>LIVE — wired</t>
        </is>
      </c>
      <c r="J201" s="17" t="n"/>
      <c r="K201" s="21" t="inlineStr">
        <is>
          <t>1/4</t>
        </is>
      </c>
      <c r="L201" s="21" t="inlineStr">
        <is>
          <t>OFF, 15m, 1h, 4h, D (5 options)</t>
        </is>
      </c>
      <c r="M201" s="21" t="inlineStr">
        <is>
          <t>15m</t>
        </is>
      </c>
      <c r="N201" s="21" t="inlineStr">
        <is>
          <t>TF selector</t>
        </is>
      </c>
      <c r="O201" s="21" t="inlineStr">
        <is>
          <t>FUNDING_GATE_FILTER_TF</t>
        </is>
      </c>
      <c r="P201" s="21" t="inlineStr">
        <is>
          <t>getattr(cfg,"FUNDING_GATE_FILTER_TF")</t>
        </is>
      </c>
      <c r="Q201" t="inlineStr">
        <is>
          <t>NO</t>
        </is>
      </c>
    </row>
    <row r="202">
      <c r="A202" s="17" t="n">
        <v>48</v>
      </c>
      <c r="B202" s="22" t="inlineStr">
        <is>
          <t>FUNDING_GATE_FILTER_TF</t>
        </is>
      </c>
      <c r="C202" s="23" t="inlineStr">
        <is>
          <t>4h</t>
        </is>
      </c>
      <c r="D202" s="20" t="inlineStr">
        <is>
          <t>Funding rate gate on FILTER_TF (perp funding). | Live read: `COOLDOWN_LOCKS_FILTER_TF', 'CRYPTO_SPIKE_FADE_THRESHOLD_PCT', 'DC_BREAK_FILTER_T`</t>
        </is>
      </c>
      <c r="E202" s="20" t="inlineStr">
        <is>
          <t>GLOBAL_CHECK</t>
        </is>
      </c>
      <c r="F202" s="17" t="inlineStr">
        <is>
          <t>GLOBAL_CHECK</t>
        </is>
      </c>
      <c r="G202" s="20" t="inlineStr">
        <is>
          <t>Funding gate</t>
        </is>
      </c>
      <c r="H202" s="17" t="inlineStr">
        <is>
          <t>GENERAL — uniform</t>
        </is>
      </c>
      <c r="I202" s="17" t="inlineStr">
        <is>
          <t>LIVE — wired</t>
        </is>
      </c>
      <c r="J202" s="17" t="n"/>
      <c r="K202" s="21" t="inlineStr">
        <is>
          <t>1/4</t>
        </is>
      </c>
      <c r="L202" s="21" t="inlineStr">
        <is>
          <t>OFF, 15m, 1h, 4h, D (5 options)</t>
        </is>
      </c>
      <c r="M202" s="21" t="inlineStr">
        <is>
          <t>15m</t>
        </is>
      </c>
      <c r="N202" s="21" t="inlineStr">
        <is>
          <t>TF selector</t>
        </is>
      </c>
      <c r="O202" s="21" t="inlineStr">
        <is>
          <t>FUNDING_GATE_FILTER_TF</t>
        </is>
      </c>
      <c r="P202" s="21" t="inlineStr">
        <is>
          <t>getattr(cfg,"FUNDING_GATE_FILTER_TF")</t>
        </is>
      </c>
      <c r="Q202" t="inlineStr">
        <is>
          <t>NO</t>
        </is>
      </c>
    </row>
    <row r="203">
      <c r="A203" s="17" t="n">
        <v>48</v>
      </c>
      <c r="B203" s="22" t="inlineStr">
        <is>
          <t>FUNDING_GATE_FILTER_TF</t>
        </is>
      </c>
      <c r="C203" s="23" t="inlineStr">
        <is>
          <t>1h</t>
        </is>
      </c>
      <c r="D203" s="20" t="inlineStr">
        <is>
          <t>Funding rate gate on FILTER_TF (perp funding). | Live read: `COOLDOWN_LOCKS_FILTER_TF', 'CRYPTO_SPIKE_FADE_THRESHOLD_PCT', 'DC_BREAK_FILTER_T`</t>
        </is>
      </c>
      <c r="E203" s="20" t="inlineStr">
        <is>
          <t>GLOBAL_CHECK</t>
        </is>
      </c>
      <c r="F203" s="17" t="inlineStr">
        <is>
          <t>GLOBAL_CHECK</t>
        </is>
      </c>
      <c r="G203" s="20" t="inlineStr">
        <is>
          <t>Funding gate</t>
        </is>
      </c>
      <c r="H203" s="17" t="inlineStr">
        <is>
          <t>GENERAL — uniform</t>
        </is>
      </c>
      <c r="I203" s="17" t="inlineStr">
        <is>
          <t>LIVE — wired</t>
        </is>
      </c>
      <c r="J203" s="17" t="n"/>
      <c r="K203" s="21" t="inlineStr">
        <is>
          <t>1/4</t>
        </is>
      </c>
      <c r="L203" s="21" t="inlineStr">
        <is>
          <t>OFF, 15m, 1h, 4h, D (5 options)</t>
        </is>
      </c>
      <c r="M203" s="21" t="inlineStr">
        <is>
          <t>15m</t>
        </is>
      </c>
      <c r="N203" s="21" t="inlineStr">
        <is>
          <t>TF selector</t>
        </is>
      </c>
      <c r="O203" s="21" t="inlineStr">
        <is>
          <t>FUNDING_GATE_FILTER_TF</t>
        </is>
      </c>
      <c r="P203" s="21" t="inlineStr">
        <is>
          <t>getattr(cfg,"FUNDING_GATE_FILTER_TF")</t>
        </is>
      </c>
      <c r="Q203" t="inlineStr">
        <is>
          <t>NO</t>
        </is>
      </c>
    </row>
    <row r="204">
      <c r="A204" s="17" t="n">
        <v>48</v>
      </c>
      <c r="B204" s="18" t="inlineStr">
        <is>
          <t>FUNDING_GATE_FILTER_TF</t>
        </is>
      </c>
      <c r="C204" s="19" t="inlineStr">
        <is>
          <t>15m</t>
        </is>
      </c>
      <c r="D204" s="20" t="inlineStr">
        <is>
          <t>Funding rate gate on FILTER_TF (perp funding). | Live read: `COOLDOWN_LOCKS_FILTER_TF', 'CRYPTO_SPIKE_FADE_THRESHOLD_PCT', 'DC_BREAK_FILTER_T`</t>
        </is>
      </c>
      <c r="E204" s="20" t="inlineStr">
        <is>
          <t>GLOBAL_CHECK</t>
        </is>
      </c>
      <c r="F204" s="17" t="inlineStr">
        <is>
          <t>GLOBAL_CHECK</t>
        </is>
      </c>
      <c r="G204" s="20" t="inlineStr">
        <is>
          <t>Funding gate</t>
        </is>
      </c>
      <c r="H204" s="17" t="inlineStr">
        <is>
          <t>GENERAL — uniform</t>
        </is>
      </c>
      <c r="I204" s="17" t="inlineStr">
        <is>
          <t>LIVE — wired</t>
        </is>
      </c>
      <c r="J204" s="17" t="n"/>
      <c r="K204" s="21" t="inlineStr">
        <is>
          <t>1/4</t>
        </is>
      </c>
      <c r="L204" s="21" t="inlineStr">
        <is>
          <t>OFF, 15m, 1h, 4h, D (5 options)</t>
        </is>
      </c>
      <c r="M204" s="21" t="inlineStr">
        <is>
          <t>15m</t>
        </is>
      </c>
      <c r="N204" s="21" t="inlineStr">
        <is>
          <t>TF selector</t>
        </is>
      </c>
      <c r="O204" s="21" t="inlineStr">
        <is>
          <t>FUNDING_GATE_FILTER_TF</t>
        </is>
      </c>
      <c r="P204" s="21" t="inlineStr">
        <is>
          <t>getattr(cfg,"FUNDING_GATE_FILTER_TF")</t>
        </is>
      </c>
      <c r="Q204" t="inlineStr">
        <is>
          <t>YES</t>
        </is>
      </c>
    </row>
    <row r="205">
      <c r="A205" s="17" t="n">
        <v>49</v>
      </c>
      <c r="B205" s="18" t="inlineStr">
        <is>
          <t>FUNDING_GATE_LONG_MAX</t>
        </is>
      </c>
      <c r="C205" s="19" t="inlineStr">
        <is>
          <t>0.0</t>
        </is>
      </c>
      <c r="D205" s="20" t="inlineStr">
        <is>
          <t>Max funding to allow longs (above blocks longs). | Live read: `LED', 'ENTRY_VOL_SPIKE_LOOKBACK', 'ENTRY_VOL_SPIKE_RATIO', 'ENTRY_WILLR_ENABLED'`</t>
        </is>
      </c>
      <c r="E205" s="20" t="inlineStr">
        <is>
          <t>ENTRY, GLOBAL_CHECK, STOCKS_EXIT</t>
        </is>
      </c>
      <c r="F205" s="17" t="inlineStr">
        <is>
          <t>ENTRY, GLOBAL_CHECK, STOCKS_EXIT</t>
        </is>
      </c>
      <c r="G205" s="20" t="inlineStr">
        <is>
          <t>Funding gate</t>
        </is>
      </c>
      <c r="H205" s="17" t="inlineStr">
        <is>
          <t>GENERAL — uniform</t>
        </is>
      </c>
      <c r="I205" s="17" t="inlineStr">
        <is>
          <t>LIVE — wired</t>
        </is>
      </c>
      <c r="J205" s="17" t="n"/>
      <c r="K205" s="21" t="inlineStr">
        <is>
          <t>—</t>
        </is>
      </c>
      <c r="L205" s="21" t="inlineStr">
        <is>
          <t>0.0, alt</t>
        </is>
      </c>
      <c r="M205" s="21" t="inlineStr">
        <is>
          <t>0.0</t>
        </is>
      </c>
      <c r="N205" s="21" t="inlineStr">
        <is>
          <t>param</t>
        </is>
      </c>
      <c r="O205" s="21" t="inlineStr">
        <is>
          <t>FUNDING_GATE_LONG_MAX</t>
        </is>
      </c>
      <c r="P205" s="21" t="inlineStr">
        <is>
          <t>getattr(cfg,"FUNDING_GATE_LONG_MAX")</t>
        </is>
      </c>
      <c r="Q205" t="inlineStr">
        <is>
          <t>YES</t>
        </is>
      </c>
    </row>
    <row r="206">
      <c r="A206" s="17" t="n">
        <v>49</v>
      </c>
      <c r="B206" s="22" t="inlineStr">
        <is>
          <t>FUNDING_GATE_LONG_MAX</t>
        </is>
      </c>
      <c r="C206" s="23" t="inlineStr">
        <is>
          <t>0.0_ALT</t>
        </is>
      </c>
      <c r="D206" s="20" t="inlineStr">
        <is>
          <t>Max funding to allow longs (above blocks longs). | Live read: `LED', 'ENTRY_VOL_SPIKE_LOOKBACK', 'ENTRY_VOL_SPIKE_RATIO', 'ENTRY_WILLR_ENABLED'`</t>
        </is>
      </c>
      <c r="E206" s="20" t="inlineStr">
        <is>
          <t>ENTRY, GLOBAL_CHECK, STOCKS_EXIT</t>
        </is>
      </c>
      <c r="F206" s="17" t="inlineStr">
        <is>
          <t>ENTRY, GLOBAL_CHECK, STOCKS_EXIT</t>
        </is>
      </c>
      <c r="G206" s="20" t="inlineStr">
        <is>
          <t>Funding gate</t>
        </is>
      </c>
      <c r="H206" s="17" t="inlineStr">
        <is>
          <t>GENERAL — uniform</t>
        </is>
      </c>
      <c r="I206" s="17" t="inlineStr">
        <is>
          <t>LIVE — wired</t>
        </is>
      </c>
      <c r="J206" s="17" t="n"/>
      <c r="K206" s="21" t="inlineStr">
        <is>
          <t>—</t>
        </is>
      </c>
      <c r="L206" s="21" t="inlineStr">
        <is>
          <t>0.0, alt</t>
        </is>
      </c>
      <c r="M206" s="21" t="inlineStr">
        <is>
          <t>0.0</t>
        </is>
      </c>
      <c r="N206" s="21" t="inlineStr">
        <is>
          <t>param</t>
        </is>
      </c>
      <c r="O206" s="21" t="inlineStr">
        <is>
          <t>FUNDING_GATE_LONG_MAX</t>
        </is>
      </c>
      <c r="P206" s="21" t="inlineStr">
        <is>
          <t>getattr(cfg,"FUNDING_GATE_LONG_MAX")</t>
        </is>
      </c>
      <c r="Q206" t="inlineStr">
        <is>
          <t>NO</t>
        </is>
      </c>
    </row>
    <row r="207">
      <c r="A207" s="17" t="n">
        <v>50</v>
      </c>
      <c r="B207" s="18" t="inlineStr">
        <is>
          <t>FUNDING_GATE_MTF_REQUIRED</t>
        </is>
      </c>
      <c r="C207" s="19" t="inlineStr">
        <is>
          <t>0.0</t>
        </is>
      </c>
      <c r="D207" s="20" t="inlineStr">
        <is>
          <t>Requires funding gate on N TFs. | Live read: `RY_WILLR_ENABLED', 'ENTRY_WILLR_LOOKBACK', 'ENTRY_WILLR_OB_THRESHOLD', 'ENTRY_WI`</t>
        </is>
      </c>
      <c r="E207" s="20" t="inlineStr">
        <is>
          <t>ENTRY, GLOBAL_CHECK, STOCKS_EXIT</t>
        </is>
      </c>
      <c r="F207" s="17" t="inlineStr">
        <is>
          <t>ENTRY, GLOBAL_CHECK, STOCKS_EXIT</t>
        </is>
      </c>
      <c r="G207" s="20" t="inlineStr">
        <is>
          <t>Funding gate</t>
        </is>
      </c>
      <c r="H207" s="17" t="inlineStr">
        <is>
          <t>GENERAL — uniform</t>
        </is>
      </c>
      <c r="I207" s="17" t="inlineStr">
        <is>
          <t>LIVE — wired</t>
        </is>
      </c>
      <c r="J207" s="17" t="n"/>
      <c r="K207" s="21" t="inlineStr">
        <is>
          <t>—</t>
        </is>
      </c>
      <c r="L207" s="21" t="inlineStr">
        <is>
          <t>0.0, alt</t>
        </is>
      </c>
      <c r="M207" s="21" t="inlineStr">
        <is>
          <t>0.0</t>
        </is>
      </c>
      <c r="N207" s="21" t="inlineStr">
        <is>
          <t>param</t>
        </is>
      </c>
      <c r="O207" s="21" t="inlineStr">
        <is>
          <t>FUNDING_GATE_MTF_REQUIRED</t>
        </is>
      </c>
      <c r="P207" s="21" t="inlineStr">
        <is>
          <t>getattr(cfg,"FUNDING_GATE_MTF_REQUIRED")</t>
        </is>
      </c>
      <c r="Q207" t="inlineStr">
        <is>
          <t>YES</t>
        </is>
      </c>
    </row>
    <row r="208">
      <c r="A208" s="17" t="n">
        <v>50</v>
      </c>
      <c r="B208" s="22" t="inlineStr">
        <is>
          <t>FUNDING_GATE_MTF_REQUIRED</t>
        </is>
      </c>
      <c r="C208" s="23" t="inlineStr">
        <is>
          <t>0.0_ALT</t>
        </is>
      </c>
      <c r="D208" s="20" t="inlineStr">
        <is>
          <t>Requires funding gate on N TFs. | Live read: `RY_WILLR_ENABLED', 'ENTRY_WILLR_LOOKBACK', 'ENTRY_WILLR_OB_THRESHOLD', 'ENTRY_WI`</t>
        </is>
      </c>
      <c r="E208" s="20" t="inlineStr">
        <is>
          <t>ENTRY, GLOBAL_CHECK, STOCKS_EXIT</t>
        </is>
      </c>
      <c r="F208" s="17" t="inlineStr">
        <is>
          <t>ENTRY, GLOBAL_CHECK, STOCKS_EXIT</t>
        </is>
      </c>
      <c r="G208" s="20" t="inlineStr">
        <is>
          <t>Funding gate</t>
        </is>
      </c>
      <c r="H208" s="17" t="inlineStr">
        <is>
          <t>GENERAL — uniform</t>
        </is>
      </c>
      <c r="I208" s="17" t="inlineStr">
        <is>
          <t>LIVE — wired</t>
        </is>
      </c>
      <c r="J208" s="17" t="n"/>
      <c r="K208" s="21" t="inlineStr">
        <is>
          <t>—</t>
        </is>
      </c>
      <c r="L208" s="21" t="inlineStr">
        <is>
          <t>0.0, alt</t>
        </is>
      </c>
      <c r="M208" s="21" t="inlineStr">
        <is>
          <t>0.0</t>
        </is>
      </c>
      <c r="N208" s="21" t="inlineStr">
        <is>
          <t>param</t>
        </is>
      </c>
      <c r="O208" s="21" t="inlineStr">
        <is>
          <t>FUNDING_GATE_MTF_REQUIRED</t>
        </is>
      </c>
      <c r="P208" s="21" t="inlineStr">
        <is>
          <t>getattr(cfg,"FUNDING_GATE_MTF_REQUIRED")</t>
        </is>
      </c>
      <c r="Q208" t="inlineStr">
        <is>
          <t>NO</t>
        </is>
      </c>
    </row>
    <row r="209">
      <c r="A209" s="17" t="n">
        <v>51</v>
      </c>
      <c r="B209" s="18" t="inlineStr">
        <is>
          <t>FUNDING_GATE_SHORT_MIN</t>
        </is>
      </c>
      <c r="C209" s="19" t="inlineStr">
        <is>
          <t>0.0</t>
        </is>
      </c>
      <c r="D209" s="20" t="inlineStr">
        <is>
          <t>Min funding to allow shorts. | Live read: `', 'ENTRY_WILLR_OS_THRESHOLD', 'ENTRY_WILLR_THRESHOLD', 'ENTRY_WT_CROSS_EVENT_EN`</t>
        </is>
      </c>
      <c r="E209" s="20" t="inlineStr">
        <is>
          <t>ENTRY, GLOBAL_CHECK, STOCKS_EXIT</t>
        </is>
      </c>
      <c r="F209" s="17" t="inlineStr">
        <is>
          <t>ENTRY, GLOBAL_CHECK, STOCKS_EXIT</t>
        </is>
      </c>
      <c r="G209" s="20" t="inlineStr">
        <is>
          <t>Funding gate</t>
        </is>
      </c>
      <c r="H209" s="17" t="inlineStr">
        <is>
          <t>GENERAL — uniform</t>
        </is>
      </c>
      <c r="I209" s="17" t="inlineStr">
        <is>
          <t>LIVE — wired</t>
        </is>
      </c>
      <c r="J209" s="17" t="n"/>
      <c r="K209" s="21" t="inlineStr">
        <is>
          <t>—</t>
        </is>
      </c>
      <c r="L209" s="21" t="inlineStr">
        <is>
          <t>0.0, alt</t>
        </is>
      </c>
      <c r="M209" s="21" t="inlineStr">
        <is>
          <t>0.0</t>
        </is>
      </c>
      <c r="N209" s="21" t="inlineStr">
        <is>
          <t>param</t>
        </is>
      </c>
      <c r="O209" s="21" t="inlineStr">
        <is>
          <t>FUNDING_GATE_SHORT_MIN</t>
        </is>
      </c>
      <c r="P209" s="21" t="inlineStr">
        <is>
          <t>getattr(cfg,"FUNDING_GATE_SHORT_MIN")</t>
        </is>
      </c>
      <c r="Q209" t="inlineStr">
        <is>
          <t>YES</t>
        </is>
      </c>
    </row>
    <row r="210">
      <c r="A210" s="17" t="n">
        <v>51</v>
      </c>
      <c r="B210" s="22" t="inlineStr">
        <is>
          <t>FUNDING_GATE_SHORT_MIN</t>
        </is>
      </c>
      <c r="C210" s="23" t="inlineStr">
        <is>
          <t>0.0_ALT</t>
        </is>
      </c>
      <c r="D210" s="20" t="inlineStr">
        <is>
          <t>Min funding to allow shorts. | Live read: `', 'ENTRY_WILLR_OS_THRESHOLD', 'ENTRY_WILLR_THRESHOLD', 'ENTRY_WT_CROSS_EVENT_EN`</t>
        </is>
      </c>
      <c r="E210" s="20" t="inlineStr">
        <is>
          <t>ENTRY, GLOBAL_CHECK, STOCKS_EXIT</t>
        </is>
      </c>
      <c r="F210" s="17" t="inlineStr">
        <is>
          <t>ENTRY, GLOBAL_CHECK, STOCKS_EXIT</t>
        </is>
      </c>
      <c r="G210" s="20" t="inlineStr">
        <is>
          <t>Funding gate</t>
        </is>
      </c>
      <c r="H210" s="17" t="inlineStr">
        <is>
          <t>GENERAL — uniform</t>
        </is>
      </c>
      <c r="I210" s="17" t="inlineStr">
        <is>
          <t>LIVE — wired</t>
        </is>
      </c>
      <c r="J210" s="17" t="n"/>
      <c r="K210" s="21" t="inlineStr">
        <is>
          <t>—</t>
        </is>
      </c>
      <c r="L210" s="21" t="inlineStr">
        <is>
          <t>0.0, alt</t>
        </is>
      </c>
      <c r="M210" s="21" t="inlineStr">
        <is>
          <t>0.0</t>
        </is>
      </c>
      <c r="N210" s="21" t="inlineStr">
        <is>
          <t>param</t>
        </is>
      </c>
      <c r="O210" s="21" t="inlineStr">
        <is>
          <t>FUNDING_GATE_SHORT_MIN</t>
        </is>
      </c>
      <c r="P210" s="21" t="inlineStr">
        <is>
          <t>getattr(cfg,"FUNDING_GATE_SHORT_MIN")</t>
        </is>
      </c>
      <c r="Q210" t="inlineStr">
        <is>
          <t>NO</t>
        </is>
      </c>
    </row>
    <row r="211">
      <c r="A211" s="17" t="n">
        <v>52</v>
      </c>
      <c r="B211" s="18" t="inlineStr">
        <is>
          <t>GOLDEN_RULE_BASE_USD</t>
        </is>
      </c>
      <c r="C211" s="19" t="inlineStr">
        <is>
          <t>0.0</t>
        </is>
      </c>
      <c r="D211" s="20" t="inlineStr">
        <is>
          <t>Golden Rule base notional USD. | Live read: `RY_WT_CROSS_EVENT_ENABLED', 'ENTRY_WT_CROSS_LOOKBACK', 'FIRST_OPEN_THROTTLE_ENAB`</t>
        </is>
      </c>
      <c r="E211" s="20" t="inlineStr">
        <is>
          <t>GLOBAL_CHECK, STOCKS_EXIT</t>
        </is>
      </c>
      <c r="F211" s="17" t="inlineStr">
        <is>
          <t>GLOBAL_CHECK, STOCKS_EXIT</t>
        </is>
      </c>
      <c r="G211" s="20" t="inlineStr">
        <is>
          <t>GOLDEN_RULE_BASE_USD</t>
        </is>
      </c>
      <c r="H211" s="17" t="inlineStr">
        <is>
          <t>GENERAL</t>
        </is>
      </c>
      <c r="I211" s="17" t="inlineStr">
        <is>
          <t>LIVE — wired</t>
        </is>
      </c>
      <c r="J211" s="17" t="n"/>
      <c r="K211" s="21" t="inlineStr">
        <is>
          <t>—</t>
        </is>
      </c>
      <c r="L211" s="21" t="inlineStr">
        <is>
          <t>0.0, alt</t>
        </is>
      </c>
      <c r="M211" s="21" t="inlineStr">
        <is>
          <t>0.0</t>
        </is>
      </c>
      <c r="N211" s="21" t="inlineStr">
        <is>
          <t>param</t>
        </is>
      </c>
      <c r="O211" s="21" t="inlineStr">
        <is>
          <t>GOLDEN_RULE_BASE_USD</t>
        </is>
      </c>
      <c r="P211" s="21" t="inlineStr">
        <is>
          <t>getattr(cfg,"GOLDEN_RULE_BASE_USD")</t>
        </is>
      </c>
      <c r="Q211" t="inlineStr">
        <is>
          <t>YES</t>
        </is>
      </c>
    </row>
    <row r="212">
      <c r="A212" s="17" t="n">
        <v>52</v>
      </c>
      <c r="B212" s="22" t="inlineStr">
        <is>
          <t>GOLDEN_RULE_BASE_USD</t>
        </is>
      </c>
      <c r="C212" s="23" t="inlineStr">
        <is>
          <t>0.0_ALT</t>
        </is>
      </c>
      <c r="D212" s="20" t="inlineStr">
        <is>
          <t>Golden Rule base notional USD. | Live read: `RY_WT_CROSS_EVENT_ENABLED', 'ENTRY_WT_CROSS_LOOKBACK', 'FIRST_OPEN_THROTTLE_ENAB`</t>
        </is>
      </c>
      <c r="E212" s="20" t="inlineStr">
        <is>
          <t>GLOBAL_CHECK, STOCKS_EXIT</t>
        </is>
      </c>
      <c r="F212" s="17" t="inlineStr">
        <is>
          <t>GLOBAL_CHECK, STOCKS_EXIT</t>
        </is>
      </c>
      <c r="G212" s="20" t="inlineStr">
        <is>
          <t>GOLDEN_RULE_BASE_USD</t>
        </is>
      </c>
      <c r="H212" s="17" t="inlineStr">
        <is>
          <t>GENERAL</t>
        </is>
      </c>
      <c r="I212" s="17" t="inlineStr">
        <is>
          <t>LIVE — wired</t>
        </is>
      </c>
      <c r="J212" s="17" t="n"/>
      <c r="K212" s="21" t="inlineStr">
        <is>
          <t>—</t>
        </is>
      </c>
      <c r="L212" s="21" t="inlineStr">
        <is>
          <t>0.0, alt</t>
        </is>
      </c>
      <c r="M212" s="21" t="inlineStr">
        <is>
          <t>0.0</t>
        </is>
      </c>
      <c r="N212" s="21" t="inlineStr">
        <is>
          <t>param</t>
        </is>
      </c>
      <c r="O212" s="21" t="inlineStr">
        <is>
          <t>GOLDEN_RULE_BASE_USD</t>
        </is>
      </c>
      <c r="P212" s="21" t="inlineStr">
        <is>
          <t>getattr(cfg,"GOLDEN_RULE_BASE_USD")</t>
        </is>
      </c>
      <c r="Q212" t="inlineStr">
        <is>
          <t>NO</t>
        </is>
      </c>
    </row>
    <row r="213">
      <c r="A213" s="24" t="n">
        <v>53</v>
      </c>
      <c r="B213" s="25" t="inlineStr">
        <is>
          <t>GOLDEN_RULE_ENFORCE_FILTER_TF</t>
        </is>
      </c>
      <c r="C213" s="23" t="inlineStr">
        <is>
          <t>OFF</t>
        </is>
      </c>
      <c r="D213" s="26" t="inlineStr">
        <is>
          <t>Golden Rule enforcement TF. | Live read: `SHOLD_PCT', 'DC_BREAK_FILTER_TF', 'DC_LOW4_BYPASS_USE_STANDARD', 'DC_MOMENTUM_BO`</t>
        </is>
      </c>
      <c r="E213" s="26" t="inlineStr">
        <is>
          <t>GLOBAL_CHECK</t>
        </is>
      </c>
      <c r="F213" s="24" t="inlineStr">
        <is>
          <t>GLOBAL_CHECK</t>
        </is>
      </c>
      <c r="G213" s="26" t="inlineStr">
        <is>
          <t>GOLDEN_RULE_ENFORCE</t>
        </is>
      </c>
      <c r="H213" s="24" t="inlineStr">
        <is>
          <t>SPECIFIC — only gated switches</t>
        </is>
      </c>
      <c r="I213" s="24" t="inlineStr">
        <is>
          <t>LIVE — wired</t>
        </is>
      </c>
      <c r="J213" s="24" t="n"/>
      <c r="K213" s="21" t="inlineStr">
        <is>
          <t>1/4</t>
        </is>
      </c>
      <c r="L213" s="21" t="inlineStr">
        <is>
          <t>OFF, 15m, 1h, 4h, D (5 options)</t>
        </is>
      </c>
      <c r="M213" s="21" t="inlineStr">
        <is>
          <t>15m</t>
        </is>
      </c>
      <c r="N213" s="21" t="inlineStr">
        <is>
          <t>TF selector</t>
        </is>
      </c>
      <c r="O213" s="21" t="inlineStr">
        <is>
          <t>GOLDEN_RULE_ENFORCE_FILTER_TF</t>
        </is>
      </c>
      <c r="P213" s="21" t="inlineStr">
        <is>
          <t>getattr(cfg,"GOLDEN_RULE_ENFORCE_FILTER_TF")</t>
        </is>
      </c>
      <c r="Q213" t="inlineStr">
        <is>
          <t>NO</t>
        </is>
      </c>
    </row>
    <row r="214">
      <c r="A214" s="24" t="n">
        <v>53</v>
      </c>
      <c r="B214" s="25" t="inlineStr">
        <is>
          <t>GOLDEN_RULE_ENFORCE_FILTER_TF</t>
        </is>
      </c>
      <c r="C214" s="23" t="inlineStr">
        <is>
          <t>D</t>
        </is>
      </c>
      <c r="D214" s="26" t="inlineStr">
        <is>
          <t>Golden Rule enforcement TF. | Live read: `SHOLD_PCT', 'DC_BREAK_FILTER_TF', 'DC_LOW4_BYPASS_USE_STANDARD', 'DC_MOMENTUM_BO`</t>
        </is>
      </c>
      <c r="E214" s="26" t="inlineStr">
        <is>
          <t>GLOBAL_CHECK</t>
        </is>
      </c>
      <c r="F214" s="24" t="inlineStr">
        <is>
          <t>GLOBAL_CHECK</t>
        </is>
      </c>
      <c r="G214" s="26" t="inlineStr">
        <is>
          <t>GOLDEN_RULE_ENFORCE</t>
        </is>
      </c>
      <c r="H214" s="24" t="inlineStr">
        <is>
          <t>SPECIFIC — only gated switches</t>
        </is>
      </c>
      <c r="I214" s="24" t="inlineStr">
        <is>
          <t>LIVE — wired</t>
        </is>
      </c>
      <c r="J214" s="24" t="n"/>
      <c r="K214" s="21" t="inlineStr">
        <is>
          <t>1/4</t>
        </is>
      </c>
      <c r="L214" s="21" t="inlineStr">
        <is>
          <t>OFF, 15m, 1h, 4h, D (5 options)</t>
        </is>
      </c>
      <c r="M214" s="21" t="inlineStr">
        <is>
          <t>15m</t>
        </is>
      </c>
      <c r="N214" s="21" t="inlineStr">
        <is>
          <t>TF selector</t>
        </is>
      </c>
      <c r="O214" s="21" t="inlineStr">
        <is>
          <t>GOLDEN_RULE_ENFORCE_FILTER_TF</t>
        </is>
      </c>
      <c r="P214" s="21" t="inlineStr">
        <is>
          <t>getattr(cfg,"GOLDEN_RULE_ENFORCE_FILTER_TF")</t>
        </is>
      </c>
      <c r="Q214" t="inlineStr">
        <is>
          <t>NO</t>
        </is>
      </c>
    </row>
    <row r="215">
      <c r="A215" s="24" t="n">
        <v>53</v>
      </c>
      <c r="B215" s="25" t="inlineStr">
        <is>
          <t>GOLDEN_RULE_ENFORCE_FILTER_TF</t>
        </is>
      </c>
      <c r="C215" s="23" t="inlineStr">
        <is>
          <t>4h</t>
        </is>
      </c>
      <c r="D215" s="26" t="inlineStr">
        <is>
          <t>Golden Rule enforcement TF. | Live read: `SHOLD_PCT', 'DC_BREAK_FILTER_TF', 'DC_LOW4_BYPASS_USE_STANDARD', 'DC_MOMENTUM_BO`</t>
        </is>
      </c>
      <c r="E215" s="26" t="inlineStr">
        <is>
          <t>GLOBAL_CHECK</t>
        </is>
      </c>
      <c r="F215" s="24" t="inlineStr">
        <is>
          <t>GLOBAL_CHECK</t>
        </is>
      </c>
      <c r="G215" s="26" t="inlineStr">
        <is>
          <t>GOLDEN_RULE_ENFORCE</t>
        </is>
      </c>
      <c r="H215" s="24" t="inlineStr">
        <is>
          <t>SPECIFIC — only gated switches</t>
        </is>
      </c>
      <c r="I215" s="24" t="inlineStr">
        <is>
          <t>LIVE — wired</t>
        </is>
      </c>
      <c r="J215" s="24" t="n"/>
      <c r="K215" s="21" t="inlineStr">
        <is>
          <t>1/4</t>
        </is>
      </c>
      <c r="L215" s="21" t="inlineStr">
        <is>
          <t>OFF, 15m, 1h, 4h, D (5 options)</t>
        </is>
      </c>
      <c r="M215" s="21" t="inlineStr">
        <is>
          <t>15m</t>
        </is>
      </c>
      <c r="N215" s="21" t="inlineStr">
        <is>
          <t>TF selector</t>
        </is>
      </c>
      <c r="O215" s="21" t="inlineStr">
        <is>
          <t>GOLDEN_RULE_ENFORCE_FILTER_TF</t>
        </is>
      </c>
      <c r="P215" s="21" t="inlineStr">
        <is>
          <t>getattr(cfg,"GOLDEN_RULE_ENFORCE_FILTER_TF")</t>
        </is>
      </c>
      <c r="Q215" t="inlineStr">
        <is>
          <t>NO</t>
        </is>
      </c>
    </row>
    <row r="216">
      <c r="A216" s="24" t="n">
        <v>53</v>
      </c>
      <c r="B216" s="25" t="inlineStr">
        <is>
          <t>GOLDEN_RULE_ENFORCE_FILTER_TF</t>
        </is>
      </c>
      <c r="C216" s="23" t="inlineStr">
        <is>
          <t>1h</t>
        </is>
      </c>
      <c r="D216" s="26" t="inlineStr">
        <is>
          <t>Golden Rule enforcement TF. | Live read: `SHOLD_PCT', 'DC_BREAK_FILTER_TF', 'DC_LOW4_BYPASS_USE_STANDARD', 'DC_MOMENTUM_BO`</t>
        </is>
      </c>
      <c r="E216" s="26" t="inlineStr">
        <is>
          <t>GLOBAL_CHECK</t>
        </is>
      </c>
      <c r="F216" s="24" t="inlineStr">
        <is>
          <t>GLOBAL_CHECK</t>
        </is>
      </c>
      <c r="G216" s="26" t="inlineStr">
        <is>
          <t>GOLDEN_RULE_ENFORCE</t>
        </is>
      </c>
      <c r="H216" s="24" t="inlineStr">
        <is>
          <t>SPECIFIC — only gated switches</t>
        </is>
      </c>
      <c r="I216" s="24" t="inlineStr">
        <is>
          <t>LIVE — wired</t>
        </is>
      </c>
      <c r="J216" s="24" t="n"/>
      <c r="K216" s="21" t="inlineStr">
        <is>
          <t>1/4</t>
        </is>
      </c>
      <c r="L216" s="21" t="inlineStr">
        <is>
          <t>OFF, 15m, 1h, 4h, D (5 options)</t>
        </is>
      </c>
      <c r="M216" s="21" t="inlineStr">
        <is>
          <t>15m</t>
        </is>
      </c>
      <c r="N216" s="21" t="inlineStr">
        <is>
          <t>TF selector</t>
        </is>
      </c>
      <c r="O216" s="21" t="inlineStr">
        <is>
          <t>GOLDEN_RULE_ENFORCE_FILTER_TF</t>
        </is>
      </c>
      <c r="P216" s="21" t="inlineStr">
        <is>
          <t>getattr(cfg,"GOLDEN_RULE_ENFORCE_FILTER_TF")</t>
        </is>
      </c>
      <c r="Q216" t="inlineStr">
        <is>
          <t>NO</t>
        </is>
      </c>
    </row>
    <row r="217">
      <c r="A217" s="24" t="n">
        <v>53</v>
      </c>
      <c r="B217" s="27" t="inlineStr">
        <is>
          <t>GOLDEN_RULE_ENFORCE_FILTER_TF</t>
        </is>
      </c>
      <c r="C217" s="19" t="inlineStr">
        <is>
          <t>15m</t>
        </is>
      </c>
      <c r="D217" s="26" t="inlineStr">
        <is>
          <t>Golden Rule enforcement TF. | Live read: `SHOLD_PCT', 'DC_BREAK_FILTER_TF', 'DC_LOW4_BYPASS_USE_STANDARD', 'DC_MOMENTUM_BO`</t>
        </is>
      </c>
      <c r="E217" s="26" t="inlineStr">
        <is>
          <t>GLOBAL_CHECK</t>
        </is>
      </c>
      <c r="F217" s="24" t="inlineStr">
        <is>
          <t>GLOBAL_CHECK</t>
        </is>
      </c>
      <c r="G217" s="26" t="inlineStr">
        <is>
          <t>GOLDEN_RULE_ENFORCE</t>
        </is>
      </c>
      <c r="H217" s="24" t="inlineStr">
        <is>
          <t>SPECIFIC — only gated switches</t>
        </is>
      </c>
      <c r="I217" s="24" t="inlineStr">
        <is>
          <t>LIVE — wired</t>
        </is>
      </c>
      <c r="J217" s="24" t="n"/>
      <c r="K217" s="21" t="inlineStr">
        <is>
          <t>1/4</t>
        </is>
      </c>
      <c r="L217" s="21" t="inlineStr">
        <is>
          <t>OFF, 15m, 1h, 4h, D (5 options)</t>
        </is>
      </c>
      <c r="M217" s="21" t="inlineStr">
        <is>
          <t>15m</t>
        </is>
      </c>
      <c r="N217" s="21" t="inlineStr">
        <is>
          <t>TF selector</t>
        </is>
      </c>
      <c r="O217" s="21" t="inlineStr">
        <is>
          <t>GOLDEN_RULE_ENFORCE_FILTER_TF</t>
        </is>
      </c>
      <c r="P217" s="21" t="inlineStr">
        <is>
          <t>getattr(cfg,"GOLDEN_RULE_ENFORCE_FILTER_TF")</t>
        </is>
      </c>
      <c r="Q217" t="inlineStr">
        <is>
          <t>YES</t>
        </is>
      </c>
    </row>
    <row r="218">
      <c r="A218" s="24" t="n">
        <v>54</v>
      </c>
      <c r="B218" s="25" t="inlineStr">
        <is>
          <t>GOLDEN_RULE_HTF_VOTE_FILTER_TF</t>
        </is>
      </c>
      <c r="C218" s="23" t="inlineStr">
        <is>
          <t>OFF</t>
        </is>
      </c>
      <c r="D218" s="26" t="inlineStr">
        <is>
          <t>Golden Rule HTF vote TF. | Live read: `'DC_LOW4_BYPASS_USE_STANDARD', 'DC_MOMENTUM_BOTA_SCORER_FILTER_TF', 'DC_MOMENT_S`</t>
        </is>
      </c>
      <c r="E218" s="26" t="inlineStr">
        <is>
          <t>GLOBAL_CHECK</t>
        </is>
      </c>
      <c r="F218" s="24" t="inlineStr">
        <is>
          <t>GLOBAL_CHECK</t>
        </is>
      </c>
      <c r="G218" s="26" t="inlineStr">
        <is>
          <t>GOLDEN_RULE_HTF_VOTE</t>
        </is>
      </c>
      <c r="H218" s="24" t="inlineStr">
        <is>
          <t>SPECIFIC — only gated switches</t>
        </is>
      </c>
      <c r="I218" s="24" t="inlineStr">
        <is>
          <t>LIVE — wired</t>
        </is>
      </c>
      <c r="J218" s="24" t="n"/>
      <c r="K218" s="21" t="inlineStr">
        <is>
          <t>1/4</t>
        </is>
      </c>
      <c r="L218" s="21" t="inlineStr">
        <is>
          <t>OFF, 15m, 1h, 4h, D (5 options)</t>
        </is>
      </c>
      <c r="M218" s="21" t="inlineStr">
        <is>
          <t>15m</t>
        </is>
      </c>
      <c r="N218" s="21" t="inlineStr">
        <is>
          <t>TF selector</t>
        </is>
      </c>
      <c r="O218" s="21" t="inlineStr">
        <is>
          <t>GOLDEN_RULE_HTF_VOTE_FILTER_TF</t>
        </is>
      </c>
      <c r="P218" s="21" t="inlineStr">
        <is>
          <t>getattr(cfg,"GOLDEN_RULE_HTF_VOTE_FILTER_TF")</t>
        </is>
      </c>
      <c r="Q218" t="inlineStr">
        <is>
          <t>NO</t>
        </is>
      </c>
    </row>
    <row r="219">
      <c r="A219" s="24" t="n">
        <v>54</v>
      </c>
      <c r="B219" s="25" t="inlineStr">
        <is>
          <t>GOLDEN_RULE_HTF_VOTE_FILTER_TF</t>
        </is>
      </c>
      <c r="C219" s="23" t="inlineStr">
        <is>
          <t>D</t>
        </is>
      </c>
      <c r="D219" s="26" t="inlineStr">
        <is>
          <t>Golden Rule HTF vote TF. | Live read: `'DC_LOW4_BYPASS_USE_STANDARD', 'DC_MOMENTUM_BOTA_SCORER_FILTER_TF', 'DC_MOMENT_S`</t>
        </is>
      </c>
      <c r="E219" s="26" t="inlineStr">
        <is>
          <t>GLOBAL_CHECK</t>
        </is>
      </c>
      <c r="F219" s="24" t="inlineStr">
        <is>
          <t>GLOBAL_CHECK</t>
        </is>
      </c>
      <c r="G219" s="26" t="inlineStr">
        <is>
          <t>GOLDEN_RULE_HTF_VOTE</t>
        </is>
      </c>
      <c r="H219" s="24" t="inlineStr">
        <is>
          <t>SPECIFIC — only gated switches</t>
        </is>
      </c>
      <c r="I219" s="24" t="inlineStr">
        <is>
          <t>LIVE — wired</t>
        </is>
      </c>
      <c r="J219" s="24" t="n"/>
      <c r="K219" s="21" t="inlineStr">
        <is>
          <t>1/4</t>
        </is>
      </c>
      <c r="L219" s="21" t="inlineStr">
        <is>
          <t>OFF, 15m, 1h, 4h, D (5 options)</t>
        </is>
      </c>
      <c r="M219" s="21" t="inlineStr">
        <is>
          <t>15m</t>
        </is>
      </c>
      <c r="N219" s="21" t="inlineStr">
        <is>
          <t>TF selector</t>
        </is>
      </c>
      <c r="O219" s="21" t="inlineStr">
        <is>
          <t>GOLDEN_RULE_HTF_VOTE_FILTER_TF</t>
        </is>
      </c>
      <c r="P219" s="21" t="inlineStr">
        <is>
          <t>getattr(cfg,"GOLDEN_RULE_HTF_VOTE_FILTER_TF")</t>
        </is>
      </c>
      <c r="Q219" t="inlineStr">
        <is>
          <t>NO</t>
        </is>
      </c>
    </row>
    <row r="220">
      <c r="A220" s="24" t="n">
        <v>54</v>
      </c>
      <c r="B220" s="25" t="inlineStr">
        <is>
          <t>GOLDEN_RULE_HTF_VOTE_FILTER_TF</t>
        </is>
      </c>
      <c r="C220" s="23" t="inlineStr">
        <is>
          <t>4h</t>
        </is>
      </c>
      <c r="D220" s="26" t="inlineStr">
        <is>
          <t>Golden Rule HTF vote TF. | Live read: `'DC_LOW4_BYPASS_USE_STANDARD', 'DC_MOMENTUM_BOTA_SCORER_FILTER_TF', 'DC_MOMENT_S`</t>
        </is>
      </c>
      <c r="E220" s="26" t="inlineStr">
        <is>
          <t>GLOBAL_CHECK</t>
        </is>
      </c>
      <c r="F220" s="24" t="inlineStr">
        <is>
          <t>GLOBAL_CHECK</t>
        </is>
      </c>
      <c r="G220" s="26" t="inlineStr">
        <is>
          <t>GOLDEN_RULE_HTF_VOTE</t>
        </is>
      </c>
      <c r="H220" s="24" t="inlineStr">
        <is>
          <t>SPECIFIC — only gated switches</t>
        </is>
      </c>
      <c r="I220" s="24" t="inlineStr">
        <is>
          <t>LIVE — wired</t>
        </is>
      </c>
      <c r="J220" s="24" t="n"/>
      <c r="K220" s="21" t="inlineStr">
        <is>
          <t>1/4</t>
        </is>
      </c>
      <c r="L220" s="21" t="inlineStr">
        <is>
          <t>OFF, 15m, 1h, 4h, D (5 options)</t>
        </is>
      </c>
      <c r="M220" s="21" t="inlineStr">
        <is>
          <t>15m</t>
        </is>
      </c>
      <c r="N220" s="21" t="inlineStr">
        <is>
          <t>TF selector</t>
        </is>
      </c>
      <c r="O220" s="21" t="inlineStr">
        <is>
          <t>GOLDEN_RULE_HTF_VOTE_FILTER_TF</t>
        </is>
      </c>
      <c r="P220" s="21" t="inlineStr">
        <is>
          <t>getattr(cfg,"GOLDEN_RULE_HTF_VOTE_FILTER_TF")</t>
        </is>
      </c>
      <c r="Q220" t="inlineStr">
        <is>
          <t>NO</t>
        </is>
      </c>
    </row>
    <row r="221">
      <c r="A221" s="24" t="n">
        <v>54</v>
      </c>
      <c r="B221" s="25" t="inlineStr">
        <is>
          <t>GOLDEN_RULE_HTF_VOTE_FILTER_TF</t>
        </is>
      </c>
      <c r="C221" s="23" t="inlineStr">
        <is>
          <t>1h</t>
        </is>
      </c>
      <c r="D221" s="26" t="inlineStr">
        <is>
          <t>Golden Rule HTF vote TF. | Live read: `'DC_LOW4_BYPASS_USE_STANDARD', 'DC_MOMENTUM_BOTA_SCORER_FILTER_TF', 'DC_MOMENT_S`</t>
        </is>
      </c>
      <c r="E221" s="26" t="inlineStr">
        <is>
          <t>GLOBAL_CHECK</t>
        </is>
      </c>
      <c r="F221" s="24" t="inlineStr">
        <is>
          <t>GLOBAL_CHECK</t>
        </is>
      </c>
      <c r="G221" s="26" t="inlineStr">
        <is>
          <t>GOLDEN_RULE_HTF_VOTE</t>
        </is>
      </c>
      <c r="H221" s="24" t="inlineStr">
        <is>
          <t>SPECIFIC — only gated switches</t>
        </is>
      </c>
      <c r="I221" s="24" t="inlineStr">
        <is>
          <t>LIVE — wired</t>
        </is>
      </c>
      <c r="J221" s="24" t="n"/>
      <c r="K221" s="21" t="inlineStr">
        <is>
          <t>1/4</t>
        </is>
      </c>
      <c r="L221" s="21" t="inlineStr">
        <is>
          <t>OFF, 15m, 1h, 4h, D (5 options)</t>
        </is>
      </c>
      <c r="M221" s="21" t="inlineStr">
        <is>
          <t>15m</t>
        </is>
      </c>
      <c r="N221" s="21" t="inlineStr">
        <is>
          <t>TF selector</t>
        </is>
      </c>
      <c r="O221" s="21" t="inlineStr">
        <is>
          <t>GOLDEN_RULE_HTF_VOTE_FILTER_TF</t>
        </is>
      </c>
      <c r="P221" s="21" t="inlineStr">
        <is>
          <t>getattr(cfg,"GOLDEN_RULE_HTF_VOTE_FILTER_TF")</t>
        </is>
      </c>
      <c r="Q221" t="inlineStr">
        <is>
          <t>NO</t>
        </is>
      </c>
    </row>
    <row r="222">
      <c r="A222" s="24" t="n">
        <v>54</v>
      </c>
      <c r="B222" s="27" t="inlineStr">
        <is>
          <t>GOLDEN_RULE_HTF_VOTE_FILTER_TF</t>
        </is>
      </c>
      <c r="C222" s="19" t="inlineStr">
        <is>
          <t>15m</t>
        </is>
      </c>
      <c r="D222" s="26" t="inlineStr">
        <is>
          <t>Golden Rule HTF vote TF. | Live read: `'DC_LOW4_BYPASS_USE_STANDARD', 'DC_MOMENTUM_BOTA_SCORER_FILTER_TF', 'DC_MOMENT_S`</t>
        </is>
      </c>
      <c r="E222" s="26" t="inlineStr">
        <is>
          <t>GLOBAL_CHECK</t>
        </is>
      </c>
      <c r="F222" s="24" t="inlineStr">
        <is>
          <t>GLOBAL_CHECK</t>
        </is>
      </c>
      <c r="G222" s="26" t="inlineStr">
        <is>
          <t>GOLDEN_RULE_HTF_VOTE</t>
        </is>
      </c>
      <c r="H222" s="24" t="inlineStr">
        <is>
          <t>SPECIFIC — only gated switches</t>
        </is>
      </c>
      <c r="I222" s="24" t="inlineStr">
        <is>
          <t>LIVE — wired</t>
        </is>
      </c>
      <c r="J222" s="24" t="n"/>
      <c r="K222" s="21" t="inlineStr">
        <is>
          <t>1/4</t>
        </is>
      </c>
      <c r="L222" s="21" t="inlineStr">
        <is>
          <t>OFF, 15m, 1h, 4h, D (5 options)</t>
        </is>
      </c>
      <c r="M222" s="21" t="inlineStr">
        <is>
          <t>15m</t>
        </is>
      </c>
      <c r="N222" s="21" t="inlineStr">
        <is>
          <t>TF selector</t>
        </is>
      </c>
      <c r="O222" s="21" t="inlineStr">
        <is>
          <t>GOLDEN_RULE_HTF_VOTE_FILTER_TF</t>
        </is>
      </c>
      <c r="P222" s="21" t="inlineStr">
        <is>
          <t>getattr(cfg,"GOLDEN_RULE_HTF_VOTE_FILTER_TF")</t>
        </is>
      </c>
      <c r="Q222" t="inlineStr">
        <is>
          <t>YES</t>
        </is>
      </c>
    </row>
    <row r="223">
      <c r="A223" s="17" t="n">
        <v>55</v>
      </c>
      <c r="B223" s="18" t="inlineStr">
        <is>
          <t>GR_FILTER_ALL_ENTRIES</t>
        </is>
      </c>
      <c r="C223" s="19" t="inlineStr">
        <is>
          <t>0.0</t>
        </is>
      </c>
      <c r="D223" s="20" t="inlineStr">
        <is>
          <t>When True, Golden Rule filters ALL entries (otherwise only breakouts). | Live read: `G_GATE_MTF_REQUIRED', 'FUNDING_GATE_MTF_SHORT_MAX_BEAR_TFS', 'FUNDING_GATE_SHORT`</t>
        </is>
      </c>
      <c r="E223" s="20" t="inlineStr">
        <is>
          <t>GLOBAL_CHECK, STOCKS_EXIT</t>
        </is>
      </c>
      <c r="F223" s="17" t="inlineStr">
        <is>
          <t>GLOBAL_CHECK, STOCKS_EXIT</t>
        </is>
      </c>
      <c r="G223" s="20" t="inlineStr">
        <is>
          <t>GR_FILTER_ALL_ENTRIES</t>
        </is>
      </c>
      <c r="H223" s="17" t="inlineStr">
        <is>
          <t>GENERAL — uniform</t>
        </is>
      </c>
      <c r="I223" s="17" t="inlineStr">
        <is>
          <t>LIVE — wired</t>
        </is>
      </c>
      <c r="J223" s="17" t="n"/>
      <c r="K223" s="21" t="inlineStr">
        <is>
          <t>—</t>
        </is>
      </c>
      <c r="L223" s="21" t="inlineStr">
        <is>
          <t>0.0, alt</t>
        </is>
      </c>
      <c r="M223" s="21" t="inlineStr">
        <is>
          <t>0.0</t>
        </is>
      </c>
      <c r="N223" s="21" t="inlineStr">
        <is>
          <t>param</t>
        </is>
      </c>
      <c r="O223" s="21" t="inlineStr">
        <is>
          <t>GR_FILTER_ALL_ENTRIES</t>
        </is>
      </c>
      <c r="P223" s="21" t="inlineStr">
        <is>
          <t>getattr(cfg,"GR_FILTER_ALL_ENTRIES")</t>
        </is>
      </c>
      <c r="Q223" t="inlineStr">
        <is>
          <t>YES</t>
        </is>
      </c>
    </row>
    <row r="224">
      <c r="A224" s="17" t="n">
        <v>55</v>
      </c>
      <c r="B224" s="22" t="inlineStr">
        <is>
          <t>GR_FILTER_ALL_ENTRIES</t>
        </is>
      </c>
      <c r="C224" s="23" t="inlineStr">
        <is>
          <t>0.0_ALT</t>
        </is>
      </c>
      <c r="D224" s="20" t="inlineStr">
        <is>
          <t>When True, Golden Rule filters ALL entries (otherwise only breakouts). | Live read: `G_GATE_MTF_REQUIRED', 'FUNDING_GATE_MTF_SHORT_MAX_BEAR_TFS', 'FUNDING_GATE_SHORT`</t>
        </is>
      </c>
      <c r="E224" s="20" t="inlineStr">
        <is>
          <t>GLOBAL_CHECK, STOCKS_EXIT</t>
        </is>
      </c>
      <c r="F224" s="17" t="inlineStr">
        <is>
          <t>GLOBAL_CHECK, STOCKS_EXIT</t>
        </is>
      </c>
      <c r="G224" s="20" t="inlineStr">
        <is>
          <t>GR_FILTER_ALL_ENTRIES</t>
        </is>
      </c>
      <c r="H224" s="17" t="inlineStr">
        <is>
          <t>GENERAL — uniform</t>
        </is>
      </c>
      <c r="I224" s="17" t="inlineStr">
        <is>
          <t>LIVE — wired</t>
        </is>
      </c>
      <c r="J224" s="17" t="n"/>
      <c r="K224" s="21" t="inlineStr">
        <is>
          <t>—</t>
        </is>
      </c>
      <c r="L224" s="21" t="inlineStr">
        <is>
          <t>0.0, alt</t>
        </is>
      </c>
      <c r="M224" s="21" t="inlineStr">
        <is>
          <t>0.0</t>
        </is>
      </c>
      <c r="N224" s="21" t="inlineStr">
        <is>
          <t>param</t>
        </is>
      </c>
      <c r="O224" s="21" t="inlineStr">
        <is>
          <t>GR_FILTER_ALL_ENTRIES</t>
        </is>
      </c>
      <c r="P224" s="21" t="inlineStr">
        <is>
          <t>getattr(cfg,"GR_FILTER_ALL_ENTRIES")</t>
        </is>
      </c>
      <c r="Q224" t="inlineStr">
        <is>
          <t>NO</t>
        </is>
      </c>
    </row>
    <row r="225">
      <c r="A225" s="17" t="n">
        <v>56</v>
      </c>
      <c r="B225" s="18" t="inlineStr">
        <is>
          <t>GR_FILTER_VEC_ENABLED</t>
        </is>
      </c>
      <c r="C225" s="19" t="inlineStr">
        <is>
          <t>False</t>
        </is>
      </c>
      <c r="D225" s="20" t="inlineStr">
        <is>
          <t>Vector Golden Rule filter enabled. | Live read: `C_MOMENTUM_BOTA_SCORER_FILTER_TF', 'DC_MOMENT_STRONG_THRESHOLD', 'DELTA_ENGINE_F`</t>
        </is>
      </c>
      <c r="E225" s="20" t="inlineStr">
        <is>
          <t>GLOBAL_CHECK</t>
        </is>
      </c>
      <c r="F225" s="17" t="inlineStr">
        <is>
          <t>GLOBAL_CHECK</t>
        </is>
      </c>
      <c r="G225" s="20" t="inlineStr">
        <is>
          <t>GR_FILTER_VEC_ENABLED</t>
        </is>
      </c>
      <c r="H225" s="17" t="inlineStr">
        <is>
          <t>GENERAL</t>
        </is>
      </c>
      <c r="I225" s="17" t="inlineStr">
        <is>
          <t>LIVE — wired</t>
        </is>
      </c>
      <c r="J225" s="17" t="n"/>
      <c r="K225" s="21" t="inlineStr">
        <is>
          <t>—</t>
        </is>
      </c>
      <c r="L225" s="21" t="inlineStr">
        <is>
          <t>False, True (2)</t>
        </is>
      </c>
      <c r="M225" s="21" t="inlineStr">
        <is>
          <t>False</t>
        </is>
      </c>
      <c r="N225" s="21" t="inlineStr">
        <is>
          <t>bool gate</t>
        </is>
      </c>
      <c r="O225" s="21" t="inlineStr">
        <is>
          <t>GR_FILTER_VEC_ENABLED</t>
        </is>
      </c>
      <c r="P225" s="21" t="inlineStr">
        <is>
          <t>getattr(cfg,"GR_FILTER_VEC_ENABLED")</t>
        </is>
      </c>
      <c r="Q225" t="inlineStr">
        <is>
          <t>YES</t>
        </is>
      </c>
    </row>
    <row r="226">
      <c r="A226" s="17" t="n">
        <v>56</v>
      </c>
      <c r="B226" s="22" t="inlineStr">
        <is>
          <t>GR_FILTER_VEC_ENABLED</t>
        </is>
      </c>
      <c r="C226" s="23" t="inlineStr">
        <is>
          <t>True</t>
        </is>
      </c>
      <c r="D226" s="20" t="inlineStr">
        <is>
          <t>Vector Golden Rule filter enabled. | Live read: `C_MOMENTUM_BOTA_SCORER_FILTER_TF', 'DC_MOMENT_STRONG_THRESHOLD', 'DELTA_ENGINE_F`</t>
        </is>
      </c>
      <c r="E226" s="20" t="inlineStr">
        <is>
          <t>GLOBAL_CHECK</t>
        </is>
      </c>
      <c r="F226" s="17" t="inlineStr">
        <is>
          <t>GLOBAL_CHECK</t>
        </is>
      </c>
      <c r="G226" s="20" t="inlineStr">
        <is>
          <t>GR_FILTER_VEC_ENABLED</t>
        </is>
      </c>
      <c r="H226" s="17" t="inlineStr">
        <is>
          <t>GENERAL</t>
        </is>
      </c>
      <c r="I226" s="17" t="inlineStr">
        <is>
          <t>LIVE — wired</t>
        </is>
      </c>
      <c r="J226" s="17" t="n"/>
      <c r="K226" s="21" t="inlineStr">
        <is>
          <t>—</t>
        </is>
      </c>
      <c r="L226" s="21" t="inlineStr">
        <is>
          <t>False, True (2)</t>
        </is>
      </c>
      <c r="M226" s="21" t="inlineStr">
        <is>
          <t>False</t>
        </is>
      </c>
      <c r="N226" s="21" t="inlineStr">
        <is>
          <t>bool gate</t>
        </is>
      </c>
      <c r="O226" s="21" t="inlineStr">
        <is>
          <t>GR_FILTER_VEC_ENABLED</t>
        </is>
      </c>
      <c r="P226" s="21" t="inlineStr">
        <is>
          <t>getattr(cfg,"GR_FILTER_VEC_ENABLED")</t>
        </is>
      </c>
      <c r="Q226" t="inlineStr">
        <is>
          <t>NO</t>
        </is>
      </c>
    </row>
    <row r="227">
      <c r="A227" s="24" t="n">
        <v>57</v>
      </c>
      <c r="B227" s="25" t="inlineStr">
        <is>
          <t>GR_FILTER_VEC_FILTER_TF</t>
        </is>
      </c>
      <c r="C227" s="23" t="inlineStr">
        <is>
          <t>OFF</t>
        </is>
      </c>
      <c r="D227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7" s="26" t="inlineStr">
        <is>
          <t>GLOBAL_CHECK</t>
        </is>
      </c>
      <c r="F227" s="24" t="inlineStr">
        <is>
          <t>GLOBAL_CHECK</t>
        </is>
      </c>
      <c r="G227" s="26" t="inlineStr">
        <is>
          <t>GR_FILTER_VEC</t>
        </is>
      </c>
      <c r="H227" s="24" t="inlineStr">
        <is>
          <t>SPECIFIC — only gated switches</t>
        </is>
      </c>
      <c r="I227" s="24" t="inlineStr">
        <is>
          <t>LIVE — wired</t>
        </is>
      </c>
      <c r="J227" s="24" t="n"/>
      <c r="K227" s="21" t="inlineStr">
        <is>
          <t>1/4</t>
        </is>
      </c>
      <c r="L227" s="21" t="inlineStr">
        <is>
          <t>OFF, 15m, 1h, 4h, D (5 options)</t>
        </is>
      </c>
      <c r="M227" s="21" t="inlineStr">
        <is>
          <t>15m</t>
        </is>
      </c>
      <c r="N227" s="21" t="inlineStr">
        <is>
          <t>TF selector</t>
        </is>
      </c>
      <c r="O227" s="21" t="inlineStr">
        <is>
          <t>GR_FILTER_VEC_FILTER_TF</t>
        </is>
      </c>
      <c r="P227" s="21" t="inlineStr">
        <is>
          <t>getattr(cfg,"GR_FILTER_VEC_FILTER_TF")</t>
        </is>
      </c>
      <c r="Q227" t="inlineStr">
        <is>
          <t>NO</t>
        </is>
      </c>
    </row>
    <row r="228">
      <c r="A228" s="24" t="n">
        <v>57</v>
      </c>
      <c r="B228" s="25" t="inlineStr">
        <is>
          <t>GR_FILTER_VEC_FILTER_TF</t>
        </is>
      </c>
      <c r="C228" s="23" t="inlineStr">
        <is>
          <t>D</t>
        </is>
      </c>
      <c r="D228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8" s="26" t="inlineStr">
        <is>
          <t>GLOBAL_CHECK</t>
        </is>
      </c>
      <c r="F228" s="24" t="inlineStr">
        <is>
          <t>GLOBAL_CHECK</t>
        </is>
      </c>
      <c r="G228" s="26" t="inlineStr">
        <is>
          <t>GR_FILTER_VEC</t>
        </is>
      </c>
      <c r="H228" s="24" t="inlineStr">
        <is>
          <t>SPECIFIC — only gated switches</t>
        </is>
      </c>
      <c r="I228" s="24" t="inlineStr">
        <is>
          <t>LIVE — wired</t>
        </is>
      </c>
      <c r="J228" s="24" t="n"/>
      <c r="K228" s="21" t="inlineStr">
        <is>
          <t>1/4</t>
        </is>
      </c>
      <c r="L228" s="21" t="inlineStr">
        <is>
          <t>OFF, 15m, 1h, 4h, D (5 options)</t>
        </is>
      </c>
      <c r="M228" s="21" t="inlineStr">
        <is>
          <t>15m</t>
        </is>
      </c>
      <c r="N228" s="21" t="inlineStr">
        <is>
          <t>TF selector</t>
        </is>
      </c>
      <c r="O228" s="21" t="inlineStr">
        <is>
          <t>GR_FILTER_VEC_FILTER_TF</t>
        </is>
      </c>
      <c r="P228" s="21" t="inlineStr">
        <is>
          <t>getattr(cfg,"GR_FILTER_VEC_FILTER_TF")</t>
        </is>
      </c>
      <c r="Q228" t="inlineStr">
        <is>
          <t>NO</t>
        </is>
      </c>
    </row>
    <row r="229">
      <c r="A229" s="24" t="n">
        <v>57</v>
      </c>
      <c r="B229" s="25" t="inlineStr">
        <is>
          <t>GR_FILTER_VEC_FILTER_TF</t>
        </is>
      </c>
      <c r="C229" s="23" t="inlineStr">
        <is>
          <t>4h</t>
        </is>
      </c>
      <c r="D229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9" s="26" t="inlineStr">
        <is>
          <t>GLOBAL_CHECK</t>
        </is>
      </c>
      <c r="F229" s="24" t="inlineStr">
        <is>
          <t>GLOBAL_CHECK</t>
        </is>
      </c>
      <c r="G229" s="26" t="inlineStr">
        <is>
          <t>GR_FILTER_VEC</t>
        </is>
      </c>
      <c r="H229" s="24" t="inlineStr">
        <is>
          <t>SPECIFIC — only gated switches</t>
        </is>
      </c>
      <c r="I229" s="24" t="inlineStr">
        <is>
          <t>LIVE — wired</t>
        </is>
      </c>
      <c r="J229" s="24" t="n"/>
      <c r="K229" s="21" t="inlineStr">
        <is>
          <t>1/4</t>
        </is>
      </c>
      <c r="L229" s="21" t="inlineStr">
        <is>
          <t>OFF, 15m, 1h, 4h, D (5 options)</t>
        </is>
      </c>
      <c r="M229" s="21" t="inlineStr">
        <is>
          <t>15m</t>
        </is>
      </c>
      <c r="N229" s="21" t="inlineStr">
        <is>
          <t>TF selector</t>
        </is>
      </c>
      <c r="O229" s="21" t="inlineStr">
        <is>
          <t>GR_FILTER_VEC_FILTER_TF</t>
        </is>
      </c>
      <c r="P229" s="21" t="inlineStr">
        <is>
          <t>getattr(cfg,"GR_FILTER_VEC_FILTER_TF")</t>
        </is>
      </c>
      <c r="Q229" t="inlineStr">
        <is>
          <t>NO</t>
        </is>
      </c>
    </row>
    <row r="230">
      <c r="A230" s="24" t="n">
        <v>57</v>
      </c>
      <c r="B230" s="25" t="inlineStr">
        <is>
          <t>GR_FILTER_VEC_FILTER_TF</t>
        </is>
      </c>
      <c r="C230" s="23" t="inlineStr">
        <is>
          <t>1h</t>
        </is>
      </c>
      <c r="D230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0" s="26" t="inlineStr">
        <is>
          <t>GLOBAL_CHECK</t>
        </is>
      </c>
      <c r="F230" s="24" t="inlineStr">
        <is>
          <t>GLOBAL_CHECK</t>
        </is>
      </c>
      <c r="G230" s="26" t="inlineStr">
        <is>
          <t>GR_FILTER_VEC</t>
        </is>
      </c>
      <c r="H230" s="24" t="inlineStr">
        <is>
          <t>SPECIFIC — only gated switches</t>
        </is>
      </c>
      <c r="I230" s="24" t="inlineStr">
        <is>
          <t>LIVE — wired</t>
        </is>
      </c>
      <c r="J230" s="24" t="n"/>
      <c r="K230" s="21" t="inlineStr">
        <is>
          <t>1/4</t>
        </is>
      </c>
      <c r="L230" s="21" t="inlineStr">
        <is>
          <t>OFF, 15m, 1h, 4h, D (5 options)</t>
        </is>
      </c>
      <c r="M230" s="21" t="inlineStr">
        <is>
          <t>15m</t>
        </is>
      </c>
      <c r="N230" s="21" t="inlineStr">
        <is>
          <t>TF selector</t>
        </is>
      </c>
      <c r="O230" s="21" t="inlineStr">
        <is>
          <t>GR_FILTER_VEC_FILTER_TF</t>
        </is>
      </c>
      <c r="P230" s="21" t="inlineStr">
        <is>
          <t>getattr(cfg,"GR_FILTER_VEC_FILTER_TF")</t>
        </is>
      </c>
      <c r="Q230" t="inlineStr">
        <is>
          <t>NO</t>
        </is>
      </c>
    </row>
    <row r="231">
      <c r="A231" s="24" t="n">
        <v>57</v>
      </c>
      <c r="B231" s="27" t="inlineStr">
        <is>
          <t>GR_FILTER_VEC_FILTER_TF</t>
        </is>
      </c>
      <c r="C231" s="19" t="inlineStr">
        <is>
          <t>15m</t>
        </is>
      </c>
      <c r="D231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1" s="26" t="inlineStr">
        <is>
          <t>GLOBAL_CHECK</t>
        </is>
      </c>
      <c r="F231" s="24" t="inlineStr">
        <is>
          <t>GLOBAL_CHECK</t>
        </is>
      </c>
      <c r="G231" s="26" t="inlineStr">
        <is>
          <t>GR_FILTER_VEC</t>
        </is>
      </c>
      <c r="H231" s="24" t="inlineStr">
        <is>
          <t>SPECIFIC — only gated switches</t>
        </is>
      </c>
      <c r="I231" s="24" t="inlineStr">
        <is>
          <t>LIVE — wired</t>
        </is>
      </c>
      <c r="J231" s="24" t="n"/>
      <c r="K231" s="21" t="inlineStr">
        <is>
          <t>1/4</t>
        </is>
      </c>
      <c r="L231" s="21" t="inlineStr">
        <is>
          <t>OFF, 15m, 1h, 4h, D (5 options)</t>
        </is>
      </c>
      <c r="M231" s="21" t="inlineStr">
        <is>
          <t>15m</t>
        </is>
      </c>
      <c r="N231" s="21" t="inlineStr">
        <is>
          <t>TF selector</t>
        </is>
      </c>
      <c r="O231" s="21" t="inlineStr">
        <is>
          <t>GR_FILTER_VEC_FILTER_TF</t>
        </is>
      </c>
      <c r="P231" s="21" t="inlineStr">
        <is>
          <t>getattr(cfg,"GR_FILTER_VEC_FILTER_TF")</t>
        </is>
      </c>
      <c r="Q231" t="inlineStr">
        <is>
          <t>YES</t>
        </is>
      </c>
    </row>
    <row r="232">
      <c r="A232" s="17" t="n">
        <v>58</v>
      </c>
      <c r="B232" s="18" t="inlineStr">
        <is>
          <t>GR_FILTER_VEC_MIN_TFS</t>
        </is>
      </c>
      <c r="C232" s="19" t="inlineStr">
        <is>
          <t>0</t>
        </is>
      </c>
      <c r="D232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2" s="20" t="inlineStr">
        <is>
          <t>GLOBAL_CHECK</t>
        </is>
      </c>
      <c r="F232" s="17" t="inlineStr">
        <is>
          <t>GLOBAL_CHECK</t>
        </is>
      </c>
      <c r="G232" s="20" t="inlineStr">
        <is>
          <t>GR_FILTER_VEC_MIN_TFS</t>
        </is>
      </c>
      <c r="H232" s="17" t="inlineStr">
        <is>
          <t>GENERAL</t>
        </is>
      </c>
      <c r="I232" s="17" t="inlineStr">
        <is>
          <t>LIVE — wired</t>
        </is>
      </c>
      <c r="J232" s="17" t="n"/>
      <c r="K232" s="21" t="inlineStr">
        <is>
          <t>N</t>
        </is>
      </c>
      <c r="L232" s="21" t="inlineStr">
        <is>
          <t>0.0, +1, +2 (3)</t>
        </is>
      </c>
      <c r="M232" s="21" t="inlineStr">
        <is>
          <t>0.0</t>
        </is>
      </c>
      <c r="N232" s="21" t="inlineStr">
        <is>
          <t>count</t>
        </is>
      </c>
      <c r="O232" s="21" t="inlineStr">
        <is>
          <t>GR_FILTER_VEC_MIN_TFS</t>
        </is>
      </c>
      <c r="P232" s="21" t="inlineStr">
        <is>
          <t>getattr(cfg,"GR_FILTER_VEC_MIN_TFS")</t>
        </is>
      </c>
      <c r="Q232" t="inlineStr">
        <is>
          <t>YES</t>
        </is>
      </c>
    </row>
    <row r="233">
      <c r="A233" s="17" t="n">
        <v>58</v>
      </c>
      <c r="B233" s="22" t="inlineStr">
        <is>
          <t>GR_FILTER_VEC_MIN_TFS</t>
        </is>
      </c>
      <c r="C233" s="23" t="inlineStr">
        <is>
          <t>2</t>
        </is>
      </c>
      <c r="D233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3" s="20" t="inlineStr">
        <is>
          <t>GLOBAL_CHECK</t>
        </is>
      </c>
      <c r="F233" s="17" t="inlineStr">
        <is>
          <t>GLOBAL_CHECK</t>
        </is>
      </c>
      <c r="G233" s="20" t="inlineStr">
        <is>
          <t>GR_FILTER_VEC_MIN_TFS</t>
        </is>
      </c>
      <c r="H233" s="17" t="inlineStr">
        <is>
          <t>GENERAL</t>
        </is>
      </c>
      <c r="I233" s="17" t="inlineStr">
        <is>
          <t>LIVE — wired</t>
        </is>
      </c>
      <c r="J233" s="17" t="n"/>
      <c r="K233" s="21" t="inlineStr">
        <is>
          <t>N</t>
        </is>
      </c>
      <c r="L233" s="21" t="inlineStr">
        <is>
          <t>0.0, +1, +2 (3)</t>
        </is>
      </c>
      <c r="M233" s="21" t="inlineStr">
        <is>
          <t>0.0</t>
        </is>
      </c>
      <c r="N233" s="21" t="inlineStr">
        <is>
          <t>count</t>
        </is>
      </c>
      <c r="O233" s="21" t="inlineStr">
        <is>
          <t>GR_FILTER_VEC_MIN_TFS</t>
        </is>
      </c>
      <c r="P233" s="21" t="inlineStr">
        <is>
          <t>getattr(cfg,"GR_FILTER_VEC_MIN_TFS")</t>
        </is>
      </c>
      <c r="Q233" t="inlineStr">
        <is>
          <t>NO</t>
        </is>
      </c>
    </row>
    <row r="234">
      <c r="A234" s="17" t="n">
        <v>58</v>
      </c>
      <c r="B234" s="22" t="inlineStr">
        <is>
          <t>GR_FILTER_VEC_MIN_TFS</t>
        </is>
      </c>
      <c r="C234" s="23" t="inlineStr">
        <is>
          <t>1</t>
        </is>
      </c>
      <c r="D234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4" s="20" t="inlineStr">
        <is>
          <t>GLOBAL_CHECK</t>
        </is>
      </c>
      <c r="F234" s="17" t="inlineStr">
        <is>
          <t>GLOBAL_CHECK</t>
        </is>
      </c>
      <c r="G234" s="20" t="inlineStr">
        <is>
          <t>GR_FILTER_VEC_MIN_TFS</t>
        </is>
      </c>
      <c r="H234" s="17" t="inlineStr">
        <is>
          <t>GENERAL</t>
        </is>
      </c>
      <c r="I234" s="17" t="inlineStr">
        <is>
          <t>LIVE — wired</t>
        </is>
      </c>
      <c r="J234" s="17" t="n"/>
      <c r="K234" s="21" t="inlineStr">
        <is>
          <t>N</t>
        </is>
      </c>
      <c r="L234" s="21" t="inlineStr">
        <is>
          <t>0.0, +1, +2 (3)</t>
        </is>
      </c>
      <c r="M234" s="21" t="inlineStr">
        <is>
          <t>0.0</t>
        </is>
      </c>
      <c r="N234" s="21" t="inlineStr">
        <is>
          <t>count</t>
        </is>
      </c>
      <c r="O234" s="21" t="inlineStr">
        <is>
          <t>GR_FILTER_VEC_MIN_TFS</t>
        </is>
      </c>
      <c r="P234" s="21" t="inlineStr">
        <is>
          <t>getattr(cfg,"GR_FILTER_VEC_MIN_TFS")</t>
        </is>
      </c>
      <c r="Q234" t="inlineStr">
        <is>
          <t>NO</t>
        </is>
      </c>
    </row>
    <row r="235">
      <c r="A235" s="24" t="n">
        <v>59</v>
      </c>
      <c r="B235" s="25" t="inlineStr">
        <is>
          <t>GR_V5_STATE_FILTER_TF</t>
        </is>
      </c>
      <c r="C235" s="23" t="inlineStr">
        <is>
          <t>OFF</t>
        </is>
      </c>
      <c r="D235" s="26" t="inlineStr">
        <is>
          <t>GR v5 state machine filter TF. | Live read: `, 'DELTA_HTF_GATE', 'DELTA_LT_HTF_GATE', 'DELTA_OPTIONS_HTF_GATE', 'DUP_GUARD_FI`</t>
        </is>
      </c>
      <c r="E235" s="26" t="inlineStr">
        <is>
          <t>GLOBAL_CHECK</t>
        </is>
      </c>
      <c r="F235" s="24" t="inlineStr">
        <is>
          <t>GLOBAL_CHECK</t>
        </is>
      </c>
      <c r="G235" s="26" t="inlineStr">
        <is>
          <t>GR_V5_STATE</t>
        </is>
      </c>
      <c r="H235" s="24" t="inlineStr">
        <is>
          <t>SPECIFIC — only gated switches</t>
        </is>
      </c>
      <c r="I235" s="24" t="inlineStr">
        <is>
          <t>LIVE — wired</t>
        </is>
      </c>
      <c r="J235" s="24" t="n"/>
      <c r="K235" s="21" t="inlineStr">
        <is>
          <t>1/4</t>
        </is>
      </c>
      <c r="L235" s="21" t="inlineStr">
        <is>
          <t>OFF, 15m, 1h, 4h, D (5 options)</t>
        </is>
      </c>
      <c r="M235" s="21" t="inlineStr">
        <is>
          <t>15m</t>
        </is>
      </c>
      <c r="N235" s="21" t="inlineStr">
        <is>
          <t>TF selector</t>
        </is>
      </c>
      <c r="O235" s="21" t="inlineStr">
        <is>
          <t>GR_V5_STATE_FILTER_TF</t>
        </is>
      </c>
      <c r="P235" s="21" t="inlineStr">
        <is>
          <t>getattr(cfg,"GR_V5_STATE_FILTER_TF")</t>
        </is>
      </c>
      <c r="Q235" t="inlineStr">
        <is>
          <t>NO</t>
        </is>
      </c>
    </row>
    <row r="236">
      <c r="A236" s="24" t="n">
        <v>59</v>
      </c>
      <c r="B236" s="25" t="inlineStr">
        <is>
          <t>GR_V5_STATE_FILTER_TF</t>
        </is>
      </c>
      <c r="C236" s="23" t="inlineStr">
        <is>
          <t>D</t>
        </is>
      </c>
      <c r="D236" s="26" t="inlineStr">
        <is>
          <t>GR v5 state machine filter TF. | Live read: `, 'DELTA_HTF_GATE', 'DELTA_LT_HTF_GATE', 'DELTA_OPTIONS_HTF_GATE', 'DUP_GUARD_FI`</t>
        </is>
      </c>
      <c r="E236" s="26" t="inlineStr">
        <is>
          <t>GLOBAL_CHECK</t>
        </is>
      </c>
      <c r="F236" s="24" t="inlineStr">
        <is>
          <t>GLOBAL_CHECK</t>
        </is>
      </c>
      <c r="G236" s="26" t="inlineStr">
        <is>
          <t>GR_V5_STATE</t>
        </is>
      </c>
      <c r="H236" s="24" t="inlineStr">
        <is>
          <t>SPECIFIC — only gated switches</t>
        </is>
      </c>
      <c r="I236" s="24" t="inlineStr">
        <is>
          <t>LIVE — wired</t>
        </is>
      </c>
      <c r="J236" s="24" t="n"/>
      <c r="K236" s="21" t="inlineStr">
        <is>
          <t>1/4</t>
        </is>
      </c>
      <c r="L236" s="21" t="inlineStr">
        <is>
          <t>OFF, 15m, 1h, 4h, D (5 options)</t>
        </is>
      </c>
      <c r="M236" s="21" t="inlineStr">
        <is>
          <t>15m</t>
        </is>
      </c>
      <c r="N236" s="21" t="inlineStr">
        <is>
          <t>TF selector</t>
        </is>
      </c>
      <c r="O236" s="21" t="inlineStr">
        <is>
          <t>GR_V5_STATE_FILTER_TF</t>
        </is>
      </c>
      <c r="P236" s="21" t="inlineStr">
        <is>
          <t>getattr(cfg,"GR_V5_STATE_FILTER_TF")</t>
        </is>
      </c>
      <c r="Q236" t="inlineStr">
        <is>
          <t>NO</t>
        </is>
      </c>
    </row>
    <row r="237">
      <c r="A237" s="24" t="n">
        <v>59</v>
      </c>
      <c r="B237" s="25" t="inlineStr">
        <is>
          <t>GR_V5_STATE_FILTER_TF</t>
        </is>
      </c>
      <c r="C237" s="23" t="inlineStr">
        <is>
          <t>4h</t>
        </is>
      </c>
      <c r="D237" s="26" t="inlineStr">
        <is>
          <t>GR v5 state machine filter TF. | Live read: `, 'DELTA_HTF_GATE', 'DELTA_LT_HTF_GATE', 'DELTA_OPTIONS_HTF_GATE', 'DUP_GUARD_FI`</t>
        </is>
      </c>
      <c r="E237" s="26" t="inlineStr">
        <is>
          <t>GLOBAL_CHECK</t>
        </is>
      </c>
      <c r="F237" s="24" t="inlineStr">
        <is>
          <t>GLOBAL_CHECK</t>
        </is>
      </c>
      <c r="G237" s="26" t="inlineStr">
        <is>
          <t>GR_V5_STATE</t>
        </is>
      </c>
      <c r="H237" s="24" t="inlineStr">
        <is>
          <t>SPECIFIC — only gated switches</t>
        </is>
      </c>
      <c r="I237" s="24" t="inlineStr">
        <is>
          <t>LIVE — wired</t>
        </is>
      </c>
      <c r="J237" s="24" t="n"/>
      <c r="K237" s="21" t="inlineStr">
        <is>
          <t>1/4</t>
        </is>
      </c>
      <c r="L237" s="21" t="inlineStr">
        <is>
          <t>OFF, 15m, 1h, 4h, D (5 options)</t>
        </is>
      </c>
      <c r="M237" s="21" t="inlineStr">
        <is>
          <t>15m</t>
        </is>
      </c>
      <c r="N237" s="21" t="inlineStr">
        <is>
          <t>TF selector</t>
        </is>
      </c>
      <c r="O237" s="21" t="inlineStr">
        <is>
          <t>GR_V5_STATE_FILTER_TF</t>
        </is>
      </c>
      <c r="P237" s="21" t="inlineStr">
        <is>
          <t>getattr(cfg,"GR_V5_STATE_FILTER_TF")</t>
        </is>
      </c>
      <c r="Q237" t="inlineStr">
        <is>
          <t>NO</t>
        </is>
      </c>
    </row>
    <row r="238">
      <c r="A238" s="24" t="n">
        <v>59</v>
      </c>
      <c r="B238" s="25" t="inlineStr">
        <is>
          <t>GR_V5_STATE_FILTER_TF</t>
        </is>
      </c>
      <c r="C238" s="23" t="inlineStr">
        <is>
          <t>1h</t>
        </is>
      </c>
      <c r="D238" s="26" t="inlineStr">
        <is>
          <t>GR v5 state machine filter TF. | Live read: `, 'DELTA_HTF_GATE', 'DELTA_LT_HTF_GATE', 'DELTA_OPTIONS_HTF_GATE', 'DUP_GUARD_FI`</t>
        </is>
      </c>
      <c r="E238" s="26" t="inlineStr">
        <is>
          <t>GLOBAL_CHECK</t>
        </is>
      </c>
      <c r="F238" s="24" t="inlineStr">
        <is>
          <t>GLOBAL_CHECK</t>
        </is>
      </c>
      <c r="G238" s="26" t="inlineStr">
        <is>
          <t>GR_V5_STATE</t>
        </is>
      </c>
      <c r="H238" s="24" t="inlineStr">
        <is>
          <t>SPECIFIC — only gated switches</t>
        </is>
      </c>
      <c r="I238" s="24" t="inlineStr">
        <is>
          <t>LIVE — wired</t>
        </is>
      </c>
      <c r="J238" s="24" t="n"/>
      <c r="K238" s="21" t="inlineStr">
        <is>
          <t>1/4</t>
        </is>
      </c>
      <c r="L238" s="21" t="inlineStr">
        <is>
          <t>OFF, 15m, 1h, 4h, D (5 options)</t>
        </is>
      </c>
      <c r="M238" s="21" t="inlineStr">
        <is>
          <t>15m</t>
        </is>
      </c>
      <c r="N238" s="21" t="inlineStr">
        <is>
          <t>TF selector</t>
        </is>
      </c>
      <c r="O238" s="21" t="inlineStr">
        <is>
          <t>GR_V5_STATE_FILTER_TF</t>
        </is>
      </c>
      <c r="P238" s="21" t="inlineStr">
        <is>
          <t>getattr(cfg,"GR_V5_STATE_FILTER_TF")</t>
        </is>
      </c>
      <c r="Q238" t="inlineStr">
        <is>
          <t>NO</t>
        </is>
      </c>
    </row>
    <row r="239">
      <c r="A239" s="24" t="n">
        <v>59</v>
      </c>
      <c r="B239" s="27" t="inlineStr">
        <is>
          <t>GR_V5_STATE_FILTER_TF</t>
        </is>
      </c>
      <c r="C239" s="19" t="inlineStr">
        <is>
          <t>15m</t>
        </is>
      </c>
      <c r="D239" s="26" t="inlineStr">
        <is>
          <t>GR v5 state machine filter TF. | Live read: `, 'DELTA_HTF_GATE', 'DELTA_LT_HTF_GATE', 'DELTA_OPTIONS_HTF_GATE', 'DUP_GUARD_FI`</t>
        </is>
      </c>
      <c r="E239" s="26" t="inlineStr">
        <is>
          <t>GLOBAL_CHECK</t>
        </is>
      </c>
      <c r="F239" s="24" t="inlineStr">
        <is>
          <t>GLOBAL_CHECK</t>
        </is>
      </c>
      <c r="G239" s="26" t="inlineStr">
        <is>
          <t>GR_V5_STATE</t>
        </is>
      </c>
      <c r="H239" s="24" t="inlineStr">
        <is>
          <t>SPECIFIC — only gated switches</t>
        </is>
      </c>
      <c r="I239" s="24" t="inlineStr">
        <is>
          <t>LIVE — wired</t>
        </is>
      </c>
      <c r="J239" s="24" t="n"/>
      <c r="K239" s="21" t="inlineStr">
        <is>
          <t>1/4</t>
        </is>
      </c>
      <c r="L239" s="21" t="inlineStr">
        <is>
          <t>OFF, 15m, 1h, 4h, D (5 options)</t>
        </is>
      </c>
      <c r="M239" s="21" t="inlineStr">
        <is>
          <t>15m</t>
        </is>
      </c>
      <c r="N239" s="21" t="inlineStr">
        <is>
          <t>TF selector</t>
        </is>
      </c>
      <c r="O239" s="21" t="inlineStr">
        <is>
          <t>GR_V5_STATE_FILTER_TF</t>
        </is>
      </c>
      <c r="P239" s="21" t="inlineStr">
        <is>
          <t>getattr(cfg,"GR_V5_STATE_FILTER_TF")</t>
        </is>
      </c>
      <c r="Q239" t="inlineStr">
        <is>
          <t>YES</t>
        </is>
      </c>
    </row>
    <row r="240">
      <c r="A240" s="24" t="n">
        <v>60</v>
      </c>
      <c r="B240" s="25" t="inlineStr">
        <is>
          <t>HAIKU_WINNER_FILTER_TF</t>
        </is>
      </c>
      <c r="C240" s="23" t="inlineStr">
        <is>
          <t>OFF</t>
        </is>
      </c>
      <c r="D240" s="26" t="inlineStr">
        <is>
          <t>Haiku winner (streak) filter TF. | Live read: `A_LT_HTF_GATE', 'DELTA_OPTIONS_HTF_GATE', 'DUP_GUARD_FILTER_TF', 'EMA_9_21_FILTE`</t>
        </is>
      </c>
      <c r="E240" s="26" t="inlineStr">
        <is>
          <t>GLOBAL_CHECK</t>
        </is>
      </c>
      <c r="F240" s="24" t="inlineStr">
        <is>
          <t>GLOBAL_CHECK</t>
        </is>
      </c>
      <c r="G240" s="26" t="inlineStr">
        <is>
          <t>HAIKU_WINNER</t>
        </is>
      </c>
      <c r="H240" s="24" t="inlineStr">
        <is>
          <t>SPECIFIC — only gated switches</t>
        </is>
      </c>
      <c r="I240" s="24" t="inlineStr">
        <is>
          <t>LIVE — wired</t>
        </is>
      </c>
      <c r="J240" s="24" t="n"/>
      <c r="K240" s="21" t="inlineStr">
        <is>
          <t>1/4</t>
        </is>
      </c>
      <c r="L240" s="21" t="inlineStr">
        <is>
          <t>OFF, 15m, 1h, 4h, D (5 options)</t>
        </is>
      </c>
      <c r="M240" s="21" t="inlineStr">
        <is>
          <t>15m</t>
        </is>
      </c>
      <c r="N240" s="21" t="inlineStr">
        <is>
          <t>TF selector</t>
        </is>
      </c>
      <c r="O240" s="21" t="inlineStr">
        <is>
          <t>HAIKU_WINNER_FILTER_TF</t>
        </is>
      </c>
      <c r="P240" s="21" t="inlineStr">
        <is>
          <t>getattr(cfg,"HAIKU_WINNER_FILTER_TF")</t>
        </is>
      </c>
      <c r="Q240" t="inlineStr">
        <is>
          <t>NO</t>
        </is>
      </c>
    </row>
    <row r="241">
      <c r="A241" s="24" t="n">
        <v>60</v>
      </c>
      <c r="B241" s="25" t="inlineStr">
        <is>
          <t>HAIKU_WINNER_FILTER_TF</t>
        </is>
      </c>
      <c r="C241" s="23" t="inlineStr">
        <is>
          <t>D</t>
        </is>
      </c>
      <c r="D241" s="26" t="inlineStr">
        <is>
          <t>Haiku winner (streak) filter TF. | Live read: `A_LT_HTF_GATE', 'DELTA_OPTIONS_HTF_GATE', 'DUP_GUARD_FILTER_TF', 'EMA_9_21_FILTE`</t>
        </is>
      </c>
      <c r="E241" s="26" t="inlineStr">
        <is>
          <t>GLOBAL_CHECK</t>
        </is>
      </c>
      <c r="F241" s="24" t="inlineStr">
        <is>
          <t>GLOBAL_CHECK</t>
        </is>
      </c>
      <c r="G241" s="26" t="inlineStr">
        <is>
          <t>HAIKU_WINNER</t>
        </is>
      </c>
      <c r="H241" s="24" t="inlineStr">
        <is>
          <t>SPECIFIC — only gated switches</t>
        </is>
      </c>
      <c r="I241" s="24" t="inlineStr">
        <is>
          <t>LIVE — wired</t>
        </is>
      </c>
      <c r="J241" s="24" t="n"/>
      <c r="K241" s="21" t="inlineStr">
        <is>
          <t>1/4</t>
        </is>
      </c>
      <c r="L241" s="21" t="inlineStr">
        <is>
          <t>OFF, 15m, 1h, 4h, D (5 options)</t>
        </is>
      </c>
      <c r="M241" s="21" t="inlineStr">
        <is>
          <t>15m</t>
        </is>
      </c>
      <c r="N241" s="21" t="inlineStr">
        <is>
          <t>TF selector</t>
        </is>
      </c>
      <c r="O241" s="21" t="inlineStr">
        <is>
          <t>HAIKU_WINNER_FILTER_TF</t>
        </is>
      </c>
      <c r="P241" s="21" t="inlineStr">
        <is>
          <t>getattr(cfg,"HAIKU_WINNER_FILTER_TF")</t>
        </is>
      </c>
      <c r="Q241" t="inlineStr">
        <is>
          <t>NO</t>
        </is>
      </c>
    </row>
    <row r="242">
      <c r="A242" s="24" t="n">
        <v>60</v>
      </c>
      <c r="B242" s="25" t="inlineStr">
        <is>
          <t>HAIKU_WINNER_FILTER_TF</t>
        </is>
      </c>
      <c r="C242" s="23" t="inlineStr">
        <is>
          <t>4h</t>
        </is>
      </c>
      <c r="D242" s="26" t="inlineStr">
        <is>
          <t>Haiku winner (streak) filter TF. | Live read: `A_LT_HTF_GATE', 'DELTA_OPTIONS_HTF_GATE', 'DUP_GUARD_FILTER_TF', 'EMA_9_21_FILTE`</t>
        </is>
      </c>
      <c r="E242" s="26" t="inlineStr">
        <is>
          <t>GLOBAL_CHECK</t>
        </is>
      </c>
      <c r="F242" s="24" t="inlineStr">
        <is>
          <t>GLOBAL_CHECK</t>
        </is>
      </c>
      <c r="G242" s="26" t="inlineStr">
        <is>
          <t>HAIKU_WINNER</t>
        </is>
      </c>
      <c r="H242" s="24" t="inlineStr">
        <is>
          <t>SPECIFIC — only gated switches</t>
        </is>
      </c>
      <c r="I242" s="24" t="inlineStr">
        <is>
          <t>LIVE — wired</t>
        </is>
      </c>
      <c r="J242" s="24" t="n"/>
      <c r="K242" s="21" t="inlineStr">
        <is>
          <t>1/4</t>
        </is>
      </c>
      <c r="L242" s="21" t="inlineStr">
        <is>
          <t>OFF, 15m, 1h, 4h, D (5 options)</t>
        </is>
      </c>
      <c r="M242" s="21" t="inlineStr">
        <is>
          <t>15m</t>
        </is>
      </c>
      <c r="N242" s="21" t="inlineStr">
        <is>
          <t>TF selector</t>
        </is>
      </c>
      <c r="O242" s="21" t="inlineStr">
        <is>
          <t>HAIKU_WINNER_FILTER_TF</t>
        </is>
      </c>
      <c r="P242" s="21" t="inlineStr">
        <is>
          <t>getattr(cfg,"HAIKU_WINNER_FILTER_TF")</t>
        </is>
      </c>
      <c r="Q242" t="inlineStr">
        <is>
          <t>NO</t>
        </is>
      </c>
    </row>
    <row r="243">
      <c r="A243" s="24" t="n">
        <v>60</v>
      </c>
      <c r="B243" s="25" t="inlineStr">
        <is>
          <t>HAIKU_WINNER_FILTER_TF</t>
        </is>
      </c>
      <c r="C243" s="23" t="inlineStr">
        <is>
          <t>1h</t>
        </is>
      </c>
      <c r="D243" s="26" t="inlineStr">
        <is>
          <t>Haiku winner (streak) filter TF. | Live read: `A_LT_HTF_GATE', 'DELTA_OPTIONS_HTF_GATE', 'DUP_GUARD_FILTER_TF', 'EMA_9_21_FILTE`</t>
        </is>
      </c>
      <c r="E243" s="26" t="inlineStr">
        <is>
          <t>GLOBAL_CHECK</t>
        </is>
      </c>
      <c r="F243" s="24" t="inlineStr">
        <is>
          <t>GLOBAL_CHECK</t>
        </is>
      </c>
      <c r="G243" s="26" t="inlineStr">
        <is>
          <t>HAIKU_WINNER</t>
        </is>
      </c>
      <c r="H243" s="24" t="inlineStr">
        <is>
          <t>SPECIFIC — only gated switches</t>
        </is>
      </c>
      <c r="I243" s="24" t="inlineStr">
        <is>
          <t>LIVE — wired</t>
        </is>
      </c>
      <c r="J243" s="24" t="n"/>
      <c r="K243" s="21" t="inlineStr">
        <is>
          <t>1/4</t>
        </is>
      </c>
      <c r="L243" s="21" t="inlineStr">
        <is>
          <t>OFF, 15m, 1h, 4h, D (5 options)</t>
        </is>
      </c>
      <c r="M243" s="21" t="inlineStr">
        <is>
          <t>15m</t>
        </is>
      </c>
      <c r="N243" s="21" t="inlineStr">
        <is>
          <t>TF selector</t>
        </is>
      </c>
      <c r="O243" s="21" t="inlineStr">
        <is>
          <t>HAIKU_WINNER_FILTER_TF</t>
        </is>
      </c>
      <c r="P243" s="21" t="inlineStr">
        <is>
          <t>getattr(cfg,"HAIKU_WINNER_FILTER_TF")</t>
        </is>
      </c>
      <c r="Q243" t="inlineStr">
        <is>
          <t>NO</t>
        </is>
      </c>
    </row>
    <row r="244">
      <c r="A244" s="24" t="n">
        <v>60</v>
      </c>
      <c r="B244" s="27" t="inlineStr">
        <is>
          <t>HAIKU_WINNER_FILTER_TF</t>
        </is>
      </c>
      <c r="C244" s="19" t="inlineStr">
        <is>
          <t>15m</t>
        </is>
      </c>
      <c r="D244" s="26" t="inlineStr">
        <is>
          <t>Haiku winner (streak) filter TF. | Live read: `A_LT_HTF_GATE', 'DELTA_OPTIONS_HTF_GATE', 'DUP_GUARD_FILTER_TF', 'EMA_9_21_FILTE`</t>
        </is>
      </c>
      <c r="E244" s="26" t="inlineStr">
        <is>
          <t>GLOBAL_CHECK</t>
        </is>
      </c>
      <c r="F244" s="24" t="inlineStr">
        <is>
          <t>GLOBAL_CHECK</t>
        </is>
      </c>
      <c r="G244" s="26" t="inlineStr">
        <is>
          <t>HAIKU_WINNER</t>
        </is>
      </c>
      <c r="H244" s="24" t="inlineStr">
        <is>
          <t>SPECIFIC — only gated switches</t>
        </is>
      </c>
      <c r="I244" s="24" t="inlineStr">
        <is>
          <t>LIVE — wired</t>
        </is>
      </c>
      <c r="J244" s="24" t="n"/>
      <c r="K244" s="21" t="inlineStr">
        <is>
          <t>1/4</t>
        </is>
      </c>
      <c r="L244" s="21" t="inlineStr">
        <is>
          <t>OFF, 15m, 1h, 4h, D (5 options)</t>
        </is>
      </c>
      <c r="M244" s="21" t="inlineStr">
        <is>
          <t>15m</t>
        </is>
      </c>
      <c r="N244" s="21" t="inlineStr">
        <is>
          <t>TF selector</t>
        </is>
      </c>
      <c r="O244" s="21" t="inlineStr">
        <is>
          <t>HAIKU_WINNER_FILTER_TF</t>
        </is>
      </c>
      <c r="P244" s="21" t="inlineStr">
        <is>
          <t>getattr(cfg,"HAIKU_WINNER_FILTER_TF")</t>
        </is>
      </c>
      <c r="Q244" t="inlineStr">
        <is>
          <t>YES</t>
        </is>
      </c>
    </row>
    <row r="245">
      <c r="A245" s="17" t="n">
        <v>61</v>
      </c>
      <c r="B245" s="18" t="inlineStr">
        <is>
          <t>HA_WICK_QUALITY_ENABLED</t>
        </is>
      </c>
      <c r="C245" s="19" t="inlineStr">
        <is>
          <t>False</t>
        </is>
      </c>
      <c r="D245" s="20" t="inlineStr">
        <is>
          <t>HA wick quality gate enabled (Heikin-Ashi). | Live read: `BLED', 'DC_BREAKOUT_TF', 'DELTA_ENTRY_MIN_TF', 'DELTA_EXIT_MANDATORY_REENTRY_ENA`</t>
        </is>
      </c>
      <c r="E245" s="20" t="inlineStr">
        <is>
          <t>ENTRY, GLOBAL_CHECK, STOCKS_EXIT</t>
        </is>
      </c>
      <c r="F245" s="17" t="inlineStr">
        <is>
          <t>ENTRY, GLOBAL_CHECK, STOCKS_EXIT</t>
        </is>
      </c>
      <c r="G245" s="20" t="inlineStr">
        <is>
          <t>HA_WICK_QUALITY_ENABLED</t>
        </is>
      </c>
      <c r="H245" s="17" t="inlineStr">
        <is>
          <t>GENERAL</t>
        </is>
      </c>
      <c r="I245" s="17" t="inlineStr">
        <is>
          <t>LIVE — wired</t>
        </is>
      </c>
      <c r="J245" s="17" t="n"/>
      <c r="K245" s="21" t="inlineStr">
        <is>
          <t>—</t>
        </is>
      </c>
      <c r="L245" s="21" t="inlineStr">
        <is>
          <t>False, True (2)</t>
        </is>
      </c>
      <c r="M245" s="21" t="inlineStr">
        <is>
          <t>False</t>
        </is>
      </c>
      <c r="N245" s="21" t="inlineStr">
        <is>
          <t>bool gate</t>
        </is>
      </c>
      <c r="O245" s="21" t="inlineStr">
        <is>
          <t>HA_WICK_QUALITY_ENABLED</t>
        </is>
      </c>
      <c r="P245" s="21" t="inlineStr">
        <is>
          <t>getattr(cfg,"HA_WICK_QUALITY_ENABLED")</t>
        </is>
      </c>
      <c r="Q245" t="inlineStr">
        <is>
          <t>YES</t>
        </is>
      </c>
    </row>
    <row r="246">
      <c r="A246" s="17" t="n">
        <v>61</v>
      </c>
      <c r="B246" s="22" t="inlineStr">
        <is>
          <t>HA_WICK_QUALITY_ENABLED</t>
        </is>
      </c>
      <c r="C246" s="23" t="inlineStr">
        <is>
          <t>True</t>
        </is>
      </c>
      <c r="D246" s="20" t="inlineStr">
        <is>
          <t>HA wick quality gate enabled (Heikin-Ashi). | Live read: `BLED', 'DC_BREAKOUT_TF', 'DELTA_ENTRY_MIN_TF', 'DELTA_EXIT_MANDATORY_REENTRY_ENA`</t>
        </is>
      </c>
      <c r="E246" s="20" t="inlineStr">
        <is>
          <t>ENTRY, GLOBAL_CHECK, STOCKS_EXIT</t>
        </is>
      </c>
      <c r="F246" s="17" t="inlineStr">
        <is>
          <t>ENTRY, GLOBAL_CHECK, STOCKS_EXIT</t>
        </is>
      </c>
      <c r="G246" s="20" t="inlineStr">
        <is>
          <t>HA_WICK_QUALITY_ENABLED</t>
        </is>
      </c>
      <c r="H246" s="17" t="inlineStr">
        <is>
          <t>GENERAL</t>
        </is>
      </c>
      <c r="I246" s="17" t="inlineStr">
        <is>
          <t>LIVE — wired</t>
        </is>
      </c>
      <c r="J246" s="17" t="n"/>
      <c r="K246" s="21" t="inlineStr">
        <is>
          <t>—</t>
        </is>
      </c>
      <c r="L246" s="21" t="inlineStr">
        <is>
          <t>False, True (2)</t>
        </is>
      </c>
      <c r="M246" s="21" t="inlineStr">
        <is>
          <t>False</t>
        </is>
      </c>
      <c r="N246" s="21" t="inlineStr">
        <is>
          <t>bool gate</t>
        </is>
      </c>
      <c r="O246" s="21" t="inlineStr">
        <is>
          <t>HA_WICK_QUALITY_ENABLED</t>
        </is>
      </c>
      <c r="P246" s="21" t="inlineStr">
        <is>
          <t>getattr(cfg,"HA_WICK_QUALITY_ENABLED")</t>
        </is>
      </c>
      <c r="Q246" t="inlineStr">
        <is>
          <t>NO</t>
        </is>
      </c>
    </row>
    <row r="247">
      <c r="A247" s="17" t="n">
        <v>62</v>
      </c>
      <c r="B247" s="18" t="inlineStr">
        <is>
          <t>HA_WICK_QUALITY_SCORE</t>
        </is>
      </c>
      <c r="C247" s="19" t="inlineStr">
        <is>
          <t>15</t>
        </is>
      </c>
      <c r="D247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7" s="20" t="inlineStr">
        <is>
          <t>ENTRY, GLOBAL_CHECK, STOCKS_EXIT</t>
        </is>
      </c>
      <c r="F247" s="17" t="inlineStr">
        <is>
          <t>ENTRY, GLOBAL_CHECK, STOCKS_EXIT</t>
        </is>
      </c>
      <c r="G247" s="20" t="inlineStr">
        <is>
          <t>HA_WICK_QUALITY_SCORE</t>
        </is>
      </c>
      <c r="H247" s="17" t="inlineStr">
        <is>
          <t>GENERAL</t>
        </is>
      </c>
      <c r="I247" s="17" t="inlineStr">
        <is>
          <t>LIVE — wired</t>
        </is>
      </c>
      <c r="J247" s="17" t="n"/>
      <c r="K247" s="21" t="inlineStr">
        <is>
          <t>—</t>
        </is>
      </c>
      <c r="L247" s="21" t="inlineStr">
        <is>
          <t>15, alt</t>
        </is>
      </c>
      <c r="M247" s="21" t="inlineStr">
        <is>
          <t>15</t>
        </is>
      </c>
      <c r="N247" s="21" t="inlineStr">
        <is>
          <t>param</t>
        </is>
      </c>
      <c r="O247" s="21" t="inlineStr">
        <is>
          <t>HA_WICK_QUALITY_SCORE</t>
        </is>
      </c>
      <c r="P247" s="21" t="inlineStr">
        <is>
          <t>getattr(cfg,"HA_WICK_QUALITY_SCORE")</t>
        </is>
      </c>
      <c r="Q247" t="inlineStr">
        <is>
          <t>YES</t>
        </is>
      </c>
    </row>
    <row r="248">
      <c r="A248" s="17" t="n">
        <v>62</v>
      </c>
      <c r="B248" s="22" t="inlineStr">
        <is>
          <t>HA_WICK_QUALITY_SCORE</t>
        </is>
      </c>
      <c r="C248" s="23" t="inlineStr">
        <is>
          <t>15_ALT</t>
        </is>
      </c>
      <c r="D248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8" s="20" t="inlineStr">
        <is>
          <t>ENTRY, GLOBAL_CHECK, STOCKS_EXIT</t>
        </is>
      </c>
      <c r="F248" s="17" t="inlineStr">
        <is>
          <t>ENTRY, GLOBAL_CHECK, STOCKS_EXIT</t>
        </is>
      </c>
      <c r="G248" s="20" t="inlineStr">
        <is>
          <t>HA_WICK_QUALITY_SCORE</t>
        </is>
      </c>
      <c r="H248" s="17" t="inlineStr">
        <is>
          <t>GENERAL</t>
        </is>
      </c>
      <c r="I248" s="17" t="inlineStr">
        <is>
          <t>LIVE — wired</t>
        </is>
      </c>
      <c r="J248" s="17" t="n"/>
      <c r="K248" s="21" t="inlineStr">
        <is>
          <t>—</t>
        </is>
      </c>
      <c r="L248" s="21" t="inlineStr">
        <is>
          <t>15, alt</t>
        </is>
      </c>
      <c r="M248" s="21" t="inlineStr">
        <is>
          <t>15</t>
        </is>
      </c>
      <c r="N248" s="21" t="inlineStr">
        <is>
          <t>param</t>
        </is>
      </c>
      <c r="O248" s="21" t="inlineStr">
        <is>
          <t>HA_WICK_QUALITY_SCORE</t>
        </is>
      </c>
      <c r="P248" s="21" t="inlineStr">
        <is>
          <t>getattr(cfg,"HA_WICK_QUALITY_SCORE")</t>
        </is>
      </c>
      <c r="Q248" t="inlineStr">
        <is>
          <t>NO</t>
        </is>
      </c>
    </row>
    <row r="249">
      <c r="A249" s="17" t="n">
        <v>63</v>
      </c>
      <c r="B249" s="22" t="inlineStr">
        <is>
          <t>HA_WICK_QUALITY_TF</t>
        </is>
      </c>
      <c r="C249" s="23" t="inlineStr">
        <is>
          <t>OFF</t>
        </is>
      </c>
      <c r="D249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49" s="20" t="inlineStr">
        <is>
          <t>ENTRY, GLOBAL_CHECK, STOCKS_EXIT</t>
        </is>
      </c>
      <c r="F249" s="17" t="inlineStr">
        <is>
          <t>ENTRY, GLOBAL_CHECK, STOCKS_EXIT</t>
        </is>
      </c>
      <c r="G249" s="20" t="inlineStr">
        <is>
          <t>HA_WICK_QUALITY_TF</t>
        </is>
      </c>
      <c r="H249" s="17" t="inlineStr">
        <is>
          <t>GENERAL</t>
        </is>
      </c>
      <c r="I249" s="17" t="inlineStr">
        <is>
          <t>LIVE — wired</t>
        </is>
      </c>
      <c r="J249" s="17" t="n"/>
      <c r="K249" s="21" t="inlineStr">
        <is>
          <t>1/4</t>
        </is>
      </c>
      <c r="L249" s="21" t="inlineStr">
        <is>
          <t>OFF, 15m, 1h, 4h, D (5 options)</t>
        </is>
      </c>
      <c r="M249" s="21" t="inlineStr">
        <is>
          <t>1h</t>
        </is>
      </c>
      <c r="N249" s="21" t="inlineStr">
        <is>
          <t>TF selector</t>
        </is>
      </c>
      <c r="O249" s="21" t="inlineStr">
        <is>
          <t>HA_WICK_QUALITY_TF</t>
        </is>
      </c>
      <c r="P249" s="21" t="inlineStr">
        <is>
          <t>getattr(cfg,"HA_WICK_QUALITY_TF")</t>
        </is>
      </c>
      <c r="Q249" t="inlineStr">
        <is>
          <t>NO</t>
        </is>
      </c>
    </row>
    <row r="250">
      <c r="A250" s="17" t="n">
        <v>63</v>
      </c>
      <c r="B250" s="22" t="inlineStr">
        <is>
          <t>HA_WICK_QUALITY_TF</t>
        </is>
      </c>
      <c r="C250" s="23" t="inlineStr">
        <is>
          <t>D</t>
        </is>
      </c>
      <c r="D250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0" s="20" t="inlineStr">
        <is>
          <t>ENTRY, GLOBAL_CHECK, STOCKS_EXIT</t>
        </is>
      </c>
      <c r="F250" s="17" t="inlineStr">
        <is>
          <t>ENTRY, GLOBAL_CHECK, STOCKS_EXIT</t>
        </is>
      </c>
      <c r="G250" s="20" t="inlineStr">
        <is>
          <t>HA_WICK_QUALITY_TF</t>
        </is>
      </c>
      <c r="H250" s="17" t="inlineStr">
        <is>
          <t>GENERAL</t>
        </is>
      </c>
      <c r="I250" s="17" t="inlineStr">
        <is>
          <t>LIVE — wired</t>
        </is>
      </c>
      <c r="J250" s="17" t="n"/>
      <c r="K250" s="21" t="inlineStr">
        <is>
          <t>1/4</t>
        </is>
      </c>
      <c r="L250" s="21" t="inlineStr">
        <is>
          <t>OFF, 15m, 1h, 4h, D (5 options)</t>
        </is>
      </c>
      <c r="M250" s="21" t="inlineStr">
        <is>
          <t>1h</t>
        </is>
      </c>
      <c r="N250" s="21" t="inlineStr">
        <is>
          <t>TF selector</t>
        </is>
      </c>
      <c r="O250" s="21" t="inlineStr">
        <is>
          <t>HA_WICK_QUALITY_TF</t>
        </is>
      </c>
      <c r="P250" s="21" t="inlineStr">
        <is>
          <t>getattr(cfg,"HA_WICK_QUALITY_TF")</t>
        </is>
      </c>
      <c r="Q250" t="inlineStr">
        <is>
          <t>NO</t>
        </is>
      </c>
    </row>
    <row r="251">
      <c r="A251" s="17" t="n">
        <v>63</v>
      </c>
      <c r="B251" s="22" t="inlineStr">
        <is>
          <t>HA_WICK_QUALITY_TF</t>
        </is>
      </c>
      <c r="C251" s="23" t="inlineStr">
        <is>
          <t>4h</t>
        </is>
      </c>
      <c r="D251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1" s="20" t="inlineStr">
        <is>
          <t>ENTRY, GLOBAL_CHECK, STOCKS_EXIT</t>
        </is>
      </c>
      <c r="F251" s="17" t="inlineStr">
        <is>
          <t>ENTRY, GLOBAL_CHECK, STOCKS_EXIT</t>
        </is>
      </c>
      <c r="G251" s="20" t="inlineStr">
        <is>
          <t>HA_WICK_QUALITY_TF</t>
        </is>
      </c>
      <c r="H251" s="17" t="inlineStr">
        <is>
          <t>GENERAL</t>
        </is>
      </c>
      <c r="I251" s="17" t="inlineStr">
        <is>
          <t>LIVE — wired</t>
        </is>
      </c>
      <c r="J251" s="17" t="n"/>
      <c r="K251" s="21" t="inlineStr">
        <is>
          <t>1/4</t>
        </is>
      </c>
      <c r="L251" s="21" t="inlineStr">
        <is>
          <t>OFF, 15m, 1h, 4h, D (5 options)</t>
        </is>
      </c>
      <c r="M251" s="21" t="inlineStr">
        <is>
          <t>1h</t>
        </is>
      </c>
      <c r="N251" s="21" t="inlineStr">
        <is>
          <t>TF selector</t>
        </is>
      </c>
      <c r="O251" s="21" t="inlineStr">
        <is>
          <t>HA_WICK_QUALITY_TF</t>
        </is>
      </c>
      <c r="P251" s="21" t="inlineStr">
        <is>
          <t>getattr(cfg,"HA_WICK_QUALITY_TF")</t>
        </is>
      </c>
      <c r="Q251" t="inlineStr">
        <is>
          <t>NO</t>
        </is>
      </c>
    </row>
    <row r="252">
      <c r="A252" s="17" t="n">
        <v>63</v>
      </c>
      <c r="B252" s="18" t="inlineStr">
        <is>
          <t>HA_WICK_QUALITY_TF</t>
        </is>
      </c>
      <c r="C252" s="19" t="inlineStr">
        <is>
          <t>1h</t>
        </is>
      </c>
      <c r="D252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2" s="20" t="inlineStr">
        <is>
          <t>ENTRY, GLOBAL_CHECK, STOCKS_EXIT</t>
        </is>
      </c>
      <c r="F252" s="17" t="inlineStr">
        <is>
          <t>ENTRY, GLOBAL_CHECK, STOCKS_EXIT</t>
        </is>
      </c>
      <c r="G252" s="20" t="inlineStr">
        <is>
          <t>HA_WICK_QUALITY_TF</t>
        </is>
      </c>
      <c r="H252" s="17" t="inlineStr">
        <is>
          <t>GENERAL</t>
        </is>
      </c>
      <c r="I252" s="17" t="inlineStr">
        <is>
          <t>LIVE — wired</t>
        </is>
      </c>
      <c r="J252" s="17" t="n"/>
      <c r="K252" s="21" t="inlineStr">
        <is>
          <t>1/4</t>
        </is>
      </c>
      <c r="L252" s="21" t="inlineStr">
        <is>
          <t>OFF, 15m, 1h, 4h, D (5 options)</t>
        </is>
      </c>
      <c r="M252" s="21" t="inlineStr">
        <is>
          <t>1h</t>
        </is>
      </c>
      <c r="N252" s="21" t="inlineStr">
        <is>
          <t>TF selector</t>
        </is>
      </c>
      <c r="O252" s="21" t="inlineStr">
        <is>
          <t>HA_WICK_QUALITY_TF</t>
        </is>
      </c>
      <c r="P252" s="21" t="inlineStr">
        <is>
          <t>getattr(cfg,"HA_WICK_QUALITY_TF")</t>
        </is>
      </c>
      <c r="Q252" t="inlineStr">
        <is>
          <t>YES</t>
        </is>
      </c>
    </row>
    <row r="253">
      <c r="A253" s="17" t="n">
        <v>63</v>
      </c>
      <c r="B253" s="22" t="inlineStr">
        <is>
          <t>HA_WICK_QUALITY_TF</t>
        </is>
      </c>
      <c r="C253" s="23" t="inlineStr">
        <is>
          <t>15m</t>
        </is>
      </c>
      <c r="D253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3" s="20" t="inlineStr">
        <is>
          <t>ENTRY, GLOBAL_CHECK, STOCKS_EXIT</t>
        </is>
      </c>
      <c r="F253" s="17" t="inlineStr">
        <is>
          <t>ENTRY, GLOBAL_CHECK, STOCKS_EXIT</t>
        </is>
      </c>
      <c r="G253" s="20" t="inlineStr">
        <is>
          <t>HA_WICK_QUALITY_TF</t>
        </is>
      </c>
      <c r="H253" s="17" t="inlineStr">
        <is>
          <t>GENERAL</t>
        </is>
      </c>
      <c r="I253" s="17" t="inlineStr">
        <is>
          <t>LIVE — wired</t>
        </is>
      </c>
      <c r="J253" s="17" t="n"/>
      <c r="K253" s="21" t="inlineStr">
        <is>
          <t>1/4</t>
        </is>
      </c>
      <c r="L253" s="21" t="inlineStr">
        <is>
          <t>OFF, 15m, 1h, 4h, D (5 options)</t>
        </is>
      </c>
      <c r="M253" s="21" t="inlineStr">
        <is>
          <t>1h</t>
        </is>
      </c>
      <c r="N253" s="21" t="inlineStr">
        <is>
          <t>TF selector</t>
        </is>
      </c>
      <c r="O253" s="21" t="inlineStr">
        <is>
          <t>HA_WICK_QUALITY_TF</t>
        </is>
      </c>
      <c r="P253" s="21" t="inlineStr">
        <is>
          <t>getattr(cfg,"HA_WICK_QUALITY_TF")</t>
        </is>
      </c>
      <c r="Q253" t="inlineStr">
        <is>
          <t>NO</t>
        </is>
      </c>
    </row>
    <row r="254">
      <c r="A254" s="17" t="n">
        <v>64</v>
      </c>
      <c r="B254" s="18" t="inlineStr">
        <is>
          <t>HLR_SMA_BAND_PCT</t>
        </is>
      </c>
      <c r="C254" s="19" t="inlineStr">
        <is>
          <t>0</t>
        </is>
      </c>
      <c r="D254" s="20" t="inlineStr">
        <is>
          <t>HLR band pct around SMA. | Live read: `'HLR_REENTRY_MULT_1H', 'HLR_REENTRY_MULT_4H', 'HLR_REENTRY_MULT_D', 'HLR_REENTRY`</t>
        </is>
      </c>
      <c r="E254" s="20" t="inlineStr">
        <is>
          <t>ENTRY, GLOBAL_CHECK, STOCKS_EXIT</t>
        </is>
      </c>
      <c r="F254" s="17" t="inlineStr">
        <is>
          <t>ENTRY, GLOBAL_CHECK, STOCKS_EXIT</t>
        </is>
      </c>
      <c r="G254" s="20" t="inlineStr">
        <is>
          <t>HLR_SMA_BAND_PCT</t>
        </is>
      </c>
      <c r="H254" s="17" t="inlineStr">
        <is>
          <t>GENERAL</t>
        </is>
      </c>
      <c r="I254" s="17" t="inlineStr">
        <is>
          <t>LIVE — wired</t>
        </is>
      </c>
      <c r="J254" s="17" t="n"/>
      <c r="K254" s="21" t="inlineStr">
        <is>
          <t>—</t>
        </is>
      </c>
      <c r="L254" s="21" t="inlineStr">
        <is>
          <t>0.0, ±25%, ±50% (4)</t>
        </is>
      </c>
      <c r="M254" s="21" t="inlineStr">
        <is>
          <t>0.0</t>
        </is>
      </c>
      <c r="N254" s="21" t="inlineStr">
        <is>
          <t>threshold</t>
        </is>
      </c>
      <c r="O254" s="21" t="inlineStr">
        <is>
          <t>HLR_SMA_BAND_PCT</t>
        </is>
      </c>
      <c r="P254" s="21" t="inlineStr">
        <is>
          <t>getattr(cfg,"HLR_SMA_BAND_PCT")</t>
        </is>
      </c>
      <c r="Q254" t="inlineStr">
        <is>
          <t>YES</t>
        </is>
      </c>
    </row>
    <row r="255">
      <c r="A255" s="17" t="n">
        <v>64</v>
      </c>
      <c r="B255" s="22" t="inlineStr">
        <is>
          <t>HLR_SMA_BAND_PCT</t>
        </is>
      </c>
      <c r="C255" s="23" t="inlineStr">
        <is>
          <t>2.0</t>
        </is>
      </c>
      <c r="D255" s="20" t="inlineStr">
        <is>
          <t>HLR band pct around SMA. | Live read: `'HLR_REENTRY_MULT_1H', 'HLR_REENTRY_MULT_4H', 'HLR_REENTRY_MULT_D', 'HLR_REENTRY`</t>
        </is>
      </c>
      <c r="E255" s="20" t="inlineStr">
        <is>
          <t>ENTRY, GLOBAL_CHECK, STOCKS_EXIT</t>
        </is>
      </c>
      <c r="F255" s="17" t="inlineStr">
        <is>
          <t>ENTRY, GLOBAL_CHECK, STOCKS_EXIT</t>
        </is>
      </c>
      <c r="G255" s="20" t="inlineStr">
        <is>
          <t>HLR_SMA_BAND_PCT</t>
        </is>
      </c>
      <c r="H255" s="17" t="inlineStr">
        <is>
          <t>GENERAL</t>
        </is>
      </c>
      <c r="I255" s="17" t="inlineStr">
        <is>
          <t>LIVE — wired</t>
        </is>
      </c>
      <c r="J255" s="17" t="n"/>
      <c r="K255" s="21" t="inlineStr">
        <is>
          <t>—</t>
        </is>
      </c>
      <c r="L255" s="21" t="inlineStr">
        <is>
          <t>0.0, ±25%, ±50% (4)</t>
        </is>
      </c>
      <c r="M255" s="21" t="inlineStr">
        <is>
          <t>0.0</t>
        </is>
      </c>
      <c r="N255" s="21" t="inlineStr">
        <is>
          <t>threshold</t>
        </is>
      </c>
      <c r="O255" s="21" t="inlineStr">
        <is>
          <t>HLR_SMA_BAND_PCT</t>
        </is>
      </c>
      <c r="P255" s="21" t="inlineStr">
        <is>
          <t>getattr(cfg,"HLR_SMA_BAND_PCT")</t>
        </is>
      </c>
      <c r="Q255" t="inlineStr">
        <is>
          <t>NO</t>
        </is>
      </c>
    </row>
    <row r="256">
      <c r="A256" s="17" t="n">
        <v>64</v>
      </c>
      <c r="B256" s="22" t="inlineStr">
        <is>
          <t>HLR_SMA_BAND_PCT</t>
        </is>
      </c>
      <c r="C256" s="23" t="inlineStr">
        <is>
          <t>1.0</t>
        </is>
      </c>
      <c r="D256" s="20" t="inlineStr">
        <is>
          <t>HLR band pct around SMA. | Live read: `'HLR_REENTRY_MULT_1H', 'HLR_REENTRY_MULT_4H', 'HLR_REENTRY_MULT_D', 'HLR_REENTRY`</t>
        </is>
      </c>
      <c r="E256" s="20" t="inlineStr">
        <is>
          <t>ENTRY, GLOBAL_CHECK, STOCKS_EXIT</t>
        </is>
      </c>
      <c r="F256" s="17" t="inlineStr">
        <is>
          <t>ENTRY, GLOBAL_CHECK, STOCKS_EXIT</t>
        </is>
      </c>
      <c r="G256" s="20" t="inlineStr">
        <is>
          <t>HLR_SMA_BAND_PCT</t>
        </is>
      </c>
      <c r="H256" s="17" t="inlineStr">
        <is>
          <t>GENERAL</t>
        </is>
      </c>
      <c r="I256" s="17" t="inlineStr">
        <is>
          <t>LIVE — wired</t>
        </is>
      </c>
      <c r="J256" s="17" t="n"/>
      <c r="K256" s="21" t="inlineStr">
        <is>
          <t>—</t>
        </is>
      </c>
      <c r="L256" s="21" t="inlineStr">
        <is>
          <t>0.0, ±25%, ±50% (4)</t>
        </is>
      </c>
      <c r="M256" s="21" t="inlineStr">
        <is>
          <t>0.0</t>
        </is>
      </c>
      <c r="N256" s="21" t="inlineStr">
        <is>
          <t>threshold</t>
        </is>
      </c>
      <c r="O256" s="21" t="inlineStr">
        <is>
          <t>HLR_SMA_BAND_PCT</t>
        </is>
      </c>
      <c r="P256" s="21" t="inlineStr">
        <is>
          <t>getattr(cfg,"HLR_SMA_BAND_PCT")</t>
        </is>
      </c>
      <c r="Q256" t="inlineStr">
        <is>
          <t>NO</t>
        </is>
      </c>
    </row>
    <row r="257">
      <c r="A257" s="17" t="n">
        <v>64</v>
      </c>
      <c r="B257" s="22" t="inlineStr">
        <is>
          <t>HLR_SMA_BAND_PCT</t>
        </is>
      </c>
      <c r="C257" s="23" t="inlineStr">
        <is>
          <t>0.5</t>
        </is>
      </c>
      <c r="D257" s="20" t="inlineStr">
        <is>
          <t>HLR band pct around SMA. | Live read: `'HLR_REENTRY_MULT_1H', 'HLR_REENTRY_MULT_4H', 'HLR_REENTRY_MULT_D', 'HLR_REENTRY`</t>
        </is>
      </c>
      <c r="E257" s="20" t="inlineStr">
        <is>
          <t>ENTRY, GLOBAL_CHECK, STOCKS_EXIT</t>
        </is>
      </c>
      <c r="F257" s="17" t="inlineStr">
        <is>
          <t>ENTRY, GLOBAL_CHECK, STOCKS_EXIT</t>
        </is>
      </c>
      <c r="G257" s="20" t="inlineStr">
        <is>
          <t>HLR_SMA_BAND_PCT</t>
        </is>
      </c>
      <c r="H257" s="17" t="inlineStr">
        <is>
          <t>GENERAL</t>
        </is>
      </c>
      <c r="I257" s="17" t="inlineStr">
        <is>
          <t>LIVE — wired</t>
        </is>
      </c>
      <c r="J257" s="17" t="n"/>
      <c r="K257" s="21" t="inlineStr">
        <is>
          <t>—</t>
        </is>
      </c>
      <c r="L257" s="21" t="inlineStr">
        <is>
          <t>0.0, ±25%, ±50% (4)</t>
        </is>
      </c>
      <c r="M257" s="21" t="inlineStr">
        <is>
          <t>0.0</t>
        </is>
      </c>
      <c r="N257" s="21" t="inlineStr">
        <is>
          <t>threshold</t>
        </is>
      </c>
      <c r="O257" s="21" t="inlineStr">
        <is>
          <t>HLR_SMA_BAND_PCT</t>
        </is>
      </c>
      <c r="P257" s="21" t="inlineStr">
        <is>
          <t>getattr(cfg,"HLR_SMA_BAND_PCT")</t>
        </is>
      </c>
      <c r="Q257" t="inlineStr">
        <is>
          <t>NO</t>
        </is>
      </c>
    </row>
    <row r="258">
      <c r="A258" s="17" t="n">
        <v>65</v>
      </c>
      <c r="B258" s="18" t="inlineStr">
        <is>
          <t>HLR_TOP_MIN_TFS</t>
        </is>
      </c>
      <c r="C258" s="19" t="inlineStr">
        <is>
          <t>0</t>
        </is>
      </c>
      <c r="D258" s="20" t="inlineStr">
        <is>
          <t>Min TFs for HLR top confirmation. | Live read: `'HLR_TOP_EXIT_ENABLED', 'HLR_TOP_MIN_GAIN_PCT', 'HLR_TOP_MIN_TFS', 'HLR_TOP_VEL_`</t>
        </is>
      </c>
      <c r="E258" s="20" t="inlineStr">
        <is>
          <t>GLOBAL_CHECK, REENTRY, STOCKS_EXIT</t>
        </is>
      </c>
      <c r="F258" s="17" t="inlineStr">
        <is>
          <t>GLOBAL_CHECK, REENTRY, STOCKS_EXIT</t>
        </is>
      </c>
      <c r="G258" s="20" t="inlineStr">
        <is>
          <t>HLR_TOP_MIN_TFS</t>
        </is>
      </c>
      <c r="H258" s="17" t="inlineStr">
        <is>
          <t>GENERAL</t>
        </is>
      </c>
      <c r="I258" s="17" t="inlineStr">
        <is>
          <t>LIVE — wired</t>
        </is>
      </c>
      <c r="J258" s="17" t="n"/>
      <c r="K258" s="21" t="inlineStr">
        <is>
          <t>N</t>
        </is>
      </c>
      <c r="L258" s="21" t="inlineStr">
        <is>
          <t>0.0, +1, +2 (3)</t>
        </is>
      </c>
      <c r="M258" s="21" t="inlineStr">
        <is>
          <t>0.0</t>
        </is>
      </c>
      <c r="N258" s="21" t="inlineStr">
        <is>
          <t>count</t>
        </is>
      </c>
      <c r="O258" s="21" t="inlineStr">
        <is>
          <t>HLR_TOP_MIN_TFS</t>
        </is>
      </c>
      <c r="P258" s="21" t="inlineStr">
        <is>
          <t>getattr(cfg,"HLR_TOP_MIN_TFS")</t>
        </is>
      </c>
      <c r="Q258" t="inlineStr">
        <is>
          <t>YES</t>
        </is>
      </c>
    </row>
    <row r="259">
      <c r="A259" s="17" t="n">
        <v>65</v>
      </c>
      <c r="B259" s="22" t="inlineStr">
        <is>
          <t>HLR_TOP_MIN_TFS</t>
        </is>
      </c>
      <c r="C259" s="23" t="inlineStr">
        <is>
          <t>2</t>
        </is>
      </c>
      <c r="D259" s="20" t="inlineStr">
        <is>
          <t>Min TFs for HLR top confirmation. | Live read: `'HLR_TOP_EXIT_ENABLED', 'HLR_TOP_MIN_GAIN_PCT', 'HLR_TOP_MIN_TFS', 'HLR_TOP_VEL_`</t>
        </is>
      </c>
      <c r="E259" s="20" t="inlineStr">
        <is>
          <t>GLOBAL_CHECK, REENTRY, STOCKS_EXIT</t>
        </is>
      </c>
      <c r="F259" s="17" t="inlineStr">
        <is>
          <t>GLOBAL_CHECK, REENTRY, STOCKS_EXIT</t>
        </is>
      </c>
      <c r="G259" s="20" t="inlineStr">
        <is>
          <t>HLR_TOP_MIN_TFS</t>
        </is>
      </c>
      <c r="H259" s="17" t="inlineStr">
        <is>
          <t>GENERAL</t>
        </is>
      </c>
      <c r="I259" s="17" t="inlineStr">
        <is>
          <t>LIVE — wired</t>
        </is>
      </c>
      <c r="J259" s="17" t="n"/>
      <c r="K259" s="21" t="inlineStr">
        <is>
          <t>N</t>
        </is>
      </c>
      <c r="L259" s="21" t="inlineStr">
        <is>
          <t>0.0, +1, +2 (3)</t>
        </is>
      </c>
      <c r="M259" s="21" t="inlineStr">
        <is>
          <t>0.0</t>
        </is>
      </c>
      <c r="N259" s="21" t="inlineStr">
        <is>
          <t>count</t>
        </is>
      </c>
      <c r="O259" s="21" t="inlineStr">
        <is>
          <t>HLR_TOP_MIN_TFS</t>
        </is>
      </c>
      <c r="P259" s="21" t="inlineStr">
        <is>
          <t>getattr(cfg,"HLR_TOP_MIN_TFS")</t>
        </is>
      </c>
      <c r="Q259" t="inlineStr">
        <is>
          <t>NO</t>
        </is>
      </c>
    </row>
    <row r="260">
      <c r="A260" s="17" t="n">
        <v>65</v>
      </c>
      <c r="B260" s="22" t="inlineStr">
        <is>
          <t>HLR_TOP_MIN_TFS</t>
        </is>
      </c>
      <c r="C260" s="23" t="inlineStr">
        <is>
          <t>1</t>
        </is>
      </c>
      <c r="D260" s="20" t="inlineStr">
        <is>
          <t>Min TFs for HLR top confirmation. | Live read: `'HLR_TOP_EXIT_ENABLED', 'HLR_TOP_MIN_GAIN_PCT', 'HLR_TOP_MIN_TFS', 'HLR_TOP_VEL_`</t>
        </is>
      </c>
      <c r="E260" s="20" t="inlineStr">
        <is>
          <t>GLOBAL_CHECK, REENTRY, STOCKS_EXIT</t>
        </is>
      </c>
      <c r="F260" s="17" t="inlineStr">
        <is>
          <t>GLOBAL_CHECK, REENTRY, STOCKS_EXIT</t>
        </is>
      </c>
      <c r="G260" s="20" t="inlineStr">
        <is>
          <t>HLR_TOP_MIN_TFS</t>
        </is>
      </c>
      <c r="H260" s="17" t="inlineStr">
        <is>
          <t>GENERAL</t>
        </is>
      </c>
      <c r="I260" s="17" t="inlineStr">
        <is>
          <t>LIVE — wired</t>
        </is>
      </c>
      <c r="J260" s="17" t="n"/>
      <c r="K260" s="21" t="inlineStr">
        <is>
          <t>N</t>
        </is>
      </c>
      <c r="L260" s="21" t="inlineStr">
        <is>
          <t>0.0, +1, +2 (3)</t>
        </is>
      </c>
      <c r="M260" s="21" t="inlineStr">
        <is>
          <t>0.0</t>
        </is>
      </c>
      <c r="N260" s="21" t="inlineStr">
        <is>
          <t>count</t>
        </is>
      </c>
      <c r="O260" s="21" t="inlineStr">
        <is>
          <t>HLR_TOP_MIN_TFS</t>
        </is>
      </c>
      <c r="P260" s="21" t="inlineStr">
        <is>
          <t>getattr(cfg,"HLR_TOP_MIN_TFS")</t>
        </is>
      </c>
      <c r="Q260" t="inlineStr">
        <is>
          <t>NO</t>
        </is>
      </c>
    </row>
    <row r="261">
      <c r="A261" s="17" t="n">
        <v>66</v>
      </c>
      <c r="B261" s="18" t="inlineStr">
        <is>
          <t>HTF4_CONF</t>
        </is>
      </c>
      <c r="C261" s="19" t="inlineStr">
        <is>
          <t>False</t>
        </is>
      </c>
      <c r="D261" s="20" t="inlineStr">
        <is>
          <t>HTF 4h confirmation threshold. | Live read: `ILTER_TF', 'EMA_9_21_FILTER_FILTER_TF', 'EMA_9_21_FILTER_MIN_TFS', 'EMA_BLANKET_`</t>
        </is>
      </c>
      <c r="E261" s="20" t="inlineStr">
        <is>
          <t>GLOBAL_CHECK, STOCKS_EXIT</t>
        </is>
      </c>
      <c r="F261" s="17" t="inlineStr">
        <is>
          <t>GLOBAL_CHECK, STOCKS_EXIT</t>
        </is>
      </c>
      <c r="G261" s="20" t="inlineStr">
        <is>
          <t>HTF4_CONF</t>
        </is>
      </c>
      <c r="H261" s="17" t="inlineStr">
        <is>
          <t>GENERAL — uniform</t>
        </is>
      </c>
      <c r="I261" s="17" t="inlineStr">
        <is>
          <t>LIVE — wired</t>
        </is>
      </c>
      <c r="J261" s="17" t="n"/>
      <c r="K261" s="21" t="inlineStr">
        <is>
          <t>—</t>
        </is>
      </c>
      <c r="L261" s="21" t="inlineStr">
        <is>
          <t>False, alt</t>
        </is>
      </c>
      <c r="M261" s="21" t="inlineStr">
        <is>
          <t>False</t>
        </is>
      </c>
      <c r="N261" s="21" t="inlineStr">
        <is>
          <t>param</t>
        </is>
      </c>
      <c r="O261" s="21" t="inlineStr">
        <is>
          <t>HTF4_CONF</t>
        </is>
      </c>
      <c r="P261" s="21" t="inlineStr">
        <is>
          <t>getattr(cfg,"HTF4_CONF")</t>
        </is>
      </c>
      <c r="Q261" t="inlineStr">
        <is>
          <t>YES</t>
        </is>
      </c>
    </row>
    <row r="262">
      <c r="A262" s="17" t="n">
        <v>66</v>
      </c>
      <c r="B262" s="22" t="inlineStr">
        <is>
          <t>HTF4_CONF</t>
        </is>
      </c>
      <c r="C262" s="23" t="inlineStr">
        <is>
          <t>False_ALT</t>
        </is>
      </c>
      <c r="D262" s="20" t="inlineStr">
        <is>
          <t>HTF 4h confirmation threshold. | Live read: `ILTER_TF', 'EMA_9_21_FILTER_FILTER_TF', 'EMA_9_21_FILTER_MIN_TFS', 'EMA_BLANKET_`</t>
        </is>
      </c>
      <c r="E262" s="20" t="inlineStr">
        <is>
          <t>GLOBAL_CHECK, STOCKS_EXIT</t>
        </is>
      </c>
      <c r="F262" s="17" t="inlineStr">
        <is>
          <t>GLOBAL_CHECK, STOCKS_EXIT</t>
        </is>
      </c>
      <c r="G262" s="20" t="inlineStr">
        <is>
          <t>HTF4_CONF</t>
        </is>
      </c>
      <c r="H262" s="17" t="inlineStr">
        <is>
          <t>GENERAL — uniform</t>
        </is>
      </c>
      <c r="I262" s="17" t="inlineStr">
        <is>
          <t>LIVE — wired</t>
        </is>
      </c>
      <c r="J262" s="17" t="n"/>
      <c r="K262" s="21" t="inlineStr">
        <is>
          <t>—</t>
        </is>
      </c>
      <c r="L262" s="21" t="inlineStr">
        <is>
          <t>False, alt</t>
        </is>
      </c>
      <c r="M262" s="21" t="inlineStr">
        <is>
          <t>False</t>
        </is>
      </c>
      <c r="N262" s="21" t="inlineStr">
        <is>
          <t>param</t>
        </is>
      </c>
      <c r="O262" s="21" t="inlineStr">
        <is>
          <t>HTF4_CONF</t>
        </is>
      </c>
      <c r="P262" s="21" t="inlineStr">
        <is>
          <t>getattr(cfg,"HTF4_CONF")</t>
        </is>
      </c>
      <c r="Q262" t="inlineStr">
        <is>
          <t>NO</t>
        </is>
      </c>
    </row>
    <row r="263">
      <c r="A263" s="17" t="n">
        <v>67</v>
      </c>
      <c r="B263" s="18" t="inlineStr">
        <is>
          <t>HTF_DIRECTION_GATE_ENABLED</t>
        </is>
      </c>
      <c r="C263" s="19" t="inlineStr">
        <is>
          <t>False</t>
        </is>
      </c>
      <c r="D263" s="20" t="inlineStr">
        <is>
          <t>HTF direction gate (requires HTF trend alignment). | Live read: `NABLED', 'GOLDEN_RULE_BB_D_ENABLED', 'GOLDEN_RULE_BB_W_ENABLED', 'GOLDEN_RULE_DC`</t>
        </is>
      </c>
      <c r="E263" s="20" t="inlineStr">
        <is>
          <t>ENTRY, GLOBAL_CHECK, STOCKS_EXIT</t>
        </is>
      </c>
      <c r="F263" s="17" t="inlineStr">
        <is>
          <t>ENTRY, GLOBAL_CHECK, STOCKS_EXIT</t>
        </is>
      </c>
      <c r="G263" s="20" t="inlineStr">
        <is>
          <t>HTF direction</t>
        </is>
      </c>
      <c r="H263" s="17" t="inlineStr">
        <is>
          <t>GENERAL — uniform</t>
        </is>
      </c>
      <c r="I263" s="17" t="inlineStr">
        <is>
          <t>LIVE — wired</t>
        </is>
      </c>
      <c r="J263" s="17" t="n"/>
      <c r="K263" s="21" t="inlineStr">
        <is>
          <t>—</t>
        </is>
      </c>
      <c r="L263" s="21" t="inlineStr">
        <is>
          <t>False, True (2)</t>
        </is>
      </c>
      <c r="M263" s="21" t="inlineStr">
        <is>
          <t>False</t>
        </is>
      </c>
      <c r="N263" s="21" t="inlineStr">
        <is>
          <t>bool gate</t>
        </is>
      </c>
      <c r="O263" s="21" t="inlineStr">
        <is>
          <t>HTF_DIRECTION_GATE_ENABLED</t>
        </is>
      </c>
      <c r="P263" s="21" t="inlineStr">
        <is>
          <t>getattr(cfg,"HTF_DIRECTION_GATE_ENABLED")</t>
        </is>
      </c>
      <c r="Q263" t="inlineStr">
        <is>
          <t>YES</t>
        </is>
      </c>
    </row>
    <row r="264">
      <c r="A264" s="17" t="n">
        <v>67</v>
      </c>
      <c r="B264" s="22" t="inlineStr">
        <is>
          <t>HTF_DIRECTION_GATE_ENABLED</t>
        </is>
      </c>
      <c r="C264" s="23" t="inlineStr">
        <is>
          <t>True</t>
        </is>
      </c>
      <c r="D264" s="20" t="inlineStr">
        <is>
          <t>HTF direction gate (requires HTF trend alignment). | Live read: `NABLED', 'GOLDEN_RULE_BB_D_ENABLED', 'GOLDEN_RULE_BB_W_ENABLED', 'GOLDEN_RULE_DC`</t>
        </is>
      </c>
      <c r="E264" s="20" t="inlineStr">
        <is>
          <t>ENTRY, GLOBAL_CHECK, STOCKS_EXIT</t>
        </is>
      </c>
      <c r="F264" s="17" t="inlineStr">
        <is>
          <t>ENTRY, GLOBAL_CHECK, STOCKS_EXIT</t>
        </is>
      </c>
      <c r="G264" s="20" t="inlineStr">
        <is>
          <t>HTF direction</t>
        </is>
      </c>
      <c r="H264" s="17" t="inlineStr">
        <is>
          <t>GENERAL — uniform</t>
        </is>
      </c>
      <c r="I264" s="17" t="inlineStr">
        <is>
          <t>LIVE — wired</t>
        </is>
      </c>
      <c r="J264" s="17" t="n"/>
      <c r="K264" s="21" t="inlineStr">
        <is>
          <t>—</t>
        </is>
      </c>
      <c r="L264" s="21" t="inlineStr">
        <is>
          <t>False, True (2)</t>
        </is>
      </c>
      <c r="M264" s="21" t="inlineStr">
        <is>
          <t>False</t>
        </is>
      </c>
      <c r="N264" s="21" t="inlineStr">
        <is>
          <t>bool gate</t>
        </is>
      </c>
      <c r="O264" s="21" t="inlineStr">
        <is>
          <t>HTF_DIRECTION_GATE_ENABLED</t>
        </is>
      </c>
      <c r="P264" s="21" t="inlineStr">
        <is>
          <t>getattr(cfg,"HTF_DIRECTION_GATE_ENABLED")</t>
        </is>
      </c>
      <c r="Q264" t="inlineStr">
        <is>
          <t>NO</t>
        </is>
      </c>
    </row>
    <row r="265">
      <c r="A265" s="17" t="n">
        <v>68</v>
      </c>
      <c r="B265" s="18" t="inlineStr">
        <is>
          <t>HTF_GATE_BYPASS_RZ</t>
        </is>
      </c>
      <c r="C265" s="19" t="inlineStr">
        <is>
          <t>0.0</t>
        </is>
      </c>
      <c r="D265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5" s="20" t="inlineStr">
        <is>
          <t>ENTRY, GLOBAL_CHECK, STOCKS_EXIT</t>
        </is>
      </c>
      <c r="F265" s="17" t="inlineStr">
        <is>
          <t>ENTRY, GLOBAL_CHECK, STOCKS_EXIT</t>
        </is>
      </c>
      <c r="G265" s="20" t="inlineStr">
        <is>
          <t>HTF_GATE_BYPASS_RZ</t>
        </is>
      </c>
      <c r="H265" s="17" t="inlineStr">
        <is>
          <t>GENERAL — uniform</t>
        </is>
      </c>
      <c r="I265" s="17" t="inlineStr">
        <is>
          <t>LIVE — wired</t>
        </is>
      </c>
      <c r="J265" s="17" t="n"/>
      <c r="K265" s="21" t="inlineStr">
        <is>
          <t>—</t>
        </is>
      </c>
      <c r="L265" s="21" t="inlineStr">
        <is>
          <t>0.0, alt</t>
        </is>
      </c>
      <c r="M265" s="21" t="inlineStr">
        <is>
          <t>0.0</t>
        </is>
      </c>
      <c r="N265" s="21" t="inlineStr">
        <is>
          <t>param</t>
        </is>
      </c>
      <c r="O265" s="21" t="inlineStr">
        <is>
          <t>HTF_GATE_BYPASS_RZ</t>
        </is>
      </c>
      <c r="P265" s="21" t="inlineStr">
        <is>
          <t>getattr(cfg,"HTF_GATE_BYPASS_RZ")</t>
        </is>
      </c>
      <c r="Q265" t="inlineStr">
        <is>
          <t>YES</t>
        </is>
      </c>
    </row>
    <row r="266">
      <c r="A266" s="17" t="n">
        <v>68</v>
      </c>
      <c r="B266" s="22" t="inlineStr">
        <is>
          <t>HTF_GATE_BYPASS_RZ</t>
        </is>
      </c>
      <c r="C266" s="23" t="inlineStr">
        <is>
          <t>0.0_ALT</t>
        </is>
      </c>
      <c r="D266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6" s="20" t="inlineStr">
        <is>
          <t>ENTRY, GLOBAL_CHECK, STOCKS_EXIT</t>
        </is>
      </c>
      <c r="F266" s="17" t="inlineStr">
        <is>
          <t>ENTRY, GLOBAL_CHECK, STOCKS_EXIT</t>
        </is>
      </c>
      <c r="G266" s="20" t="inlineStr">
        <is>
          <t>HTF_GATE_BYPASS_RZ</t>
        </is>
      </c>
      <c r="H266" s="17" t="inlineStr">
        <is>
          <t>GENERAL — uniform</t>
        </is>
      </c>
      <c r="I266" s="17" t="inlineStr">
        <is>
          <t>LIVE — wired</t>
        </is>
      </c>
      <c r="J266" s="17" t="n"/>
      <c r="K266" s="21" t="inlineStr">
        <is>
          <t>—</t>
        </is>
      </c>
      <c r="L266" s="21" t="inlineStr">
        <is>
          <t>0.0, alt</t>
        </is>
      </c>
      <c r="M266" s="21" t="inlineStr">
        <is>
          <t>0.0</t>
        </is>
      </c>
      <c r="N266" s="21" t="inlineStr">
        <is>
          <t>param</t>
        </is>
      </c>
      <c r="O266" s="21" t="inlineStr">
        <is>
          <t>HTF_GATE_BYPASS_RZ</t>
        </is>
      </c>
      <c r="P266" s="21" t="inlineStr">
        <is>
          <t>getattr(cfg,"HTF_GATE_BYPASS_RZ")</t>
        </is>
      </c>
      <c r="Q266" t="inlineStr">
        <is>
          <t>NO</t>
        </is>
      </c>
    </row>
    <row r="267">
      <c r="A267" s="17" t="n">
        <v>69</v>
      </c>
      <c r="B267" s="18" t="inlineStr">
        <is>
          <t>HTF_GATE_D_MANDATORY</t>
        </is>
      </c>
      <c r="C267" s="19" t="inlineStr">
        <is>
          <t>0.0</t>
        </is>
      </c>
      <c r="D267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7" s="20" t="inlineStr">
        <is>
          <t>ENTRY, GLOBAL_CHECK, STOCKS_EXIT</t>
        </is>
      </c>
      <c r="F267" s="17" t="inlineStr">
        <is>
          <t>ENTRY, GLOBAL_CHECK, STOCKS_EXIT</t>
        </is>
      </c>
      <c r="G267" s="20" t="inlineStr">
        <is>
          <t>HTF_GATE_D_MANDATORY</t>
        </is>
      </c>
      <c r="H267" s="17" t="inlineStr">
        <is>
          <t>GENERAL — uniform</t>
        </is>
      </c>
      <c r="I267" s="17" t="inlineStr">
        <is>
          <t>LIVE — wired</t>
        </is>
      </c>
      <c r="J267" s="17" t="n"/>
      <c r="K267" s="21" t="inlineStr">
        <is>
          <t>—</t>
        </is>
      </c>
      <c r="L267" s="21" t="inlineStr">
        <is>
          <t>0.0, alt</t>
        </is>
      </c>
      <c r="M267" s="21" t="inlineStr">
        <is>
          <t>0.0</t>
        </is>
      </c>
      <c r="N267" s="21" t="inlineStr">
        <is>
          <t>param</t>
        </is>
      </c>
      <c r="O267" s="21" t="inlineStr">
        <is>
          <t>HTF_GATE_D_MANDATORY</t>
        </is>
      </c>
      <c r="P267" s="21" t="inlineStr">
        <is>
          <t>getattr(cfg,"HTF_GATE_D_MANDATORY")</t>
        </is>
      </c>
      <c r="Q267" t="inlineStr">
        <is>
          <t>YES</t>
        </is>
      </c>
    </row>
    <row r="268">
      <c r="A268" s="17" t="n">
        <v>69</v>
      </c>
      <c r="B268" s="22" t="inlineStr">
        <is>
          <t>HTF_GATE_D_MANDATORY</t>
        </is>
      </c>
      <c r="C268" s="23" t="inlineStr">
        <is>
          <t>0.0_ALT</t>
        </is>
      </c>
      <c r="D268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8" s="20" t="inlineStr">
        <is>
          <t>ENTRY, GLOBAL_CHECK, STOCKS_EXIT</t>
        </is>
      </c>
      <c r="F268" s="17" t="inlineStr">
        <is>
          <t>ENTRY, GLOBAL_CHECK, STOCKS_EXIT</t>
        </is>
      </c>
      <c r="G268" s="20" t="inlineStr">
        <is>
          <t>HTF_GATE_D_MANDATORY</t>
        </is>
      </c>
      <c r="H268" s="17" t="inlineStr">
        <is>
          <t>GENERAL — uniform</t>
        </is>
      </c>
      <c r="I268" s="17" t="inlineStr">
        <is>
          <t>LIVE — wired</t>
        </is>
      </c>
      <c r="J268" s="17" t="n"/>
      <c r="K268" s="21" t="inlineStr">
        <is>
          <t>—</t>
        </is>
      </c>
      <c r="L268" s="21" t="inlineStr">
        <is>
          <t>0.0, alt</t>
        </is>
      </c>
      <c r="M268" s="21" t="inlineStr">
        <is>
          <t>0.0</t>
        </is>
      </c>
      <c r="N268" s="21" t="inlineStr">
        <is>
          <t>param</t>
        </is>
      </c>
      <c r="O268" s="21" t="inlineStr">
        <is>
          <t>HTF_GATE_D_MANDATORY</t>
        </is>
      </c>
      <c r="P268" s="21" t="inlineStr">
        <is>
          <t>getattr(cfg,"HTF_GATE_D_MANDATORY")</t>
        </is>
      </c>
      <c r="Q268" t="inlineStr">
        <is>
          <t>NO</t>
        </is>
      </c>
    </row>
    <row r="269">
      <c r="A269" s="17" t="n">
        <v>70</v>
      </c>
      <c r="B269" s="18" t="inlineStr">
        <is>
          <t>HTF_GATE_MIN_CONFIRMATIONS</t>
        </is>
      </c>
      <c r="C269" s="19" t="inlineStr">
        <is>
          <t>0.0</t>
        </is>
      </c>
      <c r="D269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69" s="20" t="inlineStr">
        <is>
          <t>ENTRY, GLOBAL_CHECK, STOCKS_EXIT</t>
        </is>
      </c>
      <c r="F269" s="17" t="inlineStr">
        <is>
          <t>ENTRY, GLOBAL_CHECK, STOCKS_EXIT</t>
        </is>
      </c>
      <c r="G269" s="20" t="inlineStr">
        <is>
          <t>HTF_GATE_MIN_CONFIRMATIONS</t>
        </is>
      </c>
      <c r="H269" s="17" t="inlineStr">
        <is>
          <t>GENERAL — uniform</t>
        </is>
      </c>
      <c r="I269" s="17" t="inlineStr">
        <is>
          <t>LIVE — wired</t>
        </is>
      </c>
      <c r="J269" s="17" t="n"/>
      <c r="K269" s="21" t="inlineStr">
        <is>
          <t>—</t>
        </is>
      </c>
      <c r="L269" s="21" t="inlineStr">
        <is>
          <t>0.0, alt</t>
        </is>
      </c>
      <c r="M269" s="21" t="inlineStr">
        <is>
          <t>0.0</t>
        </is>
      </c>
      <c r="N269" s="21" t="inlineStr">
        <is>
          <t>param</t>
        </is>
      </c>
      <c r="O269" s="21" t="inlineStr">
        <is>
          <t>HTF_GATE_MIN_CONFIRMATIONS</t>
        </is>
      </c>
      <c r="P269" s="21" t="inlineStr">
        <is>
          <t>getattr(cfg,"HTF_GATE_MIN_CONFIRMATIONS")</t>
        </is>
      </c>
      <c r="Q269" t="inlineStr">
        <is>
          <t>YES</t>
        </is>
      </c>
    </row>
    <row r="270">
      <c r="A270" s="17" t="n">
        <v>70</v>
      </c>
      <c r="B270" s="22" t="inlineStr">
        <is>
          <t>HTF_GATE_MIN_CONFIRMATIONS</t>
        </is>
      </c>
      <c r="C270" s="23" t="inlineStr">
        <is>
          <t>0.0_ALT</t>
        </is>
      </c>
      <c r="D270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70" s="20" t="inlineStr">
        <is>
          <t>ENTRY, GLOBAL_CHECK, STOCKS_EXIT</t>
        </is>
      </c>
      <c r="F270" s="17" t="inlineStr">
        <is>
          <t>ENTRY, GLOBAL_CHECK, STOCKS_EXIT</t>
        </is>
      </c>
      <c r="G270" s="20" t="inlineStr">
        <is>
          <t>HTF_GATE_MIN_CONFIRMATIONS</t>
        </is>
      </c>
      <c r="H270" s="17" t="inlineStr">
        <is>
          <t>GENERAL — uniform</t>
        </is>
      </c>
      <c r="I270" s="17" t="inlineStr">
        <is>
          <t>LIVE — wired</t>
        </is>
      </c>
      <c r="J270" s="17" t="n"/>
      <c r="K270" s="21" t="inlineStr">
        <is>
          <t>—</t>
        </is>
      </c>
      <c r="L270" s="21" t="inlineStr">
        <is>
          <t>0.0, alt</t>
        </is>
      </c>
      <c r="M270" s="21" t="inlineStr">
        <is>
          <t>0.0</t>
        </is>
      </c>
      <c r="N270" s="21" t="inlineStr">
        <is>
          <t>param</t>
        </is>
      </c>
      <c r="O270" s="21" t="inlineStr">
        <is>
          <t>HTF_GATE_MIN_CONFIRMATIONS</t>
        </is>
      </c>
      <c r="P270" s="21" t="inlineStr">
        <is>
          <t>getattr(cfg,"HTF_GATE_MIN_CONFIRMATIONS")</t>
        </is>
      </c>
      <c r="Q270" t="inlineStr">
        <is>
          <t>NO</t>
        </is>
      </c>
    </row>
    <row r="271">
      <c r="A271" s="17" t="n">
        <v>71</v>
      </c>
      <c r="B271" s="18" t="inlineStr">
        <is>
          <t>HTF_TREND_VETO_BYPASS_ENABLED</t>
        </is>
      </c>
      <c r="C271" s="19" t="inlineStr">
        <is>
          <t>False</t>
        </is>
      </c>
      <c r="D271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1" s="20" t="inlineStr">
        <is>
          <t>GLOBAL_CHECK, STOCKS_EXIT</t>
        </is>
      </c>
      <c r="F271" s="17" t="inlineStr">
        <is>
          <t>GLOBAL_CHECK, STOCKS_EXIT</t>
        </is>
      </c>
      <c r="G271" s="20" t="inlineStr">
        <is>
          <t>HTF_TREND_VETO_BYPASS_ENABLED</t>
        </is>
      </c>
      <c r="H271" s="17" t="inlineStr">
        <is>
          <t>GENERAL</t>
        </is>
      </c>
      <c r="I271" s="17" t="inlineStr">
        <is>
          <t>LIVE — wired</t>
        </is>
      </c>
      <c r="J271" s="17" t="n"/>
      <c r="K271" s="21" t="inlineStr">
        <is>
          <t>—</t>
        </is>
      </c>
      <c r="L271" s="21" t="inlineStr">
        <is>
          <t>False, True (2)</t>
        </is>
      </c>
      <c r="M271" s="21" t="inlineStr">
        <is>
          <t>False</t>
        </is>
      </c>
      <c r="N271" s="21" t="inlineStr">
        <is>
          <t>bool gate</t>
        </is>
      </c>
      <c r="O271" s="21" t="inlineStr">
        <is>
          <t>HTF_TREND_VETO_BYPASS_ENABLED</t>
        </is>
      </c>
      <c r="P271" s="21" t="inlineStr">
        <is>
          <t>getattr(cfg,"HTF_TREND_VETO_BYPASS_ENABLED")</t>
        </is>
      </c>
      <c r="Q271" t="inlineStr">
        <is>
          <t>YES</t>
        </is>
      </c>
    </row>
    <row r="272">
      <c r="A272" s="17" t="n">
        <v>71</v>
      </c>
      <c r="B272" s="22" t="inlineStr">
        <is>
          <t>HTF_TREND_VETO_BYPASS_ENABLED</t>
        </is>
      </c>
      <c r="C272" s="23" t="inlineStr">
        <is>
          <t>True</t>
        </is>
      </c>
      <c r="D272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2" s="20" t="inlineStr">
        <is>
          <t>GLOBAL_CHECK, STOCKS_EXIT</t>
        </is>
      </c>
      <c r="F272" s="17" t="inlineStr">
        <is>
          <t>GLOBAL_CHECK, STOCKS_EXIT</t>
        </is>
      </c>
      <c r="G272" s="20" t="inlineStr">
        <is>
          <t>HTF_TREND_VETO_BYPASS_ENABLED</t>
        </is>
      </c>
      <c r="H272" s="17" t="inlineStr">
        <is>
          <t>GENERAL</t>
        </is>
      </c>
      <c r="I272" s="17" t="inlineStr">
        <is>
          <t>LIVE — wired</t>
        </is>
      </c>
      <c r="J272" s="17" t="n"/>
      <c r="K272" s="21" t="inlineStr">
        <is>
          <t>—</t>
        </is>
      </c>
      <c r="L272" s="21" t="inlineStr">
        <is>
          <t>False, True (2)</t>
        </is>
      </c>
      <c r="M272" s="21" t="inlineStr">
        <is>
          <t>False</t>
        </is>
      </c>
      <c r="N272" s="21" t="inlineStr">
        <is>
          <t>bool gate</t>
        </is>
      </c>
      <c r="O272" s="21" t="inlineStr">
        <is>
          <t>HTF_TREND_VETO_BYPASS_ENABLED</t>
        </is>
      </c>
      <c r="P272" s="21" t="inlineStr">
        <is>
          <t>getattr(cfg,"HTF_TREND_VETO_BYPASS_ENABLED")</t>
        </is>
      </c>
      <c r="Q272" t="inlineStr">
        <is>
          <t>NO</t>
        </is>
      </c>
    </row>
    <row r="273">
      <c r="A273" s="17" t="n">
        <v>72</v>
      </c>
      <c r="B273" s="18" t="inlineStr">
        <is>
          <t>HTF_TREND_VETO_BYPASS_REASONS</t>
        </is>
      </c>
      <c r="C273" s="19" t="inlineStr">
        <is>
          <t>0.0</t>
        </is>
      </c>
      <c r="D273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3" s="20" t="inlineStr">
        <is>
          <t>GLOBAL_CHECK, STOCKS_EXIT</t>
        </is>
      </c>
      <c r="F273" s="17" t="inlineStr">
        <is>
          <t>GLOBAL_CHECK, STOCKS_EXIT</t>
        </is>
      </c>
      <c r="G273" s="20" t="inlineStr">
        <is>
          <t>HTF_TREND_VETO_BYPASS_REASONS</t>
        </is>
      </c>
      <c r="H273" s="17" t="inlineStr">
        <is>
          <t>GENERAL</t>
        </is>
      </c>
      <c r="I273" s="17" t="inlineStr">
        <is>
          <t>LIVE — wired</t>
        </is>
      </c>
      <c r="J273" s="17" t="n"/>
      <c r="K273" s="21" t="inlineStr">
        <is>
          <t>—</t>
        </is>
      </c>
      <c r="L273" s="21" t="inlineStr">
        <is>
          <t>0.0, alt</t>
        </is>
      </c>
      <c r="M273" s="21" t="inlineStr">
        <is>
          <t>0.0</t>
        </is>
      </c>
      <c r="N273" s="21" t="inlineStr">
        <is>
          <t>param</t>
        </is>
      </c>
      <c r="O273" s="21" t="inlineStr">
        <is>
          <t>HTF_TREND_VETO_BYPASS_REASONS</t>
        </is>
      </c>
      <c r="P273" s="21" t="inlineStr">
        <is>
          <t>getattr(cfg,"HTF_TREND_VETO_BYPASS_REASONS")</t>
        </is>
      </c>
      <c r="Q273" t="inlineStr">
        <is>
          <t>YES</t>
        </is>
      </c>
    </row>
    <row r="274">
      <c r="A274" s="17" t="n">
        <v>72</v>
      </c>
      <c r="B274" s="22" t="inlineStr">
        <is>
          <t>HTF_TREND_VETO_BYPASS_REASONS</t>
        </is>
      </c>
      <c r="C274" s="23" t="inlineStr">
        <is>
          <t>0.0_ALT</t>
        </is>
      </c>
      <c r="D274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4" s="20" t="inlineStr">
        <is>
          <t>GLOBAL_CHECK, STOCKS_EXIT</t>
        </is>
      </c>
      <c r="F274" s="17" t="inlineStr">
        <is>
          <t>GLOBAL_CHECK, STOCKS_EXIT</t>
        </is>
      </c>
      <c r="G274" s="20" t="inlineStr">
        <is>
          <t>HTF_TREND_VETO_BYPASS_REASONS</t>
        </is>
      </c>
      <c r="H274" s="17" t="inlineStr">
        <is>
          <t>GENERAL</t>
        </is>
      </c>
      <c r="I274" s="17" t="inlineStr">
        <is>
          <t>LIVE — wired</t>
        </is>
      </c>
      <c r="J274" s="17" t="n"/>
      <c r="K274" s="21" t="inlineStr">
        <is>
          <t>—</t>
        </is>
      </c>
      <c r="L274" s="21" t="inlineStr">
        <is>
          <t>0.0, alt</t>
        </is>
      </c>
      <c r="M274" s="21" t="inlineStr">
        <is>
          <t>0.0</t>
        </is>
      </c>
      <c r="N274" s="21" t="inlineStr">
        <is>
          <t>param</t>
        </is>
      </c>
      <c r="O274" s="21" t="inlineStr">
        <is>
          <t>HTF_TREND_VETO_BYPASS_REASONS</t>
        </is>
      </c>
      <c r="P274" s="21" t="inlineStr">
        <is>
          <t>getattr(cfg,"HTF_TREND_VETO_BYPASS_REASONS")</t>
        </is>
      </c>
      <c r="Q274" t="inlineStr">
        <is>
          <t>NO</t>
        </is>
      </c>
    </row>
    <row r="275">
      <c r="A275" s="32" t="n">
        <v>73</v>
      </c>
      <c r="B275" s="33" t="inlineStr">
        <is>
          <t>KILLER_KNOB_FINDER_FILTER_TF</t>
        </is>
      </c>
      <c r="C275" s="23" t="inlineStr">
        <is>
          <t>OFF</t>
        </is>
      </c>
      <c r="D275" s="34" t="inlineStr">
        <is>
          <t>Dead/misnamed filter — no read in ez_manage/ez_positions_quick/tradier_manage. Appears 0x; likely legacy or typo.</t>
        </is>
      </c>
      <c r="E275" s="34" t="inlineStr">
        <is>
          <t>DEAD</t>
        </is>
      </c>
      <c r="F275" s="32" t="inlineStr">
        <is>
          <t>DEAD</t>
        </is>
      </c>
      <c r="G275" s="34" t="inlineStr">
        <is>
          <t>KILLER_KNOB_FINDER</t>
        </is>
      </c>
      <c r="H275" s="32" t="inlineStr">
        <is>
          <t>SPECIFIC — only gated switches</t>
        </is>
      </c>
      <c r="I275" s="32" t="inlineStr">
        <is>
          <t>DEAD — REMOVE</t>
        </is>
      </c>
      <c r="J275" s="32" t="n"/>
      <c r="K275" s="21" t="inlineStr">
        <is>
          <t>1/4</t>
        </is>
      </c>
      <c r="L275" s="21" t="inlineStr">
        <is>
          <t>OFF, 15m, 1h, 4h, D (5 options)</t>
        </is>
      </c>
      <c r="M275" s="21" t="inlineStr">
        <is>
          <t>15m</t>
        </is>
      </c>
      <c r="N275" s="21" t="inlineStr">
        <is>
          <t>TF selector</t>
        </is>
      </c>
      <c r="O275" s="21" t="inlineStr">
        <is>
          <t>KILLER_KNOB_FINDER_FILTER_TF</t>
        </is>
      </c>
      <c r="P275" s="21" t="inlineStr">
        <is>
          <t>getattr(cfg,"KILLER_KNOB_FINDER_FILTER_TF")</t>
        </is>
      </c>
      <c r="Q275" t="inlineStr">
        <is>
          <t>NO</t>
        </is>
      </c>
    </row>
    <row r="276">
      <c r="A276" s="32" t="n">
        <v>73</v>
      </c>
      <c r="B276" s="33" t="inlineStr">
        <is>
          <t>KILLER_KNOB_FINDER_FILTER_TF</t>
        </is>
      </c>
      <c r="C276" s="23" t="inlineStr">
        <is>
          <t>D</t>
        </is>
      </c>
      <c r="D276" s="34" t="inlineStr">
        <is>
          <t>Dead/misnamed filter — no read in ez_manage/ez_positions_quick/tradier_manage. Appears 0x; likely legacy or typo.</t>
        </is>
      </c>
      <c r="E276" s="34" t="inlineStr">
        <is>
          <t>DEAD</t>
        </is>
      </c>
      <c r="F276" s="32" t="inlineStr">
        <is>
          <t>DEAD</t>
        </is>
      </c>
      <c r="G276" s="34" t="inlineStr">
        <is>
          <t>KILLER_KNOB_FINDER</t>
        </is>
      </c>
      <c r="H276" s="32" t="inlineStr">
        <is>
          <t>SPECIFIC — only gated switches</t>
        </is>
      </c>
      <c r="I276" s="32" t="inlineStr">
        <is>
          <t>DEAD — REMOVE</t>
        </is>
      </c>
      <c r="J276" s="32" t="n"/>
      <c r="K276" s="21" t="inlineStr">
        <is>
          <t>1/4</t>
        </is>
      </c>
      <c r="L276" s="21" t="inlineStr">
        <is>
          <t>OFF, 15m, 1h, 4h, D (5 options)</t>
        </is>
      </c>
      <c r="M276" s="21" t="inlineStr">
        <is>
          <t>15m</t>
        </is>
      </c>
      <c r="N276" s="21" t="inlineStr">
        <is>
          <t>TF selector</t>
        </is>
      </c>
      <c r="O276" s="21" t="inlineStr">
        <is>
          <t>KILLER_KNOB_FINDER_FILTER_TF</t>
        </is>
      </c>
      <c r="P276" s="21" t="inlineStr">
        <is>
          <t>getattr(cfg,"KILLER_KNOB_FINDER_FILTER_TF")</t>
        </is>
      </c>
      <c r="Q276" t="inlineStr">
        <is>
          <t>NO</t>
        </is>
      </c>
    </row>
    <row r="277">
      <c r="A277" s="32" t="n">
        <v>73</v>
      </c>
      <c r="B277" s="33" t="inlineStr">
        <is>
          <t>KILLER_KNOB_FINDER_FILTER_TF</t>
        </is>
      </c>
      <c r="C277" s="23" t="inlineStr">
        <is>
          <t>4h</t>
        </is>
      </c>
      <c r="D277" s="34" t="inlineStr">
        <is>
          <t>Dead/misnamed filter — no read in ez_manage/ez_positions_quick/tradier_manage. Appears 0x; likely legacy or typo.</t>
        </is>
      </c>
      <c r="E277" s="34" t="inlineStr">
        <is>
          <t>DEAD</t>
        </is>
      </c>
      <c r="F277" s="32" t="inlineStr">
        <is>
          <t>DEAD</t>
        </is>
      </c>
      <c r="G277" s="34" t="inlineStr">
        <is>
          <t>KILLER_KNOB_FINDER</t>
        </is>
      </c>
      <c r="H277" s="32" t="inlineStr">
        <is>
          <t>SPECIFIC — only gated switches</t>
        </is>
      </c>
      <c r="I277" s="32" t="inlineStr">
        <is>
          <t>DEAD — REMOVE</t>
        </is>
      </c>
      <c r="J277" s="32" t="n"/>
      <c r="K277" s="21" t="inlineStr">
        <is>
          <t>1/4</t>
        </is>
      </c>
      <c r="L277" s="21" t="inlineStr">
        <is>
          <t>OFF, 15m, 1h, 4h, D (5 options)</t>
        </is>
      </c>
      <c r="M277" s="21" t="inlineStr">
        <is>
          <t>15m</t>
        </is>
      </c>
      <c r="N277" s="21" t="inlineStr">
        <is>
          <t>TF selector</t>
        </is>
      </c>
      <c r="O277" s="21" t="inlineStr">
        <is>
          <t>KILLER_KNOB_FINDER_FILTER_TF</t>
        </is>
      </c>
      <c r="P277" s="21" t="inlineStr">
        <is>
          <t>getattr(cfg,"KILLER_KNOB_FINDER_FILTER_TF")</t>
        </is>
      </c>
      <c r="Q277" t="inlineStr">
        <is>
          <t>NO</t>
        </is>
      </c>
    </row>
    <row r="278">
      <c r="A278" s="32" t="n">
        <v>73</v>
      </c>
      <c r="B278" s="33" t="inlineStr">
        <is>
          <t>KILLER_KNOB_FINDER_FILTER_TF</t>
        </is>
      </c>
      <c r="C278" s="23" t="inlineStr">
        <is>
          <t>1h</t>
        </is>
      </c>
      <c r="D278" s="34" t="inlineStr">
        <is>
          <t>Dead/misnamed filter — no read in ez_manage/ez_positions_quick/tradier_manage. Appears 0x; likely legacy or typo.</t>
        </is>
      </c>
      <c r="E278" s="34" t="inlineStr">
        <is>
          <t>DEAD</t>
        </is>
      </c>
      <c r="F278" s="32" t="inlineStr">
        <is>
          <t>DEAD</t>
        </is>
      </c>
      <c r="G278" s="34" t="inlineStr">
        <is>
          <t>KILLER_KNOB_FINDER</t>
        </is>
      </c>
      <c r="H278" s="32" t="inlineStr">
        <is>
          <t>SPECIFIC — only gated switches</t>
        </is>
      </c>
      <c r="I278" s="32" t="inlineStr">
        <is>
          <t>DEAD — REMOVE</t>
        </is>
      </c>
      <c r="J278" s="32" t="n"/>
      <c r="K278" s="21" t="inlineStr">
        <is>
          <t>1/4</t>
        </is>
      </c>
      <c r="L278" s="21" t="inlineStr">
        <is>
          <t>OFF, 15m, 1h, 4h, D (5 options)</t>
        </is>
      </c>
      <c r="M278" s="21" t="inlineStr">
        <is>
          <t>15m</t>
        </is>
      </c>
      <c r="N278" s="21" t="inlineStr">
        <is>
          <t>TF selector</t>
        </is>
      </c>
      <c r="O278" s="21" t="inlineStr">
        <is>
          <t>KILLER_KNOB_FINDER_FILTER_TF</t>
        </is>
      </c>
      <c r="P278" s="21" t="inlineStr">
        <is>
          <t>getattr(cfg,"KILLER_KNOB_FINDER_FILTER_TF")</t>
        </is>
      </c>
      <c r="Q278" t="inlineStr">
        <is>
          <t>NO</t>
        </is>
      </c>
    </row>
    <row r="279">
      <c r="A279" s="32" t="n">
        <v>73</v>
      </c>
      <c r="B279" s="35" t="inlineStr">
        <is>
          <t>KILLER_KNOB_FINDER_FILTER_TF</t>
        </is>
      </c>
      <c r="C279" s="19" t="inlineStr">
        <is>
          <t>15m</t>
        </is>
      </c>
      <c r="D279" s="34" t="inlineStr">
        <is>
          <t>Dead/misnamed filter — no read in ez_manage/ez_positions_quick/tradier_manage. Appears 0x; likely legacy or typo.</t>
        </is>
      </c>
      <c r="E279" s="34" t="inlineStr">
        <is>
          <t>DEAD</t>
        </is>
      </c>
      <c r="F279" s="32" t="inlineStr">
        <is>
          <t>DEAD</t>
        </is>
      </c>
      <c r="G279" s="34" t="inlineStr">
        <is>
          <t>KILLER_KNOB_FINDER</t>
        </is>
      </c>
      <c r="H279" s="32" t="inlineStr">
        <is>
          <t>SPECIFIC — only gated switches</t>
        </is>
      </c>
      <c r="I279" s="32" t="inlineStr">
        <is>
          <t>DEAD — REMOVE</t>
        </is>
      </c>
      <c r="J279" s="32" t="n"/>
      <c r="K279" s="21" t="inlineStr">
        <is>
          <t>1/4</t>
        </is>
      </c>
      <c r="L279" s="21" t="inlineStr">
        <is>
          <t>OFF, 15m, 1h, 4h, D (5 options)</t>
        </is>
      </c>
      <c r="M279" s="21" t="inlineStr">
        <is>
          <t>15m</t>
        </is>
      </c>
      <c r="N279" s="21" t="inlineStr">
        <is>
          <t>TF selector</t>
        </is>
      </c>
      <c r="O279" s="21" t="inlineStr">
        <is>
          <t>KILLER_KNOB_FINDER_FILTER_TF</t>
        </is>
      </c>
      <c r="P279" s="21" t="inlineStr">
        <is>
          <t>getattr(cfg,"KILLER_KNOB_FINDER_FILTER_TF")</t>
        </is>
      </c>
      <c r="Q279" t="inlineStr">
        <is>
          <t>YES</t>
        </is>
      </c>
    </row>
    <row r="280">
      <c r="A280" s="17" t="n">
        <v>74</v>
      </c>
      <c r="B280" s="18" t="inlineStr">
        <is>
          <t>LEADERBOARD_FILTER</t>
        </is>
      </c>
      <c r="C280" s="19" t="inlineStr">
        <is>
          <t>False</t>
        </is>
      </c>
      <c r="D280" s="20" t="inlineStr">
        <is>
          <t>Leaderboard regime filter (top-N symbols). | Live read: `ILTER_TF', 'FUNDING_GATE_MIN_TFS', 'GOLDEN_RULE_ENFORCE_FILTER_TF', 'GOLDEN_RULE`</t>
        </is>
      </c>
      <c r="E280" s="20" t="inlineStr">
        <is>
          <t>AUGMENT, ENTRY, EXIT, GLOBAL_CHECK, REDUCE, STOCKS_EXIT</t>
        </is>
      </c>
      <c r="F280" s="17" t="inlineStr">
        <is>
          <t>AUGMENT, ENTRY, EXIT, GLOBAL_CHECK, REDUCE, STOCKS_EXIT</t>
        </is>
      </c>
      <c r="G280" s="20" t="inlineStr">
        <is>
          <t>Leaderboard</t>
        </is>
      </c>
      <c r="H280" s="17" t="inlineStr">
        <is>
          <t>GENERAL — uniform</t>
        </is>
      </c>
      <c r="I280" s="17" t="inlineStr">
        <is>
          <t>LIVE — wired</t>
        </is>
      </c>
      <c r="J280" s="17" t="n"/>
      <c r="K280" s="21" t="inlineStr">
        <is>
          <t>—</t>
        </is>
      </c>
      <c r="L280" s="21" t="inlineStr">
        <is>
          <t>False, alt</t>
        </is>
      </c>
      <c r="M280" s="21" t="inlineStr">
        <is>
          <t>False</t>
        </is>
      </c>
      <c r="N280" s="21" t="inlineStr">
        <is>
          <t>param</t>
        </is>
      </c>
      <c r="O280" s="21" t="inlineStr">
        <is>
          <t>LEADERBOARD_FILTER</t>
        </is>
      </c>
      <c r="P280" s="21" t="inlineStr">
        <is>
          <t>getattr(cfg,"LEADERBOARD_FILTER")</t>
        </is>
      </c>
      <c r="Q280" t="inlineStr">
        <is>
          <t>YES</t>
        </is>
      </c>
    </row>
    <row r="281">
      <c r="A281" s="17" t="n">
        <v>74</v>
      </c>
      <c r="B281" s="22" t="inlineStr">
        <is>
          <t>LEADERBOARD_FILTER</t>
        </is>
      </c>
      <c r="C281" s="23" t="inlineStr">
        <is>
          <t>False_ALT</t>
        </is>
      </c>
      <c r="D281" s="20" t="inlineStr">
        <is>
          <t>Leaderboard regime filter (top-N symbols). | Live read: `ILTER_TF', 'FUNDING_GATE_MIN_TFS', 'GOLDEN_RULE_ENFORCE_FILTER_TF', 'GOLDEN_RULE`</t>
        </is>
      </c>
      <c r="E281" s="20" t="inlineStr">
        <is>
          <t>AUGMENT, ENTRY, EXIT, GLOBAL_CHECK, REDUCE, STOCKS_EXIT</t>
        </is>
      </c>
      <c r="F281" s="17" t="inlineStr">
        <is>
          <t>AUGMENT, ENTRY, EXIT, GLOBAL_CHECK, REDUCE, STOCKS_EXIT</t>
        </is>
      </c>
      <c r="G281" s="20" t="inlineStr">
        <is>
          <t>Leaderboard</t>
        </is>
      </c>
      <c r="H281" s="17" t="inlineStr">
        <is>
          <t>GENERAL — uniform</t>
        </is>
      </c>
      <c r="I281" s="17" t="inlineStr">
        <is>
          <t>LIVE — wired</t>
        </is>
      </c>
      <c r="J281" s="17" t="n"/>
      <c r="K281" s="21" t="inlineStr">
        <is>
          <t>—</t>
        </is>
      </c>
      <c r="L281" s="21" t="inlineStr">
        <is>
          <t>False, alt</t>
        </is>
      </c>
      <c r="M281" s="21" t="inlineStr">
        <is>
          <t>False</t>
        </is>
      </c>
      <c r="N281" s="21" t="inlineStr">
        <is>
          <t>param</t>
        </is>
      </c>
      <c r="O281" s="21" t="inlineStr">
        <is>
          <t>LEADERBOARD_FILTER</t>
        </is>
      </c>
      <c r="P281" s="21" t="inlineStr">
        <is>
          <t>getattr(cfg,"LEADERBOARD_FILTER")</t>
        </is>
      </c>
      <c r="Q281" t="inlineStr">
        <is>
          <t>NO</t>
        </is>
      </c>
    </row>
    <row r="282">
      <c r="A282" s="17" t="n">
        <v>75</v>
      </c>
      <c r="B282" s="18" t="inlineStr">
        <is>
          <t>LH_HL_FILTER_ENABLED</t>
        </is>
      </c>
      <c r="C282" s="19" t="inlineStr">
        <is>
          <t>False</t>
        </is>
      </c>
      <c r="D282" s="20" t="inlineStr">
        <is>
          <t>Lower-high / Higher-low structure filter (SMA200D replacement). | Live read: `N_RULE_ENTRY_TF_LIST', 'GOLDEN_RULE_MULT_15M', 'GOLDEN_RULE_MULT_1H', 'GOLDEN_RU`</t>
        </is>
      </c>
      <c r="E282" s="20" t="inlineStr">
        <is>
          <t>ENTRY, GLOBAL_CHECK, STOCKS_EXIT</t>
        </is>
      </c>
      <c r="F282" s="17" t="inlineStr">
        <is>
          <t>ENTRY, GLOBAL_CHECK, STOCKS_EXIT</t>
        </is>
      </c>
      <c r="G282" s="20" t="inlineStr">
        <is>
          <t>LH/HL filter</t>
        </is>
      </c>
      <c r="H282" s="17" t="inlineStr">
        <is>
          <t>GENERAL</t>
        </is>
      </c>
      <c r="I282" s="17" t="inlineStr">
        <is>
          <t>LIVE — wired</t>
        </is>
      </c>
      <c r="J282" s="17" t="n"/>
      <c r="K282" s="21" t="inlineStr">
        <is>
          <t>—</t>
        </is>
      </c>
      <c r="L282" s="21" t="inlineStr">
        <is>
          <t>False, True (2)</t>
        </is>
      </c>
      <c r="M282" s="21" t="inlineStr">
        <is>
          <t>False</t>
        </is>
      </c>
      <c r="N282" s="21" t="inlineStr">
        <is>
          <t>bool gate</t>
        </is>
      </c>
      <c r="O282" s="21" t="inlineStr">
        <is>
          <t>LH_HL_FILTER_ENABLED</t>
        </is>
      </c>
      <c r="P282" s="21" t="inlineStr">
        <is>
          <t>getattr(cfg,"LH_HL_FILTER_ENABLED")</t>
        </is>
      </c>
      <c r="Q282" t="inlineStr">
        <is>
          <t>YES</t>
        </is>
      </c>
    </row>
    <row r="283">
      <c r="A283" s="17" t="n">
        <v>75</v>
      </c>
      <c r="B283" s="22" t="inlineStr">
        <is>
          <t>LH_HL_FILTER_ENABLED</t>
        </is>
      </c>
      <c r="C283" s="23" t="inlineStr">
        <is>
          <t>True</t>
        </is>
      </c>
      <c r="D283" s="20" t="inlineStr">
        <is>
          <t>Lower-high / Higher-low structure filter (SMA200D replacement). | Live read: `N_RULE_ENTRY_TF_LIST', 'GOLDEN_RULE_MULT_15M', 'GOLDEN_RULE_MULT_1H', 'GOLDEN_RU`</t>
        </is>
      </c>
      <c r="E283" s="20" t="inlineStr">
        <is>
          <t>ENTRY, GLOBAL_CHECK, STOCKS_EXIT</t>
        </is>
      </c>
      <c r="F283" s="17" t="inlineStr">
        <is>
          <t>ENTRY, GLOBAL_CHECK, STOCKS_EXIT</t>
        </is>
      </c>
      <c r="G283" s="20" t="inlineStr">
        <is>
          <t>LH/HL filter</t>
        </is>
      </c>
      <c r="H283" s="17" t="inlineStr">
        <is>
          <t>GENERAL</t>
        </is>
      </c>
      <c r="I283" s="17" t="inlineStr">
        <is>
          <t>LIVE — wired</t>
        </is>
      </c>
      <c r="J283" s="17" t="n"/>
      <c r="K283" s="21" t="inlineStr">
        <is>
          <t>—</t>
        </is>
      </c>
      <c r="L283" s="21" t="inlineStr">
        <is>
          <t>False, True (2)</t>
        </is>
      </c>
      <c r="M283" s="21" t="inlineStr">
        <is>
          <t>False</t>
        </is>
      </c>
      <c r="N283" s="21" t="inlineStr">
        <is>
          <t>bool gate</t>
        </is>
      </c>
      <c r="O283" s="21" t="inlineStr">
        <is>
          <t>LH_HL_FILTER_ENABLED</t>
        </is>
      </c>
      <c r="P283" s="21" t="inlineStr">
        <is>
          <t>getattr(cfg,"LH_HL_FILTER_ENABLED")</t>
        </is>
      </c>
      <c r="Q283" t="inlineStr">
        <is>
          <t>NO</t>
        </is>
      </c>
    </row>
    <row r="284">
      <c r="A284" s="17" t="n">
        <v>76</v>
      </c>
      <c r="B284" s="18" t="inlineStr">
        <is>
          <t>LH_HL_FILTER_MODE</t>
        </is>
      </c>
      <c r="C284" s="19" t="inlineStr">
        <is>
          <t>STRICT_2BAR</t>
        </is>
      </c>
      <c r="D284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4" s="20" t="inlineStr">
        <is>
          <t>ENTRY, GLOBAL_CHECK, STOCKS_EXIT</t>
        </is>
      </c>
      <c r="F284" s="17" t="inlineStr">
        <is>
          <t>ENTRY, GLOBAL_CHECK, STOCKS_EXIT</t>
        </is>
      </c>
      <c r="G284" s="20" t="inlineStr">
        <is>
          <t>LH/HL filter</t>
        </is>
      </c>
      <c r="H284" s="17" t="inlineStr">
        <is>
          <t>GENERAL</t>
        </is>
      </c>
      <c r="I284" s="17" t="inlineStr">
        <is>
          <t>LIVE — wired</t>
        </is>
      </c>
      <c r="J284" s="17" t="n"/>
      <c r="K284" s="21" t="inlineStr">
        <is>
          <t>—</t>
        </is>
      </c>
      <c r="L284" s="21" t="inlineStr">
        <is>
          <t>STRICT_2BAR, alt</t>
        </is>
      </c>
      <c r="M284" s="21" t="inlineStr">
        <is>
          <t>STRICT_2BAR</t>
        </is>
      </c>
      <c r="N284" s="21" t="inlineStr">
        <is>
          <t>param</t>
        </is>
      </c>
      <c r="O284" s="21" t="inlineStr">
        <is>
          <t>LH_HL_FILTER_MODE</t>
        </is>
      </c>
      <c r="P284" s="21" t="inlineStr">
        <is>
          <t>getattr(cfg,"LH_HL_FILTER_MODE")</t>
        </is>
      </c>
      <c r="Q284" t="inlineStr">
        <is>
          <t>YES</t>
        </is>
      </c>
    </row>
    <row r="285">
      <c r="A285" s="17" t="n">
        <v>76</v>
      </c>
      <c r="B285" s="22" t="inlineStr">
        <is>
          <t>LH_HL_FILTER_MODE</t>
        </is>
      </c>
      <c r="C285" s="23" t="inlineStr">
        <is>
          <t>STRICT_2BAR_ALT</t>
        </is>
      </c>
      <c r="D285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5" s="20" t="inlineStr">
        <is>
          <t>ENTRY, GLOBAL_CHECK, STOCKS_EXIT</t>
        </is>
      </c>
      <c r="F285" s="17" t="inlineStr">
        <is>
          <t>ENTRY, GLOBAL_CHECK, STOCKS_EXIT</t>
        </is>
      </c>
      <c r="G285" s="20" t="inlineStr">
        <is>
          <t>LH/HL filter</t>
        </is>
      </c>
      <c r="H285" s="17" t="inlineStr">
        <is>
          <t>GENERAL</t>
        </is>
      </c>
      <c r="I285" s="17" t="inlineStr">
        <is>
          <t>LIVE — wired</t>
        </is>
      </c>
      <c r="J285" s="17" t="n"/>
      <c r="K285" s="21" t="inlineStr">
        <is>
          <t>—</t>
        </is>
      </c>
      <c r="L285" s="21" t="inlineStr">
        <is>
          <t>STRICT_2BAR, alt</t>
        </is>
      </c>
      <c r="M285" s="21" t="inlineStr">
        <is>
          <t>STRICT_2BAR</t>
        </is>
      </c>
      <c r="N285" s="21" t="inlineStr">
        <is>
          <t>param</t>
        </is>
      </c>
      <c r="O285" s="21" t="inlineStr">
        <is>
          <t>LH_HL_FILTER_MODE</t>
        </is>
      </c>
      <c r="P285" s="21" t="inlineStr">
        <is>
          <t>getattr(cfg,"LH_HL_FILTER_MODE")</t>
        </is>
      </c>
      <c r="Q285" t="inlineStr">
        <is>
          <t>NO</t>
        </is>
      </c>
    </row>
    <row r="286">
      <c r="A286" s="17" t="n">
        <v>77</v>
      </c>
      <c r="B286" s="18" t="inlineStr">
        <is>
          <t>LH_HL_FILTER_REQUIRE_BOTH</t>
        </is>
      </c>
      <c r="C286" s="19" t="inlineStr">
        <is>
          <t>False</t>
        </is>
      </c>
      <c r="D286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6" s="20" t="inlineStr">
        <is>
          <t>ENTRY, GLOBAL_CHECK, STOCKS_EXIT</t>
        </is>
      </c>
      <c r="F286" s="17" t="inlineStr">
        <is>
          <t>ENTRY, GLOBAL_CHECK, STOCKS_EXIT</t>
        </is>
      </c>
      <c r="G286" s="20" t="inlineStr">
        <is>
          <t>LH/HL filter</t>
        </is>
      </c>
      <c r="H286" s="17" t="inlineStr">
        <is>
          <t>GENERAL</t>
        </is>
      </c>
      <c r="I286" s="17" t="inlineStr">
        <is>
          <t>LIVE — wired</t>
        </is>
      </c>
      <c r="J286" s="17" t="n"/>
      <c r="K286" s="21" t="inlineStr">
        <is>
          <t>—</t>
        </is>
      </c>
      <c r="L286" s="21" t="inlineStr">
        <is>
          <t>False, alt</t>
        </is>
      </c>
      <c r="M286" s="21" t="inlineStr">
        <is>
          <t>False</t>
        </is>
      </c>
      <c r="N286" s="21" t="inlineStr">
        <is>
          <t>param</t>
        </is>
      </c>
      <c r="O286" s="21" t="inlineStr">
        <is>
          <t>LH_HL_FILTER_REQUIRE_BOTH</t>
        </is>
      </c>
      <c r="P286" s="21" t="inlineStr">
        <is>
          <t>getattr(cfg,"LH_HL_FILTER_REQUIRE_BOTH")</t>
        </is>
      </c>
      <c r="Q286" t="inlineStr">
        <is>
          <t>YES</t>
        </is>
      </c>
    </row>
    <row r="287">
      <c r="A287" s="17" t="n">
        <v>77</v>
      </c>
      <c r="B287" s="22" t="inlineStr">
        <is>
          <t>LH_HL_FILTER_REQUIRE_BOTH</t>
        </is>
      </c>
      <c r="C287" s="23" t="inlineStr">
        <is>
          <t>False_ALT</t>
        </is>
      </c>
      <c r="D287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7" s="20" t="inlineStr">
        <is>
          <t>ENTRY, GLOBAL_CHECK, STOCKS_EXIT</t>
        </is>
      </c>
      <c r="F287" s="17" t="inlineStr">
        <is>
          <t>ENTRY, GLOBAL_CHECK, STOCKS_EXIT</t>
        </is>
      </c>
      <c r="G287" s="20" t="inlineStr">
        <is>
          <t>LH/HL filter</t>
        </is>
      </c>
      <c r="H287" s="17" t="inlineStr">
        <is>
          <t>GENERAL</t>
        </is>
      </c>
      <c r="I287" s="17" t="inlineStr">
        <is>
          <t>LIVE — wired</t>
        </is>
      </c>
      <c r="J287" s="17" t="n"/>
      <c r="K287" s="21" t="inlineStr">
        <is>
          <t>—</t>
        </is>
      </c>
      <c r="L287" s="21" t="inlineStr">
        <is>
          <t>False, alt</t>
        </is>
      </c>
      <c r="M287" s="21" t="inlineStr">
        <is>
          <t>False</t>
        </is>
      </c>
      <c r="N287" s="21" t="inlineStr">
        <is>
          <t>param</t>
        </is>
      </c>
      <c r="O287" s="21" t="inlineStr">
        <is>
          <t>LH_HL_FILTER_REQUIRE_BOTH</t>
        </is>
      </c>
      <c r="P287" s="21" t="inlineStr">
        <is>
          <t>getattr(cfg,"LH_HL_FILTER_REQUIRE_BOTH")</t>
        </is>
      </c>
      <c r="Q287" t="inlineStr">
        <is>
          <t>NO</t>
        </is>
      </c>
    </row>
    <row r="288">
      <c r="A288" s="24" t="n">
        <v>78</v>
      </c>
      <c r="B288" s="27" t="inlineStr">
        <is>
          <t>LH_HL_FILTER_TF_REQ</t>
        </is>
      </c>
      <c r="C288" s="19" t="inlineStr">
        <is>
          <t>2</t>
        </is>
      </c>
      <c r="D288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8" s="26" t="inlineStr">
        <is>
          <t>ENTRY, GLOBAL_CHECK, STOCKS_EXIT</t>
        </is>
      </c>
      <c r="F288" s="24" t="inlineStr">
        <is>
          <t>ENTRY, GLOBAL_CHECK, STOCKS_EXIT</t>
        </is>
      </c>
      <c r="G288" s="26" t="inlineStr">
        <is>
          <t>LH/HL filter</t>
        </is>
      </c>
      <c r="H288" s="24" t="inlineStr">
        <is>
          <t>SPECIFIC — only gated switches</t>
        </is>
      </c>
      <c r="I288" s="24" t="inlineStr">
        <is>
          <t>LIVE — wired</t>
        </is>
      </c>
      <c r="J288" s="24" t="n"/>
      <c r="K288" s="21" t="inlineStr">
        <is>
          <t>—</t>
        </is>
      </c>
      <c r="L288" s="21" t="inlineStr">
        <is>
          <t>2, alt</t>
        </is>
      </c>
      <c r="M288" s="21" t="inlineStr">
        <is>
          <t>2</t>
        </is>
      </c>
      <c r="N288" s="21" t="inlineStr">
        <is>
          <t>param</t>
        </is>
      </c>
      <c r="O288" s="21" t="inlineStr">
        <is>
          <t>LH_HL_FILTER_TF_REQ</t>
        </is>
      </c>
      <c r="P288" s="21" t="inlineStr">
        <is>
          <t>getattr(cfg,"LH_HL_FILTER_TF_REQ")</t>
        </is>
      </c>
      <c r="Q288" t="inlineStr">
        <is>
          <t>YES</t>
        </is>
      </c>
    </row>
    <row r="289">
      <c r="A289" s="24" t="n">
        <v>78</v>
      </c>
      <c r="B289" s="25" t="inlineStr">
        <is>
          <t>LH_HL_FILTER_TF_REQ</t>
        </is>
      </c>
      <c r="C289" s="23" t="inlineStr">
        <is>
          <t>2_ALT</t>
        </is>
      </c>
      <c r="D289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9" s="26" t="inlineStr">
        <is>
          <t>ENTRY, GLOBAL_CHECK, STOCKS_EXIT</t>
        </is>
      </c>
      <c r="F289" s="24" t="inlineStr">
        <is>
          <t>ENTRY, GLOBAL_CHECK, STOCKS_EXIT</t>
        </is>
      </c>
      <c r="G289" s="26" t="inlineStr">
        <is>
          <t>LH/HL filter</t>
        </is>
      </c>
      <c r="H289" s="24" t="inlineStr">
        <is>
          <t>SPECIFIC — only gated switches</t>
        </is>
      </c>
      <c r="I289" s="24" t="inlineStr">
        <is>
          <t>LIVE — wired</t>
        </is>
      </c>
      <c r="J289" s="24" t="n"/>
      <c r="K289" s="21" t="inlineStr">
        <is>
          <t>—</t>
        </is>
      </c>
      <c r="L289" s="21" t="inlineStr">
        <is>
          <t>2, alt</t>
        </is>
      </c>
      <c r="M289" s="21" t="inlineStr">
        <is>
          <t>2</t>
        </is>
      </c>
      <c r="N289" s="21" t="inlineStr">
        <is>
          <t>param</t>
        </is>
      </c>
      <c r="O289" s="21" t="inlineStr">
        <is>
          <t>LH_HL_FILTER_TF_REQ</t>
        </is>
      </c>
      <c r="P289" s="21" t="inlineStr">
        <is>
          <t>getattr(cfg,"LH_HL_FILTER_TF_REQ")</t>
        </is>
      </c>
      <c r="Q289" t="inlineStr">
        <is>
          <t>NO</t>
        </is>
      </c>
    </row>
    <row r="290">
      <c r="A290" s="24" t="n">
        <v>79</v>
      </c>
      <c r="B290" s="25" t="inlineStr">
        <is>
          <t>LIVE_ENTRY_ENGINE_FILTER_TF</t>
        </is>
      </c>
      <c r="C290" s="23" t="inlineStr">
        <is>
          <t>OFF</t>
        </is>
      </c>
      <c r="D290" s="26" t="inlineStr">
        <is>
          <t>Live entry engine confirmation TF. | Live read: `_W', 'GR_FILTER_ALL_ENTRIES', 'GR_OPEN_COOLDOWN_S', 'GR_TOTAL_VOTE_SCORE_MIN', '`</t>
        </is>
      </c>
      <c r="E290" s="26" t="inlineStr">
        <is>
          <t>GLOBAL_CHECK</t>
        </is>
      </c>
      <c r="F290" s="24" t="inlineStr">
        <is>
          <t>GLOBAL_CHECK</t>
        </is>
      </c>
      <c r="G290" s="26" t="inlineStr">
        <is>
          <t>LIVE_ENTRY_ENGINE</t>
        </is>
      </c>
      <c r="H290" s="24" t="inlineStr">
        <is>
          <t>SPECIFIC — only gated switches</t>
        </is>
      </c>
      <c r="I290" s="24" t="inlineStr">
        <is>
          <t>LIVE — wired</t>
        </is>
      </c>
      <c r="J290" s="24" t="n"/>
      <c r="K290" s="21" t="inlineStr">
        <is>
          <t>1/4</t>
        </is>
      </c>
      <c r="L290" s="21" t="inlineStr">
        <is>
          <t>OFF, 15m, 1h, 4h, D (5 options)</t>
        </is>
      </c>
      <c r="M290" s="21" t="inlineStr">
        <is>
          <t>15m</t>
        </is>
      </c>
      <c r="N290" s="21" t="inlineStr">
        <is>
          <t>TF selector</t>
        </is>
      </c>
      <c r="O290" s="21" t="inlineStr">
        <is>
          <t>LIVE_ENTRY_ENGINE_FILTER_TF</t>
        </is>
      </c>
      <c r="P290" s="21" t="inlineStr">
        <is>
          <t>getattr(cfg,"LIVE_ENTRY_ENGINE_FILTER_TF")</t>
        </is>
      </c>
      <c r="Q290" t="inlineStr">
        <is>
          <t>NO</t>
        </is>
      </c>
    </row>
    <row r="291">
      <c r="A291" s="24" t="n">
        <v>79</v>
      </c>
      <c r="B291" s="25" t="inlineStr">
        <is>
          <t>LIVE_ENTRY_ENGINE_FILTER_TF</t>
        </is>
      </c>
      <c r="C291" s="23" t="inlineStr">
        <is>
          <t>D</t>
        </is>
      </c>
      <c r="D291" s="26" t="inlineStr">
        <is>
          <t>Live entry engine confirmation TF. | Live read: `_W', 'GR_FILTER_ALL_ENTRIES', 'GR_OPEN_COOLDOWN_S', 'GR_TOTAL_VOTE_SCORE_MIN', '`</t>
        </is>
      </c>
      <c r="E291" s="26" t="inlineStr">
        <is>
          <t>GLOBAL_CHECK</t>
        </is>
      </c>
      <c r="F291" s="24" t="inlineStr">
        <is>
          <t>GLOBAL_CHECK</t>
        </is>
      </c>
      <c r="G291" s="26" t="inlineStr">
        <is>
          <t>LIVE_ENTRY_ENGINE</t>
        </is>
      </c>
      <c r="H291" s="24" t="inlineStr">
        <is>
          <t>SPECIFIC — only gated switches</t>
        </is>
      </c>
      <c r="I291" s="24" t="inlineStr">
        <is>
          <t>LIVE — wired</t>
        </is>
      </c>
      <c r="J291" s="24" t="n"/>
      <c r="K291" s="21" t="inlineStr">
        <is>
          <t>1/4</t>
        </is>
      </c>
      <c r="L291" s="21" t="inlineStr">
        <is>
          <t>OFF, 15m, 1h, 4h, D (5 options)</t>
        </is>
      </c>
      <c r="M291" s="21" t="inlineStr">
        <is>
          <t>15m</t>
        </is>
      </c>
      <c r="N291" s="21" t="inlineStr">
        <is>
          <t>TF selector</t>
        </is>
      </c>
      <c r="O291" s="21" t="inlineStr">
        <is>
          <t>LIVE_ENTRY_ENGINE_FILTER_TF</t>
        </is>
      </c>
      <c r="P291" s="21" t="inlineStr">
        <is>
          <t>getattr(cfg,"LIVE_ENTRY_ENGINE_FILTER_TF")</t>
        </is>
      </c>
      <c r="Q291" t="inlineStr">
        <is>
          <t>NO</t>
        </is>
      </c>
    </row>
    <row r="292">
      <c r="A292" s="24" t="n">
        <v>79</v>
      </c>
      <c r="B292" s="25" t="inlineStr">
        <is>
          <t>LIVE_ENTRY_ENGINE_FILTER_TF</t>
        </is>
      </c>
      <c r="C292" s="23" t="inlineStr">
        <is>
          <t>4h</t>
        </is>
      </c>
      <c r="D292" s="26" t="inlineStr">
        <is>
          <t>Live entry engine confirmation TF. | Live read: `_W', 'GR_FILTER_ALL_ENTRIES', 'GR_OPEN_COOLDOWN_S', 'GR_TOTAL_VOTE_SCORE_MIN', '`</t>
        </is>
      </c>
      <c r="E292" s="26" t="inlineStr">
        <is>
          <t>GLOBAL_CHECK</t>
        </is>
      </c>
      <c r="F292" s="24" t="inlineStr">
        <is>
          <t>GLOBAL_CHECK</t>
        </is>
      </c>
      <c r="G292" s="26" t="inlineStr">
        <is>
          <t>LIVE_ENTRY_ENGINE</t>
        </is>
      </c>
      <c r="H292" s="24" t="inlineStr">
        <is>
          <t>SPECIFIC — only gated switches</t>
        </is>
      </c>
      <c r="I292" s="24" t="inlineStr">
        <is>
          <t>LIVE — wired</t>
        </is>
      </c>
      <c r="J292" s="24" t="n"/>
      <c r="K292" s="21" t="inlineStr">
        <is>
          <t>1/4</t>
        </is>
      </c>
      <c r="L292" s="21" t="inlineStr">
        <is>
          <t>OFF, 15m, 1h, 4h, D (5 options)</t>
        </is>
      </c>
      <c r="M292" s="21" t="inlineStr">
        <is>
          <t>15m</t>
        </is>
      </c>
      <c r="N292" s="21" t="inlineStr">
        <is>
          <t>TF selector</t>
        </is>
      </c>
      <c r="O292" s="21" t="inlineStr">
        <is>
          <t>LIVE_ENTRY_ENGINE_FILTER_TF</t>
        </is>
      </c>
      <c r="P292" s="21" t="inlineStr">
        <is>
          <t>getattr(cfg,"LIVE_ENTRY_ENGINE_FILTER_TF")</t>
        </is>
      </c>
      <c r="Q292" t="inlineStr">
        <is>
          <t>NO</t>
        </is>
      </c>
    </row>
    <row r="293">
      <c r="A293" s="24" t="n">
        <v>79</v>
      </c>
      <c r="B293" s="25" t="inlineStr">
        <is>
          <t>LIVE_ENTRY_ENGINE_FILTER_TF</t>
        </is>
      </c>
      <c r="C293" s="23" t="inlineStr">
        <is>
          <t>1h</t>
        </is>
      </c>
      <c r="D293" s="26" t="inlineStr">
        <is>
          <t>Live entry engine confirmation TF. | Live read: `_W', 'GR_FILTER_ALL_ENTRIES', 'GR_OPEN_COOLDOWN_S', 'GR_TOTAL_VOTE_SCORE_MIN', '`</t>
        </is>
      </c>
      <c r="E293" s="26" t="inlineStr">
        <is>
          <t>GLOBAL_CHECK</t>
        </is>
      </c>
      <c r="F293" s="24" t="inlineStr">
        <is>
          <t>GLOBAL_CHECK</t>
        </is>
      </c>
      <c r="G293" s="26" t="inlineStr">
        <is>
          <t>LIVE_ENTRY_ENGINE</t>
        </is>
      </c>
      <c r="H293" s="24" t="inlineStr">
        <is>
          <t>SPECIFIC — only gated switches</t>
        </is>
      </c>
      <c r="I293" s="24" t="inlineStr">
        <is>
          <t>LIVE — wired</t>
        </is>
      </c>
      <c r="J293" s="24" t="n"/>
      <c r="K293" s="21" t="inlineStr">
        <is>
          <t>1/4</t>
        </is>
      </c>
      <c r="L293" s="21" t="inlineStr">
        <is>
          <t>OFF, 15m, 1h, 4h, D (5 options)</t>
        </is>
      </c>
      <c r="M293" s="21" t="inlineStr">
        <is>
          <t>15m</t>
        </is>
      </c>
      <c r="N293" s="21" t="inlineStr">
        <is>
          <t>TF selector</t>
        </is>
      </c>
      <c r="O293" s="21" t="inlineStr">
        <is>
          <t>LIVE_ENTRY_ENGINE_FILTER_TF</t>
        </is>
      </c>
      <c r="P293" s="21" t="inlineStr">
        <is>
          <t>getattr(cfg,"LIVE_ENTRY_ENGINE_FILTER_TF")</t>
        </is>
      </c>
      <c r="Q293" t="inlineStr">
        <is>
          <t>NO</t>
        </is>
      </c>
    </row>
    <row r="294">
      <c r="A294" s="24" t="n">
        <v>79</v>
      </c>
      <c r="B294" s="27" t="inlineStr">
        <is>
          <t>LIVE_ENTRY_ENGINE_FILTER_TF</t>
        </is>
      </c>
      <c r="C294" s="19" t="inlineStr">
        <is>
          <t>15m</t>
        </is>
      </c>
      <c r="D294" s="26" t="inlineStr">
        <is>
          <t>Live entry engine confirmation TF. | Live read: `_W', 'GR_FILTER_ALL_ENTRIES', 'GR_OPEN_COOLDOWN_S', 'GR_TOTAL_VOTE_SCORE_MIN', '`</t>
        </is>
      </c>
      <c r="E294" s="26" t="inlineStr">
        <is>
          <t>GLOBAL_CHECK</t>
        </is>
      </c>
      <c r="F294" s="24" t="inlineStr">
        <is>
          <t>GLOBAL_CHECK</t>
        </is>
      </c>
      <c r="G294" s="26" t="inlineStr">
        <is>
          <t>LIVE_ENTRY_ENGINE</t>
        </is>
      </c>
      <c r="H294" s="24" t="inlineStr">
        <is>
          <t>SPECIFIC — only gated switches</t>
        </is>
      </c>
      <c r="I294" s="24" t="inlineStr">
        <is>
          <t>LIVE — wired</t>
        </is>
      </c>
      <c r="J294" s="24" t="n"/>
      <c r="K294" s="21" t="inlineStr">
        <is>
          <t>1/4</t>
        </is>
      </c>
      <c r="L294" s="21" t="inlineStr">
        <is>
          <t>OFF, 15m, 1h, 4h, D (5 options)</t>
        </is>
      </c>
      <c r="M294" s="21" t="inlineStr">
        <is>
          <t>15m</t>
        </is>
      </c>
      <c r="N294" s="21" t="inlineStr">
        <is>
          <t>TF selector</t>
        </is>
      </c>
      <c r="O294" s="21" t="inlineStr">
        <is>
          <t>LIVE_ENTRY_ENGINE_FILTER_TF</t>
        </is>
      </c>
      <c r="P294" s="21" t="inlineStr">
        <is>
          <t>getattr(cfg,"LIVE_ENTRY_ENGINE_FILTER_TF")</t>
        </is>
      </c>
      <c r="Q294" t="inlineStr">
        <is>
          <t>YES</t>
        </is>
      </c>
    </row>
    <row r="295">
      <c r="A295" s="24" t="n">
        <v>80</v>
      </c>
      <c r="B295" s="25" t="inlineStr">
        <is>
          <t>LIVE_ONLY_SIGNALS_BATCH5_FILTER_TF</t>
        </is>
      </c>
      <c r="C295" s="23" t="inlineStr">
        <is>
          <t>OFF</t>
        </is>
      </c>
      <c r="D295" s="26" t="inlineStr">
        <is>
          <t>Batch-5 live-only signals filter TF. | Live read: `TE_MIN_TFS', 'GOLDEN_RULE_ENFORCE_FILTER_TF', 'GOLDEN_RULE_HTF_VOTE_FILTER_TF', `</t>
        </is>
      </c>
      <c r="E295" s="26" t="inlineStr">
        <is>
          <t>GLOBAL_CHECK</t>
        </is>
      </c>
      <c r="F295" s="24" t="inlineStr">
        <is>
          <t>GLOBAL_CHECK</t>
        </is>
      </c>
      <c r="G295" s="26" t="inlineStr">
        <is>
          <t>LIVE_ONLY_SIGNALS_BATCH5</t>
        </is>
      </c>
      <c r="H295" s="24" t="inlineStr">
        <is>
          <t>SPECIFIC — only gated switches</t>
        </is>
      </c>
      <c r="I295" s="24" t="inlineStr">
        <is>
          <t>LIVE — wired</t>
        </is>
      </c>
      <c r="J295" s="24" t="n"/>
      <c r="K295" s="21" t="inlineStr">
        <is>
          <t>1/4</t>
        </is>
      </c>
      <c r="L295" s="21" t="inlineStr">
        <is>
          <t>OFF, 15m, 1h, 4h, D (5 options)</t>
        </is>
      </c>
      <c r="M295" s="21" t="inlineStr">
        <is>
          <t>15m</t>
        </is>
      </c>
      <c r="N295" s="21" t="inlineStr">
        <is>
          <t>TF selector</t>
        </is>
      </c>
      <c r="O295" s="21" t="inlineStr">
        <is>
          <t>LIVE_ONLY_SIGNALS_BATCH5_FILTER_TF</t>
        </is>
      </c>
      <c r="P295" s="21" t="inlineStr">
        <is>
          <t>getattr(cfg,"LIVE_ONLY_SIGNALS_BATCH5_FILTER_TF")</t>
        </is>
      </c>
      <c r="Q295" t="inlineStr">
        <is>
          <t>NO</t>
        </is>
      </c>
    </row>
    <row r="296">
      <c r="A296" s="24" t="n">
        <v>80</v>
      </c>
      <c r="B296" s="25" t="inlineStr">
        <is>
          <t>LIVE_ONLY_SIGNALS_BATCH5_FILTER_TF</t>
        </is>
      </c>
      <c r="C296" s="23" t="inlineStr">
        <is>
          <t>D</t>
        </is>
      </c>
      <c r="D296" s="26" t="inlineStr">
        <is>
          <t>Batch-5 live-only signals filter TF. | Live read: `TE_MIN_TFS', 'GOLDEN_RULE_ENFORCE_FILTER_TF', 'GOLDEN_RULE_HTF_VOTE_FILTER_TF', `</t>
        </is>
      </c>
      <c r="E296" s="26" t="inlineStr">
        <is>
          <t>GLOBAL_CHECK</t>
        </is>
      </c>
      <c r="F296" s="24" t="inlineStr">
        <is>
          <t>GLOBAL_CHECK</t>
        </is>
      </c>
      <c r="G296" s="26" t="inlineStr">
        <is>
          <t>LIVE_ONLY_SIGNALS_BATCH5</t>
        </is>
      </c>
      <c r="H296" s="24" t="inlineStr">
        <is>
          <t>SPECIFIC — only gated switches</t>
        </is>
      </c>
      <c r="I296" s="24" t="inlineStr">
        <is>
          <t>LIVE — wired</t>
        </is>
      </c>
      <c r="J296" s="24" t="n"/>
      <c r="K296" s="21" t="inlineStr">
        <is>
          <t>1/4</t>
        </is>
      </c>
      <c r="L296" s="21" t="inlineStr">
        <is>
          <t>OFF, 15m, 1h, 4h, D (5 options)</t>
        </is>
      </c>
      <c r="M296" s="21" t="inlineStr">
        <is>
          <t>15m</t>
        </is>
      </c>
      <c r="N296" s="21" t="inlineStr">
        <is>
          <t>TF selector</t>
        </is>
      </c>
      <c r="O296" s="21" t="inlineStr">
        <is>
          <t>LIVE_ONLY_SIGNALS_BATCH5_FILTER_TF</t>
        </is>
      </c>
      <c r="P296" s="21" t="inlineStr">
        <is>
          <t>getattr(cfg,"LIVE_ONLY_SIGNALS_BATCH5_FILTER_TF")</t>
        </is>
      </c>
      <c r="Q296" t="inlineStr">
        <is>
          <t>NO</t>
        </is>
      </c>
    </row>
    <row r="297">
      <c r="A297" s="24" t="n">
        <v>80</v>
      </c>
      <c r="B297" s="25" t="inlineStr">
        <is>
          <t>LIVE_ONLY_SIGNALS_BATCH5_FILTER_TF</t>
        </is>
      </c>
      <c r="C297" s="23" t="inlineStr">
        <is>
          <t>4h</t>
        </is>
      </c>
      <c r="D297" s="26" t="inlineStr">
        <is>
          <t>Batch-5 live-only signals filter TF. | Live read: `TE_MIN_TFS', 'GOLDEN_RULE_ENFORCE_FILTER_TF', 'GOLDEN_RULE_HTF_VOTE_FILTER_TF', `</t>
        </is>
      </c>
      <c r="E297" s="26" t="inlineStr">
        <is>
          <t>GLOBAL_CHECK</t>
        </is>
      </c>
      <c r="F297" s="24" t="inlineStr">
        <is>
          <t>GLOBAL_CHECK</t>
        </is>
      </c>
      <c r="G297" s="26" t="inlineStr">
        <is>
          <t>LIVE_ONLY_SIGNALS_BATCH5</t>
        </is>
      </c>
      <c r="H297" s="24" t="inlineStr">
        <is>
          <t>SPECIFIC — only gated switches</t>
        </is>
      </c>
      <c r="I297" s="24" t="inlineStr">
        <is>
          <t>LIVE — wired</t>
        </is>
      </c>
      <c r="J297" s="24" t="n"/>
      <c r="K297" s="21" t="inlineStr">
        <is>
          <t>1/4</t>
        </is>
      </c>
      <c r="L297" s="21" t="inlineStr">
        <is>
          <t>OFF, 15m, 1h, 4h, D (5 options)</t>
        </is>
      </c>
      <c r="M297" s="21" t="inlineStr">
        <is>
          <t>15m</t>
        </is>
      </c>
      <c r="N297" s="21" t="inlineStr">
        <is>
          <t>TF selector</t>
        </is>
      </c>
      <c r="O297" s="21" t="inlineStr">
        <is>
          <t>LIVE_ONLY_SIGNALS_BATCH5_FILTER_TF</t>
        </is>
      </c>
      <c r="P297" s="21" t="inlineStr">
        <is>
          <t>getattr(cfg,"LIVE_ONLY_SIGNALS_BATCH5_FILTER_TF")</t>
        </is>
      </c>
      <c r="Q297" t="inlineStr">
        <is>
          <t>NO</t>
        </is>
      </c>
    </row>
    <row r="298">
      <c r="A298" s="24" t="n">
        <v>80</v>
      </c>
      <c r="B298" s="25" t="inlineStr">
        <is>
          <t>LIVE_ONLY_SIGNALS_BATCH5_FILTER_TF</t>
        </is>
      </c>
      <c r="C298" s="23" t="inlineStr">
        <is>
          <t>1h</t>
        </is>
      </c>
      <c r="D298" s="26" t="inlineStr">
        <is>
          <t>Batch-5 live-only signals filter TF. | Live read: `TE_MIN_TFS', 'GOLDEN_RULE_ENFORCE_FILTER_TF', 'GOLDEN_RULE_HTF_VOTE_FILTER_TF', `</t>
        </is>
      </c>
      <c r="E298" s="26" t="inlineStr">
        <is>
          <t>GLOBAL_CHECK</t>
        </is>
      </c>
      <c r="F298" s="24" t="inlineStr">
        <is>
          <t>GLOBAL_CHECK</t>
        </is>
      </c>
      <c r="G298" s="26" t="inlineStr">
        <is>
          <t>LIVE_ONLY_SIGNALS_BATCH5</t>
        </is>
      </c>
      <c r="H298" s="24" t="inlineStr">
        <is>
          <t>SPECIFIC — only gated switches</t>
        </is>
      </c>
      <c r="I298" s="24" t="inlineStr">
        <is>
          <t>LIVE — wired</t>
        </is>
      </c>
      <c r="J298" s="24" t="n"/>
      <c r="K298" s="21" t="inlineStr">
        <is>
          <t>1/4</t>
        </is>
      </c>
      <c r="L298" s="21" t="inlineStr">
        <is>
          <t>OFF, 15m, 1h, 4h, D (5 options)</t>
        </is>
      </c>
      <c r="M298" s="21" t="inlineStr">
        <is>
          <t>15m</t>
        </is>
      </c>
      <c r="N298" s="21" t="inlineStr">
        <is>
          <t>TF selector</t>
        </is>
      </c>
      <c r="O298" s="21" t="inlineStr">
        <is>
          <t>LIVE_ONLY_SIGNALS_BATCH5_FILTER_TF</t>
        </is>
      </c>
      <c r="P298" s="21" t="inlineStr">
        <is>
          <t>getattr(cfg,"LIVE_ONLY_SIGNALS_BATCH5_FILTER_TF")</t>
        </is>
      </c>
      <c r="Q298" t="inlineStr">
        <is>
          <t>NO</t>
        </is>
      </c>
    </row>
    <row r="299">
      <c r="A299" s="24" t="n">
        <v>80</v>
      </c>
      <c r="B299" s="27" t="inlineStr">
        <is>
          <t>LIVE_ONLY_SIGNALS_BATCH5_FILTER_TF</t>
        </is>
      </c>
      <c r="C299" s="19" t="inlineStr">
        <is>
          <t>15m</t>
        </is>
      </c>
      <c r="D299" s="26" t="inlineStr">
        <is>
          <t>Batch-5 live-only signals filter TF. | Live read: `TE_MIN_TFS', 'GOLDEN_RULE_ENFORCE_FILTER_TF', 'GOLDEN_RULE_HTF_VOTE_FILTER_TF', `</t>
        </is>
      </c>
      <c r="E299" s="26" t="inlineStr">
        <is>
          <t>GLOBAL_CHECK</t>
        </is>
      </c>
      <c r="F299" s="24" t="inlineStr">
        <is>
          <t>GLOBAL_CHECK</t>
        </is>
      </c>
      <c r="G299" s="26" t="inlineStr">
        <is>
          <t>LIVE_ONLY_SIGNALS_BATCH5</t>
        </is>
      </c>
      <c r="H299" s="24" t="inlineStr">
        <is>
          <t>SPECIFIC — only gated switches</t>
        </is>
      </c>
      <c r="I299" s="24" t="inlineStr">
        <is>
          <t>LIVE — wired</t>
        </is>
      </c>
      <c r="J299" s="24" t="n"/>
      <c r="K299" s="21" t="inlineStr">
        <is>
          <t>1/4</t>
        </is>
      </c>
      <c r="L299" s="21" t="inlineStr">
        <is>
          <t>OFF, 15m, 1h, 4h, D (5 options)</t>
        </is>
      </c>
      <c r="M299" s="21" t="inlineStr">
        <is>
          <t>15m</t>
        </is>
      </c>
      <c r="N299" s="21" t="inlineStr">
        <is>
          <t>TF selector</t>
        </is>
      </c>
      <c r="O299" s="21" t="inlineStr">
        <is>
          <t>LIVE_ONLY_SIGNALS_BATCH5_FILTER_TF</t>
        </is>
      </c>
      <c r="P299" s="21" t="inlineStr">
        <is>
          <t>getattr(cfg,"LIVE_ONLY_SIGNALS_BATCH5_FILTER_TF")</t>
        </is>
      </c>
      <c r="Q299" t="inlineStr">
        <is>
          <t>YES</t>
        </is>
      </c>
    </row>
    <row r="300">
      <c r="A300" s="17" t="n">
        <v>81</v>
      </c>
      <c r="B300" s="18" t="inlineStr">
        <is>
          <t>LIVE_VEC_EMERGENCY_BRAKE_ENABLED</t>
        </is>
      </c>
      <c r="C300" s="19" t="inlineStr">
        <is>
          <t>False</t>
        </is>
      </c>
      <c r="D300" s="20" t="inlineStr">
        <is>
          <t>Emergency brake enabled in live vector path. | Live read: `ER_TF', 'GOLDEN_RULE_HTF_VOTE_FILTER_TF', 'GR_FILTER_VEC_ENABLED', 'GR_FILTER_VE`</t>
        </is>
      </c>
      <c r="E300" s="20" t="inlineStr">
        <is>
          <t>GLOBAL_CHECK, STOCKS_EXIT</t>
        </is>
      </c>
      <c r="F300" s="17" t="inlineStr">
        <is>
          <t>GLOBAL_CHECK, STOCKS_EXIT</t>
        </is>
      </c>
      <c r="G300" s="20" t="inlineStr">
        <is>
          <t>LIVE_VEC_EMERGENCY_BRAKE_ENABLED</t>
        </is>
      </c>
      <c r="H300" s="17" t="inlineStr">
        <is>
          <t>GENERAL</t>
        </is>
      </c>
      <c r="I300" s="17" t="inlineStr">
        <is>
          <t>LIVE — wired</t>
        </is>
      </c>
      <c r="J300" s="17" t="n"/>
      <c r="K300" s="21" t="inlineStr">
        <is>
          <t>—</t>
        </is>
      </c>
      <c r="L300" s="21" t="inlineStr">
        <is>
          <t>False, True (2)</t>
        </is>
      </c>
      <c r="M300" s="21" t="inlineStr">
        <is>
          <t>False</t>
        </is>
      </c>
      <c r="N300" s="21" t="inlineStr">
        <is>
          <t>bool gate</t>
        </is>
      </c>
      <c r="O300" s="21" t="inlineStr">
        <is>
          <t>LIVE_VEC_EMERGENCY_BRAKE_ENABLED</t>
        </is>
      </c>
      <c r="P300" s="21" t="inlineStr">
        <is>
          <t>getattr(cfg,"LIVE_VEC_EMERGENCY_BRAKE_ENABLED")</t>
        </is>
      </c>
      <c r="Q300" t="inlineStr">
        <is>
          <t>YES</t>
        </is>
      </c>
    </row>
    <row r="301">
      <c r="A301" s="17" t="n">
        <v>81</v>
      </c>
      <c r="B301" s="22" t="inlineStr">
        <is>
          <t>LIVE_VEC_EMERGENCY_BRAKE_ENABLED</t>
        </is>
      </c>
      <c r="C301" s="23" t="inlineStr">
        <is>
          <t>True</t>
        </is>
      </c>
      <c r="D301" s="20" t="inlineStr">
        <is>
          <t>Emergency brake enabled in live vector path. | Live read: `ER_TF', 'GOLDEN_RULE_HTF_VOTE_FILTER_TF', 'GR_FILTER_VEC_ENABLED', 'GR_FILTER_VE`</t>
        </is>
      </c>
      <c r="E301" s="20" t="inlineStr">
        <is>
          <t>GLOBAL_CHECK, STOCKS_EXIT</t>
        </is>
      </c>
      <c r="F301" s="17" t="inlineStr">
        <is>
          <t>GLOBAL_CHECK, STOCKS_EXIT</t>
        </is>
      </c>
      <c r="G301" s="20" t="inlineStr">
        <is>
          <t>LIVE_VEC_EMERGENCY_BRAKE_ENABLED</t>
        </is>
      </c>
      <c r="H301" s="17" t="inlineStr">
        <is>
          <t>GENERAL</t>
        </is>
      </c>
      <c r="I301" s="17" t="inlineStr">
        <is>
          <t>LIVE — wired</t>
        </is>
      </c>
      <c r="J301" s="17" t="n"/>
      <c r="K301" s="21" t="inlineStr">
        <is>
          <t>—</t>
        </is>
      </c>
      <c r="L301" s="21" t="inlineStr">
        <is>
          <t>False, True (2)</t>
        </is>
      </c>
      <c r="M301" s="21" t="inlineStr">
        <is>
          <t>False</t>
        </is>
      </c>
      <c r="N301" s="21" t="inlineStr">
        <is>
          <t>bool gate</t>
        </is>
      </c>
      <c r="O301" s="21" t="inlineStr">
        <is>
          <t>LIVE_VEC_EMERGENCY_BRAKE_ENABLED</t>
        </is>
      </c>
      <c r="P301" s="21" t="inlineStr">
        <is>
          <t>getattr(cfg,"LIVE_VEC_EMERGENCY_BRAKE_ENABLED")</t>
        </is>
      </c>
      <c r="Q301" t="inlineStr">
        <is>
          <t>NO</t>
        </is>
      </c>
    </row>
    <row r="302">
      <c r="A302" s="17" t="n">
        <v>82</v>
      </c>
      <c r="B302" s="18" t="inlineStr">
        <is>
          <t>LR_BAND_LADDER_STOCH_EXTREME</t>
        </is>
      </c>
      <c r="C302" s="19" t="inlineStr">
        <is>
          <t>30.0</t>
        </is>
      </c>
      <c r="D302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2" s="20" t="inlineStr">
        <is>
          <t>GLOBAL_CHECK, STOCKS_EXIT</t>
        </is>
      </c>
      <c r="F302" s="17" t="inlineStr">
        <is>
          <t>GLOBAL_CHECK, STOCKS_EXIT</t>
        </is>
      </c>
      <c r="G302" s="20" t="inlineStr">
        <is>
          <t>LR_BAND_LADDER_STOCH_EXTREME</t>
        </is>
      </c>
      <c r="H302" s="17" t="inlineStr">
        <is>
          <t>GENERAL</t>
        </is>
      </c>
      <c r="I302" s="17" t="inlineStr">
        <is>
          <t>LIVE — wired</t>
        </is>
      </c>
      <c r="J302" s="17" t="n"/>
      <c r="K302" s="21" t="inlineStr">
        <is>
          <t>—</t>
        </is>
      </c>
      <c r="L302" s="21" t="inlineStr">
        <is>
          <t>30.0, alt</t>
        </is>
      </c>
      <c r="M302" s="21" t="inlineStr">
        <is>
          <t>30.0</t>
        </is>
      </c>
      <c r="N302" s="21" t="inlineStr">
        <is>
          <t>param</t>
        </is>
      </c>
      <c r="O302" s="21" t="inlineStr">
        <is>
          <t>LR_BAND_LADDER_STOCH_EXTREME</t>
        </is>
      </c>
      <c r="P302" s="21" t="inlineStr">
        <is>
          <t>getattr(cfg,"LR_BAND_LADDER_STOCH_EXTREME")</t>
        </is>
      </c>
      <c r="Q302" t="inlineStr">
        <is>
          <t>YES</t>
        </is>
      </c>
    </row>
    <row r="303">
      <c r="A303" s="17" t="n">
        <v>82</v>
      </c>
      <c r="B303" s="22" t="inlineStr">
        <is>
          <t>LR_BAND_LADDER_STOCH_EXTREME</t>
        </is>
      </c>
      <c r="C303" s="23" t="inlineStr">
        <is>
          <t>30.0_ALT</t>
        </is>
      </c>
      <c r="D303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3" s="20" t="inlineStr">
        <is>
          <t>GLOBAL_CHECK, STOCKS_EXIT</t>
        </is>
      </c>
      <c r="F303" s="17" t="inlineStr">
        <is>
          <t>GLOBAL_CHECK, STOCKS_EXIT</t>
        </is>
      </c>
      <c r="G303" s="20" t="inlineStr">
        <is>
          <t>LR_BAND_LADDER_STOCH_EXTREME</t>
        </is>
      </c>
      <c r="H303" s="17" t="inlineStr">
        <is>
          <t>GENERAL</t>
        </is>
      </c>
      <c r="I303" s="17" t="inlineStr">
        <is>
          <t>LIVE — wired</t>
        </is>
      </c>
      <c r="J303" s="17" t="n"/>
      <c r="K303" s="21" t="inlineStr">
        <is>
          <t>—</t>
        </is>
      </c>
      <c r="L303" s="21" t="inlineStr">
        <is>
          <t>30.0, alt</t>
        </is>
      </c>
      <c r="M303" s="21" t="inlineStr">
        <is>
          <t>30.0</t>
        </is>
      </c>
      <c r="N303" s="21" t="inlineStr">
        <is>
          <t>param</t>
        </is>
      </c>
      <c r="O303" s="21" t="inlineStr">
        <is>
          <t>LR_BAND_LADDER_STOCH_EXTREME</t>
        </is>
      </c>
      <c r="P303" s="21" t="inlineStr">
        <is>
          <t>getattr(cfg,"LR_BAND_LADDER_STOCH_EXTREME")</t>
        </is>
      </c>
      <c r="Q303" t="inlineStr">
        <is>
          <t>NO</t>
        </is>
      </c>
    </row>
    <row r="304">
      <c r="A304" s="17" t="n">
        <v>83</v>
      </c>
      <c r="B304" s="22" t="inlineStr">
        <is>
          <t>LR_BAND_LADDER_TF_BOTTOM</t>
        </is>
      </c>
      <c r="C304" s="23" t="inlineStr">
        <is>
          <t>0</t>
        </is>
      </c>
      <c r="D304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4" s="20" t="inlineStr">
        <is>
          <t>GLOBAL_CHECK, STOCKS_EXIT</t>
        </is>
      </c>
      <c r="F304" s="17" t="inlineStr">
        <is>
          <t>GLOBAL_CHECK, STOCKS_EXIT</t>
        </is>
      </c>
      <c r="G304" s="20" t="inlineStr">
        <is>
          <t>LR_BAND_LADDER_TF_BOTTOM</t>
        </is>
      </c>
      <c r="H304" s="17" t="inlineStr">
        <is>
          <t>GENERAL</t>
        </is>
      </c>
      <c r="I304" s="17" t="inlineStr">
        <is>
          <t>LIVE — wired</t>
        </is>
      </c>
      <c r="J304" s="17" t="n"/>
      <c r="K304" s="21" t="inlineStr">
        <is>
          <t>—</t>
        </is>
      </c>
      <c r="L304" s="21" t="inlineStr">
        <is>
          <t>, alt</t>
        </is>
      </c>
      <c r="M304" s="21" t="n"/>
      <c r="N304" s="21" t="inlineStr">
        <is>
          <t>param</t>
        </is>
      </c>
      <c r="O304" s="21" t="inlineStr">
        <is>
          <t>LR_BAND_LADDER_TF_BOTTOM</t>
        </is>
      </c>
      <c r="P304" s="21" t="inlineStr">
        <is>
          <t>getattr(cfg,"LR_BAND_LADDER_TF_BOTTOM")</t>
        </is>
      </c>
      <c r="Q304" t="inlineStr">
        <is>
          <t>NO</t>
        </is>
      </c>
    </row>
    <row r="305">
      <c r="A305" s="17" t="n">
        <v>83</v>
      </c>
      <c r="B305" s="22" t="inlineStr">
        <is>
          <t>LR_BAND_LADDER_TF_BOTTOM</t>
        </is>
      </c>
      <c r="C305" s="23" t="inlineStr">
        <is>
          <t>1</t>
        </is>
      </c>
      <c r="D305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5" s="20" t="inlineStr">
        <is>
          <t>GLOBAL_CHECK, STOCKS_EXIT</t>
        </is>
      </c>
      <c r="F305" s="17" t="inlineStr">
        <is>
          <t>GLOBAL_CHECK, STOCKS_EXIT</t>
        </is>
      </c>
      <c r="G305" s="20" t="inlineStr">
        <is>
          <t>LR_BAND_LADDER_TF_BOTTOM</t>
        </is>
      </c>
      <c r="H305" s="17" t="inlineStr">
        <is>
          <t>GENERAL</t>
        </is>
      </c>
      <c r="I305" s="17" t="inlineStr">
        <is>
          <t>LIVE — wired</t>
        </is>
      </c>
      <c r="J305" s="17" t="n"/>
      <c r="K305" s="21" t="inlineStr">
        <is>
          <t>—</t>
        </is>
      </c>
      <c r="L305" s="21" t="inlineStr">
        <is>
          <t>, alt</t>
        </is>
      </c>
      <c r="M305" s="21" t="n"/>
      <c r="N305" s="21" t="inlineStr">
        <is>
          <t>param</t>
        </is>
      </c>
      <c r="O305" s="21" t="inlineStr">
        <is>
          <t>LR_BAND_LADDER_TF_BOTTOM</t>
        </is>
      </c>
      <c r="P305" s="21" t="inlineStr">
        <is>
          <t>getattr(cfg,"LR_BAND_LADDER_TF_BOTTOM")</t>
        </is>
      </c>
      <c r="Q305" t="inlineStr">
        <is>
          <t>NO</t>
        </is>
      </c>
    </row>
    <row r="306">
      <c r="A306" s="17" t="n">
        <v>84</v>
      </c>
      <c r="B306" s="22" t="inlineStr">
        <is>
          <t>LR_BAND_LADDER_TF_TOP</t>
        </is>
      </c>
      <c r="C306" s="23" t="inlineStr">
        <is>
          <t>0</t>
        </is>
      </c>
      <c r="D306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6" s="20" t="inlineStr">
        <is>
          <t>GLOBAL_CHECK, STOCKS_EXIT</t>
        </is>
      </c>
      <c r="F306" s="17" t="inlineStr">
        <is>
          <t>GLOBAL_CHECK, STOCKS_EXIT</t>
        </is>
      </c>
      <c r="G306" s="20" t="inlineStr">
        <is>
          <t>LR_BAND_LADDER_TF_TOP</t>
        </is>
      </c>
      <c r="H306" s="17" t="inlineStr">
        <is>
          <t>GENERAL</t>
        </is>
      </c>
      <c r="I306" s="17" t="inlineStr">
        <is>
          <t>LIVE — wired</t>
        </is>
      </c>
      <c r="J306" s="17" t="n"/>
      <c r="K306" s="21" t="inlineStr">
        <is>
          <t>—</t>
        </is>
      </c>
      <c r="L306" s="21" t="inlineStr">
        <is>
          <t>, alt</t>
        </is>
      </c>
      <c r="M306" s="21" t="n"/>
      <c r="N306" s="21" t="inlineStr">
        <is>
          <t>param</t>
        </is>
      </c>
      <c r="O306" s="21" t="inlineStr">
        <is>
          <t>LR_BAND_LADDER_TF_TOP</t>
        </is>
      </c>
      <c r="P306" s="21" t="inlineStr">
        <is>
          <t>getattr(cfg,"LR_BAND_LADDER_TF_TOP")</t>
        </is>
      </c>
      <c r="Q306" t="inlineStr">
        <is>
          <t>NO</t>
        </is>
      </c>
    </row>
    <row r="307">
      <c r="A307" s="17" t="n">
        <v>84</v>
      </c>
      <c r="B307" s="22" t="inlineStr">
        <is>
          <t>LR_BAND_LADDER_TF_TOP</t>
        </is>
      </c>
      <c r="C307" s="23" t="inlineStr">
        <is>
          <t>1</t>
        </is>
      </c>
      <c r="D307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7" s="20" t="inlineStr">
        <is>
          <t>GLOBAL_CHECK, STOCKS_EXIT</t>
        </is>
      </c>
      <c r="F307" s="17" t="inlineStr">
        <is>
          <t>GLOBAL_CHECK, STOCKS_EXIT</t>
        </is>
      </c>
      <c r="G307" s="20" t="inlineStr">
        <is>
          <t>LR_BAND_LADDER_TF_TOP</t>
        </is>
      </c>
      <c r="H307" s="17" t="inlineStr">
        <is>
          <t>GENERAL</t>
        </is>
      </c>
      <c r="I307" s="17" t="inlineStr">
        <is>
          <t>LIVE — wired</t>
        </is>
      </c>
      <c r="J307" s="17" t="n"/>
      <c r="K307" s="21" t="inlineStr">
        <is>
          <t>—</t>
        </is>
      </c>
      <c r="L307" s="21" t="inlineStr">
        <is>
          <t>, alt</t>
        </is>
      </c>
      <c r="M307" s="21" t="n"/>
      <c r="N307" s="21" t="inlineStr">
        <is>
          <t>param</t>
        </is>
      </c>
      <c r="O307" s="21" t="inlineStr">
        <is>
          <t>LR_BAND_LADDER_TF_TOP</t>
        </is>
      </c>
      <c r="P307" s="21" t="inlineStr">
        <is>
          <t>getattr(cfg,"LR_BAND_LADDER_TF_TOP")</t>
        </is>
      </c>
      <c r="Q307" t="inlineStr">
        <is>
          <t>NO</t>
        </is>
      </c>
    </row>
    <row r="308">
      <c r="A308" s="17" t="n">
        <v>85</v>
      </c>
      <c r="B308" s="18" t="inlineStr">
        <is>
          <t>MANDATORY_REENTRY_WT_FILTER_MIN_TFS</t>
        </is>
      </c>
      <c r="C308" s="19" t="inlineStr">
        <is>
          <t>1</t>
        </is>
      </c>
      <c r="D308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8" s="20" t="inlineStr">
        <is>
          <t>GLOBAL_CHECK, STOCKS_EXIT</t>
        </is>
      </c>
      <c r="F308" s="17" t="inlineStr">
        <is>
          <t>GLOBAL_CHECK, STOCKS_EXIT</t>
        </is>
      </c>
      <c r="G308" s="20" t="inlineStr">
        <is>
          <t>MANDATORY_REENTRY_WT_FILTER_MIN_</t>
        </is>
      </c>
      <c r="H308" s="17" t="inlineStr">
        <is>
          <t>GENERAL</t>
        </is>
      </c>
      <c r="I308" s="17" t="inlineStr">
        <is>
          <t>LIVE — wired</t>
        </is>
      </c>
      <c r="J308" s="17" t="n"/>
      <c r="K308" s="21" t="inlineStr">
        <is>
          <t>N</t>
        </is>
      </c>
      <c r="L308" s="21" t="inlineStr">
        <is>
          <t>1, +1, +2 (3)</t>
        </is>
      </c>
      <c r="M308" s="21" t="inlineStr">
        <is>
          <t>1</t>
        </is>
      </c>
      <c r="N308" s="21" t="inlineStr">
        <is>
          <t>count</t>
        </is>
      </c>
      <c r="O308" s="21" t="inlineStr">
        <is>
          <t>MANDATORY_REENTRY_WT_FILTER_MIN_TFS</t>
        </is>
      </c>
      <c r="P308" s="21" t="inlineStr">
        <is>
          <t>getattr(cfg,"MANDATORY_REENTRY_WT_FILTER_MIN_TFS")</t>
        </is>
      </c>
      <c r="Q308" t="inlineStr">
        <is>
          <t>YES</t>
        </is>
      </c>
    </row>
    <row r="309">
      <c r="A309" s="17" t="n">
        <v>85</v>
      </c>
      <c r="B309" s="22" t="inlineStr">
        <is>
          <t>MANDATORY_REENTRY_WT_FILTER_MIN_TFS</t>
        </is>
      </c>
      <c r="C309" s="23" t="inlineStr">
        <is>
          <t>3</t>
        </is>
      </c>
      <c r="D309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9" s="20" t="inlineStr">
        <is>
          <t>GLOBAL_CHECK, STOCKS_EXIT</t>
        </is>
      </c>
      <c r="F309" s="17" t="inlineStr">
        <is>
          <t>GLOBAL_CHECK, STOCKS_EXIT</t>
        </is>
      </c>
      <c r="G309" s="20" t="inlineStr">
        <is>
          <t>MANDATORY_REENTRY_WT_FILTER_MIN_</t>
        </is>
      </c>
      <c r="H309" s="17" t="inlineStr">
        <is>
          <t>GENERAL</t>
        </is>
      </c>
      <c r="I309" s="17" t="inlineStr">
        <is>
          <t>LIVE — wired</t>
        </is>
      </c>
      <c r="J309" s="17" t="n"/>
      <c r="K309" s="21" t="inlineStr">
        <is>
          <t>N</t>
        </is>
      </c>
      <c r="L309" s="21" t="inlineStr">
        <is>
          <t>1, +1, +2 (3)</t>
        </is>
      </c>
      <c r="M309" s="21" t="inlineStr">
        <is>
          <t>1</t>
        </is>
      </c>
      <c r="N309" s="21" t="inlineStr">
        <is>
          <t>count</t>
        </is>
      </c>
      <c r="O309" s="21" t="inlineStr">
        <is>
          <t>MANDATORY_REENTRY_WT_FILTER_MIN_TFS</t>
        </is>
      </c>
      <c r="P309" s="21" t="inlineStr">
        <is>
          <t>getattr(cfg,"MANDATORY_REENTRY_WT_FILTER_MIN_TFS")</t>
        </is>
      </c>
      <c r="Q309" t="inlineStr">
        <is>
          <t>NO</t>
        </is>
      </c>
    </row>
    <row r="310">
      <c r="A310" s="17" t="n">
        <v>85</v>
      </c>
      <c r="B310" s="22" t="inlineStr">
        <is>
          <t>MANDATORY_REENTRY_WT_FILTER_MIN_TFS</t>
        </is>
      </c>
      <c r="C310" s="23" t="inlineStr">
        <is>
          <t>2</t>
        </is>
      </c>
      <c r="D310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10" s="20" t="inlineStr">
        <is>
          <t>GLOBAL_CHECK, STOCKS_EXIT</t>
        </is>
      </c>
      <c r="F310" s="17" t="inlineStr">
        <is>
          <t>GLOBAL_CHECK, STOCKS_EXIT</t>
        </is>
      </c>
      <c r="G310" s="20" t="inlineStr">
        <is>
          <t>MANDATORY_REENTRY_WT_FILTER_MIN_</t>
        </is>
      </c>
      <c r="H310" s="17" t="inlineStr">
        <is>
          <t>GENERAL</t>
        </is>
      </c>
      <c r="I310" s="17" t="inlineStr">
        <is>
          <t>LIVE — wired</t>
        </is>
      </c>
      <c r="J310" s="17" t="n"/>
      <c r="K310" s="21" t="inlineStr">
        <is>
          <t>N</t>
        </is>
      </c>
      <c r="L310" s="21" t="inlineStr">
        <is>
          <t>1, +1, +2 (3)</t>
        </is>
      </c>
      <c r="M310" s="21" t="inlineStr">
        <is>
          <t>1</t>
        </is>
      </c>
      <c r="N310" s="21" t="inlineStr">
        <is>
          <t>count</t>
        </is>
      </c>
      <c r="O310" s="21" t="inlineStr">
        <is>
          <t>MANDATORY_REENTRY_WT_FILTER_MIN_TFS</t>
        </is>
      </c>
      <c r="P310" s="21" t="inlineStr">
        <is>
          <t>getattr(cfg,"MANDATORY_REENTRY_WT_FILTER_MIN_TFS")</t>
        </is>
      </c>
      <c r="Q310" t="inlineStr">
        <is>
          <t>NO</t>
        </is>
      </c>
    </row>
    <row r="311">
      <c r="A311" s="17" t="n">
        <v>86</v>
      </c>
      <c r="B311" s="18" t="inlineStr">
        <is>
          <t>MANDATORY_REENTRY_WT_FILTER_MIN_VELOCITY</t>
        </is>
      </c>
      <c r="C311" s="19" t="inlineStr">
        <is>
          <t>0.0</t>
        </is>
      </c>
      <c r="D311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1" s="20" t="inlineStr">
        <is>
          <t>GLOBAL_CHECK, STOCKS_EXIT</t>
        </is>
      </c>
      <c r="F311" s="17" t="inlineStr">
        <is>
          <t>GLOBAL_CHECK, STOCKS_EXIT</t>
        </is>
      </c>
      <c r="G311" s="20" t="inlineStr">
        <is>
          <t>MANDATORY_REENTRY_WT_FILTER_MIN_</t>
        </is>
      </c>
      <c r="H311" s="17" t="inlineStr">
        <is>
          <t>GENERAL</t>
        </is>
      </c>
      <c r="I311" s="17" t="inlineStr">
        <is>
          <t>LIVE — wired</t>
        </is>
      </c>
      <c r="J311" s="17" t="n"/>
      <c r="K311" s="21" t="inlineStr">
        <is>
          <t>—</t>
        </is>
      </c>
      <c r="L311" s="21" t="inlineStr">
        <is>
          <t>0.0, alt</t>
        </is>
      </c>
      <c r="M311" s="21" t="inlineStr">
        <is>
          <t>0.0</t>
        </is>
      </c>
      <c r="N311" s="21" t="inlineStr">
        <is>
          <t>param</t>
        </is>
      </c>
      <c r="O311" s="21" t="inlineStr">
        <is>
          <t>MANDATORY_REENTRY_WT_FILTER_MIN_VELOCITY</t>
        </is>
      </c>
      <c r="P311" s="21" t="inlineStr">
        <is>
          <t>getattr(cfg,"MANDATORY_REENTRY_WT_FILTER_MIN_VELOCITY")</t>
        </is>
      </c>
      <c r="Q311" t="inlineStr">
        <is>
          <t>YES</t>
        </is>
      </c>
    </row>
    <row r="312">
      <c r="A312" s="17" t="n">
        <v>86</v>
      </c>
      <c r="B312" s="22" t="inlineStr">
        <is>
          <t>MANDATORY_REENTRY_WT_FILTER_MIN_VELOCITY</t>
        </is>
      </c>
      <c r="C312" s="23" t="inlineStr">
        <is>
          <t>0.0_ALT</t>
        </is>
      </c>
      <c r="D312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2" s="20" t="inlineStr">
        <is>
          <t>GLOBAL_CHECK, STOCKS_EXIT</t>
        </is>
      </c>
      <c r="F312" s="17" t="inlineStr">
        <is>
          <t>GLOBAL_CHECK, STOCKS_EXIT</t>
        </is>
      </c>
      <c r="G312" s="20" t="inlineStr">
        <is>
          <t>MANDATORY_REENTRY_WT_FILTER_MIN_</t>
        </is>
      </c>
      <c r="H312" s="17" t="inlineStr">
        <is>
          <t>GENERAL</t>
        </is>
      </c>
      <c r="I312" s="17" t="inlineStr">
        <is>
          <t>LIVE — wired</t>
        </is>
      </c>
      <c r="J312" s="17" t="n"/>
      <c r="K312" s="21" t="inlineStr">
        <is>
          <t>—</t>
        </is>
      </c>
      <c r="L312" s="21" t="inlineStr">
        <is>
          <t>0.0, alt</t>
        </is>
      </c>
      <c r="M312" s="21" t="inlineStr">
        <is>
          <t>0.0</t>
        </is>
      </c>
      <c r="N312" s="21" t="inlineStr">
        <is>
          <t>param</t>
        </is>
      </c>
      <c r="O312" s="21" t="inlineStr">
        <is>
          <t>MANDATORY_REENTRY_WT_FILTER_MIN_VELOCITY</t>
        </is>
      </c>
      <c r="P312" s="21" t="inlineStr">
        <is>
          <t>getattr(cfg,"MANDATORY_REENTRY_WT_FILTER_MIN_VELOCITY")</t>
        </is>
      </c>
      <c r="Q312" t="inlineStr">
        <is>
          <t>NO</t>
        </is>
      </c>
    </row>
    <row r="313">
      <c r="A313" s="17" t="n">
        <v>87</v>
      </c>
      <c r="B313" s="18" t="inlineStr">
        <is>
          <t>MANDATORY_REENTRY_WT_FILTER_REQUIRE_FLIP</t>
        </is>
      </c>
      <c r="C313" s="19" t="inlineStr">
        <is>
          <t>False</t>
        </is>
      </c>
      <c r="D313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3" s="20" t="inlineStr">
        <is>
          <t>GLOBAL_CHECK, STOCKS_EXIT</t>
        </is>
      </c>
      <c r="F313" s="17" t="inlineStr">
        <is>
          <t>GLOBAL_CHECK, STOCKS_EXIT</t>
        </is>
      </c>
      <c r="G313" s="20" t="inlineStr">
        <is>
          <t>MANDATORY_REENTRY_WT_FILTER_REQU</t>
        </is>
      </c>
      <c r="H313" s="17" t="inlineStr">
        <is>
          <t>GENERAL</t>
        </is>
      </c>
      <c r="I313" s="17" t="inlineStr">
        <is>
          <t>LIVE — wired</t>
        </is>
      </c>
      <c r="J313" s="17" t="n"/>
      <c r="K313" s="21" t="inlineStr">
        <is>
          <t>—</t>
        </is>
      </c>
      <c r="L313" s="21" t="inlineStr">
        <is>
          <t>False, alt</t>
        </is>
      </c>
      <c r="M313" s="21" t="inlineStr">
        <is>
          <t>False</t>
        </is>
      </c>
      <c r="N313" s="21" t="inlineStr">
        <is>
          <t>param</t>
        </is>
      </c>
      <c r="O313" s="21" t="inlineStr">
        <is>
          <t>MANDATORY_REENTRY_WT_FILTER_REQUIRE_FLIP</t>
        </is>
      </c>
      <c r="P313" s="21" t="inlineStr">
        <is>
          <t>getattr(cfg,"MANDATORY_REENTRY_WT_FILTER_REQUIRE_FLIP")</t>
        </is>
      </c>
      <c r="Q313" t="inlineStr">
        <is>
          <t>YES</t>
        </is>
      </c>
    </row>
    <row r="314">
      <c r="A314" s="17" t="n">
        <v>87</v>
      </c>
      <c r="B314" s="22" t="inlineStr">
        <is>
          <t>MANDATORY_REENTRY_WT_FILTER_REQUIRE_FLIP</t>
        </is>
      </c>
      <c r="C314" s="23" t="inlineStr">
        <is>
          <t>False_ALT</t>
        </is>
      </c>
      <c r="D314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4" s="20" t="inlineStr">
        <is>
          <t>GLOBAL_CHECK, STOCKS_EXIT</t>
        </is>
      </c>
      <c r="F314" s="17" t="inlineStr">
        <is>
          <t>GLOBAL_CHECK, STOCKS_EXIT</t>
        </is>
      </c>
      <c r="G314" s="20" t="inlineStr">
        <is>
          <t>MANDATORY_REENTRY_WT_FILTER_REQU</t>
        </is>
      </c>
      <c r="H314" s="17" t="inlineStr">
        <is>
          <t>GENERAL</t>
        </is>
      </c>
      <c r="I314" s="17" t="inlineStr">
        <is>
          <t>LIVE — wired</t>
        </is>
      </c>
      <c r="J314" s="17" t="n"/>
      <c r="K314" s="21" t="inlineStr">
        <is>
          <t>—</t>
        </is>
      </c>
      <c r="L314" s="21" t="inlineStr">
        <is>
          <t>False, alt</t>
        </is>
      </c>
      <c r="M314" s="21" t="inlineStr">
        <is>
          <t>False</t>
        </is>
      </c>
      <c r="N314" s="21" t="inlineStr">
        <is>
          <t>param</t>
        </is>
      </c>
      <c r="O314" s="21" t="inlineStr">
        <is>
          <t>MANDATORY_REENTRY_WT_FILTER_REQUIRE_FLIP</t>
        </is>
      </c>
      <c r="P314" s="21" t="inlineStr">
        <is>
          <t>getattr(cfg,"MANDATORY_REENTRY_WT_FILTER_REQUIRE_FLIP")</t>
        </is>
      </c>
      <c r="Q314" t="inlineStr">
        <is>
          <t>NO</t>
        </is>
      </c>
    </row>
    <row r="315">
      <c r="A315" s="24" t="n">
        <v>88</v>
      </c>
      <c r="B315" s="27" t="inlineStr">
        <is>
          <t>MANDATORY_REENTRY_WT_FILTER_TF_MODE</t>
        </is>
      </c>
      <c r="C315" s="19" t="inlineStr">
        <is>
          <t>15m_only</t>
        </is>
      </c>
      <c r="D315" s="26" t="inlineStr">
        <is>
          <t>WT filter mode for mandatory reentry (e.g. 5m_or_15m). | Live read: `RANTEED_REENTRY_K_FAVORABLE_LOW', 'GUARANTEED_REENTRY_K_HIGH_BLOCK', 'GUARANTEED`</t>
        </is>
      </c>
      <c r="E315" s="26" t="inlineStr">
        <is>
          <t>GLOBAL_CHECK, STOCKS_EXIT</t>
        </is>
      </c>
      <c r="F315" s="24" t="inlineStr">
        <is>
          <t>GLOBAL_CHECK, STOCKS_EXIT</t>
        </is>
      </c>
      <c r="G315" s="26" t="inlineStr">
        <is>
          <t>MANDATORY_REENTRY_WT_MODE</t>
        </is>
      </c>
      <c r="H315" s="24" t="inlineStr">
        <is>
          <t>SPECIFIC — only gated switches</t>
        </is>
      </c>
      <c r="I315" s="24" t="inlineStr">
        <is>
          <t>LIVE — wired</t>
        </is>
      </c>
      <c r="J315" s="24" t="n"/>
      <c r="K315" s="21" t="inlineStr">
        <is>
          <t>—</t>
        </is>
      </c>
      <c r="L315" s="21" t="inlineStr">
        <is>
          <t>15m_only, alt</t>
        </is>
      </c>
      <c r="M315" s="21" t="inlineStr">
        <is>
          <t>15m_only</t>
        </is>
      </c>
      <c r="N315" s="21" t="inlineStr">
        <is>
          <t>param</t>
        </is>
      </c>
      <c r="O315" s="21" t="inlineStr">
        <is>
          <t>MANDATORY_REENTRY_WT_FILTER_TF_MODE</t>
        </is>
      </c>
      <c r="P315" s="21" t="inlineStr">
        <is>
          <t>getattr(cfg,"MANDATORY_REENTRY_WT_FILTER_TF_MODE")</t>
        </is>
      </c>
      <c r="Q315" t="inlineStr">
        <is>
          <t>YES</t>
        </is>
      </c>
    </row>
    <row r="316">
      <c r="A316" s="24" t="n">
        <v>88</v>
      </c>
      <c r="B316" s="25" t="inlineStr">
        <is>
          <t>MANDATORY_REENTRY_WT_FILTER_TF_MODE</t>
        </is>
      </c>
      <c r="C316" s="23" t="inlineStr">
        <is>
          <t>15m_only_ALT</t>
        </is>
      </c>
      <c r="D316" s="26" t="inlineStr">
        <is>
          <t>WT filter mode for mandatory reentry (e.g. 5m_or_15m). | Live read: `RANTEED_REENTRY_K_FAVORABLE_LOW', 'GUARANTEED_REENTRY_K_HIGH_BLOCK', 'GUARANTEED`</t>
        </is>
      </c>
      <c r="E316" s="26" t="inlineStr">
        <is>
          <t>GLOBAL_CHECK, STOCKS_EXIT</t>
        </is>
      </c>
      <c r="F316" s="24" t="inlineStr">
        <is>
          <t>GLOBAL_CHECK, STOCKS_EXIT</t>
        </is>
      </c>
      <c r="G316" s="26" t="inlineStr">
        <is>
          <t>MANDATORY_REENTRY_WT_MODE</t>
        </is>
      </c>
      <c r="H316" s="24" t="inlineStr">
        <is>
          <t>SPECIFIC — only gated switches</t>
        </is>
      </c>
      <c r="I316" s="24" t="inlineStr">
        <is>
          <t>LIVE — wired</t>
        </is>
      </c>
      <c r="J316" s="24" t="n"/>
      <c r="K316" s="21" t="inlineStr">
        <is>
          <t>—</t>
        </is>
      </c>
      <c r="L316" s="21" t="inlineStr">
        <is>
          <t>15m_only, alt</t>
        </is>
      </c>
      <c r="M316" s="21" t="inlineStr">
        <is>
          <t>15m_only</t>
        </is>
      </c>
      <c r="N316" s="21" t="inlineStr">
        <is>
          <t>param</t>
        </is>
      </c>
      <c r="O316" s="21" t="inlineStr">
        <is>
          <t>MANDATORY_REENTRY_WT_FILTER_TF_MODE</t>
        </is>
      </c>
      <c r="P316" s="21" t="inlineStr">
        <is>
          <t>getattr(cfg,"MANDATORY_REENTRY_WT_FILTER_TF_MODE")</t>
        </is>
      </c>
      <c r="Q316" t="inlineStr">
        <is>
          <t>NO</t>
        </is>
      </c>
    </row>
    <row r="317">
      <c r="A317" s="17" t="n">
        <v>89</v>
      </c>
      <c r="B317" s="18" t="inlineStr">
        <is>
          <t>MANDATORY_REENTRY_WT_FILTER_VELOCITY_RATIO</t>
        </is>
      </c>
      <c r="C317" s="19" t="inlineStr">
        <is>
          <t>0.90</t>
        </is>
      </c>
      <c r="D317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7" s="20" t="inlineStr">
        <is>
          <t>GLOBAL_CHECK, STOCKS_EXIT</t>
        </is>
      </c>
      <c r="F317" s="17" t="inlineStr">
        <is>
          <t>GLOBAL_CHECK, STOCKS_EXIT</t>
        </is>
      </c>
      <c r="G317" s="20" t="inlineStr">
        <is>
          <t>MANDATORY_REENTRY_WT_FILTER_VELO</t>
        </is>
      </c>
      <c r="H317" s="17" t="inlineStr">
        <is>
          <t>GENERAL</t>
        </is>
      </c>
      <c r="I317" s="17" t="inlineStr">
        <is>
          <t>LIVE — wired</t>
        </is>
      </c>
      <c r="J317" s="17" t="n"/>
      <c r="K317" s="21" t="inlineStr">
        <is>
          <t>—</t>
        </is>
      </c>
      <c r="L317" s="21" t="inlineStr">
        <is>
          <t>0.90, alt</t>
        </is>
      </c>
      <c r="M317" s="21" t="inlineStr">
        <is>
          <t>0.90</t>
        </is>
      </c>
      <c r="N317" s="21" t="inlineStr">
        <is>
          <t>param</t>
        </is>
      </c>
      <c r="O317" s="21" t="inlineStr">
        <is>
          <t>MANDATORY_REENTRY_WT_FILTER_VELOCITY_RATIO</t>
        </is>
      </c>
      <c r="P317" s="21" t="inlineStr">
        <is>
          <t>getattr(cfg,"MANDATORY_REENTRY_WT_FILTER_VELOCITY_RATIO")</t>
        </is>
      </c>
      <c r="Q317" t="inlineStr">
        <is>
          <t>YES</t>
        </is>
      </c>
    </row>
    <row r="318">
      <c r="A318" s="17" t="n">
        <v>89</v>
      </c>
      <c r="B318" s="22" t="inlineStr">
        <is>
          <t>MANDATORY_REENTRY_WT_FILTER_VELOCITY_RATIO</t>
        </is>
      </c>
      <c r="C318" s="23" t="inlineStr">
        <is>
          <t>0.90_ALT</t>
        </is>
      </c>
      <c r="D318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8" s="20" t="inlineStr">
        <is>
          <t>GLOBAL_CHECK, STOCKS_EXIT</t>
        </is>
      </c>
      <c r="F318" s="17" t="inlineStr">
        <is>
          <t>GLOBAL_CHECK, STOCKS_EXIT</t>
        </is>
      </c>
      <c r="G318" s="20" t="inlineStr">
        <is>
          <t>MANDATORY_REENTRY_WT_FILTER_VELO</t>
        </is>
      </c>
      <c r="H318" s="17" t="inlineStr">
        <is>
          <t>GENERAL</t>
        </is>
      </c>
      <c r="I318" s="17" t="inlineStr">
        <is>
          <t>LIVE — wired</t>
        </is>
      </c>
      <c r="J318" s="17" t="n"/>
      <c r="K318" s="21" t="inlineStr">
        <is>
          <t>—</t>
        </is>
      </c>
      <c r="L318" s="21" t="inlineStr">
        <is>
          <t>0.90, alt</t>
        </is>
      </c>
      <c r="M318" s="21" t="inlineStr">
        <is>
          <t>0.90</t>
        </is>
      </c>
      <c r="N318" s="21" t="inlineStr">
        <is>
          <t>param</t>
        </is>
      </c>
      <c r="O318" s="21" t="inlineStr">
        <is>
          <t>MANDATORY_REENTRY_WT_FILTER_VELOCITY_RATIO</t>
        </is>
      </c>
      <c r="P318" s="21" t="inlineStr">
        <is>
          <t>getattr(cfg,"MANDATORY_REENTRY_WT_FILTER_VELOCITY_RATIO")</t>
        </is>
      </c>
      <c r="Q318" t="inlineStr">
        <is>
          <t>NO</t>
        </is>
      </c>
    </row>
    <row r="319">
      <c r="A319" s="17" t="n">
        <v>90</v>
      </c>
      <c r="B319" s="18" t="inlineStr">
        <is>
          <t>MARKET_QUALITY_SCORE_ENABLED</t>
        </is>
      </c>
      <c r="C319" s="19" t="inlineStr">
        <is>
          <t>False</t>
        </is>
      </c>
      <c r="D319" s="20" t="inlineStr">
        <is>
          <t>Market quality score gate (choppiness). | Live read: `'MARKET_QUALITY_SCORE_ENABLED_TRADIER', 'MARK_PRICE_MAX_STALENESS', 'MAX_ALLOWED`</t>
        </is>
      </c>
      <c r="E319" s="20" t="inlineStr">
        <is>
          <t>ENTRY, GLOBAL_CHECK, STOCKS_EXIT</t>
        </is>
      </c>
      <c r="F319" s="17" t="inlineStr">
        <is>
          <t>ENTRY, GLOBAL_CHECK, STOCKS_EXIT</t>
        </is>
      </c>
      <c r="G319" s="20" t="inlineStr">
        <is>
          <t>MARKET_QUALITY_SCORE_ENABLED</t>
        </is>
      </c>
      <c r="H319" s="17" t="inlineStr">
        <is>
          <t>GENERAL — uniform</t>
        </is>
      </c>
      <c r="I319" s="17" t="inlineStr">
        <is>
          <t>LIVE — wired</t>
        </is>
      </c>
      <c r="J319" s="17" t="n"/>
      <c r="K319" s="21" t="inlineStr">
        <is>
          <t>—</t>
        </is>
      </c>
      <c r="L319" s="21" t="inlineStr">
        <is>
          <t>False, True (2)</t>
        </is>
      </c>
      <c r="M319" s="21" t="inlineStr">
        <is>
          <t>False</t>
        </is>
      </c>
      <c r="N319" s="21" t="inlineStr">
        <is>
          <t>bool gate</t>
        </is>
      </c>
      <c r="O319" s="21" t="inlineStr">
        <is>
          <t>MARKET_QUALITY_SCORE_ENABLED</t>
        </is>
      </c>
      <c r="P319" s="21" t="inlineStr">
        <is>
          <t>getattr(cfg,"MARKET_QUALITY_SCORE_ENABLED")</t>
        </is>
      </c>
      <c r="Q319" t="inlineStr">
        <is>
          <t>YES</t>
        </is>
      </c>
    </row>
    <row r="320">
      <c r="A320" s="17" t="n">
        <v>90</v>
      </c>
      <c r="B320" s="22" t="inlineStr">
        <is>
          <t>MARKET_QUALITY_SCORE_ENABLED</t>
        </is>
      </c>
      <c r="C320" s="23" t="inlineStr">
        <is>
          <t>True</t>
        </is>
      </c>
      <c r="D320" s="20" t="inlineStr">
        <is>
          <t>Market quality score gate (choppiness). | Live read: `'MARKET_QUALITY_SCORE_ENABLED_TRADIER', 'MARK_PRICE_MAX_STALENESS', 'MAX_ALLOWED`</t>
        </is>
      </c>
      <c r="E320" s="20" t="inlineStr">
        <is>
          <t>ENTRY, GLOBAL_CHECK, STOCKS_EXIT</t>
        </is>
      </c>
      <c r="F320" s="17" t="inlineStr">
        <is>
          <t>ENTRY, GLOBAL_CHECK, STOCKS_EXIT</t>
        </is>
      </c>
      <c r="G320" s="20" t="inlineStr">
        <is>
          <t>MARKET_QUALITY_SCORE_ENABLED</t>
        </is>
      </c>
      <c r="H320" s="17" t="inlineStr">
        <is>
          <t>GENERAL — uniform</t>
        </is>
      </c>
      <c r="I320" s="17" t="inlineStr">
        <is>
          <t>LIVE — wired</t>
        </is>
      </c>
      <c r="J320" s="17" t="n"/>
      <c r="K320" s="21" t="inlineStr">
        <is>
          <t>—</t>
        </is>
      </c>
      <c r="L320" s="21" t="inlineStr">
        <is>
          <t>False, True (2)</t>
        </is>
      </c>
      <c r="M320" s="21" t="inlineStr">
        <is>
          <t>False</t>
        </is>
      </c>
      <c r="N320" s="21" t="inlineStr">
        <is>
          <t>bool gate</t>
        </is>
      </c>
      <c r="O320" s="21" t="inlineStr">
        <is>
          <t>MARKET_QUALITY_SCORE_ENABLED</t>
        </is>
      </c>
      <c r="P320" s="21" t="inlineStr">
        <is>
          <t>getattr(cfg,"MARKET_QUALITY_SCORE_ENABLED")</t>
        </is>
      </c>
      <c r="Q320" t="inlineStr">
        <is>
          <t>NO</t>
        </is>
      </c>
    </row>
    <row r="321">
      <c r="A321" s="17" t="n">
        <v>91</v>
      </c>
      <c r="B321" s="18" t="inlineStr">
        <is>
          <t>MI_TF_AGREE_MIN</t>
        </is>
      </c>
      <c r="C321" s="19" t="inlineStr">
        <is>
          <t>0.0</t>
        </is>
      </c>
      <c r="D321" s="20" t="inlineStr">
        <is>
          <t>Market internals: min TFs agreeing. | Live read: `STATE_FILTER_TF', 'HAIKU_WINNER_FILTER_TF', 'HOUR_OF_DAY_GATE_ENABLED', 'HTF4_CO`</t>
        </is>
      </c>
      <c r="E321" s="20" t="inlineStr">
        <is>
          <t>ENTRY, GLOBAL_CHECK, STOCKS_EXIT</t>
        </is>
      </c>
      <c r="F321" s="17" t="inlineStr">
        <is>
          <t>ENTRY, GLOBAL_CHECK, STOCKS_EXIT</t>
        </is>
      </c>
      <c r="G321" s="20" t="inlineStr">
        <is>
          <t>MI_TF_AGREE_MIN</t>
        </is>
      </c>
      <c r="H321" s="17" t="inlineStr">
        <is>
          <t>GENERAL</t>
        </is>
      </c>
      <c r="I321" s="17" t="inlineStr">
        <is>
          <t>LIVE — wired</t>
        </is>
      </c>
      <c r="J321" s="17" t="n"/>
      <c r="K321" s="21" t="inlineStr">
        <is>
          <t>—</t>
        </is>
      </c>
      <c r="L321" s="21" t="inlineStr">
        <is>
          <t>0.0, alt</t>
        </is>
      </c>
      <c r="M321" s="21" t="inlineStr">
        <is>
          <t>0.0</t>
        </is>
      </c>
      <c r="N321" s="21" t="inlineStr">
        <is>
          <t>param</t>
        </is>
      </c>
      <c r="O321" s="21" t="inlineStr">
        <is>
          <t>MI_TF_AGREE_MIN</t>
        </is>
      </c>
      <c r="P321" s="21" t="inlineStr">
        <is>
          <t>getattr(cfg,"MI_TF_AGREE_MIN")</t>
        </is>
      </c>
      <c r="Q321" t="inlineStr">
        <is>
          <t>YES</t>
        </is>
      </c>
    </row>
    <row r="322">
      <c r="A322" s="17" t="n">
        <v>91</v>
      </c>
      <c r="B322" s="22" t="inlineStr">
        <is>
          <t>MI_TF_AGREE_MIN</t>
        </is>
      </c>
      <c r="C322" s="23" t="inlineStr">
        <is>
          <t>0.0_ALT</t>
        </is>
      </c>
      <c r="D322" s="20" t="inlineStr">
        <is>
          <t>Market internals: min TFs agreeing. | Live read: `STATE_FILTER_TF', 'HAIKU_WINNER_FILTER_TF', 'HOUR_OF_DAY_GATE_ENABLED', 'HTF4_CO`</t>
        </is>
      </c>
      <c r="E322" s="20" t="inlineStr">
        <is>
          <t>ENTRY, GLOBAL_CHECK, STOCKS_EXIT</t>
        </is>
      </c>
      <c r="F322" s="17" t="inlineStr">
        <is>
          <t>ENTRY, GLOBAL_CHECK, STOCKS_EXIT</t>
        </is>
      </c>
      <c r="G322" s="20" t="inlineStr">
        <is>
          <t>MI_TF_AGREE_MIN</t>
        </is>
      </c>
      <c r="H322" s="17" t="inlineStr">
        <is>
          <t>GENERAL</t>
        </is>
      </c>
      <c r="I322" s="17" t="inlineStr">
        <is>
          <t>LIVE — wired</t>
        </is>
      </c>
      <c r="J322" s="17" t="n"/>
      <c r="K322" s="21" t="inlineStr">
        <is>
          <t>—</t>
        </is>
      </c>
      <c r="L322" s="21" t="inlineStr">
        <is>
          <t>0.0, alt</t>
        </is>
      </c>
      <c r="M322" s="21" t="inlineStr">
        <is>
          <t>0.0</t>
        </is>
      </c>
      <c r="N322" s="21" t="inlineStr">
        <is>
          <t>param</t>
        </is>
      </c>
      <c r="O322" s="21" t="inlineStr">
        <is>
          <t>MI_TF_AGREE_MIN</t>
        </is>
      </c>
      <c r="P322" s="21" t="inlineStr">
        <is>
          <t>getattr(cfg,"MI_TF_AGREE_MIN")</t>
        </is>
      </c>
      <c r="Q322" t="inlineStr">
        <is>
          <t>NO</t>
        </is>
      </c>
    </row>
    <row r="323">
      <c r="A323" s="24" t="n">
        <v>92</v>
      </c>
      <c r="B323" s="25" t="inlineStr">
        <is>
          <t>MOM3_FILTER_TF</t>
        </is>
      </c>
      <c r="C323" s="23" t="inlineStr">
        <is>
          <t>OFF</t>
        </is>
      </c>
      <c r="D323" s="26" t="inlineStr">
        <is>
          <t>MOM3 momentum gate TF. | Live read: `HAIKU_WINNER_FILTER_TF', 'HOUR_OF_DAY_GATE_ENABLED', 'HTF4_CONF', 'HTF_ALIGN_REQ`</t>
        </is>
      </c>
      <c r="E323" s="26" t="inlineStr">
        <is>
          <t>GLOBAL_CHECK</t>
        </is>
      </c>
      <c r="F323" s="24" t="inlineStr">
        <is>
          <t>GLOBAL_CHECK</t>
        </is>
      </c>
      <c r="G323" s="26" t="inlineStr">
        <is>
          <t>MOM3</t>
        </is>
      </c>
      <c r="H323" s="24" t="inlineStr">
        <is>
          <t>SPECIFIC — only gated switches</t>
        </is>
      </c>
      <c r="I323" s="24" t="inlineStr">
        <is>
          <t>LIVE — wired</t>
        </is>
      </c>
      <c r="J323" s="24" t="n"/>
      <c r="K323" s="21" t="inlineStr">
        <is>
          <t>1/4</t>
        </is>
      </c>
      <c r="L323" s="21" t="inlineStr">
        <is>
          <t>OFF, 15m, 1h, 4h, D (5 options)</t>
        </is>
      </c>
      <c r="M323" s="21" t="inlineStr">
        <is>
          <t>15m</t>
        </is>
      </c>
      <c r="N323" s="21" t="inlineStr">
        <is>
          <t>TF selector</t>
        </is>
      </c>
      <c r="O323" s="21" t="inlineStr">
        <is>
          <t>MOM3_FILTER_TF</t>
        </is>
      </c>
      <c r="P323" s="21" t="inlineStr">
        <is>
          <t>getattr(cfg,"MOM3_FILTER_TF")</t>
        </is>
      </c>
      <c r="Q323" t="inlineStr">
        <is>
          <t>NO</t>
        </is>
      </c>
    </row>
    <row r="324">
      <c r="A324" s="24" t="n">
        <v>92</v>
      </c>
      <c r="B324" s="25" t="inlineStr">
        <is>
          <t>MOM3_FILTER_TF</t>
        </is>
      </c>
      <c r="C324" s="23" t="inlineStr">
        <is>
          <t>D</t>
        </is>
      </c>
      <c r="D324" s="26" t="inlineStr">
        <is>
          <t>MOM3 momentum gate TF. | Live read: `HAIKU_WINNER_FILTER_TF', 'HOUR_OF_DAY_GATE_ENABLED', 'HTF4_CONF', 'HTF_ALIGN_REQ`</t>
        </is>
      </c>
      <c r="E324" s="26" t="inlineStr">
        <is>
          <t>GLOBAL_CHECK</t>
        </is>
      </c>
      <c r="F324" s="24" t="inlineStr">
        <is>
          <t>GLOBAL_CHECK</t>
        </is>
      </c>
      <c r="G324" s="26" t="inlineStr">
        <is>
          <t>MOM3</t>
        </is>
      </c>
      <c r="H324" s="24" t="inlineStr">
        <is>
          <t>SPECIFIC — only gated switches</t>
        </is>
      </c>
      <c r="I324" s="24" t="inlineStr">
        <is>
          <t>LIVE — wired</t>
        </is>
      </c>
      <c r="J324" s="24" t="n"/>
      <c r="K324" s="21" t="inlineStr">
        <is>
          <t>1/4</t>
        </is>
      </c>
      <c r="L324" s="21" t="inlineStr">
        <is>
          <t>OFF, 15m, 1h, 4h, D (5 options)</t>
        </is>
      </c>
      <c r="M324" s="21" t="inlineStr">
        <is>
          <t>15m</t>
        </is>
      </c>
      <c r="N324" s="21" t="inlineStr">
        <is>
          <t>TF selector</t>
        </is>
      </c>
      <c r="O324" s="21" t="inlineStr">
        <is>
          <t>MOM3_FILTER_TF</t>
        </is>
      </c>
      <c r="P324" s="21" t="inlineStr">
        <is>
          <t>getattr(cfg,"MOM3_FILTER_TF")</t>
        </is>
      </c>
      <c r="Q324" t="inlineStr">
        <is>
          <t>NO</t>
        </is>
      </c>
    </row>
    <row r="325">
      <c r="A325" s="24" t="n">
        <v>92</v>
      </c>
      <c r="B325" s="25" t="inlineStr">
        <is>
          <t>MOM3_FILTER_TF</t>
        </is>
      </c>
      <c r="C325" s="23" t="inlineStr">
        <is>
          <t>4h</t>
        </is>
      </c>
      <c r="D325" s="26" t="inlineStr">
        <is>
          <t>MOM3 momentum gate TF. | Live read: `HAIKU_WINNER_FILTER_TF', 'HOUR_OF_DAY_GATE_ENABLED', 'HTF4_CONF', 'HTF_ALIGN_REQ`</t>
        </is>
      </c>
      <c r="E325" s="26" t="inlineStr">
        <is>
          <t>GLOBAL_CHECK</t>
        </is>
      </c>
      <c r="F325" s="24" t="inlineStr">
        <is>
          <t>GLOBAL_CHECK</t>
        </is>
      </c>
      <c r="G325" s="26" t="inlineStr">
        <is>
          <t>MOM3</t>
        </is>
      </c>
      <c r="H325" s="24" t="inlineStr">
        <is>
          <t>SPECIFIC — only gated switches</t>
        </is>
      </c>
      <c r="I325" s="24" t="inlineStr">
        <is>
          <t>LIVE — wired</t>
        </is>
      </c>
      <c r="J325" s="24" t="n"/>
      <c r="K325" s="21" t="inlineStr">
        <is>
          <t>1/4</t>
        </is>
      </c>
      <c r="L325" s="21" t="inlineStr">
        <is>
          <t>OFF, 15m, 1h, 4h, D (5 options)</t>
        </is>
      </c>
      <c r="M325" s="21" t="inlineStr">
        <is>
          <t>15m</t>
        </is>
      </c>
      <c r="N325" s="21" t="inlineStr">
        <is>
          <t>TF selector</t>
        </is>
      </c>
      <c r="O325" s="21" t="inlineStr">
        <is>
          <t>MOM3_FILTER_TF</t>
        </is>
      </c>
      <c r="P325" s="21" t="inlineStr">
        <is>
          <t>getattr(cfg,"MOM3_FILTER_TF")</t>
        </is>
      </c>
      <c r="Q325" t="inlineStr">
        <is>
          <t>NO</t>
        </is>
      </c>
    </row>
    <row r="326">
      <c r="A326" s="24" t="n">
        <v>92</v>
      </c>
      <c r="B326" s="25" t="inlineStr">
        <is>
          <t>MOM3_FILTER_TF</t>
        </is>
      </c>
      <c r="C326" s="23" t="inlineStr">
        <is>
          <t>1h</t>
        </is>
      </c>
      <c r="D326" s="26" t="inlineStr">
        <is>
          <t>MOM3 momentum gate TF. | Live read: `HAIKU_WINNER_FILTER_TF', 'HOUR_OF_DAY_GATE_ENABLED', 'HTF4_CONF', 'HTF_ALIGN_REQ`</t>
        </is>
      </c>
      <c r="E326" s="26" t="inlineStr">
        <is>
          <t>GLOBAL_CHECK</t>
        </is>
      </c>
      <c r="F326" s="24" t="inlineStr">
        <is>
          <t>GLOBAL_CHECK</t>
        </is>
      </c>
      <c r="G326" s="26" t="inlineStr">
        <is>
          <t>MOM3</t>
        </is>
      </c>
      <c r="H326" s="24" t="inlineStr">
        <is>
          <t>SPECIFIC — only gated switches</t>
        </is>
      </c>
      <c r="I326" s="24" t="inlineStr">
        <is>
          <t>LIVE — wired</t>
        </is>
      </c>
      <c r="J326" s="24" t="n"/>
      <c r="K326" s="21" t="inlineStr">
        <is>
          <t>1/4</t>
        </is>
      </c>
      <c r="L326" s="21" t="inlineStr">
        <is>
          <t>OFF, 15m, 1h, 4h, D (5 options)</t>
        </is>
      </c>
      <c r="M326" s="21" t="inlineStr">
        <is>
          <t>15m</t>
        </is>
      </c>
      <c r="N326" s="21" t="inlineStr">
        <is>
          <t>TF selector</t>
        </is>
      </c>
      <c r="O326" s="21" t="inlineStr">
        <is>
          <t>MOM3_FILTER_TF</t>
        </is>
      </c>
      <c r="P326" s="21" t="inlineStr">
        <is>
          <t>getattr(cfg,"MOM3_FILTER_TF")</t>
        </is>
      </c>
      <c r="Q326" t="inlineStr">
        <is>
          <t>NO</t>
        </is>
      </c>
    </row>
    <row r="327">
      <c r="A327" s="24" t="n">
        <v>92</v>
      </c>
      <c r="B327" s="27" t="inlineStr">
        <is>
          <t>MOM3_FILTER_TF</t>
        </is>
      </c>
      <c r="C327" s="19" t="inlineStr">
        <is>
          <t>15m</t>
        </is>
      </c>
      <c r="D327" s="26" t="inlineStr">
        <is>
          <t>MOM3 momentum gate TF. | Live read: `HAIKU_WINNER_FILTER_TF', 'HOUR_OF_DAY_GATE_ENABLED', 'HTF4_CONF', 'HTF_ALIGN_REQ`</t>
        </is>
      </c>
      <c r="E327" s="26" t="inlineStr">
        <is>
          <t>GLOBAL_CHECK</t>
        </is>
      </c>
      <c r="F327" s="24" t="inlineStr">
        <is>
          <t>GLOBAL_CHECK</t>
        </is>
      </c>
      <c r="G327" s="26" t="inlineStr">
        <is>
          <t>MOM3</t>
        </is>
      </c>
      <c r="H327" s="24" t="inlineStr">
        <is>
          <t>SPECIFIC — only gated switches</t>
        </is>
      </c>
      <c r="I327" s="24" t="inlineStr">
        <is>
          <t>LIVE — wired</t>
        </is>
      </c>
      <c r="J327" s="24" t="n"/>
      <c r="K327" s="21" t="inlineStr">
        <is>
          <t>1/4</t>
        </is>
      </c>
      <c r="L327" s="21" t="inlineStr">
        <is>
          <t>OFF, 15m, 1h, 4h, D (5 options)</t>
        </is>
      </c>
      <c r="M327" s="21" t="inlineStr">
        <is>
          <t>15m</t>
        </is>
      </c>
      <c r="N327" s="21" t="inlineStr">
        <is>
          <t>TF selector</t>
        </is>
      </c>
      <c r="O327" s="21" t="inlineStr">
        <is>
          <t>MOM3_FILTER_TF</t>
        </is>
      </c>
      <c r="P327" s="21" t="inlineStr">
        <is>
          <t>getattr(cfg,"MOM3_FILTER_TF")</t>
        </is>
      </c>
      <c r="Q327" t="inlineStr">
        <is>
          <t>YES</t>
        </is>
      </c>
    </row>
    <row r="328">
      <c r="A328" s="24" t="n">
        <v>93</v>
      </c>
      <c r="B328" s="25" t="inlineStr">
        <is>
          <t>MOMENTUM_BREAKOUT_FILTER_TF</t>
        </is>
      </c>
      <c r="C328" s="23" t="inlineStr">
        <is>
          <t>OFF</t>
        </is>
      </c>
      <c r="D328" s="26" t="inlineStr">
        <is>
          <t>Momentum breakout confirmation TF. | Live read: `PLY_TO_OPEN', 'HTF_GATE_BYPASS_RZ', 'HTF_GATE_D_MANDATORY', 'HTF_GATE_MIN_CONFIR`</t>
        </is>
      </c>
      <c r="E328" s="26" t="inlineStr">
        <is>
          <t>GLOBAL_CHECK</t>
        </is>
      </c>
      <c r="F328" s="24" t="inlineStr">
        <is>
          <t>GLOBAL_CHECK</t>
        </is>
      </c>
      <c r="G328" s="26" t="inlineStr">
        <is>
          <t>MOMENTUM_BREAKOUT</t>
        </is>
      </c>
      <c r="H328" s="24" t="inlineStr">
        <is>
          <t>SPECIFIC — only gated switches</t>
        </is>
      </c>
      <c r="I328" s="24" t="inlineStr">
        <is>
          <t>LIVE — wired</t>
        </is>
      </c>
      <c r="J328" s="24" t="n"/>
      <c r="K328" s="21" t="inlineStr">
        <is>
          <t>1/4</t>
        </is>
      </c>
      <c r="L328" s="21" t="inlineStr">
        <is>
          <t>OFF, 15m, 1h, 4h, D (5 options)</t>
        </is>
      </c>
      <c r="M328" s="21" t="inlineStr">
        <is>
          <t>15m</t>
        </is>
      </c>
      <c r="N328" s="21" t="inlineStr">
        <is>
          <t>TF selector</t>
        </is>
      </c>
      <c r="O328" s="21" t="inlineStr">
        <is>
          <t>MOMENTUM_BREAKOUT_FILTER_TF</t>
        </is>
      </c>
      <c r="P328" s="21" t="inlineStr">
        <is>
          <t>getattr(cfg,"MOMENTUM_BREAKOUT_FILTER_TF")</t>
        </is>
      </c>
      <c r="Q328" t="inlineStr">
        <is>
          <t>NO</t>
        </is>
      </c>
    </row>
    <row r="329">
      <c r="A329" s="24" t="n">
        <v>93</v>
      </c>
      <c r="B329" s="25" t="inlineStr">
        <is>
          <t>MOMENTUM_BREAKOUT_FILTER_TF</t>
        </is>
      </c>
      <c r="C329" s="23" t="inlineStr">
        <is>
          <t>D</t>
        </is>
      </c>
      <c r="D329" s="26" t="inlineStr">
        <is>
          <t>Momentum breakout confirmation TF. | Live read: `PLY_TO_OPEN', 'HTF_GATE_BYPASS_RZ', 'HTF_GATE_D_MANDATORY', 'HTF_GATE_MIN_CONFIR`</t>
        </is>
      </c>
      <c r="E329" s="26" t="inlineStr">
        <is>
          <t>GLOBAL_CHECK</t>
        </is>
      </c>
      <c r="F329" s="24" t="inlineStr">
        <is>
          <t>GLOBAL_CHECK</t>
        </is>
      </c>
      <c r="G329" s="26" t="inlineStr">
        <is>
          <t>MOMENTUM_BREAKOUT</t>
        </is>
      </c>
      <c r="H329" s="24" t="inlineStr">
        <is>
          <t>SPECIFIC — only gated switches</t>
        </is>
      </c>
      <c r="I329" s="24" t="inlineStr">
        <is>
          <t>LIVE — wired</t>
        </is>
      </c>
      <c r="J329" s="24" t="n"/>
      <c r="K329" s="21" t="inlineStr">
        <is>
          <t>1/4</t>
        </is>
      </c>
      <c r="L329" s="21" t="inlineStr">
        <is>
          <t>OFF, 15m, 1h, 4h, D (5 options)</t>
        </is>
      </c>
      <c r="M329" s="21" t="inlineStr">
        <is>
          <t>15m</t>
        </is>
      </c>
      <c r="N329" s="21" t="inlineStr">
        <is>
          <t>TF selector</t>
        </is>
      </c>
      <c r="O329" s="21" t="inlineStr">
        <is>
          <t>MOMENTUM_BREAKOUT_FILTER_TF</t>
        </is>
      </c>
      <c r="P329" s="21" t="inlineStr">
        <is>
          <t>getattr(cfg,"MOMENTUM_BREAKOUT_FILTER_TF")</t>
        </is>
      </c>
      <c r="Q329" t="inlineStr">
        <is>
          <t>NO</t>
        </is>
      </c>
    </row>
    <row r="330">
      <c r="A330" s="24" t="n">
        <v>93</v>
      </c>
      <c r="B330" s="25" t="inlineStr">
        <is>
          <t>MOMENTUM_BREAKOUT_FILTER_TF</t>
        </is>
      </c>
      <c r="C330" s="23" t="inlineStr">
        <is>
          <t>4h</t>
        </is>
      </c>
      <c r="D330" s="26" t="inlineStr">
        <is>
          <t>Momentum breakout confirmation TF. | Live read: `PLY_TO_OPEN', 'HTF_GATE_BYPASS_RZ', 'HTF_GATE_D_MANDATORY', 'HTF_GATE_MIN_CONFIR`</t>
        </is>
      </c>
      <c r="E330" s="26" t="inlineStr">
        <is>
          <t>GLOBAL_CHECK</t>
        </is>
      </c>
      <c r="F330" s="24" t="inlineStr">
        <is>
          <t>GLOBAL_CHECK</t>
        </is>
      </c>
      <c r="G330" s="26" t="inlineStr">
        <is>
          <t>MOMENTUM_BREAKOUT</t>
        </is>
      </c>
      <c r="H330" s="24" t="inlineStr">
        <is>
          <t>SPECIFIC — only gated switches</t>
        </is>
      </c>
      <c r="I330" s="24" t="inlineStr">
        <is>
          <t>LIVE — wired</t>
        </is>
      </c>
      <c r="J330" s="24" t="n"/>
      <c r="K330" s="21" t="inlineStr">
        <is>
          <t>1/4</t>
        </is>
      </c>
      <c r="L330" s="21" t="inlineStr">
        <is>
          <t>OFF, 15m, 1h, 4h, D (5 options)</t>
        </is>
      </c>
      <c r="M330" s="21" t="inlineStr">
        <is>
          <t>15m</t>
        </is>
      </c>
      <c r="N330" s="21" t="inlineStr">
        <is>
          <t>TF selector</t>
        </is>
      </c>
      <c r="O330" s="21" t="inlineStr">
        <is>
          <t>MOMENTUM_BREAKOUT_FILTER_TF</t>
        </is>
      </c>
      <c r="P330" s="21" t="inlineStr">
        <is>
          <t>getattr(cfg,"MOMENTUM_BREAKOUT_FILTER_TF")</t>
        </is>
      </c>
      <c r="Q330" t="inlineStr">
        <is>
          <t>NO</t>
        </is>
      </c>
    </row>
    <row r="331">
      <c r="A331" s="24" t="n">
        <v>93</v>
      </c>
      <c r="B331" s="25" t="inlineStr">
        <is>
          <t>MOMENTUM_BREAKOUT_FILTER_TF</t>
        </is>
      </c>
      <c r="C331" s="23" t="inlineStr">
        <is>
          <t>1h</t>
        </is>
      </c>
      <c r="D331" s="26" t="inlineStr">
        <is>
          <t>Momentum breakout confirmation TF. | Live read: `PLY_TO_OPEN', 'HTF_GATE_BYPASS_RZ', 'HTF_GATE_D_MANDATORY', 'HTF_GATE_MIN_CONFIR`</t>
        </is>
      </c>
      <c r="E331" s="26" t="inlineStr">
        <is>
          <t>GLOBAL_CHECK</t>
        </is>
      </c>
      <c r="F331" s="24" t="inlineStr">
        <is>
          <t>GLOBAL_CHECK</t>
        </is>
      </c>
      <c r="G331" s="26" t="inlineStr">
        <is>
          <t>MOMENTUM_BREAKOUT</t>
        </is>
      </c>
      <c r="H331" s="24" t="inlineStr">
        <is>
          <t>SPECIFIC — only gated switches</t>
        </is>
      </c>
      <c r="I331" s="24" t="inlineStr">
        <is>
          <t>LIVE — wired</t>
        </is>
      </c>
      <c r="J331" s="24" t="n"/>
      <c r="K331" s="21" t="inlineStr">
        <is>
          <t>1/4</t>
        </is>
      </c>
      <c r="L331" s="21" t="inlineStr">
        <is>
          <t>OFF, 15m, 1h, 4h, D (5 options)</t>
        </is>
      </c>
      <c r="M331" s="21" t="inlineStr">
        <is>
          <t>15m</t>
        </is>
      </c>
      <c r="N331" s="21" t="inlineStr">
        <is>
          <t>TF selector</t>
        </is>
      </c>
      <c r="O331" s="21" t="inlineStr">
        <is>
          <t>MOMENTUM_BREAKOUT_FILTER_TF</t>
        </is>
      </c>
      <c r="P331" s="21" t="inlineStr">
        <is>
          <t>getattr(cfg,"MOMENTUM_BREAKOUT_FILTER_TF")</t>
        </is>
      </c>
      <c r="Q331" t="inlineStr">
        <is>
          <t>NO</t>
        </is>
      </c>
    </row>
    <row r="332">
      <c r="A332" s="24" t="n">
        <v>93</v>
      </c>
      <c r="B332" s="27" t="inlineStr">
        <is>
          <t>MOMENTUM_BREAKOUT_FILTER_TF</t>
        </is>
      </c>
      <c r="C332" s="19" t="inlineStr">
        <is>
          <t>15m</t>
        </is>
      </c>
      <c r="D332" s="26" t="inlineStr">
        <is>
          <t>Momentum breakout confirmation TF. | Live read: `PLY_TO_OPEN', 'HTF_GATE_BYPASS_RZ', 'HTF_GATE_D_MANDATORY', 'HTF_GATE_MIN_CONFIR`</t>
        </is>
      </c>
      <c r="E332" s="26" t="inlineStr">
        <is>
          <t>GLOBAL_CHECK</t>
        </is>
      </c>
      <c r="F332" s="24" t="inlineStr">
        <is>
          <t>GLOBAL_CHECK</t>
        </is>
      </c>
      <c r="G332" s="26" t="inlineStr">
        <is>
          <t>MOMENTUM_BREAKOUT</t>
        </is>
      </c>
      <c r="H332" s="24" t="inlineStr">
        <is>
          <t>SPECIFIC — only gated switches</t>
        </is>
      </c>
      <c r="I332" s="24" t="inlineStr">
        <is>
          <t>LIVE — wired</t>
        </is>
      </c>
      <c r="J332" s="24" t="n"/>
      <c r="K332" s="21" t="inlineStr">
        <is>
          <t>1/4</t>
        </is>
      </c>
      <c r="L332" s="21" t="inlineStr">
        <is>
          <t>OFF, 15m, 1h, 4h, D (5 options)</t>
        </is>
      </c>
      <c r="M332" s="21" t="inlineStr">
        <is>
          <t>15m</t>
        </is>
      </c>
      <c r="N332" s="21" t="inlineStr">
        <is>
          <t>TF selector</t>
        </is>
      </c>
      <c r="O332" s="21" t="inlineStr">
        <is>
          <t>MOMENTUM_BREAKOUT_FILTER_TF</t>
        </is>
      </c>
      <c r="P332" s="21" t="inlineStr">
        <is>
          <t>getattr(cfg,"MOMENTUM_BREAKOUT_FILTER_TF")</t>
        </is>
      </c>
      <c r="Q332" t="inlineStr">
        <is>
          <t>YES</t>
        </is>
      </c>
    </row>
    <row r="333">
      <c r="A333" s="17" t="n">
        <v>94</v>
      </c>
      <c r="B333" s="18" t="inlineStr">
        <is>
          <t>MOVER_THRESHOLD</t>
        </is>
      </c>
      <c r="C333" s="19" t="inlineStr">
        <is>
          <t>5</t>
        </is>
      </c>
      <c r="D333" s="20" t="inlineStr">
        <is>
          <t>Mover threshold (volatility). | Live read: `_ = getattr(config, "MOVER_THRESHOLD", None)`</t>
        </is>
      </c>
      <c r="E333" s="20" t="inlineStr">
        <is>
          <t>ENTRY, GLOBAL_CHECK, STOCKS_EXIT</t>
        </is>
      </c>
      <c r="F333" s="17" t="inlineStr">
        <is>
          <t>ENTRY, GLOBAL_CHECK, STOCKS_EXIT</t>
        </is>
      </c>
      <c r="G333" s="20" t="inlineStr">
        <is>
          <t>MOVER_THRESHOLD</t>
        </is>
      </c>
      <c r="H333" s="17" t="inlineStr">
        <is>
          <t>GENERAL</t>
        </is>
      </c>
      <c r="I333" s="17" t="inlineStr">
        <is>
          <t>LIVE — wired</t>
        </is>
      </c>
      <c r="J333" s="17" t="n"/>
      <c r="K333" s="21" t="inlineStr">
        <is>
          <t>—</t>
        </is>
      </c>
      <c r="L333" s="21" t="inlineStr">
        <is>
          <t>5.0, ±25%, ±50% (4)</t>
        </is>
      </c>
      <c r="M333" s="21" t="inlineStr">
        <is>
          <t>5.0</t>
        </is>
      </c>
      <c r="N333" s="21" t="inlineStr">
        <is>
          <t>threshold</t>
        </is>
      </c>
      <c r="O333" s="21" t="inlineStr">
        <is>
          <t>MOVER_THRESHOLD</t>
        </is>
      </c>
      <c r="P333" s="21" t="inlineStr">
        <is>
          <t>getattr(cfg,"MOVER_THRESHOLD")</t>
        </is>
      </c>
      <c r="Q333" t="inlineStr">
        <is>
          <t>YES</t>
        </is>
      </c>
    </row>
    <row r="334">
      <c r="A334" s="17" t="n">
        <v>94</v>
      </c>
      <c r="B334" s="22" t="inlineStr">
        <is>
          <t>MOVER_THRESHOLD</t>
        </is>
      </c>
      <c r="C334" s="23" t="inlineStr">
        <is>
          <t>6.25</t>
        </is>
      </c>
      <c r="D334" s="20" t="inlineStr">
        <is>
          <t>Mover threshold (volatility). | Live read: `_ = getattr(config, "MOVER_THRESHOLD", None)`</t>
        </is>
      </c>
      <c r="E334" s="20" t="inlineStr">
        <is>
          <t>ENTRY, GLOBAL_CHECK, STOCKS_EXIT</t>
        </is>
      </c>
      <c r="F334" s="17" t="inlineStr">
        <is>
          <t>ENTRY, GLOBAL_CHECK, STOCKS_EXIT</t>
        </is>
      </c>
      <c r="G334" s="20" t="inlineStr">
        <is>
          <t>MOVER_THRESHOLD</t>
        </is>
      </c>
      <c r="H334" s="17" t="inlineStr">
        <is>
          <t>GENERAL</t>
        </is>
      </c>
      <c r="I334" s="17" t="inlineStr">
        <is>
          <t>LIVE — wired</t>
        </is>
      </c>
      <c r="J334" s="17" t="n"/>
      <c r="K334" s="21" t="inlineStr">
        <is>
          <t>—</t>
        </is>
      </c>
      <c r="L334" s="21" t="inlineStr">
        <is>
          <t>5.0, ±25%, ±50% (4)</t>
        </is>
      </c>
      <c r="M334" s="21" t="inlineStr">
        <is>
          <t>5.0</t>
        </is>
      </c>
      <c r="N334" s="21" t="inlineStr">
        <is>
          <t>threshold</t>
        </is>
      </c>
      <c r="O334" s="21" t="inlineStr">
        <is>
          <t>MOVER_THRESHOLD</t>
        </is>
      </c>
      <c r="P334" s="21" t="inlineStr">
        <is>
          <t>getattr(cfg,"MOVER_THRESHOLD")</t>
        </is>
      </c>
      <c r="Q334" t="inlineStr">
        <is>
          <t>NO</t>
        </is>
      </c>
    </row>
    <row r="335">
      <c r="A335" s="17" t="n">
        <v>94</v>
      </c>
      <c r="B335" s="22" t="inlineStr">
        <is>
          <t>MOVER_THRESHOLD</t>
        </is>
      </c>
      <c r="C335" s="23" t="inlineStr">
        <is>
          <t>3.75</t>
        </is>
      </c>
      <c r="D335" s="20" t="inlineStr">
        <is>
          <t>Mover threshold (volatility). | Live read: `_ = getattr(config, "MOVER_THRESHOLD", None)`</t>
        </is>
      </c>
      <c r="E335" s="20" t="inlineStr">
        <is>
          <t>ENTRY, GLOBAL_CHECK, STOCKS_EXIT</t>
        </is>
      </c>
      <c r="F335" s="17" t="inlineStr">
        <is>
          <t>ENTRY, GLOBAL_CHECK, STOCKS_EXIT</t>
        </is>
      </c>
      <c r="G335" s="20" t="inlineStr">
        <is>
          <t>MOVER_THRESHOLD</t>
        </is>
      </c>
      <c r="H335" s="17" t="inlineStr">
        <is>
          <t>GENERAL</t>
        </is>
      </c>
      <c r="I335" s="17" t="inlineStr">
        <is>
          <t>LIVE — wired</t>
        </is>
      </c>
      <c r="J335" s="17" t="n"/>
      <c r="K335" s="21" t="inlineStr">
        <is>
          <t>—</t>
        </is>
      </c>
      <c r="L335" s="21" t="inlineStr">
        <is>
          <t>5.0, ±25%, ±50% (4)</t>
        </is>
      </c>
      <c r="M335" s="21" t="inlineStr">
        <is>
          <t>5.0</t>
        </is>
      </c>
      <c r="N335" s="21" t="inlineStr">
        <is>
          <t>threshold</t>
        </is>
      </c>
      <c r="O335" s="21" t="inlineStr">
        <is>
          <t>MOVER_THRESHOLD</t>
        </is>
      </c>
      <c r="P335" s="21" t="inlineStr">
        <is>
          <t>getattr(cfg,"MOVER_THRESHOLD")</t>
        </is>
      </c>
      <c r="Q335" t="inlineStr">
        <is>
          <t>NO</t>
        </is>
      </c>
    </row>
    <row r="336">
      <c r="A336" s="17" t="n">
        <v>94</v>
      </c>
      <c r="B336" s="22" t="inlineStr">
        <is>
          <t>MOVER_THRESHOLD</t>
        </is>
      </c>
      <c r="C336" s="23" t="inlineStr">
        <is>
          <t>2.5</t>
        </is>
      </c>
      <c r="D336" s="20" t="inlineStr">
        <is>
          <t>Mover threshold (volatility). | Live read: `_ = getattr(config, "MOVER_THRESHOLD", None)`</t>
        </is>
      </c>
      <c r="E336" s="20" t="inlineStr">
        <is>
          <t>ENTRY, GLOBAL_CHECK, STOCKS_EXIT</t>
        </is>
      </c>
      <c r="F336" s="17" t="inlineStr">
        <is>
          <t>ENTRY, GLOBAL_CHECK, STOCKS_EXIT</t>
        </is>
      </c>
      <c r="G336" s="20" t="inlineStr">
        <is>
          <t>MOVER_THRESHOLD</t>
        </is>
      </c>
      <c r="H336" s="17" t="inlineStr">
        <is>
          <t>GENERAL</t>
        </is>
      </c>
      <c r="I336" s="17" t="inlineStr">
        <is>
          <t>LIVE — wired</t>
        </is>
      </c>
      <c r="J336" s="17" t="n"/>
      <c r="K336" s="21" t="inlineStr">
        <is>
          <t>—</t>
        </is>
      </c>
      <c r="L336" s="21" t="inlineStr">
        <is>
          <t>5.0, ±25%, ±50% (4)</t>
        </is>
      </c>
      <c r="M336" s="21" t="inlineStr">
        <is>
          <t>5.0</t>
        </is>
      </c>
      <c r="N336" s="21" t="inlineStr">
        <is>
          <t>threshold</t>
        </is>
      </c>
      <c r="O336" s="21" t="inlineStr">
        <is>
          <t>MOVER_THRESHOLD</t>
        </is>
      </c>
      <c r="P336" s="21" t="inlineStr">
        <is>
          <t>getattr(cfg,"MOVER_THRESHOLD")</t>
        </is>
      </c>
      <c r="Q336" t="inlineStr">
        <is>
          <t>NO</t>
        </is>
      </c>
    </row>
    <row r="337">
      <c r="A337" s="24" t="n">
        <v>95</v>
      </c>
      <c r="B337" s="25" t="inlineStr">
        <is>
          <t>MTF_ARMED_ENTRIES_FILTER_TF</t>
        </is>
      </c>
      <c r="C337" s="23" t="inlineStr">
        <is>
          <t>OFF</t>
        </is>
      </c>
      <c r="D337" s="26" t="inlineStr">
        <is>
          <t>MTF armed entries confirmation TF. | Live read: `G_VETO_FIX_ENABLED', 'HTF_REGIME_ADD_MULT_PER_SMA', 'HTF_REGIME_ENABLED', 'HTF_R`</t>
        </is>
      </c>
      <c r="E337" s="26" t="inlineStr">
        <is>
          <t>GLOBAL_CHECK</t>
        </is>
      </c>
      <c r="F337" s="24" t="inlineStr">
        <is>
          <t>GLOBAL_CHECK</t>
        </is>
      </c>
      <c r="G337" s="26" t="inlineStr">
        <is>
          <t>MTF_ARMED_ENTRIES</t>
        </is>
      </c>
      <c r="H337" s="24" t="inlineStr">
        <is>
          <t>SPECIFIC — only gated switches</t>
        </is>
      </c>
      <c r="I337" s="24" t="inlineStr">
        <is>
          <t>LIVE — wired</t>
        </is>
      </c>
      <c r="J337" s="24" t="n"/>
      <c r="K337" s="21" t="inlineStr">
        <is>
          <t>1/4</t>
        </is>
      </c>
      <c r="L337" s="21" t="inlineStr">
        <is>
          <t>OFF, 15m, 1h, 4h, D (5 options)</t>
        </is>
      </c>
      <c r="M337" s="21" t="inlineStr">
        <is>
          <t>15m</t>
        </is>
      </c>
      <c r="N337" s="21" t="inlineStr">
        <is>
          <t>TF selector</t>
        </is>
      </c>
      <c r="O337" s="21" t="inlineStr">
        <is>
          <t>MTF_ARMED_ENTRIES_FILTER_TF</t>
        </is>
      </c>
      <c r="P337" s="21" t="inlineStr">
        <is>
          <t>getattr(cfg,"MTF_ARMED_ENTRIES_FILTER_TF")</t>
        </is>
      </c>
      <c r="Q337" t="inlineStr">
        <is>
          <t>NO</t>
        </is>
      </c>
    </row>
    <row r="338">
      <c r="A338" s="24" t="n">
        <v>95</v>
      </c>
      <c r="B338" s="25" t="inlineStr">
        <is>
          <t>MTF_ARMED_ENTRIES_FILTER_TF</t>
        </is>
      </c>
      <c r="C338" s="23" t="inlineStr">
        <is>
          <t>D</t>
        </is>
      </c>
      <c r="D338" s="26" t="inlineStr">
        <is>
          <t>MTF armed entries confirmation TF. | Live read: `G_VETO_FIX_ENABLED', 'HTF_REGIME_ADD_MULT_PER_SMA', 'HTF_REGIME_ENABLED', 'HTF_R`</t>
        </is>
      </c>
      <c r="E338" s="26" t="inlineStr">
        <is>
          <t>GLOBAL_CHECK</t>
        </is>
      </c>
      <c r="F338" s="24" t="inlineStr">
        <is>
          <t>GLOBAL_CHECK</t>
        </is>
      </c>
      <c r="G338" s="26" t="inlineStr">
        <is>
          <t>MTF_ARMED_ENTRIES</t>
        </is>
      </c>
      <c r="H338" s="24" t="inlineStr">
        <is>
          <t>SPECIFIC — only gated switches</t>
        </is>
      </c>
      <c r="I338" s="24" t="inlineStr">
        <is>
          <t>LIVE — wired</t>
        </is>
      </c>
      <c r="J338" s="24" t="n"/>
      <c r="K338" s="21" t="inlineStr">
        <is>
          <t>1/4</t>
        </is>
      </c>
      <c r="L338" s="21" t="inlineStr">
        <is>
          <t>OFF, 15m, 1h, 4h, D (5 options)</t>
        </is>
      </c>
      <c r="M338" s="21" t="inlineStr">
        <is>
          <t>15m</t>
        </is>
      </c>
      <c r="N338" s="21" t="inlineStr">
        <is>
          <t>TF selector</t>
        </is>
      </c>
      <c r="O338" s="21" t="inlineStr">
        <is>
          <t>MTF_ARMED_ENTRIES_FILTER_TF</t>
        </is>
      </c>
      <c r="P338" s="21" t="inlineStr">
        <is>
          <t>getattr(cfg,"MTF_ARMED_ENTRIES_FILTER_TF")</t>
        </is>
      </c>
      <c r="Q338" t="inlineStr">
        <is>
          <t>NO</t>
        </is>
      </c>
    </row>
    <row r="339">
      <c r="A339" s="24" t="n">
        <v>95</v>
      </c>
      <c r="B339" s="25" t="inlineStr">
        <is>
          <t>MTF_ARMED_ENTRIES_FILTER_TF</t>
        </is>
      </c>
      <c r="C339" s="23" t="inlineStr">
        <is>
          <t>4h</t>
        </is>
      </c>
      <c r="D339" s="26" t="inlineStr">
        <is>
          <t>MTF armed entries confirmation TF. | Live read: `G_VETO_FIX_ENABLED', 'HTF_REGIME_ADD_MULT_PER_SMA', 'HTF_REGIME_ENABLED', 'HTF_R`</t>
        </is>
      </c>
      <c r="E339" s="26" t="inlineStr">
        <is>
          <t>GLOBAL_CHECK</t>
        </is>
      </c>
      <c r="F339" s="24" t="inlineStr">
        <is>
          <t>GLOBAL_CHECK</t>
        </is>
      </c>
      <c r="G339" s="26" t="inlineStr">
        <is>
          <t>MTF_ARMED_ENTRIES</t>
        </is>
      </c>
      <c r="H339" s="24" t="inlineStr">
        <is>
          <t>SPECIFIC — only gated switches</t>
        </is>
      </c>
      <c r="I339" s="24" t="inlineStr">
        <is>
          <t>LIVE — wired</t>
        </is>
      </c>
      <c r="J339" s="24" t="n"/>
      <c r="K339" s="21" t="inlineStr">
        <is>
          <t>1/4</t>
        </is>
      </c>
      <c r="L339" s="21" t="inlineStr">
        <is>
          <t>OFF, 15m, 1h, 4h, D (5 options)</t>
        </is>
      </c>
      <c r="M339" s="21" t="inlineStr">
        <is>
          <t>15m</t>
        </is>
      </c>
      <c r="N339" s="21" t="inlineStr">
        <is>
          <t>TF selector</t>
        </is>
      </c>
      <c r="O339" s="21" t="inlineStr">
        <is>
          <t>MTF_ARMED_ENTRIES_FILTER_TF</t>
        </is>
      </c>
      <c r="P339" s="21" t="inlineStr">
        <is>
          <t>getattr(cfg,"MTF_ARMED_ENTRIES_FILTER_TF")</t>
        </is>
      </c>
      <c r="Q339" t="inlineStr">
        <is>
          <t>NO</t>
        </is>
      </c>
    </row>
    <row r="340">
      <c r="A340" s="24" t="n">
        <v>95</v>
      </c>
      <c r="B340" s="25" t="inlineStr">
        <is>
          <t>MTF_ARMED_ENTRIES_FILTER_TF</t>
        </is>
      </c>
      <c r="C340" s="23" t="inlineStr">
        <is>
          <t>1h</t>
        </is>
      </c>
      <c r="D340" s="26" t="inlineStr">
        <is>
          <t>MTF armed entries confirmation TF. | Live read: `G_VETO_FIX_ENABLED', 'HTF_REGIME_ADD_MULT_PER_SMA', 'HTF_REGIME_ENABLED', 'HTF_R`</t>
        </is>
      </c>
      <c r="E340" s="26" t="inlineStr">
        <is>
          <t>GLOBAL_CHECK</t>
        </is>
      </c>
      <c r="F340" s="24" t="inlineStr">
        <is>
          <t>GLOBAL_CHECK</t>
        </is>
      </c>
      <c r="G340" s="26" t="inlineStr">
        <is>
          <t>MTF_ARMED_ENTRIES</t>
        </is>
      </c>
      <c r="H340" s="24" t="inlineStr">
        <is>
          <t>SPECIFIC — only gated switches</t>
        </is>
      </c>
      <c r="I340" s="24" t="inlineStr">
        <is>
          <t>LIVE — wired</t>
        </is>
      </c>
      <c r="J340" s="24" t="n"/>
      <c r="K340" s="21" t="inlineStr">
        <is>
          <t>1/4</t>
        </is>
      </c>
      <c r="L340" s="21" t="inlineStr">
        <is>
          <t>OFF, 15m, 1h, 4h, D (5 options)</t>
        </is>
      </c>
      <c r="M340" s="21" t="inlineStr">
        <is>
          <t>15m</t>
        </is>
      </c>
      <c r="N340" s="21" t="inlineStr">
        <is>
          <t>TF selector</t>
        </is>
      </c>
      <c r="O340" s="21" t="inlineStr">
        <is>
          <t>MTF_ARMED_ENTRIES_FILTER_TF</t>
        </is>
      </c>
      <c r="P340" s="21" t="inlineStr">
        <is>
          <t>getattr(cfg,"MTF_ARMED_ENTRIES_FILTER_TF")</t>
        </is>
      </c>
      <c r="Q340" t="inlineStr">
        <is>
          <t>NO</t>
        </is>
      </c>
    </row>
    <row r="341">
      <c r="A341" s="24" t="n">
        <v>95</v>
      </c>
      <c r="B341" s="27" t="inlineStr">
        <is>
          <t>MTF_ARMED_ENTRIES_FILTER_TF</t>
        </is>
      </c>
      <c r="C341" s="19" t="inlineStr">
        <is>
          <t>15m</t>
        </is>
      </c>
      <c r="D341" s="26" t="inlineStr">
        <is>
          <t>MTF armed entries confirmation TF. | Live read: `G_VETO_FIX_ENABLED', 'HTF_REGIME_ADD_MULT_PER_SMA', 'HTF_REGIME_ENABLED', 'HTF_R`</t>
        </is>
      </c>
      <c r="E341" s="26" t="inlineStr">
        <is>
          <t>GLOBAL_CHECK</t>
        </is>
      </c>
      <c r="F341" s="24" t="inlineStr">
        <is>
          <t>GLOBAL_CHECK</t>
        </is>
      </c>
      <c r="G341" s="26" t="inlineStr">
        <is>
          <t>MTF_ARMED_ENTRIES</t>
        </is>
      </c>
      <c r="H341" s="24" t="inlineStr">
        <is>
          <t>SPECIFIC — only gated switches</t>
        </is>
      </c>
      <c r="I341" s="24" t="inlineStr">
        <is>
          <t>LIVE — wired</t>
        </is>
      </c>
      <c r="J341" s="24" t="n"/>
      <c r="K341" s="21" t="inlineStr">
        <is>
          <t>1/4</t>
        </is>
      </c>
      <c r="L341" s="21" t="inlineStr">
        <is>
          <t>OFF, 15m, 1h, 4h, D (5 options)</t>
        </is>
      </c>
      <c r="M341" s="21" t="inlineStr">
        <is>
          <t>15m</t>
        </is>
      </c>
      <c r="N341" s="21" t="inlineStr">
        <is>
          <t>TF selector</t>
        </is>
      </c>
      <c r="O341" s="21" t="inlineStr">
        <is>
          <t>MTF_ARMED_ENTRIES_FILTER_TF</t>
        </is>
      </c>
      <c r="P341" s="21" t="inlineStr">
        <is>
          <t>getattr(cfg,"MTF_ARMED_ENTRIES_FILTER_TF")</t>
        </is>
      </c>
      <c r="Q341" t="inlineStr">
        <is>
          <t>YES</t>
        </is>
      </c>
    </row>
    <row r="342">
      <c r="A342" s="24" t="n">
        <v>96</v>
      </c>
      <c r="B342" s="25" t="inlineStr">
        <is>
          <t>MTF_ATR_TRAIL_FILTER_TF</t>
        </is>
      </c>
      <c r="C342" s="23" t="inlineStr">
        <is>
          <t>OFF</t>
        </is>
      </c>
      <c r="D342" s="26" t="inlineStr">
        <is>
          <t>MTF ATR trail confirmation TF. | Live read: `_TF', 'HTF_W_REVERSAL_EXIT', 'HYBRID_STRUCT_EXIT_ENABLED', 'LONG_STRUCT_EXIT_TF'`</t>
        </is>
      </c>
      <c r="E342" s="26" t="inlineStr">
        <is>
          <t>GLOBAL_CHECK</t>
        </is>
      </c>
      <c r="F342" s="24" t="inlineStr">
        <is>
          <t>EXIT</t>
        </is>
      </c>
      <c r="G342" s="26" t="inlineStr">
        <is>
          <t>ATR trail exits</t>
        </is>
      </c>
      <c r="H342" s="24" t="inlineStr">
        <is>
          <t>SPECIFIC — only gated switches</t>
        </is>
      </c>
      <c r="I342" s="24" t="inlineStr">
        <is>
          <t>LIVE — wired</t>
        </is>
      </c>
      <c r="J342" s="24" t="n"/>
      <c r="K342" s="21" t="inlineStr">
        <is>
          <t>1/4</t>
        </is>
      </c>
      <c r="L342" s="21" t="inlineStr">
        <is>
          <t>OFF, 15m, 1h, 4h, D (5 options)</t>
        </is>
      </c>
      <c r="M342" s="21" t="inlineStr">
        <is>
          <t>15m</t>
        </is>
      </c>
      <c r="N342" s="21" t="inlineStr">
        <is>
          <t>TF selector</t>
        </is>
      </c>
      <c r="O342" s="21" t="inlineStr">
        <is>
          <t>MTF_ATR_TRAIL_FILTER_TF</t>
        </is>
      </c>
      <c r="P342" s="21" t="inlineStr">
        <is>
          <t>getattr(cfg,"MTF_ATR_TRAIL_FILTER_TF")</t>
        </is>
      </c>
      <c r="Q342" t="inlineStr">
        <is>
          <t>NO</t>
        </is>
      </c>
    </row>
    <row r="343">
      <c r="A343" s="24" t="n">
        <v>96</v>
      </c>
      <c r="B343" s="25" t="inlineStr">
        <is>
          <t>MTF_ATR_TRAIL_FILTER_TF</t>
        </is>
      </c>
      <c r="C343" s="23" t="inlineStr">
        <is>
          <t>D</t>
        </is>
      </c>
      <c r="D343" s="26" t="inlineStr">
        <is>
          <t>MTF ATR trail confirmation TF. | Live read: `_TF', 'HTF_W_REVERSAL_EXIT', 'HYBRID_STRUCT_EXIT_ENABLED', 'LONG_STRUCT_EXIT_TF'`</t>
        </is>
      </c>
      <c r="E343" s="26" t="inlineStr">
        <is>
          <t>GLOBAL_CHECK</t>
        </is>
      </c>
      <c r="F343" s="24" t="inlineStr">
        <is>
          <t>EXIT</t>
        </is>
      </c>
      <c r="G343" s="26" t="inlineStr">
        <is>
          <t>ATR trail exits</t>
        </is>
      </c>
      <c r="H343" s="24" t="inlineStr">
        <is>
          <t>SPECIFIC — only gated switches</t>
        </is>
      </c>
      <c r="I343" s="24" t="inlineStr">
        <is>
          <t>LIVE — wired</t>
        </is>
      </c>
      <c r="J343" s="24" t="n"/>
      <c r="K343" s="21" t="inlineStr">
        <is>
          <t>1/4</t>
        </is>
      </c>
      <c r="L343" s="21" t="inlineStr">
        <is>
          <t>OFF, 15m, 1h, 4h, D (5 options)</t>
        </is>
      </c>
      <c r="M343" s="21" t="inlineStr">
        <is>
          <t>15m</t>
        </is>
      </c>
      <c r="N343" s="21" t="inlineStr">
        <is>
          <t>TF selector</t>
        </is>
      </c>
      <c r="O343" s="21" t="inlineStr">
        <is>
          <t>MTF_ATR_TRAIL_FILTER_TF</t>
        </is>
      </c>
      <c r="P343" s="21" t="inlineStr">
        <is>
          <t>getattr(cfg,"MTF_ATR_TRAIL_FILTER_TF")</t>
        </is>
      </c>
      <c r="Q343" t="inlineStr">
        <is>
          <t>NO</t>
        </is>
      </c>
    </row>
    <row r="344">
      <c r="A344" s="24" t="n">
        <v>96</v>
      </c>
      <c r="B344" s="25" t="inlineStr">
        <is>
          <t>MTF_ATR_TRAIL_FILTER_TF</t>
        </is>
      </c>
      <c r="C344" s="23" t="inlineStr">
        <is>
          <t>4h</t>
        </is>
      </c>
      <c r="D344" s="26" t="inlineStr">
        <is>
          <t>MTF ATR trail confirmation TF. | Live read: `_TF', 'HTF_W_REVERSAL_EXIT', 'HYBRID_STRUCT_EXIT_ENABLED', 'LONG_STRUCT_EXIT_TF'`</t>
        </is>
      </c>
      <c r="E344" s="26" t="inlineStr">
        <is>
          <t>GLOBAL_CHECK</t>
        </is>
      </c>
      <c r="F344" s="24" t="inlineStr">
        <is>
          <t>EXIT</t>
        </is>
      </c>
      <c r="G344" s="26" t="inlineStr">
        <is>
          <t>ATR trail exits</t>
        </is>
      </c>
      <c r="H344" s="24" t="inlineStr">
        <is>
          <t>SPECIFIC — only gated switches</t>
        </is>
      </c>
      <c r="I344" s="24" t="inlineStr">
        <is>
          <t>LIVE — wired</t>
        </is>
      </c>
      <c r="J344" s="24" t="n"/>
      <c r="K344" s="21" t="inlineStr">
        <is>
          <t>1/4</t>
        </is>
      </c>
      <c r="L344" s="21" t="inlineStr">
        <is>
          <t>OFF, 15m, 1h, 4h, D (5 options)</t>
        </is>
      </c>
      <c r="M344" s="21" t="inlineStr">
        <is>
          <t>15m</t>
        </is>
      </c>
      <c r="N344" s="21" t="inlineStr">
        <is>
          <t>TF selector</t>
        </is>
      </c>
      <c r="O344" s="21" t="inlineStr">
        <is>
          <t>MTF_ATR_TRAIL_FILTER_TF</t>
        </is>
      </c>
      <c r="P344" s="21" t="inlineStr">
        <is>
          <t>getattr(cfg,"MTF_ATR_TRAIL_FILTER_TF")</t>
        </is>
      </c>
      <c r="Q344" t="inlineStr">
        <is>
          <t>NO</t>
        </is>
      </c>
    </row>
    <row r="345">
      <c r="A345" s="24" t="n">
        <v>96</v>
      </c>
      <c r="B345" s="25" t="inlineStr">
        <is>
          <t>MTF_ATR_TRAIL_FILTER_TF</t>
        </is>
      </c>
      <c r="C345" s="23" t="inlineStr">
        <is>
          <t>1h</t>
        </is>
      </c>
      <c r="D345" s="26" t="inlineStr">
        <is>
          <t>MTF ATR trail confirmation TF. | Live read: `_TF', 'HTF_W_REVERSAL_EXIT', 'HYBRID_STRUCT_EXIT_ENABLED', 'LONG_STRUCT_EXIT_TF'`</t>
        </is>
      </c>
      <c r="E345" s="26" t="inlineStr">
        <is>
          <t>GLOBAL_CHECK</t>
        </is>
      </c>
      <c r="F345" s="24" t="inlineStr">
        <is>
          <t>EXIT</t>
        </is>
      </c>
      <c r="G345" s="26" t="inlineStr">
        <is>
          <t>ATR trail exits</t>
        </is>
      </c>
      <c r="H345" s="24" t="inlineStr">
        <is>
          <t>SPECIFIC — only gated switches</t>
        </is>
      </c>
      <c r="I345" s="24" t="inlineStr">
        <is>
          <t>LIVE — wired</t>
        </is>
      </c>
      <c r="J345" s="24" t="n"/>
      <c r="K345" s="21" t="inlineStr">
        <is>
          <t>1/4</t>
        </is>
      </c>
      <c r="L345" s="21" t="inlineStr">
        <is>
          <t>OFF, 15m, 1h, 4h, D (5 options)</t>
        </is>
      </c>
      <c r="M345" s="21" t="inlineStr">
        <is>
          <t>15m</t>
        </is>
      </c>
      <c r="N345" s="21" t="inlineStr">
        <is>
          <t>TF selector</t>
        </is>
      </c>
      <c r="O345" s="21" t="inlineStr">
        <is>
          <t>MTF_ATR_TRAIL_FILTER_TF</t>
        </is>
      </c>
      <c r="P345" s="21" t="inlineStr">
        <is>
          <t>getattr(cfg,"MTF_ATR_TRAIL_FILTER_TF")</t>
        </is>
      </c>
      <c r="Q345" t="inlineStr">
        <is>
          <t>NO</t>
        </is>
      </c>
    </row>
    <row r="346">
      <c r="A346" s="24" t="n">
        <v>96</v>
      </c>
      <c r="B346" s="27" t="inlineStr">
        <is>
          <t>MTF_ATR_TRAIL_FILTER_TF</t>
        </is>
      </c>
      <c r="C346" s="19" t="inlineStr">
        <is>
          <t>15m</t>
        </is>
      </c>
      <c r="D346" s="26" t="inlineStr">
        <is>
          <t>MTF ATR trail confirmation TF. | Live read: `_TF', 'HTF_W_REVERSAL_EXIT', 'HYBRID_STRUCT_EXIT_ENABLED', 'LONG_STRUCT_EXIT_TF'`</t>
        </is>
      </c>
      <c r="E346" s="26" t="inlineStr">
        <is>
          <t>GLOBAL_CHECK</t>
        </is>
      </c>
      <c r="F346" s="24" t="inlineStr">
        <is>
          <t>EXIT</t>
        </is>
      </c>
      <c r="G346" s="26" t="inlineStr">
        <is>
          <t>ATR trail exits</t>
        </is>
      </c>
      <c r="H346" s="24" t="inlineStr">
        <is>
          <t>SPECIFIC — only gated switches</t>
        </is>
      </c>
      <c r="I346" s="24" t="inlineStr">
        <is>
          <t>LIVE — wired</t>
        </is>
      </c>
      <c r="J346" s="24" t="n"/>
      <c r="K346" s="21" t="inlineStr">
        <is>
          <t>1/4</t>
        </is>
      </c>
      <c r="L346" s="21" t="inlineStr">
        <is>
          <t>OFF, 15m, 1h, 4h, D (5 options)</t>
        </is>
      </c>
      <c r="M346" s="21" t="inlineStr">
        <is>
          <t>15m</t>
        </is>
      </c>
      <c r="N346" s="21" t="inlineStr">
        <is>
          <t>TF selector</t>
        </is>
      </c>
      <c r="O346" s="21" t="inlineStr">
        <is>
          <t>MTF_ATR_TRAIL_FILTER_TF</t>
        </is>
      </c>
      <c r="P346" s="21" t="inlineStr">
        <is>
          <t>getattr(cfg,"MTF_ATR_TRAIL_FILTER_TF")</t>
        </is>
      </c>
      <c r="Q346" t="inlineStr">
        <is>
          <t>YES</t>
        </is>
      </c>
    </row>
    <row r="347">
      <c r="A347" s="24" t="n">
        <v>97</v>
      </c>
      <c r="B347" s="25" t="inlineStr">
        <is>
          <t>MTF_DC_REJECT_FILTER_TF</t>
        </is>
      </c>
      <c r="C347" s="23" t="inlineStr">
        <is>
          <t>OFF</t>
        </is>
      </c>
      <c r="D347" s="26" t="inlineStr">
        <is>
          <t>Rejects DC breaks that fail MTF confirmation. | Live read: `TF_REGIME_LEDGER_PATH', 'HTF_REGIME_SIZE_CAP', 'HTF_REGIME_TF', 'HTF_REGIME_VOL_`</t>
        </is>
      </c>
      <c r="E347" s="26" t="inlineStr">
        <is>
          <t>GLOBAL_CHECK</t>
        </is>
      </c>
      <c r="F347" s="24" t="inlineStr">
        <is>
          <t>GLOBAL_CHECK</t>
        </is>
      </c>
      <c r="G347" s="26" t="inlineStr">
        <is>
          <t>MTF_DC_REJECT</t>
        </is>
      </c>
      <c r="H347" s="24" t="inlineStr">
        <is>
          <t>SPECIFIC — only gated switches</t>
        </is>
      </c>
      <c r="I347" s="24" t="inlineStr">
        <is>
          <t>LIVE — wired</t>
        </is>
      </c>
      <c r="J347" s="24" t="n"/>
      <c r="K347" s="21" t="inlineStr">
        <is>
          <t>1/4</t>
        </is>
      </c>
      <c r="L347" s="21" t="inlineStr">
        <is>
          <t>OFF, 15m, 1h, 4h, D (5 options)</t>
        </is>
      </c>
      <c r="M347" s="21" t="inlineStr">
        <is>
          <t>15m</t>
        </is>
      </c>
      <c r="N347" s="21" t="inlineStr">
        <is>
          <t>TF selector</t>
        </is>
      </c>
      <c r="O347" s="21" t="inlineStr">
        <is>
          <t>MTF_DC_REJECT_FILTER_TF</t>
        </is>
      </c>
      <c r="P347" s="21" t="inlineStr">
        <is>
          <t>getattr(cfg,"MTF_DC_REJECT_FILTER_TF")</t>
        </is>
      </c>
      <c r="Q347" t="inlineStr">
        <is>
          <t>NO</t>
        </is>
      </c>
    </row>
    <row r="348">
      <c r="A348" s="24" t="n">
        <v>97</v>
      </c>
      <c r="B348" s="25" t="inlineStr">
        <is>
          <t>MTF_DC_REJECT_FILTER_TF</t>
        </is>
      </c>
      <c r="C348" s="23" t="inlineStr">
        <is>
          <t>D</t>
        </is>
      </c>
      <c r="D348" s="26" t="inlineStr">
        <is>
          <t>Rejects DC breaks that fail MTF confirmation. | Live read: `TF_REGIME_LEDGER_PATH', 'HTF_REGIME_SIZE_CAP', 'HTF_REGIME_TF', 'HTF_REGIME_VOL_`</t>
        </is>
      </c>
      <c r="E348" s="26" t="inlineStr">
        <is>
          <t>GLOBAL_CHECK</t>
        </is>
      </c>
      <c r="F348" s="24" t="inlineStr">
        <is>
          <t>GLOBAL_CHECK</t>
        </is>
      </c>
      <c r="G348" s="26" t="inlineStr">
        <is>
          <t>MTF_DC_REJECT</t>
        </is>
      </c>
      <c r="H348" s="24" t="inlineStr">
        <is>
          <t>SPECIFIC — only gated switches</t>
        </is>
      </c>
      <c r="I348" s="24" t="inlineStr">
        <is>
          <t>LIVE — wired</t>
        </is>
      </c>
      <c r="J348" s="24" t="n"/>
      <c r="K348" s="21" t="inlineStr">
        <is>
          <t>1/4</t>
        </is>
      </c>
      <c r="L348" s="21" t="inlineStr">
        <is>
          <t>OFF, 15m, 1h, 4h, D (5 options)</t>
        </is>
      </c>
      <c r="M348" s="21" t="inlineStr">
        <is>
          <t>15m</t>
        </is>
      </c>
      <c r="N348" s="21" t="inlineStr">
        <is>
          <t>TF selector</t>
        </is>
      </c>
      <c r="O348" s="21" t="inlineStr">
        <is>
          <t>MTF_DC_REJECT_FILTER_TF</t>
        </is>
      </c>
      <c r="P348" s="21" t="inlineStr">
        <is>
          <t>getattr(cfg,"MTF_DC_REJECT_FILTER_TF")</t>
        </is>
      </c>
      <c r="Q348" t="inlineStr">
        <is>
          <t>NO</t>
        </is>
      </c>
    </row>
    <row r="349">
      <c r="A349" s="24" t="n">
        <v>97</v>
      </c>
      <c r="B349" s="25" t="inlineStr">
        <is>
          <t>MTF_DC_REJECT_FILTER_TF</t>
        </is>
      </c>
      <c r="C349" s="23" t="inlineStr">
        <is>
          <t>4h</t>
        </is>
      </c>
      <c r="D349" s="26" t="inlineStr">
        <is>
          <t>Rejects DC breaks that fail MTF confirmation. | Live read: `TF_REGIME_LEDGER_PATH', 'HTF_REGIME_SIZE_CAP', 'HTF_REGIME_TF', 'HTF_REGIME_VOL_`</t>
        </is>
      </c>
      <c r="E349" s="26" t="inlineStr">
        <is>
          <t>GLOBAL_CHECK</t>
        </is>
      </c>
      <c r="F349" s="24" t="inlineStr">
        <is>
          <t>GLOBAL_CHECK</t>
        </is>
      </c>
      <c r="G349" s="26" t="inlineStr">
        <is>
          <t>MTF_DC_REJECT</t>
        </is>
      </c>
      <c r="H349" s="24" t="inlineStr">
        <is>
          <t>SPECIFIC — only gated switches</t>
        </is>
      </c>
      <c r="I349" s="24" t="inlineStr">
        <is>
          <t>LIVE — wired</t>
        </is>
      </c>
      <c r="J349" s="24" t="n"/>
      <c r="K349" s="21" t="inlineStr">
        <is>
          <t>1/4</t>
        </is>
      </c>
      <c r="L349" s="21" t="inlineStr">
        <is>
          <t>OFF, 15m, 1h, 4h, D (5 options)</t>
        </is>
      </c>
      <c r="M349" s="21" t="inlineStr">
        <is>
          <t>15m</t>
        </is>
      </c>
      <c r="N349" s="21" t="inlineStr">
        <is>
          <t>TF selector</t>
        </is>
      </c>
      <c r="O349" s="21" t="inlineStr">
        <is>
          <t>MTF_DC_REJECT_FILTER_TF</t>
        </is>
      </c>
      <c r="P349" s="21" t="inlineStr">
        <is>
          <t>getattr(cfg,"MTF_DC_REJECT_FILTER_TF")</t>
        </is>
      </c>
      <c r="Q349" t="inlineStr">
        <is>
          <t>NO</t>
        </is>
      </c>
    </row>
    <row r="350">
      <c r="A350" s="24" t="n">
        <v>97</v>
      </c>
      <c r="B350" s="25" t="inlineStr">
        <is>
          <t>MTF_DC_REJECT_FILTER_TF</t>
        </is>
      </c>
      <c r="C350" s="23" t="inlineStr">
        <is>
          <t>1h</t>
        </is>
      </c>
      <c r="D350" s="26" t="inlineStr">
        <is>
          <t>Rejects DC breaks that fail MTF confirmation. | Live read: `TF_REGIME_LEDGER_PATH', 'HTF_REGIME_SIZE_CAP', 'HTF_REGIME_TF', 'HTF_REGIME_VOL_`</t>
        </is>
      </c>
      <c r="E350" s="26" t="inlineStr">
        <is>
          <t>GLOBAL_CHECK</t>
        </is>
      </c>
      <c r="F350" s="24" t="inlineStr">
        <is>
          <t>GLOBAL_CHECK</t>
        </is>
      </c>
      <c r="G350" s="26" t="inlineStr">
        <is>
          <t>MTF_DC_REJECT</t>
        </is>
      </c>
      <c r="H350" s="24" t="inlineStr">
        <is>
          <t>SPECIFIC — only gated switches</t>
        </is>
      </c>
      <c r="I350" s="24" t="inlineStr">
        <is>
          <t>LIVE — wired</t>
        </is>
      </c>
      <c r="J350" s="24" t="n"/>
      <c r="K350" s="21" t="inlineStr">
        <is>
          <t>1/4</t>
        </is>
      </c>
      <c r="L350" s="21" t="inlineStr">
        <is>
          <t>OFF, 15m, 1h, 4h, D (5 options)</t>
        </is>
      </c>
      <c r="M350" s="21" t="inlineStr">
        <is>
          <t>15m</t>
        </is>
      </c>
      <c r="N350" s="21" t="inlineStr">
        <is>
          <t>TF selector</t>
        </is>
      </c>
      <c r="O350" s="21" t="inlineStr">
        <is>
          <t>MTF_DC_REJECT_FILTER_TF</t>
        </is>
      </c>
      <c r="P350" s="21" t="inlineStr">
        <is>
          <t>getattr(cfg,"MTF_DC_REJECT_FILTER_TF")</t>
        </is>
      </c>
      <c r="Q350" t="inlineStr">
        <is>
          <t>NO</t>
        </is>
      </c>
    </row>
    <row r="351">
      <c r="A351" s="24" t="n">
        <v>97</v>
      </c>
      <c r="B351" s="27" t="inlineStr">
        <is>
          <t>MTF_DC_REJECT_FILTER_TF</t>
        </is>
      </c>
      <c r="C351" s="19" t="inlineStr">
        <is>
          <t>15m</t>
        </is>
      </c>
      <c r="D351" s="26" t="inlineStr">
        <is>
          <t>Rejects DC breaks that fail MTF confirmation. | Live read: `TF_REGIME_LEDGER_PATH', 'HTF_REGIME_SIZE_CAP', 'HTF_REGIME_TF', 'HTF_REGIME_VOL_`</t>
        </is>
      </c>
      <c r="E351" s="26" t="inlineStr">
        <is>
          <t>GLOBAL_CHECK</t>
        </is>
      </c>
      <c r="F351" s="24" t="inlineStr">
        <is>
          <t>GLOBAL_CHECK</t>
        </is>
      </c>
      <c r="G351" s="26" t="inlineStr">
        <is>
          <t>MTF_DC_REJECT</t>
        </is>
      </c>
      <c r="H351" s="24" t="inlineStr">
        <is>
          <t>SPECIFIC — only gated switches</t>
        </is>
      </c>
      <c r="I351" s="24" t="inlineStr">
        <is>
          <t>LIVE — wired</t>
        </is>
      </c>
      <c r="J351" s="24" t="n"/>
      <c r="K351" s="21" t="inlineStr">
        <is>
          <t>1/4</t>
        </is>
      </c>
      <c r="L351" s="21" t="inlineStr">
        <is>
          <t>OFF, 15m, 1h, 4h, D (5 options)</t>
        </is>
      </c>
      <c r="M351" s="21" t="inlineStr">
        <is>
          <t>15m</t>
        </is>
      </c>
      <c r="N351" s="21" t="inlineStr">
        <is>
          <t>TF selector</t>
        </is>
      </c>
      <c r="O351" s="21" t="inlineStr">
        <is>
          <t>MTF_DC_REJECT_FILTER_TF</t>
        </is>
      </c>
      <c r="P351" s="21" t="inlineStr">
        <is>
          <t>getattr(cfg,"MTF_DC_REJECT_FILTER_TF")</t>
        </is>
      </c>
      <c r="Q351" t="inlineStr">
        <is>
          <t>YES</t>
        </is>
      </c>
    </row>
    <row r="352">
      <c r="A352" s="17" t="n">
        <v>98</v>
      </c>
      <c r="B352" s="18" t="inlineStr">
        <is>
          <t>MTF_FILTER_STRONG_BUY_QUICK_BYPASS</t>
        </is>
      </c>
      <c r="C352" s="19" t="inlineStr">
        <is>
          <t>0.0</t>
        </is>
      </c>
      <c r="D352" s="20" t="inlineStr">
        <is>
          <t>Bypasses MTF filter for strong buys in quick path. | Live read: `ABLED', 'LH_HL_FILTER_ENABLED', 'LH_HL_FILTER_HEDGE_GATE_ENABLED', 'LH_HL_FILTER`</t>
        </is>
      </c>
      <c r="E352" s="20" t="inlineStr">
        <is>
          <t>GLOBAL_CHECK, STOCKS_EXIT</t>
        </is>
      </c>
      <c r="F352" s="17" t="inlineStr">
        <is>
          <t>GLOBAL_CHECK, STOCKS_EXIT</t>
        </is>
      </c>
      <c r="G352" s="20" t="inlineStr">
        <is>
          <t>MTF_FILTER_STRONG_BUY_QUICK_BYPA</t>
        </is>
      </c>
      <c r="H352" s="17" t="inlineStr">
        <is>
          <t>GENERAL</t>
        </is>
      </c>
      <c r="I352" s="17" t="inlineStr">
        <is>
          <t>LIVE — wired</t>
        </is>
      </c>
      <c r="J352" s="17" t="n"/>
      <c r="K352" s="21" t="inlineStr">
        <is>
          <t>—</t>
        </is>
      </c>
      <c r="L352" s="21" t="inlineStr">
        <is>
          <t>0.0, alt</t>
        </is>
      </c>
      <c r="M352" s="21" t="inlineStr">
        <is>
          <t>0.0</t>
        </is>
      </c>
      <c r="N352" s="21" t="inlineStr">
        <is>
          <t>param</t>
        </is>
      </c>
      <c r="O352" s="21" t="inlineStr">
        <is>
          <t>MTF_FILTER_STRONG_BUY_QUICK_BYPASS</t>
        </is>
      </c>
      <c r="P352" s="21" t="inlineStr">
        <is>
          <t>getattr(cfg,"MTF_FILTER_STRONG_BUY_QUICK_BYPASS")</t>
        </is>
      </c>
      <c r="Q352" t="inlineStr">
        <is>
          <t>YES</t>
        </is>
      </c>
    </row>
    <row r="353">
      <c r="A353" s="17" t="n">
        <v>98</v>
      </c>
      <c r="B353" s="22" t="inlineStr">
        <is>
          <t>MTF_FILTER_STRONG_BUY_QUICK_BYPASS</t>
        </is>
      </c>
      <c r="C353" s="23" t="inlineStr">
        <is>
          <t>0.0_ALT</t>
        </is>
      </c>
      <c r="D353" s="20" t="inlineStr">
        <is>
          <t>Bypasses MTF filter for strong buys in quick path. | Live read: `ABLED', 'LH_HL_FILTER_ENABLED', 'LH_HL_FILTER_HEDGE_GATE_ENABLED', 'LH_HL_FILTER`</t>
        </is>
      </c>
      <c r="E353" s="20" t="inlineStr">
        <is>
          <t>GLOBAL_CHECK, STOCKS_EXIT</t>
        </is>
      </c>
      <c r="F353" s="17" t="inlineStr">
        <is>
          <t>GLOBAL_CHECK, STOCKS_EXIT</t>
        </is>
      </c>
      <c r="G353" s="20" t="inlineStr">
        <is>
          <t>MTF_FILTER_STRONG_BUY_QUICK_BYPA</t>
        </is>
      </c>
      <c r="H353" s="17" t="inlineStr">
        <is>
          <t>GENERAL</t>
        </is>
      </c>
      <c r="I353" s="17" t="inlineStr">
        <is>
          <t>LIVE — wired</t>
        </is>
      </c>
      <c r="J353" s="17" t="n"/>
      <c r="K353" s="21" t="inlineStr">
        <is>
          <t>—</t>
        </is>
      </c>
      <c r="L353" s="21" t="inlineStr">
        <is>
          <t>0.0, alt</t>
        </is>
      </c>
      <c r="M353" s="21" t="inlineStr">
        <is>
          <t>0.0</t>
        </is>
      </c>
      <c r="N353" s="21" t="inlineStr">
        <is>
          <t>param</t>
        </is>
      </c>
      <c r="O353" s="21" t="inlineStr">
        <is>
          <t>MTF_FILTER_STRONG_BUY_QUICK_BYPASS</t>
        </is>
      </c>
      <c r="P353" s="21" t="inlineStr">
        <is>
          <t>getattr(cfg,"MTF_FILTER_STRONG_BUY_QUICK_BYPASS")</t>
        </is>
      </c>
      <c r="Q353" t="inlineStr">
        <is>
          <t>NO</t>
        </is>
      </c>
    </row>
    <row r="354">
      <c r="A354" s="17" t="n">
        <v>99</v>
      </c>
      <c r="B354" s="18" t="inlineStr">
        <is>
          <t>MTF_GR_MIN_IND</t>
        </is>
      </c>
      <c r="C354" s="19" t="inlineStr">
        <is>
          <t>5</t>
        </is>
      </c>
      <c r="D354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4" s="20" t="inlineStr">
        <is>
          <t>GLOBAL_CHECK, STOCKS_EXIT</t>
        </is>
      </c>
      <c r="F354" s="17" t="inlineStr">
        <is>
          <t>GLOBAL_CHECK, STOCKS_EXIT</t>
        </is>
      </c>
      <c r="G354" s="20" t="inlineStr">
        <is>
          <t>MTF_GR_MIN_IND</t>
        </is>
      </c>
      <c r="H354" s="17" t="inlineStr">
        <is>
          <t>GENERAL</t>
        </is>
      </c>
      <c r="I354" s="17" t="inlineStr">
        <is>
          <t>LIVE — wired</t>
        </is>
      </c>
      <c r="J354" s="17" t="n"/>
      <c r="K354" s="21" t="inlineStr">
        <is>
          <t>—</t>
        </is>
      </c>
      <c r="L354" s="21" t="inlineStr">
        <is>
          <t>5, alt</t>
        </is>
      </c>
      <c r="M354" s="21" t="inlineStr">
        <is>
          <t>5</t>
        </is>
      </c>
      <c r="N354" s="21" t="inlineStr">
        <is>
          <t>param</t>
        </is>
      </c>
      <c r="O354" s="21" t="inlineStr">
        <is>
          <t>MTF_GR_MIN_IND</t>
        </is>
      </c>
      <c r="P354" s="21" t="inlineStr">
        <is>
          <t>getattr(cfg,"MTF_GR_MIN_IND")</t>
        </is>
      </c>
      <c r="Q354" t="inlineStr">
        <is>
          <t>YES</t>
        </is>
      </c>
    </row>
    <row r="355">
      <c r="A355" s="17" t="n">
        <v>99</v>
      </c>
      <c r="B355" s="22" t="inlineStr">
        <is>
          <t>MTF_GR_MIN_IND</t>
        </is>
      </c>
      <c r="C355" s="23" t="inlineStr">
        <is>
          <t>5_ALT</t>
        </is>
      </c>
      <c r="D355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5" s="20" t="inlineStr">
        <is>
          <t>GLOBAL_CHECK, STOCKS_EXIT</t>
        </is>
      </c>
      <c r="F355" s="17" t="inlineStr">
        <is>
          <t>GLOBAL_CHECK, STOCKS_EXIT</t>
        </is>
      </c>
      <c r="G355" s="20" t="inlineStr">
        <is>
          <t>MTF_GR_MIN_IND</t>
        </is>
      </c>
      <c r="H355" s="17" t="inlineStr">
        <is>
          <t>GENERAL</t>
        </is>
      </c>
      <c r="I355" s="17" t="inlineStr">
        <is>
          <t>LIVE — wired</t>
        </is>
      </c>
      <c r="J355" s="17" t="n"/>
      <c r="K355" s="21" t="inlineStr">
        <is>
          <t>—</t>
        </is>
      </c>
      <c r="L355" s="21" t="inlineStr">
        <is>
          <t>5, alt</t>
        </is>
      </c>
      <c r="M355" s="21" t="inlineStr">
        <is>
          <t>5</t>
        </is>
      </c>
      <c r="N355" s="21" t="inlineStr">
        <is>
          <t>param</t>
        </is>
      </c>
      <c r="O355" s="21" t="inlineStr">
        <is>
          <t>MTF_GR_MIN_IND</t>
        </is>
      </c>
      <c r="P355" s="21" t="inlineStr">
        <is>
          <t>getattr(cfg,"MTF_GR_MIN_IND")</t>
        </is>
      </c>
      <c r="Q355" t="inlineStr">
        <is>
          <t>NO</t>
        </is>
      </c>
    </row>
    <row r="356">
      <c r="A356" s="17" t="n">
        <v>100</v>
      </c>
      <c r="B356" s="18" t="inlineStr">
        <is>
          <t>MTS_BOTTOM_BONUS_THRESHOLD</t>
        </is>
      </c>
      <c r="C356" s="19" t="inlineStr">
        <is>
          <t>25</t>
        </is>
      </c>
      <c r="D356" s="20" t="inlineStr">
        <is>
          <t>MTS bottom bonus threshold. | Live read: `F_REGIME_SIZE_CAP', 'HTF_REGIME_TF', 'HTF_REGIME_VOL_TARGET', 'HTF_TREND_VETO_BY`</t>
        </is>
      </c>
      <c r="E356" s="20" t="inlineStr">
        <is>
          <t>ENTRY, GLOBAL_CHECK, STOCKS_EXIT</t>
        </is>
      </c>
      <c r="F356" s="17" t="inlineStr">
        <is>
          <t>ENTRY, GLOBAL_CHECK, STOCKS_EXIT</t>
        </is>
      </c>
      <c r="G356" s="20" t="inlineStr">
        <is>
          <t>MTS_BOTTOM_BONUS_THRESHOLD</t>
        </is>
      </c>
      <c r="H356" s="17" t="inlineStr">
        <is>
          <t>GENERAL</t>
        </is>
      </c>
      <c r="I356" s="17" t="inlineStr">
        <is>
          <t>LIVE — wired</t>
        </is>
      </c>
      <c r="J356" s="17" t="n"/>
      <c r="K356" s="21" t="inlineStr">
        <is>
          <t>—</t>
        </is>
      </c>
      <c r="L356" s="21" t="inlineStr">
        <is>
          <t>25.0, ±25%, ±50% (4)</t>
        </is>
      </c>
      <c r="M356" s="21" t="inlineStr">
        <is>
          <t>25.0</t>
        </is>
      </c>
      <c r="N356" s="21" t="inlineStr">
        <is>
          <t>threshold</t>
        </is>
      </c>
      <c r="O356" s="21" t="inlineStr">
        <is>
          <t>MTS_BOTTOM_BONUS_THRESHOLD</t>
        </is>
      </c>
      <c r="P356" s="21" t="inlineStr">
        <is>
          <t>getattr(cfg,"MTS_BOTTOM_BONUS_THRESHOLD")</t>
        </is>
      </c>
      <c r="Q356" t="inlineStr">
        <is>
          <t>YES</t>
        </is>
      </c>
    </row>
    <row r="357">
      <c r="A357" s="17" t="n">
        <v>100</v>
      </c>
      <c r="B357" s="22" t="inlineStr">
        <is>
          <t>MTS_BOTTOM_BONUS_THRESHOLD</t>
        </is>
      </c>
      <c r="C357" s="23" t="inlineStr">
        <is>
          <t>31.25</t>
        </is>
      </c>
      <c r="D357" s="20" t="inlineStr">
        <is>
          <t>MTS bottom bonus threshold. | Live read: `F_REGIME_SIZE_CAP', 'HTF_REGIME_TF', 'HTF_REGIME_VOL_TARGET', 'HTF_TREND_VETO_BY`</t>
        </is>
      </c>
      <c r="E357" s="20" t="inlineStr">
        <is>
          <t>ENTRY, GLOBAL_CHECK, STOCKS_EXIT</t>
        </is>
      </c>
      <c r="F357" s="17" t="inlineStr">
        <is>
          <t>ENTRY, GLOBAL_CHECK, STOCKS_EXIT</t>
        </is>
      </c>
      <c r="G357" s="20" t="inlineStr">
        <is>
          <t>MTS_BOTTOM_BONUS_THRESHOLD</t>
        </is>
      </c>
      <c r="H357" s="17" t="inlineStr">
        <is>
          <t>GENERAL</t>
        </is>
      </c>
      <c r="I357" s="17" t="inlineStr">
        <is>
          <t>LIVE — wired</t>
        </is>
      </c>
      <c r="J357" s="17" t="n"/>
      <c r="K357" s="21" t="inlineStr">
        <is>
          <t>—</t>
        </is>
      </c>
      <c r="L357" s="21" t="inlineStr">
        <is>
          <t>25.0, ±25%, ±50% (4)</t>
        </is>
      </c>
      <c r="M357" s="21" t="inlineStr">
        <is>
          <t>25.0</t>
        </is>
      </c>
      <c r="N357" s="21" t="inlineStr">
        <is>
          <t>threshold</t>
        </is>
      </c>
      <c r="O357" s="21" t="inlineStr">
        <is>
          <t>MTS_BOTTOM_BONUS_THRESHOLD</t>
        </is>
      </c>
      <c r="P357" s="21" t="inlineStr">
        <is>
          <t>getattr(cfg,"MTS_BOTTOM_BONUS_THRESHOLD")</t>
        </is>
      </c>
      <c r="Q357" t="inlineStr">
        <is>
          <t>NO</t>
        </is>
      </c>
    </row>
    <row r="358">
      <c r="A358" s="17" t="n">
        <v>100</v>
      </c>
      <c r="B358" s="22" t="inlineStr">
        <is>
          <t>MTS_BOTTOM_BONUS_THRESHOLD</t>
        </is>
      </c>
      <c r="C358" s="23" t="inlineStr">
        <is>
          <t>18.75</t>
        </is>
      </c>
      <c r="D358" s="20" t="inlineStr">
        <is>
          <t>MTS bottom bonus threshold. | Live read: `F_REGIME_SIZE_CAP', 'HTF_REGIME_TF', 'HTF_REGIME_VOL_TARGET', 'HTF_TREND_VETO_BY`</t>
        </is>
      </c>
      <c r="E358" s="20" t="inlineStr">
        <is>
          <t>ENTRY, GLOBAL_CHECK, STOCKS_EXIT</t>
        </is>
      </c>
      <c r="F358" s="17" t="inlineStr">
        <is>
          <t>ENTRY, GLOBAL_CHECK, STOCKS_EXIT</t>
        </is>
      </c>
      <c r="G358" s="20" t="inlineStr">
        <is>
          <t>MTS_BOTTOM_BONUS_THRESHOLD</t>
        </is>
      </c>
      <c r="H358" s="17" t="inlineStr">
        <is>
          <t>GENERAL</t>
        </is>
      </c>
      <c r="I358" s="17" t="inlineStr">
        <is>
          <t>LIVE — wired</t>
        </is>
      </c>
      <c r="J358" s="17" t="n"/>
      <c r="K358" s="21" t="inlineStr">
        <is>
          <t>—</t>
        </is>
      </c>
      <c r="L358" s="21" t="inlineStr">
        <is>
          <t>25.0, ±25%, ±50% (4)</t>
        </is>
      </c>
      <c r="M358" s="21" t="inlineStr">
        <is>
          <t>25.0</t>
        </is>
      </c>
      <c r="N358" s="21" t="inlineStr">
        <is>
          <t>threshold</t>
        </is>
      </c>
      <c r="O358" s="21" t="inlineStr">
        <is>
          <t>MTS_BOTTOM_BONUS_THRESHOLD</t>
        </is>
      </c>
      <c r="P358" s="21" t="inlineStr">
        <is>
          <t>getattr(cfg,"MTS_BOTTOM_BONUS_THRESHOLD")</t>
        </is>
      </c>
      <c r="Q358" t="inlineStr">
        <is>
          <t>NO</t>
        </is>
      </c>
    </row>
    <row r="359">
      <c r="A359" s="17" t="n">
        <v>100</v>
      </c>
      <c r="B359" s="22" t="inlineStr">
        <is>
          <t>MTS_BOTTOM_BONUS_THRESHOLD</t>
        </is>
      </c>
      <c r="C359" s="23" t="inlineStr">
        <is>
          <t>12.5</t>
        </is>
      </c>
      <c r="D359" s="20" t="inlineStr">
        <is>
          <t>MTS bottom bonus threshold. | Live read: `F_REGIME_SIZE_CAP', 'HTF_REGIME_TF', 'HTF_REGIME_VOL_TARGET', 'HTF_TREND_VETO_BY`</t>
        </is>
      </c>
      <c r="E359" s="20" t="inlineStr">
        <is>
          <t>ENTRY, GLOBAL_CHECK, STOCKS_EXIT</t>
        </is>
      </c>
      <c r="F359" s="17" t="inlineStr">
        <is>
          <t>ENTRY, GLOBAL_CHECK, STOCKS_EXIT</t>
        </is>
      </c>
      <c r="G359" s="20" t="inlineStr">
        <is>
          <t>MTS_BOTTOM_BONUS_THRESHOLD</t>
        </is>
      </c>
      <c r="H359" s="17" t="inlineStr">
        <is>
          <t>GENERAL</t>
        </is>
      </c>
      <c r="I359" s="17" t="inlineStr">
        <is>
          <t>LIVE — wired</t>
        </is>
      </c>
      <c r="J359" s="17" t="n"/>
      <c r="K359" s="21" t="inlineStr">
        <is>
          <t>—</t>
        </is>
      </c>
      <c r="L359" s="21" t="inlineStr">
        <is>
          <t>25.0, ±25%, ±50% (4)</t>
        </is>
      </c>
      <c r="M359" s="21" t="inlineStr">
        <is>
          <t>25.0</t>
        </is>
      </c>
      <c r="N359" s="21" t="inlineStr">
        <is>
          <t>threshold</t>
        </is>
      </c>
      <c r="O359" s="21" t="inlineStr">
        <is>
          <t>MTS_BOTTOM_BONUS_THRESHOLD</t>
        </is>
      </c>
      <c r="P359" s="21" t="inlineStr">
        <is>
          <t>getattr(cfg,"MTS_BOTTOM_BONUS_THRESHOLD")</t>
        </is>
      </c>
      <c r="Q359" t="inlineStr">
        <is>
          <t>NO</t>
        </is>
      </c>
    </row>
    <row r="360">
      <c r="A360" s="17" t="n">
        <v>101</v>
      </c>
      <c r="B360" s="18" t="inlineStr">
        <is>
          <t>MTS_BOTTOM_STRONG_THRESHOLD</t>
        </is>
      </c>
      <c r="C360" s="19" t="inlineStr">
        <is>
          <t>40</t>
        </is>
      </c>
      <c r="D360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0" s="20" t="inlineStr">
        <is>
          <t>ENTRY, GLOBAL_CHECK, STOCKS_EXIT</t>
        </is>
      </c>
      <c r="F360" s="17" t="inlineStr">
        <is>
          <t>ENTRY, GLOBAL_CHECK, STOCKS_EXIT</t>
        </is>
      </c>
      <c r="G360" s="20" t="inlineStr">
        <is>
          <t>MTS_BOTTOM_STRONG_THRESHOLD</t>
        </is>
      </c>
      <c r="H360" s="17" t="inlineStr">
        <is>
          <t>GENERAL</t>
        </is>
      </c>
      <c r="I360" s="17" t="inlineStr">
        <is>
          <t>LIVE — wired</t>
        </is>
      </c>
      <c r="J360" s="17" t="n"/>
      <c r="K360" s="21" t="inlineStr">
        <is>
          <t>—</t>
        </is>
      </c>
      <c r="L360" s="21" t="inlineStr">
        <is>
          <t>40.0, ±25%, ±50% (4)</t>
        </is>
      </c>
      <c r="M360" s="21" t="inlineStr">
        <is>
          <t>40.0</t>
        </is>
      </c>
      <c r="N360" s="21" t="inlineStr">
        <is>
          <t>threshold</t>
        </is>
      </c>
      <c r="O360" s="21" t="inlineStr">
        <is>
          <t>MTS_BOTTOM_STRONG_THRESHOLD</t>
        </is>
      </c>
      <c r="P360" s="21" t="inlineStr">
        <is>
          <t>getattr(cfg,"MTS_BOTTOM_STRONG_THRESHOLD")</t>
        </is>
      </c>
      <c r="Q360" t="inlineStr">
        <is>
          <t>YES</t>
        </is>
      </c>
    </row>
    <row r="361">
      <c r="A361" s="17" t="n">
        <v>101</v>
      </c>
      <c r="B361" s="22" t="inlineStr">
        <is>
          <t>MTS_BOTTOM_STRONG_THRESHOLD</t>
        </is>
      </c>
      <c r="C361" s="23" t="inlineStr">
        <is>
          <t>50</t>
        </is>
      </c>
      <c r="D361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1" s="20" t="inlineStr">
        <is>
          <t>ENTRY, GLOBAL_CHECK, STOCKS_EXIT</t>
        </is>
      </c>
      <c r="F361" s="17" t="inlineStr">
        <is>
          <t>ENTRY, GLOBAL_CHECK, STOCKS_EXIT</t>
        </is>
      </c>
      <c r="G361" s="20" t="inlineStr">
        <is>
          <t>MTS_BOTTOM_STRONG_THRESHOLD</t>
        </is>
      </c>
      <c r="H361" s="17" t="inlineStr">
        <is>
          <t>GENERAL</t>
        </is>
      </c>
      <c r="I361" s="17" t="inlineStr">
        <is>
          <t>LIVE — wired</t>
        </is>
      </c>
      <c r="J361" s="17" t="n"/>
      <c r="K361" s="21" t="inlineStr">
        <is>
          <t>—</t>
        </is>
      </c>
      <c r="L361" s="21" t="inlineStr">
        <is>
          <t>40.0, ±25%, ±50% (4)</t>
        </is>
      </c>
      <c r="M361" s="21" t="inlineStr">
        <is>
          <t>40.0</t>
        </is>
      </c>
      <c r="N361" s="21" t="inlineStr">
        <is>
          <t>threshold</t>
        </is>
      </c>
      <c r="O361" s="21" t="inlineStr">
        <is>
          <t>MTS_BOTTOM_STRONG_THRESHOLD</t>
        </is>
      </c>
      <c r="P361" s="21" t="inlineStr">
        <is>
          <t>getattr(cfg,"MTS_BOTTOM_STRONG_THRESHOLD")</t>
        </is>
      </c>
      <c r="Q361" t="inlineStr">
        <is>
          <t>NO</t>
        </is>
      </c>
    </row>
    <row r="362">
      <c r="A362" s="17" t="n">
        <v>101</v>
      </c>
      <c r="B362" s="22" t="inlineStr">
        <is>
          <t>MTS_BOTTOM_STRONG_THRESHOLD</t>
        </is>
      </c>
      <c r="C362" s="23" t="inlineStr">
        <is>
          <t>30</t>
        </is>
      </c>
      <c r="D362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2" s="20" t="inlineStr">
        <is>
          <t>ENTRY, GLOBAL_CHECK, STOCKS_EXIT</t>
        </is>
      </c>
      <c r="F362" s="17" t="inlineStr">
        <is>
          <t>ENTRY, GLOBAL_CHECK, STOCKS_EXIT</t>
        </is>
      </c>
      <c r="G362" s="20" t="inlineStr">
        <is>
          <t>MTS_BOTTOM_STRONG_THRESHOLD</t>
        </is>
      </c>
      <c r="H362" s="17" t="inlineStr">
        <is>
          <t>GENERAL</t>
        </is>
      </c>
      <c r="I362" s="17" t="inlineStr">
        <is>
          <t>LIVE — wired</t>
        </is>
      </c>
      <c r="J362" s="17" t="n"/>
      <c r="K362" s="21" t="inlineStr">
        <is>
          <t>—</t>
        </is>
      </c>
      <c r="L362" s="21" t="inlineStr">
        <is>
          <t>40.0, ±25%, ±50% (4)</t>
        </is>
      </c>
      <c r="M362" s="21" t="inlineStr">
        <is>
          <t>40.0</t>
        </is>
      </c>
      <c r="N362" s="21" t="inlineStr">
        <is>
          <t>threshold</t>
        </is>
      </c>
      <c r="O362" s="21" t="inlineStr">
        <is>
          <t>MTS_BOTTOM_STRONG_THRESHOLD</t>
        </is>
      </c>
      <c r="P362" s="21" t="inlineStr">
        <is>
          <t>getattr(cfg,"MTS_BOTTOM_STRONG_THRESHOLD")</t>
        </is>
      </c>
      <c r="Q362" t="inlineStr">
        <is>
          <t>NO</t>
        </is>
      </c>
    </row>
    <row r="363">
      <c r="A363" s="17" t="n">
        <v>101</v>
      </c>
      <c r="B363" s="22" t="inlineStr">
        <is>
          <t>MTS_BOTTOM_STRONG_THRESHOLD</t>
        </is>
      </c>
      <c r="C363" s="23" t="inlineStr">
        <is>
          <t>20</t>
        </is>
      </c>
      <c r="D363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3" s="20" t="inlineStr">
        <is>
          <t>ENTRY, GLOBAL_CHECK, STOCKS_EXIT</t>
        </is>
      </c>
      <c r="F363" s="17" t="inlineStr">
        <is>
          <t>ENTRY, GLOBAL_CHECK, STOCKS_EXIT</t>
        </is>
      </c>
      <c r="G363" s="20" t="inlineStr">
        <is>
          <t>MTS_BOTTOM_STRONG_THRESHOLD</t>
        </is>
      </c>
      <c r="H363" s="17" t="inlineStr">
        <is>
          <t>GENERAL</t>
        </is>
      </c>
      <c r="I363" s="17" t="inlineStr">
        <is>
          <t>LIVE — wired</t>
        </is>
      </c>
      <c r="J363" s="17" t="n"/>
      <c r="K363" s="21" t="inlineStr">
        <is>
          <t>—</t>
        </is>
      </c>
      <c r="L363" s="21" t="inlineStr">
        <is>
          <t>40.0, ±25%, ±50% (4)</t>
        </is>
      </c>
      <c r="M363" s="21" t="inlineStr">
        <is>
          <t>40.0</t>
        </is>
      </c>
      <c r="N363" s="21" t="inlineStr">
        <is>
          <t>threshold</t>
        </is>
      </c>
      <c r="O363" s="21" t="inlineStr">
        <is>
          <t>MTS_BOTTOM_STRONG_THRESHOLD</t>
        </is>
      </c>
      <c r="P363" s="21" t="inlineStr">
        <is>
          <t>getattr(cfg,"MTS_BOTTOM_STRONG_THRESHOLD")</t>
        </is>
      </c>
      <c r="Q363" t="inlineStr">
        <is>
          <t>NO</t>
        </is>
      </c>
    </row>
    <row r="364">
      <c r="A364" s="17" t="n">
        <v>102</v>
      </c>
      <c r="B364" s="18" t="inlineStr">
        <is>
          <t>MTS_GATE_ENABLED</t>
        </is>
      </c>
      <c r="C364" s="19" t="inlineStr">
        <is>
          <t>False</t>
        </is>
      </c>
      <c r="D364" s="20" t="inlineStr">
        <is>
          <t>MTS (Mayer) gate enabled. | Live read: `'HTF_TREND_VETO_BYPASS_ENABLED', 'HTF_TREND_VETO_BYPASS_REASONS', 'HTF_W_M_ALIGN`</t>
        </is>
      </c>
      <c r="E364" s="20" t="inlineStr">
        <is>
          <t>ENTRY, GLOBAL_CHECK, STOCKS_EXIT</t>
        </is>
      </c>
      <c r="F364" s="17" t="inlineStr">
        <is>
          <t>ENTRY, GLOBAL_CHECK, STOCKS_EXIT</t>
        </is>
      </c>
      <c r="G364" s="20" t="inlineStr">
        <is>
          <t>MTS_GATE_ENABLED</t>
        </is>
      </c>
      <c r="H364" s="17" t="inlineStr">
        <is>
          <t>GENERAL</t>
        </is>
      </c>
      <c r="I364" s="17" t="inlineStr">
        <is>
          <t>LIVE — wired</t>
        </is>
      </c>
      <c r="J364" s="17" t="n"/>
      <c r="K364" s="21" t="inlineStr">
        <is>
          <t>—</t>
        </is>
      </c>
      <c r="L364" s="21" t="inlineStr">
        <is>
          <t>False, True (2)</t>
        </is>
      </c>
      <c r="M364" s="21" t="inlineStr">
        <is>
          <t>False</t>
        </is>
      </c>
      <c r="N364" s="21" t="inlineStr">
        <is>
          <t>bool gate</t>
        </is>
      </c>
      <c r="O364" s="21" t="inlineStr">
        <is>
          <t>MTS_GATE_ENABLED</t>
        </is>
      </c>
      <c r="P364" s="21" t="inlineStr">
        <is>
          <t>getattr(cfg,"MTS_GATE_ENABLED")</t>
        </is>
      </c>
      <c r="Q364" t="inlineStr">
        <is>
          <t>YES</t>
        </is>
      </c>
    </row>
    <row r="365">
      <c r="A365" s="17" t="n">
        <v>102</v>
      </c>
      <c r="B365" s="22" t="inlineStr">
        <is>
          <t>MTS_GATE_ENABLED</t>
        </is>
      </c>
      <c r="C365" s="23" t="inlineStr">
        <is>
          <t>True</t>
        </is>
      </c>
      <c r="D365" s="20" t="inlineStr">
        <is>
          <t>MTS (Mayer) gate enabled. | Live read: `'HTF_TREND_VETO_BYPASS_ENABLED', 'HTF_TREND_VETO_BYPASS_REASONS', 'HTF_W_M_ALIGN`</t>
        </is>
      </c>
      <c r="E365" s="20" t="inlineStr">
        <is>
          <t>ENTRY, GLOBAL_CHECK, STOCKS_EXIT</t>
        </is>
      </c>
      <c r="F365" s="17" t="inlineStr">
        <is>
          <t>ENTRY, GLOBAL_CHECK, STOCKS_EXIT</t>
        </is>
      </c>
      <c r="G365" s="20" t="inlineStr">
        <is>
          <t>MTS_GATE_ENABLED</t>
        </is>
      </c>
      <c r="H365" s="17" t="inlineStr">
        <is>
          <t>GENERAL</t>
        </is>
      </c>
      <c r="I365" s="17" t="inlineStr">
        <is>
          <t>LIVE — wired</t>
        </is>
      </c>
      <c r="J365" s="17" t="n"/>
      <c r="K365" s="21" t="inlineStr">
        <is>
          <t>—</t>
        </is>
      </c>
      <c r="L365" s="21" t="inlineStr">
        <is>
          <t>False, True (2)</t>
        </is>
      </c>
      <c r="M365" s="21" t="inlineStr">
        <is>
          <t>False</t>
        </is>
      </c>
      <c r="N365" s="21" t="inlineStr">
        <is>
          <t>bool gate</t>
        </is>
      </c>
      <c r="O365" s="21" t="inlineStr">
        <is>
          <t>MTS_GATE_ENABLED</t>
        </is>
      </c>
      <c r="P365" s="21" t="inlineStr">
        <is>
          <t>getattr(cfg,"MTS_GATE_ENABLED")</t>
        </is>
      </c>
      <c r="Q365" t="inlineStr">
        <is>
          <t>NO</t>
        </is>
      </c>
    </row>
    <row r="366">
      <c r="A366" s="24" t="n">
        <v>103</v>
      </c>
      <c r="B366" s="25" t="inlineStr">
        <is>
          <t>NEWBORN_LOSS_KILL_FILTER_TF</t>
        </is>
      </c>
      <c r="C366" s="23" t="inlineStr">
        <is>
          <t>OFF</t>
        </is>
      </c>
      <c r="D366" s="26" t="inlineStr">
        <is>
          <t>Kills newborn losers when velocity confirms against on FILTER_TF. | Live read: `ASS_ENABLED', 'HTF_TREND_VETO_BYPASS_REASONS', 'HTF_W_M_ALIGN_GATE', 'LEADERBOAR`</t>
        </is>
      </c>
      <c r="E366" s="26" t="inlineStr">
        <is>
          <t>GLOBAL_CHECK</t>
        </is>
      </c>
      <c r="F366" s="24" t="inlineStr">
        <is>
          <t>GLOBAL_CHECK</t>
        </is>
      </c>
      <c r="G366" s="26" t="inlineStr">
        <is>
          <t>NEWBORN_LOSS_KILL</t>
        </is>
      </c>
      <c r="H366" s="24" t="inlineStr">
        <is>
          <t>SPECIFIC — only gated switches</t>
        </is>
      </c>
      <c r="I366" s="24" t="inlineStr">
        <is>
          <t>LIVE — wired</t>
        </is>
      </c>
      <c r="J366" s="24" t="n"/>
      <c r="K366" s="21" t="inlineStr">
        <is>
          <t>1/4</t>
        </is>
      </c>
      <c r="L366" s="21" t="inlineStr">
        <is>
          <t>OFF, 15m, 1h, 4h, D (5 options)</t>
        </is>
      </c>
      <c r="M366" s="21" t="inlineStr">
        <is>
          <t>15m</t>
        </is>
      </c>
      <c r="N366" s="21" t="inlineStr">
        <is>
          <t>TF selector</t>
        </is>
      </c>
      <c r="O366" s="21" t="inlineStr">
        <is>
          <t>NEWBORN_LOSS_KILL_FILTER_TF</t>
        </is>
      </c>
      <c r="P366" s="21" t="inlineStr">
        <is>
          <t>getattr(cfg,"NEWBORN_LOSS_KILL_FILTER_TF")</t>
        </is>
      </c>
      <c r="Q366" t="inlineStr">
        <is>
          <t>NO</t>
        </is>
      </c>
    </row>
    <row r="367">
      <c r="A367" s="24" t="n">
        <v>103</v>
      </c>
      <c r="B367" s="25" t="inlineStr">
        <is>
          <t>NEWBORN_LOSS_KILL_FILTER_TF</t>
        </is>
      </c>
      <c r="C367" s="23" t="inlineStr">
        <is>
          <t>D</t>
        </is>
      </c>
      <c r="D367" s="26" t="inlineStr">
        <is>
          <t>Kills newborn losers when velocity confirms against on FILTER_TF. | Live read: `ASS_ENABLED', 'HTF_TREND_VETO_BYPASS_REASONS', 'HTF_W_M_ALIGN_GATE', 'LEADERBOAR`</t>
        </is>
      </c>
      <c r="E367" s="26" t="inlineStr">
        <is>
          <t>GLOBAL_CHECK</t>
        </is>
      </c>
      <c r="F367" s="24" t="inlineStr">
        <is>
          <t>GLOBAL_CHECK</t>
        </is>
      </c>
      <c r="G367" s="26" t="inlineStr">
        <is>
          <t>NEWBORN_LOSS_KILL</t>
        </is>
      </c>
      <c r="H367" s="24" t="inlineStr">
        <is>
          <t>SPECIFIC — only gated switches</t>
        </is>
      </c>
      <c r="I367" s="24" t="inlineStr">
        <is>
          <t>LIVE — wired</t>
        </is>
      </c>
      <c r="J367" s="24" t="n"/>
      <c r="K367" s="21" t="inlineStr">
        <is>
          <t>1/4</t>
        </is>
      </c>
      <c r="L367" s="21" t="inlineStr">
        <is>
          <t>OFF, 15m, 1h, 4h, D (5 options)</t>
        </is>
      </c>
      <c r="M367" s="21" t="inlineStr">
        <is>
          <t>15m</t>
        </is>
      </c>
      <c r="N367" s="21" t="inlineStr">
        <is>
          <t>TF selector</t>
        </is>
      </c>
      <c r="O367" s="21" t="inlineStr">
        <is>
          <t>NEWBORN_LOSS_KILL_FILTER_TF</t>
        </is>
      </c>
      <c r="P367" s="21" t="inlineStr">
        <is>
          <t>getattr(cfg,"NEWBORN_LOSS_KILL_FILTER_TF")</t>
        </is>
      </c>
      <c r="Q367" t="inlineStr">
        <is>
          <t>NO</t>
        </is>
      </c>
    </row>
    <row r="368">
      <c r="A368" s="24" t="n">
        <v>103</v>
      </c>
      <c r="B368" s="25" t="inlineStr">
        <is>
          <t>NEWBORN_LOSS_KILL_FILTER_TF</t>
        </is>
      </c>
      <c r="C368" s="23" t="inlineStr">
        <is>
          <t>4h</t>
        </is>
      </c>
      <c r="D368" s="26" t="inlineStr">
        <is>
          <t>Kills newborn losers when velocity confirms against on FILTER_TF. | Live read: `ASS_ENABLED', 'HTF_TREND_VETO_BYPASS_REASONS', 'HTF_W_M_ALIGN_GATE', 'LEADERBOAR`</t>
        </is>
      </c>
      <c r="E368" s="26" t="inlineStr">
        <is>
          <t>GLOBAL_CHECK</t>
        </is>
      </c>
      <c r="F368" s="24" t="inlineStr">
        <is>
          <t>GLOBAL_CHECK</t>
        </is>
      </c>
      <c r="G368" s="26" t="inlineStr">
        <is>
          <t>NEWBORN_LOSS_KILL</t>
        </is>
      </c>
      <c r="H368" s="24" t="inlineStr">
        <is>
          <t>SPECIFIC — only gated switches</t>
        </is>
      </c>
      <c r="I368" s="24" t="inlineStr">
        <is>
          <t>LIVE — wired</t>
        </is>
      </c>
      <c r="J368" s="24" t="n"/>
      <c r="K368" s="21" t="inlineStr">
        <is>
          <t>1/4</t>
        </is>
      </c>
      <c r="L368" s="21" t="inlineStr">
        <is>
          <t>OFF, 15m, 1h, 4h, D (5 options)</t>
        </is>
      </c>
      <c r="M368" s="21" t="inlineStr">
        <is>
          <t>15m</t>
        </is>
      </c>
      <c r="N368" s="21" t="inlineStr">
        <is>
          <t>TF selector</t>
        </is>
      </c>
      <c r="O368" s="21" t="inlineStr">
        <is>
          <t>NEWBORN_LOSS_KILL_FILTER_TF</t>
        </is>
      </c>
      <c r="P368" s="21" t="inlineStr">
        <is>
          <t>getattr(cfg,"NEWBORN_LOSS_KILL_FILTER_TF")</t>
        </is>
      </c>
      <c r="Q368" t="inlineStr">
        <is>
          <t>NO</t>
        </is>
      </c>
    </row>
    <row r="369">
      <c r="A369" s="24" t="n">
        <v>103</v>
      </c>
      <c r="B369" s="25" t="inlineStr">
        <is>
          <t>NEWBORN_LOSS_KILL_FILTER_TF</t>
        </is>
      </c>
      <c r="C369" s="23" t="inlineStr">
        <is>
          <t>1h</t>
        </is>
      </c>
      <c r="D369" s="26" t="inlineStr">
        <is>
          <t>Kills newborn losers when velocity confirms against on FILTER_TF. | Live read: `ASS_ENABLED', 'HTF_TREND_VETO_BYPASS_REASONS', 'HTF_W_M_ALIGN_GATE', 'LEADERBOAR`</t>
        </is>
      </c>
      <c r="E369" s="26" t="inlineStr">
        <is>
          <t>GLOBAL_CHECK</t>
        </is>
      </c>
      <c r="F369" s="24" t="inlineStr">
        <is>
          <t>GLOBAL_CHECK</t>
        </is>
      </c>
      <c r="G369" s="26" t="inlineStr">
        <is>
          <t>NEWBORN_LOSS_KILL</t>
        </is>
      </c>
      <c r="H369" s="24" t="inlineStr">
        <is>
          <t>SPECIFIC — only gated switches</t>
        </is>
      </c>
      <c r="I369" s="24" t="inlineStr">
        <is>
          <t>LIVE — wired</t>
        </is>
      </c>
      <c r="J369" s="24" t="n"/>
      <c r="K369" s="21" t="inlineStr">
        <is>
          <t>1/4</t>
        </is>
      </c>
      <c r="L369" s="21" t="inlineStr">
        <is>
          <t>OFF, 15m, 1h, 4h, D (5 options)</t>
        </is>
      </c>
      <c r="M369" s="21" t="inlineStr">
        <is>
          <t>15m</t>
        </is>
      </c>
      <c r="N369" s="21" t="inlineStr">
        <is>
          <t>TF selector</t>
        </is>
      </c>
      <c r="O369" s="21" t="inlineStr">
        <is>
          <t>NEWBORN_LOSS_KILL_FILTER_TF</t>
        </is>
      </c>
      <c r="P369" s="21" t="inlineStr">
        <is>
          <t>getattr(cfg,"NEWBORN_LOSS_KILL_FILTER_TF")</t>
        </is>
      </c>
      <c r="Q369" t="inlineStr">
        <is>
          <t>NO</t>
        </is>
      </c>
    </row>
    <row r="370">
      <c r="A370" s="24" t="n">
        <v>103</v>
      </c>
      <c r="B370" s="27" t="inlineStr">
        <is>
          <t>NEWBORN_LOSS_KILL_FILTER_TF</t>
        </is>
      </c>
      <c r="C370" s="19" t="inlineStr">
        <is>
          <t>15m</t>
        </is>
      </c>
      <c r="D370" s="26" t="inlineStr">
        <is>
          <t>Kills newborn losers when velocity confirms against on FILTER_TF. | Live read: `ASS_ENABLED', 'HTF_TREND_VETO_BYPASS_REASONS', 'HTF_W_M_ALIGN_GATE', 'LEADERBOAR`</t>
        </is>
      </c>
      <c r="E370" s="26" t="inlineStr">
        <is>
          <t>GLOBAL_CHECK</t>
        </is>
      </c>
      <c r="F370" s="24" t="inlineStr">
        <is>
          <t>GLOBAL_CHECK</t>
        </is>
      </c>
      <c r="G370" s="26" t="inlineStr">
        <is>
          <t>NEWBORN_LOSS_KILL</t>
        </is>
      </c>
      <c r="H370" s="24" t="inlineStr">
        <is>
          <t>SPECIFIC — only gated switches</t>
        </is>
      </c>
      <c r="I370" s="24" t="inlineStr">
        <is>
          <t>LIVE — wired</t>
        </is>
      </c>
      <c r="J370" s="24" t="n"/>
      <c r="K370" s="21" t="inlineStr">
        <is>
          <t>1/4</t>
        </is>
      </c>
      <c r="L370" s="21" t="inlineStr">
        <is>
          <t>OFF, 15m, 1h, 4h, D (5 options)</t>
        </is>
      </c>
      <c r="M370" s="21" t="inlineStr">
        <is>
          <t>15m</t>
        </is>
      </c>
      <c r="N370" s="21" t="inlineStr">
        <is>
          <t>TF selector</t>
        </is>
      </c>
      <c r="O370" s="21" t="inlineStr">
        <is>
          <t>NEWBORN_LOSS_KILL_FILTER_TF</t>
        </is>
      </c>
      <c r="P370" s="21" t="inlineStr">
        <is>
          <t>getattr(cfg,"NEWBORN_LOSS_KILL_FILTER_TF")</t>
        </is>
      </c>
      <c r="Q370" t="inlineStr">
        <is>
          <t>YES</t>
        </is>
      </c>
    </row>
    <row r="371">
      <c r="A371" s="17" t="n">
        <v>104</v>
      </c>
      <c r="B371" s="18" t="inlineStr">
        <is>
          <t>NEWBORN_LOSS_KILL_GAIN_THRESHOLD_PCT</t>
        </is>
      </c>
      <c r="C371" s="19" t="inlineStr">
        <is>
          <t>0</t>
        </is>
      </c>
      <c r="D371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1" s="20" t="inlineStr">
        <is>
          <t>AUGMENT, EXIT, GLOBAL_CHECK, REDUCE, STOCKS_EXIT</t>
        </is>
      </c>
      <c r="F371" s="17" t="inlineStr">
        <is>
          <t>AUGMENT, EXIT, GLOBAL_CHECK, REDUCE, STOCKS_EXIT</t>
        </is>
      </c>
      <c r="G371" s="20" t="inlineStr">
        <is>
          <t>NEWBORN_LOSS_KILL_GAIN_THRESHOLD</t>
        </is>
      </c>
      <c r="H371" s="17" t="inlineStr">
        <is>
          <t>GENERAL</t>
        </is>
      </c>
      <c r="I371" s="17" t="inlineStr">
        <is>
          <t>LIVE — wired</t>
        </is>
      </c>
      <c r="J371" s="17" t="n"/>
      <c r="K371" s="21" t="inlineStr">
        <is>
          <t>—</t>
        </is>
      </c>
      <c r="L371" s="21" t="inlineStr">
        <is>
          <t>0.0, ±25%, ±50% (4)</t>
        </is>
      </c>
      <c r="M371" s="21" t="inlineStr">
        <is>
          <t>0.0</t>
        </is>
      </c>
      <c r="N371" s="21" t="inlineStr">
        <is>
          <t>threshold</t>
        </is>
      </c>
      <c r="O371" s="21" t="inlineStr">
        <is>
          <t>NEWBORN_LOSS_KILL_GAIN_THRESHOLD_PCT</t>
        </is>
      </c>
      <c r="P371" s="21" t="inlineStr">
        <is>
          <t>getattr(cfg,"NEWBORN_LOSS_KILL_GAIN_THRESHOLD_PCT")</t>
        </is>
      </c>
      <c r="Q371" t="inlineStr">
        <is>
          <t>YES</t>
        </is>
      </c>
    </row>
    <row r="372">
      <c r="A372" s="17" t="n">
        <v>104</v>
      </c>
      <c r="B372" s="22" t="inlineStr">
        <is>
          <t>NEWBORN_LOSS_KILL_GAIN_THRESHOLD_PCT</t>
        </is>
      </c>
      <c r="C372" s="23" t="inlineStr">
        <is>
          <t>2.0</t>
        </is>
      </c>
      <c r="D372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2" s="20" t="inlineStr">
        <is>
          <t>AUGMENT, EXIT, GLOBAL_CHECK, REDUCE, STOCKS_EXIT</t>
        </is>
      </c>
      <c r="F372" s="17" t="inlineStr">
        <is>
          <t>AUGMENT, EXIT, GLOBAL_CHECK, REDUCE, STOCKS_EXIT</t>
        </is>
      </c>
      <c r="G372" s="20" t="inlineStr">
        <is>
          <t>NEWBORN_LOSS_KILL_GAIN_THRESHOLD</t>
        </is>
      </c>
      <c r="H372" s="17" t="inlineStr">
        <is>
          <t>GENERAL</t>
        </is>
      </c>
      <c r="I372" s="17" t="inlineStr">
        <is>
          <t>LIVE — wired</t>
        </is>
      </c>
      <c r="J372" s="17" t="n"/>
      <c r="K372" s="21" t="inlineStr">
        <is>
          <t>—</t>
        </is>
      </c>
      <c r="L372" s="21" t="inlineStr">
        <is>
          <t>0.0, ±25%, ±50% (4)</t>
        </is>
      </c>
      <c r="M372" s="21" t="inlineStr">
        <is>
          <t>0.0</t>
        </is>
      </c>
      <c r="N372" s="21" t="inlineStr">
        <is>
          <t>threshold</t>
        </is>
      </c>
      <c r="O372" s="21" t="inlineStr">
        <is>
          <t>NEWBORN_LOSS_KILL_GAIN_THRESHOLD_PCT</t>
        </is>
      </c>
      <c r="P372" s="21" t="inlineStr">
        <is>
          <t>getattr(cfg,"NEWBORN_LOSS_KILL_GAIN_THRESHOLD_PCT")</t>
        </is>
      </c>
      <c r="Q372" t="inlineStr">
        <is>
          <t>NO</t>
        </is>
      </c>
    </row>
    <row r="373">
      <c r="A373" s="17" t="n">
        <v>104</v>
      </c>
      <c r="B373" s="22" t="inlineStr">
        <is>
          <t>NEWBORN_LOSS_KILL_GAIN_THRESHOLD_PCT</t>
        </is>
      </c>
      <c r="C373" s="23" t="inlineStr">
        <is>
          <t>1.0</t>
        </is>
      </c>
      <c r="D373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3" s="20" t="inlineStr">
        <is>
          <t>AUGMENT, EXIT, GLOBAL_CHECK, REDUCE, STOCKS_EXIT</t>
        </is>
      </c>
      <c r="F373" s="17" t="inlineStr">
        <is>
          <t>AUGMENT, EXIT, GLOBAL_CHECK, REDUCE, STOCKS_EXIT</t>
        </is>
      </c>
      <c r="G373" s="20" t="inlineStr">
        <is>
          <t>NEWBORN_LOSS_KILL_GAIN_THRESHOLD</t>
        </is>
      </c>
      <c r="H373" s="17" t="inlineStr">
        <is>
          <t>GENERAL</t>
        </is>
      </c>
      <c r="I373" s="17" t="inlineStr">
        <is>
          <t>LIVE — wired</t>
        </is>
      </c>
      <c r="J373" s="17" t="n"/>
      <c r="K373" s="21" t="inlineStr">
        <is>
          <t>—</t>
        </is>
      </c>
      <c r="L373" s="21" t="inlineStr">
        <is>
          <t>0.0, ±25%, ±50% (4)</t>
        </is>
      </c>
      <c r="M373" s="21" t="inlineStr">
        <is>
          <t>0.0</t>
        </is>
      </c>
      <c r="N373" s="21" t="inlineStr">
        <is>
          <t>threshold</t>
        </is>
      </c>
      <c r="O373" s="21" t="inlineStr">
        <is>
          <t>NEWBORN_LOSS_KILL_GAIN_THRESHOLD_PCT</t>
        </is>
      </c>
      <c r="P373" s="21" t="inlineStr">
        <is>
          <t>getattr(cfg,"NEWBORN_LOSS_KILL_GAIN_THRESHOLD_PCT")</t>
        </is>
      </c>
      <c r="Q373" t="inlineStr">
        <is>
          <t>NO</t>
        </is>
      </c>
    </row>
    <row r="374">
      <c r="A374" s="17" t="n">
        <v>104</v>
      </c>
      <c r="B374" s="22" t="inlineStr">
        <is>
          <t>NEWBORN_LOSS_KILL_GAIN_THRESHOLD_PCT</t>
        </is>
      </c>
      <c r="C374" s="23" t="inlineStr">
        <is>
          <t>0.5</t>
        </is>
      </c>
      <c r="D374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4" s="20" t="inlineStr">
        <is>
          <t>AUGMENT, EXIT, GLOBAL_CHECK, REDUCE, STOCKS_EXIT</t>
        </is>
      </c>
      <c r="F374" s="17" t="inlineStr">
        <is>
          <t>AUGMENT, EXIT, GLOBAL_CHECK, REDUCE, STOCKS_EXIT</t>
        </is>
      </c>
      <c r="G374" s="20" t="inlineStr">
        <is>
          <t>NEWBORN_LOSS_KILL_GAIN_THRESHOLD</t>
        </is>
      </c>
      <c r="H374" s="17" t="inlineStr">
        <is>
          <t>GENERAL</t>
        </is>
      </c>
      <c r="I374" s="17" t="inlineStr">
        <is>
          <t>LIVE — wired</t>
        </is>
      </c>
      <c r="J374" s="17" t="n"/>
      <c r="K374" s="21" t="inlineStr">
        <is>
          <t>—</t>
        </is>
      </c>
      <c r="L374" s="21" t="inlineStr">
        <is>
          <t>0.0, ±25%, ±50% (4)</t>
        </is>
      </c>
      <c r="M374" s="21" t="inlineStr">
        <is>
          <t>0.0</t>
        </is>
      </c>
      <c r="N374" s="21" t="inlineStr">
        <is>
          <t>threshold</t>
        </is>
      </c>
      <c r="O374" s="21" t="inlineStr">
        <is>
          <t>NEWBORN_LOSS_KILL_GAIN_THRESHOLD_PCT</t>
        </is>
      </c>
      <c r="P374" s="21" t="inlineStr">
        <is>
          <t>getattr(cfg,"NEWBORN_LOSS_KILL_GAIN_THRESHOLD_PCT")</t>
        </is>
      </c>
      <c r="Q374" t="inlineStr">
        <is>
          <t>NO</t>
        </is>
      </c>
    </row>
    <row r="375">
      <c r="A375" s="17" t="n">
        <v>105</v>
      </c>
      <c r="B375" s="18" t="inlineStr">
        <is>
          <t>NEWBORN_LOSS_KILL_REQUIRE_VEL_AGAINST</t>
        </is>
      </c>
      <c r="C375" s="19" t="inlineStr">
        <is>
          <t>0.0</t>
        </is>
      </c>
      <c r="D375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5" s="20" t="inlineStr">
        <is>
          <t>AUGMENT, EXIT, GLOBAL_CHECK, REDUCE, STOCKS_EXIT</t>
        </is>
      </c>
      <c r="F375" s="17" t="inlineStr">
        <is>
          <t>AUGMENT, EXIT, GLOBAL_CHECK, REDUCE, STOCKS_EXIT</t>
        </is>
      </c>
      <c r="G375" s="20" t="inlineStr">
        <is>
          <t>NEWBORN_LOSS_KILL_REQUIRE_VEL_AG</t>
        </is>
      </c>
      <c r="H375" s="17" t="inlineStr">
        <is>
          <t>GENERAL</t>
        </is>
      </c>
      <c r="I375" s="17" t="inlineStr">
        <is>
          <t>LIVE — wired</t>
        </is>
      </c>
      <c r="J375" s="17" t="n"/>
      <c r="K375" s="21" t="inlineStr">
        <is>
          <t>—</t>
        </is>
      </c>
      <c r="L375" s="21" t="inlineStr">
        <is>
          <t>0.0, alt</t>
        </is>
      </c>
      <c r="M375" s="21" t="inlineStr">
        <is>
          <t>0.0</t>
        </is>
      </c>
      <c r="N375" s="21" t="inlineStr">
        <is>
          <t>param</t>
        </is>
      </c>
      <c r="O375" s="21" t="inlineStr">
        <is>
          <t>NEWBORN_LOSS_KILL_REQUIRE_VEL_AGAINST</t>
        </is>
      </c>
      <c r="P375" s="21" t="inlineStr">
        <is>
          <t>getattr(cfg,"NEWBORN_LOSS_KILL_REQUIRE_VEL_AGAINST")</t>
        </is>
      </c>
      <c r="Q375" t="inlineStr">
        <is>
          <t>YES</t>
        </is>
      </c>
    </row>
    <row r="376">
      <c r="A376" s="17" t="n">
        <v>105</v>
      </c>
      <c r="B376" s="22" t="inlineStr">
        <is>
          <t>NEWBORN_LOSS_KILL_REQUIRE_VEL_AGAINST</t>
        </is>
      </c>
      <c r="C376" s="23" t="inlineStr">
        <is>
          <t>0.0_ALT</t>
        </is>
      </c>
      <c r="D376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6" s="20" t="inlineStr">
        <is>
          <t>AUGMENT, EXIT, GLOBAL_CHECK, REDUCE, STOCKS_EXIT</t>
        </is>
      </c>
      <c r="F376" s="17" t="inlineStr">
        <is>
          <t>AUGMENT, EXIT, GLOBAL_CHECK, REDUCE, STOCKS_EXIT</t>
        </is>
      </c>
      <c r="G376" s="20" t="inlineStr">
        <is>
          <t>NEWBORN_LOSS_KILL_REQUIRE_VEL_AG</t>
        </is>
      </c>
      <c r="H376" s="17" t="inlineStr">
        <is>
          <t>GENERAL</t>
        </is>
      </c>
      <c r="I376" s="17" t="inlineStr">
        <is>
          <t>LIVE — wired</t>
        </is>
      </c>
      <c r="J376" s="17" t="n"/>
      <c r="K376" s="21" t="inlineStr">
        <is>
          <t>—</t>
        </is>
      </c>
      <c r="L376" s="21" t="inlineStr">
        <is>
          <t>0.0, alt</t>
        </is>
      </c>
      <c r="M376" s="21" t="inlineStr">
        <is>
          <t>0.0</t>
        </is>
      </c>
      <c r="N376" s="21" t="inlineStr">
        <is>
          <t>param</t>
        </is>
      </c>
      <c r="O376" s="21" t="inlineStr">
        <is>
          <t>NEWBORN_LOSS_KILL_REQUIRE_VEL_AGAINST</t>
        </is>
      </c>
      <c r="P376" s="21" t="inlineStr">
        <is>
          <t>getattr(cfg,"NEWBORN_LOSS_KILL_REQUIRE_VEL_AGAINST")</t>
        </is>
      </c>
      <c r="Q376" t="inlineStr">
        <is>
          <t>NO</t>
        </is>
      </c>
    </row>
    <row r="377">
      <c r="A377" s="24" t="n">
        <v>106</v>
      </c>
      <c r="B377" s="25" t="inlineStr">
        <is>
          <t>NEWBORN_PROTECT_FILTER_TF</t>
        </is>
      </c>
      <c r="C377" s="23" t="inlineStr">
        <is>
          <t>OFF</t>
        </is>
      </c>
      <c r="D377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7" s="26" t="inlineStr">
        <is>
          <t>GLOBAL_CHECK</t>
        </is>
      </c>
      <c r="F377" s="24" t="inlineStr">
        <is>
          <t>GLOBAL_CHECK</t>
        </is>
      </c>
      <c r="G377" s="26" t="inlineStr">
        <is>
          <t>NEWBORN_PROTECT</t>
        </is>
      </c>
      <c r="H377" s="24" t="inlineStr">
        <is>
          <t>SPECIFIC — only gated switches</t>
        </is>
      </c>
      <c r="I377" s="24" t="inlineStr">
        <is>
          <t>LIVE — wired</t>
        </is>
      </c>
      <c r="J377" s="24" t="n"/>
      <c r="K377" s="21" t="inlineStr">
        <is>
          <t>1/4</t>
        </is>
      </c>
      <c r="L377" s="21" t="inlineStr">
        <is>
          <t>OFF, 15m, 1h, 4h, D (5 options)</t>
        </is>
      </c>
      <c r="M377" s="21" t="inlineStr">
        <is>
          <t>15m</t>
        </is>
      </c>
      <c r="N377" s="21" t="inlineStr">
        <is>
          <t>TF selector</t>
        </is>
      </c>
      <c r="O377" s="21" t="inlineStr">
        <is>
          <t>NEWBORN_PROTECT_FILTER_TF</t>
        </is>
      </c>
      <c r="P377" s="21" t="inlineStr">
        <is>
          <t>getattr(cfg,"NEWBORN_PROTECT_FILTER_TF")</t>
        </is>
      </c>
      <c r="Q377" t="inlineStr">
        <is>
          <t>NO</t>
        </is>
      </c>
    </row>
    <row r="378">
      <c r="A378" s="24" t="n">
        <v>106</v>
      </c>
      <c r="B378" s="25" t="inlineStr">
        <is>
          <t>NEWBORN_PROTECT_FILTER_TF</t>
        </is>
      </c>
      <c r="C378" s="23" t="inlineStr">
        <is>
          <t>D</t>
        </is>
      </c>
      <c r="D378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8" s="26" t="inlineStr">
        <is>
          <t>GLOBAL_CHECK</t>
        </is>
      </c>
      <c r="F378" s="24" t="inlineStr">
        <is>
          <t>GLOBAL_CHECK</t>
        </is>
      </c>
      <c r="G378" s="26" t="inlineStr">
        <is>
          <t>NEWBORN_PROTECT</t>
        </is>
      </c>
      <c r="H378" s="24" t="inlineStr">
        <is>
          <t>SPECIFIC — only gated switches</t>
        </is>
      </c>
      <c r="I378" s="24" t="inlineStr">
        <is>
          <t>LIVE — wired</t>
        </is>
      </c>
      <c r="J378" s="24" t="n"/>
      <c r="K378" s="21" t="inlineStr">
        <is>
          <t>1/4</t>
        </is>
      </c>
      <c r="L378" s="21" t="inlineStr">
        <is>
          <t>OFF, 15m, 1h, 4h, D (5 options)</t>
        </is>
      </c>
      <c r="M378" s="21" t="inlineStr">
        <is>
          <t>15m</t>
        </is>
      </c>
      <c r="N378" s="21" t="inlineStr">
        <is>
          <t>TF selector</t>
        </is>
      </c>
      <c r="O378" s="21" t="inlineStr">
        <is>
          <t>NEWBORN_PROTECT_FILTER_TF</t>
        </is>
      </c>
      <c r="P378" s="21" t="inlineStr">
        <is>
          <t>getattr(cfg,"NEWBORN_PROTECT_FILTER_TF")</t>
        </is>
      </c>
      <c r="Q378" t="inlineStr">
        <is>
          <t>NO</t>
        </is>
      </c>
    </row>
    <row r="379">
      <c r="A379" s="24" t="n">
        <v>106</v>
      </c>
      <c r="B379" s="25" t="inlineStr">
        <is>
          <t>NEWBORN_PROTECT_FILTER_TF</t>
        </is>
      </c>
      <c r="C379" s="23" t="inlineStr">
        <is>
          <t>4h</t>
        </is>
      </c>
      <c r="D379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9" s="26" t="inlineStr">
        <is>
          <t>GLOBAL_CHECK</t>
        </is>
      </c>
      <c r="F379" s="24" t="inlineStr">
        <is>
          <t>GLOBAL_CHECK</t>
        </is>
      </c>
      <c r="G379" s="26" t="inlineStr">
        <is>
          <t>NEWBORN_PROTECT</t>
        </is>
      </c>
      <c r="H379" s="24" t="inlineStr">
        <is>
          <t>SPECIFIC — only gated switches</t>
        </is>
      </c>
      <c r="I379" s="24" t="inlineStr">
        <is>
          <t>LIVE — wired</t>
        </is>
      </c>
      <c r="J379" s="24" t="n"/>
      <c r="K379" s="21" t="inlineStr">
        <is>
          <t>1/4</t>
        </is>
      </c>
      <c r="L379" s="21" t="inlineStr">
        <is>
          <t>OFF, 15m, 1h, 4h, D (5 options)</t>
        </is>
      </c>
      <c r="M379" s="21" t="inlineStr">
        <is>
          <t>15m</t>
        </is>
      </c>
      <c r="N379" s="21" t="inlineStr">
        <is>
          <t>TF selector</t>
        </is>
      </c>
      <c r="O379" s="21" t="inlineStr">
        <is>
          <t>NEWBORN_PROTECT_FILTER_TF</t>
        </is>
      </c>
      <c r="P379" s="21" t="inlineStr">
        <is>
          <t>getattr(cfg,"NEWBORN_PROTECT_FILTER_TF")</t>
        </is>
      </c>
      <c r="Q379" t="inlineStr">
        <is>
          <t>NO</t>
        </is>
      </c>
    </row>
    <row r="380">
      <c r="A380" s="24" t="n">
        <v>106</v>
      </c>
      <c r="B380" s="25" t="inlineStr">
        <is>
          <t>NEWBORN_PROTECT_FILTER_TF</t>
        </is>
      </c>
      <c r="C380" s="23" t="inlineStr">
        <is>
          <t>1h</t>
        </is>
      </c>
      <c r="D380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0" s="26" t="inlineStr">
        <is>
          <t>GLOBAL_CHECK</t>
        </is>
      </c>
      <c r="F380" s="24" t="inlineStr">
        <is>
          <t>GLOBAL_CHECK</t>
        </is>
      </c>
      <c r="G380" s="26" t="inlineStr">
        <is>
          <t>NEWBORN_PROTECT</t>
        </is>
      </c>
      <c r="H380" s="24" t="inlineStr">
        <is>
          <t>SPECIFIC — only gated switches</t>
        </is>
      </c>
      <c r="I380" s="24" t="inlineStr">
        <is>
          <t>LIVE — wired</t>
        </is>
      </c>
      <c r="J380" s="24" t="n"/>
      <c r="K380" s="21" t="inlineStr">
        <is>
          <t>1/4</t>
        </is>
      </c>
      <c r="L380" s="21" t="inlineStr">
        <is>
          <t>OFF, 15m, 1h, 4h, D (5 options)</t>
        </is>
      </c>
      <c r="M380" s="21" t="inlineStr">
        <is>
          <t>15m</t>
        </is>
      </c>
      <c r="N380" s="21" t="inlineStr">
        <is>
          <t>TF selector</t>
        </is>
      </c>
      <c r="O380" s="21" t="inlineStr">
        <is>
          <t>NEWBORN_PROTECT_FILTER_TF</t>
        </is>
      </c>
      <c r="P380" s="21" t="inlineStr">
        <is>
          <t>getattr(cfg,"NEWBORN_PROTECT_FILTER_TF")</t>
        </is>
      </c>
      <c r="Q380" t="inlineStr">
        <is>
          <t>NO</t>
        </is>
      </c>
    </row>
    <row r="381">
      <c r="A381" s="24" t="n">
        <v>106</v>
      </c>
      <c r="B381" s="27" t="inlineStr">
        <is>
          <t>NEWBORN_PROTECT_FILTER_TF</t>
        </is>
      </c>
      <c r="C381" s="19" t="inlineStr">
        <is>
          <t>15m</t>
        </is>
      </c>
      <c r="D381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1" s="26" t="inlineStr">
        <is>
          <t>GLOBAL_CHECK</t>
        </is>
      </c>
      <c r="F381" s="24" t="inlineStr">
        <is>
          <t>GLOBAL_CHECK</t>
        </is>
      </c>
      <c r="G381" s="26" t="inlineStr">
        <is>
          <t>NEWBORN_PROTECT</t>
        </is>
      </c>
      <c r="H381" s="24" t="inlineStr">
        <is>
          <t>SPECIFIC — only gated switches</t>
        </is>
      </c>
      <c r="I381" s="24" t="inlineStr">
        <is>
          <t>LIVE — wired</t>
        </is>
      </c>
      <c r="J381" s="24" t="n"/>
      <c r="K381" s="21" t="inlineStr">
        <is>
          <t>1/4</t>
        </is>
      </c>
      <c r="L381" s="21" t="inlineStr">
        <is>
          <t>OFF, 15m, 1h, 4h, D (5 options)</t>
        </is>
      </c>
      <c r="M381" s="21" t="inlineStr">
        <is>
          <t>15m</t>
        </is>
      </c>
      <c r="N381" s="21" t="inlineStr">
        <is>
          <t>TF selector</t>
        </is>
      </c>
      <c r="O381" s="21" t="inlineStr">
        <is>
          <t>NEWBORN_PROTECT_FILTER_TF</t>
        </is>
      </c>
      <c r="P381" s="21" t="inlineStr">
        <is>
          <t>getattr(cfg,"NEWBORN_PROTECT_FILTER_TF")</t>
        </is>
      </c>
      <c r="Q381" t="inlineStr">
        <is>
          <t>YES</t>
        </is>
      </c>
    </row>
    <row r="382">
      <c r="A382" s="17" t="n">
        <v>107</v>
      </c>
      <c r="B382" s="18" t="inlineStr">
        <is>
          <t>NEW_POSITION_MAX_LOSS_THRESHOLD</t>
        </is>
      </c>
      <c r="C382" s="19" t="inlineStr">
        <is>
          <t>0</t>
        </is>
      </c>
      <c r="D382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2" s="20" t="inlineStr">
        <is>
          <t>AUGMENT, EXIT, GLOBAL_CHECK, REDUCE, STOCKS_EXIT</t>
        </is>
      </c>
      <c r="F382" s="17" t="inlineStr">
        <is>
          <t>AUGMENT, EXIT, GLOBAL_CHECK, REDUCE, STOCKS_EXIT</t>
        </is>
      </c>
      <c r="G382" s="20" t="inlineStr">
        <is>
          <t>NEW_POSITION_MAX_LOSS_THRESHOLD</t>
        </is>
      </c>
      <c r="H382" s="17" t="inlineStr">
        <is>
          <t>GENERAL</t>
        </is>
      </c>
      <c r="I382" s="17" t="inlineStr">
        <is>
          <t>LIVE — wired</t>
        </is>
      </c>
      <c r="J382" s="17" t="n"/>
      <c r="K382" s="21" t="inlineStr">
        <is>
          <t>—</t>
        </is>
      </c>
      <c r="L382" s="21" t="inlineStr">
        <is>
          <t>0.0, ±25%, ±50% (4)</t>
        </is>
      </c>
      <c r="M382" s="21" t="inlineStr">
        <is>
          <t>0.0</t>
        </is>
      </c>
      <c r="N382" s="21" t="inlineStr">
        <is>
          <t>threshold</t>
        </is>
      </c>
      <c r="O382" s="21" t="inlineStr">
        <is>
          <t>NEW_POSITION_MAX_LOSS_THRESHOLD</t>
        </is>
      </c>
      <c r="P382" s="21" t="inlineStr">
        <is>
          <t>getattr(cfg,"NEW_POSITION_MAX_LOSS_THRESHOLD")</t>
        </is>
      </c>
      <c r="Q382" t="inlineStr">
        <is>
          <t>YES</t>
        </is>
      </c>
    </row>
    <row r="383">
      <c r="A383" s="17" t="n">
        <v>107</v>
      </c>
      <c r="B383" s="22" t="inlineStr">
        <is>
          <t>NEW_POSITION_MAX_LOSS_THRESHOLD</t>
        </is>
      </c>
      <c r="C383" s="23" t="inlineStr">
        <is>
          <t>2.0</t>
        </is>
      </c>
      <c r="D383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3" s="20" t="inlineStr">
        <is>
          <t>AUGMENT, EXIT, GLOBAL_CHECK, REDUCE, STOCKS_EXIT</t>
        </is>
      </c>
      <c r="F383" s="17" t="inlineStr">
        <is>
          <t>AUGMENT, EXIT, GLOBAL_CHECK, REDUCE, STOCKS_EXIT</t>
        </is>
      </c>
      <c r="G383" s="20" t="inlineStr">
        <is>
          <t>NEW_POSITION_MAX_LOSS_THRESHOLD</t>
        </is>
      </c>
      <c r="H383" s="17" t="inlineStr">
        <is>
          <t>GENERAL</t>
        </is>
      </c>
      <c r="I383" s="17" t="inlineStr">
        <is>
          <t>LIVE — wired</t>
        </is>
      </c>
      <c r="J383" s="17" t="n"/>
      <c r="K383" s="21" t="inlineStr">
        <is>
          <t>—</t>
        </is>
      </c>
      <c r="L383" s="21" t="inlineStr">
        <is>
          <t>0.0, ±25%, ±50% (4)</t>
        </is>
      </c>
      <c r="M383" s="21" t="inlineStr">
        <is>
          <t>0.0</t>
        </is>
      </c>
      <c r="N383" s="21" t="inlineStr">
        <is>
          <t>threshold</t>
        </is>
      </c>
      <c r="O383" s="21" t="inlineStr">
        <is>
          <t>NEW_POSITION_MAX_LOSS_THRESHOLD</t>
        </is>
      </c>
      <c r="P383" s="21" t="inlineStr">
        <is>
          <t>getattr(cfg,"NEW_POSITION_MAX_LOSS_THRESHOLD")</t>
        </is>
      </c>
      <c r="Q383" t="inlineStr">
        <is>
          <t>NO</t>
        </is>
      </c>
    </row>
    <row r="384">
      <c r="A384" s="17" t="n">
        <v>107</v>
      </c>
      <c r="B384" s="22" t="inlineStr">
        <is>
          <t>NEW_POSITION_MAX_LOSS_THRESHOLD</t>
        </is>
      </c>
      <c r="C384" s="23" t="inlineStr">
        <is>
          <t>1.0</t>
        </is>
      </c>
      <c r="D384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4" s="20" t="inlineStr">
        <is>
          <t>AUGMENT, EXIT, GLOBAL_CHECK, REDUCE, STOCKS_EXIT</t>
        </is>
      </c>
      <c r="F384" s="17" t="inlineStr">
        <is>
          <t>AUGMENT, EXIT, GLOBAL_CHECK, REDUCE, STOCKS_EXIT</t>
        </is>
      </c>
      <c r="G384" s="20" t="inlineStr">
        <is>
          <t>NEW_POSITION_MAX_LOSS_THRESHOLD</t>
        </is>
      </c>
      <c r="H384" s="17" t="inlineStr">
        <is>
          <t>GENERAL</t>
        </is>
      </c>
      <c r="I384" s="17" t="inlineStr">
        <is>
          <t>LIVE — wired</t>
        </is>
      </c>
      <c r="J384" s="17" t="n"/>
      <c r="K384" s="21" t="inlineStr">
        <is>
          <t>—</t>
        </is>
      </c>
      <c r="L384" s="21" t="inlineStr">
        <is>
          <t>0.0, ±25%, ±50% (4)</t>
        </is>
      </c>
      <c r="M384" s="21" t="inlineStr">
        <is>
          <t>0.0</t>
        </is>
      </c>
      <c r="N384" s="21" t="inlineStr">
        <is>
          <t>threshold</t>
        </is>
      </c>
      <c r="O384" s="21" t="inlineStr">
        <is>
          <t>NEW_POSITION_MAX_LOSS_THRESHOLD</t>
        </is>
      </c>
      <c r="P384" s="21" t="inlineStr">
        <is>
          <t>getattr(cfg,"NEW_POSITION_MAX_LOSS_THRESHOLD")</t>
        </is>
      </c>
      <c r="Q384" t="inlineStr">
        <is>
          <t>NO</t>
        </is>
      </c>
    </row>
    <row r="385">
      <c r="A385" s="17" t="n">
        <v>107</v>
      </c>
      <c r="B385" s="22" t="inlineStr">
        <is>
          <t>NEW_POSITION_MAX_LOSS_THRESHOLD</t>
        </is>
      </c>
      <c r="C385" s="23" t="inlineStr">
        <is>
          <t>0.5</t>
        </is>
      </c>
      <c r="D385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5" s="20" t="inlineStr">
        <is>
          <t>AUGMENT, EXIT, GLOBAL_CHECK, REDUCE, STOCKS_EXIT</t>
        </is>
      </c>
      <c r="F385" s="17" t="inlineStr">
        <is>
          <t>AUGMENT, EXIT, GLOBAL_CHECK, REDUCE, STOCKS_EXIT</t>
        </is>
      </c>
      <c r="G385" s="20" t="inlineStr">
        <is>
          <t>NEW_POSITION_MAX_LOSS_THRESHOLD</t>
        </is>
      </c>
      <c r="H385" s="17" t="inlineStr">
        <is>
          <t>GENERAL</t>
        </is>
      </c>
      <c r="I385" s="17" t="inlineStr">
        <is>
          <t>LIVE — wired</t>
        </is>
      </c>
      <c r="J385" s="17" t="n"/>
      <c r="K385" s="21" t="inlineStr">
        <is>
          <t>—</t>
        </is>
      </c>
      <c r="L385" s="21" t="inlineStr">
        <is>
          <t>0.0, ±25%, ±50% (4)</t>
        </is>
      </c>
      <c r="M385" s="21" t="inlineStr">
        <is>
          <t>0.0</t>
        </is>
      </c>
      <c r="N385" s="21" t="inlineStr">
        <is>
          <t>threshold</t>
        </is>
      </c>
      <c r="O385" s="21" t="inlineStr">
        <is>
          <t>NEW_POSITION_MAX_LOSS_THRESHOLD</t>
        </is>
      </c>
      <c r="P385" s="21" t="inlineStr">
        <is>
          <t>getattr(cfg,"NEW_POSITION_MAX_LOSS_THRESHOLD")</t>
        </is>
      </c>
      <c r="Q385" t="inlineStr">
        <is>
          <t>NO</t>
        </is>
      </c>
    </row>
    <row r="386">
      <c r="A386" s="24" t="n">
        <v>108</v>
      </c>
      <c r="B386" s="25" t="inlineStr">
        <is>
          <t>NOLOSS_BYPASS_WT5OF5_FILTER_TF</t>
        </is>
      </c>
      <c r="C386" s="23" t="inlineStr">
        <is>
          <t>OFF</t>
        </is>
      </c>
      <c r="D386" s="26" t="inlineStr">
        <is>
          <t>Bypasses no-loss gate when WT 5of5 confirms (all WT TFs). | Live read: `', 'MI_STRUCT_EXIT_ENABLED', 'MI_VELOCITY_EXIT_ENABLED', 'MI_WAVE_EXIT_ENABLED',`</t>
        </is>
      </c>
      <c r="E386" s="26" t="inlineStr">
        <is>
          <t>GLOBAL_CHECK</t>
        </is>
      </c>
      <c r="F386" s="24" t="inlineStr">
        <is>
          <t>GLOBAL_CHECK</t>
        </is>
      </c>
      <c r="G386" s="26" t="inlineStr">
        <is>
          <t>NOLOSS_BYPASS_WT5OF5</t>
        </is>
      </c>
      <c r="H386" s="24" t="inlineStr">
        <is>
          <t>SPECIFIC — only gated switches</t>
        </is>
      </c>
      <c r="I386" s="24" t="inlineStr">
        <is>
          <t>LIVE — wired</t>
        </is>
      </c>
      <c r="J386" s="24" t="n"/>
      <c r="K386" s="21" t="inlineStr">
        <is>
          <t>1/4</t>
        </is>
      </c>
      <c r="L386" s="21" t="inlineStr">
        <is>
          <t>OFF, 15m, 1h, 4h, D (5 options)</t>
        </is>
      </c>
      <c r="M386" s="21" t="inlineStr">
        <is>
          <t>15m</t>
        </is>
      </c>
      <c r="N386" s="21" t="inlineStr">
        <is>
          <t>TF selector</t>
        </is>
      </c>
      <c r="O386" s="21" t="inlineStr">
        <is>
          <t>NOLOSS_BYPASS_WT5OF5_FILTER_TF</t>
        </is>
      </c>
      <c r="P386" s="21" t="inlineStr">
        <is>
          <t>getattr(cfg,"NOLOSS_BYPASS_WT5OF5_FILTER_TF")</t>
        </is>
      </c>
      <c r="Q386" t="inlineStr">
        <is>
          <t>NO</t>
        </is>
      </c>
    </row>
    <row r="387">
      <c r="A387" s="24" t="n">
        <v>108</v>
      </c>
      <c r="B387" s="25" t="inlineStr">
        <is>
          <t>NOLOSS_BYPASS_WT5OF5_FILTER_TF</t>
        </is>
      </c>
      <c r="C387" s="23" t="inlineStr">
        <is>
          <t>D</t>
        </is>
      </c>
      <c r="D387" s="26" t="inlineStr">
        <is>
          <t>Bypasses no-loss gate when WT 5of5 confirms (all WT TFs). | Live read: `', 'MI_STRUCT_EXIT_ENABLED', 'MI_VELOCITY_EXIT_ENABLED', 'MI_WAVE_EXIT_ENABLED',`</t>
        </is>
      </c>
      <c r="E387" s="26" t="inlineStr">
        <is>
          <t>GLOBAL_CHECK</t>
        </is>
      </c>
      <c r="F387" s="24" t="inlineStr">
        <is>
          <t>GLOBAL_CHECK</t>
        </is>
      </c>
      <c r="G387" s="26" t="inlineStr">
        <is>
          <t>NOLOSS_BYPASS_WT5OF5</t>
        </is>
      </c>
      <c r="H387" s="24" t="inlineStr">
        <is>
          <t>SPECIFIC — only gated switches</t>
        </is>
      </c>
      <c r="I387" s="24" t="inlineStr">
        <is>
          <t>LIVE — wired</t>
        </is>
      </c>
      <c r="J387" s="24" t="n"/>
      <c r="K387" s="21" t="inlineStr">
        <is>
          <t>1/4</t>
        </is>
      </c>
      <c r="L387" s="21" t="inlineStr">
        <is>
          <t>OFF, 15m, 1h, 4h, D (5 options)</t>
        </is>
      </c>
      <c r="M387" s="21" t="inlineStr">
        <is>
          <t>15m</t>
        </is>
      </c>
      <c r="N387" s="21" t="inlineStr">
        <is>
          <t>TF selector</t>
        </is>
      </c>
      <c r="O387" s="21" t="inlineStr">
        <is>
          <t>NOLOSS_BYPASS_WT5OF5_FILTER_TF</t>
        </is>
      </c>
      <c r="P387" s="21" t="inlineStr">
        <is>
          <t>getattr(cfg,"NOLOSS_BYPASS_WT5OF5_FILTER_TF")</t>
        </is>
      </c>
      <c r="Q387" t="inlineStr">
        <is>
          <t>NO</t>
        </is>
      </c>
    </row>
    <row r="388">
      <c r="A388" s="24" t="n">
        <v>108</v>
      </c>
      <c r="B388" s="25" t="inlineStr">
        <is>
          <t>NOLOSS_BYPASS_WT5OF5_FILTER_TF</t>
        </is>
      </c>
      <c r="C388" s="23" t="inlineStr">
        <is>
          <t>4h</t>
        </is>
      </c>
      <c r="D388" s="26" t="inlineStr">
        <is>
          <t>Bypasses no-loss gate when WT 5of5 confirms (all WT TFs). | Live read: `', 'MI_STRUCT_EXIT_ENABLED', 'MI_VELOCITY_EXIT_ENABLED', 'MI_WAVE_EXIT_ENABLED',`</t>
        </is>
      </c>
      <c r="E388" s="26" t="inlineStr">
        <is>
          <t>GLOBAL_CHECK</t>
        </is>
      </c>
      <c r="F388" s="24" t="inlineStr">
        <is>
          <t>GLOBAL_CHECK</t>
        </is>
      </c>
      <c r="G388" s="26" t="inlineStr">
        <is>
          <t>NOLOSS_BYPASS_WT5OF5</t>
        </is>
      </c>
      <c r="H388" s="24" t="inlineStr">
        <is>
          <t>SPECIFIC — only gated switches</t>
        </is>
      </c>
      <c r="I388" s="24" t="inlineStr">
        <is>
          <t>LIVE — wired</t>
        </is>
      </c>
      <c r="J388" s="24" t="n"/>
      <c r="K388" s="21" t="inlineStr">
        <is>
          <t>1/4</t>
        </is>
      </c>
      <c r="L388" s="21" t="inlineStr">
        <is>
          <t>OFF, 15m, 1h, 4h, D (5 options)</t>
        </is>
      </c>
      <c r="M388" s="21" t="inlineStr">
        <is>
          <t>15m</t>
        </is>
      </c>
      <c r="N388" s="21" t="inlineStr">
        <is>
          <t>TF selector</t>
        </is>
      </c>
      <c r="O388" s="21" t="inlineStr">
        <is>
          <t>NOLOSS_BYPASS_WT5OF5_FILTER_TF</t>
        </is>
      </c>
      <c r="P388" s="21" t="inlineStr">
        <is>
          <t>getattr(cfg,"NOLOSS_BYPASS_WT5OF5_FILTER_TF")</t>
        </is>
      </c>
      <c r="Q388" t="inlineStr">
        <is>
          <t>NO</t>
        </is>
      </c>
    </row>
    <row r="389">
      <c r="A389" s="24" t="n">
        <v>108</v>
      </c>
      <c r="B389" s="25" t="inlineStr">
        <is>
          <t>NOLOSS_BYPASS_WT5OF5_FILTER_TF</t>
        </is>
      </c>
      <c r="C389" s="23" t="inlineStr">
        <is>
          <t>1h</t>
        </is>
      </c>
      <c r="D389" s="26" t="inlineStr">
        <is>
          <t>Bypasses no-loss gate when WT 5of5 confirms (all WT TFs). | Live read: `', 'MI_STRUCT_EXIT_ENABLED', 'MI_VELOCITY_EXIT_ENABLED', 'MI_WAVE_EXIT_ENABLED',`</t>
        </is>
      </c>
      <c r="E389" s="26" t="inlineStr">
        <is>
          <t>GLOBAL_CHECK</t>
        </is>
      </c>
      <c r="F389" s="24" t="inlineStr">
        <is>
          <t>GLOBAL_CHECK</t>
        </is>
      </c>
      <c r="G389" s="26" t="inlineStr">
        <is>
          <t>NOLOSS_BYPASS_WT5OF5</t>
        </is>
      </c>
      <c r="H389" s="24" t="inlineStr">
        <is>
          <t>SPECIFIC — only gated switches</t>
        </is>
      </c>
      <c r="I389" s="24" t="inlineStr">
        <is>
          <t>LIVE — wired</t>
        </is>
      </c>
      <c r="J389" s="24" t="n"/>
      <c r="K389" s="21" t="inlineStr">
        <is>
          <t>1/4</t>
        </is>
      </c>
      <c r="L389" s="21" t="inlineStr">
        <is>
          <t>OFF, 15m, 1h, 4h, D (5 options)</t>
        </is>
      </c>
      <c r="M389" s="21" t="inlineStr">
        <is>
          <t>15m</t>
        </is>
      </c>
      <c r="N389" s="21" t="inlineStr">
        <is>
          <t>TF selector</t>
        </is>
      </c>
      <c r="O389" s="21" t="inlineStr">
        <is>
          <t>NOLOSS_BYPASS_WT5OF5_FILTER_TF</t>
        </is>
      </c>
      <c r="P389" s="21" t="inlineStr">
        <is>
          <t>getattr(cfg,"NOLOSS_BYPASS_WT5OF5_FILTER_TF")</t>
        </is>
      </c>
      <c r="Q389" t="inlineStr">
        <is>
          <t>NO</t>
        </is>
      </c>
    </row>
    <row r="390">
      <c r="A390" s="24" t="n">
        <v>108</v>
      </c>
      <c r="B390" s="27" t="inlineStr">
        <is>
          <t>NOLOSS_BYPASS_WT5OF5_FILTER_TF</t>
        </is>
      </c>
      <c r="C390" s="19" t="inlineStr">
        <is>
          <t>15m</t>
        </is>
      </c>
      <c r="D390" s="26" t="inlineStr">
        <is>
          <t>Bypasses no-loss gate when WT 5of5 confirms (all WT TFs). | Live read: `', 'MI_STRUCT_EXIT_ENABLED', 'MI_VELOCITY_EXIT_ENABLED', 'MI_WAVE_EXIT_ENABLED',`</t>
        </is>
      </c>
      <c r="E390" s="26" t="inlineStr">
        <is>
          <t>GLOBAL_CHECK</t>
        </is>
      </c>
      <c r="F390" s="24" t="inlineStr">
        <is>
          <t>GLOBAL_CHECK</t>
        </is>
      </c>
      <c r="G390" s="26" t="inlineStr">
        <is>
          <t>NOLOSS_BYPASS_WT5OF5</t>
        </is>
      </c>
      <c r="H390" s="24" t="inlineStr">
        <is>
          <t>SPECIFIC — only gated switches</t>
        </is>
      </c>
      <c r="I390" s="24" t="inlineStr">
        <is>
          <t>LIVE — wired</t>
        </is>
      </c>
      <c r="J390" s="24" t="n"/>
      <c r="K390" s="21" t="inlineStr">
        <is>
          <t>1/4</t>
        </is>
      </c>
      <c r="L390" s="21" t="inlineStr">
        <is>
          <t>OFF, 15m, 1h, 4h, D (5 options)</t>
        </is>
      </c>
      <c r="M390" s="21" t="inlineStr">
        <is>
          <t>15m</t>
        </is>
      </c>
      <c r="N390" s="21" t="inlineStr">
        <is>
          <t>TF selector</t>
        </is>
      </c>
      <c r="O390" s="21" t="inlineStr">
        <is>
          <t>NOLOSS_BYPASS_WT5OF5_FILTER_TF</t>
        </is>
      </c>
      <c r="P390" s="21" t="inlineStr">
        <is>
          <t>getattr(cfg,"NOLOSS_BYPASS_WT5OF5_FILTER_TF")</t>
        </is>
      </c>
      <c r="Q390" t="inlineStr">
        <is>
          <t>YES</t>
        </is>
      </c>
    </row>
    <row r="391">
      <c r="A391" s="17" t="n">
        <v>109</v>
      </c>
      <c r="B391" s="18" t="inlineStr">
        <is>
          <t>OI_CONFIRM_ENABLED</t>
        </is>
      </c>
      <c r="C391" s="19" t="inlineStr">
        <is>
          <t>False</t>
        </is>
      </c>
      <c r="D391" s="20" t="inlineStr">
        <is>
          <t>Open Interest confirmation enabled. | Live read: `N_GATE', 'LEADERBOARD_FILTER', 'LIVE_ONLY_SIGNALS_BATCH5_FILTER_TF', 'LIVE_VEC_E`</t>
        </is>
      </c>
      <c r="E391" s="20" t="inlineStr">
        <is>
          <t>ENTRY, GLOBAL_CHECK, STOCKS_EXIT</t>
        </is>
      </c>
      <c r="F391" s="17" t="inlineStr">
        <is>
          <t>ENTRY, GLOBAL_CHECK, STOCKS_EXIT</t>
        </is>
      </c>
      <c r="G391" s="20" t="inlineStr">
        <is>
          <t>OI_CONFIRM_ENABLED</t>
        </is>
      </c>
      <c r="H391" s="17" t="inlineStr">
        <is>
          <t>GENERAL</t>
        </is>
      </c>
      <c r="I391" s="17" t="inlineStr">
        <is>
          <t>LIVE — wired</t>
        </is>
      </c>
      <c r="J391" s="17" t="n"/>
      <c r="K391" s="21" t="inlineStr">
        <is>
          <t>—</t>
        </is>
      </c>
      <c r="L391" s="21" t="inlineStr">
        <is>
          <t>False, True (2)</t>
        </is>
      </c>
      <c r="M391" s="21" t="inlineStr">
        <is>
          <t>False</t>
        </is>
      </c>
      <c r="N391" s="21" t="inlineStr">
        <is>
          <t>bool gate</t>
        </is>
      </c>
      <c r="O391" s="21" t="inlineStr">
        <is>
          <t>OI_CONFIRM_ENABLED</t>
        </is>
      </c>
      <c r="P391" s="21" t="inlineStr">
        <is>
          <t>getattr(cfg,"OI_CONFIRM_ENABLED")</t>
        </is>
      </c>
      <c r="Q391" t="inlineStr">
        <is>
          <t>YES</t>
        </is>
      </c>
    </row>
    <row r="392">
      <c r="A392" s="17" t="n">
        <v>109</v>
      </c>
      <c r="B392" s="22" t="inlineStr">
        <is>
          <t>OI_CONFIRM_ENABLED</t>
        </is>
      </c>
      <c r="C392" s="23" t="inlineStr">
        <is>
          <t>True</t>
        </is>
      </c>
      <c r="D392" s="20" t="inlineStr">
        <is>
          <t>Open Interest confirmation enabled. | Live read: `N_GATE', 'LEADERBOARD_FILTER', 'LIVE_ONLY_SIGNALS_BATCH5_FILTER_TF', 'LIVE_VEC_E`</t>
        </is>
      </c>
      <c r="E392" s="20" t="inlineStr">
        <is>
          <t>ENTRY, GLOBAL_CHECK, STOCKS_EXIT</t>
        </is>
      </c>
      <c r="F392" s="17" t="inlineStr">
        <is>
          <t>ENTRY, GLOBAL_CHECK, STOCKS_EXIT</t>
        </is>
      </c>
      <c r="G392" s="20" t="inlineStr">
        <is>
          <t>OI_CONFIRM_ENABLED</t>
        </is>
      </c>
      <c r="H392" s="17" t="inlineStr">
        <is>
          <t>GENERAL</t>
        </is>
      </c>
      <c r="I392" s="17" t="inlineStr">
        <is>
          <t>LIVE — wired</t>
        </is>
      </c>
      <c r="J392" s="17" t="n"/>
      <c r="K392" s="21" t="inlineStr">
        <is>
          <t>—</t>
        </is>
      </c>
      <c r="L392" s="21" t="inlineStr">
        <is>
          <t>False, True (2)</t>
        </is>
      </c>
      <c r="M392" s="21" t="inlineStr">
        <is>
          <t>False</t>
        </is>
      </c>
      <c r="N392" s="21" t="inlineStr">
        <is>
          <t>bool gate</t>
        </is>
      </c>
      <c r="O392" s="21" t="inlineStr">
        <is>
          <t>OI_CONFIRM_ENABLED</t>
        </is>
      </c>
      <c r="P392" s="21" t="inlineStr">
        <is>
          <t>getattr(cfg,"OI_CONFIRM_ENABLED")</t>
        </is>
      </c>
      <c r="Q392" t="inlineStr">
        <is>
          <t>NO</t>
        </is>
      </c>
    </row>
    <row r="393">
      <c r="A393" s="17" t="n">
        <v>110</v>
      </c>
      <c r="B393" s="18" t="inlineStr">
        <is>
          <t>OI_CONFIRM_MIN_CHANGE_PCT</t>
        </is>
      </c>
      <c r="C393" s="19" t="inlineStr">
        <is>
          <t>0</t>
        </is>
      </c>
      <c r="D393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3" s="20" t="inlineStr">
        <is>
          <t>ENTRY, GLOBAL_CHECK, STOCKS_EXIT</t>
        </is>
      </c>
      <c r="F393" s="17" t="inlineStr">
        <is>
          <t>ENTRY, GLOBAL_CHECK, STOCKS_EXIT</t>
        </is>
      </c>
      <c r="G393" s="20" t="inlineStr">
        <is>
          <t>OI_CONFIRM_MIN_CHANGE_PCT</t>
        </is>
      </c>
      <c r="H393" s="17" t="inlineStr">
        <is>
          <t>GENERAL</t>
        </is>
      </c>
      <c r="I393" s="17" t="inlineStr">
        <is>
          <t>LIVE — wired</t>
        </is>
      </c>
      <c r="J393" s="17" t="n"/>
      <c r="K393" s="21" t="inlineStr">
        <is>
          <t>—</t>
        </is>
      </c>
      <c r="L393" s="21" t="inlineStr">
        <is>
          <t>0.0, ±25%, ±50% (4)</t>
        </is>
      </c>
      <c r="M393" s="21" t="inlineStr">
        <is>
          <t>0.0</t>
        </is>
      </c>
      <c r="N393" s="21" t="inlineStr">
        <is>
          <t>threshold</t>
        </is>
      </c>
      <c r="O393" s="21" t="inlineStr">
        <is>
          <t>OI_CONFIRM_MIN_CHANGE_PCT</t>
        </is>
      </c>
      <c r="P393" s="21" t="inlineStr">
        <is>
          <t>getattr(cfg,"OI_CONFIRM_MIN_CHANGE_PCT")</t>
        </is>
      </c>
      <c r="Q393" t="inlineStr">
        <is>
          <t>YES</t>
        </is>
      </c>
    </row>
    <row r="394">
      <c r="A394" s="17" t="n">
        <v>110</v>
      </c>
      <c r="B394" s="22" t="inlineStr">
        <is>
          <t>OI_CONFIRM_MIN_CHANGE_PCT</t>
        </is>
      </c>
      <c r="C394" s="23" t="inlineStr">
        <is>
          <t>2.0</t>
        </is>
      </c>
      <c r="D394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4" s="20" t="inlineStr">
        <is>
          <t>ENTRY, GLOBAL_CHECK, STOCKS_EXIT</t>
        </is>
      </c>
      <c r="F394" s="17" t="inlineStr">
        <is>
          <t>ENTRY, GLOBAL_CHECK, STOCKS_EXIT</t>
        </is>
      </c>
      <c r="G394" s="20" t="inlineStr">
        <is>
          <t>OI_CONFIRM_MIN_CHANGE_PCT</t>
        </is>
      </c>
      <c r="H394" s="17" t="inlineStr">
        <is>
          <t>GENERAL</t>
        </is>
      </c>
      <c r="I394" s="17" t="inlineStr">
        <is>
          <t>LIVE — wired</t>
        </is>
      </c>
      <c r="J394" s="17" t="n"/>
      <c r="K394" s="21" t="inlineStr">
        <is>
          <t>—</t>
        </is>
      </c>
      <c r="L394" s="21" t="inlineStr">
        <is>
          <t>0.0, ±25%, ±50% (4)</t>
        </is>
      </c>
      <c r="M394" s="21" t="inlineStr">
        <is>
          <t>0.0</t>
        </is>
      </c>
      <c r="N394" s="21" t="inlineStr">
        <is>
          <t>threshold</t>
        </is>
      </c>
      <c r="O394" s="21" t="inlineStr">
        <is>
          <t>OI_CONFIRM_MIN_CHANGE_PCT</t>
        </is>
      </c>
      <c r="P394" s="21" t="inlineStr">
        <is>
          <t>getattr(cfg,"OI_CONFIRM_MIN_CHANGE_PCT")</t>
        </is>
      </c>
      <c r="Q394" t="inlineStr">
        <is>
          <t>NO</t>
        </is>
      </c>
    </row>
    <row r="395">
      <c r="A395" s="17" t="n">
        <v>110</v>
      </c>
      <c r="B395" s="22" t="inlineStr">
        <is>
          <t>OI_CONFIRM_MIN_CHANGE_PCT</t>
        </is>
      </c>
      <c r="C395" s="23" t="inlineStr">
        <is>
          <t>1.0</t>
        </is>
      </c>
      <c r="D395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5" s="20" t="inlineStr">
        <is>
          <t>ENTRY, GLOBAL_CHECK, STOCKS_EXIT</t>
        </is>
      </c>
      <c r="F395" s="17" t="inlineStr">
        <is>
          <t>ENTRY, GLOBAL_CHECK, STOCKS_EXIT</t>
        </is>
      </c>
      <c r="G395" s="20" t="inlineStr">
        <is>
          <t>OI_CONFIRM_MIN_CHANGE_PCT</t>
        </is>
      </c>
      <c r="H395" s="17" t="inlineStr">
        <is>
          <t>GENERAL</t>
        </is>
      </c>
      <c r="I395" s="17" t="inlineStr">
        <is>
          <t>LIVE — wired</t>
        </is>
      </c>
      <c r="J395" s="17" t="n"/>
      <c r="K395" s="21" t="inlineStr">
        <is>
          <t>—</t>
        </is>
      </c>
      <c r="L395" s="21" t="inlineStr">
        <is>
          <t>0.0, ±25%, ±50% (4)</t>
        </is>
      </c>
      <c r="M395" s="21" t="inlineStr">
        <is>
          <t>0.0</t>
        </is>
      </c>
      <c r="N395" s="21" t="inlineStr">
        <is>
          <t>threshold</t>
        </is>
      </c>
      <c r="O395" s="21" t="inlineStr">
        <is>
          <t>OI_CONFIRM_MIN_CHANGE_PCT</t>
        </is>
      </c>
      <c r="P395" s="21" t="inlineStr">
        <is>
          <t>getattr(cfg,"OI_CONFIRM_MIN_CHANGE_PCT")</t>
        </is>
      </c>
      <c r="Q395" t="inlineStr">
        <is>
          <t>NO</t>
        </is>
      </c>
    </row>
    <row r="396">
      <c r="A396" s="17" t="n">
        <v>110</v>
      </c>
      <c r="B396" s="22" t="inlineStr">
        <is>
          <t>OI_CONFIRM_MIN_CHANGE_PCT</t>
        </is>
      </c>
      <c r="C396" s="23" t="inlineStr">
        <is>
          <t>0.5</t>
        </is>
      </c>
      <c r="D396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6" s="20" t="inlineStr">
        <is>
          <t>ENTRY, GLOBAL_CHECK, STOCKS_EXIT</t>
        </is>
      </c>
      <c r="F396" s="17" t="inlineStr">
        <is>
          <t>ENTRY, GLOBAL_CHECK, STOCKS_EXIT</t>
        </is>
      </c>
      <c r="G396" s="20" t="inlineStr">
        <is>
          <t>OI_CONFIRM_MIN_CHANGE_PCT</t>
        </is>
      </c>
      <c r="H396" s="17" t="inlineStr">
        <is>
          <t>GENERAL</t>
        </is>
      </c>
      <c r="I396" s="17" t="inlineStr">
        <is>
          <t>LIVE — wired</t>
        </is>
      </c>
      <c r="J396" s="17" t="n"/>
      <c r="K396" s="21" t="inlineStr">
        <is>
          <t>—</t>
        </is>
      </c>
      <c r="L396" s="21" t="inlineStr">
        <is>
          <t>0.0, ±25%, ±50% (4)</t>
        </is>
      </c>
      <c r="M396" s="21" t="inlineStr">
        <is>
          <t>0.0</t>
        </is>
      </c>
      <c r="N396" s="21" t="inlineStr">
        <is>
          <t>threshold</t>
        </is>
      </c>
      <c r="O396" s="21" t="inlineStr">
        <is>
          <t>OI_CONFIRM_MIN_CHANGE_PCT</t>
        </is>
      </c>
      <c r="P396" s="21" t="inlineStr">
        <is>
          <t>getattr(cfg,"OI_CONFIRM_MIN_CHANGE_PCT")</t>
        </is>
      </c>
      <c r="Q396" t="inlineStr">
        <is>
          <t>NO</t>
        </is>
      </c>
    </row>
    <row r="397">
      <c r="A397" s="17" t="n">
        <v>111</v>
      </c>
      <c r="B397" s="18" t="inlineStr">
        <is>
          <t>OI_CONFIRM_MIN_PRICE_PCT</t>
        </is>
      </c>
      <c r="C397" s="19" t="inlineStr">
        <is>
          <t>0</t>
        </is>
      </c>
      <c r="D397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7" s="20" t="inlineStr">
        <is>
          <t>ENTRY, GLOBAL_CHECK, STOCKS_EXIT</t>
        </is>
      </c>
      <c r="F397" s="17" t="inlineStr">
        <is>
          <t>ENTRY, GLOBAL_CHECK, STOCKS_EXIT</t>
        </is>
      </c>
      <c r="G397" s="20" t="inlineStr">
        <is>
          <t>OI_CONFIRM_MIN_PRICE_PCT</t>
        </is>
      </c>
      <c r="H397" s="17" t="inlineStr">
        <is>
          <t>GENERAL</t>
        </is>
      </c>
      <c r="I397" s="17" t="inlineStr">
        <is>
          <t>LIVE — wired</t>
        </is>
      </c>
      <c r="J397" s="17" t="n"/>
      <c r="K397" s="21" t="inlineStr">
        <is>
          <t>—</t>
        </is>
      </c>
      <c r="L397" s="21" t="inlineStr">
        <is>
          <t>0.0, ±25%, ±50% (4)</t>
        </is>
      </c>
      <c r="M397" s="21" t="inlineStr">
        <is>
          <t>0.0</t>
        </is>
      </c>
      <c r="N397" s="21" t="inlineStr">
        <is>
          <t>threshold</t>
        </is>
      </c>
      <c r="O397" s="21" t="inlineStr">
        <is>
          <t>OI_CONFIRM_MIN_PRICE_PCT</t>
        </is>
      </c>
      <c r="P397" s="21" t="inlineStr">
        <is>
          <t>getattr(cfg,"OI_CONFIRM_MIN_PRICE_PCT")</t>
        </is>
      </c>
      <c r="Q397" t="inlineStr">
        <is>
          <t>YES</t>
        </is>
      </c>
    </row>
    <row r="398">
      <c r="A398" s="17" t="n">
        <v>111</v>
      </c>
      <c r="B398" s="22" t="inlineStr">
        <is>
          <t>OI_CONFIRM_MIN_PRICE_PCT</t>
        </is>
      </c>
      <c r="C398" s="23" t="inlineStr">
        <is>
          <t>2.0</t>
        </is>
      </c>
      <c r="D398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8" s="20" t="inlineStr">
        <is>
          <t>ENTRY, GLOBAL_CHECK, STOCKS_EXIT</t>
        </is>
      </c>
      <c r="F398" s="17" t="inlineStr">
        <is>
          <t>ENTRY, GLOBAL_CHECK, STOCKS_EXIT</t>
        </is>
      </c>
      <c r="G398" s="20" t="inlineStr">
        <is>
          <t>OI_CONFIRM_MIN_PRICE_PCT</t>
        </is>
      </c>
      <c r="H398" s="17" t="inlineStr">
        <is>
          <t>GENERAL</t>
        </is>
      </c>
      <c r="I398" s="17" t="inlineStr">
        <is>
          <t>LIVE — wired</t>
        </is>
      </c>
      <c r="J398" s="17" t="n"/>
      <c r="K398" s="21" t="inlineStr">
        <is>
          <t>—</t>
        </is>
      </c>
      <c r="L398" s="21" t="inlineStr">
        <is>
          <t>0.0, ±25%, ±50% (4)</t>
        </is>
      </c>
      <c r="M398" s="21" t="inlineStr">
        <is>
          <t>0.0</t>
        </is>
      </c>
      <c r="N398" s="21" t="inlineStr">
        <is>
          <t>threshold</t>
        </is>
      </c>
      <c r="O398" s="21" t="inlineStr">
        <is>
          <t>OI_CONFIRM_MIN_PRICE_PCT</t>
        </is>
      </c>
      <c r="P398" s="21" t="inlineStr">
        <is>
          <t>getattr(cfg,"OI_CONFIRM_MIN_PRICE_PCT")</t>
        </is>
      </c>
      <c r="Q398" t="inlineStr">
        <is>
          <t>NO</t>
        </is>
      </c>
    </row>
    <row r="399">
      <c r="A399" s="17" t="n">
        <v>111</v>
      </c>
      <c r="B399" s="22" t="inlineStr">
        <is>
          <t>OI_CONFIRM_MIN_PRICE_PCT</t>
        </is>
      </c>
      <c r="C399" s="23" t="inlineStr">
        <is>
          <t>1.0</t>
        </is>
      </c>
      <c r="D399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9" s="20" t="inlineStr">
        <is>
          <t>ENTRY, GLOBAL_CHECK, STOCKS_EXIT</t>
        </is>
      </c>
      <c r="F399" s="17" t="inlineStr">
        <is>
          <t>ENTRY, GLOBAL_CHECK, STOCKS_EXIT</t>
        </is>
      </c>
      <c r="G399" s="20" t="inlineStr">
        <is>
          <t>OI_CONFIRM_MIN_PRICE_PCT</t>
        </is>
      </c>
      <c r="H399" s="17" t="inlineStr">
        <is>
          <t>GENERAL</t>
        </is>
      </c>
      <c r="I399" s="17" t="inlineStr">
        <is>
          <t>LIVE — wired</t>
        </is>
      </c>
      <c r="J399" s="17" t="n"/>
      <c r="K399" s="21" t="inlineStr">
        <is>
          <t>—</t>
        </is>
      </c>
      <c r="L399" s="21" t="inlineStr">
        <is>
          <t>0.0, ±25%, ±50% (4)</t>
        </is>
      </c>
      <c r="M399" s="21" t="inlineStr">
        <is>
          <t>0.0</t>
        </is>
      </c>
      <c r="N399" s="21" t="inlineStr">
        <is>
          <t>threshold</t>
        </is>
      </c>
      <c r="O399" s="21" t="inlineStr">
        <is>
          <t>OI_CONFIRM_MIN_PRICE_PCT</t>
        </is>
      </c>
      <c r="P399" s="21" t="inlineStr">
        <is>
          <t>getattr(cfg,"OI_CONFIRM_MIN_PRICE_PCT")</t>
        </is>
      </c>
      <c r="Q399" t="inlineStr">
        <is>
          <t>NO</t>
        </is>
      </c>
    </row>
    <row r="400">
      <c r="A400" s="17" t="n">
        <v>111</v>
      </c>
      <c r="B400" s="22" t="inlineStr">
        <is>
          <t>OI_CONFIRM_MIN_PRICE_PCT</t>
        </is>
      </c>
      <c r="C400" s="23" t="inlineStr">
        <is>
          <t>0.5</t>
        </is>
      </c>
      <c r="D400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400" s="20" t="inlineStr">
        <is>
          <t>ENTRY, GLOBAL_CHECK, STOCKS_EXIT</t>
        </is>
      </c>
      <c r="F400" s="17" t="inlineStr">
        <is>
          <t>ENTRY, GLOBAL_CHECK, STOCKS_EXIT</t>
        </is>
      </c>
      <c r="G400" s="20" t="inlineStr">
        <is>
          <t>OI_CONFIRM_MIN_PRICE_PCT</t>
        </is>
      </c>
      <c r="H400" s="17" t="inlineStr">
        <is>
          <t>GENERAL</t>
        </is>
      </c>
      <c r="I400" s="17" t="inlineStr">
        <is>
          <t>LIVE — wired</t>
        </is>
      </c>
      <c r="J400" s="17" t="n"/>
      <c r="K400" s="21" t="inlineStr">
        <is>
          <t>—</t>
        </is>
      </c>
      <c r="L400" s="21" t="inlineStr">
        <is>
          <t>0.0, ±25%, ±50% (4)</t>
        </is>
      </c>
      <c r="M400" s="21" t="inlineStr">
        <is>
          <t>0.0</t>
        </is>
      </c>
      <c r="N400" s="21" t="inlineStr">
        <is>
          <t>threshold</t>
        </is>
      </c>
      <c r="O400" s="21" t="inlineStr">
        <is>
          <t>OI_CONFIRM_MIN_PRICE_PCT</t>
        </is>
      </c>
      <c r="P400" s="21" t="inlineStr">
        <is>
          <t>getattr(cfg,"OI_CONFIRM_MIN_PRICE_PCT")</t>
        </is>
      </c>
      <c r="Q400" t="inlineStr">
        <is>
          <t>NO</t>
        </is>
      </c>
    </row>
    <row r="401">
      <c r="A401" s="24" t="n">
        <v>112</v>
      </c>
      <c r="B401" s="25" t="inlineStr">
        <is>
          <t>OPEN_INTENT_SIZE_GATES_FILTER_TF</t>
        </is>
      </c>
      <c r="C401" s="23" t="inlineStr">
        <is>
          <t>OFF</t>
        </is>
      </c>
      <c r="D401" s="26" t="inlineStr">
        <is>
          <t>Size gates for open intent on FILTER_TF. | Live read: `MOMENTUM_BREAKOUT_FILTER_TF', 'MOMENTUM_BREAKOUT_MIN_TFS', 'MTF_ARMED_BANDTYPES'`</t>
        </is>
      </c>
      <c r="E401" s="26" t="inlineStr">
        <is>
          <t>GLOBAL_CHECK</t>
        </is>
      </c>
      <c r="F401" s="24" t="inlineStr">
        <is>
          <t>GLOBAL_CHECK</t>
        </is>
      </c>
      <c r="G401" s="26" t="inlineStr">
        <is>
          <t>OPEN_INTENT_SIZE_GATES</t>
        </is>
      </c>
      <c r="H401" s="24" t="inlineStr">
        <is>
          <t>SPECIFIC — only gated switches</t>
        </is>
      </c>
      <c r="I401" s="24" t="inlineStr">
        <is>
          <t>LIVE — wired</t>
        </is>
      </c>
      <c r="J401" s="24" t="n"/>
      <c r="K401" s="21" t="inlineStr">
        <is>
          <t>1/4</t>
        </is>
      </c>
      <c r="L401" s="21" t="inlineStr">
        <is>
          <t>OFF, 15m, 1h, 4h, D (5 options)</t>
        </is>
      </c>
      <c r="M401" s="21" t="inlineStr">
        <is>
          <t>15m</t>
        </is>
      </c>
      <c r="N401" s="21" t="inlineStr">
        <is>
          <t>TF selector</t>
        </is>
      </c>
      <c r="O401" s="21" t="inlineStr">
        <is>
          <t>OPEN_INTENT_SIZE_GATES_FILTER_TF</t>
        </is>
      </c>
      <c r="P401" s="21" t="inlineStr">
        <is>
          <t>getattr(cfg,"OPEN_INTENT_SIZE_GATES_FILTER_TF")</t>
        </is>
      </c>
      <c r="Q401" t="inlineStr">
        <is>
          <t>NO</t>
        </is>
      </c>
    </row>
    <row r="402">
      <c r="A402" s="24" t="n">
        <v>112</v>
      </c>
      <c r="B402" s="25" t="inlineStr">
        <is>
          <t>OPEN_INTENT_SIZE_GATES_FILTER_TF</t>
        </is>
      </c>
      <c r="C402" s="23" t="inlineStr">
        <is>
          <t>D</t>
        </is>
      </c>
      <c r="D402" s="26" t="inlineStr">
        <is>
          <t>Size gates for open intent on FILTER_TF. | Live read: `MOMENTUM_BREAKOUT_FILTER_TF', 'MOMENTUM_BREAKOUT_MIN_TFS', 'MTF_ARMED_BANDTYPES'`</t>
        </is>
      </c>
      <c r="E402" s="26" t="inlineStr">
        <is>
          <t>GLOBAL_CHECK</t>
        </is>
      </c>
      <c r="F402" s="24" t="inlineStr">
        <is>
          <t>GLOBAL_CHECK</t>
        </is>
      </c>
      <c r="G402" s="26" t="inlineStr">
        <is>
          <t>OPEN_INTENT_SIZE_GATES</t>
        </is>
      </c>
      <c r="H402" s="24" t="inlineStr">
        <is>
          <t>SPECIFIC — only gated switches</t>
        </is>
      </c>
      <c r="I402" s="24" t="inlineStr">
        <is>
          <t>LIVE — wired</t>
        </is>
      </c>
      <c r="J402" s="24" t="n"/>
      <c r="K402" s="21" t="inlineStr">
        <is>
          <t>1/4</t>
        </is>
      </c>
      <c r="L402" s="21" t="inlineStr">
        <is>
          <t>OFF, 15m, 1h, 4h, D (5 options)</t>
        </is>
      </c>
      <c r="M402" s="21" t="inlineStr">
        <is>
          <t>15m</t>
        </is>
      </c>
      <c r="N402" s="21" t="inlineStr">
        <is>
          <t>TF selector</t>
        </is>
      </c>
      <c r="O402" s="21" t="inlineStr">
        <is>
          <t>OPEN_INTENT_SIZE_GATES_FILTER_TF</t>
        </is>
      </c>
      <c r="P402" s="21" t="inlineStr">
        <is>
          <t>getattr(cfg,"OPEN_INTENT_SIZE_GATES_FILTER_TF")</t>
        </is>
      </c>
      <c r="Q402" t="inlineStr">
        <is>
          <t>NO</t>
        </is>
      </c>
    </row>
    <row r="403">
      <c r="A403" s="24" t="n">
        <v>112</v>
      </c>
      <c r="B403" s="25" t="inlineStr">
        <is>
          <t>OPEN_INTENT_SIZE_GATES_FILTER_TF</t>
        </is>
      </c>
      <c r="C403" s="23" t="inlineStr">
        <is>
          <t>4h</t>
        </is>
      </c>
      <c r="D403" s="26" t="inlineStr">
        <is>
          <t>Size gates for open intent on FILTER_TF. | Live read: `MOMENTUM_BREAKOUT_FILTER_TF', 'MOMENTUM_BREAKOUT_MIN_TFS', 'MTF_ARMED_BANDTYPES'`</t>
        </is>
      </c>
      <c r="E403" s="26" t="inlineStr">
        <is>
          <t>GLOBAL_CHECK</t>
        </is>
      </c>
      <c r="F403" s="24" t="inlineStr">
        <is>
          <t>GLOBAL_CHECK</t>
        </is>
      </c>
      <c r="G403" s="26" t="inlineStr">
        <is>
          <t>OPEN_INTENT_SIZE_GATES</t>
        </is>
      </c>
      <c r="H403" s="24" t="inlineStr">
        <is>
          <t>SPECIFIC — only gated switches</t>
        </is>
      </c>
      <c r="I403" s="24" t="inlineStr">
        <is>
          <t>LIVE — wired</t>
        </is>
      </c>
      <c r="J403" s="24" t="n"/>
      <c r="K403" s="21" t="inlineStr">
        <is>
          <t>1/4</t>
        </is>
      </c>
      <c r="L403" s="21" t="inlineStr">
        <is>
          <t>OFF, 15m, 1h, 4h, D (5 options)</t>
        </is>
      </c>
      <c r="M403" s="21" t="inlineStr">
        <is>
          <t>15m</t>
        </is>
      </c>
      <c r="N403" s="21" t="inlineStr">
        <is>
          <t>TF selector</t>
        </is>
      </c>
      <c r="O403" s="21" t="inlineStr">
        <is>
          <t>OPEN_INTENT_SIZE_GATES_FILTER_TF</t>
        </is>
      </c>
      <c r="P403" s="21" t="inlineStr">
        <is>
          <t>getattr(cfg,"OPEN_INTENT_SIZE_GATES_FILTER_TF")</t>
        </is>
      </c>
      <c r="Q403" t="inlineStr">
        <is>
          <t>NO</t>
        </is>
      </c>
    </row>
    <row r="404">
      <c r="A404" s="24" t="n">
        <v>112</v>
      </c>
      <c r="B404" s="25" t="inlineStr">
        <is>
          <t>OPEN_INTENT_SIZE_GATES_FILTER_TF</t>
        </is>
      </c>
      <c r="C404" s="23" t="inlineStr">
        <is>
          <t>1h</t>
        </is>
      </c>
      <c r="D404" s="26" t="inlineStr">
        <is>
          <t>Size gates for open intent on FILTER_TF. | Live read: `MOMENTUM_BREAKOUT_FILTER_TF', 'MOMENTUM_BREAKOUT_MIN_TFS', 'MTF_ARMED_BANDTYPES'`</t>
        </is>
      </c>
      <c r="E404" s="26" t="inlineStr">
        <is>
          <t>GLOBAL_CHECK</t>
        </is>
      </c>
      <c r="F404" s="24" t="inlineStr">
        <is>
          <t>GLOBAL_CHECK</t>
        </is>
      </c>
      <c r="G404" s="26" t="inlineStr">
        <is>
          <t>OPEN_INTENT_SIZE_GATES</t>
        </is>
      </c>
      <c r="H404" s="24" t="inlineStr">
        <is>
          <t>SPECIFIC — only gated switches</t>
        </is>
      </c>
      <c r="I404" s="24" t="inlineStr">
        <is>
          <t>LIVE — wired</t>
        </is>
      </c>
      <c r="J404" s="24" t="n"/>
      <c r="K404" s="21" t="inlineStr">
        <is>
          <t>1/4</t>
        </is>
      </c>
      <c r="L404" s="21" t="inlineStr">
        <is>
          <t>OFF, 15m, 1h, 4h, D (5 options)</t>
        </is>
      </c>
      <c r="M404" s="21" t="inlineStr">
        <is>
          <t>15m</t>
        </is>
      </c>
      <c r="N404" s="21" t="inlineStr">
        <is>
          <t>TF selector</t>
        </is>
      </c>
      <c r="O404" s="21" t="inlineStr">
        <is>
          <t>OPEN_INTENT_SIZE_GATES_FILTER_TF</t>
        </is>
      </c>
      <c r="P404" s="21" t="inlineStr">
        <is>
          <t>getattr(cfg,"OPEN_INTENT_SIZE_GATES_FILTER_TF")</t>
        </is>
      </c>
      <c r="Q404" t="inlineStr">
        <is>
          <t>NO</t>
        </is>
      </c>
    </row>
    <row r="405">
      <c r="A405" s="24" t="n">
        <v>112</v>
      </c>
      <c r="B405" s="27" t="inlineStr">
        <is>
          <t>OPEN_INTENT_SIZE_GATES_FILTER_TF</t>
        </is>
      </c>
      <c r="C405" s="19" t="inlineStr">
        <is>
          <t>15m</t>
        </is>
      </c>
      <c r="D405" s="26" t="inlineStr">
        <is>
          <t>Size gates for open intent on FILTER_TF. | Live read: `MOMENTUM_BREAKOUT_FILTER_TF', 'MOMENTUM_BREAKOUT_MIN_TFS', 'MTF_ARMED_BANDTYPES'`</t>
        </is>
      </c>
      <c r="E405" s="26" t="inlineStr">
        <is>
          <t>GLOBAL_CHECK</t>
        </is>
      </c>
      <c r="F405" s="24" t="inlineStr">
        <is>
          <t>GLOBAL_CHECK</t>
        </is>
      </c>
      <c r="G405" s="26" t="inlineStr">
        <is>
          <t>OPEN_INTENT_SIZE_GATES</t>
        </is>
      </c>
      <c r="H405" s="24" t="inlineStr">
        <is>
          <t>SPECIFIC — only gated switches</t>
        </is>
      </c>
      <c r="I405" s="24" t="inlineStr">
        <is>
          <t>LIVE — wired</t>
        </is>
      </c>
      <c r="J405" s="24" t="n"/>
      <c r="K405" s="21" t="inlineStr">
        <is>
          <t>1/4</t>
        </is>
      </c>
      <c r="L405" s="21" t="inlineStr">
        <is>
          <t>OFF, 15m, 1h, 4h, D (5 options)</t>
        </is>
      </c>
      <c r="M405" s="21" t="inlineStr">
        <is>
          <t>15m</t>
        </is>
      </c>
      <c r="N405" s="21" t="inlineStr">
        <is>
          <t>TF selector</t>
        </is>
      </c>
      <c r="O405" s="21" t="inlineStr">
        <is>
          <t>OPEN_INTENT_SIZE_GATES_FILTER_TF</t>
        </is>
      </c>
      <c r="P405" s="21" t="inlineStr">
        <is>
          <t>getattr(cfg,"OPEN_INTENT_SIZE_GATES_FILTER_TF")</t>
        </is>
      </c>
      <c r="Q405" t="inlineStr">
        <is>
          <t>YES</t>
        </is>
      </c>
    </row>
    <row r="406">
      <c r="A406" s="24" t="n">
        <v>113</v>
      </c>
      <c r="B406" s="25" t="inlineStr">
        <is>
          <t>PARTIAL_PROFIT_LOCK_V2_FILTER_TF</t>
        </is>
      </c>
      <c r="C406" s="23" t="inlineStr">
        <is>
          <t>OFF</t>
        </is>
      </c>
      <c r="D406" s="26" t="inlineStr">
        <is>
          <t>Partial profit lock v2 confirmation TF. | Live read: `OUNCE_ENABLED', 'ENABLE_FAST_RISER_REDUCE', 'HAIKU_AUGMENT_FRACTION', 'HAIKU_AUG`</t>
        </is>
      </c>
      <c r="E406" s="26" t="inlineStr">
        <is>
          <t>GLOBAL_CHECK</t>
        </is>
      </c>
      <c r="F406" s="24" t="inlineStr">
        <is>
          <t>GLOBAL_CHECK</t>
        </is>
      </c>
      <c r="G406" s="26" t="inlineStr">
        <is>
          <t>PARTIAL_PROFIT_LOCK_V2</t>
        </is>
      </c>
      <c r="H406" s="24" t="inlineStr">
        <is>
          <t>SPECIFIC — only gated switches</t>
        </is>
      </c>
      <c r="I406" s="24" t="inlineStr">
        <is>
          <t>LIVE — wired</t>
        </is>
      </c>
      <c r="J406" s="24" t="n"/>
      <c r="K406" s="21" t="inlineStr">
        <is>
          <t>1/4</t>
        </is>
      </c>
      <c r="L406" s="21" t="inlineStr">
        <is>
          <t>OFF, 15m, 1h, 4h, D (5 options)</t>
        </is>
      </c>
      <c r="M406" s="21" t="inlineStr">
        <is>
          <t>15m</t>
        </is>
      </c>
      <c r="N406" s="21" t="inlineStr">
        <is>
          <t>TF selector</t>
        </is>
      </c>
      <c r="O406" s="21" t="inlineStr">
        <is>
          <t>PARTIAL_PROFIT_LOCK_V2_FILTER_TF</t>
        </is>
      </c>
      <c r="P406" s="21" t="inlineStr">
        <is>
          <t>getattr(cfg,"PARTIAL_PROFIT_LOCK_V2_FILTER_TF")</t>
        </is>
      </c>
      <c r="Q406" t="inlineStr">
        <is>
          <t>NO</t>
        </is>
      </c>
    </row>
    <row r="407">
      <c r="A407" s="24" t="n">
        <v>113</v>
      </c>
      <c r="B407" s="25" t="inlineStr">
        <is>
          <t>PARTIAL_PROFIT_LOCK_V2_FILTER_TF</t>
        </is>
      </c>
      <c r="C407" s="23" t="inlineStr">
        <is>
          <t>D</t>
        </is>
      </c>
      <c r="D407" s="26" t="inlineStr">
        <is>
          <t>Partial profit lock v2 confirmation TF. | Live read: `OUNCE_ENABLED', 'ENABLE_FAST_RISER_REDUCE', 'HAIKU_AUGMENT_FRACTION', 'HAIKU_AUG`</t>
        </is>
      </c>
      <c r="E407" s="26" t="inlineStr">
        <is>
          <t>GLOBAL_CHECK</t>
        </is>
      </c>
      <c r="F407" s="24" t="inlineStr">
        <is>
          <t>GLOBAL_CHECK</t>
        </is>
      </c>
      <c r="G407" s="26" t="inlineStr">
        <is>
          <t>PARTIAL_PROFIT_LOCK_V2</t>
        </is>
      </c>
      <c r="H407" s="24" t="inlineStr">
        <is>
          <t>SPECIFIC — only gated switches</t>
        </is>
      </c>
      <c r="I407" s="24" t="inlineStr">
        <is>
          <t>LIVE — wired</t>
        </is>
      </c>
      <c r="J407" s="24" t="n"/>
      <c r="K407" s="21" t="inlineStr">
        <is>
          <t>1/4</t>
        </is>
      </c>
      <c r="L407" s="21" t="inlineStr">
        <is>
          <t>OFF, 15m, 1h, 4h, D (5 options)</t>
        </is>
      </c>
      <c r="M407" s="21" t="inlineStr">
        <is>
          <t>15m</t>
        </is>
      </c>
      <c r="N407" s="21" t="inlineStr">
        <is>
          <t>TF selector</t>
        </is>
      </c>
      <c r="O407" s="21" t="inlineStr">
        <is>
          <t>PARTIAL_PROFIT_LOCK_V2_FILTER_TF</t>
        </is>
      </c>
      <c r="P407" s="21" t="inlineStr">
        <is>
          <t>getattr(cfg,"PARTIAL_PROFIT_LOCK_V2_FILTER_TF")</t>
        </is>
      </c>
      <c r="Q407" t="inlineStr">
        <is>
          <t>NO</t>
        </is>
      </c>
    </row>
    <row r="408">
      <c r="A408" s="24" t="n">
        <v>113</v>
      </c>
      <c r="B408" s="25" t="inlineStr">
        <is>
          <t>PARTIAL_PROFIT_LOCK_V2_FILTER_TF</t>
        </is>
      </c>
      <c r="C408" s="23" t="inlineStr">
        <is>
          <t>4h</t>
        </is>
      </c>
      <c r="D408" s="26" t="inlineStr">
        <is>
          <t>Partial profit lock v2 confirmation TF. | Live read: `OUNCE_ENABLED', 'ENABLE_FAST_RISER_REDUCE', 'HAIKU_AUGMENT_FRACTION', 'HAIKU_AUG`</t>
        </is>
      </c>
      <c r="E408" s="26" t="inlineStr">
        <is>
          <t>GLOBAL_CHECK</t>
        </is>
      </c>
      <c r="F408" s="24" t="inlineStr">
        <is>
          <t>GLOBAL_CHECK</t>
        </is>
      </c>
      <c r="G408" s="26" t="inlineStr">
        <is>
          <t>PARTIAL_PROFIT_LOCK_V2</t>
        </is>
      </c>
      <c r="H408" s="24" t="inlineStr">
        <is>
          <t>SPECIFIC — only gated switches</t>
        </is>
      </c>
      <c r="I408" s="24" t="inlineStr">
        <is>
          <t>LIVE — wired</t>
        </is>
      </c>
      <c r="J408" s="24" t="n"/>
      <c r="K408" s="21" t="inlineStr">
        <is>
          <t>1/4</t>
        </is>
      </c>
      <c r="L408" s="21" t="inlineStr">
        <is>
          <t>OFF, 15m, 1h, 4h, D (5 options)</t>
        </is>
      </c>
      <c r="M408" s="21" t="inlineStr">
        <is>
          <t>15m</t>
        </is>
      </c>
      <c r="N408" s="21" t="inlineStr">
        <is>
          <t>TF selector</t>
        </is>
      </c>
      <c r="O408" s="21" t="inlineStr">
        <is>
          <t>PARTIAL_PROFIT_LOCK_V2_FILTER_TF</t>
        </is>
      </c>
      <c r="P408" s="21" t="inlineStr">
        <is>
          <t>getattr(cfg,"PARTIAL_PROFIT_LOCK_V2_FILTER_TF")</t>
        </is>
      </c>
      <c r="Q408" t="inlineStr">
        <is>
          <t>NO</t>
        </is>
      </c>
    </row>
    <row r="409">
      <c r="A409" s="24" t="n">
        <v>113</v>
      </c>
      <c r="B409" s="25" t="inlineStr">
        <is>
          <t>PARTIAL_PROFIT_LOCK_V2_FILTER_TF</t>
        </is>
      </c>
      <c r="C409" s="23" t="inlineStr">
        <is>
          <t>1h</t>
        </is>
      </c>
      <c r="D409" s="26" t="inlineStr">
        <is>
          <t>Partial profit lock v2 confirmation TF. | Live read: `OUNCE_ENABLED', 'ENABLE_FAST_RISER_REDUCE', 'HAIKU_AUGMENT_FRACTION', 'HAIKU_AUG`</t>
        </is>
      </c>
      <c r="E409" s="26" t="inlineStr">
        <is>
          <t>GLOBAL_CHECK</t>
        </is>
      </c>
      <c r="F409" s="24" t="inlineStr">
        <is>
          <t>GLOBAL_CHECK</t>
        </is>
      </c>
      <c r="G409" s="26" t="inlineStr">
        <is>
          <t>PARTIAL_PROFIT_LOCK_V2</t>
        </is>
      </c>
      <c r="H409" s="24" t="inlineStr">
        <is>
          <t>SPECIFIC — only gated switches</t>
        </is>
      </c>
      <c r="I409" s="24" t="inlineStr">
        <is>
          <t>LIVE — wired</t>
        </is>
      </c>
      <c r="J409" s="24" t="n"/>
      <c r="K409" s="21" t="inlineStr">
        <is>
          <t>1/4</t>
        </is>
      </c>
      <c r="L409" s="21" t="inlineStr">
        <is>
          <t>OFF, 15m, 1h, 4h, D (5 options)</t>
        </is>
      </c>
      <c r="M409" s="21" t="inlineStr">
        <is>
          <t>15m</t>
        </is>
      </c>
      <c r="N409" s="21" t="inlineStr">
        <is>
          <t>TF selector</t>
        </is>
      </c>
      <c r="O409" s="21" t="inlineStr">
        <is>
          <t>PARTIAL_PROFIT_LOCK_V2_FILTER_TF</t>
        </is>
      </c>
      <c r="P409" s="21" t="inlineStr">
        <is>
          <t>getattr(cfg,"PARTIAL_PROFIT_LOCK_V2_FILTER_TF")</t>
        </is>
      </c>
      <c r="Q409" t="inlineStr">
        <is>
          <t>NO</t>
        </is>
      </c>
    </row>
    <row r="410">
      <c r="A410" s="24" t="n">
        <v>113</v>
      </c>
      <c r="B410" s="27" t="inlineStr">
        <is>
          <t>PARTIAL_PROFIT_LOCK_V2_FILTER_TF</t>
        </is>
      </c>
      <c r="C410" s="19" t="inlineStr">
        <is>
          <t>15m</t>
        </is>
      </c>
      <c r="D410" s="26" t="inlineStr">
        <is>
          <t>Partial profit lock v2 confirmation TF. | Live read: `OUNCE_ENABLED', 'ENABLE_FAST_RISER_REDUCE', 'HAIKU_AUGMENT_FRACTION', 'HAIKU_AUG`</t>
        </is>
      </c>
      <c r="E410" s="26" t="inlineStr">
        <is>
          <t>GLOBAL_CHECK</t>
        </is>
      </c>
      <c r="F410" s="24" t="inlineStr">
        <is>
          <t>GLOBAL_CHECK</t>
        </is>
      </c>
      <c r="G410" s="26" t="inlineStr">
        <is>
          <t>PARTIAL_PROFIT_LOCK_V2</t>
        </is>
      </c>
      <c r="H410" s="24" t="inlineStr">
        <is>
          <t>SPECIFIC — only gated switches</t>
        </is>
      </c>
      <c r="I410" s="24" t="inlineStr">
        <is>
          <t>LIVE — wired</t>
        </is>
      </c>
      <c r="J410" s="24" t="n"/>
      <c r="K410" s="21" t="inlineStr">
        <is>
          <t>1/4</t>
        </is>
      </c>
      <c r="L410" s="21" t="inlineStr">
        <is>
          <t>OFF, 15m, 1h, 4h, D (5 options)</t>
        </is>
      </c>
      <c r="M410" s="21" t="inlineStr">
        <is>
          <t>15m</t>
        </is>
      </c>
      <c r="N410" s="21" t="inlineStr">
        <is>
          <t>TF selector</t>
        </is>
      </c>
      <c r="O410" s="21" t="inlineStr">
        <is>
          <t>PARTIAL_PROFIT_LOCK_V2_FILTER_TF</t>
        </is>
      </c>
      <c r="P410" s="21" t="inlineStr">
        <is>
          <t>getattr(cfg,"PARTIAL_PROFIT_LOCK_V2_FILTER_TF")</t>
        </is>
      </c>
      <c r="Q410" t="inlineStr">
        <is>
          <t>YES</t>
        </is>
      </c>
    </row>
    <row r="411">
      <c r="A411" s="24" t="n">
        <v>114</v>
      </c>
      <c r="B411" s="25" t="inlineStr">
        <is>
          <t>PEAK_GIVEBACK_BE_EROSION_FILTER_TF</t>
        </is>
      </c>
      <c r="C411" s="23" t="inlineStr">
        <is>
          <t>OFF</t>
        </is>
      </c>
      <c r="D411" s="26" t="inlineStr">
        <is>
          <t>Peak giveback / breakeven erosion filter TF. | Live read: `OCH_EXTREME', 'LR_BAND_LADDER_TF_BOTTOM', 'LR_BAND_LADDER_TF_TOP', 'LTF_ALIGN_GA`</t>
        </is>
      </c>
      <c r="E411" s="26" t="inlineStr">
        <is>
          <t>GLOBAL_CHECK</t>
        </is>
      </c>
      <c r="F411" s="24" t="inlineStr">
        <is>
          <t>GLOBAL_CHECK</t>
        </is>
      </c>
      <c r="G411" s="26" t="inlineStr">
        <is>
          <t>PEAK_GIVEBACK_BE_EROSION</t>
        </is>
      </c>
      <c r="H411" s="24" t="inlineStr">
        <is>
          <t>SPECIFIC — only gated switches</t>
        </is>
      </c>
      <c r="I411" s="24" t="inlineStr">
        <is>
          <t>LIVE — wired</t>
        </is>
      </c>
      <c r="J411" s="24" t="n"/>
      <c r="K411" s="21" t="inlineStr">
        <is>
          <t>1/4</t>
        </is>
      </c>
      <c r="L411" s="21" t="inlineStr">
        <is>
          <t>OFF, 15m, 1h, 4h, D (5 options)</t>
        </is>
      </c>
      <c r="M411" s="21" t="inlineStr">
        <is>
          <t>15m</t>
        </is>
      </c>
      <c r="N411" s="21" t="inlineStr">
        <is>
          <t>TF selector</t>
        </is>
      </c>
      <c r="O411" s="21" t="inlineStr">
        <is>
          <t>PEAK_GIVEBACK_BE_EROSION_FILTER_TF</t>
        </is>
      </c>
      <c r="P411" s="21" t="inlineStr">
        <is>
          <t>getattr(cfg,"PEAK_GIVEBACK_BE_EROSION_FILTER_TF")</t>
        </is>
      </c>
      <c r="Q411" t="inlineStr">
        <is>
          <t>NO</t>
        </is>
      </c>
    </row>
    <row r="412">
      <c r="A412" s="24" t="n">
        <v>114</v>
      </c>
      <c r="B412" s="25" t="inlineStr">
        <is>
          <t>PEAK_GIVEBACK_BE_EROSION_FILTER_TF</t>
        </is>
      </c>
      <c r="C412" s="23" t="inlineStr">
        <is>
          <t>D</t>
        </is>
      </c>
      <c r="D412" s="26" t="inlineStr">
        <is>
          <t>Peak giveback / breakeven erosion filter TF. | Live read: `OCH_EXTREME', 'LR_BAND_LADDER_TF_BOTTOM', 'LR_BAND_LADDER_TF_TOP', 'LTF_ALIGN_GA`</t>
        </is>
      </c>
      <c r="E412" s="26" t="inlineStr">
        <is>
          <t>GLOBAL_CHECK</t>
        </is>
      </c>
      <c r="F412" s="24" t="inlineStr">
        <is>
          <t>GLOBAL_CHECK</t>
        </is>
      </c>
      <c r="G412" s="26" t="inlineStr">
        <is>
          <t>PEAK_GIVEBACK_BE_EROSION</t>
        </is>
      </c>
      <c r="H412" s="24" t="inlineStr">
        <is>
          <t>SPECIFIC — only gated switches</t>
        </is>
      </c>
      <c r="I412" s="24" t="inlineStr">
        <is>
          <t>LIVE — wired</t>
        </is>
      </c>
      <c r="J412" s="24" t="n"/>
      <c r="K412" s="21" t="inlineStr">
        <is>
          <t>1/4</t>
        </is>
      </c>
      <c r="L412" s="21" t="inlineStr">
        <is>
          <t>OFF, 15m, 1h, 4h, D (5 options)</t>
        </is>
      </c>
      <c r="M412" s="21" t="inlineStr">
        <is>
          <t>15m</t>
        </is>
      </c>
      <c r="N412" s="21" t="inlineStr">
        <is>
          <t>TF selector</t>
        </is>
      </c>
      <c r="O412" s="21" t="inlineStr">
        <is>
          <t>PEAK_GIVEBACK_BE_EROSION_FILTER_TF</t>
        </is>
      </c>
      <c r="P412" s="21" t="inlineStr">
        <is>
          <t>getattr(cfg,"PEAK_GIVEBACK_BE_EROSION_FILTER_TF")</t>
        </is>
      </c>
      <c r="Q412" t="inlineStr">
        <is>
          <t>NO</t>
        </is>
      </c>
    </row>
    <row r="413">
      <c r="A413" s="24" t="n">
        <v>114</v>
      </c>
      <c r="B413" s="25" t="inlineStr">
        <is>
          <t>PEAK_GIVEBACK_BE_EROSION_FILTER_TF</t>
        </is>
      </c>
      <c r="C413" s="23" t="inlineStr">
        <is>
          <t>4h</t>
        </is>
      </c>
      <c r="D413" s="26" t="inlineStr">
        <is>
          <t>Peak giveback / breakeven erosion filter TF. | Live read: `OCH_EXTREME', 'LR_BAND_LADDER_TF_BOTTOM', 'LR_BAND_LADDER_TF_TOP', 'LTF_ALIGN_GA`</t>
        </is>
      </c>
      <c r="E413" s="26" t="inlineStr">
        <is>
          <t>GLOBAL_CHECK</t>
        </is>
      </c>
      <c r="F413" s="24" t="inlineStr">
        <is>
          <t>GLOBAL_CHECK</t>
        </is>
      </c>
      <c r="G413" s="26" t="inlineStr">
        <is>
          <t>PEAK_GIVEBACK_BE_EROSION</t>
        </is>
      </c>
      <c r="H413" s="24" t="inlineStr">
        <is>
          <t>SPECIFIC — only gated switches</t>
        </is>
      </c>
      <c r="I413" s="24" t="inlineStr">
        <is>
          <t>LIVE — wired</t>
        </is>
      </c>
      <c r="J413" s="24" t="n"/>
      <c r="K413" s="21" t="inlineStr">
        <is>
          <t>1/4</t>
        </is>
      </c>
      <c r="L413" s="21" t="inlineStr">
        <is>
          <t>OFF, 15m, 1h, 4h, D (5 options)</t>
        </is>
      </c>
      <c r="M413" s="21" t="inlineStr">
        <is>
          <t>15m</t>
        </is>
      </c>
      <c r="N413" s="21" t="inlineStr">
        <is>
          <t>TF selector</t>
        </is>
      </c>
      <c r="O413" s="21" t="inlineStr">
        <is>
          <t>PEAK_GIVEBACK_BE_EROSION_FILTER_TF</t>
        </is>
      </c>
      <c r="P413" s="21" t="inlineStr">
        <is>
          <t>getattr(cfg,"PEAK_GIVEBACK_BE_EROSION_FILTER_TF")</t>
        </is>
      </c>
      <c r="Q413" t="inlineStr">
        <is>
          <t>NO</t>
        </is>
      </c>
    </row>
    <row r="414">
      <c r="A414" s="24" t="n">
        <v>114</v>
      </c>
      <c r="B414" s="25" t="inlineStr">
        <is>
          <t>PEAK_GIVEBACK_BE_EROSION_FILTER_TF</t>
        </is>
      </c>
      <c r="C414" s="23" t="inlineStr">
        <is>
          <t>1h</t>
        </is>
      </c>
      <c r="D414" s="26" t="inlineStr">
        <is>
          <t>Peak giveback / breakeven erosion filter TF. | Live read: `OCH_EXTREME', 'LR_BAND_LADDER_TF_BOTTOM', 'LR_BAND_LADDER_TF_TOP', 'LTF_ALIGN_GA`</t>
        </is>
      </c>
      <c r="E414" s="26" t="inlineStr">
        <is>
          <t>GLOBAL_CHECK</t>
        </is>
      </c>
      <c r="F414" s="24" t="inlineStr">
        <is>
          <t>GLOBAL_CHECK</t>
        </is>
      </c>
      <c r="G414" s="26" t="inlineStr">
        <is>
          <t>PEAK_GIVEBACK_BE_EROSION</t>
        </is>
      </c>
      <c r="H414" s="24" t="inlineStr">
        <is>
          <t>SPECIFIC — only gated switches</t>
        </is>
      </c>
      <c r="I414" s="24" t="inlineStr">
        <is>
          <t>LIVE — wired</t>
        </is>
      </c>
      <c r="J414" s="24" t="n"/>
      <c r="K414" s="21" t="inlineStr">
        <is>
          <t>1/4</t>
        </is>
      </c>
      <c r="L414" s="21" t="inlineStr">
        <is>
          <t>OFF, 15m, 1h, 4h, D (5 options)</t>
        </is>
      </c>
      <c r="M414" s="21" t="inlineStr">
        <is>
          <t>15m</t>
        </is>
      </c>
      <c r="N414" s="21" t="inlineStr">
        <is>
          <t>TF selector</t>
        </is>
      </c>
      <c r="O414" s="21" t="inlineStr">
        <is>
          <t>PEAK_GIVEBACK_BE_EROSION_FILTER_TF</t>
        </is>
      </c>
      <c r="P414" s="21" t="inlineStr">
        <is>
          <t>getattr(cfg,"PEAK_GIVEBACK_BE_EROSION_FILTER_TF")</t>
        </is>
      </c>
      <c r="Q414" t="inlineStr">
        <is>
          <t>NO</t>
        </is>
      </c>
    </row>
    <row r="415">
      <c r="A415" s="24" t="n">
        <v>114</v>
      </c>
      <c r="B415" s="27" t="inlineStr">
        <is>
          <t>PEAK_GIVEBACK_BE_EROSION_FILTER_TF</t>
        </is>
      </c>
      <c r="C415" s="19" t="inlineStr">
        <is>
          <t>15m</t>
        </is>
      </c>
      <c r="D415" s="26" t="inlineStr">
        <is>
          <t>Peak giveback / breakeven erosion filter TF. | Live read: `OCH_EXTREME', 'LR_BAND_LADDER_TF_BOTTOM', 'LR_BAND_LADDER_TF_TOP', 'LTF_ALIGN_GA`</t>
        </is>
      </c>
      <c r="E415" s="26" t="inlineStr">
        <is>
          <t>GLOBAL_CHECK</t>
        </is>
      </c>
      <c r="F415" s="24" t="inlineStr">
        <is>
          <t>GLOBAL_CHECK</t>
        </is>
      </c>
      <c r="G415" s="26" t="inlineStr">
        <is>
          <t>PEAK_GIVEBACK_BE_EROSION</t>
        </is>
      </c>
      <c r="H415" s="24" t="inlineStr">
        <is>
          <t>SPECIFIC — only gated switches</t>
        </is>
      </c>
      <c r="I415" s="24" t="inlineStr">
        <is>
          <t>LIVE — wired</t>
        </is>
      </c>
      <c r="J415" s="24" t="n"/>
      <c r="K415" s="21" t="inlineStr">
        <is>
          <t>1/4</t>
        </is>
      </c>
      <c r="L415" s="21" t="inlineStr">
        <is>
          <t>OFF, 15m, 1h, 4h, D (5 options)</t>
        </is>
      </c>
      <c r="M415" s="21" t="inlineStr">
        <is>
          <t>15m</t>
        </is>
      </c>
      <c r="N415" s="21" t="inlineStr">
        <is>
          <t>TF selector</t>
        </is>
      </c>
      <c r="O415" s="21" t="inlineStr">
        <is>
          <t>PEAK_GIVEBACK_BE_EROSION_FILTER_TF</t>
        </is>
      </c>
      <c r="P415" s="21" t="inlineStr">
        <is>
          <t>getattr(cfg,"PEAK_GIVEBACK_BE_EROSION_FILTER_TF")</t>
        </is>
      </c>
      <c r="Q415" t="inlineStr">
        <is>
          <t>YES</t>
        </is>
      </c>
    </row>
    <row r="416">
      <c r="A416" t="n">
        <v>421</v>
      </c>
      <c r="B416" t="inlineStr">
        <is>
          <t>WT_15M_BOUNCE_BB_MIN</t>
        </is>
      </c>
      <c r="C416" t="n">
        <v>0.05</v>
      </c>
      <c r="D416" t="inlineStr">
        <is>
          <t>Sub-filter for WT_15M_BOUNCE_OPEN_ENABLED TRUE - WT_15M_BOUNCE_BB_MIN=0.05 (moved from switch rows to filter dictionary to prevent premature discard of WT True neg delta)</t>
        </is>
      </c>
      <c r="E416" t="inlineStr">
        <is>
          <t>ENTRY_PULLBACK_BOUNCE</t>
        </is>
      </c>
      <c r="F416" t="inlineStr">
        <is>
          <t>ENTRY_PULLBACK_BOUNCE</t>
        </is>
      </c>
      <c r="G416" t="inlineStr">
        <is>
          <t>WT_15M_BOUNCE_OPEN_ENABLED</t>
        </is>
      </c>
      <c r="H416" t="inlineStr">
        <is>
          <t>SPECIFIC — only gated switches</t>
        </is>
      </c>
      <c r="I416" t="inlineStr">
        <is>
          <t>LIVE — wired (QuickConfig)</t>
        </is>
      </c>
    </row>
    <row r="417">
      <c r="A417" t="n">
        <v>422</v>
      </c>
      <c r="B417" t="inlineStr">
        <is>
          <t>WT_15M_BOUNCE_BB_MIN</t>
        </is>
      </c>
      <c r="C417" t="n">
        <v>0.1</v>
      </c>
      <c r="D417" t="inlineStr">
        <is>
          <t>Sub-filter for WT_15M_BOUNCE_OPEN_ENABLED TRUE - WT_15M_BOUNCE_BB_MIN=0.1 (moved from switch rows to filter dictionary to prevent premature discard of WT True neg delta)</t>
        </is>
      </c>
      <c r="E417" t="inlineStr">
        <is>
          <t>ENTRY_PULLBACK_BOUNCE</t>
        </is>
      </c>
      <c r="F417" t="inlineStr">
        <is>
          <t>ENTRY_PULLBACK_BOUNCE</t>
        </is>
      </c>
      <c r="G417" t="inlineStr">
        <is>
          <t>WT_15M_BOUNCE_OPEN_ENABLED</t>
        </is>
      </c>
      <c r="H417" t="inlineStr">
        <is>
          <t>SPECIFIC — only gated switches</t>
        </is>
      </c>
      <c r="I417" t="inlineStr">
        <is>
          <t>LIVE — wired (QuickConfig)</t>
        </is>
      </c>
    </row>
    <row r="418">
      <c r="A418" t="n">
        <v>423</v>
      </c>
      <c r="B418" t="inlineStr">
        <is>
          <t>WT_15M_BOUNCE_BB_MIN</t>
        </is>
      </c>
      <c r="C418" t="n">
        <v>0.2</v>
      </c>
      <c r="D418" t="inlineStr">
        <is>
          <t>Sub-filter for WT_15M_BOUNCE_OPEN_ENABLED TRUE - WT_15M_BOUNCE_BB_MIN=0.2 (moved from switch rows to filter dictionary to prevent premature discard of WT True neg delta)</t>
        </is>
      </c>
      <c r="E418" t="inlineStr">
        <is>
          <t>ENTRY_PULLBACK_BOUNCE</t>
        </is>
      </c>
      <c r="F418" t="inlineStr">
        <is>
          <t>ENTRY_PULLBACK_BOUNCE</t>
        </is>
      </c>
      <c r="G418" t="inlineStr">
        <is>
          <t>WT_15M_BOUNCE_OPEN_ENABLED</t>
        </is>
      </c>
      <c r="H418" t="inlineStr">
        <is>
          <t>SPECIFIC — only gated switches</t>
        </is>
      </c>
      <c r="I418" t="inlineStr">
        <is>
          <t>LIVE — wired (QuickConfig)</t>
        </is>
      </c>
    </row>
    <row r="419">
      <c r="A419" t="n">
        <v>424</v>
      </c>
      <c r="B419" t="inlineStr">
        <is>
          <t>WT_15M_BOUNCE_BB_MAX</t>
        </is>
      </c>
      <c r="C419" t="n">
        <v>0.95</v>
      </c>
      <c r="D419" t="inlineStr">
        <is>
          <t>Sub-filter for WT_15M_BOUNCE_OPEN_ENABLED TRUE - WT_15M_BOUNCE_BB_MAX=0.95 (moved from switch rows to filter dictionary to prevent premature discard of WT True neg delta)</t>
        </is>
      </c>
      <c r="E419" t="inlineStr">
        <is>
          <t>ENTRY_PULLBACK_BOUNCE</t>
        </is>
      </c>
      <c r="F419" t="inlineStr">
        <is>
          <t>ENTRY_PULLBACK_BOUNCE</t>
        </is>
      </c>
      <c r="G419" t="inlineStr">
        <is>
          <t>WT_15M_BOUNCE_OPEN_ENABLED</t>
        </is>
      </c>
      <c r="H419" t="inlineStr">
        <is>
          <t>SPECIFIC — only gated switches</t>
        </is>
      </c>
      <c r="I419" t="inlineStr">
        <is>
          <t>LIVE — wired (QuickConfig)</t>
        </is>
      </c>
    </row>
    <row r="420">
      <c r="A420" t="n">
        <v>425</v>
      </c>
      <c r="B420" t="inlineStr">
        <is>
          <t>WT_15M_BOUNCE_BB_MAX</t>
        </is>
      </c>
      <c r="C420" t="n">
        <v>0.9</v>
      </c>
      <c r="D420" t="inlineStr">
        <is>
          <t>Sub-filter for WT_15M_BOUNCE_OPEN_ENABLED TRUE - WT_15M_BOUNCE_BB_MAX=0.9 (moved from switch rows to filter dictionary to prevent premature discard of WT True neg delta)</t>
        </is>
      </c>
      <c r="E420" t="inlineStr">
        <is>
          <t>ENTRY_PULLBACK_BOUNCE</t>
        </is>
      </c>
      <c r="F420" t="inlineStr">
        <is>
          <t>ENTRY_PULLBACK_BOUNCE</t>
        </is>
      </c>
      <c r="G420" t="inlineStr">
        <is>
          <t>WT_15M_BOUNCE_OPEN_ENABLED</t>
        </is>
      </c>
      <c r="H420" t="inlineStr">
        <is>
          <t>SPECIFIC — only gated switches</t>
        </is>
      </c>
      <c r="I420" t="inlineStr">
        <is>
          <t>LIVE — wired (QuickConfig)</t>
        </is>
      </c>
    </row>
    <row r="421">
      <c r="A421" t="n">
        <v>426</v>
      </c>
      <c r="B421" t="inlineStr">
        <is>
          <t>WT_15M_BOUNCE_BB_MAX</t>
        </is>
      </c>
      <c r="C421" t="n">
        <v>0.8</v>
      </c>
      <c r="D421" t="inlineStr">
        <is>
          <t>Sub-filter for WT_15M_BOUNCE_OPEN_ENABLED TRUE - WT_15M_BOUNCE_BB_MAX=0.8 (moved from switch rows to filter dictionary to prevent premature discard of WT True neg delta)</t>
        </is>
      </c>
      <c r="E421" t="inlineStr">
        <is>
          <t>ENTRY_PULLBACK_BOUNCE</t>
        </is>
      </c>
      <c r="F421" t="inlineStr">
        <is>
          <t>ENTRY_PULLBACK_BOUNCE</t>
        </is>
      </c>
      <c r="G421" t="inlineStr">
        <is>
          <t>WT_15M_BOUNCE_OPEN_ENABLED</t>
        </is>
      </c>
      <c r="H421" t="inlineStr">
        <is>
          <t>SPECIFIC — only gated switches</t>
        </is>
      </c>
      <c r="I421" t="inlineStr">
        <is>
          <t>LIVE — wired (QuickConfig)</t>
        </is>
      </c>
    </row>
    <row r="422">
      <c r="A422" t="n">
        <v>427</v>
      </c>
      <c r="B422" t="inlineStr">
        <is>
          <t>WT_15M_BOUNCE_LOW_1H_GT_PREV</t>
        </is>
      </c>
      <c r="C422" t="b">
        <v>1</v>
      </c>
      <c r="D422" t="inlineStr">
        <is>
          <t>Sub-filter for WT_15M_BOUNCE_OPEN_ENABLED TRUE - WT_15M_BOUNCE_LOW_1H_GT_PREV=True (moved from switch rows to filter dictionary to prevent premature discard of WT True neg delta)</t>
        </is>
      </c>
      <c r="E422" t="inlineStr">
        <is>
          <t>ENTRY_PULLBACK_BOUNCE</t>
        </is>
      </c>
      <c r="F422" t="inlineStr">
        <is>
          <t>ENTRY_PULLBACK_BOUNCE</t>
        </is>
      </c>
      <c r="G422" t="inlineStr">
        <is>
          <t>WT_15M_BOUNCE_OPEN_ENABLED</t>
        </is>
      </c>
      <c r="H422" t="inlineStr">
        <is>
          <t>SPECIFIC — only gated switches</t>
        </is>
      </c>
      <c r="I422" t="inlineStr">
        <is>
          <t>LIVE — wired (QuickConfig)</t>
        </is>
      </c>
    </row>
    <row r="423">
      <c r="A423" t="n">
        <v>428</v>
      </c>
      <c r="B423" t="inlineStr">
        <is>
          <t>WT_15M_BOUNCE_LOW_1H_GT_PREV</t>
        </is>
      </c>
      <c r="C423" t="b">
        <v>0</v>
      </c>
      <c r="D423" t="inlineStr">
        <is>
          <t>Sub-filter for WT_15M_BOUNCE_OPEN_ENABLED TRUE - WT_15M_BOUNCE_LOW_1H_GT_PREV=False (moved from switch rows to filter dictionary to prevent premature discard of WT True neg delta)</t>
        </is>
      </c>
      <c r="E423" t="inlineStr">
        <is>
          <t>ENTRY_PULLBACK_BOUNCE</t>
        </is>
      </c>
      <c r="F423" t="inlineStr">
        <is>
          <t>ENTRY_PULLBACK_BOUNCE</t>
        </is>
      </c>
      <c r="G423" t="inlineStr">
        <is>
          <t>WT_15M_BOUNCE_OPEN_ENABLED</t>
        </is>
      </c>
      <c r="H423" t="inlineStr">
        <is>
          <t>SPECIFIC — only gated switches</t>
        </is>
      </c>
      <c r="I423" t="inlineStr">
        <is>
          <t>LIVE — wired (QuickConfig)</t>
        </is>
      </c>
    </row>
    <row r="424">
      <c r="A424" t="n">
        <v>429</v>
      </c>
      <c r="B424" t="inlineStr">
        <is>
          <t>WT_15M_BOUNCE_HIGH_1H_GT_PREV</t>
        </is>
      </c>
      <c r="C424" t="b">
        <v>1</v>
      </c>
      <c r="D424" t="inlineStr">
        <is>
          <t>Sub-filter for WT_15M_BOUNCE_OPEN_ENABLED TRUE - WT_15M_BOUNCE_HIGH_1H_GT_PREV=True (moved from switch rows to filter dictionary to prevent premature discard of WT True neg delta)</t>
        </is>
      </c>
      <c r="E424" t="inlineStr">
        <is>
          <t>ENTRY_PULLBACK_BOUNCE</t>
        </is>
      </c>
      <c r="F424" t="inlineStr">
        <is>
          <t>ENTRY_PULLBACK_BOUNCE</t>
        </is>
      </c>
      <c r="G424" t="inlineStr">
        <is>
          <t>WT_15M_BOUNCE_OPEN_ENABLED</t>
        </is>
      </c>
      <c r="H424" t="inlineStr">
        <is>
          <t>SPECIFIC — only gated switches</t>
        </is>
      </c>
      <c r="I424" t="inlineStr">
        <is>
          <t>LIVE — wired (QuickConfig)</t>
        </is>
      </c>
    </row>
    <row r="425">
      <c r="A425" t="n">
        <v>430</v>
      </c>
      <c r="B425" t="inlineStr">
        <is>
          <t>WT_15M_BOUNCE_HIGH_1H_GT_PREV</t>
        </is>
      </c>
      <c r="C425" t="b">
        <v>0</v>
      </c>
      <c r="D425" t="inlineStr">
        <is>
          <t>Sub-filter for WT_15M_BOUNCE_OPEN_ENABLED TRUE - WT_15M_BOUNCE_HIGH_1H_GT_PREV=False (moved from switch rows to filter dictionary to prevent premature discard of WT True neg delta)</t>
        </is>
      </c>
      <c r="E425" t="inlineStr">
        <is>
          <t>ENTRY_PULLBACK_BOUNCE</t>
        </is>
      </c>
      <c r="F425" t="inlineStr">
        <is>
          <t>ENTRY_PULLBACK_BOUNCE</t>
        </is>
      </c>
      <c r="G425" t="inlineStr">
        <is>
          <t>WT_15M_BOUNCE_OPEN_ENABLED</t>
        </is>
      </c>
      <c r="H425" t="inlineStr">
        <is>
          <t>SPECIFIC — only gated switches</t>
        </is>
      </c>
      <c r="I425" t="inlineStr">
        <is>
          <t>LIVE — wired (QuickConfig)</t>
        </is>
      </c>
    </row>
    <row r="426">
      <c r="A426" t="n">
        <v>431</v>
      </c>
      <c r="B426" t="inlineStr">
        <is>
          <t>WT_15M_BOUNCE_REL_VOL_GT_1</t>
        </is>
      </c>
      <c r="C426" t="b">
        <v>1</v>
      </c>
      <c r="D426" t="inlineStr">
        <is>
          <t>Sub-filter for WT_15M_BOUNCE_OPEN_ENABLED TRUE - WT_15M_BOUNCE_REL_VOL_GT_1=True (moved from switch rows to filter dictionary to prevent premature discard of WT True neg delta)</t>
        </is>
      </c>
      <c r="E426" t="inlineStr">
        <is>
          <t>ENTRY_PULLBACK_BOUNCE</t>
        </is>
      </c>
      <c r="F426" t="inlineStr">
        <is>
          <t>ENTRY_PULLBACK_BOUNCE</t>
        </is>
      </c>
      <c r="G426" t="inlineStr">
        <is>
          <t>WT_15M_BOUNCE_OPEN_ENABLED</t>
        </is>
      </c>
      <c r="H426" t="inlineStr">
        <is>
          <t>SPECIFIC — only gated switches</t>
        </is>
      </c>
      <c r="I426" t="inlineStr">
        <is>
          <t>LIVE — wired (QuickConfig)</t>
        </is>
      </c>
    </row>
    <row r="427">
      <c r="A427" t="n">
        <v>432</v>
      </c>
      <c r="B427" t="inlineStr">
        <is>
          <t>WT_15M_BOUNCE_REL_VOL_GT_1</t>
        </is>
      </c>
      <c r="C427" t="b">
        <v>0</v>
      </c>
      <c r="D427" t="inlineStr">
        <is>
          <t>Sub-filter for WT_15M_BOUNCE_OPEN_ENABLED TRUE - WT_15M_BOUNCE_REL_VOL_GT_1=False (moved from switch rows to filter dictionary to prevent premature discard of WT True neg delta)</t>
        </is>
      </c>
      <c r="E427" t="inlineStr">
        <is>
          <t>ENTRY_PULLBACK_BOUNCE</t>
        </is>
      </c>
      <c r="F427" t="inlineStr">
        <is>
          <t>ENTRY_PULLBACK_BOUNCE</t>
        </is>
      </c>
      <c r="G427" t="inlineStr">
        <is>
          <t>WT_15M_BOUNCE_OPEN_ENABLED</t>
        </is>
      </c>
      <c r="H427" t="inlineStr">
        <is>
          <t>SPECIFIC — only gated switches</t>
        </is>
      </c>
      <c r="I427" t="inlineStr">
        <is>
          <t>LIVE — wired (QuickConfig)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Filled per metrics_guard - 30D parity deltas for 12 sym_sides (real numbers where NPZ available)</t>
        </is>
      </c>
      <c r="K1" s="36" t="inlineStr">
        <is>
          <t>is_default (backup if bold lost)</t>
        </is>
      </c>
    </row>
    <row r="3">
      <c r="A3" t="inlineStr">
        <is>
          <t>AAPL_LONG</t>
        </is>
      </c>
      <c r="B3" t="inlineStr">
        <is>
          <t>OK</t>
        </is>
      </c>
      <c r="C3" t="n">
        <v>-6.6311</v>
      </c>
      <c r="D3" t="n">
        <v>-0.2557</v>
      </c>
      <c r="E3" t="n">
        <v>41</v>
      </c>
      <c r="F3">
        <f>IFERROR(VLOOKUP($A3,Results_30d_Deltas!$A$2:$H$5000,8,FALSE)-E2,"")</f>
        <v/>
      </c>
      <c r="G3">
        <f>IFERROR(VLOOKUP($A3,Results_30d_Deltas!$A$2:$H$5000,7,FALSE)-E2,"")</f>
        <v/>
      </c>
      <c r="K3">
        <f>IF(B3=C3,"YES","NO")</f>
        <v/>
      </c>
    </row>
    <row r="4">
      <c r="A4" t="inlineStr">
        <is>
          <t>AAPL_SHORT</t>
        </is>
      </c>
      <c r="B4" t="inlineStr">
        <is>
          <t>OK</t>
        </is>
      </c>
      <c r="C4" t="n">
        <v>1.3858</v>
      </c>
      <c r="D4" t="n">
        <v>0.0498</v>
      </c>
      <c r="E4" t="n">
        <v>43</v>
      </c>
      <c r="F4">
        <f>IFERROR(VLOOKUP($A4,Results_30d_Deltas!$A$2:$H$5000,8,FALSE)-E3,"")</f>
        <v/>
      </c>
      <c r="G4">
        <f>IFERROR(VLOOKUP($A4,Results_30d_Deltas!$A$2:$H$5000,7,FALSE)-E3,"")</f>
        <v/>
      </c>
      <c r="K4">
        <f>IF(B4=C4,"YES","NO")</f>
        <v/>
      </c>
    </row>
    <row r="5">
      <c r="A5" t="inlineStr">
        <is>
          <t>MU_LONG</t>
        </is>
      </c>
      <c r="B5" t="inlineStr">
        <is>
          <t>OK</t>
        </is>
      </c>
      <c r="C5" t="n">
        <v>-0.3971</v>
      </c>
      <c r="D5" t="n">
        <v>-0.0038</v>
      </c>
      <c r="E5" t="n">
        <v>123</v>
      </c>
      <c r="F5">
        <f>IFERROR(VLOOKUP($A5,Results_30d_Deltas!$A$2:$H$5000,8,FALSE)-E4,"")</f>
        <v/>
      </c>
      <c r="G5">
        <f>IFERROR(VLOOKUP($A5,Results_30d_Deltas!$A$2:$H$5000,7,FALSE)-E4,"")</f>
        <v/>
      </c>
      <c r="K5">
        <f>IF(B5=C5,"YES","NO")</f>
        <v/>
      </c>
    </row>
    <row r="6">
      <c r="A6" t="inlineStr">
        <is>
          <t>MU_SHORT</t>
        </is>
      </c>
      <c r="B6" t="inlineStr">
        <is>
          <t>OK</t>
        </is>
      </c>
      <c r="C6" t="n">
        <v>10.1335</v>
      </c>
      <c r="D6" t="n">
        <v>0.0824</v>
      </c>
      <c r="E6" t="n">
        <v>121</v>
      </c>
      <c r="F6">
        <f>IFERROR(VLOOKUP($A6,Results_30d_Deltas!$A$2:$H$5000,8,FALSE)-E5,"")</f>
        <v/>
      </c>
      <c r="G6">
        <f>IFERROR(VLOOKUP($A6,Results_30d_Deltas!$A$2:$H$5000,7,FALSE)-E5,"")</f>
        <v/>
      </c>
      <c r="K6">
        <f>IF(B6=C6,"YES","NO")</f>
        <v/>
      </c>
    </row>
    <row r="7">
      <c r="A7" t="inlineStr">
        <is>
          <t>MSFT_LONG</t>
        </is>
      </c>
      <c r="B7" t="inlineStr">
        <is>
          <t>NO_NPZ</t>
        </is>
      </c>
      <c r="F7">
        <f>IFERROR(VLOOKUP($A7,Results_30d_Deltas!$A$2:$H$5000,8,FALSE)-E6,"")</f>
        <v/>
      </c>
      <c r="G7">
        <f>IFERROR(VLOOKUP($A7,Results_30d_Deltas!$A$2:$H$5000,7,FALSE)-E6,"")</f>
        <v/>
      </c>
      <c r="K7">
        <f>IF(B7=C7,"YES","NO")</f>
        <v/>
      </c>
    </row>
    <row r="8">
      <c r="A8" t="inlineStr">
        <is>
          <t>MSFT_SHORT</t>
        </is>
      </c>
      <c r="B8" t="inlineStr">
        <is>
          <t>NO_NPZ</t>
        </is>
      </c>
      <c r="F8">
        <f>IFERROR(VLOOKUP($A8,Results_30d_Deltas!$A$2:$H$5000,8,FALSE)-E7,"")</f>
        <v/>
      </c>
      <c r="G8">
        <f>IFERROR(VLOOKUP($A8,Results_30d_Deltas!$A$2:$H$5000,7,FALSE)-E7,"")</f>
        <v/>
      </c>
      <c r="K8">
        <f>IF(B8=C8,"YES","NO")</f>
        <v/>
      </c>
    </row>
    <row r="9">
      <c r="A9" t="inlineStr">
        <is>
          <t>TSLA_LONG</t>
        </is>
      </c>
      <c r="B9" t="inlineStr">
        <is>
          <t>NO_NPZ</t>
        </is>
      </c>
      <c r="F9">
        <f>IFERROR(VLOOKUP($A9,Results_30d_Deltas!$A$2:$H$5000,8,FALSE)-E8,"")</f>
        <v/>
      </c>
      <c r="G9">
        <f>IFERROR(VLOOKUP($A9,Results_30d_Deltas!$A$2:$H$5000,7,FALSE)-E8,"")</f>
        <v/>
      </c>
      <c r="K9">
        <f>IF(B9=C9,"YES","NO")</f>
        <v/>
      </c>
    </row>
    <row r="10">
      <c r="A10" t="inlineStr">
        <is>
          <t>TSLA_SHORT</t>
        </is>
      </c>
      <c r="B10" t="inlineStr">
        <is>
          <t>NO_NPZ</t>
        </is>
      </c>
      <c r="F10">
        <f>IFERROR(VLOOKUP($A10,Results_30d_Deltas!$A$2:$H$5000,8,FALSE)-E9,"")</f>
        <v/>
      </c>
      <c r="G10">
        <f>IFERROR(VLOOKUP($A10,Results_30d_Deltas!$A$2:$H$5000,7,FALSE)-E9,"")</f>
        <v/>
      </c>
      <c r="K10">
        <f>IF(B10=C10,"YES","NO")</f>
        <v/>
      </c>
    </row>
    <row r="11">
      <c r="A11" t="inlineStr">
        <is>
          <t>BTC_LONG</t>
        </is>
      </c>
      <c r="B11" t="inlineStr">
        <is>
          <t>NO_NPZ</t>
        </is>
      </c>
      <c r="F11">
        <f>IFERROR(VLOOKUP($A11,Results_30d_Deltas!$A$2:$H$5000,8,FALSE)-E10,"")</f>
        <v/>
      </c>
      <c r="G11">
        <f>IFERROR(VLOOKUP($A11,Results_30d_Deltas!$A$2:$H$5000,7,FALSE)-E10,"")</f>
        <v/>
      </c>
      <c r="K11">
        <f>IF(B11=C11,"YES","NO")</f>
        <v/>
      </c>
    </row>
    <row r="12">
      <c r="A12" t="inlineStr">
        <is>
          <t>BTC_SHORT</t>
        </is>
      </c>
      <c r="B12" t="inlineStr">
        <is>
          <t>NO_NPZ</t>
        </is>
      </c>
      <c r="F12">
        <f>IFERROR(VLOOKUP($A12,Results_30d_Deltas!$A$2:$H$5000,8,FALSE)-E11,"")</f>
        <v/>
      </c>
      <c r="G12">
        <f>IFERROR(VLOOKUP($A12,Results_30d_Deltas!$A$2:$H$5000,7,FALSE)-E11,"")</f>
        <v/>
      </c>
      <c r="K12">
        <f>IF(B12=C12,"YES","NO")</f>
        <v/>
      </c>
    </row>
    <row r="13">
      <c r="A13" t="inlineStr">
        <is>
          <t>ETH_LONG</t>
        </is>
      </c>
      <c r="B13" t="inlineStr">
        <is>
          <t>NO_NPZ</t>
        </is>
      </c>
      <c r="F13">
        <f>IFERROR(VLOOKUP($A13,Results_30d_Deltas!$A$2:$H$5000,8,FALSE)-E12,"")</f>
        <v/>
      </c>
      <c r="G13">
        <f>IFERROR(VLOOKUP($A13,Results_30d_Deltas!$A$2:$H$5000,7,FALSE)-E12,"")</f>
        <v/>
      </c>
      <c r="K13">
        <f>IF(B13=C13,"YES","NO")</f>
        <v/>
      </c>
    </row>
    <row r="14">
      <c r="A14" t="inlineStr">
        <is>
          <t>ETH_SHORT</t>
        </is>
      </c>
      <c r="B14" t="inlineStr">
        <is>
          <t>NO_NPZ</t>
        </is>
      </c>
      <c r="F14">
        <f>IFERROR(VLOOKUP($A14,Results_30d_Deltas!$A$2:$H$5000,8,FALSE)-E13,"")</f>
        <v/>
      </c>
      <c r="G14">
        <f>IFERROR(VLOOKUP($A14,Results_30d_Deltas!$A$2:$H$5000,7,FALSE)-E13,"")</f>
        <v/>
      </c>
      <c r="K14">
        <f>IF(B14=C14,"YES","NO")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FORMULAS - READ INSTRUCTIONS_V2 FIRST</t>
        </is>
      </c>
      <c r="B1" t="inlineStr">
        <is>
          <t>formula</t>
        </is>
      </c>
      <c r="C1" t="inlineStr">
        <is>
          <t>overrides</t>
        </is>
      </c>
    </row>
    <row r="2">
      <c r="A2" t="inlineStr">
        <is>
          <t>FORMULA_BB_WT_GR_BBREC_DC</t>
        </is>
      </c>
      <c r="B2" t="inlineStr">
        <is>
          <t>BB_WT_TF=15m + GR=18 + BB_RECOVERY_FILTER_TF=OFF + DC_BREAK_FILTER_TF=1h</t>
        </is>
      </c>
      <c r="C2" t="inlineStr">
        <is>
          <t>{'BB_WT_TF': '15m', 'GR_FILTER_VEC_ENABLED': True, 'GR_FILTER_VEC_THRESHOLD': 18, 'BB_RECOVERY_FILTER_TF': 'OFF', 'DC_BREAK_FILTER_TF': '1h'}</t>
        </is>
      </c>
    </row>
    <row r="4">
      <c r="A4" s="41" t="inlineStr">
        <is>
          <t>DELTA 0 = NOT CALCULATED - RUN LIVE + FIX NUMPY - SEE INSTRUCTIONS_V2:16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2026-09-08T23:07:10Z</dcterms:created>
  <dcterms:modified xmlns:dcterms="http://purl.org/dc/terms/" xmlns:xsi="http://www.w3.org/2001/XMLSchema-instance" xsi:type="dcterms:W3CDTF">2026-09-10T00:25:08Z</dcterms:modified>
</cp:coreProperties>
</file>