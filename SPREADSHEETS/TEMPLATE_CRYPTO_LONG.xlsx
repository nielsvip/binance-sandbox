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WT_15M_BOUNCE_OPEN_ENABLED</t>
        </is>
      </c>
      <c r="B3" s="0"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0" t="n">
        <v>2.449194113409724</v>
      </c>
      <c r="IL3" s="0" t="inlineStr">
        <is>
          <t>ez_manage.py:6076 top()</t>
        </is>
      </c>
      <c r="IM3" s="0" t="inlineStr">
        <is>
          <t>v12_quick_engine.py:4288 x7</t>
        </is>
      </c>
    </row>
    <row r="4" ht="10.5" customHeight="1" s="67">
      <c r="A4" s="0" t="inlineStr">
        <is>
          <t>BB_SQUEEZE_ENTRY_ENABLED</t>
        </is>
      </c>
      <c r="B4" s="0" t="inlineStr">
        <is>
          <t>True</t>
        </is>
      </c>
      <c r="E4" s="0">
        <f>IF(G9="",E8,IF(G9&gt;0,E8+G9,E8))</f>
        <v/>
      </c>
      <c r="G4" s="0">
        <f>IFERROR(VLOOKUP($A9&amp;"_"&amp;$B9,Results_Deltas!$A$2:$P$15000,5,FALSE),"")</f>
        <v/>
      </c>
      <c r="H4" s="0">
        <f>IFERROR(VLOOKUP($A9,Results_30d_Deltas!$A$2:$H$5000,7,FALSE)-E8,"")</f>
        <v/>
      </c>
      <c r="I4" s="0">
        <f>IFERROR(VLOOKUP($A9,Results_30d_Deltas!$A$2:$H$5000,6,FALSE),"")</f>
        <v/>
      </c>
      <c r="L4" s="0" t="inlineStr">
        <is>
          <t>YES</t>
        </is>
      </c>
      <c r="M4" s="0" t="n">
        <v>-3.724675487575883</v>
      </c>
      <c r="IL4" s="0" t="inlineStr">
        <is>
          <t>ez_manage.py:4371 top()</t>
        </is>
      </c>
      <c r="IM4" s="0" t="inlineStr">
        <is>
          <t>v12_quick_engine.py:889 x9</t>
        </is>
      </c>
    </row>
    <row r="5" ht="10.5" customHeight="1" s="67">
      <c r="A5" s="0" t="inlineStr">
        <is>
          <t>BB_PULLBACK_GATE_TF</t>
        </is>
      </c>
      <c r="B5" s="0" t="inlineStr">
        <is>
          <t>1h</t>
        </is>
      </c>
      <c r="E5" s="0">
        <f>IF(G15="",E14,IF(G15&gt;0,E14+G15,E14))</f>
        <v/>
      </c>
      <c r="G5" s="0">
        <f>IFERROR(VLOOKUP($A15&amp;"_"&amp;$B15,Results_Deltas!$A$2:$P$15000,5,FALSE),"")</f>
        <v/>
      </c>
      <c r="H5" s="0">
        <f>IFERROR(VLOOKUP($A15,Results_30d_Deltas!$A$2:$H$5000,7,FALSE)-E14,"")</f>
        <v/>
      </c>
      <c r="I5" s="0">
        <f>IFERROR(VLOOKUP($A15,Results_30d_Deltas!$A$2:$H$5000,6,FALSE),"")</f>
        <v/>
      </c>
      <c r="L5" s="0" t="inlineStr">
        <is>
          <t>NO</t>
        </is>
      </c>
      <c r="M5" s="0" t="n">
        <v>-2.295299337995794</v>
      </c>
      <c r="IL5" s="0" t="inlineStr">
        <is>
          <t>ez_manage.py:4361 top()</t>
        </is>
      </c>
      <c r="IM5" s="0" t="inlineStr">
        <is>
          <t>v12_quick_engine.py:288 x12</t>
        </is>
      </c>
      <c r="IO5" s="0" t="inlineStr">
        <is>
          <t>SUSPICIOUS n=0 for crypto_long — keep, needs S1 fills (backtest-expert: &lt;30 trades, seek plateaus, punish)</t>
        </is>
      </c>
    </row>
    <row r="6" ht="10.5" customHeight="1" s="67">
      <c r="A6" s="0" t="inlineStr">
        <is>
          <t>WT_MOMENTUM_EXIT_THRESHOLD</t>
        </is>
      </c>
      <c r="B6" s="0" t="inlineStr">
        <is>
          <t>1</t>
        </is>
      </c>
      <c r="E6" s="0">
        <f>IF(G17="",E16,IF(G17&gt;0,E16+G17,E16))</f>
        <v/>
      </c>
      <c r="G6" s="0">
        <f>IFERROR(VLOOKUP($A17&amp;"_"&amp;$B17,Results_Deltas!$A$2:$P$15000,5,FALSE),"")</f>
        <v/>
      </c>
      <c r="H6" s="0">
        <f>IFERROR(VLOOKUP($A17,Results_30d_Deltas!$A$2:$H$5000,7,FALSE)-E16,"")</f>
        <v/>
      </c>
      <c r="I6" s="0">
        <f>IFERROR(VLOOKUP($A17,Results_30d_Deltas!$A$2:$H$5000,6,FALSE),"")</f>
        <v/>
      </c>
      <c r="L6" s="0" t="inlineStr">
        <is>
          <t>YES</t>
        </is>
      </c>
      <c r="M6" s="0" t="n">
        <v>-2.232422065783848</v>
      </c>
      <c r="IL6" s="0" t="inlineStr">
        <is>
          <t>ez_manage.py:6087 top()</t>
        </is>
      </c>
      <c r="IM6" s="0" t="inlineStr">
        <is>
          <t>v12_quick_engine.py:4293 x3</t>
        </is>
      </c>
      <c r="IO6" s="0" t="inlineStr">
        <is>
          <t>SUSPICIOUS n=0 for crypto_long — keep, needs S1 fills (backtest-expert: &lt;30 trades, seek plateaus, punish)</t>
        </is>
      </c>
    </row>
    <row r="7" ht="10.5" customHeight="1" s="67">
      <c r="A7" s="0" t="inlineStr">
        <is>
          <t>BB_PULLBACK_GATE_TF</t>
        </is>
      </c>
      <c r="B7" s="0" t="inlineStr">
        <is>
          <t>OFF</t>
        </is>
      </c>
      <c r="E7" s="0">
        <f>IF(G18="",E16,IF(G18&gt;0,E16+G18,E16))</f>
        <v/>
      </c>
      <c r="G7" s="0">
        <f>IFERROR(VLOOKUP($A18&amp;"_"&amp;$B18,Results_Deltas!$A$2:$P$15000,5,FALSE),"")</f>
        <v/>
      </c>
      <c r="H7" s="0">
        <f>IFERROR(VLOOKUP($A18,Results_30d_Deltas!$A$2:$H$5000,7,FALSE)-E16,"")</f>
        <v/>
      </c>
      <c r="I7" s="0">
        <f>IFERROR(VLOOKUP($A18,Results_30d_Deltas!$A$2:$H$5000,6,FALSE),"")</f>
        <v/>
      </c>
      <c r="L7" s="0" t="inlineStr">
        <is>
          <t>NO</t>
        </is>
      </c>
      <c r="M7" s="0" t="n">
        <v>-2.184066058843531</v>
      </c>
      <c r="IL7" s="0" t="inlineStr">
        <is>
          <t>ez_manage.py:4361 top()</t>
        </is>
      </c>
      <c r="IM7" s="0" t="inlineStr">
        <is>
          <t>v12_quick_engine.py:288 x12</t>
        </is>
      </c>
      <c r="IO7" s="0" t="inlineStr">
        <is>
          <t>SUSPICIOUS n=0 for crypto_long — keep, needs S1 fills (backtest-expert: &lt;30 trades, seek plateaus, punish)</t>
        </is>
      </c>
    </row>
    <row r="8" ht="10.5" customHeight="1" s="67">
      <c r="A8" s="0" t="inlineStr">
        <is>
          <t>BB_PULLBACK_GATE_TF</t>
        </is>
      </c>
      <c r="B8" s="0" t="inlineStr">
        <is>
          <t>D</t>
        </is>
      </c>
      <c r="E8" s="0">
        <f>IF(G19="",E18,IF(G19&gt;0,E18+G19,E18))</f>
        <v/>
      </c>
      <c r="G8" s="0">
        <f>IFERROR(VLOOKUP($A19&amp;"_"&amp;$B19,Results_Deltas!$A$2:$P$15000,5,FALSE),"")</f>
        <v/>
      </c>
      <c r="H8" s="0">
        <f>IFERROR(VLOOKUP($A19,Results_30d_Deltas!$A$2:$H$5000,7,FALSE)-E18,"")</f>
        <v/>
      </c>
      <c r="I8" s="0">
        <f>IFERROR(VLOOKUP($A19,Results_30d_Deltas!$A$2:$H$5000,6,FALSE),"")</f>
        <v/>
      </c>
      <c r="L8" s="0" t="inlineStr">
        <is>
          <t>NO</t>
        </is>
      </c>
      <c r="M8" s="0" t="n">
        <v>-2.104112003993109</v>
      </c>
      <c r="IL8" s="0" t="inlineStr">
        <is>
          <t>ez_manage.py:4361 top()</t>
        </is>
      </c>
      <c r="IM8" s="0" t="inlineStr">
        <is>
          <t>v12_quick_engine.py:288 x12</t>
        </is>
      </c>
      <c r="IO8" s="0" t="inlineStr">
        <is>
          <t>SUSPICIOUS n=0 for crypto_long — keep, needs S1 fills (backtest-expert: &lt;30 trades, seek plateaus, punish)</t>
        </is>
      </c>
    </row>
    <row r="9" ht="10.5" customHeight="1" s="67">
      <c r="A9" s="0" t="inlineStr">
        <is>
          <t>DELTA_GATE_BB_SQUEEZE</t>
        </is>
      </c>
      <c r="B9" s="0" t="inlineStr">
        <is>
          <t>True</t>
        </is>
      </c>
      <c r="E9" s="0">
        <f>IF(G25="",E24,IF(G25&gt;0,E24+G25,E24))</f>
        <v/>
      </c>
      <c r="G9" s="0">
        <f>IFERROR(VLOOKUP($A25&amp;"_"&amp;$B25,Results_Deltas!$A$2:$P$15000,5,FALSE),"")</f>
        <v/>
      </c>
      <c r="H9" s="0">
        <f>IFERROR(VLOOKUP($A25,Results_30d_Deltas!$A$2:$H$5000,7,FALSE)-E24,"")</f>
        <v/>
      </c>
      <c r="I9" s="0">
        <f>IFERROR(VLOOKUP($A25,Results_30d_Deltas!$A$2:$H$5000,6,FALSE),"")</f>
        <v/>
      </c>
      <c r="L9" s="0" t="inlineStr">
        <is>
          <t>YES</t>
        </is>
      </c>
      <c r="M9" s="0" t="n">
        <v>0.01851568260645972</v>
      </c>
      <c r="IL9" s="0" t="inlineStr">
        <is>
          <t>ez_manage.py:4603 top()</t>
        </is>
      </c>
      <c r="IM9" s="0" t="inlineStr">
        <is>
          <t>v12_quick_engine.py:969 x9</t>
        </is>
      </c>
    </row>
    <row r="10" ht="10.5" customHeight="1" s="67">
      <c r="A10" s="0" t="inlineStr">
        <is>
          <t>HTF_BULL_ENTRY_FILTER_ENABLED</t>
        </is>
      </c>
      <c r="B10" s="0" t="inlineStr">
        <is>
          <t>False</t>
        </is>
      </c>
      <c r="C10" s="0" t="inlineStr">
        <is>
          <t>False</t>
        </is>
      </c>
    </row>
    <row r="11" ht="10.5" customHeight="1" s="67">
      <c r="A11" s="0" t="inlineStr">
        <is>
          <t>HTF_BULL_ENTRY_FILTER_ENABLED</t>
        </is>
      </c>
      <c r="B11" s="0" t="inlineStr">
        <is>
          <t>False</t>
        </is>
      </c>
      <c r="C11" s="0" t="inlineStr">
        <is>
          <t>True</t>
        </is>
      </c>
    </row>
    <row r="12" ht="10.5" customHeight="1" s="67">
      <c r="A12" s="0" t="inlineStr">
        <is>
          <t>HTF_BULL_ENTRY_FILTER_TF</t>
        </is>
      </c>
      <c r="B12" s="0" t="inlineStr">
        <is>
          <t>OFF</t>
        </is>
      </c>
      <c r="C12" s="0" t="inlineStr">
        <is>
          <t>OFF</t>
        </is>
      </c>
    </row>
    <row r="13" ht="10.5" customHeight="1" s="67">
      <c r="A13" s="0" t="inlineStr">
        <is>
          <t>HTF_BULL_ENTRY_FILTER_TF</t>
        </is>
      </c>
      <c r="B13" s="0" t="inlineStr">
        <is>
          <t>OFF</t>
        </is>
      </c>
      <c r="C13" s="0" t="inlineStr">
        <is>
          <t>D</t>
        </is>
      </c>
    </row>
    <row r="14" ht="10.5" customHeight="1" s="67">
      <c r="A14" s="0" t="inlineStr">
        <is>
          <t>HTF_BULL_ENTRY_FILTER_TF</t>
        </is>
      </c>
      <c r="B14" s="0" t="inlineStr">
        <is>
          <t>OFF</t>
        </is>
      </c>
      <c r="C14" s="0" t="inlineStr">
        <is>
          <t>4h</t>
        </is>
      </c>
    </row>
    <row r="15" ht="10.5" customHeight="1" s="67"/>
    <row r="16" ht="10.5" customHeight="1" s="67"/>
    <row r="17" ht="15.75" customHeight="1" s="67"/>
    <row r="18" ht="10.5" customHeight="1" s="67"/>
    <row r="19" ht="10.5" customHeight="1" s="67"/>
    <row r="20" ht="10.5" customHeight="1" s="67"/>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0" t="inlineStr">
        <is>
          <t>REMOVED for CRYPTO — stocks_only STDEV_SLOPE_SIZING (TradierConfig only, 0 hits in crypto)</t>
        </is>
      </c>
      <c r="B3" s="0" t="inlineStr">
        <is>
          <t>N/A for crypto — see STOCKS templates</t>
        </is>
      </c>
      <c r="N3" s="0" t="inlineStr">
        <is>
          <t>DELETED for CRYPTO — stocks_only</t>
        </is>
      </c>
    </row>
    <row r="4">
      <c r="A4" s="0" t="inlineStr">
        <is>
          <t>STDEV_BULL_SLOPE_BOOST_ENABLED</t>
        </is>
      </c>
      <c r="B4" s="0" t="inlineStr">
        <is>
          <t>False</t>
        </is>
      </c>
      <c r="C4" s="0" t="inlineStr">
        <is>
          <t>False</t>
        </is>
      </c>
    </row>
    <row r="5">
      <c r="A5" s="0" t="inlineStr">
        <is>
          <t>STDEV_BULL_SLOPE_BOOST_ENABLED</t>
        </is>
      </c>
      <c r="B5" s="0" t="inlineStr">
        <is>
          <t>False</t>
        </is>
      </c>
      <c r="C5" s="0" t="inlineStr">
        <is>
          <t>True</t>
        </is>
      </c>
    </row>
    <row r="6">
      <c r="A6" s="0" t="inlineStr">
        <is>
          <t>STDEV_BULL_SLOPE_BOOST_MULT</t>
        </is>
      </c>
      <c r="B6" s="0"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DC_BREAKOUT_TF</t>
        </is>
      </c>
      <c r="B3" s="0" t="inlineStr">
        <is>
          <t>OFF</t>
        </is>
      </c>
      <c r="G3" s="0">
        <f>IFERROR(VLOOKUP($A172&amp;"="&amp;$B172,Results_Deltas!$A$2:$P$15000,5,FALSE),"")</f>
        <v/>
      </c>
      <c r="H3" s="0">
        <f>IFERROR(VLOOKUP($A172,Results_30d_Deltas!$A$2:$H$5000,7,FALSE)-E172,"")</f>
        <v/>
      </c>
      <c r="I3" s="0">
        <f>IFERROR(VLOOKUP($A172,Results_30d_Deltas!$A$2:$H$5000,6,FALSE),"")</f>
        <v/>
      </c>
      <c r="L3" s="0" t="inlineStr">
        <is>
          <t>NO</t>
        </is>
      </c>
      <c r="M3" s="0" t="n">
        <v>-2.523385251956491</v>
      </c>
      <c r="IK3" s="0" t="inlineStr">
        <is>
          <t>ez_manage.py:3078 top()</t>
        </is>
      </c>
      <c r="IL3" s="0" t="inlineStr">
        <is>
          <t>v12_quick_engine.py:1518 x5</t>
        </is>
      </c>
      <c r="IN3" s="0" t="inlineStr">
        <is>
          <t>SUSPICIOUS n=0 for crypto_long — keep, needs S1 fills (backtest-expert: &lt;30 trades, seek plateaus, punish)</t>
        </is>
      </c>
    </row>
    <row r="4" ht="10.5" customHeight="1" s="67">
      <c r="A4" s="0" t="inlineStr">
        <is>
          <t>DC_BREAKOUT_TF</t>
        </is>
      </c>
      <c r="B4" s="0" t="inlineStr">
        <is>
          <t>4h</t>
        </is>
      </c>
      <c r="G4" s="0">
        <f>IFERROR(VLOOKUP($A191&amp;"_"&amp;$B191,Results_Deltas!$A$2:$P$15000,5,FALSE),"")</f>
        <v/>
      </c>
      <c r="H4" s="0">
        <f>IFERROR(VLOOKUP($A191,Results_30d_Deltas!$A$2:$H$5000,7,FALSE)-E190,"")</f>
        <v/>
      </c>
      <c r="I4" s="0">
        <f>IFERROR(VLOOKUP($A191,Results_30d_Deltas!$A$2:$H$5000,6,FALSE),"")</f>
        <v/>
      </c>
      <c r="L4" s="0" t="inlineStr">
        <is>
          <t>NO</t>
        </is>
      </c>
      <c r="M4" s="0" t="n">
        <v>-1.90470316123294</v>
      </c>
      <c r="IK4" s="0" t="inlineStr">
        <is>
          <t>ez_manage.py:3078 top()</t>
        </is>
      </c>
      <c r="IL4" s="0" t="inlineStr">
        <is>
          <t>v12_quick_engine.py:1518 x5</t>
        </is>
      </c>
      <c r="IN4" s="0" t="inlineStr">
        <is>
          <t>SUSPICIOUS n=0 for crypto_long — keep, needs S1 fills (backtest-expert: &lt;30 trades, seek plateaus, punish)</t>
        </is>
      </c>
    </row>
    <row r="5" ht="10.5" customHeight="1" s="67">
      <c r="A5" s="0" t="inlineStr">
        <is>
          <t>HTF_BULL_ENTRY_FILTER_ENABLED</t>
        </is>
      </c>
      <c r="B5" s="0" t="inlineStr">
        <is>
          <t>False</t>
        </is>
      </c>
      <c r="C5" s="0" t="inlineStr">
        <is>
          <t>False</t>
        </is>
      </c>
    </row>
    <row r="6" ht="10.5" customHeight="1" s="67">
      <c r="A6" s="0" t="inlineStr">
        <is>
          <t>HTF_BULL_ENTRY_FILTER_ENABLED</t>
        </is>
      </c>
      <c r="B6" s="0" t="inlineStr">
        <is>
          <t>False</t>
        </is>
      </c>
      <c r="C6" s="0" t="inlineStr">
        <is>
          <t>True</t>
        </is>
      </c>
    </row>
    <row r="7" ht="10.5" customHeight="1" s="67">
      <c r="A7" s="0" t="inlineStr">
        <is>
          <t>HTF_BULL_ENTRY_FILTER_TF</t>
        </is>
      </c>
      <c r="B7" s="0" t="inlineStr">
        <is>
          <t>OFF</t>
        </is>
      </c>
      <c r="C7" s="0" t="inlineStr">
        <is>
          <t>OFF</t>
        </is>
      </c>
    </row>
    <row r="8" ht="10.5" customHeight="1" s="67">
      <c r="A8" s="0" t="inlineStr">
        <is>
          <t>HTF_BULL_ENTRY_FILTER_TF</t>
        </is>
      </c>
      <c r="B8" s="0" t="inlineStr">
        <is>
          <t>OFF</t>
        </is>
      </c>
      <c r="C8" s="0" t="inlineStr">
        <is>
          <t>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ALL_TF_AGAINST_CLOSE_ENABLED</t>
        </is>
      </c>
      <c r="B3" s="0" t="inlineStr">
        <is>
          <t>False</t>
        </is>
      </c>
      <c r="G3" s="0">
        <f>IFERROR(VLOOKUP($A7&amp;"_"&amp;$B7,Results_Deltas!$A$2:$P$15000,5,FALSE),"")</f>
        <v/>
      </c>
      <c r="H3" s="0">
        <f>IFERROR(VLOOKUP($A7,Results_30d_Deltas!$A$2:$H$5000,7,FALSE)-E6,"")</f>
        <v/>
      </c>
      <c r="I3" s="0">
        <f>IFERROR(VLOOKUP($A7,Results_30d_Deltas!$A$2:$H$5000,6,FALSE),"")</f>
        <v/>
      </c>
      <c r="L3" s="0" t="inlineStr">
        <is>
          <t>NO</t>
        </is>
      </c>
      <c r="IK3" s="0" t="inlineStr">
        <is>
          <t>ez_manage.py:4325 top()</t>
        </is>
      </c>
      <c r="IL3" s="0" t="inlineStr">
        <is>
          <t>v12_quick_engine.py:174 x6</t>
        </is>
      </c>
    </row>
    <row r="4">
      <c r="A4" s="0" t="inlineStr">
        <is>
          <t>DC_BREAK_WAIT_WT15_CLOSE_ENABLED</t>
        </is>
      </c>
      <c r="B4" s="0" t="inlineStr">
        <is>
          <t>False</t>
        </is>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SCALP_V3_K_OB_EXIT_ENABLED</t>
        </is>
      </c>
      <c r="B3" s="0" t="inlineStr">
        <is>
          <t>True</t>
        </is>
      </c>
      <c r="G3" s="0">
        <f>IFERROR(VLOOKUP($A41&amp;"_"&amp;$B41,Results_Deltas!$A$2:$P$15000,5,FALSE),"")</f>
        <v/>
      </c>
      <c r="H3" s="0">
        <f>IFERROR(VLOOKUP($A41,Results_30d_Deltas!$A$2:$H$5000,7,FALSE)-E40,"")</f>
        <v/>
      </c>
      <c r="I3" s="0">
        <f>IFERROR(VLOOKUP($A41,Results_30d_Deltas!$A$2:$H$5000,6,FALSE),"")</f>
        <v/>
      </c>
      <c r="L3" s="0" t="inlineStr">
        <is>
          <t>NO</t>
        </is>
      </c>
      <c r="IK3" s="0" t="inlineStr">
        <is>
          <t>ez_manage.py:5550 top()</t>
        </is>
      </c>
      <c r="IL3" s="0" t="inlineStr">
        <is>
          <t>v12_quick_engine.py:3178 x4</t>
        </is>
      </c>
    </row>
    <row r="4">
      <c r="A4" s="0" t="inlineStr">
        <is>
          <t>WT_15M_LH_WAIT_EXIT_ENABLED</t>
        </is>
      </c>
      <c r="B4" s="0" t="inlineStr">
        <is>
          <t>False</t>
        </is>
      </c>
      <c r="D4" s="0" t="inlineStr">
        <is>
          <t>WT_WAIT</t>
        </is>
      </c>
      <c r="E4" s="0">
        <f>IF(G259="",E258,IF(G259&gt;0,E258+G259,E258))</f>
        <v/>
      </c>
      <c r="F4" s="0">
        <f>IFERROR(VLOOKUP($A259&amp;"_"&amp;$B259,Results_Deltas!$A$2:$P$15000,5,FALSE),"")</f>
        <v/>
      </c>
      <c r="G4" s="0">
        <f>IFERROR(VLOOKUP($A259&amp;"_"&amp;$B259,Results_Deltas!$A$2:$P$15000,5,FALSE),"")</f>
        <v/>
      </c>
    </row>
    <row r="5">
      <c r="A5" s="0" t="inlineStr">
        <is>
          <t>WT_DIVERGENCE_VV_SHORT_EXIT_ENABLED</t>
        </is>
      </c>
      <c r="B5" s="0" t="inlineStr">
        <is>
          <t>False</t>
        </is>
      </c>
      <c r="D5" s="0" t="inlineStr">
        <is>
          <t>WT_WAIT</t>
        </is>
      </c>
      <c r="E5" s="0">
        <f>IF(G260="",E259,IF(G260&gt;0,E259+G260,E259))</f>
        <v/>
      </c>
      <c r="F5" s="0">
        <f>IFERROR(VLOOKUP($A260&amp;"_"&amp;$B260,Results_Deltas!$A$2:$P$15000,5,FALSE),"")</f>
        <v/>
      </c>
      <c r="G5" s="0">
        <f>IFERROR(VLOOKUP($A260&amp;"_"&amp;$B260,Results_Deltas!$A$2:$P$15000,5,FALSE),"")</f>
        <v/>
      </c>
    </row>
    <row r="6">
      <c r="A6" s="0" t="inlineStr">
        <is>
          <t>EXIT_BLOCKER_REQUIRE_LH_LL_ENABLED</t>
        </is>
      </c>
      <c r="B6" s="0" t="inlineStr">
        <is>
          <t>False</t>
        </is>
      </c>
      <c r="D6" s="0" t="inlineStr">
        <is>
          <t>EXIT_BLOCKER</t>
        </is>
      </c>
      <c r="E6" s="0">
        <f>IF(G261="",E260,IF(G261&gt;0,E260+G261,E260))</f>
        <v/>
      </c>
      <c r="F6" s="0">
        <f>IFERROR(VLOOKUP($A261&amp;"_"&amp;$B261,Results_Deltas!$A$2:$P$15000,5,FALSE),"")</f>
        <v/>
      </c>
      <c r="G6" s="0">
        <f>IFERROR(VLOOKUP($A261&amp;"_"&amp;$B261,Results_Deltas!$A$2:$P$15000,5,FALSE),"")</f>
        <v/>
      </c>
    </row>
    <row r="7">
      <c r="A7" s="0" t="inlineStr">
        <is>
          <t>BULL_HOLD_EXIT_DELAY_BARS</t>
        </is>
      </c>
      <c r="B7" s="0" t="inlineStr">
        <is>
          <t>0</t>
        </is>
      </c>
      <c r="C7" s="0" t="inlineStr">
        <is>
          <t>0</t>
        </is>
      </c>
    </row>
    <row r="8">
      <c r="A8" s="0" t="inlineStr">
        <is>
          <t>BULL_HOLD_EXIT_DELAY_BARS</t>
        </is>
      </c>
      <c r="B8" s="0" t="inlineStr">
        <is>
          <t>0</t>
        </is>
      </c>
      <c r="C8" s="0" t="inlineStr">
        <is>
          <t>24</t>
        </is>
      </c>
    </row>
    <row r="9">
      <c r="A9" s="0" t="inlineStr">
        <is>
          <t>BULL_HOLD_EXIT_DELAY_BARS</t>
        </is>
      </c>
      <c r="B9" s="0" t="inlineStr">
        <is>
          <t>0</t>
        </is>
      </c>
      <c r="C9"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DAEMON_REENTRY_STALE_EXIT_ENABLED</t>
        </is>
      </c>
      <c r="B3" s="0" t="inlineStr">
        <is>
          <t>True</t>
        </is>
      </c>
      <c r="G3" s="0">
        <f>IFERROR(VLOOKUP($A27&amp;"_"&amp;$B27,Results_Deltas!$A$2:$P$15000,5,FALSE),"")</f>
        <v/>
      </c>
      <c r="H3" s="0">
        <f>IFERROR(VLOOKUP($A27,Results_30d_Deltas!$A$2:$H$5000,7,FALSE)-E26,"")</f>
        <v/>
      </c>
      <c r="I3" s="0">
        <f>IFERROR(VLOOKUP($A27,Results_30d_Deltas!$A$2:$H$5000,6,FALSE),"")</f>
        <v/>
      </c>
      <c r="L3" s="0" t="inlineStr">
        <is>
          <t>NO</t>
        </is>
      </c>
      <c r="M3" s="0" t="n">
        <v>-2.875621839230505</v>
      </c>
      <c r="IL3" s="0" t="inlineStr">
        <is>
          <t>ez_manage.py:4561 top()</t>
        </is>
      </c>
      <c r="IM3" s="0" t="inlineStr">
        <is>
          <t>v12_quick_engine.py:519 x9</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AUGMENT_BULL_KILL_ENABLED</t>
        </is>
      </c>
      <c r="B3" s="0" t="inlineStr">
        <is>
          <t>False</t>
        </is>
      </c>
      <c r="C3" s="0" t="inlineStr">
        <is>
          <t>False</t>
        </is>
      </c>
    </row>
    <row r="4" ht="10.5" customHeight="1" s="67">
      <c r="A4" s="0" t="inlineStr">
        <is>
          <t>AUGMENT_BULL_KILL_ENABLED</t>
        </is>
      </c>
      <c r="B4" s="0" t="inlineStr">
        <is>
          <t>False</t>
        </is>
      </c>
      <c r="C4" s="0"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MAX_AUGMENTS_PER_POSITION</t>
        </is>
      </c>
      <c r="B3" s="0" t="inlineStr">
        <is>
          <t>1</t>
        </is>
      </c>
      <c r="G3" s="0">
        <f>IFERROR(VLOOKUP($A19&amp;"_"&amp;$B19,Results_Deltas!$A$2:$P$15000,5,FALSE),"")</f>
        <v/>
      </c>
      <c r="H3" s="0">
        <f>IFERROR(VLOOKUP($A19,Results_30d_Deltas!$A$2:$H$5000,7,FALSE)-E18,"")</f>
        <v/>
      </c>
      <c r="I3" s="0">
        <f>IFERROR(VLOOKUP($A19,Results_30d_Deltas!$A$2:$H$5000,6,FALSE),"")</f>
        <v/>
      </c>
      <c r="L3" s="0" t="inlineStr">
        <is>
          <t>NO</t>
        </is>
      </c>
      <c r="M3" s="0" t="n">
        <v>-3.255616384323318</v>
      </c>
      <c r="IK3" s="0" t="inlineStr">
        <is>
          <t>ez_manage.py:3521 top()</t>
        </is>
      </c>
      <c r="IL3" s="0" t="inlineStr">
        <is>
          <t>v12_quick_engine.py:2267 x7</t>
        </is>
      </c>
      <c r="IN3" s="0" t="inlineStr">
        <is>
          <t>SUSPICIOUS n=0 for crypto_long — keep, needs S1 fills (backtest-expert: &lt;30 trades, seek plateaus, punish)</t>
        </is>
      </c>
    </row>
    <row r="4" ht="10.5" customHeight="1" s="67">
      <c r="A4" s="0" t="inlineStr">
        <is>
          <t>MAX_AUGMENTS_PER_POSITION</t>
        </is>
      </c>
      <c r="B4" s="0" t="inlineStr">
        <is>
          <t>0</t>
        </is>
      </c>
      <c r="G4" s="0">
        <f>IFERROR(VLOOKUP($A28&amp;"_"&amp;$B28,Results_Deltas!$A$2:$P$15000,5,FALSE),"")</f>
        <v/>
      </c>
      <c r="H4" s="0">
        <f>IFERROR(VLOOKUP($A28,Results_30d_Deltas!$A$2:$H$5000,7,FALSE)-E27,"")</f>
        <v/>
      </c>
      <c r="I4" s="0">
        <f>IFERROR(VLOOKUP($A28,Results_30d_Deltas!$A$2:$H$5000,6,FALSE),"")</f>
        <v/>
      </c>
      <c r="L4" s="0" t="inlineStr">
        <is>
          <t>NO</t>
        </is>
      </c>
      <c r="M4" s="0" t="n">
        <v>-3.009965896435204</v>
      </c>
      <c r="IK4" s="0" t="inlineStr">
        <is>
          <t>ez_manage.py:3521 top()</t>
        </is>
      </c>
      <c r="IL4" s="0" t="inlineStr">
        <is>
          <t>v12_quick_engine.py:2267 x7</t>
        </is>
      </c>
      <c r="IN4" s="0" t="inlineStr">
        <is>
          <t>SUSPICIOUS n=0 for crypto_long — keep, needs S1 fills (backtest-expert: &lt;30 trades, seek plateaus, punish)</t>
        </is>
      </c>
    </row>
    <row r="5" ht="10.5" customHeight="1" s="67">
      <c r="A5" s="0" t="inlineStr">
        <is>
          <t>MAX_AUGMENTS_PER_POSITION</t>
        </is>
      </c>
      <c r="B5" s="0" t="inlineStr">
        <is>
          <t>5</t>
        </is>
      </c>
      <c r="G5" s="0">
        <f>IFERROR(VLOOKUP($A54&amp;"_"&amp;$B54,Results_Deltas!$A$2:$P$15000,5,FALSE),"")</f>
        <v/>
      </c>
      <c r="H5" s="0">
        <f>IFERROR(VLOOKUP($A54,Results_30d_Deltas!$A$2:$H$5000,7,FALSE)-E53,"")</f>
        <v/>
      </c>
      <c r="I5" s="0">
        <f>IFERROR(VLOOKUP($A54,Results_30d_Deltas!$A$2:$H$5000,6,FALSE),"")</f>
        <v/>
      </c>
      <c r="L5" s="0" t="inlineStr">
        <is>
          <t>NO</t>
        </is>
      </c>
      <c r="M5" s="0" t="n">
        <v>-2.322642982928006</v>
      </c>
      <c r="IK5" s="0" t="inlineStr">
        <is>
          <t>ez_manage.py:3521 top()</t>
        </is>
      </c>
      <c r="IL5" s="0" t="inlineStr">
        <is>
          <t>v12_quick_engine.py:2267 x7</t>
        </is>
      </c>
      <c r="IN5" s="0" t="inlineStr">
        <is>
          <t>SUSPICIOUS n=0 for crypto_long — keep, needs S1 fills (backtest-expert: &lt;30 trades, seek plateaus, punish)</t>
        </is>
      </c>
    </row>
    <row r="6" ht="10.5" customHeight="1" s="67">
      <c r="A6" s="0" t="inlineStr">
        <is>
          <t>MAX_AUGMENTS_PER_POSITION</t>
        </is>
      </c>
      <c r="B6" s="0" t="inlineStr">
        <is>
          <t>2</t>
        </is>
      </c>
      <c r="G6" s="0">
        <f>IFERROR(VLOOKUP($A56&amp;"_"&amp;$B56,Results_Deltas!$A$2:$P$15000,5,FALSE),"")</f>
        <v/>
      </c>
      <c r="H6" s="0">
        <f>IFERROR(VLOOKUP($A56,Results_30d_Deltas!$A$2:$H$5000,7,FALSE)-E55,"")</f>
        <v/>
      </c>
      <c r="I6" s="0">
        <f>IFERROR(VLOOKUP($A56,Results_30d_Deltas!$A$2:$H$5000,6,FALSE),"")</f>
        <v/>
      </c>
      <c r="L6" s="0" t="inlineStr">
        <is>
          <t>NO</t>
        </is>
      </c>
      <c r="M6" s="0" t="n">
        <v>-2.207294316933257</v>
      </c>
      <c r="IK6" s="0" t="inlineStr">
        <is>
          <t>ez_manage.py:3521 top()</t>
        </is>
      </c>
      <c r="IL6" s="0" t="inlineStr">
        <is>
          <t>v12_quick_engine.py:2267 x7</t>
        </is>
      </c>
      <c r="IN6" s="0" t="inlineStr">
        <is>
          <t>SUSPICIOUS n=0 for crypto_long — keep, needs S1 fills (backtest-expert: &lt;30 trades, seek plateaus, punish)</t>
        </is>
      </c>
    </row>
    <row r="7" ht="10.5" customHeight="1" s="67">
      <c r="A7" s="0" t="inlineStr">
        <is>
          <t>AUGMENT_BULL_KILL_ENABLED</t>
        </is>
      </c>
      <c r="B7" s="0" t="inlineStr">
        <is>
          <t>False</t>
        </is>
      </c>
      <c r="C7" s="0" t="inlineStr">
        <is>
          <t>False</t>
        </is>
      </c>
    </row>
    <row r="8" ht="10.5" customHeight="1" s="67">
      <c r="A8" s="0" t="inlineStr">
        <is>
          <t>AUGMENT_BULL_KILL_ENABLED</t>
        </is>
      </c>
      <c r="B8" s="0" t="inlineStr">
        <is>
          <t>False</t>
        </is>
      </c>
      <c r="C8" s="0" t="inlineStr">
        <is>
          <t>True</t>
        </is>
      </c>
    </row>
    <row r="9" ht="10.5" customHeight="1" s="67">
      <c r="A9" s="0" t="inlineStr">
        <is>
          <t>MAX_AUGMENTS_PER_POSITION</t>
        </is>
      </c>
      <c r="B9" s="0" t="inlineStr">
        <is>
          <t>999999</t>
        </is>
      </c>
      <c r="C9" s="0" t="inlineStr">
        <is>
          <t>0</t>
        </is>
      </c>
    </row>
    <row r="10" ht="10.5" customHeight="1" s="67">
      <c r="A10" s="0" t="inlineStr">
        <is>
          <t>MAX_AUGMENTS_PER_POSITION</t>
        </is>
      </c>
      <c r="B10" s="0" t="inlineStr">
        <is>
          <t>10</t>
        </is>
      </c>
      <c r="C10" s="0"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MIN_HOLD_BARS_BEFORE_EXIT</t>
        </is>
      </c>
      <c r="B3" s="0" t="inlineStr">
        <is>
          <t>40</t>
        </is>
      </c>
      <c r="G3" s="0">
        <f>IFERROR(VLOOKUP($A5&amp;"_"&amp;$B5,Results_Deltas!$A$2:$P$15000,5,FALSE),"")</f>
        <v/>
      </c>
      <c r="H3" s="0">
        <f>IFERROR(VLOOKUP($A5,Results_30d_Deltas!$A$2:$H$5000,7,FALSE)-E4,"")</f>
        <v/>
      </c>
      <c r="I3" s="0">
        <f>IFERROR(VLOOKUP($A5,Results_30d_Deltas!$A$2:$H$5000,6,FALSE),"")</f>
        <v/>
      </c>
      <c r="L3" s="0" t="inlineStr">
        <is>
          <t>NO</t>
        </is>
      </c>
      <c r="M3" s="0" t="n">
        <v>-3.668522959954681</v>
      </c>
      <c r="IK3" s="0" t="inlineStr">
        <is>
          <t>ez_manage.py:4990 top()</t>
        </is>
      </c>
      <c r="IL3" s="0" t="inlineStr">
        <is>
          <t>v12_quick_engine.py:2309 x7</t>
        </is>
      </c>
      <c r="IN3" s="0" t="inlineStr">
        <is>
          <t>SUSPICIOUS n=0 for crypto_long — keep, needs S1 fills (backtest-expert: &lt;30 trades, seek plateaus, punish)</t>
        </is>
      </c>
    </row>
    <row r="4" ht="10.5" customHeight="1" s="67">
      <c r="A4" s="0" t="inlineStr">
        <is>
          <t>MIN_HOLD_BARS_BEFORE_EXIT</t>
        </is>
      </c>
      <c r="B4" s="0" t="inlineStr">
        <is>
          <t>32</t>
        </is>
      </c>
      <c r="G4" s="0">
        <f>IFERROR(VLOOKUP($A12&amp;"_"&amp;$B12,Results_Deltas!$A$2:$P$15000,5,FALSE),"")</f>
        <v/>
      </c>
      <c r="H4" s="0">
        <f>IFERROR(VLOOKUP($A12,Results_30d_Deltas!$A$2:$H$5000,7,FALSE)-E11,"")</f>
        <v/>
      </c>
      <c r="I4" s="0">
        <f>IFERROR(VLOOKUP($A12,Results_30d_Deltas!$A$2:$H$5000,6,FALSE),"")</f>
        <v/>
      </c>
      <c r="L4" s="0" t="inlineStr">
        <is>
          <t>NO</t>
        </is>
      </c>
      <c r="M4" s="0" t="n">
        <v>-3.156340816276134</v>
      </c>
      <c r="IK4" s="0" t="inlineStr">
        <is>
          <t>ez_manage.py:4990 top()</t>
        </is>
      </c>
      <c r="IL4" s="0" t="inlineStr">
        <is>
          <t>v12_quick_engine.py:2309 x7</t>
        </is>
      </c>
      <c r="IN4" s="0" t="inlineStr">
        <is>
          <t>SUSPICIOUS n=0 for crypto_long — keep, needs S1 fills (backtest-expert: &lt;30 trades, seek plateaus, punish)</t>
        </is>
      </c>
    </row>
    <row r="5" ht="10.5" customHeight="1" s="67">
      <c r="A5" s="0" t="inlineStr">
        <is>
          <t>BREAKEVEN_GAIN_EROSION_ENABLED</t>
        </is>
      </c>
      <c r="B5" s="0" t="inlineStr">
        <is>
          <t>True</t>
        </is>
      </c>
      <c r="G5" s="0">
        <f>IFERROR(VLOOKUP($A53&amp;"_"&amp;$B53,Results_Deltas!$A$2:$P$15000,5,FALSE),"")</f>
        <v/>
      </c>
      <c r="H5" s="0">
        <f>IFERROR(VLOOKUP($A53,Results_30d_Deltas!$A$2:$H$5000,7,FALSE)-E52,"")</f>
        <v/>
      </c>
      <c r="I5" s="0">
        <f>IFERROR(VLOOKUP($A53,Results_30d_Deltas!$A$2:$H$5000,6,FALSE),"")</f>
        <v/>
      </c>
      <c r="L5" s="0" t="inlineStr">
        <is>
          <t>NO</t>
        </is>
      </c>
      <c r="M5" s="0" t="n">
        <v>-1.856453734538065</v>
      </c>
      <c r="IK5" s="0" t="inlineStr">
        <is>
          <t>ez_manage.py:4400 top()</t>
        </is>
      </c>
      <c r="IL5" s="0" t="inlineStr">
        <is>
          <t>v12_quick_engine.py:341 x8</t>
        </is>
      </c>
      <c r="IN5" s="0" t="inlineStr">
        <is>
          <t>SUSPICIOUS n=0 for crypto_long — keep, needs S1 fills (backtest-expert: &lt;30 trades, seek plateaus, punish)</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WT_EXHAUST_EXIT_MIN_GAIN_PCT</t>
        </is>
      </c>
      <c r="B3" s="0" t="inlineStr">
        <is>
          <t>1.0</t>
        </is>
      </c>
      <c r="G3" s="0">
        <f>IFERROR(VLOOKUP($A65&amp;"_"&amp;$B65,Results_Deltas!$A$2:$P$15000,5,FALSE),"")</f>
        <v/>
      </c>
      <c r="H3" s="0">
        <f>IFERROR(VLOOKUP($A65,Results_30d_Deltas!$A$2:$H$5000,7,FALSE)-E64,"")</f>
        <v/>
      </c>
      <c r="I3" s="0">
        <f>IFERROR(VLOOKUP($A65,Results_30d_Deltas!$A$2:$H$5000,6,FALSE),"")</f>
        <v/>
      </c>
      <c r="L3" s="0" t="inlineStr">
        <is>
          <t>NO</t>
        </is>
      </c>
      <c r="M3" s="0" t="n">
        <v>-2.673445910769082</v>
      </c>
      <c r="IK3" s="0" t="inlineStr">
        <is>
          <t>ez_manage.py:5916 top()</t>
        </is>
      </c>
      <c r="IL3" s="0" t="inlineStr">
        <is>
          <t>v12_quick_engine.py:3752 x3</t>
        </is>
      </c>
      <c r="IN3" s="0" t="inlineStr">
        <is>
          <t>SUSPICIOUS n=0 for crypto_long — keep, needs S1 fills (backtest-expert: &lt;30 trades, seek plateaus, punish)</t>
        </is>
      </c>
    </row>
    <row r="4" ht="10.5" customHeight="1" s="67">
      <c r="A4" s="0" t="inlineStr">
        <is>
          <t>WT_PERCENTILE_EXIT_OB_4H</t>
        </is>
      </c>
      <c r="B4" s="0" t="inlineStr">
        <is>
          <t>1.0</t>
        </is>
      </c>
      <c r="G4" s="0">
        <f>IFERROR(VLOOKUP($A99&amp;"_"&amp;$B99,Results_Deltas!$A$2:$P$15000,5,FALSE),"")</f>
        <v/>
      </c>
      <c r="H4" s="0">
        <f>IFERROR(VLOOKUP($A99,Results_30d_Deltas!$A$2:$H$5000,7,FALSE)-E98,"")</f>
        <v/>
      </c>
      <c r="I4" s="0">
        <f>IFERROR(VLOOKUP($A99,Results_30d_Deltas!$A$2:$H$5000,6,FALSE),"")</f>
        <v/>
      </c>
      <c r="L4" s="0" t="inlineStr">
        <is>
          <t>NO</t>
        </is>
      </c>
      <c r="M4" s="0" t="n">
        <v>-2.288832208676768</v>
      </c>
      <c r="IK4" s="0" t="inlineStr">
        <is>
          <t>ez_manage.py:5928 top()</t>
        </is>
      </c>
      <c r="IL4" s="0" t="inlineStr">
        <is>
          <t>v12_quick_engine.py:3768 x5</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RECENT_REDUCTION_GUARD_WINDOW_S</t>
        </is>
      </c>
      <c r="B3" s="0" t="inlineStr">
        <is>
          <t>1350.0</t>
        </is>
      </c>
      <c r="G3" s="0">
        <f>IFERROR(VLOOKUP($A8&amp;"_"&amp;$B8,Results_Deltas!$A$2:$P$15000,5,FALSE),"")</f>
        <v/>
      </c>
      <c r="H3" s="0">
        <f>IFERROR(VLOOKUP($A8,Results_30d_Deltas!$A$2:$H$5000,7,FALSE)-E7,"")</f>
        <v/>
      </c>
      <c r="I3" s="0">
        <f>IFERROR(VLOOKUP($A8,Results_30d_Deltas!$A$2:$H$5000,6,FALSE),"")</f>
        <v/>
      </c>
      <c r="L3" s="0" t="inlineStr">
        <is>
          <t>NO</t>
        </is>
      </c>
      <c r="M3" s="0" t="n">
        <v>-3.130669029695726</v>
      </c>
      <c r="IK3" s="0" t="inlineStr">
        <is>
          <t>ez_manage.py:5266 top()</t>
        </is>
      </c>
      <c r="IL3" s="0" t="inlineStr">
        <is>
          <t>v12_quick_engine.py:4016 x1</t>
        </is>
      </c>
    </row>
    <row r="4" ht="10.5" customHeight="1" s="67">
      <c r="A4" s="0" t="inlineStr">
        <is>
          <t>TRADES_PER_SYM_PER_DAY_MAX</t>
        </is>
      </c>
      <c r="B4" s="0" t="inlineStr">
        <is>
          <t>12</t>
        </is>
      </c>
      <c r="G4" s="0">
        <f>IFERROR(VLOOKUP($A13&amp;"_"&amp;$B13,Results_Deltas!$A$2:$P$15000,5,FALSE),"")</f>
        <v/>
      </c>
      <c r="H4" s="0">
        <f>IFERROR(VLOOKUP($A13,Results_30d_Deltas!$A$2:$H$5000,7,FALSE)-E12,"")</f>
        <v/>
      </c>
      <c r="I4" s="0">
        <f>IFERROR(VLOOKUP($A13,Results_30d_Deltas!$A$2:$H$5000,6,FALSE),"")</f>
        <v/>
      </c>
      <c r="L4" s="0" t="inlineStr">
        <is>
          <t>NO</t>
        </is>
      </c>
      <c r="M4" s="0" t="n">
        <v>-2.955557239818937</v>
      </c>
      <c r="IK4" s="0" t="inlineStr">
        <is>
          <t>ez_manage.py:4116 top()</t>
        </is>
      </c>
      <c r="IL4" s="0" t="inlineStr">
        <is>
          <t>v12_quick_engine.py:3383 x1</t>
        </is>
      </c>
    </row>
    <row r="5" ht="10.5" customHeight="1" s="67">
      <c r="A5" s="0" t="inlineStr">
        <is>
          <t>BLACKLIST_SYMBOLS</t>
        </is>
      </c>
      <c r="B5" s="0" t="inlineStr">
        <is>
          <t>()</t>
        </is>
      </c>
      <c r="G5" s="0">
        <f>IFERROR(VLOOKUP($A13&amp;"_"&amp;$B13,Results_Deltas!$A$2:$P$15000,5,FALSE),"")</f>
        <v/>
      </c>
      <c r="H5" s="0">
        <f>IFERROR(VLOOKUP($A13,Results_30d_Deltas!$A$2:$H$5000,7,FALSE)-E12,"")</f>
        <v/>
      </c>
      <c r="I5" s="0">
        <f>IFERROR(VLOOKUP($A13,Results_30d_Deltas!$A$2:$H$5000,6,FALSE),"")</f>
        <v/>
      </c>
      <c r="L5" s="0" t="inlineStr">
        <is>
          <t>NO</t>
        </is>
      </c>
      <c r="M5" s="0" t="n">
        <v>-2.821019198811836</v>
      </c>
      <c r="IK5" s="0" t="inlineStr">
        <is>
          <t>ez_manage.py:4377 top()</t>
        </is>
      </c>
      <c r="IL5" s="0" t="inlineStr">
        <is>
          <t>v12_quick_engine.py:3798 x5</t>
        </is>
      </c>
    </row>
    <row r="6" ht="10.5" customHeight="1" s="67">
      <c r="A6" s="0" t="inlineStr">
        <is>
          <t>EXECUTE_NOW_MAX_MARK_AGE_S</t>
        </is>
      </c>
      <c r="B6" s="0" t="inlineStr">
        <is>
          <t>75.0</t>
        </is>
      </c>
      <c r="G6" s="0">
        <f>IFERROR(VLOOKUP($A16&amp;"_"&amp;$B16,Results_Deltas!$A$2:$P$15000,5,FALSE),"")</f>
        <v/>
      </c>
      <c r="H6" s="0">
        <f>IFERROR(VLOOKUP($A16,Results_30d_Deltas!$A$2:$H$5000,7,FALSE)-E15,"")</f>
        <v/>
      </c>
      <c r="I6" s="0">
        <f>IFERROR(VLOOKUP($A16,Results_30d_Deltas!$A$2:$H$5000,6,FALSE),"")</f>
        <v/>
      </c>
      <c r="L6" s="0" t="inlineStr">
        <is>
          <t>NO</t>
        </is>
      </c>
      <c r="M6" s="0" t="n">
        <v>-2.673284032830817</v>
      </c>
      <c r="IK6" s="0" t="inlineStr">
        <is>
          <t>ez_manage.py:4656 top()</t>
        </is>
      </c>
      <c r="IL6" s="0" t="inlineStr">
        <is>
          <t>v12_quick_engine.py:3868 x1</t>
        </is>
      </c>
    </row>
    <row r="7" ht="10.5" customHeight="1" s="67">
      <c r="A7" s="0" t="inlineStr">
        <is>
          <t>UNIVERSAL_NOLOSS_GATE</t>
        </is>
      </c>
      <c r="B7" s="0" t="inlineStr">
        <is>
          <t>True</t>
        </is>
      </c>
      <c r="G7" s="0">
        <f>IFERROR(VLOOKUP($A18&amp;"_"&amp;$B18,Results_Deltas!$A$2:$P$15000,5,FALSE),"")</f>
        <v/>
      </c>
      <c r="H7" s="0">
        <f>IFERROR(VLOOKUP($A18,Results_30d_Deltas!$A$2:$H$5000,7,FALSE)-E17,"")</f>
        <v/>
      </c>
      <c r="I7" s="0">
        <f>IFERROR(VLOOKUP($A18,Results_30d_Deltas!$A$2:$H$5000,6,FALSE),"")</f>
        <v/>
      </c>
      <c r="L7" s="0" t="inlineStr">
        <is>
          <t>NO</t>
        </is>
      </c>
      <c r="M7" s="0" t="n">
        <v>-2.361576748762993</v>
      </c>
      <c r="IK7" s="0" t="inlineStr">
        <is>
          <t>ez_manage.py:4233 top()</t>
        </is>
      </c>
      <c r="IL7" s="0" t="inlineStr">
        <is>
          <t>v12_quick_engine.py:837 x18</t>
        </is>
      </c>
    </row>
    <row r="8" ht="10.5" customHeight="1" s="67">
      <c r="A8" s="0" t="inlineStr">
        <is>
          <t>RECENT_REDUCTION_GUARD_ENABLED</t>
        </is>
      </c>
      <c r="B8" s="0" t="inlineStr">
        <is>
          <t>False</t>
        </is>
      </c>
      <c r="G8" s="0">
        <f>IFERROR(VLOOKUP($A19&amp;"_"&amp;$B19,Results_Deltas!$A$2:$P$15000,5,FALSE),"")</f>
        <v/>
      </c>
      <c r="H8" s="0">
        <f>IFERROR(VLOOKUP($A19,Results_30d_Deltas!$A$2:$H$5000,7,FALSE)-E18,"")</f>
        <v/>
      </c>
      <c r="I8" s="0">
        <f>IFERROR(VLOOKUP($A19,Results_30d_Deltas!$A$2:$H$5000,6,FALSE),"")</f>
        <v/>
      </c>
      <c r="L8" s="0" t="inlineStr">
        <is>
          <t>NO</t>
        </is>
      </c>
      <c r="M8" s="0" t="n">
        <v>-2.358676815566322</v>
      </c>
      <c r="IK8" s="0" t="inlineStr">
        <is>
          <t>ez_manage.py:5264 top()</t>
        </is>
      </c>
      <c r="IL8" s="0" t="inlineStr">
        <is>
          <t>v12_quick_engine.py:2806 x1</t>
        </is>
      </c>
    </row>
    <row r="9" ht="10.5" customHeight="1" s="67">
      <c r="A9" s="0" t="inlineStr">
        <is>
          <t>COUNTER_TREND_SMA200_BYPASS_ENABLED</t>
        </is>
      </c>
      <c r="B9" s="0" t="inlineStr">
        <is>
          <t>False</t>
        </is>
      </c>
      <c r="G9" s="0">
        <f>IFERROR(VLOOKUP($A24&amp;"_"&amp;$B24,Results_Deltas!$A$2:$P$15000,5,FALSE),"")</f>
        <v/>
      </c>
      <c r="H9" s="0">
        <f>IFERROR(VLOOKUP($A24,Results_30d_Deltas!$A$2:$H$5000,7,FALSE)-E23,"")</f>
        <v/>
      </c>
      <c r="I9" s="0">
        <f>IFERROR(VLOOKUP($A24,Results_30d_Deltas!$A$2:$H$5000,6,FALSE),"")</f>
        <v/>
      </c>
      <c r="L9" s="0" t="inlineStr">
        <is>
          <t>NO</t>
        </is>
      </c>
      <c r="M9" s="0" t="n">
        <v>-2.319451442451342</v>
      </c>
      <c r="IK9" s="0" t="inlineStr">
        <is>
          <t>ez_manage.py:3056 top()</t>
        </is>
      </c>
      <c r="IL9" s="0" t="inlineStr">
        <is>
          <t>v12_quick_engine.py:1470 x6</t>
        </is>
      </c>
    </row>
    <row r="10" ht="10.5" customHeight="1" s="67">
      <c r="A10" s="0" t="inlineStr">
        <is>
          <t>OPEN_RATE_BREAKER_ENABLED</t>
        </is>
      </c>
      <c r="B10" s="0" t="inlineStr">
        <is>
          <t>False</t>
        </is>
      </c>
      <c r="G10" s="0">
        <f>IFERROR(VLOOKUP($A30&amp;"_"&amp;$B30,Results_Deltas!$A$2:$P$15000,5,FALSE),"")</f>
        <v/>
      </c>
      <c r="H10" s="0">
        <f>IFERROR(VLOOKUP($A30,Results_30d_Deltas!$A$2:$H$5000,7,FALSE)-E29,"")</f>
        <v/>
      </c>
      <c r="I10" s="0">
        <f>IFERROR(VLOOKUP($A30,Results_30d_Deltas!$A$2:$H$5000,6,FALSE),"")</f>
        <v/>
      </c>
      <c r="L10" s="0" t="inlineStr">
        <is>
          <t>NO</t>
        </is>
      </c>
      <c r="M10" s="0" t="n">
        <v>-1.96714267247498</v>
      </c>
      <c r="IK10" s="0" t="inlineStr">
        <is>
          <t>ez_manage.py:5141 top()</t>
        </is>
      </c>
      <c r="IL10" s="0" t="inlineStr">
        <is>
          <t>v12_quick_engine.py:2538 x1</t>
        </is>
      </c>
    </row>
    <row r="11" ht="10.5" customHeight="1" s="67">
      <c r="A11" s="0" t="inlineStr">
        <is>
          <t>UNIVERSAL_NOLOSS_GATE</t>
        </is>
      </c>
      <c r="B11" s="0" t="inlineStr">
        <is>
          <t>False</t>
        </is>
      </c>
      <c r="G11" s="0">
        <f>IFERROR(VLOOKUP($A36&amp;"="&amp;$B36,Results_Deltas!$A$2:$P$15000,5,FALSE),"")</f>
        <v/>
      </c>
      <c r="H11" s="0">
        <f>IFERROR(VLOOKUP($A36,Results_30d_Deltas!$A$2:$H$5000,7,FALSE)-E36,"")</f>
        <v/>
      </c>
      <c r="I11" s="0">
        <f>IFERROR(VLOOKUP($A36,Results_30d_Deltas!$A$2:$H$5000,6,FALSE),"")</f>
        <v/>
      </c>
      <c r="L11" s="0" t="inlineStr">
        <is>
          <t>YES</t>
        </is>
      </c>
      <c r="M11" s="0" t="n">
        <v>-0.8341172090251789</v>
      </c>
      <c r="IK11" s="0" t="inlineStr">
        <is>
          <t>ez_manage.py:4233 top()</t>
        </is>
      </c>
      <c r="IL11" s="0" t="inlineStr">
        <is>
          <t>v12_quick_engine.py:837 x18</t>
        </is>
      </c>
    </row>
    <row r="12" ht="10.5" customHeight="1" s="67">
      <c r="A12" s="0" t="inlineStr">
        <is>
          <t>UNIVERSAL_NOLOSS_GATE</t>
        </is>
      </c>
      <c r="B12" s="0" t="inlineStr">
        <is>
          <t>False</t>
        </is>
      </c>
      <c r="G12" s="0">
        <f>IFERROR(VLOOKUP($A44&amp;"_"&amp;$B44,Results_Deltas!$A$2:$P$15000,5,FALSE),"")</f>
        <v/>
      </c>
      <c r="H12" s="0">
        <f>IFERROR(VLOOKUP($A45,Results_30d_Deltas!$A$2:$H$5000,7,FALSE)-E-166,"")</f>
        <v/>
      </c>
      <c r="I12" s="0">
        <f>IFERROR(VLOOKUP($A45,Results_30d_Deltas!$A$2:$H$5000,6,FALSE),"")</f>
        <v/>
      </c>
      <c r="L12" s="0" t="inlineStr">
        <is>
          <t>YES</t>
        </is>
      </c>
      <c r="M12" s="0" t="n">
        <v>-0.8341172090251789</v>
      </c>
      <c r="IK12" s="0" t="inlineStr">
        <is>
          <t>ez_manage.py:4233 top()</t>
        </is>
      </c>
      <c r="IL12" s="0" t="inlineStr">
        <is>
          <t>v12_quick_engine.py:837 x18</t>
        </is>
      </c>
    </row>
    <row r="13" ht="10.5" customHeight="1" s="67">
      <c r="A13" s="0" t="inlineStr">
        <is>
          <t>BULL_HOLD_EXIT_DELAY_BARS</t>
        </is>
      </c>
      <c r="B13" s="0" t="inlineStr">
        <is>
          <t>0</t>
        </is>
      </c>
      <c r="C13" s="0" t="inlineStr">
        <is>
          <t>0</t>
        </is>
      </c>
    </row>
    <row r="14" ht="10.5" customHeight="1" s="67">
      <c r="A14" s="0" t="inlineStr">
        <is>
          <t>BULL_HOLD_EXIT_DELAY_BARS</t>
        </is>
      </c>
      <c r="B14" s="0" t="inlineStr">
        <is>
          <t>0</t>
        </is>
      </c>
      <c r="C14" s="0" t="inlineStr">
        <is>
          <t>24</t>
        </is>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2026-09-18T21:38:22Z</dcterms:modified>
</cp:coreProperties>
</file>