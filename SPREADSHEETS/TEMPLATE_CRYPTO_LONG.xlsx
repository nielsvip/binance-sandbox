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7" t="inlineStr">
        <is>
          <t>BB_SQUEEZE_ENTRY_ENABLED</t>
        </is>
      </c>
      <c r="B4" s="27" t="inlineStr">
        <is>
          <t>True</t>
        </is>
      </c>
      <c r="C4" s="26" t="n"/>
      <c r="D4" s="26" t="n"/>
      <c r="E4" s="26">
        <f>IF(G5="",E4,IF(G5&gt;0,E4+G5,E4))</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4" t="n"/>
      <c r="FK4" s="34" t="n"/>
      <c r="FL4" s="34" t="n"/>
      <c r="FM4" s="34" t="n"/>
      <c r="FN4" s="34"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ez_manage.py:4371 top()</t>
        </is>
      </c>
      <c r="IM4" s="26" t="inlineStr">
        <is>
          <t>v12_quick_engine.py:889 x9</t>
        </is>
      </c>
      <c r="IN4" s="26" t="n"/>
    </row>
    <row r="5" ht="10.5" customHeight="1" s="67">
      <c r="A5" s="26" t="inlineStr">
        <is>
          <t>BB_PULLBACK_GATE_TF</t>
        </is>
      </c>
      <c r="B5" s="26" t="inlineStr">
        <is>
          <t>OFF</t>
        </is>
      </c>
      <c r="C5" s="26" t="n"/>
      <c r="D5" s="26" t="n"/>
      <c r="E5" s="26">
        <f>IF(G7="",E5,IF(G7&gt;0,E5+G7,E5))</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32" t="n"/>
      <c r="N5" s="33" t="n"/>
      <c r="O5" s="33" t="n"/>
      <c r="P5" s="33" t="n"/>
      <c r="Q5" s="33" t="n"/>
      <c r="R5" s="33" t="n"/>
      <c r="S5" s="33" t="n"/>
      <c r="T5" s="33" t="n"/>
      <c r="U5" s="33" t="n"/>
      <c r="V5" s="33" t="n"/>
      <c r="W5" s="33" t="n"/>
      <c r="X5" s="34" t="n"/>
      <c r="Y5" s="34" t="n"/>
      <c r="Z5" s="34" t="n"/>
      <c r="AA5" s="34" t="n"/>
      <c r="AB5" s="34"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ez_manage.py:4361 top()</t>
        </is>
      </c>
      <c r="IM5" s="26" t="inlineStr">
        <is>
          <t>v12_quick_engine.py:288 x12</t>
        </is>
      </c>
      <c r="IN5" s="26" t="n"/>
    </row>
    <row r="6" ht="15.75" customHeight="1" s="67">
      <c r="A6" s="26" t="inlineStr">
        <is>
          <t>BB_PULLBACK_GATE_TF</t>
        </is>
      </c>
      <c r="B6" s="26" t="inlineStr">
        <is>
          <t>D</t>
        </is>
      </c>
      <c r="C6" s="26" t="n"/>
      <c r="D6" s="26" t="n"/>
      <c r="E6" s="26">
        <f>IF(G8="",E7,IF(G8&gt;0,E7+G8,E7))</f>
        <v/>
      </c>
      <c r="F6" s="26" t="n"/>
      <c r="G6" s="26">
        <f>IFERROR(VLOOKUP($A8&amp;"_"&amp;$B8,Results_Deltas!$A$2:$P$15000,5,FALSE),"")</f>
        <v/>
      </c>
      <c r="H6" s="26">
        <f>IFERROR(VLOOKUP($A8,Results_30d_Deltas!$A$2:$H$5000,7,FALSE)-E7,"")</f>
        <v/>
      </c>
      <c r="I6" s="26">
        <f>IFERROR(VLOOKUP($A8,Results_30d_Deltas!$A$2:$H$5000,6,FALSE),"")</f>
        <v/>
      </c>
      <c r="J6" s="26" t="n"/>
      <c r="K6" s="26" t="n"/>
      <c r="L6" s="26" t="inlineStr">
        <is>
          <t>NO</t>
        </is>
      </c>
      <c r="M6" s="32" t="n"/>
      <c r="N6" s="33" t="n"/>
      <c r="O6" s="33" t="n"/>
      <c r="P6" s="33" t="n"/>
      <c r="Q6" s="33" t="n"/>
      <c r="R6" s="33" t="n"/>
      <c r="S6" s="33" t="n"/>
      <c r="T6" s="33" t="n"/>
      <c r="U6" s="33" t="n"/>
      <c r="V6" s="33" t="n"/>
      <c r="W6" s="33" t="n"/>
      <c r="X6" s="34" t="n"/>
      <c r="Y6" s="34" t="n"/>
      <c r="Z6" s="34" t="n"/>
      <c r="AA6" s="34" t="n"/>
      <c r="AB6" s="34"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ez_manage.py:4361 top()</t>
        </is>
      </c>
      <c r="IM6" s="26" t="inlineStr">
        <is>
          <t>v12_quick_engine.py:288 x12</t>
        </is>
      </c>
      <c r="IN6" s="26" t="n"/>
    </row>
    <row r="7" ht="10.5" customHeight="1" s="67">
      <c r="A7" s="26" t="inlineStr">
        <is>
          <t>BB_PULLBACK_GATE_TF</t>
        </is>
      </c>
      <c r="B7" s="26" t="inlineStr">
        <is>
          <t>1h</t>
        </is>
      </c>
      <c r="C7" s="26" t="n"/>
      <c r="D7" s="26" t="n"/>
      <c r="E7" s="26">
        <f>IF(G10="",E9,IF(G10&gt;0,E9+G10,E9))</f>
        <v/>
      </c>
      <c r="F7" s="26" t="n"/>
      <c r="G7" s="26">
        <f>IFERROR(VLOOKUP($A10&amp;"_"&amp;$B10,Results_Deltas!$A$2:$P$15000,5,FALSE),"")</f>
        <v/>
      </c>
      <c r="H7" s="26">
        <f>IFERROR(VLOOKUP($A10,Results_30d_Deltas!$A$2:$H$5000,7,FALSE)-E9,"")</f>
        <v/>
      </c>
      <c r="I7" s="26">
        <f>IFERROR(VLOOKUP($A10,Results_30d_Deltas!$A$2:$H$5000,6,FALSE),"")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7" t="inlineStr">
        <is>
          <t>DELTA_GATE_BB_SQUEEZE</t>
        </is>
      </c>
      <c r="B8" s="27" t="inlineStr">
        <is>
          <t>True</t>
        </is>
      </c>
      <c r="C8" s="26" t="n"/>
      <c r="D8" s="26" t="n"/>
      <c r="E8" s="26">
        <f>IF(G12="",E11,IF(G12&gt;0,E11+G12,E11))</f>
        <v/>
      </c>
      <c r="F8" s="26" t="n"/>
      <c r="G8" s="26">
        <f>IFERROR(VLOOKUP($A12&amp;"_"&amp;$B12,Results_Deltas!$A$2:$P$15000,5,FALSE),"")</f>
        <v/>
      </c>
      <c r="H8" s="26">
        <f>IFERROR(VLOOKUP($A12,Results_30d_Deltas!$A$2:$H$5000,7,FALSE)-E11,"")</f>
        <v/>
      </c>
      <c r="I8" s="26">
        <f>IFERROR(VLOOKUP($A12,Results_30d_Deltas!$A$2:$H$5000,6,FALSE),"")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4" t="n"/>
      <c r="CB8" s="34" t="n"/>
      <c r="CC8" s="34" t="n"/>
      <c r="CD8" s="34" t="n"/>
      <c r="CE8" s="34"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ez_manage.py:4603 top()</t>
        </is>
      </c>
      <c r="IM8" s="26" t="inlineStr">
        <is>
          <t>v12_quick_engine.py:969 x9</t>
        </is>
      </c>
      <c r="IN8" s="26" t="n"/>
    </row>
    <row r="9" ht="10.5" customHeight="1" s="67">
      <c r="A9" s="27" t="inlineStr">
        <is>
          <t>WT_MOMENTUM_EXIT_THRESHOLD</t>
        </is>
      </c>
      <c r="B9" s="27" t="inlineStr">
        <is>
          <t>1</t>
        </is>
      </c>
      <c r="C9" s="26" t="n"/>
      <c r="D9" s="26" t="n"/>
      <c r="E9" s="26">
        <f>IF(G22="",E21,IF(G22&gt;0,E21+G22,E21))</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4" t="n"/>
      <c r="BW9" s="34" t="n"/>
      <c r="BX9" s="34" t="n"/>
      <c r="BY9" s="34" t="n"/>
      <c r="BZ9" s="34"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3" t="n"/>
      <c r="DP9" s="33" t="n"/>
      <c r="DQ9" s="33" t="n"/>
      <c r="DR9" s="33" t="n"/>
      <c r="DS9" s="33" t="n"/>
      <c r="DT9" s="34" t="n"/>
      <c r="DU9" s="34" t="n"/>
      <c r="DV9" s="34" t="n"/>
      <c r="DW9" s="34" t="n"/>
      <c r="DX9" s="34"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ez_manage.py:6087 top()</t>
        </is>
      </c>
      <c r="IM9" s="26" t="inlineStr">
        <is>
          <t>v12_quick_engine.py:4293 x3</t>
        </is>
      </c>
      <c r="IN9" s="26" t="n"/>
    </row>
    <row r="10" ht="10.5" customHeight="1" s="67">
      <c r="A10" s="39" t="inlineStr">
        <is>
          <t>DELTA_REENTRY_FILTER_ENABLED</t>
        </is>
      </c>
      <c r="B10" s="40" t="inlineStr">
        <is>
          <t>False</t>
        </is>
      </c>
      <c r="C10" s="38" t="n"/>
      <c r="D10" s="38" t="inlineStr">
        <is>
          <t>ENTRY, GLOBAL_CHECK, STOCKS_EXIT</t>
        </is>
      </c>
      <c r="E10" s="38">
        <f>IF(G57="",E56,IF(G57&gt;0,E56+G57,E56))</f>
        <v/>
      </c>
      <c r="F10" s="26" t="n"/>
      <c r="G10" s="38">
        <f>IFERROR(VLOOKUP($A57&amp;"_"&amp;$B57,Results_Deltas!$A$2:$P$15000,5,FALSE),"")</f>
        <v/>
      </c>
      <c r="H10" s="38" t="inlineStr">
        <is>
          <t>Blanket (page end)</t>
        </is>
      </c>
      <c r="I10" s="26" t="n"/>
      <c r="J10" s="26" t="n"/>
      <c r="K10" s="26" t="n"/>
      <c r="L10" s="26" t="inlineStr">
        <is>
          <t>YES</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DELTA_REENTRY_FILTER_ENABLED</t>
        </is>
      </c>
      <c r="B11" s="38" t="inlineStr">
        <is>
          <t>True</t>
        </is>
      </c>
      <c r="C11" s="38" t="n"/>
      <c r="D11" s="38" t="inlineStr">
        <is>
          <t>ENTRY, GLOBAL_CHECK, STOCKS_EXIT</t>
        </is>
      </c>
      <c r="E11" s="38">
        <f>IF(G58="",E57,IF(G58&gt;0,E57+G58,E57))</f>
        <v/>
      </c>
      <c r="F11" s="26" t="n"/>
      <c r="G11" s="38">
        <f>IFERROR(VLOOKUP($A58&amp;"_"&amp;$B58,Results_Deltas!$A$2:$P$15000,5,FALSE),"")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DUP_GUARD_FILTER_TF</t>
        </is>
      </c>
      <c r="B12" s="38" t="inlineStr">
        <is>
          <t>OFF</t>
        </is>
      </c>
      <c r="C12" s="38" t="n"/>
      <c r="D12" s="38" t="inlineStr">
        <is>
          <t>GLOBAL_CHECK</t>
        </is>
      </c>
      <c r="E12" s="38">
        <f>IF(G59="",E58,IF(G59&gt;0,E58+G59,E58))</f>
        <v/>
      </c>
      <c r="F12" s="26" t="n"/>
      <c r="G12" s="38">
        <f>IFERROR(VLOOKUP($A59&amp;"_"&amp;$B59,Results_Deltas!$A$2:$P$15000,5,FALSE),"")</f>
        <v/>
      </c>
      <c r="H12" s="38" t="inlineStr">
        <is>
          <t>Blanket (page end)</t>
        </is>
      </c>
      <c r="I12" s="26" t="n"/>
      <c r="J12" s="26" t="n"/>
      <c r="K12" s="26" t="n"/>
      <c r="L12" s="26" t="inlineStr">
        <is>
          <t>NO</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HTF_TREND_VETO_BYPASS_ENABLED</t>
        </is>
      </c>
      <c r="B13" s="38" t="inlineStr">
        <is>
          <t>False</t>
        </is>
      </c>
      <c r="C13" s="38" t="n"/>
      <c r="D13" s="38" t="inlineStr">
        <is>
          <t>GLOBAL_CHECK, STOCKS_EXIT</t>
        </is>
      </c>
      <c r="E13" s="38">
        <f>IF(G130="",E129,IF(G130&gt;0,E129+G130,E129))</f>
        <v/>
      </c>
      <c r="F13" s="26" t="n"/>
      <c r="G13" s="38">
        <f>IFERROR(VLOOKUP($A130&amp;"_"&amp;$B130,Results_Deltas!$A$2:$P$15000,5,FALSE),"")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9" t="inlineStr">
        <is>
          <t>HTF_TREND_VETO_BYPASS_ENABLED</t>
        </is>
      </c>
      <c r="B14" s="40" t="inlineStr">
        <is>
          <t>True</t>
        </is>
      </c>
      <c r="C14" s="38" t="n"/>
      <c r="D14" s="38" t="inlineStr">
        <is>
          <t>GLOBAL_CHECK, STOCKS_EXIT</t>
        </is>
      </c>
      <c r="E14" s="38">
        <f>IF(G131="",E130,IF(G131&gt;0,E130+G131,E130))</f>
        <v/>
      </c>
      <c r="F14" s="26" t="n"/>
      <c r="G14" s="38">
        <f>IFERROR(VLOOKUP($A131&amp;"_"&amp;$B131,Results_Deltas!$A$2:$P$15000,5,FALSE),"")</f>
        <v/>
      </c>
      <c r="H14" s="38" t="inlineStr">
        <is>
          <t>Blanket (page end)</t>
        </is>
      </c>
      <c r="I14" s="26" t="n"/>
      <c r="J14" s="26" t="n"/>
      <c r="K14" s="26" t="n"/>
      <c r="L14" s="26" t="inlineStr">
        <is>
          <t>YES</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9" t="inlineStr">
        <is>
          <t>LH_HL_FILTER_MODE</t>
        </is>
      </c>
      <c r="B15" s="40" t="inlineStr">
        <is>
          <t>STRICT_2BAR</t>
        </is>
      </c>
      <c r="C15" s="38" t="n"/>
      <c r="D15" s="38" t="inlineStr">
        <is>
          <t>ENTRY, GLOBAL_CHECK, STOCKS_EXIT</t>
        </is>
      </c>
      <c r="E15" s="38">
        <f>IF(G138="",E137,IF(G138&gt;0,E137+G138,E137))</f>
        <v/>
      </c>
      <c r="F15" s="26" t="n"/>
      <c r="G15" s="38">
        <f>IFERROR(VLOOKUP($A138&amp;"_"&amp;$B138,Results_Deltas!$A$2:$P$15000,5,FALSE),"")</f>
        <v/>
      </c>
      <c r="H15" s="38" t="inlineStr">
        <is>
          <t>Blanket (page end)</t>
        </is>
      </c>
      <c r="I15" s="26" t="n"/>
      <c r="J15" s="26" t="n"/>
      <c r="K15" s="26" t="n"/>
      <c r="L15" s="26" t="inlineStr">
        <is>
          <t>YES</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LIVE_VEC_EMERGENCY_BRAKE_ENABLED</t>
        </is>
      </c>
      <c r="B16" s="40" t="inlineStr">
        <is>
          <t>False</t>
        </is>
      </c>
      <c r="C16" s="38" t="n"/>
      <c r="D16" s="38" t="inlineStr">
        <is>
          <t>GLOBAL_CHECK, STOCKS_EXIT</t>
        </is>
      </c>
      <c r="E16" s="38">
        <f>IF(G142="",E141,IF(G142&gt;0,E141+G142,E141))</f>
        <v/>
      </c>
      <c r="F16" s="26" t="n"/>
      <c r="G16" s="38">
        <f>IFERROR(VLOOKUP($A142&amp;"_"&amp;$B142,Results_Deltas!$A$2:$P$15000,5,FALSE),"")</f>
        <v/>
      </c>
      <c r="H16" s="38" t="inlineStr">
        <is>
          <t>Blanket (page end)</t>
        </is>
      </c>
      <c r="I16" s="26" t="n"/>
      <c r="J16" s="26" t="n"/>
      <c r="K16" s="26" t="n"/>
      <c r="L16" s="26" t="inlineStr">
        <is>
          <t>YES</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LIVE_VEC_EMERGENCY_BRAKE_ENABLED</t>
        </is>
      </c>
      <c r="B17" s="38" t="inlineStr">
        <is>
          <t>True</t>
        </is>
      </c>
      <c r="C17" s="38" t="n"/>
      <c r="D17" s="38" t="inlineStr">
        <is>
          <t>GLOBAL_CHECK, STOCKS_EXIT</t>
        </is>
      </c>
      <c r="E17" s="38">
        <f>IF(G143="",E142,IF(G143&gt;0,E142+G143,E142))</f>
        <v/>
      </c>
      <c r="F17" s="26" t="n"/>
      <c r="G17" s="38">
        <f>IFERROR(VLOOKUP($A143&amp;"_"&amp;$B143,Results_Deltas!$A$2:$P$15000,5,FALSE),"")</f>
        <v/>
      </c>
      <c r="H17" s="38" t="inlineStr">
        <is>
          <t>Blanket (page end)</t>
        </is>
      </c>
      <c r="I17" s="26" t="n"/>
      <c r="J17" s="26" t="n"/>
      <c r="K17" s="26" t="n"/>
      <c r="L17" s="26" t="inlineStr">
        <is>
          <t>NO</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LR_BAND_LADDER_TF_BOTTOM</t>
        </is>
      </c>
      <c r="B18" s="38" t="inlineStr">
        <is>
          <t>0</t>
        </is>
      </c>
      <c r="C18" s="38" t="n"/>
      <c r="D18" s="38" t="inlineStr">
        <is>
          <t>GLOBAL_CHECK, STOCKS_EXIT</t>
        </is>
      </c>
      <c r="E18" s="38">
        <f>IF(G146="",E145,IF(G146&gt;0,E145+G146,E145))</f>
        <v/>
      </c>
      <c r="F18" s="26" t="n"/>
      <c r="G18" s="38">
        <f>IFERROR(VLOOKUP($A146&amp;"_"&amp;$B146,Results_Deltas!$A$2:$P$15000,5,FALSE),"")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9" t="inlineStr">
        <is>
          <t>NEWBORN_LOSS_KILL_GAIN_THRESHOLD_PCT</t>
        </is>
      </c>
      <c r="B19" s="40" t="inlineStr">
        <is>
          <t>0</t>
        </is>
      </c>
      <c r="C19" s="38" t="n"/>
      <c r="D19" s="38" t="inlineStr">
        <is>
          <t>AUGMENT, EXIT, GLOBAL_CHECK, REDUCE, STOCKS_EXIT</t>
        </is>
      </c>
      <c r="E19" s="38">
        <f>IF(G181="",E180,IF(G181&gt;0,E180+G181,E180))</f>
        <v/>
      </c>
      <c r="F19" s="26" t="n"/>
      <c r="G19" s="38">
        <f>IFERROR(VLOOKUP($A181&amp;"_"&amp;$B181,Results_Deltas!$A$2:$P$15000,5,FALSE),"")</f>
        <v/>
      </c>
      <c r="H19" s="38" t="inlineStr">
        <is>
          <t>Blanket (page end)</t>
        </is>
      </c>
      <c r="I19" s="26" t="n"/>
      <c r="J19" s="26" t="n"/>
      <c r="K19" s="26" t="n"/>
      <c r="L19" s="26" t="inlineStr">
        <is>
          <t>YES</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L20" s="35" t="inlineStr">
        <is>
          <t>NO</t>
        </is>
      </c>
    </row>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7" t="inlineStr">
        <is>
          <t>STDEV_SLOPE_SIZING_D_MAX</t>
        </is>
      </c>
      <c r="B3" s="27" t="n">
        <v>10</v>
      </c>
      <c r="C3" s="26" t="n"/>
      <c r="D3" s="26" t="inlineStr">
        <is>
          <t>STDEV_LADDER</t>
        </is>
      </c>
      <c r="E3" s="26">
        <f>IF(G5="",E4,IF(G5&gt;0,E4+G5,E4))</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row>
    <row r="4">
      <c r="A4" s="27" t="inlineStr">
        <is>
          <t>STDEV_SLOPE_SIZING_4H_MAX</t>
        </is>
      </c>
      <c r="B4" s="27" t="n">
        <v>4</v>
      </c>
      <c r="C4" s="26" t="n"/>
      <c r="D4" s="26" t="inlineStr">
        <is>
          <t>STDEV_LADDER</t>
        </is>
      </c>
      <c r="E4" s="26">
        <f>IF(G6="",E5,IF(G6&gt;0,E5+G6,E5))</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STDEV_SLOPE_SIZING_1H_MAX</t>
        </is>
      </c>
      <c r="B5" s="27" t="n">
        <v>2</v>
      </c>
      <c r="C5" s="26" t="n"/>
      <c r="D5" s="26" t="inlineStr">
        <is>
          <t>STDEV_LADDER</t>
        </is>
      </c>
      <c r="E5" s="26">
        <f>IF(G7="",E6,IF(G7&gt;0,E6+G7,E6))</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row>
    <row r="6">
      <c r="A6" s="27" t="inlineStr">
        <is>
          <t>STDEV_SLOPE_LOOKBACK_D</t>
        </is>
      </c>
      <c r="B6" s="27" t="n">
        <v>180</v>
      </c>
      <c r="C6" s="26" t="n"/>
      <c r="D6" s="26" t="inlineStr">
        <is>
          <t>STDEV_LADDER</t>
        </is>
      </c>
      <c r="E6" s="26">
        <f>IF(G9="",E8,IF(G9&gt;0,E8+G9,E8))</f>
        <v/>
      </c>
      <c r="F6" s="26" t="n"/>
      <c r="G6" s="26">
        <f>IFERROR(VLOOKUP($A9&amp;"_"&amp;$B9,Results_Deltas!$A$2:$P$15000,5,FALSE),"")</f>
        <v/>
      </c>
      <c r="H6" s="26">
        <f>IFERROR(VLOOKUP($A3,Results_30d_Deltas!$A$2:$H$5000,7,FALSE)-E3,"")</f>
        <v/>
      </c>
      <c r="I6" s="26">
        <f>IFERROR(VLOOKUP($A3,Results_30d_Deltas!$A$2:$H$5000,6,FALSE),"")</f>
        <v/>
      </c>
      <c r="J6" s="26" t="n"/>
      <c r="K6" s="26" t="n"/>
      <c r="L6" s="26" t="inlineStr">
        <is>
          <t>YES</t>
        </is>
      </c>
    </row>
    <row r="7">
      <c r="A7" s="27" t="inlineStr">
        <is>
          <t>STDEV_SLOPE_LOOKBACK_4H</t>
        </is>
      </c>
      <c r="B7" s="27" t="n">
        <v>180</v>
      </c>
      <c r="C7" s="26" t="n"/>
      <c r="D7" s="26" t="inlineStr">
        <is>
          <t>STDEV_LADDER</t>
        </is>
      </c>
      <c r="E7" s="26">
        <f>IF(G10="",E9,IF(G10&gt;0,E9+G10,E9))</f>
        <v/>
      </c>
      <c r="F7" s="26" t="n"/>
      <c r="G7" s="26">
        <f>IFERROR(VLOOKUP($A10&amp;"_"&amp;$B10,Results_Deltas!$A$2:$P$15000,5,FALSE),"")</f>
        <v/>
      </c>
      <c r="H7" s="26">
        <f>IFERROR(VLOOKUP($A3,Results_30d_Deltas!$A$2:$H$5000,7,FALSE)-E3,"")</f>
        <v/>
      </c>
      <c r="I7" s="26">
        <f>IFERROR(VLOOKUP($A3,Results_30d_Deltas!$A$2:$H$5000,6,FALSE),"")</f>
        <v/>
      </c>
      <c r="J7" s="26" t="n"/>
      <c r="K7" s="26" t="n"/>
      <c r="L7" s="26" t="inlineStr">
        <is>
          <t>YES</t>
        </is>
      </c>
    </row>
    <row r="8">
      <c r="A8" s="27" t="inlineStr">
        <is>
          <t>STDEV_SLOPE_LOOKBACK_1H</t>
        </is>
      </c>
      <c r="B8" s="27" t="n">
        <v>168</v>
      </c>
      <c r="C8" s="26" t="n"/>
      <c r="D8" s="26" t="inlineStr">
        <is>
          <t>STDEV_LADDER</t>
        </is>
      </c>
      <c r="E8" s="26">
        <f>IF(G11="",E10,IF(G11&gt;0,E10+G11,E10))</f>
        <v/>
      </c>
      <c r="F8" s="26" t="n"/>
      <c r="G8" s="26">
        <f>IFERROR(VLOOKUP($A11&amp;"_"&amp;$B11,Results_Deltas!$A$2:$P$15000,5,FALSE),"")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STDEV_SLOPE_LOOKBACK_15M</t>
        </is>
      </c>
      <c r="B9" s="27" t="n">
        <v>96</v>
      </c>
      <c r="C9" s="26" t="n"/>
      <c r="D9" s="26" t="inlineStr">
        <is>
          <t>STDEV_LADDER</t>
        </is>
      </c>
      <c r="E9" s="26">
        <f>IF(G12="",E11,IF(G12&gt;0,E11+G12,E11))</f>
        <v/>
      </c>
      <c r="F9" s="26" t="n"/>
      <c r="G9" s="26">
        <f>IFERROR(VLOOKUP($A12&amp;"_"&amp;$B12,Results_Deltas!$A$2:$P$15000,5,FALSE),"")</f>
        <v/>
      </c>
      <c r="H9" s="26">
        <f>IFERROR(VLOOKUP($A3,Results_30d_Deltas!$A$2:$H$5000,7,FALSE)-E3,"")</f>
        <v/>
      </c>
      <c r="I9" s="26">
        <f>IFERROR(VLOOKUP($A3,Results_30d_Deltas!$A$2:$H$5000,6,FALSE),"")</f>
        <v/>
      </c>
      <c r="J9" s="26" t="n"/>
      <c r="K9" s="26" t="n"/>
      <c r="L9" s="26" t="inlineStr">
        <is>
          <t>YES</t>
        </is>
      </c>
    </row>
    <row r="10">
      <c r="A10" s="26" t="inlineStr">
        <is>
          <t>BAND_SLOPE_SIZING_V2_TF</t>
        </is>
      </c>
      <c r="B10" s="26" t="inlineStr">
        <is>
          <t>D</t>
        </is>
      </c>
      <c r="C10" s="26" t="n"/>
      <c r="D10" s="26" t="inlineStr">
        <is>
          <t>STDEV_LADDER</t>
        </is>
      </c>
      <c r="E10" s="26">
        <f>IF(G14="",E13,IF(G14&gt;0,E13+G14,E13))</f>
        <v/>
      </c>
      <c r="F10" s="26" t="n"/>
      <c r="G10" s="26">
        <f>IFERROR(VLOOKUP($A14&amp;"_"&amp;$B14,Results_Deltas!$A$2:$P$15000,5,FALSE),"")</f>
        <v/>
      </c>
      <c r="H10" s="26">
        <f>IFERROR(VLOOKUP($A3,Results_30d_Deltas!$A$2:$H$5000,7,FALSE)-E3,"")</f>
        <v/>
      </c>
      <c r="I10" s="26">
        <f>IFERROR(VLOOKUP($A3,Results_30d_Deltas!$A$2:$H$5000,6,FALSE),"")</f>
        <v/>
      </c>
      <c r="J10" s="26" t="n"/>
      <c r="K10" s="26" t="n"/>
      <c r="L10" s="26" t="inlineStr">
        <is>
          <t>NO</t>
        </is>
      </c>
    </row>
    <row r="11">
      <c r="A11" s="27" t="inlineStr">
        <is>
          <t>BAND_SLOPE_SIZING_V2_DEPTH_GAIN</t>
        </is>
      </c>
      <c r="B11" s="27" t="n">
        <v>1</v>
      </c>
      <c r="C11" s="26" t="n"/>
      <c r="D11" s="26" t="inlineStr">
        <is>
          <t>STDEV_LADDER</t>
        </is>
      </c>
      <c r="E11" s="26">
        <f>IF(G15="",E14,IF(G15&gt;0,E14+G15,E14))</f>
        <v/>
      </c>
      <c r="F11" s="26" t="n"/>
      <c r="G11" s="26">
        <f>IFERROR(VLOOKUP($A15&amp;"_"&amp;$B15,Results_Deltas!$A$2:$P$15000,5,FALSE),"")</f>
        <v/>
      </c>
      <c r="H11" s="26">
        <f>IFERROR(VLOOKUP($A3,Results_30d_Deltas!$A$2:$H$5000,7,FALSE)-E3,"")</f>
        <v/>
      </c>
      <c r="I11" s="26">
        <f>IFERROR(VLOOKUP($A3,Results_30d_Deltas!$A$2:$H$5000,6,FALSE),"")</f>
        <v/>
      </c>
      <c r="J11" s="26" t="n"/>
      <c r="K11" s="26" t="n"/>
      <c r="L11" s="26" t="inlineStr">
        <is>
          <t>YES</t>
        </is>
      </c>
    </row>
    <row r="12">
      <c r="A12" s="26" t="inlineStr">
        <is>
          <t>BAND_SLOPE_SIZING_V2_MIN</t>
        </is>
      </c>
      <c r="B12" s="26" t="n">
        <v>0.5</v>
      </c>
      <c r="C12" s="26" t="n"/>
      <c r="D12" s="26" t="inlineStr">
        <is>
          <t>STDEV_LADDER</t>
        </is>
      </c>
      <c r="E12" s="26">
        <f>IF(G16="",E15,IF(G16&gt;0,E15+G16,E15))</f>
        <v/>
      </c>
      <c r="F12" s="26" t="n"/>
      <c r="G12" s="26">
        <f>IFERROR(VLOOKUP($A16&amp;"_"&amp;$B16,Results_Deltas!$A$2:$P$15000,5,FALSE),"")</f>
        <v/>
      </c>
      <c r="H12" s="26">
        <f>IFERROR(VLOOKUP($A3,Results_30d_Deltas!$A$2:$H$5000,7,FALSE)-E3,"")</f>
        <v/>
      </c>
      <c r="I12" s="26">
        <f>IFERROR(VLOOKUP($A3,Results_30d_Deltas!$A$2:$H$5000,6,FALSE),"")</f>
        <v/>
      </c>
      <c r="J12" s="26" t="n"/>
      <c r="K12" s="26" t="n"/>
      <c r="L12" s="26" t="inlineStr">
        <is>
          <t>NO</t>
        </is>
      </c>
    </row>
    <row r="13">
      <c r="A13" s="26" t="inlineStr">
        <is>
          <t>BAND_SLOPE_SIZING_V2_MAX</t>
        </is>
      </c>
      <c r="B13" s="26" t="n">
        <v>2.5</v>
      </c>
      <c r="C13" s="26" t="n"/>
      <c r="D13" s="26" t="inlineStr">
        <is>
          <t>STDEV_LADDER</t>
        </is>
      </c>
      <c r="E13" s="26">
        <f>IF(G17="",E16,IF(G17&gt;0,E16+G17,E16))</f>
        <v/>
      </c>
      <c r="F13" s="26" t="n"/>
      <c r="G13" s="26">
        <f>IFERROR(VLOOKUP($A17&amp;"_"&amp;$B17,Results_Deltas!$A$2:$P$15000,5,FALSE),"")</f>
        <v/>
      </c>
      <c r="H13" s="26">
        <f>IFERROR(VLOOKUP($A3,Results_30d_Deltas!$A$2:$H$5000,7,FALSE)-E3,"")</f>
        <v/>
      </c>
      <c r="I13" s="26">
        <f>IFERROR(VLOOKUP($A3,Results_30d_Deltas!$A$2:$H$5000,6,FALSE),"")</f>
        <v/>
      </c>
      <c r="J13" s="26" t="n"/>
      <c r="K13" s="26" t="n"/>
      <c r="L13" s="26" t="inlineStr">
        <is>
          <t>NO</t>
        </is>
      </c>
    </row>
    <row r="14">
      <c r="A14" s="27" t="inlineStr">
        <is>
          <t>BAND_SLOPE_SIZING_V2_SLOPE_NORM_PCT_DAY</t>
        </is>
      </c>
      <c r="B14" s="27" t="n">
        <v>1</v>
      </c>
      <c r="C14" s="26" t="n"/>
      <c r="D14" s="26" t="inlineStr">
        <is>
          <t>STDEV_LADDER</t>
        </is>
      </c>
      <c r="E14" s="26">
        <f>IF(G19="",E18,IF(G19&gt;0,E18+G19,E18))</f>
        <v/>
      </c>
      <c r="F14" s="26" t="n"/>
      <c r="G14" s="26">
        <f>IFERROR(VLOOKUP($A19&amp;"_"&amp;$B19,Results_Deltas!$A$2:$P$15000,5,FALSE),"")</f>
        <v/>
      </c>
      <c r="H14" s="26">
        <f>IFERROR(VLOOKUP($A3,Results_30d_Deltas!$A$2:$H$5000,7,FALSE)-E3,"")</f>
        <v/>
      </c>
      <c r="I14" s="26" t="n"/>
      <c r="J14" s="26" t="n"/>
      <c r="K14" s="26" t="n"/>
      <c r="L14" s="26" t="inlineStr">
        <is>
          <t>YES</t>
        </is>
      </c>
    </row>
    <row r="15">
      <c r="A15" s="35" t="inlineStr">
        <is>
          <t>STDEV_SLOPE_SIZING_D_MAX</t>
        </is>
      </c>
      <c r="B15" s="35" t="n">
        <v>1</v>
      </c>
      <c r="D15" s="35" t="inlineStr">
        <is>
          <t>STDEV_LADDER</t>
        </is>
      </c>
      <c r="E15" s="35">
        <f>IF(G21="",E20,IF(G21&gt;0,E20+G21,E20))</f>
        <v/>
      </c>
      <c r="F15" s="35">
        <f>IFERROR(VLOOKUP($A21&amp;"="&amp;$B21,Results_Deltas!$A$2:$P$15000,5,FALSE),"")</f>
        <v/>
      </c>
      <c r="G15" s="35">
        <f>IFERROR(VLOOKUP($A21,Results_30d_Deltas!$A$2:$H$5000,7,FALSE)-E21,"")</f>
        <v/>
      </c>
      <c r="H15" s="35">
        <f>IFERROR(VLOOKUP($A21,Results_30d_Deltas!$A$2:$H$5000,6,FALSE),"")</f>
        <v/>
      </c>
      <c r="L15" s="35" t="inlineStr">
        <is>
          <t>NO</t>
        </is>
      </c>
    </row>
    <row r="16">
      <c r="A16" s="35" t="inlineStr">
        <is>
          <t>STDEV_SLOPE_SIZING_4H_MAX</t>
        </is>
      </c>
      <c r="B16" s="35" t="n">
        <v>1</v>
      </c>
      <c r="D16" s="35" t="inlineStr">
        <is>
          <t>STDEV_LADDER</t>
        </is>
      </c>
      <c r="E16" s="35">
        <f>IF(G22="",E21,IF(G22&gt;0,E21+G22,E21))</f>
        <v/>
      </c>
      <c r="F16" s="35">
        <f>IFERROR(VLOOKUP($A22&amp;"="&amp;$B22,Results_Deltas!$A$2:$P$15000,5,FALSE),"")</f>
        <v/>
      </c>
      <c r="G16" s="35">
        <f>IFERROR(VLOOKUP($A22,Results_30d_Deltas!$A$2:$H$5000,7,FALSE)-E22,"")</f>
        <v/>
      </c>
      <c r="H16" s="35">
        <f>IFERROR(VLOOKUP($A22,Results_30d_Deltas!$A$2:$H$5000,6,FALSE),"")</f>
        <v/>
      </c>
      <c r="L16" s="35" t="inlineStr">
        <is>
          <t>NO</t>
        </is>
      </c>
    </row>
    <row r="17">
      <c r="A17" s="35" t="inlineStr">
        <is>
          <t>STDEV_SLOPE_SIZING_1H_MAX</t>
        </is>
      </c>
      <c r="B17" s="35" t="n">
        <v>1</v>
      </c>
      <c r="D17" s="35" t="inlineStr">
        <is>
          <t>STDEV_LADDER</t>
        </is>
      </c>
      <c r="E17" s="35">
        <f>IF(G23="",E22,IF(G23&gt;0,E22+G23,E22))</f>
        <v/>
      </c>
      <c r="F17" s="35">
        <f>IFERROR(VLOOKUP($A23&amp;"="&amp;$B23,Results_Deltas!$A$2:$P$15000,5,FALSE),"")</f>
        <v/>
      </c>
      <c r="G17" s="35">
        <f>IFERROR(VLOOKUP($A23,Results_30d_Deltas!$A$2:$H$5000,7,FALSE)-E23,"")</f>
        <v/>
      </c>
      <c r="H17" s="35">
        <f>IFERROR(VLOOKUP($A23,Results_30d_Deltas!$A$2:$H$5000,6,FALSE),"")</f>
        <v/>
      </c>
      <c r="L17" s="35" t="inlineStr">
        <is>
          <t>NO</t>
        </is>
      </c>
    </row>
    <row r="18">
      <c r="A18" s="35" t="inlineStr">
        <is>
          <t>STDEV_SLOPE_SIZING_15M_MAX</t>
        </is>
      </c>
      <c r="B18" s="35" t="n">
        <v>1</v>
      </c>
      <c r="D18" s="35" t="inlineStr">
        <is>
          <t>STDEV_LADDER</t>
        </is>
      </c>
      <c r="E18" s="35">
        <f>IF(G24="",E23,IF(G24&gt;0,E23+G24,E23))</f>
        <v/>
      </c>
      <c r="F18" s="35">
        <f>IFERROR(VLOOKUP($A24&amp;"="&amp;$B24,Results_Deltas!$A$2:$P$15000,5,FALSE),"")</f>
        <v/>
      </c>
      <c r="G18" s="35">
        <f>IFERROR(VLOOKUP($A24,Results_30d_Deltas!$A$2:$H$5000,7,FALSE)-E24,"")</f>
        <v/>
      </c>
      <c r="H18" s="35">
        <f>IFERROR(VLOOKUP($A24,Results_30d_Deltas!$A$2:$H$5000,6,FALSE),"")</f>
        <v/>
      </c>
      <c r="L18" s="35" t="inlineStr">
        <is>
          <t>NO</t>
        </is>
      </c>
    </row>
    <row r="19">
      <c r="A19" s="35" t="inlineStr">
        <is>
          <t>BAND_SLOPE_SIZING_V2_MAX</t>
        </is>
      </c>
      <c r="B19" s="35" t="n">
        <v>1</v>
      </c>
      <c r="D19" s="35" t="inlineStr">
        <is>
          <t>STDEV_LADDER</t>
        </is>
      </c>
      <c r="E19" s="35">
        <f>IF(G28="",E27,IF(G28&gt;0,E27+G28,E27))</f>
        <v/>
      </c>
      <c r="F19" s="35">
        <f>IFERROR(VLOOKUP($A28&amp;"="&amp;$B28,Results_Deltas!$A$2:$P$15000,5,FALSE),"")</f>
        <v/>
      </c>
      <c r="G19" s="35">
        <f>IFERROR(VLOOKUP($A28,Results_30d_Deltas!$A$2:$H$5000,7,FALSE)-E28,"")</f>
        <v/>
      </c>
      <c r="H19" s="35">
        <f>IFERROR(VLOOKUP($A28,Results_30d_Deltas!$A$2:$H$5000,6,FALSE),"")</f>
        <v/>
      </c>
      <c r="L19" s="35" t="inlineStr">
        <is>
          <t>NO</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4h</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STDEV_BREAKOUT_ENABLED</t>
        </is>
      </c>
      <c r="B5" s="26" t="inlineStr">
        <is>
          <t>True</t>
        </is>
      </c>
      <c r="C5" s="26" t="n"/>
      <c r="D5" s="26" t="n"/>
      <c r="E5" s="26" t="n"/>
      <c r="F5" s="26" t="n"/>
      <c r="G5" s="26">
        <f>IFERROR(VLOOKUP($A19&amp;"_"&amp;$B19,Results_Deltas!$A$2:$P$15000,5,FALSE),"")</f>
        <v/>
      </c>
      <c r="H5" s="26">
        <f>IFERROR(VLOOKUP($A19,Results_30d_Deltas!$A$2:$H$5000,7,FALSE)-E18,"")</f>
        <v/>
      </c>
      <c r="I5" s="26">
        <f>IFERROR(VLOOKUP($A19,Results_30d_Deltas!$A$2:$H$5000,6,FALSE),"")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ez_manage.py:4039 top()</t>
        </is>
      </c>
      <c r="IL5" s="26" t="inlineStr">
        <is>
          <t>v12_quick_engine.py:3275 x6</t>
        </is>
      </c>
      <c r="IM5" s="26" t="n"/>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ALL_TF_AGAINST_CLOSE_ENABLED</t>
        </is>
      </c>
      <c r="B3" s="26" t="inlineStr">
        <is>
          <t>False</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ez_manage.py:4325 top()</t>
        </is>
      </c>
      <c r="IL3" s="26" t="inlineStr">
        <is>
          <t>v12_quick_engine.py:174 x6</t>
        </is>
      </c>
      <c r="IM3" s="26" t="n"/>
    </row>
    <row r="4" ht="10.5" customHeight="1" s="67"/>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SCALP_V3_K_OB_EXIT_ENABLED</t>
        </is>
      </c>
      <c r="B3" s="27" t="inlineStr">
        <is>
          <t>True</t>
        </is>
      </c>
      <c r="C3" s="26" t="n"/>
      <c r="D3" s="26" t="n"/>
      <c r="E3" s="26" t="n"/>
      <c r="F3" s="26" t="n"/>
      <c r="G3" s="26">
        <f>IFERROR(VLOOKUP($A41&amp;"_"&amp;$B41,Results_Deltas!$A$2:$P$15000,5,FALSE),"")</f>
        <v/>
      </c>
      <c r="H3" s="26">
        <f>IFERROR(VLOOKUP($A41,Results_30d_Deltas!$A$2:$H$5000,7,FALSE)-E40,"")</f>
        <v/>
      </c>
      <c r="I3" s="26">
        <f>IFERROR(VLOOKUP($A41,Results_30d_Deltas!$A$2:$H$5000,6,FALSE),"")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ez_manage.py:5550 top()</t>
        </is>
      </c>
      <c r="IL3" s="26" t="inlineStr">
        <is>
          <t>v12_quick_engine.py:3178 x4</t>
        </is>
      </c>
      <c r="IM3" s="26" t="n"/>
    </row>
    <row r="4" ht="10.5" customHeight="1" s="67">
      <c r="A4" s="37" t="inlineStr">
        <is>
          <t>COOLDOWN_LOCKS_FILTER_TF</t>
        </is>
      </c>
      <c r="B4" s="38" t="inlineStr">
        <is>
          <t>1h</t>
        </is>
      </c>
      <c r="C4" s="38" t="n"/>
      <c r="D4" s="38" t="inlineStr">
        <is>
          <t>GLOBAL_CHECK</t>
        </is>
      </c>
      <c r="E4" s="38" t="n"/>
      <c r="F4" s="26" t="n"/>
      <c r="G4" s="38">
        <f>IFERROR(VLOOKUP($A102&amp;"_"&amp;$B102,Results_Deltas!$A$2:$P$15000,5,FALSE),"")</f>
        <v/>
      </c>
      <c r="H4" s="38" t="inlineStr">
        <is>
          <t>Blanket (page end)</t>
        </is>
      </c>
      <c r="I4" s="26" t="n"/>
      <c r="J4" s="26" t="n"/>
      <c r="K4" s="26" t="n"/>
      <c r="L4" s="26" t="inlineStr">
        <is>
          <t>NO</t>
        </is>
      </c>
      <c r="M4" s="26" t="n"/>
      <c r="N4" s="26" t="n"/>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row>
    <row r="5" ht="10.5" customHeight="1" s="67">
      <c r="A5" s="37" t="inlineStr">
        <is>
          <t>DUP_GUARD_FILTER_TF</t>
        </is>
      </c>
      <c r="B5" s="38" t="inlineStr">
        <is>
          <t>OFF</t>
        </is>
      </c>
      <c r="C5" s="38" t="n"/>
      <c r="D5" s="38" t="inlineStr">
        <is>
          <t>GLOBAL_CHECK</t>
        </is>
      </c>
      <c r="E5" s="38" t="n"/>
      <c r="F5" s="26" t="n"/>
      <c r="G5" s="38">
        <f>IFERROR(VLOOKUP($A116&amp;"_"&amp;$B116,Results_Deltas!$A$2:$P$15000,5,FALSE),"")</f>
        <v/>
      </c>
      <c r="H5" s="38" t="inlineStr">
        <is>
          <t>Blanket (page end)</t>
        </is>
      </c>
      <c r="I5" s="26" t="n"/>
      <c r="J5" s="26" t="n"/>
      <c r="K5" s="26" t="n"/>
      <c r="L5" s="26" t="inlineStr">
        <is>
          <t>NO</t>
        </is>
      </c>
      <c r="M5" s="26" t="n"/>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DAEMON_REENTRY_STALE_EXIT_ENABLED</t>
        </is>
      </c>
      <c r="B3" s="26" t="inlineStr">
        <is>
          <t>True</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ez_manage.py:4561 top()</t>
        </is>
      </c>
      <c r="IM3" s="26" t="inlineStr">
        <is>
          <t>v12_quick_engine.py:519 x9</t>
        </is>
      </c>
      <c r="IN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ez_manage.py:4990 top()</t>
        </is>
      </c>
      <c r="IL3" s="26" t="inlineStr">
        <is>
          <t>v12_quick_engine.py:2309 x7</t>
        </is>
      </c>
      <c r="IM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ez_manage.py:4990 top()</t>
        </is>
      </c>
      <c r="IL4" s="26" t="inlineStr">
        <is>
          <t>v12_quick_engine.py:2309 x7</t>
        </is>
      </c>
      <c r="IM4" s="26" t="n"/>
    </row>
    <row r="5" ht="10.5" customHeight="1" s="67">
      <c r="A5" s="26" t="inlineStr">
        <is>
          <t>BREAKEVEN_GAIN_EROSION_ENABLED</t>
        </is>
      </c>
      <c r="B5" s="26" t="inlineStr">
        <is>
          <t>True</t>
        </is>
      </c>
      <c r="C5" s="26" t="n"/>
      <c r="D5" s="26" t="n"/>
      <c r="E5" s="26" t="n"/>
      <c r="F5" s="26" t="n"/>
      <c r="G5" s="26">
        <f>IFERROR(VLOOKUP($A15&amp;"_"&amp;$B15,Results_Deltas!$A$2:$P$15000,5,FALSE),"")</f>
        <v/>
      </c>
      <c r="H5" s="26">
        <f>IFERROR(VLOOKUP($A15,Results_30d_Deltas!$A$2:$H$5000,7,FALSE)-E14,"")</f>
        <v/>
      </c>
      <c r="I5" s="26">
        <f>IFERROR(VLOOKUP($A15,Results_30d_Deltas!$A$2:$H$5000,6,FALSE),"")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4" t="n"/>
      <c r="HT5" s="34" t="n"/>
      <c r="HU5" s="34" t="n"/>
      <c r="HV5" s="34" t="n"/>
      <c r="HW5" s="34" t="n"/>
      <c r="HX5" s="33" t="n"/>
      <c r="HY5" s="33" t="n"/>
      <c r="HZ5" s="33" t="n"/>
      <c r="IA5" s="33" t="n"/>
      <c r="IB5" s="33" t="n"/>
      <c r="IC5" s="33" t="n"/>
      <c r="ID5" s="33" t="n"/>
      <c r="IE5" s="33" t="n"/>
      <c r="IF5" s="33" t="n"/>
      <c r="IG5" s="33" t="n"/>
      <c r="IH5" s="33" t="n"/>
      <c r="II5" s="33" t="n"/>
      <c r="IJ5" s="26" t="n"/>
      <c r="IK5" s="26" t="inlineStr">
        <is>
          <t>ez_manage.py:4400 top()</t>
        </is>
      </c>
      <c r="IL5" s="26" t="inlineStr">
        <is>
          <t>v12_quick_engine.py:341 x8</t>
        </is>
      </c>
      <c r="IM5" s="26" t="n"/>
    </row>
    <row r="6" ht="10.5" customHeight="1" s="67">
      <c r="A6" s="26" t="inlineStr">
        <is>
          <t>NOLOSS_BYPASS_WT_5OF5_MIN_TFS</t>
        </is>
      </c>
      <c r="B6" s="26" t="n">
        <v>3</v>
      </c>
      <c r="C6" s="26" t="n"/>
      <c r="D6" s="26" t="n"/>
      <c r="E6" s="26" t="n"/>
      <c r="F6" s="26" t="n"/>
      <c r="G6" s="26">
        <f>IFERROR(VLOOKUP($A47&amp;"_"&amp;$B47,Results_Deltas!$A$2:$P$15000,5,FALSE),"")</f>
        <v/>
      </c>
      <c r="H6" s="26">
        <f>IFERROR(VLOOKUP($A47,Results_30d_Deltas!$A$2:$H$5000,7,FALSE)-E46,"")</f>
        <v/>
      </c>
      <c r="I6" s="26">
        <f>IFERROR(VLOOKUP($A47,Results_30d_Deltas!$A$2:$H$5000,6,FALSE),"")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4" t="n"/>
      <c r="HE6" s="34" t="n"/>
      <c r="HF6" s="34" t="n"/>
      <c r="HG6" s="34" t="n"/>
      <c r="HH6" s="34"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ez_manage.py:5095 top()</t>
        </is>
      </c>
      <c r="IL6" s="26" t="inlineStr">
        <is>
          <t>v12_quick_engine.py:860 x7</t>
        </is>
      </c>
      <c r="IM6" s="26" t="n"/>
    </row>
    <row r="7" ht="10.5" customHeight="1" s="67">
      <c r="A7" s="39" t="inlineStr">
        <is>
          <t>LH_HL_FILTER_MODE</t>
        </is>
      </c>
      <c r="B7" s="40" t="inlineStr">
        <is>
          <t>STRICT_2BAR</t>
        </is>
      </c>
      <c r="C7" s="38" t="n"/>
      <c r="D7" s="38" t="inlineStr">
        <is>
          <t>ENTRY, GLOBAL_CHECK, STOCKS_EXIT</t>
        </is>
      </c>
      <c r="E7" s="38" t="n"/>
      <c r="F7" s="26" t="n"/>
      <c r="G7" s="38">
        <f>IFERROR(VLOOKUP($A162&amp;"_"&amp;$B162,Results_Deltas!$A$2:$P$15000,5,FALSE),"")</f>
        <v/>
      </c>
      <c r="H7" s="38" t="inlineStr">
        <is>
          <t>Blanket (page end)</t>
        </is>
      </c>
      <c r="I7" s="26" t="n"/>
      <c r="J7" s="26" t="n"/>
      <c r="K7" s="26" t="n"/>
      <c r="L7" s="26" t="inlineStr">
        <is>
          <t>YES</t>
        </is>
      </c>
      <c r="M7" s="26" t="n"/>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row>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WT_EXHAUST_EXIT_MIN_GAIN_PCT</t>
        </is>
      </c>
      <c r="B3" s="26" t="inlineStr">
        <is>
          <t>1.0</t>
        </is>
      </c>
      <c r="C3" s="26" t="n"/>
      <c r="D3" s="26" t="n"/>
      <c r="E3" s="26" t="n"/>
      <c r="F3" s="26" t="n"/>
      <c r="G3" s="26">
        <f>IFERROR(VLOOKUP($A100&amp;"_"&amp;$B100,Results_Deltas!$A$2:$P$15000,5,FALSE),"")</f>
        <v/>
      </c>
      <c r="H3" s="26">
        <f>IFERROR(VLOOKUP($A100,Results_30d_Deltas!$A$2:$H$5000,7,FALSE)-E99,"")</f>
        <v/>
      </c>
      <c r="I3" s="26">
        <f>IFERROR(VLOOKUP($A100,Results_30d_Deltas!$A$2:$H$5000,6,FALSE),"")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ez_manage.py:5916 top()</t>
        </is>
      </c>
      <c r="IL3" s="26" t="inlineStr">
        <is>
          <t>v12_quick_engine.py:3752 x3</t>
        </is>
      </c>
      <c r="IM3" s="26" t="n"/>
    </row>
    <row r="4" ht="10.5" customHeight="1" s="67">
      <c r="A4" s="26" t="inlineStr">
        <is>
          <t>WT_PERCENTILE_EXIT_OB_4H</t>
        </is>
      </c>
      <c r="B4" s="26" t="inlineStr">
        <is>
          <t>1.0</t>
        </is>
      </c>
      <c r="C4" s="26" t="n"/>
      <c r="D4" s="26" t="n"/>
      <c r="E4" s="26" t="n"/>
      <c r="F4" s="26" t="n"/>
      <c r="G4" s="26">
        <f>IFERROR(VLOOKUP($A120&amp;"_"&amp;$B120,Results_Deltas!$A$2:$P$15000,5,FALSE),"")</f>
        <v/>
      </c>
      <c r="H4" s="26">
        <f>IFERROR(VLOOKUP($A120,Results_30d_Deltas!$A$2:$H$5000,7,FALSE)-E119,"")</f>
        <v/>
      </c>
      <c r="I4" s="26">
        <f>IFERROR(VLOOKUP($A120,Results_30d_Deltas!$A$2:$H$5000,6,FALSE),"")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ez_manage.py:5928 top()</t>
        </is>
      </c>
      <c r="IL4" s="26" t="inlineStr">
        <is>
          <t>v12_quick_engine.py:3768 x5</t>
        </is>
      </c>
      <c r="IM4" s="26"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RECENT_REDUCTION_GUARD_ENABLED</t>
        </is>
      </c>
      <c r="B5" s="26" t="inlineStr">
        <is>
          <t>False</t>
        </is>
      </c>
      <c r="C5" s="26" t="n"/>
      <c r="D5" s="26" t="n"/>
      <c r="E5" s="26" t="n"/>
      <c r="F5" s="26" t="n"/>
      <c r="G5" s="26">
        <f>IFERROR(VLOOKUP($A7&amp;"_"&amp;$B7,Results_Deltas!$A$2:$P$15000,5,FALSE),"")</f>
        <v/>
      </c>
      <c r="H5" s="26">
        <f>IFERROR(VLOOKUP($A7,Results_30d_Deltas!$A$2:$H$5000,7,FALSE)-E6,"")</f>
        <v/>
      </c>
      <c r="I5" s="26">
        <f>IFERROR(VLOOKUP($A7,Results_30d_Deltas!$A$2:$H$5000,6,FALSE),"")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ez_manage.py:5264 top()</t>
        </is>
      </c>
      <c r="IL5" s="26" t="inlineStr">
        <is>
          <t>v12_quick_engine.py:2806 x1</t>
        </is>
      </c>
      <c r="IM5" s="26" t="n"/>
    </row>
    <row r="6" ht="10.5" customHeight="1" s="67">
      <c r="A6" s="26" t="inlineStr">
        <is>
          <t>ABSOLUTE_OPEN_LOCK_SEC</t>
        </is>
      </c>
      <c r="B6" s="26" t="n"/>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config only</t>
        </is>
      </c>
      <c r="IL6" s="26" t="inlineStr">
        <is>
          <t>not declared</t>
        </is>
      </c>
      <c r="IM6" s="26" t="n"/>
    </row>
    <row r="7" ht="10.5" customHeight="1" s="67">
      <c r="A7" s="26" t="inlineStr">
        <is>
          <t>BALANCE_FLOOR_USD</t>
        </is>
      </c>
      <c r="B7" s="26" t="n"/>
      <c r="C7" s="26" t="n"/>
      <c r="D7" s="26" t="n"/>
      <c r="E7" s="26" t="n"/>
      <c r="F7" s="26" t="n"/>
      <c r="G7" s="26">
        <f>IFERROR(VLOOKUP($A10&amp;"_"&amp;$B10,Results_Deltas!$A$2:$P$15000,5,FALSE),"")</f>
        <v/>
      </c>
      <c r="H7" s="26">
        <f>IFERROR(VLOOKUP($A10,Results_30d_Deltas!$A$2:$H$5000,7,FALSE)-E9,"")</f>
        <v/>
      </c>
      <c r="I7" s="26">
        <f>IFERROR(VLOOKUP($A10,Results_30d_Deltas!$A$2:$H$5000,6,FALSE),"")</f>
        <v/>
      </c>
      <c r="J7" s="26" t="n"/>
      <c r="K7" s="26" t="n"/>
      <c r="L7" s="26"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config only</t>
        </is>
      </c>
      <c r="IL7" s="26" t="inlineStr">
        <is>
          <t>not declared</t>
        </is>
      </c>
      <c r="IM7" s="26" t="n"/>
    </row>
    <row r="8" ht="10.5" customHeight="1" s="67">
      <c r="A8" s="26" t="inlineStr">
        <is>
          <t>BLACKLIST_SYMBOLS</t>
        </is>
      </c>
      <c r="B8" s="26" t="inlineStr">
        <is>
          <t>()</t>
        </is>
      </c>
      <c r="C8" s="26" t="n"/>
      <c r="D8" s="26" t="n"/>
      <c r="E8" s="26" t="n"/>
      <c r="F8" s="26" t="n"/>
      <c r="G8" s="26">
        <f>IFERROR(VLOOKUP($A11&amp;"_"&amp;$B11,Results_Deltas!$A$2:$P$15000,5,FALSE),"")</f>
        <v/>
      </c>
      <c r="H8" s="26">
        <f>IFERROR(VLOOKUP($A11,Results_30d_Deltas!$A$2:$H$5000,7,FALSE)-E10,"")</f>
        <v/>
      </c>
      <c r="I8" s="26">
        <f>IFERROR(VLOOKUP($A11,Results_30d_Deltas!$A$2:$H$5000,6,FALSE),"")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ez_manage.py:4377 top()</t>
        </is>
      </c>
      <c r="IL8" s="26" t="inlineStr">
        <is>
          <t>v12_quick_engine.py:3798 x5</t>
        </is>
      </c>
      <c r="IM8" s="26" t="n"/>
    </row>
    <row r="9" ht="10.5" customHeight="1" s="67">
      <c r="A9" s="26" t="inlineStr">
        <is>
          <t>CIRCUIT_BREAKER_THRESHOLD_PCT</t>
        </is>
      </c>
      <c r="B9" s="26" t="n"/>
      <c r="C9" s="26" t="n"/>
      <c r="D9" s="26" t="n"/>
      <c r="E9" s="26" t="n"/>
      <c r="F9" s="26" t="n"/>
      <c r="G9" s="26">
        <f>IFERROR(VLOOKUP($A12&amp;"_"&amp;$B12,Results_Deltas!$A$2:$P$15000,5,FALSE),"")</f>
        <v/>
      </c>
      <c r="H9" s="26">
        <f>IFERROR(VLOOKUP($A12,Results_30d_Deltas!$A$2:$H$5000,7,FALSE)-E11,"")</f>
        <v/>
      </c>
      <c r="I9" s="26">
        <f>IFERROR(VLOOKUP($A12,Results_30d_Deltas!$A$2:$H$5000,6,FALSE),"")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COUNTER_TREND_SMA200_BYPASS_ENABLED</t>
        </is>
      </c>
      <c r="B10" s="26" t="inlineStr">
        <is>
          <t>False</t>
        </is>
      </c>
      <c r="C10" s="26" t="n"/>
      <c r="D10" s="26" t="n"/>
      <c r="E10" s="26" t="n"/>
      <c r="F10" s="26" t="n"/>
      <c r="G10" s="26">
        <f>IFERROR(VLOOKUP($A13&amp;"_"&amp;$B13,Results_Deltas!$A$2:$P$15000,5,FALSE),"")</f>
        <v/>
      </c>
      <c r="H10" s="26">
        <f>IFERROR(VLOOKUP($A13,Results_30d_Deltas!$A$2:$H$5000,7,FALSE)-E12,"")</f>
        <v/>
      </c>
      <c r="I10" s="26">
        <f>IFERROR(VLOOKUP($A13,Results_30d_Deltas!$A$2:$H$5000,6,FALSE),"")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4" t="n"/>
      <c r="HE10" s="34" t="n"/>
      <c r="HF10" s="34" t="n"/>
      <c r="HG10" s="34" t="n"/>
      <c r="HH10" s="34"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ez_manage.py:3056 top()</t>
        </is>
      </c>
      <c r="IL10" s="26" t="inlineStr">
        <is>
          <t>v12_quick_engine.py:1470 x6</t>
        </is>
      </c>
      <c r="IM10" s="26" t="n"/>
    </row>
    <row r="11" ht="10.5" customHeight="1" s="67">
      <c r="A11" s="26" t="inlineStr">
        <is>
          <t>EXECUTE_NOW_MAX_MARK_AGE_S</t>
        </is>
      </c>
      <c r="B11" s="26" t="inlineStr">
        <is>
          <t>75.0</t>
        </is>
      </c>
      <c r="C11" s="26" t="n"/>
      <c r="D11" s="26" t="n"/>
      <c r="E11" s="26" t="n"/>
      <c r="F11" s="26" t="n"/>
      <c r="G11" s="26">
        <f>IFERROR(VLOOKUP($A18&amp;"_"&amp;$B18,Results_Deltas!$A$2:$P$15000,5,FALSE),"")</f>
        <v/>
      </c>
      <c r="H11" s="26">
        <f>IFERROR(VLOOKUP($A18,Results_30d_Deltas!$A$2:$H$5000,7,FALSE)-E17,"")</f>
        <v/>
      </c>
      <c r="I11" s="26">
        <f>IFERROR(VLOOKUP($A18,Results_30d_Deltas!$A$2:$H$5000,6,FALSE),"")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ez_manage.py:4656 top()</t>
        </is>
      </c>
      <c r="IL11" s="26" t="inlineStr">
        <is>
          <t>v12_quick_engine.py:3868 x1</t>
        </is>
      </c>
      <c r="IM11" s="26" t="n"/>
    </row>
    <row r="12" ht="10.5" customHeight="1" s="67">
      <c r="A12" s="26" t="inlineStr">
        <is>
          <t>HARD_AUGMENT_LOCK_SEC</t>
        </is>
      </c>
      <c r="B12" s="26" t="n"/>
      <c r="C12" s="26" t="n"/>
      <c r="D12" s="26" t="n"/>
      <c r="E12" s="26" t="n"/>
      <c r="F12" s="26" t="n"/>
      <c r="G12" s="26">
        <f>IFERROR(VLOOKUP($A20&amp;"_"&amp;$B20,Results_Deltas!$A$2:$P$15000,5,FALSE),"")</f>
        <v/>
      </c>
      <c r="H12" s="26">
        <f>IFERROR(VLOOKUP($A20,Results_30d_Deltas!$A$2:$H$5000,7,FALSE)-E19,"")</f>
        <v/>
      </c>
      <c r="I12" s="26">
        <f>IFERROR(VLOOKUP($A20,Results_30d_Deltas!$A$2:$H$5000,6,FALSE),"")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HARD_REDUCE_LOCK_SEC</t>
        </is>
      </c>
      <c r="B13" s="26" t="n"/>
      <c r="C13" s="26" t="n"/>
      <c r="D13" s="26" t="n"/>
      <c r="E13" s="26" t="n"/>
      <c r="F13" s="26" t="n"/>
      <c r="G13" s="26">
        <f>IFERROR(VLOOKUP($A21&amp;"_"&amp;$B21,Results_Deltas!$A$2:$P$15000,5,FALSE),"")</f>
        <v/>
      </c>
      <c r="H13" s="26">
        <f>IFERROR(VLOOKUP($A21,Results_30d_Deltas!$A$2:$H$5000,7,FALSE)-E20,"")</f>
        <v/>
      </c>
      <c r="I13" s="26">
        <f>IFERROR(VLOOKUP($A21,Results_30d_Deltas!$A$2:$H$5000,6,FALSE),"")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config only</t>
        </is>
      </c>
      <c r="IL13" s="26" t="inlineStr">
        <is>
          <t>not declared</t>
        </is>
      </c>
      <c r="IM13" s="26" t="n"/>
    </row>
    <row r="14" ht="10.5" customHeight="1" s="67">
      <c r="A14" s="26" t="inlineStr">
        <is>
          <t>OPEN_RATE_BREAKER_ENABLED</t>
        </is>
      </c>
      <c r="B14" s="26" t="inlineStr">
        <is>
          <t>False</t>
        </is>
      </c>
      <c r="C14" s="26" t="n"/>
      <c r="D14" s="26" t="n"/>
      <c r="E14" s="26" t="n"/>
      <c r="F14" s="26" t="n"/>
      <c r="G14" s="26">
        <f>IFERROR(VLOOKUP($A22&amp;"_"&amp;$B22,Results_Deltas!$A$2:$P$15000,5,FALSE),"")</f>
        <v/>
      </c>
      <c r="H14" s="26">
        <f>IFERROR(VLOOKUP($A22,Results_30d_Deltas!$A$2:$H$5000,7,FALSE)-E21,"")</f>
        <v/>
      </c>
      <c r="I14" s="26">
        <f>IFERROR(VLOOKUP($A22,Results_30d_Deltas!$A$2:$H$5000,6,FALSE),"")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4" t="n"/>
      <c r="DY14" s="34" t="n"/>
      <c r="DZ14" s="34" t="n"/>
      <c r="EA14" s="34" t="n"/>
      <c r="EB14" s="34"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4" t="n"/>
      <c r="HJ14" s="34" t="n"/>
      <c r="HK14" s="34" t="n"/>
      <c r="HL14" s="34" t="n"/>
      <c r="HM14" s="34"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ez_manage.py:5141 top()</t>
        </is>
      </c>
      <c r="IL14" s="26" t="inlineStr">
        <is>
          <t>v12_quick_engine.py:2538 x1</t>
        </is>
      </c>
      <c r="IM14" s="26" t="n"/>
    </row>
    <row r="15" ht="10.5" customHeight="1" s="67">
      <c r="A15" s="26" t="inlineStr">
        <is>
          <t>RECENT_REDUCTION_GUARD_WINDOW_S</t>
        </is>
      </c>
      <c r="B15" s="26" t="inlineStr">
        <is>
          <t>1350.0</t>
        </is>
      </c>
      <c r="C15" s="26" t="n"/>
      <c r="D15" s="26" t="n"/>
      <c r="E15" s="26" t="n"/>
      <c r="F15" s="26" t="n"/>
      <c r="G15" s="26">
        <f>IFERROR(VLOOKUP($A33&amp;"_"&amp;$B33,Results_Deltas!$A$2:$P$15000,5,FALSE),"")</f>
        <v/>
      </c>
      <c r="H15" s="26">
        <f>IFERROR(VLOOKUP($A33,Results_30d_Deltas!$A$2:$H$5000,7,FALSE)-E32,"")</f>
        <v/>
      </c>
      <c r="I15" s="26">
        <f>IFERROR(VLOOKUP($A33,Results_30d_Deltas!$A$2:$H$5000,6,FALSE),"")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ez_manage.py:5266 top()</t>
        </is>
      </c>
      <c r="IL15" s="26" t="inlineStr">
        <is>
          <t>v12_quick_engine.py:4016 x1</t>
        </is>
      </c>
      <c r="IM15" s="26" t="n"/>
    </row>
    <row r="16" ht="10.5" customHeight="1" s="67">
      <c r="A16" s="26" t="inlineStr">
        <is>
          <t>STALE_HOLD_ENABLED</t>
        </is>
      </c>
      <c r="B16" s="26" t="n"/>
      <c r="C16" s="26" t="n"/>
      <c r="D16" s="26" t="n"/>
      <c r="E16" s="26" t="n"/>
      <c r="F16" s="26" t="n"/>
      <c r="G16" s="26">
        <f>IFERROR(VLOOKUP($A34&amp;"_"&amp;$B34,Results_Deltas!$A$2:$P$15000,5,FALSE),"")</f>
        <v/>
      </c>
      <c r="H16" s="26">
        <f>IFERROR(VLOOKUP($A34,Results_30d_Deltas!$A$2:$H$5000,7,FALSE)-E33,"")</f>
        <v/>
      </c>
      <c r="I16" s="26">
        <f>IFERROR(VLOOKUP($A34,Results_30d_Deltas!$A$2:$H$5000,6,FALSE),"")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config only</t>
        </is>
      </c>
      <c r="IL16" s="26" t="inlineStr">
        <is>
          <t>not declared</t>
        </is>
      </c>
      <c r="IM16" s="26" t="n"/>
    </row>
    <row r="17" ht="10.5" customHeight="1" s="67">
      <c r="A17" s="26" t="inlineStr">
        <is>
          <t>TRADES_PER_SYM_PER_DAY_MAX</t>
        </is>
      </c>
      <c r="B17" s="26" t="inlineStr">
        <is>
          <t>12</t>
        </is>
      </c>
      <c r="C17" s="26" t="n"/>
      <c r="D17" s="26" t="n"/>
      <c r="E17" s="26" t="n"/>
      <c r="F17" s="26" t="n"/>
      <c r="G17" s="26">
        <f>IFERROR(VLOOKUP($A39&amp;"_"&amp;$B39,Results_Deltas!$A$2:$P$15000,5,FALSE),"")</f>
        <v/>
      </c>
      <c r="H17" s="26">
        <f>IFERROR(VLOOKUP($A39,Results_30d_Deltas!$A$2:$H$5000,7,FALSE)-E38,"")</f>
        <v/>
      </c>
      <c r="I17" s="26">
        <f>IFERROR(VLOOKUP($A39,Results_30d_Deltas!$A$2:$H$5000,6,FALSE),"")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ez_manage.py:4116 top()</t>
        </is>
      </c>
      <c r="IL17" s="26" t="inlineStr">
        <is>
          <t>v12_quick_engine.py:3383 x1</t>
        </is>
      </c>
      <c r="IM17" s="26" t="n"/>
    </row>
    <row r="18" ht="10.5" customHeight="1" s="67">
      <c r="A18" s="26" t="inlineStr">
        <is>
          <t>UNIVERSAL_NOLOSS_BYPASS_REASONS</t>
        </is>
      </c>
      <c r="B18" s="26" t="n"/>
      <c r="C18" s="26" t="n"/>
      <c r="D18" s="26" t="n"/>
      <c r="E18" s="26" t="n"/>
      <c r="F18" s="26" t="n"/>
      <c r="G18" s="26">
        <f>IFERROR(VLOOKUP($A40&amp;"_"&amp;$B40,Results_Deltas!$A$2:$P$15000,5,FALSE),"")</f>
        <v/>
      </c>
      <c r="H18" s="26">
        <f>IFERROR(VLOOKUP($A40,Results_30d_Deltas!$A$2:$H$5000,7,FALSE)-E39,"")</f>
        <v/>
      </c>
      <c r="I18" s="26">
        <f>IFERROR(VLOOKUP($A40,Results_30d_Deltas!$A$2:$H$5000,6,FALSE),"")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config only</t>
        </is>
      </c>
      <c r="IL18" s="26" t="inlineStr">
        <is>
          <t>not declared</t>
        </is>
      </c>
      <c r="IM18" s="26" t="n"/>
    </row>
    <row r="19" ht="10.5" customHeight="1" s="67">
      <c r="A19" s="39" t="inlineStr">
        <is>
          <t>DELTA_REENTRY_FILTER_ENABLED</t>
        </is>
      </c>
      <c r="B19" s="40" t="inlineStr">
        <is>
          <t>False</t>
        </is>
      </c>
      <c r="C19" s="38" t="n"/>
      <c r="D19" s="38" t="inlineStr">
        <is>
          <t>ENTRY, GLOBAL_CHECK, STOCKS_EXIT</t>
        </is>
      </c>
      <c r="E19" s="38" t="n"/>
      <c r="F19" s="26" t="n"/>
      <c r="G19" s="38">
        <f>IFERROR(VLOOKUP($A69&amp;"_"&amp;$B69,Results_Deltas!$A$2:$P$15000,5,FALSE),"")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ht="10.5" customHeight="1" s="67">
      <c r="A20" s="37" t="inlineStr">
        <is>
          <t>EMA_9_21_FILTER_MIN_TFS</t>
        </is>
      </c>
      <c r="B20" s="38" t="inlineStr">
        <is>
          <t>2</t>
        </is>
      </c>
      <c r="C20" s="38" t="n"/>
      <c r="D20" s="38" t="inlineStr">
        <is>
          <t>GLOBAL_CHECK</t>
        </is>
      </c>
      <c r="E20" s="38" t="n"/>
      <c r="F20" s="26" t="n"/>
      <c r="G20" s="38">
        <f>IFERROR(VLOOKUP($A77&amp;"_"&amp;$B77,Results_Deltas!$A$2:$P$15000,5,FALSE),"")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0.5" customHeight="1" s="67">
      <c r="A21" s="37" t="inlineStr">
        <is>
          <t>EXECUTE_NOW_SINGLE_GATE_ENFORCE</t>
        </is>
      </c>
      <c r="B21" s="38" t="inlineStr">
        <is>
          <t>0.0</t>
        </is>
      </c>
      <c r="C21" s="38" t="n"/>
      <c r="D21" s="38" t="inlineStr">
        <is>
          <t>ENTRY, GLOBAL_CHECK, STOCKS_EXIT</t>
        </is>
      </c>
      <c r="E21" s="38" t="n"/>
      <c r="F21" s="26" t="n"/>
      <c r="G21" s="38">
        <f>IFERROR(VLOOKUP($A84&amp;"_"&amp;$B84,Results_Deltas!$A$2:$P$15000,5,FALSE),"")</f>
        <v/>
      </c>
      <c r="H21" s="38" t="inlineStr">
        <is>
          <t>Blanket (page end)</t>
        </is>
      </c>
      <c r="I21" s="26" t="n"/>
      <c r="J21" s="26" t="n"/>
      <c r="K21" s="26" t="n"/>
      <c r="L21" s="26" t="inlineStr">
        <is>
          <t>YES</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0.5" customHeight="1" s="67">
      <c r="A22" s="39" t="inlineStr">
        <is>
          <t>HTF_TREND_VETO_BYPASS_ENABLED</t>
        </is>
      </c>
      <c r="B22" s="40" t="inlineStr">
        <is>
          <t>True</t>
        </is>
      </c>
      <c r="C22" s="38" t="n"/>
      <c r="D22" s="38" t="inlineStr">
        <is>
          <t>GLOBAL_CHECK, STOCKS_EXIT</t>
        </is>
      </c>
      <c r="E22" s="38" t="n"/>
      <c r="F22" s="26" t="n"/>
      <c r="G22" s="38">
        <f>IFERROR(VLOOKUP($A143&amp;"_"&amp;$B143,Results_Deltas!$A$2:$P$15000,5,FALSE),"")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0.5" customHeight="1" s="67">
      <c r="A23" s="39" t="inlineStr">
        <is>
          <t>LH_HL_FILTER_MODE</t>
        </is>
      </c>
      <c r="B23" s="40" t="inlineStr">
        <is>
          <t>STRICT_2BAR</t>
        </is>
      </c>
      <c r="C23" s="38" t="n"/>
      <c r="D23" s="38" t="inlineStr">
        <is>
          <t>ENTRY, GLOBAL_CHECK, STOCKS_EXIT</t>
        </is>
      </c>
      <c r="E23" s="38" t="n"/>
      <c r="F23" s="26" t="n"/>
      <c r="G23" s="38">
        <f>IFERROR(VLOOKUP($A150&amp;"_"&amp;$B150,Results_Deltas!$A$2:$P$15000,5,FALSE),"")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0.5" customHeight="1" s="67">
      <c r="A24" s="39" t="inlineStr">
        <is>
          <t>LIVE_VEC_EMERGENCY_BRAKE_ENABLED</t>
        </is>
      </c>
      <c r="B24" s="40" t="inlineStr">
        <is>
          <t>False</t>
        </is>
      </c>
      <c r="C24" s="38" t="n"/>
      <c r="D24" s="38" t="inlineStr">
        <is>
          <t>GLOBAL_CHECK, STOCKS_EXIT</t>
        </is>
      </c>
      <c r="E24" s="38" t="n"/>
      <c r="F24" s="26" t="n"/>
      <c r="G24" s="38">
        <f>IFERROR(VLOOKUP($A154&amp;"_"&amp;$B154,Results_Deltas!$A$2:$P$15000,5,FALSE),"")</f>
        <v/>
      </c>
      <c r="H24" s="38" t="inlineStr">
        <is>
          <t>Blanket (page end)</t>
        </is>
      </c>
      <c r="I24" s="26" t="n"/>
      <c r="J24" s="26" t="n"/>
      <c r="K24" s="26" t="n"/>
      <c r="L24" s="26" t="inlineStr">
        <is>
          <t>YES</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0.5" customHeight="1" s="67">
      <c r="A25" s="37" t="inlineStr">
        <is>
          <t>LIVE_VEC_EMERGENCY_BRAKE_ENABLED</t>
        </is>
      </c>
      <c r="B25" s="38" t="inlineStr">
        <is>
          <t>True</t>
        </is>
      </c>
      <c r="C25" s="38" t="n"/>
      <c r="D25" s="38" t="inlineStr">
        <is>
          <t>GLOBAL_CHECK, STOCKS_EXIT</t>
        </is>
      </c>
      <c r="E25" s="38" t="n"/>
      <c r="F25" s="26" t="n"/>
      <c r="G25" s="38">
        <f>IFERROR(VLOOKUP($A155&amp;"_"&amp;$B155,Results_Deltas!$A$2:$P$15000,5,FALSE),"")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0.5" customHeight="1" s="67">
      <c r="A26" s="39" t="inlineStr">
        <is>
          <t>LR_BAND_LADDER_STOCH_EXTREME</t>
        </is>
      </c>
      <c r="B26" s="40" t="inlineStr">
        <is>
          <t>30.0</t>
        </is>
      </c>
      <c r="C26" s="38" t="n"/>
      <c r="D26" s="38" t="inlineStr">
        <is>
          <t>GLOBAL_CHECK, STOCKS_EXIT</t>
        </is>
      </c>
      <c r="E26" s="38" t="n"/>
      <c r="F26" s="26" t="n"/>
      <c r="G26" s="38">
        <f>IFERROR(VLOOKUP($A156&amp;"_"&amp;$B156,Results_Deltas!$A$2:$P$15000,5,FALSE),"")</f>
        <v/>
      </c>
      <c r="H26" s="38" t="inlineStr">
        <is>
          <t>Blanket (page end)</t>
        </is>
      </c>
      <c r="I26" s="26" t="n"/>
      <c r="J26" s="26" t="n"/>
      <c r="K26" s="26" t="n"/>
      <c r="L26" s="26" t="inlineStr">
        <is>
          <t>YES</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0.5" customHeight="1" s="67">
      <c r="A27" s="37" t="inlineStr">
        <is>
          <t>LR_BAND_LADDER_TF_TOP</t>
        </is>
      </c>
      <c r="B27" s="38" t="inlineStr">
        <is>
          <t>0</t>
        </is>
      </c>
      <c r="C27" s="38" t="n"/>
      <c r="D27" s="38" t="inlineStr">
        <is>
          <t>GLOBAL_CHECK, STOCKS_EXIT</t>
        </is>
      </c>
      <c r="E27" s="38" t="n"/>
      <c r="F27" s="26" t="n"/>
      <c r="G27" s="38">
        <f>IFERROR(VLOOKUP($A160&amp;"_"&amp;$B160,Results_Deltas!$A$2:$P$15000,5,FALSE),"")</f>
        <v/>
      </c>
      <c r="H27" s="38" t="inlineStr">
        <is>
          <t>Blanket (page end)</t>
        </is>
      </c>
      <c r="I27" s="26" t="n"/>
      <c r="J27" s="26" t="n"/>
      <c r="K27" s="26" t="n"/>
      <c r="L27" s="26" t="inlineStr">
        <is>
          <t>YES</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0.5" customHeight="1" s="67">
      <c r="A28" s="37" t="inlineStr">
        <is>
          <t>MANDATORY_REENTRY_WT_FILTER_MIN_TFS</t>
        </is>
      </c>
      <c r="B28" s="38" t="inlineStr">
        <is>
          <t>3</t>
        </is>
      </c>
      <c r="C28" s="38" t="n"/>
      <c r="D28" s="38" t="inlineStr">
        <is>
          <t>GLOBAL_CHECK, STOCKS_EXIT</t>
        </is>
      </c>
      <c r="E28" s="38" t="n"/>
      <c r="F28" s="26" t="n"/>
      <c r="G28" s="38">
        <f>IFERROR(VLOOKUP($A163&amp;"_"&amp;$B163,Results_Deltas!$A$2:$P$15000,5,FALSE),"")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0.5" customHeight="1" s="67">
      <c r="A29" s="37" t="inlineStr">
        <is>
          <t>MOVER_THRESHOLD</t>
        </is>
      </c>
      <c r="B29" s="38" t="inlineStr">
        <is>
          <t>3.75</t>
        </is>
      </c>
      <c r="C29" s="38" t="n"/>
      <c r="D29" s="38" t="inlineStr">
        <is>
          <t>ENTRY, GLOBAL_CHECK, STOCKS_EXIT</t>
        </is>
      </c>
      <c r="E29" s="38" t="n"/>
      <c r="F29" s="26" t="n"/>
      <c r="G29" s="38">
        <f>IFERROR(VLOOKUP($A177&amp;"_"&amp;$B177,Results_Deltas!$A$2:$P$15000,5,FALSE),"")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0.5" customHeight="1" s="67">
      <c r="A30" s="27" t="inlineStr">
        <is>
          <t>UNIVERSAL_NOLOSS_GATE</t>
        </is>
      </c>
      <c r="B30" s="27" t="inlineStr">
        <is>
          <t>False</t>
        </is>
      </c>
      <c r="C30" s="26" t="n"/>
      <c r="D30" s="26" t="n"/>
      <c r="E30" s="26" t="n"/>
      <c r="F30" s="26" t="n"/>
      <c r="G30" s="26">
        <f>IFERROR(VLOOKUP($A213&amp;"_"&amp;$B213,Results_Deltas!$A$2:$P$15000,5,FALSE),"")</f>
        <v/>
      </c>
      <c r="H30" s="26">
        <f>IFERROR(VLOOKUP($A214,Results_30d_Deltas!$A$2:$H$5000,7,FALSE)-E3,"")</f>
        <v/>
      </c>
      <c r="I30" s="26">
        <f>IFERROR(VLOOKUP($A214,Results_30d_Deltas!$A$2:$H$5000,6,FALSE),"")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6" t="n"/>
      <c r="HE30" s="36" t="n"/>
      <c r="HF30" s="36" t="n"/>
      <c r="HG30" s="36" t="n"/>
      <c r="HH30" s="36"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ez_manage.py:4233 top()</t>
        </is>
      </c>
      <c r="IL30" s="26" t="inlineStr">
        <is>
          <t>v12_quick_engine.py:837 x18</t>
        </is>
      </c>
      <c r="IM30" s="26" t="n"/>
    </row>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2026-09-19T02:33:19Z</dcterms:created>
  <dcterms:modified xsi:type="dcterms:W3CDTF">2026-09-19T02:33:57Z</dcterms:modified>
</cp:coreProperties>
</file>