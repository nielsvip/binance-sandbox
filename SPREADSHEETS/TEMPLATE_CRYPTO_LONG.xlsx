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9"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4" fillId="6"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BB_PULLBACK_GATE_TF</t>
        </is>
      </c>
      <c r="B3" s="91" t="inlineStr">
        <is>
          <t>1h</t>
        </is>
      </c>
      <c r="E3" s="0">
        <f>IF(G15="",E14,IF(G15&gt;0,E14+G15,E14))</f>
        <v/>
      </c>
      <c r="G3" s="0">
        <f>IFERROR(VLOOKUP($A15&amp;"_"&amp;$B15,Results_Deltas!$A$2:$P$15000,5,FALSE),"")</f>
        <v/>
      </c>
      <c r="H3" s="0">
        <f>IFERROR(VLOOKUP($A15,Results_30d_Deltas!$A$2:$H$5000,7,FALSE)-E14,"")</f>
        <v/>
      </c>
      <c r="I3" s="0">
        <f>IFERROR(VLOOKUP($A15,Results_30d_Deltas!$A$2:$H$5000,6,FALSE),"")</f>
        <v/>
      </c>
      <c r="L3" s="0" t="inlineStr">
        <is>
          <t>NO</t>
        </is>
      </c>
      <c r="M3" s="78" t="n">
        <v>-2.295299337995794</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crypto_long — keep, needs S1 fills (backtest-expert: &lt;30 trades, seek plateaus, punish)</t>
        </is>
      </c>
    </row>
    <row r="4" ht="10.5" customHeight="1" s="67">
      <c r="A4" s="0" t="inlineStr">
        <is>
          <t>BB_PULLBACK_GATE_TF</t>
        </is>
      </c>
      <c r="B4" s="77" t="inlineStr">
        <is>
          <t>OFF</t>
        </is>
      </c>
      <c r="E4" s="0">
        <f>IF(G18="",E16,IF(G18&gt;0,E16+G18,E16))</f>
        <v/>
      </c>
      <c r="G4" s="0">
        <f>IFERROR(VLOOKUP($A18&amp;"_"&amp;$B18,Results_Deltas!$A$2:$P$15000,5,FALSE),"")</f>
        <v/>
      </c>
      <c r="H4" s="0">
        <f>IFERROR(VLOOKUP($A18,Results_30d_Deltas!$A$2:$H$5000,7,FALSE)-E16,"")</f>
        <v/>
      </c>
      <c r="I4" s="0">
        <f>IFERROR(VLOOKUP($A18,Results_30d_Deltas!$A$2:$H$5000,6,FALSE),"")</f>
        <v/>
      </c>
      <c r="L4" s="0" t="inlineStr">
        <is>
          <t>NO</t>
        </is>
      </c>
      <c r="M4" s="78" t="n">
        <v>-2.184066058843531</v>
      </c>
      <c r="N4" s="79" t="n"/>
      <c r="O4" s="79" t="n"/>
      <c r="P4" s="79" t="n"/>
      <c r="Q4" s="79" t="n"/>
      <c r="R4" s="79" t="n"/>
      <c r="S4" s="79" t="n"/>
      <c r="T4" s="79" t="n"/>
      <c r="U4" s="79" t="n"/>
      <c r="V4" s="79" t="n"/>
      <c r="W4" s="79" t="n"/>
      <c r="X4" s="80" t="n"/>
      <c r="Y4" s="80" t="n"/>
      <c r="Z4" s="80" t="n"/>
      <c r="AA4" s="80" t="n"/>
      <c r="AB4" s="80"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J4" s="79" t="n"/>
      <c r="IL4" s="0" t="inlineStr">
        <is>
          <t>ez_manage.py:4361 top()</t>
        </is>
      </c>
      <c r="IM4" s="0" t="inlineStr">
        <is>
          <t>v12_quick_engine.py:288 x12</t>
        </is>
      </c>
      <c r="IO4" s="81" t="inlineStr">
        <is>
          <t>SUSPICIOUS n=0 for crypto_long — keep, needs S1 fills (backtest-expert: &lt;30 trades, seek plateaus, punish)</t>
        </is>
      </c>
    </row>
    <row r="5" ht="10.5" customHeight="1" s="67">
      <c r="A5" s="0" t="inlineStr">
        <is>
          <t>BB_PULLBACK_GATE_TF</t>
        </is>
      </c>
      <c r="B5" s="77" t="inlineStr">
        <is>
          <t>D</t>
        </is>
      </c>
      <c r="E5" s="0">
        <f>IF(G19="",E18,IF(G19&gt;0,E18+G19,E18))</f>
        <v/>
      </c>
      <c r="G5" s="0">
        <f>IFERROR(VLOOKUP($A19&amp;"_"&amp;$B19,Results_Deltas!$A$2:$P$15000,5,FALSE),"")</f>
        <v/>
      </c>
      <c r="H5" s="0">
        <f>IFERROR(VLOOKUP($A19,Results_30d_Deltas!$A$2:$H$5000,7,FALSE)-E18,"")</f>
        <v/>
      </c>
      <c r="I5" s="0">
        <f>IFERROR(VLOOKUP($A19,Results_30d_Deltas!$A$2:$H$5000,6,FALSE),"")</f>
        <v/>
      </c>
      <c r="L5" s="0" t="inlineStr">
        <is>
          <t>NO</t>
        </is>
      </c>
      <c r="M5" s="78" t="n">
        <v>-2.104112003993109</v>
      </c>
      <c r="N5" s="79" t="n"/>
      <c r="O5" s="79" t="n"/>
      <c r="P5" s="79" t="n"/>
      <c r="Q5" s="79" t="n"/>
      <c r="R5" s="79" t="n"/>
      <c r="S5" s="79" t="n"/>
      <c r="T5" s="79" t="n"/>
      <c r="U5" s="79" t="n"/>
      <c r="V5" s="79" t="n"/>
      <c r="W5" s="79" t="n"/>
      <c r="X5" s="80" t="n"/>
      <c r="Y5" s="80" t="n"/>
      <c r="Z5" s="80" t="n"/>
      <c r="AA5" s="80" t="n"/>
      <c r="AB5" s="80"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J5" s="79" t="n"/>
      <c r="IL5" s="0" t="inlineStr">
        <is>
          <t>ez_manage.py:4361 top()</t>
        </is>
      </c>
      <c r="IM5" s="0" t="inlineStr">
        <is>
          <t>v12_quick_engine.py:288 x12</t>
        </is>
      </c>
      <c r="IO5" s="81" t="inlineStr">
        <is>
          <t>SUSPICIOUS n=0 for crypto_long — keep, needs S1 fills (backtest-expert: &lt;30 trades, seek plateaus, punish)</t>
        </is>
      </c>
    </row>
    <row r="6" ht="10.5" customHeight="1" s="67">
      <c r="A6" s="90" t="inlineStr">
        <is>
          <t>WT_15M_BOUNCE_OPEN_ENABLED</t>
        </is>
      </c>
      <c r="B6" s="91" t="inlineStr">
        <is>
          <t>False</t>
        </is>
      </c>
      <c r="E6" s="0">
        <f>TEMPLATE_BASELINE_METRICS!B2</f>
        <v/>
      </c>
      <c r="G6" s="0">
        <f>IFERROR(VLOOKUP($A3&amp;"="&amp;$B3,Results_Deltas!$A$2:$P$15000,5,FALSE),"")</f>
        <v/>
      </c>
      <c r="H6" s="0">
        <f>IFERROR(VLOOKUP($A3,Results_30d_Deltas!$A$2:$H$5000,7,FALSE)-E3,"")</f>
        <v/>
      </c>
      <c r="I6" s="0">
        <f>IFERROR(VLOOKUP($A3,Results_30d_Deltas!$A$2:$H$5000,6,FALSE),"")</f>
        <v/>
      </c>
      <c r="L6" s="0" t="inlineStr">
        <is>
          <t>YES</t>
        </is>
      </c>
      <c r="M6" s="78" t="n">
        <v>2.449194113409724</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30" t="inlineStr">
        <is>
          <t>WT_15M_BOUNCE_OPEN_ENABLED</t>
        </is>
      </c>
      <c r="B7" s="72" t="inlineStr">
        <is>
          <t>True</t>
        </is>
      </c>
      <c r="C7" s="30" t="n"/>
      <c r="D7" s="30" t="n"/>
      <c r="E7" s="30">
        <f>IF(G4="",E3,IF(G4&gt;0,E3+G4,E3))</f>
        <v/>
      </c>
      <c r="F7" s="30" t="n"/>
      <c r="G7" s="30">
        <f>IFERROR(VLOOKUP($A4&amp;"_"&amp;$B4,Results_Deltas!$A$2:$P$15000,5,FALSE),"")</f>
        <v/>
      </c>
      <c r="H7" s="30">
        <f>IFERROR(VLOOKUP($A4,Results_30d_Deltas!$A$2:$H$5000,7,FALSE)-E3,"")</f>
        <v/>
      </c>
      <c r="I7" s="30">
        <f>IFERROR(VLOOKUP($A4,Results_30d_Deltas!$A$2:$H$5000,6,FALSE),"")</f>
        <v/>
      </c>
      <c r="J7" s="30" t="n"/>
      <c r="K7" s="30" t="n"/>
      <c r="L7" s="30" t="inlineStr">
        <is>
          <t>NO</t>
        </is>
      </c>
      <c r="M7" s="32" t="n">
        <v>-7.157858325536756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4" t="n"/>
      <c r="DZ7" s="34" t="n"/>
      <c r="EA7" s="34" t="n"/>
      <c r="EB7" s="34" t="n"/>
      <c r="EC7" s="34"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4" t="n"/>
      <c r="HK7" s="34" t="n"/>
      <c r="HL7" s="34" t="n"/>
      <c r="HM7" s="34" t="n"/>
      <c r="HN7" s="34" t="n"/>
      <c r="HO7" s="33" t="n"/>
      <c r="HP7" s="33" t="n"/>
      <c r="HQ7" s="33" t="n"/>
      <c r="HR7" s="33" t="n"/>
      <c r="HS7" s="33" t="n"/>
      <c r="HT7" s="33" t="n"/>
      <c r="HU7" s="33" t="n"/>
      <c r="HV7" s="33" t="n"/>
      <c r="HW7" s="33" t="n"/>
      <c r="HX7" s="33" t="n"/>
      <c r="HY7" s="34" t="n"/>
      <c r="HZ7" s="34" t="n"/>
      <c r="IA7" s="34" t="n"/>
      <c r="IB7" s="34" t="n"/>
      <c r="IC7" s="34" t="n"/>
      <c r="ID7" s="34" t="n"/>
      <c r="IE7" s="34" t="n"/>
      <c r="IF7" s="34" t="n"/>
      <c r="IG7" s="34" t="n"/>
      <c r="IH7" s="34" t="n"/>
      <c r="II7" s="34" t="n"/>
      <c r="IJ7" s="34" t="n"/>
      <c r="IK7" s="30" t="n"/>
      <c r="IL7" s="30" t="inlineStr">
        <is>
          <t>ez_manage.py:6076 top()</t>
        </is>
      </c>
      <c r="IM7" s="30" t="inlineStr">
        <is>
          <t>v12_quick_engine.py:4288 x7</t>
        </is>
      </c>
      <c r="IN7" s="30" t="n"/>
    </row>
    <row r="8" ht="10.5" customHeight="1" s="67">
      <c r="A8" s="90" t="inlineStr">
        <is>
          <t>WT_MOMENTUM_EXIT_THRESHOLD</t>
        </is>
      </c>
      <c r="B8" s="91" t="inlineStr">
        <is>
          <t>1</t>
        </is>
      </c>
      <c r="E8" s="0">
        <f>IF(G17="",E16,IF(G17&gt;0,E16+G17,E16))</f>
        <v/>
      </c>
      <c r="G8" s="0">
        <f>IFERROR(VLOOKUP($A17&amp;"_"&amp;$B17,Results_Deltas!$A$2:$P$15000,5,FALSE),"")</f>
        <v/>
      </c>
      <c r="H8" s="0">
        <f>IFERROR(VLOOKUP($A17,Results_30d_Deltas!$A$2:$H$5000,7,FALSE)-E16,"")</f>
        <v/>
      </c>
      <c r="I8" s="0">
        <f>IFERROR(VLOOKUP($A17,Results_30d_Deltas!$A$2:$H$5000,6,FALSE),"")</f>
        <v/>
      </c>
      <c r="L8" s="0" t="inlineStr">
        <is>
          <t>YES</t>
        </is>
      </c>
      <c r="M8" s="78" t="n">
        <v>-2.232422065783848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c r="IO8" s="81" t="inlineStr">
        <is>
          <t>SUSPICIOUS n=0 for crypto_long — keep, needs S1 fills (backtest-expert: &lt;30 trades, seek plateaus, punish)</t>
        </is>
      </c>
    </row>
    <row r="9" ht="10.5" customHeight="1" s="67">
      <c r="A9" s="30" t="inlineStr">
        <is>
          <t>WT_MOMENTUM_EXIT_THRESHOLD</t>
        </is>
      </c>
      <c r="B9" s="72" t="inlineStr">
        <is>
          <t>0</t>
        </is>
      </c>
      <c r="C9" s="30" t="n"/>
      <c r="D9" s="30" t="n"/>
      <c r="E9" s="30">
        <f>IF(G14="",E13,IF(G14&gt;0,E13+G14,E13))</f>
        <v/>
      </c>
      <c r="F9" s="30" t="n"/>
      <c r="G9" s="30">
        <f>IFERROR(VLOOKUP($A14&amp;"_"&amp;$B14,Results_Deltas!$A$2:$P$15000,5,FALSE),"")</f>
        <v/>
      </c>
      <c r="H9" s="30">
        <f>IFERROR(VLOOKUP($A14,Results_30d_Deltas!$A$2:$H$5000,7,FALSE)-E13,"")</f>
        <v/>
      </c>
      <c r="I9" s="30">
        <f>IFERROR(VLOOKUP($A14,Results_30d_Deltas!$A$2:$H$5000,6,FALSE),"")</f>
        <v/>
      </c>
      <c r="J9" s="30" t="n"/>
      <c r="K9" s="30" t="n"/>
      <c r="L9" s="30" t="inlineStr">
        <is>
          <t>NO</t>
        </is>
      </c>
      <c r="M9" s="32" t="n">
        <v>-2.391320485432025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4" t="n"/>
      <c r="BW9" s="34" t="n"/>
      <c r="BX9" s="34" t="n"/>
      <c r="BY9" s="34" t="n"/>
      <c r="BZ9" s="34"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3" t="n"/>
      <c r="DP9" s="33" t="n"/>
      <c r="DQ9" s="33" t="n"/>
      <c r="DR9" s="33" t="n"/>
      <c r="DS9" s="33" t="n"/>
      <c r="DT9" s="34" t="n"/>
      <c r="DU9" s="34" t="n"/>
      <c r="DV9" s="34" t="n"/>
      <c r="DW9" s="34" t="n"/>
      <c r="DX9" s="34"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ez_manage.py:6087 top()</t>
        </is>
      </c>
      <c r="IM9" s="30" t="inlineStr">
        <is>
          <t>v12_quick_engine.py:4293 x3</t>
        </is>
      </c>
      <c r="IN9" s="30" t="n"/>
      <c r="IO9" s="76" t="inlineStr">
        <is>
          <t>SUSPICIOUS n=0 for crypto_long — keep, needs S1 fills (backtest-expert: &lt;30 trades, seek plateaus, punish)</t>
        </is>
      </c>
    </row>
    <row r="10" ht="10.5" customHeight="1" s="67">
      <c r="A10" s="90" t="inlineStr">
        <is>
          <t>BB_SQUEEZE_ENTRY_ENABLED</t>
        </is>
      </c>
      <c r="B10" s="91" t="inlineStr">
        <is>
          <t>True</t>
        </is>
      </c>
      <c r="E10" s="0">
        <f>IF(G9="",E8,IF(G9&gt;0,E8+G9,E8))</f>
        <v/>
      </c>
      <c r="G10" s="0">
        <f>IFERROR(VLOOKUP($A9&amp;"_"&amp;$B9,Results_Deltas!$A$2:$P$15000,5,FALSE),"")</f>
        <v/>
      </c>
      <c r="H10" s="0">
        <f>IFERROR(VLOOKUP($A9,Results_30d_Deltas!$A$2:$H$5000,7,FALSE)-E8,"")</f>
        <v/>
      </c>
      <c r="I10" s="0">
        <f>IFERROR(VLOOKUP($A9,Results_30d_Deltas!$A$2:$H$5000,6,FALSE),"")</f>
        <v/>
      </c>
      <c r="L10" s="0" t="inlineStr">
        <is>
          <t>YES</t>
        </is>
      </c>
      <c r="M10" s="78" t="n">
        <v>-3.724675487575883</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80" t="n"/>
      <c r="FK10" s="80" t="n"/>
      <c r="FL10" s="80" t="n"/>
      <c r="FM10" s="80" t="n"/>
      <c r="FN10" s="80"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ez_manage.py:4371 top()</t>
        </is>
      </c>
      <c r="IM10" s="0" t="inlineStr">
        <is>
          <t>v12_quick_engine.py:889 x9</t>
        </is>
      </c>
    </row>
    <row r="11" ht="10.5" customHeight="1" s="67">
      <c r="A11" s="0" t="inlineStr">
        <is>
          <t>BB_SQUEEZE_ENTRY_ENABLED</t>
        </is>
      </c>
      <c r="B11" s="77" t="b">
        <v>0</v>
      </c>
      <c r="E11" s="0">
        <f>IF(G9="",E8,IF(G9&gt;0,E8+G9,E8))</f>
        <v/>
      </c>
      <c r="G11" s="0">
        <f>IFERROR(VLOOKUP($A9&amp;"_"&amp;$B9,Results_Deltas!$A$2:$P$15000,5,FALSE),"")</f>
        <v/>
      </c>
      <c r="H11" s="0">
        <f>IFERROR(VLOOKUP($A9,Results_30d_Deltas!$A$2:$H$5000,7,FALSE)-E8,"")</f>
        <v/>
      </c>
      <c r="I11" s="0">
        <f>IFERROR(VLOOKUP($A9,Results_30d_Deltas!$A$2:$H$5000,6,FALSE),"")</f>
        <v/>
      </c>
      <c r="L11" s="0" t="inlineStr">
        <is>
          <t>YES</t>
        </is>
      </c>
      <c r="M11" s="78" t="n">
        <v>-3.724675487575883</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79" t="n"/>
      <c r="CU11" s="79" t="n"/>
      <c r="CV11" s="79" t="n"/>
      <c r="CW11" s="79" t="n"/>
      <c r="CX11" s="79" t="n"/>
      <c r="CY11" s="79" t="n"/>
      <c r="CZ11" s="79" t="n"/>
      <c r="DA11" s="79" t="n"/>
      <c r="DB11" s="79" t="n"/>
      <c r="DC11" s="79" t="n"/>
      <c r="DD11" s="79" t="n"/>
      <c r="DE11" s="79" t="n"/>
      <c r="DF11" s="79" t="n"/>
      <c r="DG11" s="79" t="n"/>
      <c r="DH11" s="79" t="n"/>
      <c r="DI11" s="79" t="n"/>
      <c r="DJ11" s="79" t="n"/>
      <c r="DK11" s="79" t="n"/>
      <c r="DL11" s="79" t="n"/>
      <c r="DM11" s="79"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80" t="n"/>
      <c r="FK11" s="80" t="n"/>
      <c r="FL11" s="80" t="n"/>
      <c r="FM11" s="80" t="n"/>
      <c r="FN11" s="80"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79" t="n"/>
      <c r="HY11" s="80" t="n"/>
      <c r="HZ11" s="80" t="n"/>
      <c r="IA11" s="80" t="n"/>
      <c r="IB11" s="80" t="n"/>
      <c r="IC11" s="80" t="n"/>
      <c r="ID11" s="80" t="n"/>
      <c r="IE11" s="80" t="n"/>
      <c r="IF11" s="80" t="n"/>
      <c r="IG11" s="80" t="n"/>
      <c r="IH11" s="80" t="n"/>
      <c r="II11" s="80" t="n"/>
      <c r="IJ11" s="80" t="n"/>
      <c r="IL11" s="0" t="inlineStr">
        <is>
          <t>ez_manage.py:4371 top()</t>
        </is>
      </c>
      <c r="IM11" s="0" t="inlineStr">
        <is>
          <t>v12_quick_engine.py:889 x9</t>
        </is>
      </c>
    </row>
    <row r="12" ht="10.5" customHeight="1" s="67">
      <c r="A12" s="90" t="inlineStr">
        <is>
          <t>DELTA_GATE_BB_SQUEEZE</t>
        </is>
      </c>
      <c r="B12" s="91" t="inlineStr">
        <is>
          <t>True</t>
        </is>
      </c>
      <c r="E12" s="0">
        <f>IF(G25="",E24,IF(G25&gt;0,E24+G25,E24))</f>
        <v/>
      </c>
      <c r="G12" s="0">
        <f>IFERROR(VLOOKUP($A25&amp;"_"&amp;$B25,Results_Deltas!$A$2:$P$15000,5,FALSE),"")</f>
        <v/>
      </c>
      <c r="H12" s="0">
        <f>IFERROR(VLOOKUP($A25,Results_30d_Deltas!$A$2:$H$5000,7,FALSE)-E24,"")</f>
        <v/>
      </c>
      <c r="I12" s="0">
        <f>IFERROR(VLOOKUP($A25,Results_30d_Deltas!$A$2:$H$5000,6,FALSE),"")</f>
        <v/>
      </c>
      <c r="L12" s="0" t="inlineStr">
        <is>
          <t>YES</t>
        </is>
      </c>
      <c r="M12" s="78" t="n">
        <v>0.01851568260645972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80" t="n"/>
      <c r="CB12" s="80" t="n"/>
      <c r="CC12" s="80" t="n"/>
      <c r="CD12" s="80" t="n"/>
      <c r="CE12" s="80"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J12" s="79" t="n"/>
      <c r="IL12" s="0" t="inlineStr">
        <is>
          <t>ez_manage.py:4603 top()</t>
        </is>
      </c>
      <c r="IM12" s="0" t="inlineStr">
        <is>
          <t>v12_quick_engine.py:969 x9</t>
        </is>
      </c>
    </row>
    <row r="13" ht="10.5" customHeight="1" s="67">
      <c r="A13" s="30" t="inlineStr">
        <is>
          <t>DELTA_GATE_BB_SQUEEZE</t>
        </is>
      </c>
      <c r="B13" s="72" t="inlineStr">
        <is>
          <t>False</t>
        </is>
      </c>
      <c r="C13" s="30" t="n"/>
      <c r="D13" s="30" t="n"/>
      <c r="E13" s="30" t="n"/>
      <c r="F13" s="30" t="n"/>
      <c r="G13" s="30" t="n"/>
      <c r="H13" s="30" t="n"/>
      <c r="I13" s="30" t="n"/>
      <c r="J13" s="30" t="n"/>
      <c r="K13" s="30" t="n"/>
      <c r="L13" s="30" t="inlineStr">
        <is>
          <t>NO</t>
        </is>
      </c>
      <c r="M13" s="32" t="n">
        <v>-0.4526433045417599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89" t="n"/>
      <c r="CB13" s="89" t="n"/>
      <c r="CC13" s="89" t="n"/>
      <c r="CD13" s="89" t="n"/>
      <c r="CE13" s="89"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ez_manage.py:4603 top()</t>
        </is>
      </c>
      <c r="IM13" s="30" t="inlineStr">
        <is>
          <t>v12_quick_engine.py:969 x9</t>
        </is>
      </c>
      <c r="IN13" s="30" t="n"/>
    </row>
    <row r="14" ht="10.5" customHeight="1" s="67">
      <c r="A14" s="93" t="inlineStr">
        <is>
          <t>HTF_BULL_ENTRY_FILTER_ENABLED</t>
        </is>
      </c>
      <c r="B14" s="93" t="inlineStr">
        <is>
          <t>False</t>
        </is>
      </c>
      <c r="C14" s="0" t="inlineStr">
        <is>
          <t>False</t>
        </is>
      </c>
    </row>
    <row r="15" ht="10.5" customHeight="1" s="67">
      <c r="A15" s="0" t="inlineStr">
        <is>
          <t>HTF_BULL_ENTRY_FILTER_ENABLED</t>
        </is>
      </c>
      <c r="B15" s="0" t="inlineStr">
        <is>
          <t>False</t>
        </is>
      </c>
      <c r="C15" s="0" t="inlineStr">
        <is>
          <t>True</t>
        </is>
      </c>
    </row>
    <row r="16" ht="10.5" customHeight="1" s="67">
      <c r="A16" s="93" t="inlineStr">
        <is>
          <t>HTF_BULL_ENTRY_FILTER_TF</t>
        </is>
      </c>
      <c r="B16" s="93" t="inlineStr">
        <is>
          <t>OFF</t>
        </is>
      </c>
      <c r="C16" s="0" t="inlineStr">
        <is>
          <t>OFF</t>
        </is>
      </c>
    </row>
    <row r="17" ht="15.75" customHeight="1" s="67">
      <c r="A17" s="0" t="inlineStr">
        <is>
          <t>HTF_BULL_ENTRY_FILTER_TF</t>
        </is>
      </c>
      <c r="B17" s="0" t="inlineStr">
        <is>
          <t>OFF</t>
        </is>
      </c>
      <c r="C17" s="0" t="inlineStr">
        <is>
          <t>D</t>
        </is>
      </c>
    </row>
    <row r="18" ht="10.5" customHeight="1" s="67">
      <c r="A18" s="0" t="inlineStr">
        <is>
          <t>HTF_BULL_ENTRY_FILTER_TF</t>
        </is>
      </c>
      <c r="B18" s="0" t="inlineStr">
        <is>
          <t>OFF</t>
        </is>
      </c>
      <c r="C18" s="0" t="inlineStr">
        <is>
          <t>4h</t>
        </is>
      </c>
    </row>
    <row r="19" ht="10.5" customHeight="1" s="67">
      <c r="A19" s="0" t="inlineStr">
        <is>
          <t>HTF_BULL_ENTRY_FILTER_ENABLED</t>
        </is>
      </c>
      <c r="B19" s="0" t="b">
        <v>1</v>
      </c>
      <c r="C19" s="0" t="inlineStr">
        <is>
          <t>False</t>
        </is>
      </c>
    </row>
    <row r="20" ht="10.5" customHeight="1" s="67">
      <c r="A20" s="0" t="inlineStr">
        <is>
          <t>HTF_BULL_ENTRY_FILTER_TF</t>
        </is>
      </c>
      <c r="B20" s="0" t="inlineStr">
        <is>
          <t>15m</t>
        </is>
      </c>
      <c r="C20" s="0" t="inlineStr">
        <is>
          <t>OFF</t>
        </is>
      </c>
    </row>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AUDIT_STATUS 2026-09-16 (4 sheets direct)</t>
        </is>
      </c>
    </row>
    <row r="3">
      <c r="A3" s="93" t="inlineStr">
        <is>
          <t>STDEV_BULL_SLOPE_BOOST_ENABLED</t>
        </is>
      </c>
      <c r="B3" s="93" t="inlineStr">
        <is>
          <t>False</t>
        </is>
      </c>
      <c r="C3" s="0" t="inlineStr">
        <is>
          <t>False</t>
        </is>
      </c>
    </row>
    <row r="4">
      <c r="A4" s="0" t="inlineStr">
        <is>
          <t>STDEV_BULL_SLOPE_BOOST_ENABLED</t>
        </is>
      </c>
      <c r="B4" s="0" t="inlineStr">
        <is>
          <t>False</t>
        </is>
      </c>
      <c r="C4" s="0" t="inlineStr">
        <is>
          <t>True</t>
        </is>
      </c>
    </row>
    <row r="5">
      <c r="A5" s="0" t="inlineStr">
        <is>
          <t>STDEV_BULL_SLOPE_BOOST_ENABLED</t>
        </is>
      </c>
      <c r="B5" s="0" t="b">
        <v>1</v>
      </c>
      <c r="C5" s="0" t="inlineStr">
        <is>
          <t>False</t>
        </is>
      </c>
    </row>
    <row r="6">
      <c r="A6" s="93" t="inlineStr">
        <is>
          <t>STDEV_BULL_SLOPE_BOOST_MULT</t>
        </is>
      </c>
      <c r="B6" s="93"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9">
      <c r="A9" s="0" t="inlineStr">
        <is>
          <t>STDEV_BULL_SLOPE_BOOST_MULT</t>
        </is>
      </c>
      <c r="B9" s="0" t="inlineStr">
        <is>
          <t>0.5</t>
        </is>
      </c>
      <c r="C9" s="0" t="inlineStr">
        <is>
          <t>1.0</t>
        </is>
      </c>
    </row>
    <row r="10">
      <c r="A10" s="92" t="inlineStr">
        <is>
          <t>REMOVED for CRYPTO — stocks_only STDEV_SLOPE_SIZING (TradierConfig only, 0 hits in crypto)</t>
        </is>
      </c>
      <c r="B10" s="91" t="inlineStr">
        <is>
          <t>N/A for crypto — see STOCKS templates</t>
        </is>
      </c>
      <c r="N10"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DC_BREAKOUT_TF</t>
        </is>
      </c>
      <c r="B3" s="91" t="inlineStr">
        <is>
          <t>OFF</t>
        </is>
      </c>
      <c r="G3" s="0">
        <f>IFERROR(VLOOKUP($A172&amp;"="&amp;$B172,Results_Deltas!$A$2:$P$15000,5,FALSE),"")</f>
        <v/>
      </c>
      <c r="H3" s="0">
        <f>IFERROR(VLOOKUP($A172,Results_30d_Deltas!$A$2:$H$5000,7,FALSE)-E172,"")</f>
        <v/>
      </c>
      <c r="I3" s="0">
        <f>IFERROR(VLOOKUP($A172,Results_30d_Deltas!$A$2:$H$5000,6,FALSE),"")</f>
        <v/>
      </c>
      <c r="L3" s="0" t="inlineStr">
        <is>
          <t>NO</t>
        </is>
      </c>
      <c r="M3" s="78" t="n">
        <v>-2.523385251956491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80" t="n"/>
      <c r="AR3" s="80" t="n"/>
      <c r="AS3" s="80" t="n"/>
      <c r="AT3" s="80" t="n"/>
      <c r="AU3" s="80"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80" t="n"/>
      <c r="BQ3" s="80" t="n"/>
      <c r="BR3" s="80" t="n"/>
      <c r="BS3" s="80" t="n"/>
      <c r="BT3" s="80"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80" t="n"/>
      <c r="CZ3" s="80" t="n"/>
      <c r="DA3" s="80" t="n"/>
      <c r="DB3" s="80" t="n"/>
      <c r="DC3" s="80"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80" t="n"/>
      <c r="GA3" s="80" t="n"/>
      <c r="GB3" s="80" t="n"/>
      <c r="GC3" s="80" t="n"/>
      <c r="GD3" s="80"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ez_manage.py:3078 top()</t>
        </is>
      </c>
      <c r="IL3" s="0" t="inlineStr">
        <is>
          <t>v12_quick_engine.py:1518 x5</t>
        </is>
      </c>
      <c r="IN3" s="81" t="inlineStr">
        <is>
          <t>SUSPICIOUS n=0 for crypto_long — keep, needs S1 fills (backtest-expert: &lt;30 trades, seek plateaus, punish)</t>
        </is>
      </c>
    </row>
    <row r="4" ht="10.5" customHeight="1" s="67">
      <c r="A4" s="0" t="inlineStr">
        <is>
          <t>DC_BREAKOUT_TF</t>
        </is>
      </c>
      <c r="B4" s="77" t="inlineStr">
        <is>
          <t>4h</t>
        </is>
      </c>
      <c r="G4" s="0">
        <f>IFERROR(VLOOKUP($A191&amp;"_"&amp;$B191,Results_Deltas!$A$2:$P$15000,5,FALSE),"")</f>
        <v/>
      </c>
      <c r="H4" s="0">
        <f>IFERROR(VLOOKUP($A191,Results_30d_Deltas!$A$2:$H$5000,7,FALSE)-E190,"")</f>
        <v/>
      </c>
      <c r="I4" s="0">
        <f>IFERROR(VLOOKUP($A191,Results_30d_Deltas!$A$2:$H$5000,6,FALSE),"")</f>
        <v/>
      </c>
      <c r="L4" s="0" t="inlineStr">
        <is>
          <t>NO</t>
        </is>
      </c>
      <c r="M4" s="78" t="n">
        <v>-1.90470316123294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80" t="n"/>
      <c r="AR4" s="80" t="n"/>
      <c r="AS4" s="80" t="n"/>
      <c r="AT4" s="80" t="n"/>
      <c r="AU4" s="80"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80" t="n"/>
      <c r="BQ4" s="80" t="n"/>
      <c r="BR4" s="80" t="n"/>
      <c r="BS4" s="80" t="n"/>
      <c r="BT4" s="80"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80" t="n"/>
      <c r="CZ4" s="80" t="n"/>
      <c r="DA4" s="80" t="n"/>
      <c r="DB4" s="80" t="n"/>
      <c r="DC4" s="80"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80" t="n"/>
      <c r="GA4" s="80" t="n"/>
      <c r="GB4" s="80" t="n"/>
      <c r="GC4" s="80" t="n"/>
      <c r="GD4" s="80"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ez_manage.py:3078 top()</t>
        </is>
      </c>
      <c r="IL4" s="0" t="inlineStr">
        <is>
          <t>v12_quick_engine.py:1518 x5</t>
        </is>
      </c>
      <c r="IN4" s="81" t="inlineStr">
        <is>
          <t>SUSPICIOUS n=0 for crypto_long — keep, needs S1 fills (backtest-expert: &lt;30 trades, seek plateaus, punish)</t>
        </is>
      </c>
    </row>
    <row r="5" ht="10.5" customHeight="1" s="67">
      <c r="A5" s="93" t="inlineStr">
        <is>
          <t>HTF_BULL_ENTRY_FILTER_ENABLED</t>
        </is>
      </c>
      <c r="B5" s="93" t="inlineStr">
        <is>
          <t>False</t>
        </is>
      </c>
      <c r="C5" s="0" t="inlineStr">
        <is>
          <t>False</t>
        </is>
      </c>
    </row>
    <row r="6" ht="10.5" customHeight="1" s="67">
      <c r="A6" s="0" t="inlineStr">
        <is>
          <t>HTF_BULL_ENTRY_FILTER_ENABLED</t>
        </is>
      </c>
      <c r="B6" s="0" t="inlineStr">
        <is>
          <t>False</t>
        </is>
      </c>
      <c r="C6" s="0" t="inlineStr">
        <is>
          <t>True</t>
        </is>
      </c>
    </row>
    <row r="7" ht="10.5" customHeight="1" s="67">
      <c r="A7" s="93" t="inlineStr">
        <is>
          <t>HTF_BULL_ENTRY_FILTER_TF</t>
        </is>
      </c>
      <c r="B7" s="93" t="inlineStr">
        <is>
          <t>OFF</t>
        </is>
      </c>
      <c r="C7" s="0" t="inlineStr">
        <is>
          <t>OFF</t>
        </is>
      </c>
    </row>
    <row r="8" ht="10.5" customHeight="1" s="67">
      <c r="A8" s="0" t="inlineStr">
        <is>
          <t>HTF_BULL_ENTRY_FILTER_TF</t>
        </is>
      </c>
      <c r="B8" s="0" t="inlineStr">
        <is>
          <t>OFF</t>
        </is>
      </c>
      <c r="C8" s="0" t="inlineStr">
        <is>
          <t>D</t>
        </is>
      </c>
    </row>
    <row r="9" ht="10.5" customHeight="1" s="67">
      <c r="A9" s="0" t="inlineStr">
        <is>
          <t>HTF_BULL_ENTRY_FILTER_ENABLED</t>
        </is>
      </c>
      <c r="B9" s="0" t="b">
        <v>1</v>
      </c>
      <c r="C9" s="0" t="inlineStr">
        <is>
          <t>False</t>
        </is>
      </c>
    </row>
    <row r="10" ht="10.5" customHeight="1" s="67">
      <c r="A10" s="0" t="inlineStr">
        <is>
          <t>HTF_BULL_ENTRY_FILTER_TF</t>
        </is>
      </c>
      <c r="B10" s="0" t="inlineStr">
        <is>
          <t>15m</t>
        </is>
      </c>
      <c r="C10" s="0" t="inlineStr">
        <is>
          <t>OFF</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6"/>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ALL_TF_AGAINST_CLOSE_ENABLED</t>
        </is>
      </c>
      <c r="B3" s="90" t="inlineStr">
        <is>
          <t>False</t>
        </is>
      </c>
      <c r="G3" s="0">
        <f>IFERROR(VLOOKUP($A7&amp;"_"&amp;$B7,Results_Deltas!$A$2:$P$15000,5,FALSE),"")</f>
        <v/>
      </c>
      <c r="H3" s="0">
        <f>IFERROR(VLOOKUP($A7,Results_30d_Deltas!$A$2:$H$5000,7,FALSE)-E6,"")</f>
        <v/>
      </c>
      <c r="I3" s="0">
        <f>IFERROR(VLOOKUP($A7,Results_30d_Deltas!$A$2:$H$5000,6,FALSE),"")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ez_manage.py:4325 top()</t>
        </is>
      </c>
      <c r="IL3" s="0" t="inlineStr">
        <is>
          <t>v12_quick_engine.py:174 x6</t>
        </is>
      </c>
    </row>
    <row r="4">
      <c r="A4" s="31" t="inlineStr">
        <is>
          <t>ALL_TF_AGAINST_CLOSE_ENABLED</t>
        </is>
      </c>
      <c r="B4" s="31" t="inlineStr">
        <is>
          <t>True</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ez_manage.py:4325 top()</t>
        </is>
      </c>
      <c r="IL4" s="30" t="inlineStr">
        <is>
          <t>v12_quick_engine.py:174 x6</t>
        </is>
      </c>
      <c r="IM4" s="30" t="n"/>
    </row>
    <row r="5">
      <c r="A5" s="93" t="inlineStr">
        <is>
          <t>DC_BREAK_WAIT_WT15_CLOSE_ENABLED</t>
        </is>
      </c>
      <c r="B5" s="93" t="inlineStr">
        <is>
          <t>False</t>
        </is>
      </c>
      <c r="D5" s="0" t="inlineStr">
        <is>
          <t>DC_WAIT</t>
        </is>
      </c>
      <c r="E5" s="0">
        <f>IF(G184="",E183,IF(G184&gt;0,E183+G184,E183))</f>
        <v/>
      </c>
      <c r="F5" s="0">
        <f>IFERROR(VLOOKUP($A184&amp;"_"&amp;$B184,Results_Deltas!$A$2:$P$15000,5,FALSE),"")</f>
        <v/>
      </c>
      <c r="G5" s="0">
        <f>IFERROR(VLOOKUP($A184&amp;"_"&amp;$B184,Results_Deltas!$A$2:$P$15000,5,FALSE),"")</f>
        <v/>
      </c>
    </row>
    <row r="6">
      <c r="A6" s="0" t="inlineStr">
        <is>
          <t>DC_BREAK_WAIT_WT15_CLOSE_ENABLED</t>
        </is>
      </c>
      <c r="B6" s="0" t="b">
        <v>1</v>
      </c>
      <c r="D6" s="0" t="inlineStr">
        <is>
          <t>DC_WAIT</t>
        </is>
      </c>
      <c r="E6" s="0">
        <f>IF(G184="",E183,IF(G184&gt;0,E183+G184,E183))</f>
        <v/>
      </c>
      <c r="F6" s="0">
        <f>IFERROR(VLOOKUP($A184&amp;"_"&amp;$B184,Results_Deltas!$A$2:$P$15000,5,FALSE),"")</f>
        <v/>
      </c>
      <c r="G6"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SCALP_V3_K_OB_EXIT_ENABLED</t>
        </is>
      </c>
      <c r="B3" s="90" t="inlineStr">
        <is>
          <t>True</t>
        </is>
      </c>
      <c r="G3" s="0">
        <f>IFERROR(VLOOKUP($A41&amp;"_"&amp;$B41,Results_Deltas!$A$2:$P$15000,5,FALSE),"")</f>
        <v/>
      </c>
      <c r="H3" s="0">
        <f>IFERROR(VLOOKUP($A41,Results_30d_Deltas!$A$2:$H$5000,7,FALSE)-E40,"")</f>
        <v/>
      </c>
      <c r="I3" s="0">
        <f>IFERROR(VLOOKUP($A41,Results_30d_Deltas!$A$2:$H$5000,6,FALSE),"")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ez_manage.py:5550 top()</t>
        </is>
      </c>
      <c r="IL3" s="0" t="inlineStr">
        <is>
          <t>v12_quick_engine.py:3178 x4</t>
        </is>
      </c>
    </row>
    <row r="4">
      <c r="A4" s="30" t="inlineStr">
        <is>
          <t>SCALP_V3_K_OB_EXIT_ENABLED</t>
        </is>
      </c>
      <c r="B4" s="30" t="inlineStr">
        <is>
          <t>False</t>
        </is>
      </c>
      <c r="C4" s="30" t="n"/>
      <c r="D4" s="30" t="n"/>
      <c r="E4" s="30" t="n"/>
      <c r="F4" s="30" t="n"/>
      <c r="G4" s="30">
        <f>IFERROR(VLOOKUP($A40&amp;"_"&amp;$B40,Results_Deltas!$A$2:$P$15000,5,FALSE),"")</f>
        <v/>
      </c>
      <c r="H4" s="30">
        <f>IFERROR(VLOOKUP($A40,Results_30d_Deltas!$A$2:$H$5000,7,FALSE)-E39,"")</f>
        <v/>
      </c>
      <c r="I4" s="30">
        <f>IFERROR(VLOOKUP($A40,Results_30d_Deltas!$A$2:$H$5000,6,FALSE),"")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ez_manage.py:5550 top()</t>
        </is>
      </c>
      <c r="IL4" s="30" t="inlineStr">
        <is>
          <t>v12_quick_engine.py:3178 x4</t>
        </is>
      </c>
      <c r="IM4" s="30" t="n"/>
    </row>
    <row r="5">
      <c r="A5" s="93" t="inlineStr">
        <is>
          <t>WT_15M_LH_WAIT_EXIT_ENABLED</t>
        </is>
      </c>
      <c r="B5" s="93" t="inlineStr">
        <is>
          <t>False</t>
        </is>
      </c>
      <c r="D5" s="0" t="inlineStr">
        <is>
          <t>WT_WAIT</t>
        </is>
      </c>
      <c r="E5" s="0">
        <f>IF(G259="",E258,IF(G259&gt;0,E258+G259,E258))</f>
        <v/>
      </c>
      <c r="F5" s="0">
        <f>IFERROR(VLOOKUP($A259&amp;"_"&amp;$B259,Results_Deltas!$A$2:$P$15000,5,FALSE),"")</f>
        <v/>
      </c>
      <c r="G5" s="0">
        <f>IFERROR(VLOOKUP($A259&amp;"_"&amp;$B259,Results_Deltas!$A$2:$P$15000,5,FALSE),"")</f>
        <v/>
      </c>
    </row>
    <row r="6">
      <c r="A6" s="93" t="inlineStr">
        <is>
          <t>WT_DIVERGENCE_VV_SHORT_EXIT_ENABLED</t>
        </is>
      </c>
      <c r="B6" s="93" t="inlineStr">
        <is>
          <t>False</t>
        </is>
      </c>
      <c r="D6" s="0" t="inlineStr">
        <is>
          <t>WT_WAIT</t>
        </is>
      </c>
      <c r="E6" s="0">
        <f>IF(G260="",E259,IF(G260&gt;0,E259+G260,E259))</f>
        <v/>
      </c>
      <c r="F6" s="0">
        <f>IFERROR(VLOOKUP($A260&amp;"_"&amp;$B260,Results_Deltas!$A$2:$P$15000,5,FALSE),"")</f>
        <v/>
      </c>
      <c r="G6" s="0">
        <f>IFERROR(VLOOKUP($A260&amp;"_"&amp;$B260,Results_Deltas!$A$2:$P$15000,5,FALSE),"")</f>
        <v/>
      </c>
    </row>
    <row r="7">
      <c r="A7" s="93" t="inlineStr">
        <is>
          <t>EXIT_BLOCKER_REQUIRE_LH_LL_ENABLED</t>
        </is>
      </c>
      <c r="B7" s="93"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WT_15M_LH_WAIT_EXIT_ENABLED</t>
        </is>
      </c>
      <c r="B8" s="0" t="b">
        <v>1</v>
      </c>
      <c r="D8" s="0" t="inlineStr">
        <is>
          <t>WT_WAIT</t>
        </is>
      </c>
      <c r="E8" s="0">
        <f>IF(G259="",E258,IF(G259&gt;0,E258+G259,E258))</f>
        <v/>
      </c>
      <c r="F8" s="0">
        <f>IFERROR(VLOOKUP($A259&amp;"_"&amp;$B259,Results_Deltas!$A$2:$P$15000,5,FALSE),"")</f>
        <v/>
      </c>
      <c r="G8" s="0">
        <f>IFERROR(VLOOKUP($A259&amp;"_"&amp;$B259,Results_Deltas!$A$2:$P$15000,5,FALSE),"")</f>
        <v/>
      </c>
    </row>
    <row r="9">
      <c r="A9" s="0" t="inlineStr">
        <is>
          <t>WT_DIVERGENCE_VV_SHORT_EXIT_ENABLED</t>
        </is>
      </c>
      <c r="B9" s="0" t="b">
        <v>1</v>
      </c>
      <c r="D9" s="0" t="inlineStr">
        <is>
          <t>WT_WAIT</t>
        </is>
      </c>
      <c r="E9" s="0">
        <f>IF(G260="",E259,IF(G260&gt;0,E259+G260,E259))</f>
        <v/>
      </c>
      <c r="F9" s="0">
        <f>IFERROR(VLOOKUP($A260&amp;"_"&amp;$B260,Results_Deltas!$A$2:$P$15000,5,FALSE),"")</f>
        <v/>
      </c>
      <c r="G9" s="0">
        <f>IFERROR(VLOOKUP($A260&amp;"_"&amp;$B260,Results_Deltas!$A$2:$P$15000,5,FALSE),"")</f>
        <v/>
      </c>
    </row>
    <row r="10">
      <c r="A10" s="0" t="inlineStr">
        <is>
          <t>EXIT_BLOCKER_REQUIRE_LH_LL_ENABLED</t>
        </is>
      </c>
      <c r="B10" s="0" t="b">
        <v>1</v>
      </c>
      <c r="D10" s="0" t="inlineStr">
        <is>
          <t>EXIT_BLOCKER</t>
        </is>
      </c>
      <c r="E10" s="0">
        <f>IF(G261="",E260,IF(G261&gt;0,E260+G261,E260))</f>
        <v/>
      </c>
      <c r="F10" s="0">
        <f>IFERROR(VLOOKUP($A261&amp;"_"&amp;$B261,Results_Deltas!$A$2:$P$15000,5,FALSE),"")</f>
        <v/>
      </c>
      <c r="G10" s="0">
        <f>IFERROR(VLOOKUP($A261&amp;"_"&amp;$B261,Results_Deltas!$A$2:$P$15000,5,FALSE),"")</f>
        <v/>
      </c>
    </row>
    <row r="11">
      <c r="A11" s="93" t="inlineStr">
        <is>
          <t>BULL_HOLD_EXIT_DELAY_BARS</t>
        </is>
      </c>
      <c r="B11" s="93" t="inlineStr">
        <is>
          <t>0</t>
        </is>
      </c>
      <c r="C11" s="0" t="inlineStr">
        <is>
          <t>0</t>
        </is>
      </c>
    </row>
    <row r="12">
      <c r="A12" s="0" t="inlineStr">
        <is>
          <t>BULL_HOLD_EXIT_DELAY_BARS</t>
        </is>
      </c>
      <c r="B12" s="0" t="inlineStr">
        <is>
          <t>0</t>
        </is>
      </c>
      <c r="C12" s="0" t="inlineStr">
        <is>
          <t>24</t>
        </is>
      </c>
    </row>
    <row r="13">
      <c r="A13" s="0" t="inlineStr">
        <is>
          <t>BULL_HOLD_EXIT_DELAY_BARS</t>
        </is>
      </c>
      <c r="B13" s="0" t="inlineStr">
        <is>
          <t>0</t>
        </is>
      </c>
      <c r="C13" s="0" t="inlineStr">
        <is>
          <t>48</t>
        </is>
      </c>
    </row>
    <row r="14">
      <c r="A14" s="0" t="inlineStr">
        <is>
          <t>BULL_HOLD_EXIT_DELAY_BARS</t>
        </is>
      </c>
      <c r="B14" s="0" t="inlineStr">
        <is>
          <t>1</t>
        </is>
      </c>
      <c r="C14" s="0"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DAEMON_REENTRY_STALE_EXIT_ENABLED</t>
        </is>
      </c>
      <c r="B3" s="91" t="inlineStr">
        <is>
          <t>True</t>
        </is>
      </c>
      <c r="G3" s="0">
        <f>IFERROR(VLOOKUP($A27&amp;"_"&amp;$B27,Results_Deltas!$A$2:$P$15000,5,FALSE),"")</f>
        <v/>
      </c>
      <c r="H3" s="0">
        <f>IFERROR(VLOOKUP($A27,Results_30d_Deltas!$A$2:$H$5000,7,FALSE)-E26,"")</f>
        <v/>
      </c>
      <c r="I3" s="0">
        <f>IFERROR(VLOOKUP($A27,Results_30d_Deltas!$A$2:$H$5000,6,FALSE),"")</f>
        <v/>
      </c>
      <c r="L3" s="0" t="inlineStr">
        <is>
          <t>NO</t>
        </is>
      </c>
      <c r="M3" s="78" t="n">
        <v>-2.875621839230505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ez_manage.py:4561 top()</t>
        </is>
      </c>
      <c r="IM3" s="0" t="inlineStr">
        <is>
          <t>v12_quick_engine.py:519 x9</t>
        </is>
      </c>
    </row>
    <row r="4" ht="10.5" customHeight="1" s="67">
      <c r="A4" s="31" t="inlineStr">
        <is>
          <t>DAEMON_REENTRY_STALE_EXIT_ENABLED</t>
        </is>
      </c>
      <c r="B4" s="72" t="inlineStr">
        <is>
          <t>False</t>
        </is>
      </c>
      <c r="C4" s="30" t="n"/>
      <c r="D4" s="30" t="n"/>
      <c r="E4" s="30" t="n"/>
      <c r="F4" s="30" t="n"/>
      <c r="G4" s="30">
        <f>IFERROR(VLOOKUP($A29&amp;"_"&amp;$B29,Results_Deltas!$A$2:$P$15000,5,FALSE),"")</f>
        <v/>
      </c>
      <c r="H4" s="30">
        <f>IFERROR(VLOOKUP($A29,Results_30d_Deltas!$A$2:$H$5000,7,FALSE)-E28,"")</f>
        <v/>
      </c>
      <c r="I4" s="30">
        <f>IFERROR(VLOOKUP($A29,Results_30d_Deltas!$A$2:$H$5000,6,FALSE),"")</f>
        <v/>
      </c>
      <c r="J4" s="30" t="n"/>
      <c r="K4" s="30" t="n"/>
      <c r="L4" s="30" t="inlineStr">
        <is>
          <t>YES</t>
        </is>
      </c>
      <c r="M4" s="32" t="n">
        <v>-2.802362942385114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ez_manage.py:4561 top()</t>
        </is>
      </c>
      <c r="IM4" s="30" t="inlineStr">
        <is>
          <t>v12_quick_engine.py:519 x9</t>
        </is>
      </c>
      <c r="IN4" s="30"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AUGMENT_BULL_KILL_ENABLED</t>
        </is>
      </c>
      <c r="B3" s="93"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MAX_AUGMENTS_PER_POSITION</t>
        </is>
      </c>
      <c r="B3" s="94" t="inlineStr">
        <is>
          <t>1</t>
        </is>
      </c>
      <c r="G3" s="0">
        <f>IFERROR(VLOOKUP($A19&amp;"_"&amp;$B19,Results_Deltas!$A$2:$P$15000,5,FALSE),"")</f>
        <v/>
      </c>
      <c r="H3" s="0">
        <f>IFERROR(VLOOKUP($A19,Results_30d_Deltas!$A$2:$H$5000,7,FALSE)-E18,"")</f>
        <v/>
      </c>
      <c r="I3" s="0">
        <f>IFERROR(VLOOKUP($A19,Results_30d_Deltas!$A$2:$H$5000,6,FALSE),"")</f>
        <v/>
      </c>
      <c r="L3" s="0" t="inlineStr">
        <is>
          <t>NO</t>
        </is>
      </c>
      <c r="M3" s="78" t="n">
        <v>-3.255616384323318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c r="IN3" s="81" t="inlineStr">
        <is>
          <t>SUSPICIOUS n=0 for crypto_long — keep, needs S1 fills (backtest-expert: &lt;30 trades, seek plateaus, punish)</t>
        </is>
      </c>
    </row>
    <row r="4" ht="10.5" customHeight="1" s="67">
      <c r="A4" s="0" t="inlineStr">
        <is>
          <t>MAX_AUGMENTS_PER_POSITION</t>
        </is>
      </c>
      <c r="B4" s="77" t="inlineStr">
        <is>
          <t>0</t>
        </is>
      </c>
      <c r="G4" s="0">
        <f>IFERROR(VLOOKUP($A28&amp;"_"&amp;$B28,Results_Deltas!$A$2:$P$15000,5,FALSE),"")</f>
        <v/>
      </c>
      <c r="H4" s="0">
        <f>IFERROR(VLOOKUP($A28,Results_30d_Deltas!$A$2:$H$5000,7,FALSE)-E27,"")</f>
        <v/>
      </c>
      <c r="I4" s="0">
        <f>IFERROR(VLOOKUP($A28,Results_30d_Deltas!$A$2:$H$5000,6,FALSE),"")</f>
        <v/>
      </c>
      <c r="L4" s="0" t="inlineStr">
        <is>
          <t>NO</t>
        </is>
      </c>
      <c r="M4" s="78" t="n">
        <v>-3.009965896435204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c r="IN4" s="81" t="inlineStr">
        <is>
          <t>SUSPICIOUS n=0 for crypto_long — keep, needs S1 fills (backtest-expert: &lt;30 trades, seek plateaus, punish)</t>
        </is>
      </c>
    </row>
    <row r="5" ht="10.5" customHeight="1" s="67">
      <c r="A5" s="0" t="inlineStr">
        <is>
          <t>MAX_AUGMENTS_PER_POSITION</t>
        </is>
      </c>
      <c r="B5" s="77" t="inlineStr">
        <is>
          <t>5</t>
        </is>
      </c>
      <c r="G5" s="0">
        <f>IFERROR(VLOOKUP($A54&amp;"_"&amp;$B54,Results_Deltas!$A$2:$P$15000,5,FALSE),"")</f>
        <v/>
      </c>
      <c r="H5" s="0">
        <f>IFERROR(VLOOKUP($A54,Results_30d_Deltas!$A$2:$H$5000,7,FALSE)-E53,"")</f>
        <v/>
      </c>
      <c r="I5" s="0">
        <f>IFERROR(VLOOKUP($A54,Results_30d_Deltas!$A$2:$H$5000,6,FALSE),"")</f>
        <v/>
      </c>
      <c r="L5" s="0" t="inlineStr">
        <is>
          <t>NO</t>
        </is>
      </c>
      <c r="M5" s="78" t="n">
        <v>-2.322642982928006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c r="IN5" s="81" t="inlineStr">
        <is>
          <t>SUSPICIOUS n=0 for crypto_long — keep, needs S1 fills (backtest-expert: &lt;30 trades, seek plateaus, punish)</t>
        </is>
      </c>
    </row>
    <row r="6" ht="10.5" customHeight="1" s="67">
      <c r="A6" s="0" t="inlineStr">
        <is>
          <t>MAX_AUGMENTS_PER_POSITION</t>
        </is>
      </c>
      <c r="B6" s="77" t="inlineStr">
        <is>
          <t>2</t>
        </is>
      </c>
      <c r="G6" s="0">
        <f>IFERROR(VLOOKUP($A56&amp;"_"&amp;$B56,Results_Deltas!$A$2:$P$15000,5,FALSE),"")</f>
        <v/>
      </c>
      <c r="H6" s="0">
        <f>IFERROR(VLOOKUP($A56,Results_30d_Deltas!$A$2:$H$5000,7,FALSE)-E55,"")</f>
        <v/>
      </c>
      <c r="I6" s="0">
        <f>IFERROR(VLOOKUP($A56,Results_30d_Deltas!$A$2:$H$5000,6,FALSE),"")</f>
        <v/>
      </c>
      <c r="L6" s="0" t="inlineStr">
        <is>
          <t>NO</t>
        </is>
      </c>
      <c r="M6" s="78" t="n">
        <v>-2.207294316933257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c r="IN6" s="81" t="inlineStr">
        <is>
          <t>SUSPICIOUS n=0 for crypto_long — keep, needs S1 fills (backtest-expert: &lt;30 trades, seek plateaus, punish)</t>
        </is>
      </c>
    </row>
    <row r="7" ht="10.5" customHeight="1" s="67">
      <c r="A7" s="0" t="inlineStr">
        <is>
          <t>MAX_AUGMENTS_PER_POSITION</t>
        </is>
      </c>
      <c r="B7" s="77" t="inlineStr">
        <is>
          <t>999999</t>
        </is>
      </c>
      <c r="C7" s="0" t="inlineStr">
        <is>
          <t>0</t>
        </is>
      </c>
      <c r="L7" s="0" t="inlineStr">
        <is>
          <t>NO</t>
        </is>
      </c>
      <c r="M7" s="79" t="n">
        <v>-2.207294316933257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c r="IN7" s="83" t="inlineStr">
        <is>
          <t>SUSPICIOUS n=0 for crypto_long — keep, needs S1 fills (backtest-expert: &lt;30 trades, seek plateaus, punish)</t>
        </is>
      </c>
    </row>
    <row r="8" ht="10.5" customHeight="1" s="67">
      <c r="A8" s="0" t="inlineStr">
        <is>
          <t>MAX_AUGMENTS_PER_POSITION</t>
        </is>
      </c>
      <c r="B8" s="77" t="inlineStr">
        <is>
          <t>10</t>
        </is>
      </c>
      <c r="C8" s="0" t="n"/>
      <c r="L8" s="0" t="inlineStr">
        <is>
          <t>NO</t>
        </is>
      </c>
      <c r="M8" s="79" t="n">
        <v>-2.207294316933257</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c r="IN8" s="83" t="inlineStr">
        <is>
          <t>SUSPICIOUS n=0 for crypto_long — keep, needs S1 fills (backtest-expert: &lt;30 trades, seek plateaus, punish)</t>
        </is>
      </c>
    </row>
    <row r="9" ht="10.5" customHeight="1" s="67">
      <c r="A9" s="93" t="inlineStr">
        <is>
          <t>AUGMENT_BULL_KILL_ENABLED</t>
        </is>
      </c>
      <c r="B9" s="93"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MIN_HOLD_BARS_BEFORE_EXIT</t>
        </is>
      </c>
      <c r="B3" s="94" t="inlineStr">
        <is>
          <t>40</t>
        </is>
      </c>
      <c r="G3" s="0">
        <f>IFERROR(VLOOKUP($A5&amp;"_"&amp;$B5,Results_Deltas!$A$2:$P$15000,5,FALSE),"")</f>
        <v/>
      </c>
      <c r="H3" s="0">
        <f>IFERROR(VLOOKUP($A5,Results_30d_Deltas!$A$2:$H$5000,7,FALSE)-E4,"")</f>
        <v/>
      </c>
      <c r="I3" s="0">
        <f>IFERROR(VLOOKUP($A5,Results_30d_Deltas!$A$2:$H$5000,6,FALSE),"")</f>
        <v/>
      </c>
      <c r="L3" s="0" t="inlineStr">
        <is>
          <t>NO</t>
        </is>
      </c>
      <c r="M3" s="78" t="n">
        <v>-3.668522959954681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ez_manage.py:4990 top()</t>
        </is>
      </c>
      <c r="IL3" s="0" t="inlineStr">
        <is>
          <t>v12_quick_engine.py:2309 x7</t>
        </is>
      </c>
      <c r="IN3" s="81" t="inlineStr">
        <is>
          <t>SUSPICIOUS n=0 for crypto_long — keep, needs S1 fills (backtest-expert: &lt;30 trades, seek plateaus, punish)</t>
        </is>
      </c>
    </row>
    <row r="4" ht="10.5" customHeight="1" s="67">
      <c r="A4" s="0" t="inlineStr">
        <is>
          <t>MIN_HOLD_BARS_BEFORE_EXIT</t>
        </is>
      </c>
      <c r="B4" s="77" t="inlineStr">
        <is>
          <t>32</t>
        </is>
      </c>
      <c r="G4" s="0">
        <f>IFERROR(VLOOKUP($A12&amp;"_"&amp;$B12,Results_Deltas!$A$2:$P$15000,5,FALSE),"")</f>
        <v/>
      </c>
      <c r="H4" s="0">
        <f>IFERROR(VLOOKUP($A12,Results_30d_Deltas!$A$2:$H$5000,7,FALSE)-E11,"")</f>
        <v/>
      </c>
      <c r="I4" s="0">
        <f>IFERROR(VLOOKUP($A12,Results_30d_Deltas!$A$2:$H$5000,6,FALSE),"")</f>
        <v/>
      </c>
      <c r="L4" s="0" t="inlineStr">
        <is>
          <t>NO</t>
        </is>
      </c>
      <c r="M4" s="78" t="n">
        <v>-3.156340816276134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ez_manage.py:4990 top()</t>
        </is>
      </c>
      <c r="IL4" s="0" t="inlineStr">
        <is>
          <t>v12_quick_engine.py:2309 x7</t>
        </is>
      </c>
      <c r="IN4" s="81" t="inlineStr">
        <is>
          <t>SUSPICIOUS n=0 for crypto_long — keep, needs S1 fills (backtest-expert: &lt;30 trades, seek plateaus, punish)</t>
        </is>
      </c>
    </row>
    <row r="5" ht="10.5" customHeight="1" s="67">
      <c r="A5" s="90" t="inlineStr">
        <is>
          <t>BREAKEVEN_GAIN_EROSION_ENABLED</t>
        </is>
      </c>
      <c r="B5" s="91" t="inlineStr">
        <is>
          <t>True</t>
        </is>
      </c>
      <c r="G5" s="0">
        <f>IFERROR(VLOOKUP($A53&amp;"_"&amp;$B53,Results_Deltas!$A$2:$P$15000,5,FALSE),"")</f>
        <v/>
      </c>
      <c r="H5" s="0">
        <f>IFERROR(VLOOKUP($A53,Results_30d_Deltas!$A$2:$H$5000,7,FALSE)-E52,"")</f>
        <v/>
      </c>
      <c r="I5" s="0">
        <f>IFERROR(VLOOKUP($A53,Results_30d_Deltas!$A$2:$H$5000,6,FALSE),"")</f>
        <v/>
      </c>
      <c r="L5" s="0" t="inlineStr">
        <is>
          <t>NO</t>
        </is>
      </c>
      <c r="M5" s="78" t="n">
        <v>-1.856453734538065</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80" t="n"/>
      <c r="HT5" s="80" t="n"/>
      <c r="HU5" s="80" t="n"/>
      <c r="HV5" s="80" t="n"/>
      <c r="HW5" s="80" t="n"/>
      <c r="HX5" s="79" t="n"/>
      <c r="HY5" s="79" t="n"/>
      <c r="HZ5" s="79" t="n"/>
      <c r="IA5" s="79" t="n"/>
      <c r="IB5" s="79" t="n"/>
      <c r="IC5" s="79" t="n"/>
      <c r="ID5" s="79" t="n"/>
      <c r="IE5" s="79" t="n"/>
      <c r="IF5" s="79" t="n"/>
      <c r="IG5" s="79" t="n"/>
      <c r="IH5" s="79" t="n"/>
      <c r="II5" s="79" t="n"/>
      <c r="IK5" s="0" t="inlineStr">
        <is>
          <t>ez_manage.py:4400 top()</t>
        </is>
      </c>
      <c r="IL5" s="0" t="inlineStr">
        <is>
          <t>v12_quick_engine.py:341 x8</t>
        </is>
      </c>
      <c r="IN5" s="81" t="inlineStr">
        <is>
          <t>SUSPICIOUS n=0 for crypto_long — keep, needs S1 fills (backtest-expert: &lt;30 trades, seek plateaus, punish)</t>
        </is>
      </c>
    </row>
    <row r="6" ht="10.5" customHeight="1" s="67">
      <c r="A6" s="31" t="inlineStr">
        <is>
          <t>BREAKEVEN_GAIN_EROSION_ENABLED</t>
        </is>
      </c>
      <c r="B6" s="72" t="inlineStr">
        <is>
          <t>False</t>
        </is>
      </c>
      <c r="C6" s="30" t="n"/>
      <c r="D6" s="30" t="n"/>
      <c r="E6" s="30" t="n"/>
      <c r="F6" s="30" t="n"/>
      <c r="G6" s="30">
        <f>IFERROR(VLOOKUP($A25&amp;"_"&amp;$B25,Results_Deltas!$A$2:$P$15000,5,FALSE),"")</f>
        <v/>
      </c>
      <c r="H6" s="30">
        <f>IFERROR(VLOOKUP($A25,Results_30d_Deltas!$A$2:$H$5000,7,FALSE)-E24,"")</f>
        <v/>
      </c>
      <c r="I6" s="30">
        <f>IFERROR(VLOOKUP($A25,Results_30d_Deltas!$A$2:$H$5000,6,FALSE),"")</f>
        <v/>
      </c>
      <c r="J6" s="30" t="n"/>
      <c r="K6" s="30" t="n"/>
      <c r="L6" s="30" t="inlineStr">
        <is>
          <t>NO</t>
        </is>
      </c>
      <c r="M6" s="33" t="n">
        <v>-2.78995756734819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4" t="n"/>
      <c r="HT6" s="34" t="n"/>
      <c r="HU6" s="34" t="n"/>
      <c r="HV6" s="34" t="n"/>
      <c r="HW6" s="34" t="n"/>
      <c r="HX6" s="33" t="n"/>
      <c r="HY6" s="33" t="n"/>
      <c r="HZ6" s="33" t="n"/>
      <c r="IA6" s="33" t="n"/>
      <c r="IB6" s="33" t="n"/>
      <c r="IC6" s="33" t="n"/>
      <c r="ID6" s="33" t="n"/>
      <c r="IE6" s="33" t="n"/>
      <c r="IF6" s="33" t="n"/>
      <c r="IG6" s="33" t="n"/>
      <c r="IH6" s="33" t="n"/>
      <c r="II6" s="33" t="n"/>
      <c r="IJ6" s="30" t="n"/>
      <c r="IK6" s="30" t="inlineStr">
        <is>
          <t>ez_manage.py:4400 top()</t>
        </is>
      </c>
      <c r="IL6" s="30" t="inlineStr">
        <is>
          <t>v12_quick_engine.py:341 x8</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WT_PERCENTILE_EXIT_OB_4H</t>
        </is>
      </c>
      <c r="B3" s="94" t="inlineStr">
        <is>
          <t>1.0</t>
        </is>
      </c>
      <c r="G3" s="0">
        <f>IFERROR(VLOOKUP($A99&amp;"_"&amp;$B99,Results_Deltas!$A$2:$P$15000,5,FALSE),"")</f>
        <v/>
      </c>
      <c r="H3" s="0">
        <f>IFERROR(VLOOKUP($A99,Results_30d_Deltas!$A$2:$H$5000,7,FALSE)-E98,"")</f>
        <v/>
      </c>
      <c r="I3" s="0">
        <f>IFERROR(VLOOKUP($A99,Results_30d_Deltas!$A$2:$H$5000,6,FALSE),"")</f>
        <v/>
      </c>
      <c r="L3" s="0" t="inlineStr">
        <is>
          <t>NO</t>
        </is>
      </c>
      <c r="M3" s="78" t="n">
        <v>-2.288832208676768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ez_manage.py:5928 top()</t>
        </is>
      </c>
      <c r="IL3" s="0" t="inlineStr">
        <is>
          <t>v12_quick_engine.py:3768 x5</t>
        </is>
      </c>
    </row>
    <row r="4" ht="10.5" customHeight="1" s="67">
      <c r="A4" s="30" t="inlineStr">
        <is>
          <t>WT_PERCENTILE_EXIT_OB_4H</t>
        </is>
      </c>
      <c r="B4" s="72" t="inlineStr">
        <is>
          <t>0.5</t>
        </is>
      </c>
      <c r="C4" s="30" t="n"/>
      <c r="D4" s="30" t="n"/>
      <c r="E4" s="30" t="n"/>
      <c r="F4" s="30" t="n"/>
      <c r="G4" s="30">
        <f>IFERROR(VLOOKUP($A64&amp;"_"&amp;$B64,Results_Deltas!$A$2:$P$15000,5,FALSE),"")</f>
        <v/>
      </c>
      <c r="H4" s="30">
        <f>IFERROR(VLOOKUP($A64,Results_30d_Deltas!$A$2:$H$5000,7,FALSE)-E63,"")</f>
        <v/>
      </c>
      <c r="I4" s="30">
        <f>IFERROR(VLOOKUP($A64,Results_30d_Deltas!$A$2:$H$5000,6,FALSE),"")</f>
        <v/>
      </c>
      <c r="J4" s="30" t="n"/>
      <c r="K4" s="30" t="n"/>
      <c r="L4" s="30" t="inlineStr">
        <is>
          <t>NO</t>
        </is>
      </c>
      <c r="M4" s="33" t="n">
        <v>-2.68292558089124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ez_manage.py:5928 top()</t>
        </is>
      </c>
      <c r="IL4" s="30" t="inlineStr">
        <is>
          <t>v12_quick_engine.py:3768 x5</t>
        </is>
      </c>
      <c r="IM4" s="30" t="n"/>
    </row>
    <row r="5" ht="10.5" customHeight="1" s="67">
      <c r="A5" s="90" t="inlineStr">
        <is>
          <t>WT_EXHAUST_EXIT_MIN_GAIN_PCT</t>
        </is>
      </c>
      <c r="B5" s="91" t="inlineStr">
        <is>
          <t>1.0</t>
        </is>
      </c>
      <c r="G5" s="0">
        <f>IFERROR(VLOOKUP($A65&amp;"_"&amp;$B65,Results_Deltas!$A$2:$P$15000,5,FALSE),"")</f>
        <v/>
      </c>
      <c r="H5" s="0">
        <f>IFERROR(VLOOKUP($A65,Results_30d_Deltas!$A$2:$H$5000,7,FALSE)-E64,"")</f>
        <v/>
      </c>
      <c r="I5" s="0">
        <f>IFERROR(VLOOKUP($A65,Results_30d_Deltas!$A$2:$H$5000,6,FALSE),"")</f>
        <v/>
      </c>
      <c r="L5" s="0" t="inlineStr">
        <is>
          <t>NO</t>
        </is>
      </c>
      <c r="M5" s="78" t="n">
        <v>-2.673445910769082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ez_manage.py:5916 top()</t>
        </is>
      </c>
      <c r="IL5" s="0" t="inlineStr">
        <is>
          <t>v12_quick_engine.py:3752 x3</t>
        </is>
      </c>
      <c r="IN5" s="81" t="inlineStr">
        <is>
          <t>SUSPICIOUS n=0 for crypto_long — keep, needs S1 fills (backtest-expert: &lt;30 trades, seek plateaus, punish)</t>
        </is>
      </c>
    </row>
    <row r="6" ht="10.5" customHeight="1" s="67">
      <c r="A6" s="30" t="inlineStr">
        <is>
          <t>WT_EXHAUST_EXIT_MIN_GAIN_PCT</t>
        </is>
      </c>
      <c r="B6" s="72" t="inlineStr">
        <is>
          <t>2.0</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-3.154077889396295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ez_manage.py:5916 top()</t>
        </is>
      </c>
      <c r="IL6" s="30" t="inlineStr">
        <is>
          <t>v12_quick_engine.py:3752 x3</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BLACKLIST_SYMBOLS</t>
        </is>
      </c>
      <c r="B3" s="94" t="inlineStr">
        <is>
          <t>()</t>
        </is>
      </c>
      <c r="G3" s="0">
        <f>IFERROR(VLOOKUP($A13&amp;"_"&amp;$B13,Results_Deltas!$A$2:$P$15000,5,FALSE),"")</f>
        <v/>
      </c>
      <c r="H3" s="0">
        <f>IFERROR(VLOOKUP($A13,Results_30d_Deltas!$A$2:$H$5000,7,FALSE)-E12,"")</f>
        <v/>
      </c>
      <c r="I3" s="0">
        <f>IFERROR(VLOOKUP($A13,Results_30d_Deltas!$A$2:$H$5000,6,FALSE),"")</f>
        <v/>
      </c>
      <c r="L3" s="0" t="inlineStr">
        <is>
          <t>NO</t>
        </is>
      </c>
      <c r="M3" s="78" t="n">
        <v>-2.821019198811836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ez_manage.py:4377 top()</t>
        </is>
      </c>
      <c r="IL3" s="0" t="inlineStr">
        <is>
          <t>v12_quick_engine.py:3798 x5</t>
        </is>
      </c>
    </row>
    <row r="4" ht="10.5" customHeight="1" s="67">
      <c r="A4" s="90" t="inlineStr">
        <is>
          <t>EXECUTE_NOW_MAX_MARK_AGE_S</t>
        </is>
      </c>
      <c r="B4" s="91" t="inlineStr">
        <is>
          <t>75.0</t>
        </is>
      </c>
      <c r="G4" s="0">
        <f>IFERROR(VLOOKUP($A16&amp;"_"&amp;$B16,Results_Deltas!$A$2:$P$15000,5,FALSE),"")</f>
        <v/>
      </c>
      <c r="H4" s="0">
        <f>IFERROR(VLOOKUP($A16,Results_30d_Deltas!$A$2:$H$5000,7,FALSE)-E15,"")</f>
        <v/>
      </c>
      <c r="I4" s="0">
        <f>IFERROR(VLOOKUP($A16,Results_30d_Deltas!$A$2:$H$5000,6,FALSE),"")</f>
        <v/>
      </c>
      <c r="L4" s="0" t="inlineStr">
        <is>
          <t>NO</t>
        </is>
      </c>
      <c r="M4" s="78" t="n">
        <v>-2.673284032830817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ez_manage.py:4656 top()</t>
        </is>
      </c>
      <c r="IL4" s="0" t="inlineStr">
        <is>
          <t>v12_quick_engine.py:3868 x1</t>
        </is>
      </c>
    </row>
    <row r="5" ht="10.5" customHeight="1" s="67">
      <c r="A5" s="30" t="inlineStr">
        <is>
          <t>EXECUTE_NOW_MAX_MARK_AGE_S</t>
        </is>
      </c>
      <c r="B5" s="72" t="inlineStr">
        <is>
          <t>30.0</t>
        </is>
      </c>
      <c r="C5" s="30" t="n"/>
      <c r="D5" s="30" t="n"/>
      <c r="E5" s="30" t="n"/>
      <c r="F5" s="30" t="n"/>
      <c r="G5" s="30">
        <f>IFERROR(VLOOKUP($A12&amp;"_"&amp;$B12,Results_Deltas!$A$2:$P$15000,5,FALSE),"")</f>
        <v/>
      </c>
      <c r="H5" s="30">
        <f>IFERROR(VLOOKUP($A12,Results_30d_Deltas!$A$2:$H$5000,7,FALSE)-E11,"")</f>
        <v/>
      </c>
      <c r="I5" s="30">
        <f>IFERROR(VLOOKUP($A12,Results_30d_Deltas!$A$2:$H$5000,6,FALSE),"")</f>
        <v/>
      </c>
      <c r="J5" s="30" t="n"/>
      <c r="K5" s="30" t="n"/>
      <c r="L5" s="30" t="inlineStr">
        <is>
          <t>NO</t>
        </is>
      </c>
      <c r="M5" s="33" t="n">
        <v>-2.936612419544623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ez_manage.py:4656 top()</t>
        </is>
      </c>
      <c r="IL5" s="30" t="inlineStr">
        <is>
          <t>v12_quick_engine.py:3868 x1</t>
        </is>
      </c>
      <c r="IM5" s="30" t="n"/>
    </row>
    <row r="6" ht="10.5" customHeight="1" s="67">
      <c r="A6" s="90" t="inlineStr">
        <is>
          <t>TRADES_PER_SYM_PER_DAY_MAX</t>
        </is>
      </c>
      <c r="B6" s="91" t="inlineStr">
        <is>
          <t>12</t>
        </is>
      </c>
      <c r="G6" s="0">
        <f>IFERROR(VLOOKUP($A13&amp;"_"&amp;$B13,Results_Deltas!$A$2:$P$15000,5,FALSE),"")</f>
        <v/>
      </c>
      <c r="H6" s="0">
        <f>IFERROR(VLOOKUP($A13,Results_30d_Deltas!$A$2:$H$5000,7,FALSE)-E12,"")</f>
        <v/>
      </c>
      <c r="I6" s="0">
        <f>IFERROR(VLOOKUP($A13,Results_30d_Deltas!$A$2:$H$5000,6,FALSE),"")</f>
        <v/>
      </c>
      <c r="L6" s="0" t="inlineStr">
        <is>
          <t>NO</t>
        </is>
      </c>
      <c r="M6" s="78" t="n">
        <v>-2.955557239818937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ez_manage.py:4116 top()</t>
        </is>
      </c>
      <c r="IL6" s="0" t="inlineStr">
        <is>
          <t>v12_quick_engine.py:3383 x1</t>
        </is>
      </c>
    </row>
    <row r="7" ht="10.5" customHeight="1" s="67">
      <c r="A7" s="30" t="inlineStr">
        <is>
          <t>TRADES_PER_SYM_PER_DAY_MAX</t>
        </is>
      </c>
      <c r="B7" s="72" t="inlineStr">
        <is>
          <t>10</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NO</t>
        </is>
      </c>
      <c r="M7" s="33" t="n">
        <v>-3.111089456918824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90" t="inlineStr">
        <is>
          <t>RECENT_REDUCTION_GUARD_ENABLED</t>
        </is>
      </c>
      <c r="B8" s="91" t="inlineStr">
        <is>
          <t>False</t>
        </is>
      </c>
      <c r="G8" s="0">
        <f>IFERROR(VLOOKUP($A19&amp;"_"&amp;$B19,Results_Deltas!$A$2:$P$15000,5,FALSE),"")</f>
        <v/>
      </c>
      <c r="H8" s="0">
        <f>IFERROR(VLOOKUP($A19,Results_30d_Deltas!$A$2:$H$5000,7,FALSE)-E18,"")</f>
        <v/>
      </c>
      <c r="I8" s="0">
        <f>IFERROR(VLOOKUP($A19,Results_30d_Deltas!$A$2:$H$5000,6,FALSE),"")</f>
        <v/>
      </c>
      <c r="L8" s="0" t="inlineStr">
        <is>
          <t>NO</t>
        </is>
      </c>
      <c r="M8" s="78" t="n">
        <v>-2.358676815566322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IFERROR(VLOOKUP($A28&amp;"_"&amp;$B28,Results_Deltas!$A$2:$P$15000,5,FALSE),"")</f>
        <v/>
      </c>
      <c r="H9" s="30">
        <f>IFERROR(VLOOKUP($A28,Results_30d_Deltas!$A$2:$H$5000,7,FALSE)-E27,"")</f>
        <v/>
      </c>
      <c r="I9" s="30">
        <f>IFERROR(VLOOKUP($A28,Results_30d_Deltas!$A$2:$H$5000,6,FALSE),"")</f>
        <v/>
      </c>
      <c r="J9" s="30" t="n"/>
      <c r="K9" s="30" t="n"/>
      <c r="L9" s="30" t="inlineStr">
        <is>
          <t>YES</t>
        </is>
      </c>
      <c r="M9" s="33" t="n">
        <v>-1.318221480692916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93" t="inlineStr">
        <is>
          <t>RECENT_REDUCTION_GUARD_WINDOW_S</t>
        </is>
      </c>
      <c r="B10" s="94" t="inlineStr">
        <is>
          <t>1350.0</t>
        </is>
      </c>
      <c r="G10" s="0">
        <f>IFERROR(VLOOKUP($A8&amp;"_"&amp;$B8,Results_Deltas!$A$2:$P$15000,5,FALSE),"")</f>
        <v/>
      </c>
      <c r="H10" s="0">
        <f>IFERROR(VLOOKUP($A8,Results_30d_Deltas!$A$2:$H$5000,7,FALSE)-E7,"")</f>
        <v/>
      </c>
      <c r="I10" s="0">
        <f>IFERROR(VLOOKUP($A8,Results_30d_Deltas!$A$2:$H$5000,6,FALSE),"")</f>
        <v/>
      </c>
      <c r="L10" s="0" t="inlineStr">
        <is>
          <t>NO</t>
        </is>
      </c>
      <c r="M10" s="78" t="n">
        <v>-3.130669029695726</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ez_manage.py:5266 top()</t>
        </is>
      </c>
      <c r="IL10" s="0" t="inlineStr">
        <is>
          <t>v12_quick_engine.py:4016 x1</t>
        </is>
      </c>
    </row>
    <row r="11" ht="10.5" customHeight="1" s="67">
      <c r="A11" s="30" t="inlineStr">
        <is>
          <t>RECENT_REDUCTION_GUARD_WINDOW_S</t>
        </is>
      </c>
      <c r="B11" s="72" t="inlineStr">
        <is>
          <t>1125.0</t>
        </is>
      </c>
      <c r="C11" s="30" t="n"/>
      <c r="D11" s="30" t="n"/>
      <c r="E11" s="30" t="n"/>
      <c r="F11" s="30" t="n"/>
      <c r="G11" s="30">
        <f>IFERROR(VLOOKUP($A9&amp;"_"&amp;$B9,Results_Deltas!$A$2:$P$15000,5,FALSE),"")</f>
        <v/>
      </c>
      <c r="H11" s="30">
        <f>IFERROR(VLOOKUP($A9,Results_30d_Deltas!$A$2:$H$5000,7,FALSE)-E8,"")</f>
        <v/>
      </c>
      <c r="I11" s="30">
        <f>IFERROR(VLOOKUP($A9,Results_30d_Deltas!$A$2:$H$5000,6,FALSE),"")</f>
        <v/>
      </c>
      <c r="J11" s="30" t="n"/>
      <c r="K11" s="30" t="n"/>
      <c r="L11" s="30" t="inlineStr">
        <is>
          <t>NO</t>
        </is>
      </c>
      <c r="M11" s="33" t="n">
        <v>-3.12533661082154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ez_manage.py:5266 top()</t>
        </is>
      </c>
      <c r="IL11" s="30" t="inlineStr">
        <is>
          <t>v12_quick_engine.py:4016 x1</t>
        </is>
      </c>
      <c r="IM11" s="30" t="n"/>
    </row>
    <row r="12" ht="10.5" customHeight="1" s="67">
      <c r="A12" s="90" t="inlineStr">
        <is>
          <t>COUNTER_TREND_SMA200_BYPASS_ENABLED</t>
        </is>
      </c>
      <c r="B12" s="91" t="inlineStr">
        <is>
          <t>False</t>
        </is>
      </c>
      <c r="G12" s="0">
        <f>IFERROR(VLOOKUP($A24&amp;"_"&amp;$B24,Results_Deltas!$A$2:$P$15000,5,FALSE),"")</f>
        <v/>
      </c>
      <c r="H12" s="0">
        <f>IFERROR(VLOOKUP($A24,Results_30d_Deltas!$A$2:$H$5000,7,FALSE)-E23,"")</f>
        <v/>
      </c>
      <c r="I12" s="0">
        <f>IFERROR(VLOOKUP($A24,Results_30d_Deltas!$A$2:$H$5000,6,FALSE),"")</f>
        <v/>
      </c>
      <c r="L12" s="0" t="inlineStr">
        <is>
          <t>NO</t>
        </is>
      </c>
      <c r="M12" s="78" t="n">
        <v>-2.319451442451342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80" t="n"/>
      <c r="HE12" s="80" t="n"/>
      <c r="HF12" s="80" t="n"/>
      <c r="HG12" s="80" t="n"/>
      <c r="HH12" s="80"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ez_manage.py:3056 top()</t>
        </is>
      </c>
      <c r="IL12" s="0" t="inlineStr">
        <is>
          <t>v12_quick_engine.py:1470 x6</t>
        </is>
      </c>
    </row>
    <row r="13" ht="10.5" customHeight="1" s="67">
      <c r="A13" s="31" t="inlineStr">
        <is>
          <t>COUNTER_TREND_SMA200_BYPASS_ENABLED</t>
        </is>
      </c>
      <c r="B13" s="72" t="inlineStr">
        <is>
          <t>True</t>
        </is>
      </c>
      <c r="C13" s="30" t="n"/>
      <c r="D13" s="30" t="n"/>
      <c r="E13" s="30" t="n"/>
      <c r="F13" s="30" t="n"/>
      <c r="G13" s="30">
        <f>IFERROR(VLOOKUP($A33&amp;"_"&amp;$B33,Results_Deltas!$A$2:$P$15000,5,FALSE),"")</f>
        <v/>
      </c>
      <c r="H13" s="30">
        <f>IFERROR(VLOOKUP($A33,Results_30d_Deltas!$A$2:$H$5000,7,FALSE)-E32,"")</f>
        <v/>
      </c>
      <c r="I13" s="30">
        <f>IFERROR(VLOOKUP($A33,Results_30d_Deltas!$A$2:$H$5000,6,FALSE),"")</f>
        <v/>
      </c>
      <c r="J13" s="30" t="n"/>
      <c r="K13" s="30" t="n"/>
      <c r="L13" s="30" t="inlineStr">
        <is>
          <t>YES</t>
        </is>
      </c>
      <c r="M13" s="33" t="n">
        <v>-1.289729049722624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90" t="inlineStr">
        <is>
          <t>UNIVERSAL_NOLOSS_GATE</t>
        </is>
      </c>
      <c r="B14" s="91" t="inlineStr">
        <is>
          <t>True</t>
        </is>
      </c>
      <c r="G14" s="0">
        <f>IFERROR(VLOOKUP($A18&amp;"_"&amp;$B18,Results_Deltas!$A$2:$P$15000,5,FALSE),"")</f>
        <v/>
      </c>
      <c r="H14" s="0">
        <f>IFERROR(VLOOKUP($A18,Results_30d_Deltas!$A$2:$H$5000,7,FALSE)-E17,"")</f>
        <v/>
      </c>
      <c r="I14" s="0">
        <f>IFERROR(VLOOKUP($A18,Results_30d_Deltas!$A$2:$H$5000,6,FALSE),"")</f>
        <v/>
      </c>
      <c r="L14" s="0" t="inlineStr">
        <is>
          <t>NO</t>
        </is>
      </c>
      <c r="M14" s="78" t="n">
        <v>-2.361576748762993</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80" t="n"/>
      <c r="HE14" s="80" t="n"/>
      <c r="HF14" s="80" t="n"/>
      <c r="HG14" s="80" t="n"/>
      <c r="HH14" s="80"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ez_manage.py:4233 top()</t>
        </is>
      </c>
      <c r="IL14" s="0" t="inlineStr">
        <is>
          <t>v12_quick_engine.py:837 x18</t>
        </is>
      </c>
    </row>
    <row r="15" ht="10.5" customHeight="1" s="67">
      <c r="A15" s="0" t="inlineStr">
        <is>
          <t>UNIVERSAL_NOLOSS_GATE</t>
        </is>
      </c>
      <c r="B15" s="77" t="inlineStr">
        <is>
          <t>False</t>
        </is>
      </c>
      <c r="G15" s="0">
        <f>IFERROR(VLOOKUP($A36&amp;"="&amp;$B36,Results_Deltas!$A$2:$P$15000,5,FALSE),"")</f>
        <v/>
      </c>
      <c r="H15" s="0">
        <f>IFERROR(VLOOKUP($A36,Results_30d_Deltas!$A$2:$H$5000,7,FALSE)-E36,"")</f>
        <v/>
      </c>
      <c r="I15" s="0">
        <f>IFERROR(VLOOKUP($A36,Results_30d_Deltas!$A$2:$H$5000,6,FALSE),"")</f>
        <v/>
      </c>
      <c r="L15" s="0" t="inlineStr">
        <is>
          <t>YES</t>
        </is>
      </c>
      <c r="M15" s="78" t="n">
        <v>-0.8341172090251789</v>
      </c>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c r="BL15" s="79" t="n"/>
      <c r="BM15" s="79" t="n"/>
      <c r="BN15" s="79" t="n"/>
      <c r="BO15" s="79" t="n"/>
      <c r="BP15" s="79" t="n"/>
      <c r="BQ15" s="79" t="n"/>
      <c r="BR15" s="79" t="n"/>
      <c r="BS15" s="79" t="n"/>
      <c r="BT15" s="79" t="n"/>
      <c r="BU15" s="79" t="n"/>
      <c r="BV15" s="79" t="n"/>
      <c r="BW15" s="79" t="n"/>
      <c r="BX15" s="79" t="n"/>
      <c r="BY15" s="79" t="n"/>
      <c r="BZ15" s="79" t="n"/>
      <c r="CA15" s="79" t="n"/>
      <c r="CB15" s="79" t="n"/>
      <c r="CC15" s="79" t="n"/>
      <c r="CD15" s="79" t="n"/>
      <c r="CE15" s="79" t="n"/>
      <c r="CF15" s="79" t="n"/>
      <c r="CG15" s="79" t="n"/>
      <c r="CH15" s="79" t="n"/>
      <c r="CI15" s="79" t="n"/>
      <c r="CJ15" s="79" t="n"/>
      <c r="CK15" s="79" t="n"/>
      <c r="CL15" s="79" t="n"/>
      <c r="CM15" s="79" t="n"/>
      <c r="CN15" s="79" t="n"/>
      <c r="CO15" s="79" t="n"/>
      <c r="CP15" s="79" t="n"/>
      <c r="CQ15" s="79" t="n"/>
      <c r="CR15" s="79" t="n"/>
      <c r="CS15" s="79" t="n"/>
      <c r="CT15" s="79" t="n"/>
      <c r="CU15" s="79" t="n"/>
      <c r="CV15" s="79" t="n"/>
      <c r="CW15" s="79" t="n"/>
      <c r="CX15" s="79" t="n"/>
      <c r="CY15" s="79" t="n"/>
      <c r="CZ15" s="79" t="n"/>
      <c r="DA15" s="79" t="n"/>
      <c r="DB15" s="79" t="n"/>
      <c r="DC15" s="79" t="n"/>
      <c r="DD15" s="79" t="n"/>
      <c r="DE15" s="79" t="n"/>
      <c r="DF15" s="79" t="n"/>
      <c r="DG15" s="79" t="n"/>
      <c r="DH15" s="79" t="n"/>
      <c r="DI15" s="79" t="n"/>
      <c r="DJ15" s="79" t="n"/>
      <c r="DK15" s="79" t="n"/>
      <c r="DL15" s="79" t="n"/>
      <c r="DM15" s="79" t="n"/>
      <c r="DN15" s="79" t="n"/>
      <c r="DO15" s="79" t="n"/>
      <c r="DP15" s="79" t="n"/>
      <c r="DQ15" s="79" t="n"/>
      <c r="DR15" s="79" t="n"/>
      <c r="DS15" s="79" t="n"/>
      <c r="DT15" s="79" t="n"/>
      <c r="DU15" s="79" t="n"/>
      <c r="DV15" s="79" t="n"/>
      <c r="DW15" s="79" t="n"/>
      <c r="DX15" s="79" t="n"/>
      <c r="DY15" s="79" t="n"/>
      <c r="DZ15" s="79" t="n"/>
      <c r="EA15" s="79" t="n"/>
      <c r="EB15" s="79" t="n"/>
      <c r="EC15" s="79" t="n"/>
      <c r="ED15" s="79" t="n"/>
      <c r="EE15" s="79" t="n"/>
      <c r="EF15" s="79" t="n"/>
      <c r="EG15" s="79" t="n"/>
      <c r="EH15" s="79" t="n"/>
      <c r="EI15" s="79" t="n"/>
      <c r="EJ15" s="79" t="n"/>
      <c r="EK15" s="79" t="n"/>
      <c r="EL15" s="79" t="n"/>
      <c r="EM15" s="79" t="n"/>
      <c r="EN15" s="79" t="n"/>
      <c r="EO15" s="79" t="n"/>
      <c r="EP15" s="79" t="n"/>
      <c r="EQ15" s="79" t="n"/>
      <c r="ER15" s="79" t="n"/>
      <c r="ES15" s="79" t="n"/>
      <c r="ET15" s="79" t="n"/>
      <c r="EU15" s="79" t="n"/>
      <c r="EV15" s="79" t="n"/>
      <c r="EW15" s="79" t="n"/>
      <c r="EX15" s="79" t="n"/>
      <c r="EY15" s="79" t="n"/>
      <c r="EZ15" s="79" t="n"/>
      <c r="FA15" s="79" t="n"/>
      <c r="FB15" s="79" t="n"/>
      <c r="FC15" s="79" t="n"/>
      <c r="FD15" s="79" t="n"/>
      <c r="FE15" s="79" t="n"/>
      <c r="FF15" s="79" t="n"/>
      <c r="FG15" s="79" t="n"/>
      <c r="FH15" s="79" t="n"/>
      <c r="FI15" s="79" t="n"/>
      <c r="FJ15" s="79" t="n"/>
      <c r="FK15" s="79" t="n"/>
      <c r="FL15" s="79" t="n"/>
      <c r="FM15" s="79" t="n"/>
      <c r="FN15" s="79" t="n"/>
      <c r="FO15" s="79" t="n"/>
      <c r="FP15" s="79" t="n"/>
      <c r="FQ15" s="79" t="n"/>
      <c r="FR15" s="79" t="n"/>
      <c r="FS15" s="79" t="n"/>
      <c r="FT15" s="79" t="n"/>
      <c r="FU15" s="79" t="n"/>
      <c r="FV15" s="79" t="n"/>
      <c r="FW15" s="79" t="n"/>
      <c r="FX15" s="79" t="n"/>
      <c r="FY15" s="79" t="n"/>
      <c r="FZ15" s="79" t="n"/>
      <c r="GA15" s="79" t="n"/>
      <c r="GB15" s="79" t="n"/>
      <c r="GC15" s="79" t="n"/>
      <c r="GD15" s="79" t="n"/>
      <c r="GE15" s="79" t="n"/>
      <c r="GF15" s="79" t="n"/>
      <c r="GG15" s="79" t="n"/>
      <c r="GH15" s="79" t="n"/>
      <c r="GI15" s="79" t="n"/>
      <c r="GJ15" s="79" t="n"/>
      <c r="GK15" s="79" t="n"/>
      <c r="GL15" s="79" t="n"/>
      <c r="GM15" s="79" t="n"/>
      <c r="GN15" s="79" t="n"/>
      <c r="GO15" s="79" t="n"/>
      <c r="GP15" s="79" t="n"/>
      <c r="GQ15" s="79" t="n"/>
      <c r="GR15" s="79" t="n"/>
      <c r="GS15" s="79" t="n"/>
      <c r="GT15" s="79" t="n"/>
      <c r="GU15" s="79" t="n"/>
      <c r="GV15" s="79" t="n"/>
      <c r="GW15" s="79" t="n"/>
      <c r="GX15" s="79" t="n"/>
      <c r="GY15" s="79" t="n"/>
      <c r="GZ15" s="79" t="n"/>
      <c r="HA15" s="79" t="n"/>
      <c r="HB15" s="79" t="n"/>
      <c r="HC15" s="79" t="n"/>
      <c r="HD15" s="80" t="n"/>
      <c r="HE15" s="80" t="n"/>
      <c r="HF15" s="80" t="n"/>
      <c r="HG15" s="80" t="n"/>
      <c r="HH15" s="80" t="n"/>
      <c r="HI15" s="79" t="n"/>
      <c r="HJ15" s="79" t="n"/>
      <c r="HK15" s="79" t="n"/>
      <c r="HL15" s="79" t="n"/>
      <c r="HM15" s="79" t="n"/>
      <c r="HN15" s="79" t="n"/>
      <c r="HO15" s="79" t="n"/>
      <c r="HP15" s="79" t="n"/>
      <c r="HQ15" s="79" t="n"/>
      <c r="HR15" s="79" t="n"/>
      <c r="HS15" s="79" t="n"/>
      <c r="HT15" s="79" t="n"/>
      <c r="HU15" s="79" t="n"/>
      <c r="HV15" s="79" t="n"/>
      <c r="HW15" s="79" t="n"/>
      <c r="HX15" s="79" t="n"/>
      <c r="HY15" s="79" t="n"/>
      <c r="HZ15" s="79" t="n"/>
      <c r="IA15" s="79" t="n"/>
      <c r="IB15" s="79" t="n"/>
      <c r="IC15" s="79" t="n"/>
      <c r="ID15" s="79" t="n"/>
      <c r="IE15" s="79" t="n"/>
      <c r="IF15" s="79" t="n"/>
      <c r="IG15" s="79" t="n"/>
      <c r="IH15" s="79" t="n"/>
      <c r="II15" s="79" t="n"/>
      <c r="IK15" s="0" t="inlineStr">
        <is>
          <t>ez_manage.py:4233 top()</t>
        </is>
      </c>
      <c r="IL15" s="0" t="inlineStr">
        <is>
          <t>v12_quick_engine.py:837 x18</t>
        </is>
      </c>
    </row>
    <row r="16" ht="10.5" customHeight="1" s="67">
      <c r="A16" s="0" t="inlineStr">
        <is>
          <t>UNIVERSAL_NOLOSS_GATE</t>
        </is>
      </c>
      <c r="B16" s="77" t="inlineStr">
        <is>
          <t>False</t>
        </is>
      </c>
      <c r="G16" s="0">
        <f>IFERROR(VLOOKUP($A44&amp;"_"&amp;$B44,Results_Deltas!$A$2:$P$15000,5,FALSE),"")</f>
        <v/>
      </c>
      <c r="H16" s="0">
        <f>IFERROR(VLOOKUP($A45,Results_30d_Deltas!$A$2:$H$5000,7,FALSE)-E-166,"")</f>
        <v/>
      </c>
      <c r="I16" s="0">
        <f>IFERROR(VLOOKUP($A45,Results_30d_Deltas!$A$2:$H$5000,6,FALSE),"")</f>
        <v/>
      </c>
      <c r="L16" s="0" t="inlineStr">
        <is>
          <t>YES</t>
        </is>
      </c>
      <c r="M16" s="78" t="n">
        <v>-0.8341172090251789</v>
      </c>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79" t="n"/>
      <c r="CU16" s="79" t="n"/>
      <c r="CV16" s="79" t="n"/>
      <c r="CW16" s="79" t="n"/>
      <c r="CX16" s="79" t="n"/>
      <c r="CY16" s="79" t="n"/>
      <c r="CZ16" s="79" t="n"/>
      <c r="DA16" s="79" t="n"/>
      <c r="DB16" s="79" t="n"/>
      <c r="DC16" s="79" t="n"/>
      <c r="DD16" s="79" t="n"/>
      <c r="DE16" s="79" t="n"/>
      <c r="DF16" s="79" t="n"/>
      <c r="DG16" s="79" t="n"/>
      <c r="DH16" s="79" t="n"/>
      <c r="DI16" s="79" t="n"/>
      <c r="DJ16" s="79" t="n"/>
      <c r="DK16" s="79" t="n"/>
      <c r="DL16" s="79" t="n"/>
      <c r="DM16" s="79"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80" t="n"/>
      <c r="HE16" s="80" t="n"/>
      <c r="HF16" s="80" t="n"/>
      <c r="HG16" s="80" t="n"/>
      <c r="HH16" s="80"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ez_manage.py:4233 top()</t>
        </is>
      </c>
      <c r="IL16" s="0" t="inlineStr">
        <is>
          <t>v12_quick_engine.py:837 x18</t>
        </is>
      </c>
    </row>
    <row r="17" ht="10.5" customHeight="1" s="67">
      <c r="A17" s="90" t="inlineStr">
        <is>
          <t>OPEN_RATE_BREAKER_ENABLED</t>
        </is>
      </c>
      <c r="B17" s="91" t="inlineStr">
        <is>
          <t>False</t>
        </is>
      </c>
      <c r="G17" s="0">
        <f>IFERROR(VLOOKUP($A30&amp;"_"&amp;$B30,Results_Deltas!$A$2:$P$15000,5,FALSE),"")</f>
        <v/>
      </c>
      <c r="H17" s="0">
        <f>IFERROR(VLOOKUP($A30,Results_30d_Deltas!$A$2:$H$5000,7,FALSE)-E29,"")</f>
        <v/>
      </c>
      <c r="I17" s="0">
        <f>IFERROR(VLOOKUP($A30,Results_30d_Deltas!$A$2:$H$5000,6,FALSE),"")</f>
        <v/>
      </c>
      <c r="L17" s="0" t="inlineStr">
        <is>
          <t>NO</t>
        </is>
      </c>
      <c r="M17" s="78" t="n">
        <v>-1.96714267247498</v>
      </c>
      <c r="N17" s="79" t="n"/>
      <c r="O17" s="79" t="n"/>
      <c r="P17" s="79" t="n"/>
      <c r="Q17" s="79" t="n"/>
      <c r="R17" s="79" t="n"/>
      <c r="S17" s="79" t="n"/>
      <c r="T17" s="79" t="n"/>
      <c r="U17" s="79" t="n"/>
      <c r="V17" s="79" t="n"/>
      <c r="W17" s="79" t="n"/>
      <c r="X17" s="79" t="n"/>
      <c r="Y17" s="79" t="n"/>
      <c r="Z17" s="79" t="n"/>
      <c r="AA17" s="79" t="n"/>
      <c r="AB17" s="79" t="n"/>
      <c r="AC17" s="79" t="n"/>
      <c r="AD17" s="79" t="n"/>
      <c r="AE17" s="79" t="n"/>
      <c r="AF17" s="79" t="n"/>
      <c r="AG17" s="79" t="n"/>
      <c r="AH17" s="79" t="n"/>
      <c r="AI17" s="79" t="n"/>
      <c r="AJ17" s="79" t="n"/>
      <c r="AK17" s="79" t="n"/>
      <c r="AL17" s="79" t="n"/>
      <c r="AM17" s="79" t="n"/>
      <c r="AN17" s="79" t="n"/>
      <c r="AO17" s="79" t="n"/>
      <c r="AP17" s="79" t="n"/>
      <c r="AQ17" s="79" t="n"/>
      <c r="AR17" s="79" t="n"/>
      <c r="AS17" s="79" t="n"/>
      <c r="AT17" s="79" t="n"/>
      <c r="AU17" s="79" t="n"/>
      <c r="AV17" s="79" t="n"/>
      <c r="AW17" s="79" t="n"/>
      <c r="AX17" s="79" t="n"/>
      <c r="AY17" s="79" t="n"/>
      <c r="AZ17" s="79" t="n"/>
      <c r="BA17" s="79" t="n"/>
      <c r="BB17" s="79" t="n"/>
      <c r="BC17" s="79" t="n"/>
      <c r="BD17" s="79" t="n"/>
      <c r="BE17" s="79" t="n"/>
      <c r="BF17" s="79" t="n"/>
      <c r="BG17" s="79" t="n"/>
      <c r="BH17" s="79" t="n"/>
      <c r="BI17" s="79" t="n"/>
      <c r="BJ17" s="79" t="n"/>
      <c r="BK17" s="79" t="n"/>
      <c r="BL17" s="79" t="n"/>
      <c r="BM17" s="79" t="n"/>
      <c r="BN17" s="79" t="n"/>
      <c r="BO17" s="79" t="n"/>
      <c r="BP17" s="79" t="n"/>
      <c r="BQ17" s="79" t="n"/>
      <c r="BR17" s="79" t="n"/>
      <c r="BS17" s="79" t="n"/>
      <c r="BT17" s="79" t="n"/>
      <c r="BU17" s="79" t="n"/>
      <c r="BV17" s="79" t="n"/>
      <c r="BW17" s="79" t="n"/>
      <c r="BX17" s="79" t="n"/>
      <c r="BY17" s="79" t="n"/>
      <c r="BZ17" s="79" t="n"/>
      <c r="CA17" s="79" t="n"/>
      <c r="CB17" s="79" t="n"/>
      <c r="CC17" s="79" t="n"/>
      <c r="CD17" s="79" t="n"/>
      <c r="CE17" s="79" t="n"/>
      <c r="CF17" s="79" t="n"/>
      <c r="CG17" s="79" t="n"/>
      <c r="CH17" s="79" t="n"/>
      <c r="CI17" s="79" t="n"/>
      <c r="CJ17" s="79" t="n"/>
      <c r="CK17" s="79" t="n"/>
      <c r="CL17" s="79" t="n"/>
      <c r="CM17" s="79" t="n"/>
      <c r="CN17" s="79" t="n"/>
      <c r="CO17" s="79" t="n"/>
      <c r="CP17" s="79" t="n"/>
      <c r="CQ17" s="79" t="n"/>
      <c r="CR17" s="79" t="n"/>
      <c r="CS17" s="79" t="n"/>
      <c r="CT17" s="79" t="n"/>
      <c r="CU17" s="79" t="n"/>
      <c r="CV17" s="79" t="n"/>
      <c r="CW17" s="79" t="n"/>
      <c r="CX17" s="79" t="n"/>
      <c r="CY17" s="79" t="n"/>
      <c r="CZ17" s="79" t="n"/>
      <c r="DA17" s="79" t="n"/>
      <c r="DB17" s="79" t="n"/>
      <c r="DC17" s="79" t="n"/>
      <c r="DD17" s="79" t="n"/>
      <c r="DE17" s="79" t="n"/>
      <c r="DF17" s="79" t="n"/>
      <c r="DG17" s="79" t="n"/>
      <c r="DH17" s="79" t="n"/>
      <c r="DI17" s="79" t="n"/>
      <c r="DJ17" s="79" t="n"/>
      <c r="DK17" s="79" t="n"/>
      <c r="DL17" s="79" t="n"/>
      <c r="DM17" s="79" t="n"/>
      <c r="DN17" s="79" t="n"/>
      <c r="DO17" s="79" t="n"/>
      <c r="DP17" s="79" t="n"/>
      <c r="DQ17" s="79" t="n"/>
      <c r="DR17" s="79" t="n"/>
      <c r="DS17" s="79" t="n"/>
      <c r="DT17" s="79" t="n"/>
      <c r="DU17" s="79" t="n"/>
      <c r="DV17" s="79" t="n"/>
      <c r="DW17" s="79" t="n"/>
      <c r="DX17" s="80" t="n"/>
      <c r="DY17" s="80" t="n"/>
      <c r="DZ17" s="80" t="n"/>
      <c r="EA17" s="80" t="n"/>
      <c r="EB17" s="80" t="n"/>
      <c r="EC17" s="79" t="n"/>
      <c r="ED17" s="79" t="n"/>
      <c r="EE17" s="79" t="n"/>
      <c r="EF17" s="79" t="n"/>
      <c r="EG17" s="79" t="n"/>
      <c r="EH17" s="79" t="n"/>
      <c r="EI17" s="79" t="n"/>
      <c r="EJ17" s="79" t="n"/>
      <c r="EK17" s="79" t="n"/>
      <c r="EL17" s="79" t="n"/>
      <c r="EM17" s="79" t="n"/>
      <c r="EN17" s="79" t="n"/>
      <c r="EO17" s="79" t="n"/>
      <c r="EP17" s="79" t="n"/>
      <c r="EQ17" s="79" t="n"/>
      <c r="ER17" s="79" t="n"/>
      <c r="ES17" s="79" t="n"/>
      <c r="ET17" s="79" t="n"/>
      <c r="EU17" s="79" t="n"/>
      <c r="EV17" s="79" t="n"/>
      <c r="EW17" s="79" t="n"/>
      <c r="EX17" s="79" t="n"/>
      <c r="EY17" s="79" t="n"/>
      <c r="EZ17" s="79" t="n"/>
      <c r="FA17" s="79" t="n"/>
      <c r="FB17" s="79" t="n"/>
      <c r="FC17" s="79" t="n"/>
      <c r="FD17" s="79" t="n"/>
      <c r="FE17" s="79" t="n"/>
      <c r="FF17" s="79" t="n"/>
      <c r="FG17" s="79" t="n"/>
      <c r="FH17" s="79" t="n"/>
      <c r="FI17" s="79" t="n"/>
      <c r="FJ17" s="79" t="n"/>
      <c r="FK17" s="79" t="n"/>
      <c r="FL17" s="79" t="n"/>
      <c r="FM17" s="79" t="n"/>
      <c r="FN17" s="79" t="n"/>
      <c r="FO17" s="79" t="n"/>
      <c r="FP17" s="79" t="n"/>
      <c r="FQ17" s="79" t="n"/>
      <c r="FR17" s="79" t="n"/>
      <c r="FS17" s="79" t="n"/>
      <c r="FT17" s="79" t="n"/>
      <c r="FU17" s="79" t="n"/>
      <c r="FV17" s="79" t="n"/>
      <c r="FW17" s="79" t="n"/>
      <c r="FX17" s="79" t="n"/>
      <c r="FY17" s="79" t="n"/>
      <c r="FZ17" s="79" t="n"/>
      <c r="GA17" s="79" t="n"/>
      <c r="GB17" s="79" t="n"/>
      <c r="GC17" s="79" t="n"/>
      <c r="GD17" s="79" t="n"/>
      <c r="GE17" s="79" t="n"/>
      <c r="GF17" s="79" t="n"/>
      <c r="GG17" s="79" t="n"/>
      <c r="GH17" s="79" t="n"/>
      <c r="GI17" s="79" t="n"/>
      <c r="GJ17" s="79" t="n"/>
      <c r="GK17" s="79" t="n"/>
      <c r="GL17" s="79" t="n"/>
      <c r="GM17" s="79" t="n"/>
      <c r="GN17" s="79" t="n"/>
      <c r="GO17" s="79" t="n"/>
      <c r="GP17" s="79" t="n"/>
      <c r="GQ17" s="79" t="n"/>
      <c r="GR17" s="79" t="n"/>
      <c r="GS17" s="79" t="n"/>
      <c r="GT17" s="79" t="n"/>
      <c r="GU17" s="79" t="n"/>
      <c r="GV17" s="79" t="n"/>
      <c r="GW17" s="79" t="n"/>
      <c r="GX17" s="79" t="n"/>
      <c r="GY17" s="79" t="n"/>
      <c r="GZ17" s="79" t="n"/>
      <c r="HA17" s="79" t="n"/>
      <c r="HB17" s="79" t="n"/>
      <c r="HC17" s="79" t="n"/>
      <c r="HD17" s="79" t="n"/>
      <c r="HE17" s="79" t="n"/>
      <c r="HF17" s="79" t="n"/>
      <c r="HG17" s="79" t="n"/>
      <c r="HH17" s="79" t="n"/>
      <c r="HI17" s="80" t="n"/>
      <c r="HJ17" s="80" t="n"/>
      <c r="HK17" s="80" t="n"/>
      <c r="HL17" s="80" t="n"/>
      <c r="HM17" s="80" t="n"/>
      <c r="HN17" s="79" t="n"/>
      <c r="HO17" s="79" t="n"/>
      <c r="HP17" s="79" t="n"/>
      <c r="HQ17" s="79" t="n"/>
      <c r="HR17" s="79" t="n"/>
      <c r="HS17" s="79" t="n"/>
      <c r="HT17" s="79" t="n"/>
      <c r="HU17" s="79" t="n"/>
      <c r="HV17" s="79" t="n"/>
      <c r="HW17" s="79" t="n"/>
      <c r="HX17" s="79" t="n"/>
      <c r="HY17" s="79" t="n"/>
      <c r="HZ17" s="79" t="n"/>
      <c r="IA17" s="79" t="n"/>
      <c r="IB17" s="79" t="n"/>
      <c r="IC17" s="79" t="n"/>
      <c r="ID17" s="79" t="n"/>
      <c r="IE17" s="79" t="n"/>
      <c r="IF17" s="79" t="n"/>
      <c r="IG17" s="79" t="n"/>
      <c r="IH17" s="79" t="n"/>
      <c r="II17" s="79" t="n"/>
      <c r="IK17" s="0" t="inlineStr">
        <is>
          <t>ez_manage.py:5141 top()</t>
        </is>
      </c>
      <c r="IL17" s="0" t="inlineStr">
        <is>
          <t>v12_quick_engine.py:2538 x1</t>
        </is>
      </c>
    </row>
    <row r="18" ht="10.5" customHeight="1" s="67">
      <c r="A18" s="31" t="inlineStr">
        <is>
          <t>OPEN_RATE_BREAKER_ENABLED</t>
        </is>
      </c>
      <c r="B18" s="72" t="inlineStr">
        <is>
          <t>True</t>
        </is>
      </c>
      <c r="C18" s="30" t="n"/>
      <c r="D18" s="30" t="n"/>
      <c r="E18" s="30" t="n"/>
      <c r="F18" s="30" t="n"/>
      <c r="G18" s="30">
        <f>IFERROR(VLOOKUP($A38&amp;"_"&amp;$B38,Results_Deltas!$A$2:$P$15000,5,FALSE),"")</f>
        <v/>
      </c>
      <c r="H18" s="30">
        <f>IFERROR(VLOOKUP($A38,Results_30d_Deltas!$A$2:$H$5000,7,FALSE)-E37,"")</f>
        <v/>
      </c>
      <c r="I18" s="30">
        <f>IFERROR(VLOOKUP($A38,Results_30d_Deltas!$A$2:$H$5000,6,FALSE),"")</f>
        <v/>
      </c>
      <c r="J18" s="30" t="n"/>
      <c r="K18" s="30" t="n"/>
      <c r="L18" s="30" t="inlineStr">
        <is>
          <t>YES</t>
        </is>
      </c>
      <c r="M18" s="33" t="n">
        <v>-0.9997028275106651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4" t="n"/>
      <c r="DY18" s="34" t="n"/>
      <c r="DZ18" s="34" t="n"/>
      <c r="EA18" s="34" t="n"/>
      <c r="EB18" s="34"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4" t="n"/>
      <c r="HJ18" s="34" t="n"/>
      <c r="HK18" s="34" t="n"/>
      <c r="HL18" s="34" t="n"/>
      <c r="HM18" s="34"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ez_manage.py:5141 top()</t>
        </is>
      </c>
      <c r="IL18" s="30" t="inlineStr">
        <is>
          <t>v12_quick_engine.py:2538 x1</t>
        </is>
      </c>
      <c r="IM18" s="30" t="n"/>
    </row>
    <row r="19" ht="10.5" customHeight="1" s="67">
      <c r="A19" s="93" t="inlineStr">
        <is>
          <t>BULL_HOLD_EXIT_DELAY_BARS</t>
        </is>
      </c>
      <c r="B19" s="93" t="inlineStr">
        <is>
          <t>0</t>
        </is>
      </c>
      <c r="C19" s="0" t="inlineStr">
        <is>
          <t>0</t>
        </is>
      </c>
    </row>
    <row r="20" ht="10.5" customHeight="1" s="67">
      <c r="A20" s="0" t="inlineStr">
        <is>
          <t>BULL_HOLD_EXIT_DELAY_BARS</t>
        </is>
      </c>
      <c r="B20" s="0" t="inlineStr">
        <is>
          <t>0</t>
        </is>
      </c>
      <c r="C20" s="0" t="inlineStr">
        <is>
          <t>24</t>
        </is>
      </c>
    </row>
    <row r="21" ht="10.5" customHeight="1" s="67">
      <c r="A21" s="0" t="inlineStr">
        <is>
          <t>BULL_HOLD_EXIT_DELAY_BARS</t>
        </is>
      </c>
      <c r="B21" s="0" t="inlineStr">
        <is>
          <t>1</t>
        </is>
      </c>
      <c r="C21" s="0" t="inlineStr">
        <is>
          <t>0</t>
        </is>
      </c>
    </row>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5" t="n">
        <v>1</v>
      </c>
      <c r="B3" s="95" t="inlineStr">
        <is>
          <t>ADX_RANGING_THRESHOLD</t>
        </is>
      </c>
      <c r="C3" s="0" t="inlineStr">
        <is>
          <t>25</t>
        </is>
      </c>
      <c r="D3" s="84" t="inlineStr">
        <is>
          <t>Threshold/gate: ADX_RANGING_THRESHOLD — _adx_thresh = float(getattr(config, "ADX_RANGING_THRESHOLD", 20.0)) | ex: `_adx_thresh = float(getattr(config, "ADX_RANGING_THRESHOLD", 20.0))`</t>
        </is>
      </c>
      <c r="E3" s="84" t="inlineStr">
        <is>
          <t>ENTRY, GLOBAL_CHECK, STOCKS_EXIT</t>
        </is>
      </c>
      <c r="F3" s="84" t="inlineStr">
        <is>
          <t>ENTRY, GLOBAL_CHECK, STOCKS_EXIT</t>
        </is>
      </c>
      <c r="G3" s="84" t="inlineStr">
        <is>
          <t>ADX_RANGING_THRESHOLD</t>
        </is>
      </c>
      <c r="H3" s="84" t="inlineStr">
        <is>
          <t>GENERAL</t>
        </is>
      </c>
      <c r="I3" s="84" t="inlineStr">
        <is>
          <t>LIVE — wired</t>
        </is>
      </c>
      <c r="J3" s="85"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4" t="n">
        <v>1</v>
      </c>
      <c r="B4" s="84" t="inlineStr">
        <is>
          <t>ADX_RANGING_THRESHOLD</t>
        </is>
      </c>
      <c r="C4" s="0" t="inlineStr">
        <is>
          <t>15</t>
        </is>
      </c>
      <c r="D4" s="84" t="inlineStr">
        <is>
          <t>Threshold/gate: ADX_RANGING_THRESHOLD — _adx_thresh = float(getattr(config, "ADX_RANGING_THRESHOLD", 20.0)) | ex: `_adx_thresh = float(getattr(config, "ADX_RANGING_THRESHOLD", 20.0))`</t>
        </is>
      </c>
      <c r="E4" s="84" t="inlineStr">
        <is>
          <t>ENTRY, GLOBAL_CHECK, STOCKS_EXIT</t>
        </is>
      </c>
      <c r="F4" s="84" t="inlineStr">
        <is>
          <t>ENTRY, GLOBAL_CHECK, STOCKS_EXIT</t>
        </is>
      </c>
      <c r="G4" s="84" t="inlineStr">
        <is>
          <t>ADX_RANGING_THRESHOLD</t>
        </is>
      </c>
      <c r="H4" s="84" t="inlineStr">
        <is>
          <t>GENERAL</t>
        </is>
      </c>
      <c r="I4" s="84" t="inlineStr">
        <is>
          <t>LIVE — wired</t>
        </is>
      </c>
      <c r="J4" s="85"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4" t="n">
        <v>1</v>
      </c>
      <c r="B5" s="84" t="inlineStr">
        <is>
          <t>ADX_RANGING_THRESHOLD</t>
        </is>
      </c>
      <c r="C5" s="0" t="inlineStr">
        <is>
          <t>10</t>
        </is>
      </c>
      <c r="D5" s="84" t="inlineStr">
        <is>
          <t>Threshold/gate: ADX_RANGING_THRESHOLD — _adx_thresh = float(getattr(config, "ADX_RANGING_THRESHOLD", 20.0)) | ex: `_adx_thresh = float(getattr(config, "ADX_RANGING_THRESHOLD", 20.0))`</t>
        </is>
      </c>
      <c r="E5" s="84" t="inlineStr">
        <is>
          <t>ENTRY, GLOBAL_CHECK, STOCKS_EXIT</t>
        </is>
      </c>
      <c r="F5" s="84" t="inlineStr">
        <is>
          <t>ENTRY, GLOBAL_CHECK, STOCKS_EXIT</t>
        </is>
      </c>
      <c r="G5" s="84" t="inlineStr">
        <is>
          <t>ADX_RANGING_THRESHOLD</t>
        </is>
      </c>
      <c r="H5" s="84" t="inlineStr">
        <is>
          <t>GENERAL</t>
        </is>
      </c>
      <c r="I5" s="84" t="inlineStr">
        <is>
          <t>LIVE — wired</t>
        </is>
      </c>
      <c r="J5" s="85"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6" t="n">
        <v>2</v>
      </c>
      <c r="B6" s="96"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5" t="n">
        <v>3</v>
      </c>
      <c r="B11" s="95" t="inlineStr">
        <is>
          <t>BANDAID_OFF_LOSER_RECOVER_PCT</t>
        </is>
      </c>
      <c r="C11" s="0" t="inlineStr">
        <is>
          <t>0</t>
        </is>
      </c>
      <c r="D11" s="84" t="inlineStr">
        <is>
          <t>Threshold/gate: BANDAID_OFF_LOSER_RECOVER_PCT — 'AUG_COOLDOWN_S', 'AVAILABLE_IPS', 'BACKUP_KLINES_CACHE', 'BANDAID_OFF_LOSER_RECOVER_PCT', 'BAND_FILE', 'BASE_TF', | ex: `'AUG_COOLDOWN_S', 'AVAILABLE_IPS', 'BACKUP_KLINES_CACHE', 'BANDAID_OFF_LOSER_REC`</t>
        </is>
      </c>
      <c r="E11" s="84" t="inlineStr">
        <is>
          <t>AUGMENT, ENTRY, EXIT, GLOBAL_CHECK, REDUCE, STOCKS_EXIT</t>
        </is>
      </c>
      <c r="F11" s="84" t="inlineStr">
        <is>
          <t>AUGMENT, ENTRY, EXIT, GLOBAL_CHECK, REDUCE, STOCKS_EXIT</t>
        </is>
      </c>
      <c r="G11" s="84" t="inlineStr">
        <is>
          <t>BANDAID_OFF_LOSER_RECOVER_PCT</t>
        </is>
      </c>
      <c r="H11" s="84" t="inlineStr">
        <is>
          <t>GENERAL</t>
        </is>
      </c>
      <c r="I11" s="84" t="inlineStr">
        <is>
          <t>LIVE — wired</t>
        </is>
      </c>
      <c r="J11" s="85"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4" t="n">
        <v>3</v>
      </c>
      <c r="B12" s="84" t="inlineStr">
        <is>
          <t>BANDAID_OFF_LOSER_RECOVER_PCT</t>
        </is>
      </c>
      <c r="C12" s="0" t="inlineStr">
        <is>
          <t>2.0</t>
        </is>
      </c>
      <c r="D12" s="84" t="inlineStr">
        <is>
          <t>Threshold/gate: BANDAID_OFF_LOSER_RECOVER_PCT — 'AUG_COOLDOWN_S', 'AVAILABLE_IPS', 'BACKUP_KLINES_CACHE', 'BANDAID_OFF_LOSER_RECOVER_PCT', 'BAND_FILE', 'BASE_TF', | ex: `'AUG_COOLDOWN_S', 'AVAILABLE_IPS', 'BACKUP_KLINES_CACHE', 'BANDAID_OFF_LOSER_REC`</t>
        </is>
      </c>
      <c r="E12" s="84" t="inlineStr">
        <is>
          <t>AUGMENT, ENTRY, EXIT, GLOBAL_CHECK, REDUCE, STOCKS_EXIT</t>
        </is>
      </c>
      <c r="F12" s="84" t="inlineStr">
        <is>
          <t>AUGMENT, ENTRY, EXIT, GLOBAL_CHECK, REDUCE, STOCKS_EXIT</t>
        </is>
      </c>
      <c r="G12" s="84" t="inlineStr">
        <is>
          <t>BANDAID_OFF_LOSER_RECOVER_PCT</t>
        </is>
      </c>
      <c r="H12" s="84" t="inlineStr">
        <is>
          <t>GENERAL</t>
        </is>
      </c>
      <c r="I12" s="84" t="inlineStr">
        <is>
          <t>LIVE — wired</t>
        </is>
      </c>
      <c r="J12" s="85"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4" t="n">
        <v>3</v>
      </c>
      <c r="B13" s="84" t="inlineStr">
        <is>
          <t>BANDAID_OFF_LOSER_RECOVER_PCT</t>
        </is>
      </c>
      <c r="C13" s="0" t="inlineStr">
        <is>
          <t>1.0</t>
        </is>
      </c>
      <c r="D13" s="84" t="inlineStr">
        <is>
          <t>Threshold/gate: BANDAID_OFF_LOSER_RECOVER_PCT — 'AUG_COOLDOWN_S', 'AVAILABLE_IPS', 'BACKUP_KLINES_CACHE', 'BANDAID_OFF_LOSER_RECOVER_PCT', 'BAND_FILE', 'BASE_TF', | ex: `'AUG_COOLDOWN_S', 'AVAILABLE_IPS', 'BACKUP_KLINES_CACHE', 'BANDAID_OFF_LOSER_REC`</t>
        </is>
      </c>
      <c r="E13" s="84" t="inlineStr">
        <is>
          <t>AUGMENT, ENTRY, EXIT, GLOBAL_CHECK, REDUCE, STOCKS_EXIT</t>
        </is>
      </c>
      <c r="F13" s="84" t="inlineStr">
        <is>
          <t>AUGMENT, ENTRY, EXIT, GLOBAL_CHECK, REDUCE, STOCKS_EXIT</t>
        </is>
      </c>
      <c r="G13" s="84" t="inlineStr">
        <is>
          <t>BANDAID_OFF_LOSER_RECOVER_PCT</t>
        </is>
      </c>
      <c r="H13" s="84" t="inlineStr">
        <is>
          <t>GENERAL</t>
        </is>
      </c>
      <c r="I13" s="84" t="inlineStr">
        <is>
          <t>LIVE — wired</t>
        </is>
      </c>
      <c r="J13" s="85"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4" t="n">
        <v>3</v>
      </c>
      <c r="B14" s="84" t="inlineStr">
        <is>
          <t>BANDAID_OFF_LOSER_RECOVER_PCT</t>
        </is>
      </c>
      <c r="C14" s="0" t="inlineStr">
        <is>
          <t>0.5</t>
        </is>
      </c>
      <c r="D14" s="84" t="inlineStr">
        <is>
          <t>Threshold/gate: BANDAID_OFF_LOSER_RECOVER_PCT — 'AUG_COOLDOWN_S', 'AVAILABLE_IPS', 'BACKUP_KLINES_CACHE', 'BANDAID_OFF_LOSER_RECOVER_PCT', 'BAND_FILE', 'BASE_TF', | ex: `'AUG_COOLDOWN_S', 'AVAILABLE_IPS', 'BACKUP_KLINES_CACHE', 'BANDAID_OFF_LOSER_REC`</t>
        </is>
      </c>
      <c r="E14" s="84" t="inlineStr">
        <is>
          <t>AUGMENT, ENTRY, EXIT, GLOBAL_CHECK, REDUCE, STOCKS_EXIT</t>
        </is>
      </c>
      <c r="F14" s="84" t="inlineStr">
        <is>
          <t>AUGMENT, ENTRY, EXIT, GLOBAL_CHECK, REDUCE, STOCKS_EXIT</t>
        </is>
      </c>
      <c r="G14" s="84" t="inlineStr">
        <is>
          <t>BANDAID_OFF_LOSER_RECOVER_PCT</t>
        </is>
      </c>
      <c r="H14" s="84" t="inlineStr">
        <is>
          <t>GENERAL</t>
        </is>
      </c>
      <c r="I14" s="84" t="inlineStr">
        <is>
          <t>LIVE — wired</t>
        </is>
      </c>
      <c r="J14" s="85"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5" t="n">
        <v>4</v>
      </c>
      <c r="B15" s="95" t="inlineStr">
        <is>
          <t>BAND_ARROW_ENABLED</t>
        </is>
      </c>
      <c r="C15" s="0" t="inlineStr">
        <is>
          <t>False</t>
        </is>
      </c>
      <c r="D15" s="84" t="inlineStr">
        <is>
          <t>Enables BAND+ARROW confluence entry (Donchian/BB + WT arrow). When OFF, that entry path is skipped. | Live read: `_EXHAUSTIVE_FILTER_LIST_LIVE = ['ADAPTIVE_REGIME_DC_BREAKDOWN_THRESHOLD', 'ADAPT`</t>
        </is>
      </c>
      <c r="E15" s="84" t="inlineStr">
        <is>
          <t>GLOBAL_CHECK, STOCKS_EXIT</t>
        </is>
      </c>
      <c r="F15" s="84" t="inlineStr">
        <is>
          <t>GLOBAL_CHECK, STOCKS_EXIT</t>
        </is>
      </c>
      <c r="G15" s="84" t="inlineStr">
        <is>
          <t>BAND_ARROW_ENABLED</t>
        </is>
      </c>
      <c r="H15" s="84" t="inlineStr">
        <is>
          <t>GENERAL</t>
        </is>
      </c>
      <c r="I15" s="84" t="inlineStr">
        <is>
          <t>LIVE — wired</t>
        </is>
      </c>
      <c r="J15" s="85"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4" t="n">
        <v>4</v>
      </c>
      <c r="B16" s="84" t="inlineStr">
        <is>
          <t>BAND_ARROW_ENABLED</t>
        </is>
      </c>
      <c r="C16" s="0" t="inlineStr">
        <is>
          <t>True</t>
        </is>
      </c>
      <c r="D16" s="84" t="inlineStr">
        <is>
          <t>Enables BAND+ARROW confluence entry (Donchian/BB + WT arrow). When OFF, that entry path is skipped. | Live read: `_EXHAUSTIVE_FILTER_LIST_LIVE = ['ADAPTIVE_REGIME_DC_BREAKDOWN_THRESHOLD', 'ADAPT`</t>
        </is>
      </c>
      <c r="E16" s="84" t="inlineStr">
        <is>
          <t>GLOBAL_CHECK, STOCKS_EXIT</t>
        </is>
      </c>
      <c r="F16" s="84" t="inlineStr">
        <is>
          <t>GLOBAL_CHECK, STOCKS_EXIT</t>
        </is>
      </c>
      <c r="G16" s="84" t="inlineStr">
        <is>
          <t>BAND_ARROW_ENABLED</t>
        </is>
      </c>
      <c r="H16" s="84" t="inlineStr">
        <is>
          <t>GENERAL</t>
        </is>
      </c>
      <c r="I16" s="84" t="inlineStr">
        <is>
          <t>LIVE — wired</t>
        </is>
      </c>
      <c r="J16" s="85"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6" t="n">
        <v>5</v>
      </c>
      <c r="B17" s="96"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6" t="n">
        <v>6</v>
      </c>
      <c r="B22" s="96"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6" t="n">
        <v>7</v>
      </c>
      <c r="B27" s="96"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6" t="n">
        <v>8</v>
      </c>
      <c r="B32" s="96"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6" t="n">
        <v>9</v>
      </c>
      <c r="B37" s="96"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6" t="n">
        <v>10</v>
      </c>
      <c r="B42" s="96"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7" t="n">
        <v>11</v>
      </c>
      <c r="B47" s="97" t="inlineStr">
        <is>
          <t>BTC_ACCEL_RAMP_REQUIRE_POSITIVE</t>
        </is>
      </c>
      <c r="C47" s="0" t="inlineStr">
        <is>
          <t>0.0</t>
        </is>
      </c>
      <c r="D47"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6" t="inlineStr">
        <is>
          <t>UNIVERSAL (ex-BTC) — ENTRY/EXIT/REENTRY</t>
        </is>
      </c>
      <c r="F47" s="86" t="inlineStr">
        <is>
          <t>UNIVERSAL (ex-BTC) — ENTRY/EXIT/REENTRY</t>
        </is>
      </c>
      <c r="G47" s="86" t="inlineStr">
        <is>
          <t>Accel ramp (UNIVERSAL) — UNIVERSAL</t>
        </is>
      </c>
      <c r="H47" s="86" t="inlineStr">
        <is>
          <t>GENERAL</t>
        </is>
      </c>
      <c r="I47" s="86" t="inlineStr">
        <is>
          <t>LIVE — UNIVERSAL (ex-BTC)</t>
        </is>
      </c>
      <c r="J47" s="86"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6" t="n">
        <v>11</v>
      </c>
      <c r="B48" s="86" t="inlineStr">
        <is>
          <t>BTC_ACCEL_RAMP_REQUIRE_POSITIVE</t>
        </is>
      </c>
      <c r="C48" s="0" t="inlineStr">
        <is>
          <t>0.0_ALT</t>
        </is>
      </c>
      <c r="D48"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6" t="inlineStr">
        <is>
          <t>UNIVERSAL (ex-BTC) — ENTRY/EXIT/REENTRY</t>
        </is>
      </c>
      <c r="F48" s="86" t="inlineStr">
        <is>
          <t>UNIVERSAL (ex-BTC) — ENTRY/EXIT/REENTRY</t>
        </is>
      </c>
      <c r="G48" s="86" t="inlineStr">
        <is>
          <t>Accel ramp (UNIVERSAL) — UNIVERSAL</t>
        </is>
      </c>
      <c r="H48" s="86" t="inlineStr">
        <is>
          <t>GENERAL</t>
        </is>
      </c>
      <c r="I48" s="86" t="inlineStr">
        <is>
          <t>LIVE — UNIVERSAL (ex-BTC)</t>
        </is>
      </c>
      <c r="J48" s="86"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7" t="n">
        <v>12</v>
      </c>
      <c r="B49" s="97" t="inlineStr">
        <is>
          <t>BTC_DEDICATED_FILTER_TF</t>
        </is>
      </c>
      <c r="C49" s="0" t="inlineStr">
        <is>
          <t>OFF</t>
        </is>
      </c>
      <c r="D49" s="86" t="inlineStr">
        <is>
          <t>UNIVERSAL gate (BTCUSDC/BTCUSDT) — requires dedicated BTC momentum alignment. | Live read: `_EXHAUSTIVE_FILTER_LIST_LIVE = ['ADAPTIVE_REGIME_DC_BREAKDOWN_THRESHOLD', 'ADAPT` | UNIVERSAL per 2026-08-28 — applies to ALL symbols, not BTC-only.</t>
        </is>
      </c>
      <c r="E49" s="86" t="inlineStr">
        <is>
          <t>UNIVERSAL (ex-BTC) — ENTRY/EXIT/REENTRY</t>
        </is>
      </c>
      <c r="F49" s="86" t="inlineStr">
        <is>
          <t>UNIVERSAL (ex-BTC) — ENTRY/EXIT/REENTRY</t>
        </is>
      </c>
      <c r="G49" s="86" t="inlineStr">
        <is>
          <t>Dedicated (UNIVERSAL) — UNIVERSAL</t>
        </is>
      </c>
      <c r="H49" s="86" t="inlineStr">
        <is>
          <t>SPECIFIC — only gated switches</t>
        </is>
      </c>
      <c r="I49" s="86" t="inlineStr">
        <is>
          <t>LIVE — UNIVERSAL (ex-BTC)</t>
        </is>
      </c>
      <c r="J49" s="86"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6" t="n">
        <v>12</v>
      </c>
      <c r="B50" s="86" t="inlineStr">
        <is>
          <t>BTC_DEDICATED_FILTER_TF</t>
        </is>
      </c>
      <c r="C50" s="0" t="inlineStr">
        <is>
          <t>D</t>
        </is>
      </c>
      <c r="D50" s="86" t="inlineStr">
        <is>
          <t>UNIVERSAL gate (BTCUSDC/BTCUSDT) — requires dedicated BTC momentum alignment. | Live read: `_EXHAUSTIVE_FILTER_LIST_LIVE = ['ADAPTIVE_REGIME_DC_BREAKDOWN_THRESHOLD', 'ADAPT` | UNIVERSAL per 2026-08-28 — applies to ALL symbols, not BTC-only.</t>
        </is>
      </c>
      <c r="E50" s="86" t="inlineStr">
        <is>
          <t>UNIVERSAL (ex-BTC) — ENTRY/EXIT/REENTRY</t>
        </is>
      </c>
      <c r="F50" s="86" t="inlineStr">
        <is>
          <t>UNIVERSAL (ex-BTC) — ENTRY/EXIT/REENTRY</t>
        </is>
      </c>
      <c r="G50" s="86" t="inlineStr">
        <is>
          <t>Dedicated (UNIVERSAL) — UNIVERSAL</t>
        </is>
      </c>
      <c r="H50" s="86" t="inlineStr">
        <is>
          <t>SPECIFIC — only gated switches</t>
        </is>
      </c>
      <c r="I50" s="86" t="inlineStr">
        <is>
          <t>LIVE — UNIVERSAL (ex-BTC)</t>
        </is>
      </c>
      <c r="J50" s="86"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6" t="n">
        <v>12</v>
      </c>
      <c r="B51" s="86" t="inlineStr">
        <is>
          <t>BTC_DEDICATED_FILTER_TF</t>
        </is>
      </c>
      <c r="C51" s="0" t="inlineStr">
        <is>
          <t>4h</t>
        </is>
      </c>
      <c r="D51" s="86" t="inlineStr">
        <is>
          <t>UNIVERSAL gate (BTCUSDC/BTCUSDT) — requires dedicated BTC momentum alignment. | Live read: `_EXHAUSTIVE_FILTER_LIST_LIVE = ['ADAPTIVE_REGIME_DC_BREAKDOWN_THRESHOLD', 'ADAPT` | UNIVERSAL per 2026-08-28 — applies to ALL symbols, not BTC-only.</t>
        </is>
      </c>
      <c r="E51" s="86" t="inlineStr">
        <is>
          <t>UNIVERSAL (ex-BTC) — ENTRY/EXIT/REENTRY</t>
        </is>
      </c>
      <c r="F51" s="86" t="inlineStr">
        <is>
          <t>UNIVERSAL (ex-BTC) — ENTRY/EXIT/REENTRY</t>
        </is>
      </c>
      <c r="G51" s="86" t="inlineStr">
        <is>
          <t>Dedicated (UNIVERSAL) — UNIVERSAL</t>
        </is>
      </c>
      <c r="H51" s="86" t="inlineStr">
        <is>
          <t>SPECIFIC — only gated switches</t>
        </is>
      </c>
      <c r="I51" s="86" t="inlineStr">
        <is>
          <t>LIVE — UNIVERSAL (ex-BTC)</t>
        </is>
      </c>
      <c r="J51" s="86"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6" t="n">
        <v>12</v>
      </c>
      <c r="B52" s="86" t="inlineStr">
        <is>
          <t>BTC_DEDICATED_FILTER_TF</t>
        </is>
      </c>
      <c r="C52" s="0" t="inlineStr">
        <is>
          <t>1h</t>
        </is>
      </c>
      <c r="D52" s="86" t="inlineStr">
        <is>
          <t>UNIVERSAL gate (BTCUSDC/BTCUSDT) — requires dedicated BTC momentum alignment. | Live read: `_EXHAUSTIVE_FILTER_LIST_LIVE = ['ADAPTIVE_REGIME_DC_BREAKDOWN_THRESHOLD', 'ADAPT` | UNIVERSAL per 2026-08-28 — applies to ALL symbols, not BTC-only.</t>
        </is>
      </c>
      <c r="E52" s="86" t="inlineStr">
        <is>
          <t>UNIVERSAL (ex-BTC) — ENTRY/EXIT/REENTRY</t>
        </is>
      </c>
      <c r="F52" s="86" t="inlineStr">
        <is>
          <t>UNIVERSAL (ex-BTC) — ENTRY/EXIT/REENTRY</t>
        </is>
      </c>
      <c r="G52" s="86" t="inlineStr">
        <is>
          <t>Dedicated (UNIVERSAL) — UNIVERSAL</t>
        </is>
      </c>
      <c r="H52" s="86" t="inlineStr">
        <is>
          <t>SPECIFIC — only gated switches</t>
        </is>
      </c>
      <c r="I52" s="86" t="inlineStr">
        <is>
          <t>LIVE — UNIVERSAL (ex-BTC)</t>
        </is>
      </c>
      <c r="J52" s="86"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6" t="n">
        <v>12</v>
      </c>
      <c r="B53" s="86" t="inlineStr">
        <is>
          <t>BTC_DEDICATED_FILTER_TF</t>
        </is>
      </c>
      <c r="C53" s="0" t="inlineStr">
        <is>
          <t>15m</t>
        </is>
      </c>
      <c r="D53" s="86" t="inlineStr">
        <is>
          <t>UNIVERSAL gate (BTCUSDC/BTCUSDT) — requires dedicated BTC momentum alignment. | Live read: `_EXHAUSTIVE_FILTER_LIST_LIVE = ['ADAPTIVE_REGIME_DC_BREAKDOWN_THRESHOLD', 'ADAPT` | UNIVERSAL per 2026-08-28 — applies to ALL symbols, not BTC-only.</t>
        </is>
      </c>
      <c r="E53" s="86" t="inlineStr">
        <is>
          <t>UNIVERSAL (ex-BTC) — ENTRY/EXIT/REENTRY</t>
        </is>
      </c>
      <c r="F53" s="86" t="inlineStr">
        <is>
          <t>UNIVERSAL (ex-BTC) — ENTRY/EXIT/REENTRY</t>
        </is>
      </c>
      <c r="G53" s="86" t="inlineStr">
        <is>
          <t>Dedicated (UNIVERSAL) — UNIVERSAL</t>
        </is>
      </c>
      <c r="H53" s="86" t="inlineStr">
        <is>
          <t>SPECIFIC — only gated switches</t>
        </is>
      </c>
      <c r="I53" s="86" t="inlineStr">
        <is>
          <t>LIVE — UNIVERSAL (ex-BTC)</t>
        </is>
      </c>
      <c r="J53" s="86"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7" t="n">
        <v>13</v>
      </c>
      <c r="B54" s="97" t="inlineStr">
        <is>
          <t>BTC_HARD_BLOCK_OTHER_ACCOUNTS</t>
        </is>
      </c>
      <c r="C54" s="0" t="inlineStr">
        <is>
          <t>0.0</t>
        </is>
      </c>
      <c r="D54" s="86" t="inlineStr">
        <is>
          <t>Global kill: when BTC regime is adverse, blocks non-BTC accounts. | Live read: `_EXHAUSTIVE_FILTER_LIST_LIVE = ['ADAPTIVE_REGIME_DC_BREAKDOWN_THRESHOLD', 'ADAPT` | UNIVERSAL per 2026-08-28 — applies to ALL symbols, not BTC-only.</t>
        </is>
      </c>
      <c r="E54" s="86" t="inlineStr">
        <is>
          <t>UNIVERSAL (ex-BTC) — ENTRY/EXIT/REENTRY</t>
        </is>
      </c>
      <c r="F54" s="86" t="inlineStr">
        <is>
          <t>UNIVERSAL (ex-BTC) — ENTRY/EXIT/REENTRY</t>
        </is>
      </c>
      <c r="G54" s="86" t="inlineStr">
        <is>
          <t>Global block (UNIVERSAL) — UNIVERSAL</t>
        </is>
      </c>
      <c r="H54" s="86" t="inlineStr">
        <is>
          <t>GENERAL</t>
        </is>
      </c>
      <c r="I54" s="86" t="inlineStr">
        <is>
          <t>LIVE — UNIVERSAL (ex-BTC)</t>
        </is>
      </c>
      <c r="J54" s="86"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6" t="n">
        <v>13</v>
      </c>
      <c r="B55" s="86" t="inlineStr">
        <is>
          <t>BTC_HARD_BLOCK_OTHER_ACCOUNTS</t>
        </is>
      </c>
      <c r="C55" s="0" t="inlineStr">
        <is>
          <t>0.0_ALT</t>
        </is>
      </c>
      <c r="D55" s="86" t="inlineStr">
        <is>
          <t>Global kill: when BTC regime is adverse, blocks non-BTC accounts. | Live read: `_EXHAUSTIVE_FILTER_LIST_LIVE = ['ADAPTIVE_REGIME_DC_BREAKDOWN_THRESHOLD', 'ADAPT` | UNIVERSAL per 2026-08-28 — applies to ALL symbols, not BTC-only.</t>
        </is>
      </c>
      <c r="E55" s="86" t="inlineStr">
        <is>
          <t>UNIVERSAL (ex-BTC) — ENTRY/EXIT/REENTRY</t>
        </is>
      </c>
      <c r="F55" s="86" t="inlineStr">
        <is>
          <t>UNIVERSAL (ex-BTC) — ENTRY/EXIT/REENTRY</t>
        </is>
      </c>
      <c r="G55" s="86" t="inlineStr">
        <is>
          <t>Global block (UNIVERSAL) — UNIVERSAL</t>
        </is>
      </c>
      <c r="H55" s="86" t="inlineStr">
        <is>
          <t>GENERAL</t>
        </is>
      </c>
      <c r="I55" s="86" t="inlineStr">
        <is>
          <t>LIVE — UNIVERSAL (ex-BTC)</t>
        </is>
      </c>
      <c r="J55" s="86"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7" t="n">
        <v>14</v>
      </c>
      <c r="B56" s="97" t="inlineStr">
        <is>
          <t>BTC_ROUND_BANDS_EACH_SIDE</t>
        </is>
      </c>
      <c r="C56" s="0" t="inlineStr">
        <is>
          <t>0.0</t>
        </is>
      </c>
      <c r="D56" s="86" t="inlineStr">
        <is>
          <t>Risk shape: round bands per side for BTC sizing. | Live read: `_EXHAUSTIVE_FILTER_LIST_LIVE = ['ADAPTIVE_REGIME_DC_BREAKDOWN_THRESHOLD', 'ADAPT` | UNIVERSAL per 2026-08-28 — applies to ALL symbols, not BTC-only.</t>
        </is>
      </c>
      <c r="E56" s="86" t="inlineStr">
        <is>
          <t>UNIVERSAL (ex-BTC) — ENTRY/EXIT/REENTRY</t>
        </is>
      </c>
      <c r="F56" s="86" t="inlineStr">
        <is>
          <t>UNIVERSAL (ex-BTC) — ENTRY/EXIT/REENTRY</t>
        </is>
      </c>
      <c r="G56" s="86" t="inlineStr">
        <is>
          <t>Band sizing (UNIVERSAL) — UNIVERSAL</t>
        </is>
      </c>
      <c r="H56" s="86" t="inlineStr">
        <is>
          <t>GENERAL</t>
        </is>
      </c>
      <c r="I56" s="86" t="inlineStr">
        <is>
          <t>LIVE — UNIVERSAL (ex-BTC)</t>
        </is>
      </c>
      <c r="J56" s="86"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6" t="n">
        <v>14</v>
      </c>
      <c r="B57" s="86" t="inlineStr">
        <is>
          <t>BTC_ROUND_BANDS_EACH_SIDE</t>
        </is>
      </c>
      <c r="C57" s="0" t="inlineStr">
        <is>
          <t>0.0_ALT</t>
        </is>
      </c>
      <c r="D57" s="86" t="inlineStr">
        <is>
          <t>Risk shape: round bands per side for BTC sizing. | Live read: `_EXHAUSTIVE_FILTER_LIST_LIVE = ['ADAPTIVE_REGIME_DC_BREAKDOWN_THRESHOLD', 'ADAPT` | UNIVERSAL per 2026-08-28 — applies to ALL symbols, not BTC-only.</t>
        </is>
      </c>
      <c r="E57" s="86" t="inlineStr">
        <is>
          <t>UNIVERSAL (ex-BTC) — ENTRY/EXIT/REENTRY</t>
        </is>
      </c>
      <c r="F57" s="86" t="inlineStr">
        <is>
          <t>UNIVERSAL (ex-BTC) — ENTRY/EXIT/REENTRY</t>
        </is>
      </c>
      <c r="G57" s="86" t="inlineStr">
        <is>
          <t>Band sizing (UNIVERSAL) — UNIVERSAL</t>
        </is>
      </c>
      <c r="H57" s="86" t="inlineStr">
        <is>
          <t>GENERAL</t>
        </is>
      </c>
      <c r="I57" s="86" t="inlineStr">
        <is>
          <t>LIVE — UNIVERSAL (ex-BTC)</t>
        </is>
      </c>
      <c r="J57" s="86"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6" t="n">
        <v>15</v>
      </c>
      <c r="B58" s="96"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6" t="n">
        <v>16</v>
      </c>
      <c r="B63" s="96"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6" t="n">
        <v>17</v>
      </c>
      <c r="B68" s="96"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5" t="n">
        <v>18</v>
      </c>
      <c r="B73" s="95" t="inlineStr">
        <is>
          <t>COOLDOWN_LOCKS_FILTER_TF</t>
        </is>
      </c>
      <c r="C73" s="0" t="inlineStr">
        <is>
          <t>OFF</t>
        </is>
      </c>
      <c r="D73" s="84" t="inlineStr">
        <is>
          <t>Cooldown lockout after recent trade on FILTER_TF. | Live read: `EAT_TRIGGER', 'ADAPTIVE_REGIME_LOOKBACK_DAYS', 'ADAPTIVE_REGIME_MIN_SIGNALS', 'A`</t>
        </is>
      </c>
      <c r="E73" s="84" t="inlineStr">
        <is>
          <t>GLOBAL_CHECK</t>
        </is>
      </c>
      <c r="F73" s="84" t="inlineStr">
        <is>
          <t>GLOBAL_CHECK</t>
        </is>
      </c>
      <c r="G73" s="84" t="inlineStr">
        <is>
          <t>COOLDOWN_LOCKS</t>
        </is>
      </c>
      <c r="H73" s="84" t="inlineStr">
        <is>
          <t>GENERAL — uniform</t>
        </is>
      </c>
      <c r="I73" s="84" t="inlineStr">
        <is>
          <t>LIVE — wired</t>
        </is>
      </c>
      <c r="J73" s="85"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4" t="n">
        <v>18</v>
      </c>
      <c r="B74" s="84" t="inlineStr">
        <is>
          <t>COOLDOWN_LOCKS_FILTER_TF</t>
        </is>
      </c>
      <c r="C74" s="0" t="inlineStr">
        <is>
          <t>D</t>
        </is>
      </c>
      <c r="D74" s="84" t="inlineStr">
        <is>
          <t>Cooldown lockout after recent trade on FILTER_TF. | Live read: `EAT_TRIGGER', 'ADAPTIVE_REGIME_LOOKBACK_DAYS', 'ADAPTIVE_REGIME_MIN_SIGNALS', 'A`</t>
        </is>
      </c>
      <c r="E74" s="84" t="inlineStr">
        <is>
          <t>GLOBAL_CHECK</t>
        </is>
      </c>
      <c r="F74" s="84" t="inlineStr">
        <is>
          <t>GLOBAL_CHECK</t>
        </is>
      </c>
      <c r="G74" s="84" t="inlineStr">
        <is>
          <t>COOLDOWN_LOCKS</t>
        </is>
      </c>
      <c r="H74" s="84" t="inlineStr">
        <is>
          <t>GENERAL — uniform</t>
        </is>
      </c>
      <c r="I74" s="84" t="inlineStr">
        <is>
          <t>LIVE — wired</t>
        </is>
      </c>
      <c r="J74" s="85"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4" t="n">
        <v>18</v>
      </c>
      <c r="B75" s="84" t="inlineStr">
        <is>
          <t>COOLDOWN_LOCKS_FILTER_TF</t>
        </is>
      </c>
      <c r="C75" s="0" t="inlineStr">
        <is>
          <t>4h</t>
        </is>
      </c>
      <c r="D75" s="84" t="inlineStr">
        <is>
          <t>Cooldown lockout after recent trade on FILTER_TF. | Live read: `EAT_TRIGGER', 'ADAPTIVE_REGIME_LOOKBACK_DAYS', 'ADAPTIVE_REGIME_MIN_SIGNALS', 'A`</t>
        </is>
      </c>
      <c r="E75" s="84" t="inlineStr">
        <is>
          <t>GLOBAL_CHECK</t>
        </is>
      </c>
      <c r="F75" s="84" t="inlineStr">
        <is>
          <t>GLOBAL_CHECK</t>
        </is>
      </c>
      <c r="G75" s="84" t="inlineStr">
        <is>
          <t>COOLDOWN_LOCKS</t>
        </is>
      </c>
      <c r="H75" s="84" t="inlineStr">
        <is>
          <t>GENERAL — uniform</t>
        </is>
      </c>
      <c r="I75" s="84" t="inlineStr">
        <is>
          <t>LIVE — wired</t>
        </is>
      </c>
      <c r="J75" s="85"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4" t="n">
        <v>18</v>
      </c>
      <c r="B76" s="84" t="inlineStr">
        <is>
          <t>COOLDOWN_LOCKS_FILTER_TF</t>
        </is>
      </c>
      <c r="C76" s="0" t="inlineStr">
        <is>
          <t>1h</t>
        </is>
      </c>
      <c r="D76" s="84" t="inlineStr">
        <is>
          <t>Cooldown lockout after recent trade on FILTER_TF. | Live read: `EAT_TRIGGER', 'ADAPTIVE_REGIME_LOOKBACK_DAYS', 'ADAPTIVE_REGIME_MIN_SIGNALS', 'A`</t>
        </is>
      </c>
      <c r="E76" s="84" t="inlineStr">
        <is>
          <t>GLOBAL_CHECK</t>
        </is>
      </c>
      <c r="F76" s="84" t="inlineStr">
        <is>
          <t>GLOBAL_CHECK</t>
        </is>
      </c>
      <c r="G76" s="84" t="inlineStr">
        <is>
          <t>COOLDOWN_LOCKS</t>
        </is>
      </c>
      <c r="H76" s="84" t="inlineStr">
        <is>
          <t>GENERAL — uniform</t>
        </is>
      </c>
      <c r="I76" s="84" t="inlineStr">
        <is>
          <t>LIVE — wired</t>
        </is>
      </c>
      <c r="J76" s="85"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4" t="n">
        <v>18</v>
      </c>
      <c r="B77" s="84" t="inlineStr">
        <is>
          <t>COOLDOWN_LOCKS_FILTER_TF</t>
        </is>
      </c>
      <c r="C77" s="0" t="inlineStr">
        <is>
          <t>15m</t>
        </is>
      </c>
      <c r="D77" s="84" t="inlineStr">
        <is>
          <t>Cooldown lockout after recent trade on FILTER_TF. | Live read: `EAT_TRIGGER', 'ADAPTIVE_REGIME_LOOKBACK_DAYS', 'ADAPTIVE_REGIME_MIN_SIGNALS', 'A`</t>
        </is>
      </c>
      <c r="E77" s="84" t="inlineStr">
        <is>
          <t>GLOBAL_CHECK</t>
        </is>
      </c>
      <c r="F77" s="84" t="inlineStr">
        <is>
          <t>GLOBAL_CHECK</t>
        </is>
      </c>
      <c r="G77" s="84" t="inlineStr">
        <is>
          <t>COOLDOWN_LOCKS</t>
        </is>
      </c>
      <c r="H77" s="84" t="inlineStr">
        <is>
          <t>GENERAL — uniform</t>
        </is>
      </c>
      <c r="I77" s="84" t="inlineStr">
        <is>
          <t>LIVE — wired</t>
        </is>
      </c>
      <c r="J77" s="85"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5" t="n">
        <v>19</v>
      </c>
      <c r="B78" s="95" t="inlineStr">
        <is>
          <t>CRYPTO_SPIKE_FADE_THRESHOLD_PCT</t>
        </is>
      </c>
      <c r="C78" s="0" t="inlineStr">
        <is>
          <t>10</t>
        </is>
      </c>
      <c r="D78" s="84" t="inlineStr">
        <is>
          <t>Blocks entries after crypto spike &gt; threshold (fade the spike). | Live read: `ME_LOOKBACK_DAYS', 'ADAPTIVE_REGIME_MIN_SIGNALS', 'ADAPTIVE_REGIME_NPZ_CACHE_HOU`</t>
        </is>
      </c>
      <c r="E78" s="84" t="inlineStr">
        <is>
          <t>GLOBAL_CHECK, STOCKS_EXIT</t>
        </is>
      </c>
      <c r="F78" s="84" t="inlineStr">
        <is>
          <t>GLOBAL_CHECK, STOCKS_EXIT</t>
        </is>
      </c>
      <c r="G78" s="84" t="inlineStr">
        <is>
          <t>CRYPTO_SPIKE_FADE_THRESHOLD_PCT</t>
        </is>
      </c>
      <c r="H78" s="84" t="inlineStr">
        <is>
          <t>GENERAL</t>
        </is>
      </c>
      <c r="I78" s="84" t="inlineStr">
        <is>
          <t>LIVE — wired</t>
        </is>
      </c>
      <c r="J78" s="85"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4" t="n">
        <v>19</v>
      </c>
      <c r="B79" s="84" t="inlineStr">
        <is>
          <t>CRYPTO_SPIKE_FADE_THRESHOLD_PCT</t>
        </is>
      </c>
      <c r="C79" s="0" t="inlineStr">
        <is>
          <t>12.5</t>
        </is>
      </c>
      <c r="D79" s="84" t="inlineStr">
        <is>
          <t>Blocks entries after crypto spike &gt; threshold (fade the spike). | Live read: `ME_LOOKBACK_DAYS', 'ADAPTIVE_REGIME_MIN_SIGNALS', 'ADAPTIVE_REGIME_NPZ_CACHE_HOU`</t>
        </is>
      </c>
      <c r="E79" s="84" t="inlineStr">
        <is>
          <t>GLOBAL_CHECK, STOCKS_EXIT</t>
        </is>
      </c>
      <c r="F79" s="84" t="inlineStr">
        <is>
          <t>GLOBAL_CHECK, STOCKS_EXIT</t>
        </is>
      </c>
      <c r="G79" s="84" t="inlineStr">
        <is>
          <t>CRYPTO_SPIKE_FADE_THRESHOLD_PCT</t>
        </is>
      </c>
      <c r="H79" s="84" t="inlineStr">
        <is>
          <t>GENERAL</t>
        </is>
      </c>
      <c r="I79" s="84" t="inlineStr">
        <is>
          <t>LIVE — wired</t>
        </is>
      </c>
      <c r="J79" s="85"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4" t="n">
        <v>19</v>
      </c>
      <c r="B80" s="84" t="inlineStr">
        <is>
          <t>CRYPTO_SPIKE_FADE_THRESHOLD_PCT</t>
        </is>
      </c>
      <c r="C80" s="0" t="inlineStr">
        <is>
          <t>7.5</t>
        </is>
      </c>
      <c r="D80" s="84" t="inlineStr">
        <is>
          <t>Blocks entries after crypto spike &gt; threshold (fade the spike). | Live read: `ME_LOOKBACK_DAYS', 'ADAPTIVE_REGIME_MIN_SIGNALS', 'ADAPTIVE_REGIME_NPZ_CACHE_HOU`</t>
        </is>
      </c>
      <c r="E80" s="84" t="inlineStr">
        <is>
          <t>GLOBAL_CHECK, STOCKS_EXIT</t>
        </is>
      </c>
      <c r="F80" s="84" t="inlineStr">
        <is>
          <t>GLOBAL_CHECK, STOCKS_EXIT</t>
        </is>
      </c>
      <c r="G80" s="84" t="inlineStr">
        <is>
          <t>CRYPTO_SPIKE_FADE_THRESHOLD_PCT</t>
        </is>
      </c>
      <c r="H80" s="84" t="inlineStr">
        <is>
          <t>GENERAL</t>
        </is>
      </c>
      <c r="I80" s="84" t="inlineStr">
        <is>
          <t>LIVE — wired</t>
        </is>
      </c>
      <c r="J80" s="85"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4" t="n">
        <v>19</v>
      </c>
      <c r="B81" s="84" t="inlineStr">
        <is>
          <t>CRYPTO_SPIKE_FADE_THRESHOLD_PCT</t>
        </is>
      </c>
      <c r="C81" s="0" t="inlineStr">
        <is>
          <t>5</t>
        </is>
      </c>
      <c r="D81" s="84" t="inlineStr">
        <is>
          <t>Blocks entries after crypto spike &gt; threshold (fade the spike). | Live read: `ME_LOOKBACK_DAYS', 'ADAPTIVE_REGIME_MIN_SIGNALS', 'ADAPTIVE_REGIME_NPZ_CACHE_HOU`</t>
        </is>
      </c>
      <c r="E81" s="84" t="inlineStr">
        <is>
          <t>GLOBAL_CHECK, STOCKS_EXIT</t>
        </is>
      </c>
      <c r="F81" s="84" t="inlineStr">
        <is>
          <t>GLOBAL_CHECK, STOCKS_EXIT</t>
        </is>
      </c>
      <c r="G81" s="84" t="inlineStr">
        <is>
          <t>CRYPTO_SPIKE_FADE_THRESHOLD_PCT</t>
        </is>
      </c>
      <c r="H81" s="84" t="inlineStr">
        <is>
          <t>GENERAL</t>
        </is>
      </c>
      <c r="I81" s="84" t="inlineStr">
        <is>
          <t>LIVE — wired</t>
        </is>
      </c>
      <c r="J81" s="85"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6" t="n">
        <v>20</v>
      </c>
      <c r="B82" s="96"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6" t="n">
        <v>21</v>
      </c>
      <c r="B87" s="96"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6" t="n">
        <v>22</v>
      </c>
      <c r="B92" s="96"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5" t="n">
        <v>23</v>
      </c>
      <c r="B97" s="95" t="inlineStr">
        <is>
          <t>DC_MOMENT_STRONG_THRESHOLD</t>
        </is>
      </c>
      <c r="C97" s="0" t="inlineStr">
        <is>
          <t>40</t>
        </is>
      </c>
      <c r="D97" s="84" t="inlineStr">
        <is>
          <t>Threshold for strong momentum regime (DC momentum). | Live read: `ROW_ENABLED', 'BAR_PATTERNS_FILTER_TF', 'BB_PULLBACK_GATE_FILTER_TF', 'BB_PULLBA`</t>
        </is>
      </c>
      <c r="E97" s="84" t="inlineStr">
        <is>
          <t>ENTRY, GLOBAL_CHECK, STOCKS_EXIT</t>
        </is>
      </c>
      <c r="F97" s="84" t="inlineStr">
        <is>
          <t>ENTRY, GLOBAL_CHECK, STOCKS_EXIT</t>
        </is>
      </c>
      <c r="G97" s="84" t="inlineStr">
        <is>
          <t>DC_MOMENT_STRONG_THRESHOLD</t>
        </is>
      </c>
      <c r="H97" s="84" t="inlineStr">
        <is>
          <t>GENERAL</t>
        </is>
      </c>
      <c r="I97" s="84" t="inlineStr">
        <is>
          <t>LIVE — wired</t>
        </is>
      </c>
      <c r="J97" s="85"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4" t="n">
        <v>23</v>
      </c>
      <c r="B98" s="84" t="inlineStr">
        <is>
          <t>DC_MOMENT_STRONG_THRESHOLD</t>
        </is>
      </c>
      <c r="C98" s="0" t="inlineStr">
        <is>
          <t>50</t>
        </is>
      </c>
      <c r="D98" s="84" t="inlineStr">
        <is>
          <t>Threshold for strong momentum regime (DC momentum). | Live read: `ROW_ENABLED', 'BAR_PATTERNS_FILTER_TF', 'BB_PULLBACK_GATE_FILTER_TF', 'BB_PULLBA`</t>
        </is>
      </c>
      <c r="E98" s="84" t="inlineStr">
        <is>
          <t>ENTRY, GLOBAL_CHECK, STOCKS_EXIT</t>
        </is>
      </c>
      <c r="F98" s="84" t="inlineStr">
        <is>
          <t>ENTRY, GLOBAL_CHECK, STOCKS_EXIT</t>
        </is>
      </c>
      <c r="G98" s="84" t="inlineStr">
        <is>
          <t>DC_MOMENT_STRONG_THRESHOLD</t>
        </is>
      </c>
      <c r="H98" s="84" t="inlineStr">
        <is>
          <t>GENERAL</t>
        </is>
      </c>
      <c r="I98" s="84" t="inlineStr">
        <is>
          <t>LIVE — wired</t>
        </is>
      </c>
      <c r="J98" s="85"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4" t="n">
        <v>23</v>
      </c>
      <c r="B99" s="84" t="inlineStr">
        <is>
          <t>DC_MOMENT_STRONG_THRESHOLD</t>
        </is>
      </c>
      <c r="C99" s="0" t="inlineStr">
        <is>
          <t>30</t>
        </is>
      </c>
      <c r="D99" s="84" t="inlineStr">
        <is>
          <t>Threshold for strong momentum regime (DC momentum). | Live read: `ROW_ENABLED', 'BAR_PATTERNS_FILTER_TF', 'BB_PULLBACK_GATE_FILTER_TF', 'BB_PULLBA`</t>
        </is>
      </c>
      <c r="E99" s="84" t="inlineStr">
        <is>
          <t>ENTRY, GLOBAL_CHECK, STOCKS_EXIT</t>
        </is>
      </c>
      <c r="F99" s="84" t="inlineStr">
        <is>
          <t>ENTRY, GLOBAL_CHECK, STOCKS_EXIT</t>
        </is>
      </c>
      <c r="G99" s="84" t="inlineStr">
        <is>
          <t>DC_MOMENT_STRONG_THRESHOLD</t>
        </is>
      </c>
      <c r="H99" s="84" t="inlineStr">
        <is>
          <t>GENERAL</t>
        </is>
      </c>
      <c r="I99" s="84" t="inlineStr">
        <is>
          <t>LIVE — wired</t>
        </is>
      </c>
      <c r="J99" s="85"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4" t="n">
        <v>23</v>
      </c>
      <c r="B100" s="84" t="inlineStr">
        <is>
          <t>DC_MOMENT_STRONG_THRESHOLD</t>
        </is>
      </c>
      <c r="C100" s="0" t="inlineStr">
        <is>
          <t>20</t>
        </is>
      </c>
      <c r="D100" s="84" t="inlineStr">
        <is>
          <t>Threshold for strong momentum regime (DC momentum). | Live read: `ROW_ENABLED', 'BAR_PATTERNS_FILTER_TF', 'BB_PULLBACK_GATE_FILTER_TF', 'BB_PULLBA`</t>
        </is>
      </c>
      <c r="E100" s="84" t="inlineStr">
        <is>
          <t>ENTRY, GLOBAL_CHECK, STOCKS_EXIT</t>
        </is>
      </c>
      <c r="F100" s="84" t="inlineStr">
        <is>
          <t>ENTRY, GLOBAL_CHECK, STOCKS_EXIT</t>
        </is>
      </c>
      <c r="G100" s="84" t="inlineStr">
        <is>
          <t>DC_MOMENT_STRONG_THRESHOLD</t>
        </is>
      </c>
      <c r="H100" s="84" t="inlineStr">
        <is>
          <t>GENERAL</t>
        </is>
      </c>
      <c r="I100" s="84" t="inlineStr">
        <is>
          <t>LIVE — wired</t>
        </is>
      </c>
      <c r="J100" s="85"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6" t="n">
        <v>24</v>
      </c>
      <c r="B101" s="96"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5" t="n">
        <v>25</v>
      </c>
      <c r="B106" s="95" t="inlineStr">
        <is>
          <t>DELTA_HTF_GATE</t>
        </is>
      </c>
      <c r="C106" s="0" t="inlineStr">
        <is>
          <t>4h</t>
        </is>
      </c>
      <c r="D106" s="84" t="inlineStr">
        <is>
          <t>Delta HTF alignment gate (requires HTF delta agreement). | Live read: `N_TFS', 'BB_RECOVERY_FILTER_TF', 'BTC_DEDICATED_FILTER_TF', 'BTC_DIVERGENCE_REQU`</t>
        </is>
      </c>
      <c r="E106" s="84" t="inlineStr">
        <is>
          <t>ENTRY, GLOBAL_CHECK, STOCKS_EXIT</t>
        </is>
      </c>
      <c r="F106" s="84" t="inlineStr">
        <is>
          <t>ENTRY, GLOBAL_CHECK, STOCKS_EXIT</t>
        </is>
      </c>
      <c r="G106" s="84" t="inlineStr">
        <is>
          <t>DELTA_HTF_GATE</t>
        </is>
      </c>
      <c r="H106" s="84" t="inlineStr">
        <is>
          <t>GENERAL</t>
        </is>
      </c>
      <c r="I106" s="84" t="inlineStr">
        <is>
          <t>LIVE — wired</t>
        </is>
      </c>
      <c r="J106" s="85"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4" t="n">
        <v>25</v>
      </c>
      <c r="B107" s="84" t="inlineStr">
        <is>
          <t>DELTA_HTF_GATE</t>
        </is>
      </c>
      <c r="C107" s="0" t="inlineStr">
        <is>
          <t>4h_ALT</t>
        </is>
      </c>
      <c r="D107" s="84" t="inlineStr">
        <is>
          <t>Delta HTF alignment gate (requires HTF delta agreement). | Live read: `N_TFS', 'BB_RECOVERY_FILTER_TF', 'BTC_DEDICATED_FILTER_TF', 'BTC_DIVERGENCE_REQU`</t>
        </is>
      </c>
      <c r="E107" s="84" t="inlineStr">
        <is>
          <t>ENTRY, GLOBAL_CHECK, STOCKS_EXIT</t>
        </is>
      </c>
      <c r="F107" s="84" t="inlineStr">
        <is>
          <t>ENTRY, GLOBAL_CHECK, STOCKS_EXIT</t>
        </is>
      </c>
      <c r="G107" s="84" t="inlineStr">
        <is>
          <t>DELTA_HTF_GATE</t>
        </is>
      </c>
      <c r="H107" s="84" t="inlineStr">
        <is>
          <t>GENERAL</t>
        </is>
      </c>
      <c r="I107" s="84" t="inlineStr">
        <is>
          <t>LIVE — wired</t>
        </is>
      </c>
      <c r="J107" s="85"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5" t="n">
        <v>26</v>
      </c>
      <c r="B108" s="95" t="inlineStr">
        <is>
          <t>DELTA_REENTRY_FILTER_ENABLED</t>
        </is>
      </c>
      <c r="C108" s="0" t="inlineStr">
        <is>
          <t>False</t>
        </is>
      </c>
      <c r="D108" s="84" t="inlineStr">
        <is>
          <t>When OFF, disables delta-based reentry gating. | Live read: `Y_REQUIRE_TREND', 'BTC_ENTRY_PRIMARY_REQUIRE_ACCEL_RAMP', 'BTC_ENTRY_PRIMARY_REQ`</t>
        </is>
      </c>
      <c r="E108" s="84" t="inlineStr">
        <is>
          <t>ENTRY, GLOBAL_CHECK, STOCKS_EXIT</t>
        </is>
      </c>
      <c r="F108" s="84" t="inlineStr">
        <is>
          <t>ENTRY, GLOBAL_CHECK, STOCKS_EXIT</t>
        </is>
      </c>
      <c r="G108" s="84" t="inlineStr">
        <is>
          <t>DELTA_REENTRY_FILTER_ENABLED</t>
        </is>
      </c>
      <c r="H108" s="84" t="inlineStr">
        <is>
          <t>GENERAL</t>
        </is>
      </c>
      <c r="I108" s="84" t="inlineStr">
        <is>
          <t>LIVE — wired</t>
        </is>
      </c>
      <c r="J108" s="85"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4" t="n">
        <v>26</v>
      </c>
      <c r="B109" s="84" t="inlineStr">
        <is>
          <t>DELTA_REENTRY_FILTER_ENABLED</t>
        </is>
      </c>
      <c r="C109" s="0" t="inlineStr">
        <is>
          <t>True</t>
        </is>
      </c>
      <c r="D109" s="84" t="inlineStr">
        <is>
          <t>When OFF, disables delta-based reentry gating. | Live read: `Y_REQUIRE_TREND', 'BTC_ENTRY_PRIMARY_REQUIRE_ACCEL_RAMP', 'BTC_ENTRY_PRIMARY_REQ`</t>
        </is>
      </c>
      <c r="E109" s="84" t="inlineStr">
        <is>
          <t>ENTRY, GLOBAL_CHECK, STOCKS_EXIT</t>
        </is>
      </c>
      <c r="F109" s="84" t="inlineStr">
        <is>
          <t>ENTRY, GLOBAL_CHECK, STOCKS_EXIT</t>
        </is>
      </c>
      <c r="G109" s="84" t="inlineStr">
        <is>
          <t>DELTA_REENTRY_FILTER_ENABLED</t>
        </is>
      </c>
      <c r="H109" s="84" t="inlineStr">
        <is>
          <t>GENERAL</t>
        </is>
      </c>
      <c r="I109" s="84" t="inlineStr">
        <is>
          <t>LIVE — wired</t>
        </is>
      </c>
      <c r="J109" s="85"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5" t="n">
        <v>27</v>
      </c>
      <c r="B110" s="95" t="inlineStr">
        <is>
          <t>DUP_GUARD_FILTER_TF</t>
        </is>
      </c>
      <c r="C110" s="0" t="inlineStr">
        <is>
          <t>OFF</t>
        </is>
      </c>
      <c r="D110" s="84" t="inlineStr">
        <is>
          <t>Duplicate guard — prevents re-entering same signal on FILTER_TF. | Live read: `DIVERGENCE_REQUIRE_D_CONFIRM_BARS', 'BTC_HARD_BLOCK_OTHER_ACCOUNTS', 'BTC_REGIME`</t>
        </is>
      </c>
      <c r="E110" s="84" t="inlineStr">
        <is>
          <t>GLOBAL_CHECK</t>
        </is>
      </c>
      <c r="F110" s="84" t="inlineStr">
        <is>
          <t>GLOBAL_CHECK</t>
        </is>
      </c>
      <c r="G110" s="84" t="inlineStr">
        <is>
          <t>DUP_GUARD</t>
        </is>
      </c>
      <c r="H110" s="84" t="inlineStr">
        <is>
          <t>GENERAL — uniform</t>
        </is>
      </c>
      <c r="I110" s="84" t="inlineStr">
        <is>
          <t>LIVE — wired</t>
        </is>
      </c>
      <c r="J110" s="85"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4" t="n">
        <v>27</v>
      </c>
      <c r="B111" s="84" t="inlineStr">
        <is>
          <t>DUP_GUARD_FILTER_TF</t>
        </is>
      </c>
      <c r="C111" s="0" t="inlineStr">
        <is>
          <t>D</t>
        </is>
      </c>
      <c r="D111" s="84" t="inlineStr">
        <is>
          <t>Duplicate guard — prevents re-entering same signal on FILTER_TF. | Live read: `DIVERGENCE_REQUIRE_D_CONFIRM_BARS', 'BTC_HARD_BLOCK_OTHER_ACCOUNTS', 'BTC_REGIME`</t>
        </is>
      </c>
      <c r="E111" s="84" t="inlineStr">
        <is>
          <t>GLOBAL_CHECK</t>
        </is>
      </c>
      <c r="F111" s="84" t="inlineStr">
        <is>
          <t>GLOBAL_CHECK</t>
        </is>
      </c>
      <c r="G111" s="84" t="inlineStr">
        <is>
          <t>DUP_GUARD</t>
        </is>
      </c>
      <c r="H111" s="84" t="inlineStr">
        <is>
          <t>GENERAL — uniform</t>
        </is>
      </c>
      <c r="I111" s="84" t="inlineStr">
        <is>
          <t>LIVE — wired</t>
        </is>
      </c>
      <c r="J111" s="85"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4" t="n">
        <v>27</v>
      </c>
      <c r="B112" s="84" t="inlineStr">
        <is>
          <t>DUP_GUARD_FILTER_TF</t>
        </is>
      </c>
      <c r="C112" s="0" t="inlineStr">
        <is>
          <t>4h</t>
        </is>
      </c>
      <c r="D112" s="84" t="inlineStr">
        <is>
          <t>Duplicate guard — prevents re-entering same signal on FILTER_TF. | Live read: `DIVERGENCE_REQUIRE_D_CONFIRM_BARS', 'BTC_HARD_BLOCK_OTHER_ACCOUNTS', 'BTC_REGIME`</t>
        </is>
      </c>
      <c r="E112" s="84" t="inlineStr">
        <is>
          <t>GLOBAL_CHECK</t>
        </is>
      </c>
      <c r="F112" s="84" t="inlineStr">
        <is>
          <t>GLOBAL_CHECK</t>
        </is>
      </c>
      <c r="G112" s="84" t="inlineStr">
        <is>
          <t>DUP_GUARD</t>
        </is>
      </c>
      <c r="H112" s="84" t="inlineStr">
        <is>
          <t>GENERAL — uniform</t>
        </is>
      </c>
      <c r="I112" s="84" t="inlineStr">
        <is>
          <t>LIVE — wired</t>
        </is>
      </c>
      <c r="J112" s="85"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4" t="n">
        <v>27</v>
      </c>
      <c r="B113" s="84" t="inlineStr">
        <is>
          <t>DUP_GUARD_FILTER_TF</t>
        </is>
      </c>
      <c r="C113" s="0" t="inlineStr">
        <is>
          <t>1h</t>
        </is>
      </c>
      <c r="D113" s="84" t="inlineStr">
        <is>
          <t>Duplicate guard — prevents re-entering same signal on FILTER_TF. | Live read: `DIVERGENCE_REQUIRE_D_CONFIRM_BARS', 'BTC_HARD_BLOCK_OTHER_ACCOUNTS', 'BTC_REGIME`</t>
        </is>
      </c>
      <c r="E113" s="84" t="inlineStr">
        <is>
          <t>GLOBAL_CHECK</t>
        </is>
      </c>
      <c r="F113" s="84" t="inlineStr">
        <is>
          <t>GLOBAL_CHECK</t>
        </is>
      </c>
      <c r="G113" s="84" t="inlineStr">
        <is>
          <t>DUP_GUARD</t>
        </is>
      </c>
      <c r="H113" s="84" t="inlineStr">
        <is>
          <t>GENERAL — uniform</t>
        </is>
      </c>
      <c r="I113" s="84" t="inlineStr">
        <is>
          <t>LIVE — wired</t>
        </is>
      </c>
      <c r="J113" s="85"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4" t="n">
        <v>27</v>
      </c>
      <c r="B114" s="84" t="inlineStr">
        <is>
          <t>DUP_GUARD_FILTER_TF</t>
        </is>
      </c>
      <c r="C114" s="0" t="inlineStr">
        <is>
          <t>15m</t>
        </is>
      </c>
      <c r="D114" s="84" t="inlineStr">
        <is>
          <t>Duplicate guard — prevents re-entering same signal on FILTER_TF. | Live read: `DIVERGENCE_REQUIRE_D_CONFIRM_BARS', 'BTC_HARD_BLOCK_OTHER_ACCOUNTS', 'BTC_REGIME`</t>
        </is>
      </c>
      <c r="E114" s="84" t="inlineStr">
        <is>
          <t>GLOBAL_CHECK</t>
        </is>
      </c>
      <c r="F114" s="84" t="inlineStr">
        <is>
          <t>GLOBAL_CHECK</t>
        </is>
      </c>
      <c r="G114" s="84" t="inlineStr">
        <is>
          <t>DUP_GUARD</t>
        </is>
      </c>
      <c r="H114" s="84" t="inlineStr">
        <is>
          <t>GENERAL — uniform</t>
        </is>
      </c>
      <c r="I114" s="84" t="inlineStr">
        <is>
          <t>LIVE — wired</t>
        </is>
      </c>
      <c r="J114" s="85"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8" t="n">
        <v>28</v>
      </c>
      <c r="B115" s="98" t="inlineStr">
        <is>
          <t>E2E_REPLAY_VALIDATOR_FILTER_TF</t>
        </is>
      </c>
      <c r="C115" s="0" t="inlineStr">
        <is>
          <t>OFF</t>
        </is>
      </c>
      <c r="D115" s="87" t="inlineStr">
        <is>
          <t>Dead/misnamed filter — no read in ez_manage/ez_positions_quick/tradier_manage. Appears 0x; likely legacy or typo.</t>
        </is>
      </c>
      <c r="E115" s="87" t="inlineStr">
        <is>
          <t>DEAD</t>
        </is>
      </c>
      <c r="F115" s="87" t="inlineStr">
        <is>
          <t>DEAD</t>
        </is>
      </c>
      <c r="G115" s="87" t="inlineStr">
        <is>
          <t>E2E_REPLAY_VALIDATOR</t>
        </is>
      </c>
      <c r="H115" s="87" t="inlineStr">
        <is>
          <t>SPECIFIC — only gated switches</t>
        </is>
      </c>
      <c r="I115" s="87" t="inlineStr">
        <is>
          <t>DEAD — REMOVE</t>
        </is>
      </c>
      <c r="J115" s="88"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7" t="n">
        <v>28</v>
      </c>
      <c r="B116" s="87" t="inlineStr">
        <is>
          <t>E2E_REPLAY_VALIDATOR_FILTER_TF</t>
        </is>
      </c>
      <c r="C116" s="0" t="inlineStr">
        <is>
          <t>D</t>
        </is>
      </c>
      <c r="D116" s="87" t="inlineStr">
        <is>
          <t>Dead/misnamed filter — no read in ez_manage/ez_positions_quick/tradier_manage. Appears 0x; likely legacy or typo.</t>
        </is>
      </c>
      <c r="E116" s="87" t="inlineStr">
        <is>
          <t>DEAD</t>
        </is>
      </c>
      <c r="F116" s="87" t="inlineStr">
        <is>
          <t>DEAD</t>
        </is>
      </c>
      <c r="G116" s="87" t="inlineStr">
        <is>
          <t>E2E_REPLAY_VALIDATOR</t>
        </is>
      </c>
      <c r="H116" s="87" t="inlineStr">
        <is>
          <t>SPECIFIC — only gated switches</t>
        </is>
      </c>
      <c r="I116" s="87" t="inlineStr">
        <is>
          <t>DEAD — REMOVE</t>
        </is>
      </c>
      <c r="J116" s="88"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7" t="n">
        <v>28</v>
      </c>
      <c r="B117" s="87" t="inlineStr">
        <is>
          <t>E2E_REPLAY_VALIDATOR_FILTER_TF</t>
        </is>
      </c>
      <c r="C117" s="0" t="inlineStr">
        <is>
          <t>4h</t>
        </is>
      </c>
      <c r="D117" s="87" t="inlineStr">
        <is>
          <t>Dead/misnamed filter — no read in ez_manage/ez_positions_quick/tradier_manage. Appears 0x; likely legacy or typo.</t>
        </is>
      </c>
      <c r="E117" s="87" t="inlineStr">
        <is>
          <t>DEAD</t>
        </is>
      </c>
      <c r="F117" s="87" t="inlineStr">
        <is>
          <t>DEAD</t>
        </is>
      </c>
      <c r="G117" s="87" t="inlineStr">
        <is>
          <t>E2E_REPLAY_VALIDATOR</t>
        </is>
      </c>
      <c r="H117" s="87" t="inlineStr">
        <is>
          <t>SPECIFIC — only gated switches</t>
        </is>
      </c>
      <c r="I117" s="87" t="inlineStr">
        <is>
          <t>DEAD — REMOVE</t>
        </is>
      </c>
      <c r="J117" s="88"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7" t="n">
        <v>28</v>
      </c>
      <c r="B118" s="87" t="inlineStr">
        <is>
          <t>E2E_REPLAY_VALIDATOR_FILTER_TF</t>
        </is>
      </c>
      <c r="C118" s="0" t="inlineStr">
        <is>
          <t>1h</t>
        </is>
      </c>
      <c r="D118" s="87" t="inlineStr">
        <is>
          <t>Dead/misnamed filter — no read in ez_manage/ez_positions_quick/tradier_manage. Appears 0x; likely legacy or typo.</t>
        </is>
      </c>
      <c r="E118" s="87" t="inlineStr">
        <is>
          <t>DEAD</t>
        </is>
      </c>
      <c r="F118" s="87" t="inlineStr">
        <is>
          <t>DEAD</t>
        </is>
      </c>
      <c r="G118" s="87" t="inlineStr">
        <is>
          <t>E2E_REPLAY_VALIDATOR</t>
        </is>
      </c>
      <c r="H118" s="87" t="inlineStr">
        <is>
          <t>SPECIFIC — only gated switches</t>
        </is>
      </c>
      <c r="I118" s="87" t="inlineStr">
        <is>
          <t>DEAD — REMOVE</t>
        </is>
      </c>
      <c r="J118" s="88"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7" t="n">
        <v>28</v>
      </c>
      <c r="B119" s="87" t="inlineStr">
        <is>
          <t>E2E_REPLAY_VALIDATOR_FILTER_TF</t>
        </is>
      </c>
      <c r="C119" s="0" t="inlineStr">
        <is>
          <t>15m</t>
        </is>
      </c>
      <c r="D119" s="87" t="inlineStr">
        <is>
          <t>Dead/misnamed filter — no read in ez_manage/ez_positions_quick/tradier_manage. Appears 0x; likely legacy or typo.</t>
        </is>
      </c>
      <c r="E119" s="87" t="inlineStr">
        <is>
          <t>DEAD</t>
        </is>
      </c>
      <c r="F119" s="87" t="inlineStr">
        <is>
          <t>DEAD</t>
        </is>
      </c>
      <c r="G119" s="87" t="inlineStr">
        <is>
          <t>E2E_REPLAY_VALIDATOR</t>
        </is>
      </c>
      <c r="H119" s="87" t="inlineStr">
        <is>
          <t>SPECIFIC — only gated switches</t>
        </is>
      </c>
      <c r="I119" s="87" t="inlineStr">
        <is>
          <t>DEAD — REMOVE</t>
        </is>
      </c>
      <c r="J119" s="88"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6" t="n">
        <v>29</v>
      </c>
      <c r="B120" s="96"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5" t="n">
        <v>30</v>
      </c>
      <c r="B125" s="95" t="inlineStr">
        <is>
          <t>EMA_9_21_FILTER_MIN_TFS</t>
        </is>
      </c>
      <c r="C125" s="0" t="inlineStr">
        <is>
          <t>0</t>
        </is>
      </c>
      <c r="D125" s="84" t="inlineStr">
        <is>
          <t>Threshold/gate: EMA_9_21_FILTER_MIN_TFS — OTHER_ACCOUNTS', 'BTC_REGIME_PAUSE_ENABLED', 'BTC_REVERSE_REQUIRE_HTF_ALIGNED', 'BTC_ROUND_BANDS_EACH_SIDE', 'BT_WT_CROS | ex: `OTHER_ACCOUNTS', 'BTC_REGIME_PAUSE_ENABLED', 'BTC_REVERSE_REQUIRE_HTF_ALIGNED', `</t>
        </is>
      </c>
      <c r="E125" s="84" t="inlineStr">
        <is>
          <t>GLOBAL_CHECK</t>
        </is>
      </c>
      <c r="F125" s="84" t="inlineStr">
        <is>
          <t>GLOBAL_CHECK</t>
        </is>
      </c>
      <c r="G125" s="84" t="inlineStr">
        <is>
          <t>EMA_9_21_FILTER_MIN_TFS</t>
        </is>
      </c>
      <c r="H125" s="84" t="inlineStr">
        <is>
          <t>GENERAL</t>
        </is>
      </c>
      <c r="I125" s="84" t="inlineStr">
        <is>
          <t>LIVE — wired</t>
        </is>
      </c>
      <c r="J125" s="85"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4" t="n">
        <v>30</v>
      </c>
      <c r="B126" s="84" t="inlineStr">
        <is>
          <t>EMA_9_21_FILTER_MIN_TFS</t>
        </is>
      </c>
      <c r="C126" s="0" t="inlineStr">
        <is>
          <t>2</t>
        </is>
      </c>
      <c r="D126" s="84" t="inlineStr">
        <is>
          <t>Threshold/gate: EMA_9_21_FILTER_MIN_TFS — OTHER_ACCOUNTS', 'BTC_REGIME_PAUSE_ENABLED', 'BTC_REVERSE_REQUIRE_HTF_ALIGNED', 'BTC_ROUND_BANDS_EACH_SIDE', 'BT_WT_CROS | ex: `OTHER_ACCOUNTS', 'BTC_REGIME_PAUSE_ENABLED', 'BTC_REVERSE_REQUIRE_HTF_ALIGNED', `</t>
        </is>
      </c>
      <c r="E126" s="84" t="inlineStr">
        <is>
          <t>GLOBAL_CHECK</t>
        </is>
      </c>
      <c r="F126" s="84" t="inlineStr">
        <is>
          <t>GLOBAL_CHECK</t>
        </is>
      </c>
      <c r="G126" s="84" t="inlineStr">
        <is>
          <t>EMA_9_21_FILTER_MIN_TFS</t>
        </is>
      </c>
      <c r="H126" s="84" t="inlineStr">
        <is>
          <t>GENERAL</t>
        </is>
      </c>
      <c r="I126" s="84" t="inlineStr">
        <is>
          <t>LIVE — wired</t>
        </is>
      </c>
      <c r="J126" s="85"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4" t="n">
        <v>30</v>
      </c>
      <c r="B127" s="84" t="inlineStr">
        <is>
          <t>EMA_9_21_FILTER_MIN_TFS</t>
        </is>
      </c>
      <c r="C127" s="0" t="inlineStr">
        <is>
          <t>1</t>
        </is>
      </c>
      <c r="D127" s="84" t="inlineStr">
        <is>
          <t>Threshold/gate: EMA_9_21_FILTER_MIN_TFS — OTHER_ACCOUNTS', 'BTC_REGIME_PAUSE_ENABLED', 'BTC_REVERSE_REQUIRE_HTF_ALIGNED', 'BTC_ROUND_BANDS_EACH_SIDE', 'BT_WT_CROS | ex: `OTHER_ACCOUNTS', 'BTC_REGIME_PAUSE_ENABLED', 'BTC_REVERSE_REQUIRE_HTF_ALIGNED', `</t>
        </is>
      </c>
      <c r="E127" s="84" t="inlineStr">
        <is>
          <t>GLOBAL_CHECK</t>
        </is>
      </c>
      <c r="F127" s="84" t="inlineStr">
        <is>
          <t>GLOBAL_CHECK</t>
        </is>
      </c>
      <c r="G127" s="84" t="inlineStr">
        <is>
          <t>EMA_9_21_FILTER_MIN_TFS</t>
        </is>
      </c>
      <c r="H127" s="84" t="inlineStr">
        <is>
          <t>GENERAL</t>
        </is>
      </c>
      <c r="I127" s="84" t="inlineStr">
        <is>
          <t>LIVE — wired</t>
        </is>
      </c>
      <c r="J127" s="85"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5" t="n">
        <v>31</v>
      </c>
      <c r="B128" s="95" t="inlineStr">
        <is>
          <t>EMA_BLANKET_FILTER_ENABLED</t>
        </is>
      </c>
      <c r="C128" s="0" t="inlineStr">
        <is>
          <t>False</t>
        </is>
      </c>
      <c r="D128" s="84" t="inlineStr">
        <is>
          <t>Blanket EMA filter (price above/below EMA blanket). | Live read: `E_PAUSE_ENABLED', 'BTC_REVERSE_REQUIRE_HTF_ALIGNED', 'BTC_ROUND_BANDS_EACH_SIDE'`</t>
        </is>
      </c>
      <c r="E128" s="84" t="inlineStr">
        <is>
          <t>GLOBAL_CHECK</t>
        </is>
      </c>
      <c r="F128" s="84" t="inlineStr">
        <is>
          <t>GLOBAL_CHECK</t>
        </is>
      </c>
      <c r="G128" s="84" t="inlineStr">
        <is>
          <t>EMA_BLANKET_FILTER_ENABLED</t>
        </is>
      </c>
      <c r="H128" s="84" t="inlineStr">
        <is>
          <t>GENERAL</t>
        </is>
      </c>
      <c r="I128" s="84" t="inlineStr">
        <is>
          <t>LIVE — wired</t>
        </is>
      </c>
      <c r="J128" s="85"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4" t="n">
        <v>31</v>
      </c>
      <c r="B129" s="84" t="inlineStr">
        <is>
          <t>EMA_BLANKET_FILTER_ENABLED</t>
        </is>
      </c>
      <c r="C129" s="0" t="inlineStr">
        <is>
          <t>True</t>
        </is>
      </c>
      <c r="D129" s="84" t="inlineStr">
        <is>
          <t>Blanket EMA filter (price above/below EMA blanket). | Live read: `E_PAUSE_ENABLED', 'BTC_REVERSE_REQUIRE_HTF_ALIGNED', 'BTC_ROUND_BANDS_EACH_SIDE'`</t>
        </is>
      </c>
      <c r="E129" s="84" t="inlineStr">
        <is>
          <t>GLOBAL_CHECK</t>
        </is>
      </c>
      <c r="F129" s="84" t="inlineStr">
        <is>
          <t>GLOBAL_CHECK</t>
        </is>
      </c>
      <c r="G129" s="84" t="inlineStr">
        <is>
          <t>EMA_BLANKET_FILTER_ENABLED</t>
        </is>
      </c>
      <c r="H129" s="84" t="inlineStr">
        <is>
          <t>GENERAL</t>
        </is>
      </c>
      <c r="I129" s="84" t="inlineStr">
        <is>
          <t>LIVE — wired</t>
        </is>
      </c>
      <c r="J129" s="85"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6" t="n">
        <v>32</v>
      </c>
      <c r="B130" s="96"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5" t="n">
        <v>33</v>
      </c>
      <c r="B135" s="95" t="inlineStr">
        <is>
          <t>EMA_BLANKET_FILTER_MIN_TFS</t>
        </is>
      </c>
      <c r="C135" s="0" t="inlineStr">
        <is>
          <t>0</t>
        </is>
      </c>
      <c r="D135" s="84" t="inlineStr">
        <is>
          <t>Threshold/gate: EMA_BLANKET_FILTER_MIN_TFS — D_BANDS_EACH_SIDE', 'BT_WT_CROSS_LADDER_FILTER_TF', 'CIRCUIT_SHARPE_GATES_ENABLED', 'CIRCUIT_SHARPE_GATES_FILTER_TF', 'C | ex: `D_BANDS_EACH_SIDE', 'BT_WT_CROSS_LADDER_FILTER_TF', 'CIRCUIT_SHARPE_GATES_ENABLE`</t>
        </is>
      </c>
      <c r="E135" s="84" t="inlineStr">
        <is>
          <t>GLOBAL_CHECK</t>
        </is>
      </c>
      <c r="F135" s="84" t="inlineStr">
        <is>
          <t>GLOBAL_CHECK</t>
        </is>
      </c>
      <c r="G135" s="84" t="inlineStr">
        <is>
          <t>EMA_BLANKET_FILTER_MIN_TFS</t>
        </is>
      </c>
      <c r="H135" s="84" t="inlineStr">
        <is>
          <t>GENERAL</t>
        </is>
      </c>
      <c r="I135" s="84" t="inlineStr">
        <is>
          <t>LIVE — wired</t>
        </is>
      </c>
      <c r="J135" s="85"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4" t="n">
        <v>33</v>
      </c>
      <c r="B136" s="84" t="inlineStr">
        <is>
          <t>EMA_BLANKET_FILTER_MIN_TFS</t>
        </is>
      </c>
      <c r="C136" s="0" t="inlineStr">
        <is>
          <t>2</t>
        </is>
      </c>
      <c r="D136" s="84" t="inlineStr">
        <is>
          <t>Threshold/gate: EMA_BLANKET_FILTER_MIN_TFS — D_BANDS_EACH_SIDE', 'BT_WT_CROSS_LADDER_FILTER_TF', 'CIRCUIT_SHARPE_GATES_ENABLED', 'CIRCUIT_SHARPE_GATES_FILTER_TF', 'C | ex: `D_BANDS_EACH_SIDE', 'BT_WT_CROSS_LADDER_FILTER_TF', 'CIRCUIT_SHARPE_GATES_ENABLE`</t>
        </is>
      </c>
      <c r="E136" s="84" t="inlineStr">
        <is>
          <t>GLOBAL_CHECK</t>
        </is>
      </c>
      <c r="F136" s="84" t="inlineStr">
        <is>
          <t>GLOBAL_CHECK</t>
        </is>
      </c>
      <c r="G136" s="84" t="inlineStr">
        <is>
          <t>EMA_BLANKET_FILTER_MIN_TFS</t>
        </is>
      </c>
      <c r="H136" s="84" t="inlineStr">
        <is>
          <t>GENERAL</t>
        </is>
      </c>
      <c r="I136" s="84" t="inlineStr">
        <is>
          <t>LIVE — wired</t>
        </is>
      </c>
      <c r="J136" s="85"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4" t="n">
        <v>33</v>
      </c>
      <c r="B137" s="84" t="inlineStr">
        <is>
          <t>EMA_BLANKET_FILTER_MIN_TFS</t>
        </is>
      </c>
      <c r="C137" s="0" t="inlineStr">
        <is>
          <t>1</t>
        </is>
      </c>
      <c r="D137" s="84" t="inlineStr">
        <is>
          <t>Threshold/gate: EMA_BLANKET_FILTER_MIN_TFS — D_BANDS_EACH_SIDE', 'BT_WT_CROSS_LADDER_FILTER_TF', 'CIRCUIT_SHARPE_GATES_ENABLED', 'CIRCUIT_SHARPE_GATES_FILTER_TF', 'C | ex: `D_BANDS_EACH_SIDE', 'BT_WT_CROSS_LADDER_FILTER_TF', 'CIRCUIT_SHARPE_GATES_ENABLE`</t>
        </is>
      </c>
      <c r="E137" s="84" t="inlineStr">
        <is>
          <t>GLOBAL_CHECK</t>
        </is>
      </c>
      <c r="F137" s="84" t="inlineStr">
        <is>
          <t>GLOBAL_CHECK</t>
        </is>
      </c>
      <c r="G137" s="84" t="inlineStr">
        <is>
          <t>EMA_BLANKET_FILTER_MIN_TFS</t>
        </is>
      </c>
      <c r="H137" s="84" t="inlineStr">
        <is>
          <t>GENERAL</t>
        </is>
      </c>
      <c r="I137" s="84" t="inlineStr">
        <is>
          <t>LIVE — wired</t>
        </is>
      </c>
      <c r="J137" s="85"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6" t="n">
        <v>34</v>
      </c>
      <c r="B138" s="96"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5" t="n">
        <v>35</v>
      </c>
      <c r="B143" s="95" t="inlineStr">
        <is>
          <t>EXECUTE_NOW_SINGLE_GATE_ENFORCE</t>
        </is>
      </c>
      <c r="C143" s="0" t="inlineStr">
        <is>
          <t>0.0</t>
        </is>
      </c>
      <c r="D143" s="84" t="inlineStr">
        <is>
          <t>Enforces single-gate through execute_now (THE ONLY gate). | Live read: `'EXECUTE_NOW_SINGLE_GATE_ENFORCE', 'EXECUTE_NOW_WIRE_TRIPWIRE_MAX_LAG_S', 'EXECU`</t>
        </is>
      </c>
      <c r="E143" s="84" t="inlineStr">
        <is>
          <t>ENTRY, GLOBAL_CHECK, STOCKS_EXIT</t>
        </is>
      </c>
      <c r="F143" s="84" t="inlineStr">
        <is>
          <t>ENTRY, GLOBAL_CHECK, STOCKS_EXIT</t>
        </is>
      </c>
      <c r="G143" s="84" t="inlineStr">
        <is>
          <t>EXECUTE_NOW_SINGLE_GATE_ENFORCE</t>
        </is>
      </c>
      <c r="H143" s="84" t="inlineStr">
        <is>
          <t>GENERAL</t>
        </is>
      </c>
      <c r="I143" s="84" t="inlineStr">
        <is>
          <t>LIVE — wired</t>
        </is>
      </c>
      <c r="J143" s="85"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4" t="n">
        <v>35</v>
      </c>
      <c r="B144" s="84" t="inlineStr">
        <is>
          <t>EXECUTE_NOW_SINGLE_GATE_ENFORCE</t>
        </is>
      </c>
      <c r="C144" s="0" t="inlineStr">
        <is>
          <t>0.0_ALT</t>
        </is>
      </c>
      <c r="D144" s="84" t="inlineStr">
        <is>
          <t>Enforces single-gate through execute_now (THE ONLY gate). | Live read: `'EXECUTE_NOW_SINGLE_GATE_ENFORCE', 'EXECUTE_NOW_WIRE_TRIPWIRE_MAX_LAG_S', 'EXECU`</t>
        </is>
      </c>
      <c r="E144" s="84" t="inlineStr">
        <is>
          <t>ENTRY, GLOBAL_CHECK, STOCKS_EXIT</t>
        </is>
      </c>
      <c r="F144" s="84" t="inlineStr">
        <is>
          <t>ENTRY, GLOBAL_CHECK, STOCKS_EXIT</t>
        </is>
      </c>
      <c r="G144" s="84" t="inlineStr">
        <is>
          <t>EXECUTE_NOW_SINGLE_GATE_ENFORCE</t>
        </is>
      </c>
      <c r="H144" s="84" t="inlineStr">
        <is>
          <t>GENERAL</t>
        </is>
      </c>
      <c r="I144" s="84" t="inlineStr">
        <is>
          <t>LIVE — wired</t>
        </is>
      </c>
      <c r="J144" s="85"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8" t="n">
        <v>36</v>
      </c>
      <c r="B145" s="98" t="inlineStr">
        <is>
          <t>EXHAUSTION_EXIT_FILTER_TF</t>
        </is>
      </c>
      <c r="C145" s="0" t="inlineStr">
        <is>
          <t>OFF</t>
        </is>
      </c>
      <c r="D145" s="87" t="inlineStr">
        <is>
          <t>Dead/misnamed filter — no read in ez_manage/ez_positions_quick/tradier_manage. Appears 0x; likely legacy or typo.</t>
        </is>
      </c>
      <c r="E145" s="87" t="inlineStr">
        <is>
          <t>DEAD</t>
        </is>
      </c>
      <c r="F145" s="87" t="inlineStr">
        <is>
          <t>DEAD</t>
        </is>
      </c>
      <c r="G145" s="87" t="inlineStr">
        <is>
          <t>EXHAUSTION_EXIT</t>
        </is>
      </c>
      <c r="H145" s="87" t="inlineStr">
        <is>
          <t>SPECIFIC — only gated switches</t>
        </is>
      </c>
      <c r="I145" s="87" t="inlineStr">
        <is>
          <t>DEAD — REMOVE</t>
        </is>
      </c>
      <c r="J145" s="88"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7" t="n">
        <v>36</v>
      </c>
      <c r="B146" s="87" t="inlineStr">
        <is>
          <t>EXHAUSTION_EXIT_FILTER_TF</t>
        </is>
      </c>
      <c r="C146" s="0" t="inlineStr">
        <is>
          <t>D</t>
        </is>
      </c>
      <c r="D146" s="87" t="inlineStr">
        <is>
          <t>Dead/misnamed filter — no read in ez_manage/ez_positions_quick/tradier_manage. Appears 0x; likely legacy or typo.</t>
        </is>
      </c>
      <c r="E146" s="87" t="inlineStr">
        <is>
          <t>DEAD</t>
        </is>
      </c>
      <c r="F146" s="87" t="inlineStr">
        <is>
          <t>DEAD</t>
        </is>
      </c>
      <c r="G146" s="87" t="inlineStr">
        <is>
          <t>EXHAUSTION_EXIT</t>
        </is>
      </c>
      <c r="H146" s="87" t="inlineStr">
        <is>
          <t>SPECIFIC — only gated switches</t>
        </is>
      </c>
      <c r="I146" s="87" t="inlineStr">
        <is>
          <t>DEAD — REMOVE</t>
        </is>
      </c>
      <c r="J146" s="88"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7" t="n">
        <v>36</v>
      </c>
      <c r="B147" s="87" t="inlineStr">
        <is>
          <t>EXHAUSTION_EXIT_FILTER_TF</t>
        </is>
      </c>
      <c r="C147" s="0" t="inlineStr">
        <is>
          <t>4h</t>
        </is>
      </c>
      <c r="D147" s="87" t="inlineStr">
        <is>
          <t>Dead/misnamed filter — no read in ez_manage/ez_positions_quick/tradier_manage. Appears 0x; likely legacy or typo.</t>
        </is>
      </c>
      <c r="E147" s="87" t="inlineStr">
        <is>
          <t>DEAD</t>
        </is>
      </c>
      <c r="F147" s="87" t="inlineStr">
        <is>
          <t>DEAD</t>
        </is>
      </c>
      <c r="G147" s="87" t="inlineStr">
        <is>
          <t>EXHAUSTION_EXIT</t>
        </is>
      </c>
      <c r="H147" s="87" t="inlineStr">
        <is>
          <t>SPECIFIC — only gated switches</t>
        </is>
      </c>
      <c r="I147" s="87" t="inlineStr">
        <is>
          <t>DEAD — REMOVE</t>
        </is>
      </c>
      <c r="J147" s="88"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7" t="n">
        <v>36</v>
      </c>
      <c r="B148" s="87" t="inlineStr">
        <is>
          <t>EXHAUSTION_EXIT_FILTER_TF</t>
        </is>
      </c>
      <c r="C148" s="0" t="inlineStr">
        <is>
          <t>1h</t>
        </is>
      </c>
      <c r="D148" s="87" t="inlineStr">
        <is>
          <t>Dead/misnamed filter — no read in ez_manage/ez_positions_quick/tradier_manage. Appears 0x; likely legacy or typo.</t>
        </is>
      </c>
      <c r="E148" s="87" t="inlineStr">
        <is>
          <t>DEAD</t>
        </is>
      </c>
      <c r="F148" s="87" t="inlineStr">
        <is>
          <t>DEAD</t>
        </is>
      </c>
      <c r="G148" s="87" t="inlineStr">
        <is>
          <t>EXHAUSTION_EXIT</t>
        </is>
      </c>
      <c r="H148" s="87" t="inlineStr">
        <is>
          <t>SPECIFIC — only gated switches</t>
        </is>
      </c>
      <c r="I148" s="87" t="inlineStr">
        <is>
          <t>DEAD — REMOVE</t>
        </is>
      </c>
      <c r="J148" s="88"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7" t="n">
        <v>36</v>
      </c>
      <c r="B149" s="87" t="inlineStr">
        <is>
          <t>EXHAUSTION_EXIT_FILTER_TF</t>
        </is>
      </c>
      <c r="C149" s="0" t="inlineStr">
        <is>
          <t>15m</t>
        </is>
      </c>
      <c r="D149" s="87" t="inlineStr">
        <is>
          <t>Dead/misnamed filter — no read in ez_manage/ez_positions_quick/tradier_manage. Appears 0x; likely legacy or typo.</t>
        </is>
      </c>
      <c r="E149" s="87" t="inlineStr">
        <is>
          <t>DEAD</t>
        </is>
      </c>
      <c r="F149" s="87" t="inlineStr">
        <is>
          <t>DEAD</t>
        </is>
      </c>
      <c r="G149" s="87" t="inlineStr">
        <is>
          <t>EXHAUSTION_EXIT</t>
        </is>
      </c>
      <c r="H149" s="87" t="inlineStr">
        <is>
          <t>SPECIFIC — only gated switches</t>
        </is>
      </c>
      <c r="I149" s="87" t="inlineStr">
        <is>
          <t>DEAD — REMOVE</t>
        </is>
      </c>
      <c r="J149" s="88"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6" t="n">
        <v>37</v>
      </c>
      <c r="B150" s="96"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6" t="n">
        <v>38</v>
      </c>
      <c r="B155" s="96"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6" t="n">
        <v>39</v>
      </c>
      <c r="B160" s="96"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6" t="n">
        <v>40</v>
      </c>
      <c r="B165" s="96"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5" t="n">
        <v>41</v>
      </c>
      <c r="B170" s="95" t="inlineStr">
        <is>
          <t>EZ_MANAGE_THROTTLER_RATE</t>
        </is>
      </c>
      <c r="C170" s="0" t="inlineStr">
        <is>
          <t>0.0</t>
        </is>
      </c>
      <c r="D170" s="84" t="inlineStr">
        <is>
          <t>Throttler: max decisions per second for ez_manage loop. | Live read: `'EZ_KLINES_SEMAPHORE', 'EZ_MANAGE_CONCURRENCY_LIMIT', 'EZ_MANAGE_MAKER_SEMAPHORE`</t>
        </is>
      </c>
      <c r="E170" s="84" t="inlineStr">
        <is>
          <t>GLOBAL_CHECK, STOCKS_EXIT</t>
        </is>
      </c>
      <c r="F170" s="84" t="inlineStr">
        <is>
          <t>GLOBAL_CHECK, STOCKS_EXIT</t>
        </is>
      </c>
      <c r="G170" s="84" t="inlineStr">
        <is>
          <t>EZ_MANAGE_THROTTLER_RATE</t>
        </is>
      </c>
      <c r="H170" s="84" t="inlineStr">
        <is>
          <t>GENERAL</t>
        </is>
      </c>
      <c r="I170" s="84" t="inlineStr">
        <is>
          <t>LIVE — wired</t>
        </is>
      </c>
      <c r="J170" s="85"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4" t="n">
        <v>41</v>
      </c>
      <c r="B171" s="84" t="inlineStr">
        <is>
          <t>EZ_MANAGE_THROTTLER_RATE</t>
        </is>
      </c>
      <c r="C171" s="0" t="inlineStr">
        <is>
          <t>0.0_ALT</t>
        </is>
      </c>
      <c r="D171" s="84" t="inlineStr">
        <is>
          <t>Throttler: max decisions per second for ez_manage loop. | Live read: `'EZ_KLINES_SEMAPHORE', 'EZ_MANAGE_CONCURRENCY_LIMIT', 'EZ_MANAGE_MAKER_SEMAPHORE`</t>
        </is>
      </c>
      <c r="E171" s="84" t="inlineStr">
        <is>
          <t>GLOBAL_CHECK, STOCKS_EXIT</t>
        </is>
      </c>
      <c r="F171" s="84" t="inlineStr">
        <is>
          <t>GLOBAL_CHECK, STOCKS_EXIT</t>
        </is>
      </c>
      <c r="G171" s="84" t="inlineStr">
        <is>
          <t>EZ_MANAGE_THROTTLER_RATE</t>
        </is>
      </c>
      <c r="H171" s="84" t="inlineStr">
        <is>
          <t>GENERAL</t>
        </is>
      </c>
      <c r="I171" s="84" t="inlineStr">
        <is>
          <t>LIVE — wired</t>
        </is>
      </c>
      <c r="J171" s="85"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6" t="n">
        <v>42</v>
      </c>
      <c r="B172" s="96"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5" t="n">
        <v>43</v>
      </c>
      <c r="B177" s="95" t="inlineStr">
        <is>
          <t>FG_FEAR_THRESHOLD</t>
        </is>
      </c>
      <c r="C177" s="0" t="inlineStr">
        <is>
          <t>25</t>
        </is>
      </c>
      <c r="D177" s="84" t="inlineStr">
        <is>
          <t>Fear/Greed index fear threshold. | Live read: `'CIRCUIT_SHARPE_GATES_FILTER_TF', 'CIRCUIT_SHARPE_GATES_MIN_TFS', 'COOLDOWN_LOCK`</t>
        </is>
      </c>
      <c r="E177" s="84" t="inlineStr">
        <is>
          <t>GLOBAL_CHECK, STOCKS_EXIT</t>
        </is>
      </c>
      <c r="F177" s="84" t="inlineStr">
        <is>
          <t>GLOBAL_CHECK, STOCKS_EXIT</t>
        </is>
      </c>
      <c r="G177" s="84" t="inlineStr">
        <is>
          <t>FG_FEAR_THRESHOLD</t>
        </is>
      </c>
      <c r="H177" s="84" t="inlineStr">
        <is>
          <t>GENERAL</t>
        </is>
      </c>
      <c r="I177" s="84" t="inlineStr">
        <is>
          <t>LIVE — wired</t>
        </is>
      </c>
      <c r="J177" s="85"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4" t="n">
        <v>43</v>
      </c>
      <c r="B178" s="84" t="inlineStr">
        <is>
          <t>FG_FEAR_THRESHOLD</t>
        </is>
      </c>
      <c r="C178" s="0" t="inlineStr">
        <is>
          <t>31.25</t>
        </is>
      </c>
      <c r="D178" s="84" t="inlineStr">
        <is>
          <t>Fear/Greed index fear threshold. | Live read: `'CIRCUIT_SHARPE_GATES_FILTER_TF', 'CIRCUIT_SHARPE_GATES_MIN_TFS', 'COOLDOWN_LOCK`</t>
        </is>
      </c>
      <c r="E178" s="84" t="inlineStr">
        <is>
          <t>GLOBAL_CHECK, STOCKS_EXIT</t>
        </is>
      </c>
      <c r="F178" s="84" t="inlineStr">
        <is>
          <t>GLOBAL_CHECK, STOCKS_EXIT</t>
        </is>
      </c>
      <c r="G178" s="84" t="inlineStr">
        <is>
          <t>FG_FEAR_THRESHOLD</t>
        </is>
      </c>
      <c r="H178" s="84" t="inlineStr">
        <is>
          <t>GENERAL</t>
        </is>
      </c>
      <c r="I178" s="84" t="inlineStr">
        <is>
          <t>LIVE — wired</t>
        </is>
      </c>
      <c r="J178" s="85"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4" t="n">
        <v>43</v>
      </c>
      <c r="B179" s="84" t="inlineStr">
        <is>
          <t>FG_FEAR_THRESHOLD</t>
        </is>
      </c>
      <c r="C179" s="0" t="inlineStr">
        <is>
          <t>18.75</t>
        </is>
      </c>
      <c r="D179" s="84" t="inlineStr">
        <is>
          <t>Fear/Greed index fear threshold. | Live read: `'CIRCUIT_SHARPE_GATES_FILTER_TF', 'CIRCUIT_SHARPE_GATES_MIN_TFS', 'COOLDOWN_LOCK`</t>
        </is>
      </c>
      <c r="E179" s="84" t="inlineStr">
        <is>
          <t>GLOBAL_CHECK, STOCKS_EXIT</t>
        </is>
      </c>
      <c r="F179" s="84" t="inlineStr">
        <is>
          <t>GLOBAL_CHECK, STOCKS_EXIT</t>
        </is>
      </c>
      <c r="G179" s="84" t="inlineStr">
        <is>
          <t>FG_FEAR_THRESHOLD</t>
        </is>
      </c>
      <c r="H179" s="84" t="inlineStr">
        <is>
          <t>GENERAL</t>
        </is>
      </c>
      <c r="I179" s="84" t="inlineStr">
        <is>
          <t>LIVE — wired</t>
        </is>
      </c>
      <c r="J179" s="85"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4" t="n">
        <v>43</v>
      </c>
      <c r="B180" s="84" t="inlineStr">
        <is>
          <t>FG_FEAR_THRESHOLD</t>
        </is>
      </c>
      <c r="C180" s="0" t="inlineStr">
        <is>
          <t>12.5</t>
        </is>
      </c>
      <c r="D180" s="84" t="inlineStr">
        <is>
          <t>Fear/Greed index fear threshold. | Live read: `'CIRCUIT_SHARPE_GATES_FILTER_TF', 'CIRCUIT_SHARPE_GATES_MIN_TFS', 'COOLDOWN_LOCK`</t>
        </is>
      </c>
      <c r="E180" s="84" t="inlineStr">
        <is>
          <t>GLOBAL_CHECK, STOCKS_EXIT</t>
        </is>
      </c>
      <c r="F180" s="84" t="inlineStr">
        <is>
          <t>GLOBAL_CHECK, STOCKS_EXIT</t>
        </is>
      </c>
      <c r="G180" s="84" t="inlineStr">
        <is>
          <t>FG_FEAR_THRESHOLD</t>
        </is>
      </c>
      <c r="H180" s="84" t="inlineStr">
        <is>
          <t>GENERAL</t>
        </is>
      </c>
      <c r="I180" s="84" t="inlineStr">
        <is>
          <t>LIVE — wired</t>
        </is>
      </c>
      <c r="J180" s="85"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5" t="n">
        <v>44</v>
      </c>
      <c r="B181" s="95" t="inlineStr">
        <is>
          <t>FG_GREED_THRESHOLD</t>
        </is>
      </c>
      <c r="C181" s="0" t="inlineStr">
        <is>
          <t>75</t>
        </is>
      </c>
      <c r="D181" s="84" t="inlineStr">
        <is>
          <t>Fear/Greed greed threshold. | Live read: `S_FILTER_TF', 'CIRCUIT_SHARPE_GATES_MIN_TFS', 'COOLDOWN_LOCKS_FILTER_TF', 'CRYPT`</t>
        </is>
      </c>
      <c r="E181" s="84" t="inlineStr">
        <is>
          <t>GLOBAL_CHECK, STOCKS_EXIT</t>
        </is>
      </c>
      <c r="F181" s="84" t="inlineStr">
        <is>
          <t>GLOBAL_CHECK, STOCKS_EXIT</t>
        </is>
      </c>
      <c r="G181" s="84" t="inlineStr">
        <is>
          <t>FG_GREED_THRESHOLD</t>
        </is>
      </c>
      <c r="H181" s="84" t="inlineStr">
        <is>
          <t>GENERAL</t>
        </is>
      </c>
      <c r="I181" s="84" t="inlineStr">
        <is>
          <t>LIVE — wired</t>
        </is>
      </c>
      <c r="J181" s="85"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4" t="n">
        <v>44</v>
      </c>
      <c r="B182" s="84" t="inlineStr">
        <is>
          <t>FG_GREED_THRESHOLD</t>
        </is>
      </c>
      <c r="C182" s="0" t="inlineStr">
        <is>
          <t>93.75</t>
        </is>
      </c>
      <c r="D182" s="84" t="inlineStr">
        <is>
          <t>Fear/Greed greed threshold. | Live read: `S_FILTER_TF', 'CIRCUIT_SHARPE_GATES_MIN_TFS', 'COOLDOWN_LOCKS_FILTER_TF', 'CRYPT`</t>
        </is>
      </c>
      <c r="E182" s="84" t="inlineStr">
        <is>
          <t>GLOBAL_CHECK, STOCKS_EXIT</t>
        </is>
      </c>
      <c r="F182" s="84" t="inlineStr">
        <is>
          <t>GLOBAL_CHECK, STOCKS_EXIT</t>
        </is>
      </c>
      <c r="G182" s="84" t="inlineStr">
        <is>
          <t>FG_GREED_THRESHOLD</t>
        </is>
      </c>
      <c r="H182" s="84" t="inlineStr">
        <is>
          <t>GENERAL</t>
        </is>
      </c>
      <c r="I182" s="84" t="inlineStr">
        <is>
          <t>LIVE — wired</t>
        </is>
      </c>
      <c r="J182" s="85"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4" t="n">
        <v>44</v>
      </c>
      <c r="B183" s="84" t="inlineStr">
        <is>
          <t>FG_GREED_THRESHOLD</t>
        </is>
      </c>
      <c r="C183" s="0" t="inlineStr">
        <is>
          <t>56.25</t>
        </is>
      </c>
      <c r="D183" s="84" t="inlineStr">
        <is>
          <t>Fear/Greed greed threshold. | Live read: `S_FILTER_TF', 'CIRCUIT_SHARPE_GATES_MIN_TFS', 'COOLDOWN_LOCKS_FILTER_TF', 'CRYPT`</t>
        </is>
      </c>
      <c r="E183" s="84" t="inlineStr">
        <is>
          <t>GLOBAL_CHECK, STOCKS_EXIT</t>
        </is>
      </c>
      <c r="F183" s="84" t="inlineStr">
        <is>
          <t>GLOBAL_CHECK, STOCKS_EXIT</t>
        </is>
      </c>
      <c r="G183" s="84" t="inlineStr">
        <is>
          <t>FG_GREED_THRESHOLD</t>
        </is>
      </c>
      <c r="H183" s="84" t="inlineStr">
        <is>
          <t>GENERAL</t>
        </is>
      </c>
      <c r="I183" s="84" t="inlineStr">
        <is>
          <t>LIVE — wired</t>
        </is>
      </c>
      <c r="J183" s="85"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4" t="n">
        <v>44</v>
      </c>
      <c r="B184" s="84" t="inlineStr">
        <is>
          <t>FG_GREED_THRESHOLD</t>
        </is>
      </c>
      <c r="C184" s="0" t="inlineStr">
        <is>
          <t>37.5</t>
        </is>
      </c>
      <c r="D184" s="84" t="inlineStr">
        <is>
          <t>Fear/Greed greed threshold. | Live read: `S_FILTER_TF', 'CIRCUIT_SHARPE_GATES_MIN_TFS', 'COOLDOWN_LOCKS_FILTER_TF', 'CRYPT`</t>
        </is>
      </c>
      <c r="E184" s="84" t="inlineStr">
        <is>
          <t>GLOBAL_CHECK, STOCKS_EXIT</t>
        </is>
      </c>
      <c r="F184" s="84" t="inlineStr">
        <is>
          <t>GLOBAL_CHECK, STOCKS_EXIT</t>
        </is>
      </c>
      <c r="G184" s="84" t="inlineStr">
        <is>
          <t>FG_GREED_THRESHOLD</t>
        </is>
      </c>
      <c r="H184" s="84" t="inlineStr">
        <is>
          <t>GENERAL</t>
        </is>
      </c>
      <c r="I184" s="84" t="inlineStr">
        <is>
          <t>LIVE — wired</t>
        </is>
      </c>
      <c r="J184" s="85"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6" t="n">
        <v>45</v>
      </c>
      <c r="B185" s="96"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6" t="n">
        <v>46</v>
      </c>
      <c r="B190" s="96"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6" t="n">
        <v>47</v>
      </c>
      <c r="B195" s="96"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5" t="n">
        <v>48</v>
      </c>
      <c r="B200" s="95" t="inlineStr">
        <is>
          <t>FUNDING_GATE_FILTER_TF</t>
        </is>
      </c>
      <c r="C200" s="0" t="inlineStr">
        <is>
          <t>OFF</t>
        </is>
      </c>
      <c r="D200" s="84" t="inlineStr">
        <is>
          <t>Funding rate gate on FILTER_TF (perp funding). | Live read: `COOLDOWN_LOCKS_FILTER_TF', 'CRYPTO_SPIKE_FADE_THRESHOLD_PCT', 'DC_BREAK_FILTER_T`</t>
        </is>
      </c>
      <c r="E200" s="84" t="inlineStr">
        <is>
          <t>GLOBAL_CHECK</t>
        </is>
      </c>
      <c r="F200" s="84" t="inlineStr">
        <is>
          <t>GLOBAL_CHECK</t>
        </is>
      </c>
      <c r="G200" s="84" t="inlineStr">
        <is>
          <t>Funding gate</t>
        </is>
      </c>
      <c r="H200" s="84" t="inlineStr">
        <is>
          <t>GENERAL — uniform</t>
        </is>
      </c>
      <c r="I200" s="84" t="inlineStr">
        <is>
          <t>LIVE — wired</t>
        </is>
      </c>
      <c r="J200" s="85"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4" t="n">
        <v>48</v>
      </c>
      <c r="B201" s="84" t="inlineStr">
        <is>
          <t>FUNDING_GATE_FILTER_TF</t>
        </is>
      </c>
      <c r="C201" s="0" t="inlineStr">
        <is>
          <t>D</t>
        </is>
      </c>
      <c r="D201" s="84" t="inlineStr">
        <is>
          <t>Funding rate gate on FILTER_TF (perp funding). | Live read: `COOLDOWN_LOCKS_FILTER_TF', 'CRYPTO_SPIKE_FADE_THRESHOLD_PCT', 'DC_BREAK_FILTER_T`</t>
        </is>
      </c>
      <c r="E201" s="84" t="inlineStr">
        <is>
          <t>GLOBAL_CHECK</t>
        </is>
      </c>
      <c r="F201" s="84" t="inlineStr">
        <is>
          <t>GLOBAL_CHECK</t>
        </is>
      </c>
      <c r="G201" s="84" t="inlineStr">
        <is>
          <t>Funding gate</t>
        </is>
      </c>
      <c r="H201" s="84" t="inlineStr">
        <is>
          <t>GENERAL — uniform</t>
        </is>
      </c>
      <c r="I201" s="84" t="inlineStr">
        <is>
          <t>LIVE — wired</t>
        </is>
      </c>
      <c r="J201" s="85"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4" t="n">
        <v>48</v>
      </c>
      <c r="B202" s="84" t="inlineStr">
        <is>
          <t>FUNDING_GATE_FILTER_TF</t>
        </is>
      </c>
      <c r="C202" s="0" t="inlineStr">
        <is>
          <t>4h</t>
        </is>
      </c>
      <c r="D202" s="84" t="inlineStr">
        <is>
          <t>Funding rate gate on FILTER_TF (perp funding). | Live read: `COOLDOWN_LOCKS_FILTER_TF', 'CRYPTO_SPIKE_FADE_THRESHOLD_PCT', 'DC_BREAK_FILTER_T`</t>
        </is>
      </c>
      <c r="E202" s="84" t="inlineStr">
        <is>
          <t>GLOBAL_CHECK</t>
        </is>
      </c>
      <c r="F202" s="84" t="inlineStr">
        <is>
          <t>GLOBAL_CHECK</t>
        </is>
      </c>
      <c r="G202" s="84" t="inlineStr">
        <is>
          <t>Funding gate</t>
        </is>
      </c>
      <c r="H202" s="84" t="inlineStr">
        <is>
          <t>GENERAL — uniform</t>
        </is>
      </c>
      <c r="I202" s="84" t="inlineStr">
        <is>
          <t>LIVE — wired</t>
        </is>
      </c>
      <c r="J202" s="85"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4" t="n">
        <v>48</v>
      </c>
      <c r="B203" s="84" t="inlineStr">
        <is>
          <t>FUNDING_GATE_FILTER_TF</t>
        </is>
      </c>
      <c r="C203" s="0" t="inlineStr">
        <is>
          <t>1h</t>
        </is>
      </c>
      <c r="D203" s="84" t="inlineStr">
        <is>
          <t>Funding rate gate on FILTER_TF (perp funding). | Live read: `COOLDOWN_LOCKS_FILTER_TF', 'CRYPTO_SPIKE_FADE_THRESHOLD_PCT', 'DC_BREAK_FILTER_T`</t>
        </is>
      </c>
      <c r="E203" s="84" t="inlineStr">
        <is>
          <t>GLOBAL_CHECK</t>
        </is>
      </c>
      <c r="F203" s="84" t="inlineStr">
        <is>
          <t>GLOBAL_CHECK</t>
        </is>
      </c>
      <c r="G203" s="84" t="inlineStr">
        <is>
          <t>Funding gate</t>
        </is>
      </c>
      <c r="H203" s="84" t="inlineStr">
        <is>
          <t>GENERAL — uniform</t>
        </is>
      </c>
      <c r="I203" s="84" t="inlineStr">
        <is>
          <t>LIVE — wired</t>
        </is>
      </c>
      <c r="J203" s="85"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4" t="n">
        <v>48</v>
      </c>
      <c r="B204" s="84" t="inlineStr">
        <is>
          <t>FUNDING_GATE_FILTER_TF</t>
        </is>
      </c>
      <c r="C204" s="0" t="inlineStr">
        <is>
          <t>15m</t>
        </is>
      </c>
      <c r="D204" s="84" t="inlineStr">
        <is>
          <t>Funding rate gate on FILTER_TF (perp funding). | Live read: `COOLDOWN_LOCKS_FILTER_TF', 'CRYPTO_SPIKE_FADE_THRESHOLD_PCT', 'DC_BREAK_FILTER_T`</t>
        </is>
      </c>
      <c r="E204" s="84" t="inlineStr">
        <is>
          <t>GLOBAL_CHECK</t>
        </is>
      </c>
      <c r="F204" s="84" t="inlineStr">
        <is>
          <t>GLOBAL_CHECK</t>
        </is>
      </c>
      <c r="G204" s="84" t="inlineStr">
        <is>
          <t>Funding gate</t>
        </is>
      </c>
      <c r="H204" s="84" t="inlineStr">
        <is>
          <t>GENERAL — uniform</t>
        </is>
      </c>
      <c r="I204" s="84" t="inlineStr">
        <is>
          <t>LIVE — wired</t>
        </is>
      </c>
      <c r="J204" s="85"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5" t="n">
        <v>49</v>
      </c>
      <c r="B205" s="95" t="inlineStr">
        <is>
          <t>FUNDING_GATE_LONG_MAX</t>
        </is>
      </c>
      <c r="C205" s="0" t="inlineStr">
        <is>
          <t>0.0</t>
        </is>
      </c>
      <c r="D205" s="84" t="inlineStr">
        <is>
          <t>Max funding to allow longs (above blocks longs). | Live read: `LED', 'ENTRY_VOL_SPIKE_LOOKBACK', 'ENTRY_VOL_SPIKE_RATIO', 'ENTRY_WILLR_ENABLED'`</t>
        </is>
      </c>
      <c r="E205" s="84" t="inlineStr">
        <is>
          <t>ENTRY, GLOBAL_CHECK, STOCKS_EXIT</t>
        </is>
      </c>
      <c r="F205" s="84" t="inlineStr">
        <is>
          <t>ENTRY, GLOBAL_CHECK, STOCKS_EXIT</t>
        </is>
      </c>
      <c r="G205" s="84" t="inlineStr">
        <is>
          <t>Funding gate</t>
        </is>
      </c>
      <c r="H205" s="84" t="inlineStr">
        <is>
          <t>GENERAL — uniform</t>
        </is>
      </c>
      <c r="I205" s="84" t="inlineStr">
        <is>
          <t>LIVE — wired</t>
        </is>
      </c>
      <c r="J205" s="85"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4" t="n">
        <v>49</v>
      </c>
      <c r="B206" s="84" t="inlineStr">
        <is>
          <t>FUNDING_GATE_LONG_MAX</t>
        </is>
      </c>
      <c r="C206" s="0" t="inlineStr">
        <is>
          <t>0.0_ALT</t>
        </is>
      </c>
      <c r="D206" s="84" t="inlineStr">
        <is>
          <t>Max funding to allow longs (above blocks longs). | Live read: `LED', 'ENTRY_VOL_SPIKE_LOOKBACK', 'ENTRY_VOL_SPIKE_RATIO', 'ENTRY_WILLR_ENABLED'`</t>
        </is>
      </c>
      <c r="E206" s="84" t="inlineStr">
        <is>
          <t>ENTRY, GLOBAL_CHECK, STOCKS_EXIT</t>
        </is>
      </c>
      <c r="F206" s="84" t="inlineStr">
        <is>
          <t>ENTRY, GLOBAL_CHECK, STOCKS_EXIT</t>
        </is>
      </c>
      <c r="G206" s="84" t="inlineStr">
        <is>
          <t>Funding gate</t>
        </is>
      </c>
      <c r="H206" s="84" t="inlineStr">
        <is>
          <t>GENERAL — uniform</t>
        </is>
      </c>
      <c r="I206" s="84" t="inlineStr">
        <is>
          <t>LIVE — wired</t>
        </is>
      </c>
      <c r="J206" s="85"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5" t="n">
        <v>50</v>
      </c>
      <c r="B207" s="95" t="inlineStr">
        <is>
          <t>FUNDING_GATE_MTF_REQUIRED</t>
        </is>
      </c>
      <c r="C207" s="0" t="inlineStr">
        <is>
          <t>0.0</t>
        </is>
      </c>
      <c r="D207" s="84" t="inlineStr">
        <is>
          <t>Requires funding gate on N TFs. | Live read: `RY_WILLR_ENABLED', 'ENTRY_WILLR_LOOKBACK', 'ENTRY_WILLR_OB_THRESHOLD', 'ENTRY_WI`</t>
        </is>
      </c>
      <c r="E207" s="84" t="inlineStr">
        <is>
          <t>ENTRY, GLOBAL_CHECK, STOCKS_EXIT</t>
        </is>
      </c>
      <c r="F207" s="84" t="inlineStr">
        <is>
          <t>ENTRY, GLOBAL_CHECK, STOCKS_EXIT</t>
        </is>
      </c>
      <c r="G207" s="84" t="inlineStr">
        <is>
          <t>Funding gate</t>
        </is>
      </c>
      <c r="H207" s="84" t="inlineStr">
        <is>
          <t>GENERAL — uniform</t>
        </is>
      </c>
      <c r="I207" s="84" t="inlineStr">
        <is>
          <t>LIVE — wired</t>
        </is>
      </c>
      <c r="J207" s="85"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4" t="n">
        <v>50</v>
      </c>
      <c r="B208" s="84" t="inlineStr">
        <is>
          <t>FUNDING_GATE_MTF_REQUIRED</t>
        </is>
      </c>
      <c r="C208" s="0" t="inlineStr">
        <is>
          <t>0.0_ALT</t>
        </is>
      </c>
      <c r="D208" s="84" t="inlineStr">
        <is>
          <t>Requires funding gate on N TFs. | Live read: `RY_WILLR_ENABLED', 'ENTRY_WILLR_LOOKBACK', 'ENTRY_WILLR_OB_THRESHOLD', 'ENTRY_WI`</t>
        </is>
      </c>
      <c r="E208" s="84" t="inlineStr">
        <is>
          <t>ENTRY, GLOBAL_CHECK, STOCKS_EXIT</t>
        </is>
      </c>
      <c r="F208" s="84" t="inlineStr">
        <is>
          <t>ENTRY, GLOBAL_CHECK, STOCKS_EXIT</t>
        </is>
      </c>
      <c r="G208" s="84" t="inlineStr">
        <is>
          <t>Funding gate</t>
        </is>
      </c>
      <c r="H208" s="84" t="inlineStr">
        <is>
          <t>GENERAL — uniform</t>
        </is>
      </c>
      <c r="I208" s="84" t="inlineStr">
        <is>
          <t>LIVE — wired</t>
        </is>
      </c>
      <c r="J208" s="85"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5" t="n">
        <v>51</v>
      </c>
      <c r="B209" s="95" t="inlineStr">
        <is>
          <t>FUNDING_GATE_SHORT_MIN</t>
        </is>
      </c>
      <c r="C209" s="0" t="inlineStr">
        <is>
          <t>0.0</t>
        </is>
      </c>
      <c r="D209" s="84" t="inlineStr">
        <is>
          <t>Min funding to allow shorts. | Live read: `', 'ENTRY_WILLR_OS_THRESHOLD', 'ENTRY_WILLR_THRESHOLD', 'ENTRY_WT_CROSS_EVENT_EN`</t>
        </is>
      </c>
      <c r="E209" s="84" t="inlineStr">
        <is>
          <t>ENTRY, GLOBAL_CHECK, STOCKS_EXIT</t>
        </is>
      </c>
      <c r="F209" s="84" t="inlineStr">
        <is>
          <t>ENTRY, GLOBAL_CHECK, STOCKS_EXIT</t>
        </is>
      </c>
      <c r="G209" s="84" t="inlineStr">
        <is>
          <t>Funding gate</t>
        </is>
      </c>
      <c r="H209" s="84" t="inlineStr">
        <is>
          <t>GENERAL — uniform</t>
        </is>
      </c>
      <c r="I209" s="84" t="inlineStr">
        <is>
          <t>LIVE — wired</t>
        </is>
      </c>
      <c r="J209" s="85"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4" t="n">
        <v>51</v>
      </c>
      <c r="B210" s="84" t="inlineStr">
        <is>
          <t>FUNDING_GATE_SHORT_MIN</t>
        </is>
      </c>
      <c r="C210" s="0" t="inlineStr">
        <is>
          <t>0.0_ALT</t>
        </is>
      </c>
      <c r="D210" s="84" t="inlineStr">
        <is>
          <t>Min funding to allow shorts. | Live read: `', 'ENTRY_WILLR_OS_THRESHOLD', 'ENTRY_WILLR_THRESHOLD', 'ENTRY_WT_CROSS_EVENT_EN`</t>
        </is>
      </c>
      <c r="E210" s="84" t="inlineStr">
        <is>
          <t>ENTRY, GLOBAL_CHECK, STOCKS_EXIT</t>
        </is>
      </c>
      <c r="F210" s="84" t="inlineStr">
        <is>
          <t>ENTRY, GLOBAL_CHECK, STOCKS_EXIT</t>
        </is>
      </c>
      <c r="G210" s="84" t="inlineStr">
        <is>
          <t>Funding gate</t>
        </is>
      </c>
      <c r="H210" s="84" t="inlineStr">
        <is>
          <t>GENERAL — uniform</t>
        </is>
      </c>
      <c r="I210" s="84" t="inlineStr">
        <is>
          <t>LIVE — wired</t>
        </is>
      </c>
      <c r="J210" s="85"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5" t="n">
        <v>52</v>
      </c>
      <c r="B211" s="95" t="inlineStr">
        <is>
          <t>GOLDEN_RULE_BASE_USD</t>
        </is>
      </c>
      <c r="C211" s="0" t="inlineStr">
        <is>
          <t>0.0</t>
        </is>
      </c>
      <c r="D211" s="84" t="inlineStr">
        <is>
          <t>Golden Rule base notional USD. | Live read: `RY_WT_CROSS_EVENT_ENABLED', 'ENTRY_WT_CROSS_LOOKBACK', 'FIRST_OPEN_THROTTLE_ENAB`</t>
        </is>
      </c>
      <c r="E211" s="84" t="inlineStr">
        <is>
          <t>GLOBAL_CHECK, STOCKS_EXIT</t>
        </is>
      </c>
      <c r="F211" s="84" t="inlineStr">
        <is>
          <t>GLOBAL_CHECK, STOCKS_EXIT</t>
        </is>
      </c>
      <c r="G211" s="84" t="inlineStr">
        <is>
          <t>GOLDEN_RULE_BASE_USD</t>
        </is>
      </c>
      <c r="H211" s="84" t="inlineStr">
        <is>
          <t>GENERAL</t>
        </is>
      </c>
      <c r="I211" s="84" t="inlineStr">
        <is>
          <t>LIVE — wired</t>
        </is>
      </c>
      <c r="J211" s="85"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4" t="n">
        <v>52</v>
      </c>
      <c r="B212" s="84" t="inlineStr">
        <is>
          <t>GOLDEN_RULE_BASE_USD</t>
        </is>
      </c>
      <c r="C212" s="0" t="inlineStr">
        <is>
          <t>0.0_ALT</t>
        </is>
      </c>
      <c r="D212" s="84" t="inlineStr">
        <is>
          <t>Golden Rule base notional USD. | Live read: `RY_WT_CROSS_EVENT_ENABLED', 'ENTRY_WT_CROSS_LOOKBACK', 'FIRST_OPEN_THROTTLE_ENAB`</t>
        </is>
      </c>
      <c r="E212" s="84" t="inlineStr">
        <is>
          <t>GLOBAL_CHECK, STOCKS_EXIT</t>
        </is>
      </c>
      <c r="F212" s="84" t="inlineStr">
        <is>
          <t>GLOBAL_CHECK, STOCKS_EXIT</t>
        </is>
      </c>
      <c r="G212" s="84" t="inlineStr">
        <is>
          <t>GOLDEN_RULE_BASE_USD</t>
        </is>
      </c>
      <c r="H212" s="84" t="inlineStr">
        <is>
          <t>GENERAL</t>
        </is>
      </c>
      <c r="I212" s="84" t="inlineStr">
        <is>
          <t>LIVE — wired</t>
        </is>
      </c>
      <c r="J212" s="85"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6" t="n">
        <v>53</v>
      </c>
      <c r="B213" s="96"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6" t="n">
        <v>54</v>
      </c>
      <c r="B218" s="96"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5" t="n">
        <v>55</v>
      </c>
      <c r="B223" s="95" t="inlineStr">
        <is>
          <t>GR_FILTER_ALL_ENTRIES</t>
        </is>
      </c>
      <c r="C223" s="0" t="inlineStr">
        <is>
          <t>0.0</t>
        </is>
      </c>
      <c r="D223" s="84" t="inlineStr">
        <is>
          <t>When True, Golden Rule filters ALL entries (otherwise only breakouts). | Live read: `G_GATE_MTF_REQUIRED', 'FUNDING_GATE_MTF_SHORT_MAX_BEAR_TFS', 'FUNDING_GATE_SHORT`</t>
        </is>
      </c>
      <c r="E223" s="84" t="inlineStr">
        <is>
          <t>GLOBAL_CHECK, STOCKS_EXIT</t>
        </is>
      </c>
      <c r="F223" s="84" t="inlineStr">
        <is>
          <t>GLOBAL_CHECK, STOCKS_EXIT</t>
        </is>
      </c>
      <c r="G223" s="84" t="inlineStr">
        <is>
          <t>GR_FILTER_ALL_ENTRIES</t>
        </is>
      </c>
      <c r="H223" s="84" t="inlineStr">
        <is>
          <t>GENERAL — uniform</t>
        </is>
      </c>
      <c r="I223" s="84" t="inlineStr">
        <is>
          <t>LIVE — wired</t>
        </is>
      </c>
      <c r="J223" s="85"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4" t="n">
        <v>55</v>
      </c>
      <c r="B224" s="84" t="inlineStr">
        <is>
          <t>GR_FILTER_ALL_ENTRIES</t>
        </is>
      </c>
      <c r="C224" s="0" t="inlineStr">
        <is>
          <t>0.0_ALT</t>
        </is>
      </c>
      <c r="D224" s="84" t="inlineStr">
        <is>
          <t>When True, Golden Rule filters ALL entries (otherwise only breakouts). | Live read: `G_GATE_MTF_REQUIRED', 'FUNDING_GATE_MTF_SHORT_MAX_BEAR_TFS', 'FUNDING_GATE_SHORT`</t>
        </is>
      </c>
      <c r="E224" s="84" t="inlineStr">
        <is>
          <t>GLOBAL_CHECK, STOCKS_EXIT</t>
        </is>
      </c>
      <c r="F224" s="84" t="inlineStr">
        <is>
          <t>GLOBAL_CHECK, STOCKS_EXIT</t>
        </is>
      </c>
      <c r="G224" s="84" t="inlineStr">
        <is>
          <t>GR_FILTER_ALL_ENTRIES</t>
        </is>
      </c>
      <c r="H224" s="84" t="inlineStr">
        <is>
          <t>GENERAL — uniform</t>
        </is>
      </c>
      <c r="I224" s="84" t="inlineStr">
        <is>
          <t>LIVE — wired</t>
        </is>
      </c>
      <c r="J224" s="85"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5" t="n">
        <v>56</v>
      </c>
      <c r="B225" s="95" t="inlineStr">
        <is>
          <t>GR_FILTER_VEC_ENABLED</t>
        </is>
      </c>
      <c r="C225" s="0" t="inlineStr">
        <is>
          <t>False</t>
        </is>
      </c>
      <c r="D225" s="84" t="inlineStr">
        <is>
          <t>Vector Golden Rule filter enabled. | Live read: `C_MOMENTUM_BOTA_SCORER_FILTER_TF', 'DC_MOMENT_STRONG_THRESHOLD', 'DELTA_ENGINE_F`</t>
        </is>
      </c>
      <c r="E225" s="84" t="inlineStr">
        <is>
          <t>GLOBAL_CHECK</t>
        </is>
      </c>
      <c r="F225" s="84" t="inlineStr">
        <is>
          <t>GLOBAL_CHECK</t>
        </is>
      </c>
      <c r="G225" s="84" t="inlineStr">
        <is>
          <t>GR_FILTER_VEC_ENABLED</t>
        </is>
      </c>
      <c r="H225" s="84" t="inlineStr">
        <is>
          <t>GENERAL</t>
        </is>
      </c>
      <c r="I225" s="84" t="inlineStr">
        <is>
          <t>LIVE — wired</t>
        </is>
      </c>
      <c r="J225" s="85"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4" t="n">
        <v>56</v>
      </c>
      <c r="B226" s="84" t="inlineStr">
        <is>
          <t>GR_FILTER_VEC_ENABLED</t>
        </is>
      </c>
      <c r="C226" s="0" t="inlineStr">
        <is>
          <t>True</t>
        </is>
      </c>
      <c r="D226" s="84" t="inlineStr">
        <is>
          <t>Vector Golden Rule filter enabled. | Live read: `C_MOMENTUM_BOTA_SCORER_FILTER_TF', 'DC_MOMENT_STRONG_THRESHOLD', 'DELTA_ENGINE_F`</t>
        </is>
      </c>
      <c r="E226" s="84" t="inlineStr">
        <is>
          <t>GLOBAL_CHECK</t>
        </is>
      </c>
      <c r="F226" s="84" t="inlineStr">
        <is>
          <t>GLOBAL_CHECK</t>
        </is>
      </c>
      <c r="G226" s="84" t="inlineStr">
        <is>
          <t>GR_FILTER_VEC_ENABLED</t>
        </is>
      </c>
      <c r="H226" s="84" t="inlineStr">
        <is>
          <t>GENERAL</t>
        </is>
      </c>
      <c r="I226" s="84" t="inlineStr">
        <is>
          <t>LIVE — wired</t>
        </is>
      </c>
      <c r="J226" s="85"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6" t="n">
        <v>57</v>
      </c>
      <c r="B227" s="96"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5" t="n">
        <v>58</v>
      </c>
      <c r="B232" s="95" t="inlineStr">
        <is>
          <t>GR_FILTER_VEC_MIN_TFS</t>
        </is>
      </c>
      <c r="C232" s="0" t="inlineStr">
        <is>
          <t>0</t>
        </is>
      </c>
      <c r="D232" s="84" t="inlineStr">
        <is>
          <t>Threshold/gate: GR_FILTER_VEC_MIN_TFS — _THRESHOLD', 'DELTA_ENGINE_FILTER_TF', 'DELTA_GATE_DIRECTION_FAVORABLE', 'DELTA_HTF_GATE', 'DELTA_LT_HTF_GATE', 'DELTA_O | ex: `_THRESHOLD', 'DELTA_ENGINE_FILTER_TF', 'DELTA_GATE_DIRECTION_FAVORABLE', 'DELTA_`</t>
        </is>
      </c>
      <c r="E232" s="84" t="inlineStr">
        <is>
          <t>GLOBAL_CHECK</t>
        </is>
      </c>
      <c r="F232" s="84" t="inlineStr">
        <is>
          <t>GLOBAL_CHECK</t>
        </is>
      </c>
      <c r="G232" s="84" t="inlineStr">
        <is>
          <t>GR_FILTER_VEC_MIN_TFS</t>
        </is>
      </c>
      <c r="H232" s="84" t="inlineStr">
        <is>
          <t>GENERAL</t>
        </is>
      </c>
      <c r="I232" s="84" t="inlineStr">
        <is>
          <t>LIVE — wired</t>
        </is>
      </c>
      <c r="J232" s="85"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4" t="n">
        <v>58</v>
      </c>
      <c r="B233" s="84" t="inlineStr">
        <is>
          <t>GR_FILTER_VEC_MIN_TFS</t>
        </is>
      </c>
      <c r="C233" s="0" t="inlineStr">
        <is>
          <t>2</t>
        </is>
      </c>
      <c r="D233" s="84" t="inlineStr">
        <is>
          <t>Threshold/gate: GR_FILTER_VEC_MIN_TFS — _THRESHOLD', 'DELTA_ENGINE_FILTER_TF', 'DELTA_GATE_DIRECTION_FAVORABLE', 'DELTA_HTF_GATE', 'DELTA_LT_HTF_GATE', 'DELTA_O | ex: `_THRESHOLD', 'DELTA_ENGINE_FILTER_TF', 'DELTA_GATE_DIRECTION_FAVORABLE', 'DELTA_`</t>
        </is>
      </c>
      <c r="E233" s="84" t="inlineStr">
        <is>
          <t>GLOBAL_CHECK</t>
        </is>
      </c>
      <c r="F233" s="84" t="inlineStr">
        <is>
          <t>GLOBAL_CHECK</t>
        </is>
      </c>
      <c r="G233" s="84" t="inlineStr">
        <is>
          <t>GR_FILTER_VEC_MIN_TFS</t>
        </is>
      </c>
      <c r="H233" s="84" t="inlineStr">
        <is>
          <t>GENERAL</t>
        </is>
      </c>
      <c r="I233" s="84" t="inlineStr">
        <is>
          <t>LIVE — wired</t>
        </is>
      </c>
      <c r="J233" s="85"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4" t="n">
        <v>58</v>
      </c>
      <c r="B234" s="84" t="inlineStr">
        <is>
          <t>GR_FILTER_VEC_MIN_TFS</t>
        </is>
      </c>
      <c r="C234" s="0" t="inlineStr">
        <is>
          <t>1</t>
        </is>
      </c>
      <c r="D234" s="84" t="inlineStr">
        <is>
          <t>Threshold/gate: GR_FILTER_VEC_MIN_TFS — _THRESHOLD', 'DELTA_ENGINE_FILTER_TF', 'DELTA_GATE_DIRECTION_FAVORABLE', 'DELTA_HTF_GATE', 'DELTA_LT_HTF_GATE', 'DELTA_O | ex: `_THRESHOLD', 'DELTA_ENGINE_FILTER_TF', 'DELTA_GATE_DIRECTION_FAVORABLE', 'DELTA_`</t>
        </is>
      </c>
      <c r="E234" s="84" t="inlineStr">
        <is>
          <t>GLOBAL_CHECK</t>
        </is>
      </c>
      <c r="F234" s="84" t="inlineStr">
        <is>
          <t>GLOBAL_CHECK</t>
        </is>
      </c>
      <c r="G234" s="84" t="inlineStr">
        <is>
          <t>GR_FILTER_VEC_MIN_TFS</t>
        </is>
      </c>
      <c r="H234" s="84" t="inlineStr">
        <is>
          <t>GENERAL</t>
        </is>
      </c>
      <c r="I234" s="84" t="inlineStr">
        <is>
          <t>LIVE — wired</t>
        </is>
      </c>
      <c r="J234" s="85"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6" t="n">
        <v>59</v>
      </c>
      <c r="B235" s="96"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6" t="n">
        <v>60</v>
      </c>
      <c r="B240" s="96"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5" t="n">
        <v>61</v>
      </c>
      <c r="B245" s="95" t="inlineStr">
        <is>
          <t>HA_WICK_QUALITY_ENABLED</t>
        </is>
      </c>
      <c r="C245" s="0" t="inlineStr">
        <is>
          <t>False</t>
        </is>
      </c>
      <c r="D245" s="84" t="inlineStr">
        <is>
          <t>HA wick quality gate enabled (Heikin-Ashi). | Live read: `BLED', 'DC_BREAKOUT_TF', 'DELTA_ENTRY_MIN_TF', 'DELTA_EXIT_MANDATORY_REENTRY_ENA`</t>
        </is>
      </c>
      <c r="E245" s="84" t="inlineStr">
        <is>
          <t>ENTRY, GLOBAL_CHECK, STOCKS_EXIT</t>
        </is>
      </c>
      <c r="F245" s="84" t="inlineStr">
        <is>
          <t>ENTRY, GLOBAL_CHECK, STOCKS_EXIT</t>
        </is>
      </c>
      <c r="G245" s="84" t="inlineStr">
        <is>
          <t>HA_WICK_QUALITY_ENABLED</t>
        </is>
      </c>
      <c r="H245" s="84" t="inlineStr">
        <is>
          <t>GENERAL</t>
        </is>
      </c>
      <c r="I245" s="84" t="inlineStr">
        <is>
          <t>LIVE — wired</t>
        </is>
      </c>
      <c r="J245" s="85"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4" t="n">
        <v>61</v>
      </c>
      <c r="B246" s="84" t="inlineStr">
        <is>
          <t>HA_WICK_QUALITY_ENABLED</t>
        </is>
      </c>
      <c r="C246" s="0" t="inlineStr">
        <is>
          <t>True</t>
        </is>
      </c>
      <c r="D246" s="84" t="inlineStr">
        <is>
          <t>HA wick quality gate enabled (Heikin-Ashi). | Live read: `BLED', 'DC_BREAKOUT_TF', 'DELTA_ENTRY_MIN_TF', 'DELTA_EXIT_MANDATORY_REENTRY_ENA`</t>
        </is>
      </c>
      <c r="E246" s="84" t="inlineStr">
        <is>
          <t>ENTRY, GLOBAL_CHECK, STOCKS_EXIT</t>
        </is>
      </c>
      <c r="F246" s="84" t="inlineStr">
        <is>
          <t>ENTRY, GLOBAL_CHECK, STOCKS_EXIT</t>
        </is>
      </c>
      <c r="G246" s="84" t="inlineStr">
        <is>
          <t>HA_WICK_QUALITY_ENABLED</t>
        </is>
      </c>
      <c r="H246" s="84" t="inlineStr">
        <is>
          <t>GENERAL</t>
        </is>
      </c>
      <c r="I246" s="84" t="inlineStr">
        <is>
          <t>LIVE — wired</t>
        </is>
      </c>
      <c r="J246" s="85"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5" t="n">
        <v>62</v>
      </c>
      <c r="B247" s="95" t="inlineStr">
        <is>
          <t>HA_WICK_QUALITY_SCORE</t>
        </is>
      </c>
      <c r="C247" s="0" t="inlineStr">
        <is>
          <t>15</t>
        </is>
      </c>
      <c r="D247" s="84" t="inlineStr">
        <is>
          <t>Threshold/gate: HA_WICK_QUALITY_SCORE — RULE_BASE_USD', 'GOLDEN_RULE_BB_15M_ENABLED', 'GOLDEN_RULE_BB_1H_ENABLED', 'GOLDEN_RULE_BB_4H_ENABLED', 'GOLDEN_RULE_BB_ | ex: `RULE_BASE_USD', 'GOLDEN_RULE_BB_15M_ENABLED', 'GOLDEN_RULE_BB_1H_ENABLED', 'GOLD`</t>
        </is>
      </c>
      <c r="E247" s="84" t="inlineStr">
        <is>
          <t>ENTRY, GLOBAL_CHECK, STOCKS_EXIT</t>
        </is>
      </c>
      <c r="F247" s="84" t="inlineStr">
        <is>
          <t>ENTRY, GLOBAL_CHECK, STOCKS_EXIT</t>
        </is>
      </c>
      <c r="G247" s="84" t="inlineStr">
        <is>
          <t>HA_WICK_QUALITY_SCORE</t>
        </is>
      </c>
      <c r="H247" s="84" t="inlineStr">
        <is>
          <t>GENERAL</t>
        </is>
      </c>
      <c r="I247" s="84" t="inlineStr">
        <is>
          <t>LIVE — wired</t>
        </is>
      </c>
      <c r="J247" s="85"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4" t="n">
        <v>62</v>
      </c>
      <c r="B248" s="84" t="inlineStr">
        <is>
          <t>HA_WICK_QUALITY_SCORE</t>
        </is>
      </c>
      <c r="C248" s="0" t="inlineStr">
        <is>
          <t>15_ALT</t>
        </is>
      </c>
      <c r="D248" s="84" t="inlineStr">
        <is>
          <t>Threshold/gate: HA_WICK_QUALITY_SCORE — RULE_BASE_USD', 'GOLDEN_RULE_BB_15M_ENABLED', 'GOLDEN_RULE_BB_1H_ENABLED', 'GOLDEN_RULE_BB_4H_ENABLED', 'GOLDEN_RULE_BB_ | ex: `RULE_BASE_USD', 'GOLDEN_RULE_BB_15M_ENABLED', 'GOLDEN_RULE_BB_1H_ENABLED', 'GOLD`</t>
        </is>
      </c>
      <c r="E248" s="84" t="inlineStr">
        <is>
          <t>ENTRY, GLOBAL_CHECK, STOCKS_EXIT</t>
        </is>
      </c>
      <c r="F248" s="84" t="inlineStr">
        <is>
          <t>ENTRY, GLOBAL_CHECK, STOCKS_EXIT</t>
        </is>
      </c>
      <c r="G248" s="84" t="inlineStr">
        <is>
          <t>HA_WICK_QUALITY_SCORE</t>
        </is>
      </c>
      <c r="H248" s="84" t="inlineStr">
        <is>
          <t>GENERAL</t>
        </is>
      </c>
      <c r="I248" s="84" t="inlineStr">
        <is>
          <t>LIVE — wired</t>
        </is>
      </c>
      <c r="J248" s="85"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5" t="n">
        <v>63</v>
      </c>
      <c r="B249" s="95" t="inlineStr">
        <is>
          <t>HA_WICK_QUALITY_TF</t>
        </is>
      </c>
      <c r="C249" s="0" t="inlineStr">
        <is>
          <t>OFF</t>
        </is>
      </c>
      <c r="D249" s="84" t="inlineStr">
        <is>
          <t>Threshold/gate: HA_WICK_QUALITY_TF — ELTA_ENTRY_MIN_TF', 'DELTA_EXIT_MANDATORY_REENTRY_ENABLED', 'DELTA_REENTRY_FILTER_ENABLED', 'DIRECTION_FAVORABLE_REENTRY | ex: `ELTA_ENTRY_MIN_TF', 'DELTA_EXIT_MANDATORY_REENTRY_ENABLED', 'DELTA_REENTRY_FILTE`</t>
        </is>
      </c>
      <c r="E249" s="84" t="inlineStr">
        <is>
          <t>ENTRY, GLOBAL_CHECK, STOCKS_EXIT</t>
        </is>
      </c>
      <c r="F249" s="84" t="inlineStr">
        <is>
          <t>ENTRY, GLOBAL_CHECK, STOCKS_EXIT</t>
        </is>
      </c>
      <c r="G249" s="84" t="inlineStr">
        <is>
          <t>HA_WICK_QUALITY_TF</t>
        </is>
      </c>
      <c r="H249" s="84" t="inlineStr">
        <is>
          <t>GENERAL</t>
        </is>
      </c>
      <c r="I249" s="84" t="inlineStr">
        <is>
          <t>LIVE — wired</t>
        </is>
      </c>
      <c r="J249" s="85"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4" t="n">
        <v>63</v>
      </c>
      <c r="B250" s="84" t="inlineStr">
        <is>
          <t>HA_WICK_QUALITY_TF</t>
        </is>
      </c>
      <c r="C250" s="0" t="inlineStr">
        <is>
          <t>D</t>
        </is>
      </c>
      <c r="D250" s="84" t="inlineStr">
        <is>
          <t>Threshold/gate: HA_WICK_QUALITY_TF — ELTA_ENTRY_MIN_TF', 'DELTA_EXIT_MANDATORY_REENTRY_ENABLED', 'DELTA_REENTRY_FILTER_ENABLED', 'DIRECTION_FAVORABLE_REENTRY | ex: `ELTA_ENTRY_MIN_TF', 'DELTA_EXIT_MANDATORY_REENTRY_ENABLED', 'DELTA_REENTRY_FILTE`</t>
        </is>
      </c>
      <c r="E250" s="84" t="inlineStr">
        <is>
          <t>ENTRY, GLOBAL_CHECK, STOCKS_EXIT</t>
        </is>
      </c>
      <c r="F250" s="84" t="inlineStr">
        <is>
          <t>ENTRY, GLOBAL_CHECK, STOCKS_EXIT</t>
        </is>
      </c>
      <c r="G250" s="84" t="inlineStr">
        <is>
          <t>HA_WICK_QUALITY_TF</t>
        </is>
      </c>
      <c r="H250" s="84" t="inlineStr">
        <is>
          <t>GENERAL</t>
        </is>
      </c>
      <c r="I250" s="84" t="inlineStr">
        <is>
          <t>LIVE — wired</t>
        </is>
      </c>
      <c r="J250" s="85"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4" t="n">
        <v>63</v>
      </c>
      <c r="B251" s="84" t="inlineStr">
        <is>
          <t>HA_WICK_QUALITY_TF</t>
        </is>
      </c>
      <c r="C251" s="0" t="inlineStr">
        <is>
          <t>4h</t>
        </is>
      </c>
      <c r="D251" s="84" t="inlineStr">
        <is>
          <t>Threshold/gate: HA_WICK_QUALITY_TF — ELTA_ENTRY_MIN_TF', 'DELTA_EXIT_MANDATORY_REENTRY_ENABLED', 'DELTA_REENTRY_FILTER_ENABLED', 'DIRECTION_FAVORABLE_REENTRY | ex: `ELTA_ENTRY_MIN_TF', 'DELTA_EXIT_MANDATORY_REENTRY_ENABLED', 'DELTA_REENTRY_FILTE`</t>
        </is>
      </c>
      <c r="E251" s="84" t="inlineStr">
        <is>
          <t>ENTRY, GLOBAL_CHECK, STOCKS_EXIT</t>
        </is>
      </c>
      <c r="F251" s="84" t="inlineStr">
        <is>
          <t>ENTRY, GLOBAL_CHECK, STOCKS_EXIT</t>
        </is>
      </c>
      <c r="G251" s="84" t="inlineStr">
        <is>
          <t>HA_WICK_QUALITY_TF</t>
        </is>
      </c>
      <c r="H251" s="84" t="inlineStr">
        <is>
          <t>GENERAL</t>
        </is>
      </c>
      <c r="I251" s="84" t="inlineStr">
        <is>
          <t>LIVE — wired</t>
        </is>
      </c>
      <c r="J251" s="85"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4" t="n">
        <v>63</v>
      </c>
      <c r="B252" s="84" t="inlineStr">
        <is>
          <t>HA_WICK_QUALITY_TF</t>
        </is>
      </c>
      <c r="C252" s="0" t="inlineStr">
        <is>
          <t>1h</t>
        </is>
      </c>
      <c r="D252" s="84" t="inlineStr">
        <is>
          <t>Threshold/gate: HA_WICK_QUALITY_TF — ELTA_ENTRY_MIN_TF', 'DELTA_EXIT_MANDATORY_REENTRY_ENABLED', 'DELTA_REENTRY_FILTER_ENABLED', 'DIRECTION_FAVORABLE_REENTRY | ex: `ELTA_ENTRY_MIN_TF', 'DELTA_EXIT_MANDATORY_REENTRY_ENABLED', 'DELTA_REENTRY_FILTE`</t>
        </is>
      </c>
      <c r="E252" s="84" t="inlineStr">
        <is>
          <t>ENTRY, GLOBAL_CHECK, STOCKS_EXIT</t>
        </is>
      </c>
      <c r="F252" s="84" t="inlineStr">
        <is>
          <t>ENTRY, GLOBAL_CHECK, STOCKS_EXIT</t>
        </is>
      </c>
      <c r="G252" s="84" t="inlineStr">
        <is>
          <t>HA_WICK_QUALITY_TF</t>
        </is>
      </c>
      <c r="H252" s="84" t="inlineStr">
        <is>
          <t>GENERAL</t>
        </is>
      </c>
      <c r="I252" s="84" t="inlineStr">
        <is>
          <t>LIVE — wired</t>
        </is>
      </c>
      <c r="J252" s="85"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4" t="n">
        <v>63</v>
      </c>
      <c r="B253" s="84" t="inlineStr">
        <is>
          <t>HA_WICK_QUALITY_TF</t>
        </is>
      </c>
      <c r="C253" s="0" t="inlineStr">
        <is>
          <t>15m</t>
        </is>
      </c>
      <c r="D253" s="84" t="inlineStr">
        <is>
          <t>Threshold/gate: HA_WICK_QUALITY_TF — ELTA_ENTRY_MIN_TF', 'DELTA_EXIT_MANDATORY_REENTRY_ENABLED', 'DELTA_REENTRY_FILTER_ENABLED', 'DIRECTION_FAVORABLE_REENTRY | ex: `ELTA_ENTRY_MIN_TF', 'DELTA_EXIT_MANDATORY_REENTRY_ENABLED', 'DELTA_REENTRY_FILTE`</t>
        </is>
      </c>
      <c r="E253" s="84" t="inlineStr">
        <is>
          <t>ENTRY, GLOBAL_CHECK, STOCKS_EXIT</t>
        </is>
      </c>
      <c r="F253" s="84" t="inlineStr">
        <is>
          <t>ENTRY, GLOBAL_CHECK, STOCKS_EXIT</t>
        </is>
      </c>
      <c r="G253" s="84" t="inlineStr">
        <is>
          <t>HA_WICK_QUALITY_TF</t>
        </is>
      </c>
      <c r="H253" s="84" t="inlineStr">
        <is>
          <t>GENERAL</t>
        </is>
      </c>
      <c r="I253" s="84" t="inlineStr">
        <is>
          <t>LIVE — wired</t>
        </is>
      </c>
      <c r="J253" s="85"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5" t="n">
        <v>64</v>
      </c>
      <c r="B254" s="95" t="inlineStr">
        <is>
          <t>HLR_SMA_BAND_PCT</t>
        </is>
      </c>
      <c r="C254" s="0" t="inlineStr">
        <is>
          <t>0</t>
        </is>
      </c>
      <c r="D254" s="84" t="inlineStr">
        <is>
          <t>HLR band pct around SMA. | Live read: `'HLR_REENTRY_MULT_1H', 'HLR_REENTRY_MULT_4H', 'HLR_REENTRY_MULT_D', 'HLR_REENTRY`</t>
        </is>
      </c>
      <c r="E254" s="84" t="inlineStr">
        <is>
          <t>ENTRY, GLOBAL_CHECK, STOCKS_EXIT</t>
        </is>
      </c>
      <c r="F254" s="84" t="inlineStr">
        <is>
          <t>ENTRY, GLOBAL_CHECK, STOCKS_EXIT</t>
        </is>
      </c>
      <c r="G254" s="84" t="inlineStr">
        <is>
          <t>HLR_SMA_BAND_PCT</t>
        </is>
      </c>
      <c r="H254" s="84" t="inlineStr">
        <is>
          <t>GENERAL</t>
        </is>
      </c>
      <c r="I254" s="84" t="inlineStr">
        <is>
          <t>LIVE — wired</t>
        </is>
      </c>
      <c r="J254" s="85"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4" t="n">
        <v>64</v>
      </c>
      <c r="B255" s="84" t="inlineStr">
        <is>
          <t>HLR_SMA_BAND_PCT</t>
        </is>
      </c>
      <c r="C255" s="0" t="inlineStr">
        <is>
          <t>2.0</t>
        </is>
      </c>
      <c r="D255" s="84" t="inlineStr">
        <is>
          <t>HLR band pct around SMA. | Live read: `'HLR_REENTRY_MULT_1H', 'HLR_REENTRY_MULT_4H', 'HLR_REENTRY_MULT_D', 'HLR_REENTRY`</t>
        </is>
      </c>
      <c r="E255" s="84" t="inlineStr">
        <is>
          <t>ENTRY, GLOBAL_CHECK, STOCKS_EXIT</t>
        </is>
      </c>
      <c r="F255" s="84" t="inlineStr">
        <is>
          <t>ENTRY, GLOBAL_CHECK, STOCKS_EXIT</t>
        </is>
      </c>
      <c r="G255" s="84" t="inlineStr">
        <is>
          <t>HLR_SMA_BAND_PCT</t>
        </is>
      </c>
      <c r="H255" s="84" t="inlineStr">
        <is>
          <t>GENERAL</t>
        </is>
      </c>
      <c r="I255" s="84" t="inlineStr">
        <is>
          <t>LIVE — wired</t>
        </is>
      </c>
      <c r="J255" s="85"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4" t="n">
        <v>64</v>
      </c>
      <c r="B256" s="84" t="inlineStr">
        <is>
          <t>HLR_SMA_BAND_PCT</t>
        </is>
      </c>
      <c r="C256" s="0" t="inlineStr">
        <is>
          <t>1.0</t>
        </is>
      </c>
      <c r="D256" s="84" t="inlineStr">
        <is>
          <t>HLR band pct around SMA. | Live read: `'HLR_REENTRY_MULT_1H', 'HLR_REENTRY_MULT_4H', 'HLR_REENTRY_MULT_D', 'HLR_REENTRY`</t>
        </is>
      </c>
      <c r="E256" s="84" t="inlineStr">
        <is>
          <t>ENTRY, GLOBAL_CHECK, STOCKS_EXIT</t>
        </is>
      </c>
      <c r="F256" s="84" t="inlineStr">
        <is>
          <t>ENTRY, GLOBAL_CHECK, STOCKS_EXIT</t>
        </is>
      </c>
      <c r="G256" s="84" t="inlineStr">
        <is>
          <t>HLR_SMA_BAND_PCT</t>
        </is>
      </c>
      <c r="H256" s="84" t="inlineStr">
        <is>
          <t>GENERAL</t>
        </is>
      </c>
      <c r="I256" s="84" t="inlineStr">
        <is>
          <t>LIVE — wired</t>
        </is>
      </c>
      <c r="J256" s="85"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4" t="n">
        <v>64</v>
      </c>
      <c r="B257" s="84" t="inlineStr">
        <is>
          <t>HLR_SMA_BAND_PCT</t>
        </is>
      </c>
      <c r="C257" s="0" t="inlineStr">
        <is>
          <t>0.5</t>
        </is>
      </c>
      <c r="D257" s="84" t="inlineStr">
        <is>
          <t>HLR band pct around SMA. | Live read: `'HLR_REENTRY_MULT_1H', 'HLR_REENTRY_MULT_4H', 'HLR_REENTRY_MULT_D', 'HLR_REENTRY`</t>
        </is>
      </c>
      <c r="E257" s="84" t="inlineStr">
        <is>
          <t>ENTRY, GLOBAL_CHECK, STOCKS_EXIT</t>
        </is>
      </c>
      <c r="F257" s="84" t="inlineStr">
        <is>
          <t>ENTRY, GLOBAL_CHECK, STOCKS_EXIT</t>
        </is>
      </c>
      <c r="G257" s="84" t="inlineStr">
        <is>
          <t>HLR_SMA_BAND_PCT</t>
        </is>
      </c>
      <c r="H257" s="84" t="inlineStr">
        <is>
          <t>GENERAL</t>
        </is>
      </c>
      <c r="I257" s="84" t="inlineStr">
        <is>
          <t>LIVE — wired</t>
        </is>
      </c>
      <c r="J257" s="85"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5" t="n">
        <v>65</v>
      </c>
      <c r="B258" s="95" t="inlineStr">
        <is>
          <t>HLR_TOP_MIN_TFS</t>
        </is>
      </c>
      <c r="C258" s="0" t="inlineStr">
        <is>
          <t>0</t>
        </is>
      </c>
      <c r="D258" s="84" t="inlineStr">
        <is>
          <t>Min TFs for HLR top confirmation. | Live read: `'HLR_TOP_EXIT_ENABLED', 'HLR_TOP_MIN_GAIN_PCT', 'HLR_TOP_MIN_TFS', 'HLR_TOP_VEL_`</t>
        </is>
      </c>
      <c r="E258" s="84" t="inlineStr">
        <is>
          <t>GLOBAL_CHECK, REENTRY, STOCKS_EXIT</t>
        </is>
      </c>
      <c r="F258" s="84" t="inlineStr">
        <is>
          <t>GLOBAL_CHECK, REENTRY, STOCKS_EXIT</t>
        </is>
      </c>
      <c r="G258" s="84" t="inlineStr">
        <is>
          <t>HLR_TOP_MIN_TFS</t>
        </is>
      </c>
      <c r="H258" s="84" t="inlineStr">
        <is>
          <t>GENERAL</t>
        </is>
      </c>
      <c r="I258" s="84" t="inlineStr">
        <is>
          <t>LIVE — wired</t>
        </is>
      </c>
      <c r="J258" s="85"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4" t="n">
        <v>65</v>
      </c>
      <c r="B259" s="84" t="inlineStr">
        <is>
          <t>HLR_TOP_MIN_TFS</t>
        </is>
      </c>
      <c r="C259" s="0" t="inlineStr">
        <is>
          <t>2</t>
        </is>
      </c>
      <c r="D259" s="84" t="inlineStr">
        <is>
          <t>Min TFs for HLR top confirmation. | Live read: `'HLR_TOP_EXIT_ENABLED', 'HLR_TOP_MIN_GAIN_PCT', 'HLR_TOP_MIN_TFS', 'HLR_TOP_VEL_`</t>
        </is>
      </c>
      <c r="E259" s="84" t="inlineStr">
        <is>
          <t>GLOBAL_CHECK, REENTRY, STOCKS_EXIT</t>
        </is>
      </c>
      <c r="F259" s="84" t="inlineStr">
        <is>
          <t>GLOBAL_CHECK, REENTRY, STOCKS_EXIT</t>
        </is>
      </c>
      <c r="G259" s="84" t="inlineStr">
        <is>
          <t>HLR_TOP_MIN_TFS</t>
        </is>
      </c>
      <c r="H259" s="84" t="inlineStr">
        <is>
          <t>GENERAL</t>
        </is>
      </c>
      <c r="I259" s="84" t="inlineStr">
        <is>
          <t>LIVE — wired</t>
        </is>
      </c>
      <c r="J259" s="85"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4" t="n">
        <v>65</v>
      </c>
      <c r="B260" s="84" t="inlineStr">
        <is>
          <t>HLR_TOP_MIN_TFS</t>
        </is>
      </c>
      <c r="C260" s="0" t="inlineStr">
        <is>
          <t>1</t>
        </is>
      </c>
      <c r="D260" s="84" t="inlineStr">
        <is>
          <t>Min TFs for HLR top confirmation. | Live read: `'HLR_TOP_EXIT_ENABLED', 'HLR_TOP_MIN_GAIN_PCT', 'HLR_TOP_MIN_TFS', 'HLR_TOP_VEL_`</t>
        </is>
      </c>
      <c r="E260" s="84" t="inlineStr">
        <is>
          <t>GLOBAL_CHECK, REENTRY, STOCKS_EXIT</t>
        </is>
      </c>
      <c r="F260" s="84" t="inlineStr">
        <is>
          <t>GLOBAL_CHECK, REENTRY, STOCKS_EXIT</t>
        </is>
      </c>
      <c r="G260" s="84" t="inlineStr">
        <is>
          <t>HLR_TOP_MIN_TFS</t>
        </is>
      </c>
      <c r="H260" s="84" t="inlineStr">
        <is>
          <t>GENERAL</t>
        </is>
      </c>
      <c r="I260" s="84" t="inlineStr">
        <is>
          <t>LIVE — wired</t>
        </is>
      </c>
      <c r="J260" s="85"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5" t="n">
        <v>66</v>
      </c>
      <c r="B261" s="95" t="inlineStr">
        <is>
          <t>HTF4_CONF</t>
        </is>
      </c>
      <c r="C261" s="0" t="inlineStr">
        <is>
          <t>False</t>
        </is>
      </c>
      <c r="D261" s="84" t="inlineStr">
        <is>
          <t>HTF 4h confirmation threshold. | Live read: `ILTER_TF', 'EMA_9_21_FILTER_FILTER_TF', 'EMA_9_21_FILTER_MIN_TFS', 'EMA_BLANKET_`</t>
        </is>
      </c>
      <c r="E261" s="84" t="inlineStr">
        <is>
          <t>GLOBAL_CHECK, STOCKS_EXIT</t>
        </is>
      </c>
      <c r="F261" s="84" t="inlineStr">
        <is>
          <t>GLOBAL_CHECK, STOCKS_EXIT</t>
        </is>
      </c>
      <c r="G261" s="84" t="inlineStr">
        <is>
          <t>HTF4_CONF</t>
        </is>
      </c>
      <c r="H261" s="84" t="inlineStr">
        <is>
          <t>GENERAL — uniform</t>
        </is>
      </c>
      <c r="I261" s="84" t="inlineStr">
        <is>
          <t>LIVE — wired</t>
        </is>
      </c>
      <c r="J261" s="85"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4" t="n">
        <v>66</v>
      </c>
      <c r="B262" s="84" t="inlineStr">
        <is>
          <t>HTF4_CONF</t>
        </is>
      </c>
      <c r="C262" s="0" t="inlineStr">
        <is>
          <t>False_ALT</t>
        </is>
      </c>
      <c r="D262" s="84" t="inlineStr">
        <is>
          <t>HTF 4h confirmation threshold. | Live read: `ILTER_TF', 'EMA_9_21_FILTER_FILTER_TF', 'EMA_9_21_FILTER_MIN_TFS', 'EMA_BLANKET_`</t>
        </is>
      </c>
      <c r="E262" s="84" t="inlineStr">
        <is>
          <t>GLOBAL_CHECK, STOCKS_EXIT</t>
        </is>
      </c>
      <c r="F262" s="84" t="inlineStr">
        <is>
          <t>GLOBAL_CHECK, STOCKS_EXIT</t>
        </is>
      </c>
      <c r="G262" s="84" t="inlineStr">
        <is>
          <t>HTF4_CONF</t>
        </is>
      </c>
      <c r="H262" s="84" t="inlineStr">
        <is>
          <t>GENERAL — uniform</t>
        </is>
      </c>
      <c r="I262" s="84" t="inlineStr">
        <is>
          <t>LIVE — wired</t>
        </is>
      </c>
      <c r="J262" s="85"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5" t="n">
        <v>67</v>
      </c>
      <c r="B263" s="95" t="inlineStr">
        <is>
          <t>HTF_DIRECTION_GATE_ENABLED</t>
        </is>
      </c>
      <c r="C263" s="0" t="inlineStr">
        <is>
          <t>False</t>
        </is>
      </c>
      <c r="D263" s="84" t="inlineStr">
        <is>
          <t>HTF direction gate (requires HTF trend alignment). | Live read: `NABLED', 'GOLDEN_RULE_BB_D_ENABLED', 'GOLDEN_RULE_BB_W_ENABLED', 'GOLDEN_RULE_DC`</t>
        </is>
      </c>
      <c r="E263" s="84" t="inlineStr">
        <is>
          <t>ENTRY, GLOBAL_CHECK, STOCKS_EXIT</t>
        </is>
      </c>
      <c r="F263" s="84" t="inlineStr">
        <is>
          <t>ENTRY, GLOBAL_CHECK, STOCKS_EXIT</t>
        </is>
      </c>
      <c r="G263" s="84" t="inlineStr">
        <is>
          <t>HTF direction</t>
        </is>
      </c>
      <c r="H263" s="84" t="inlineStr">
        <is>
          <t>GENERAL — uniform</t>
        </is>
      </c>
      <c r="I263" s="84" t="inlineStr">
        <is>
          <t>LIVE — wired</t>
        </is>
      </c>
      <c r="J263" s="85"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4" t="n">
        <v>67</v>
      </c>
      <c r="B264" s="84" t="inlineStr">
        <is>
          <t>HTF_DIRECTION_GATE_ENABLED</t>
        </is>
      </c>
      <c r="C264" s="0" t="inlineStr">
        <is>
          <t>True</t>
        </is>
      </c>
      <c r="D264" s="84" t="inlineStr">
        <is>
          <t>HTF direction gate (requires HTF trend alignment). | Live read: `NABLED', 'GOLDEN_RULE_BB_D_ENABLED', 'GOLDEN_RULE_BB_W_ENABLED', 'GOLDEN_RULE_DC`</t>
        </is>
      </c>
      <c r="E264" s="84" t="inlineStr">
        <is>
          <t>ENTRY, GLOBAL_CHECK, STOCKS_EXIT</t>
        </is>
      </c>
      <c r="F264" s="84" t="inlineStr">
        <is>
          <t>ENTRY, GLOBAL_CHECK, STOCKS_EXIT</t>
        </is>
      </c>
      <c r="G264" s="84" t="inlineStr">
        <is>
          <t>HTF direction</t>
        </is>
      </c>
      <c r="H264" s="84" t="inlineStr">
        <is>
          <t>GENERAL — uniform</t>
        </is>
      </c>
      <c r="I264" s="84" t="inlineStr">
        <is>
          <t>LIVE — wired</t>
        </is>
      </c>
      <c r="J264" s="85"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5" t="n">
        <v>68</v>
      </c>
      <c r="B265" s="95" t="inlineStr">
        <is>
          <t>HTF_GATE_BYPASS_RZ</t>
        </is>
      </c>
      <c r="C265" s="0" t="inlineStr">
        <is>
          <t>0.0</t>
        </is>
      </c>
      <c r="D265" s="84" t="inlineStr">
        <is>
          <t>Threshold/gate: HTF_GATE_BYPASS_RZ — NABLED', 'GOLDEN_RULE_DC_15M_ENABLED', 'GOLDEN_RULE_DC_1H_ENABLED', 'GOLDEN_RULE_DC_4H_ENABLED', 'GOLDEN_RULE_DC_D_ENABL | ex: `NABLED', 'GOLDEN_RULE_DC_15M_ENABLED', 'GOLDEN_RULE_DC_1H_ENABLED', 'GOLDEN_RULE`</t>
        </is>
      </c>
      <c r="E265" s="84" t="inlineStr">
        <is>
          <t>ENTRY, GLOBAL_CHECK, STOCKS_EXIT</t>
        </is>
      </c>
      <c r="F265" s="84" t="inlineStr">
        <is>
          <t>ENTRY, GLOBAL_CHECK, STOCKS_EXIT</t>
        </is>
      </c>
      <c r="G265" s="84" t="inlineStr">
        <is>
          <t>HTF_GATE_BYPASS_RZ</t>
        </is>
      </c>
      <c r="H265" s="84" t="inlineStr">
        <is>
          <t>GENERAL — uniform</t>
        </is>
      </c>
      <c r="I265" s="84" t="inlineStr">
        <is>
          <t>LIVE — wired</t>
        </is>
      </c>
      <c r="J265" s="85"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4" t="n">
        <v>68</v>
      </c>
      <c r="B266" s="84" t="inlineStr">
        <is>
          <t>HTF_GATE_BYPASS_RZ</t>
        </is>
      </c>
      <c r="C266" s="0" t="inlineStr">
        <is>
          <t>0.0_ALT</t>
        </is>
      </c>
      <c r="D266" s="84" t="inlineStr">
        <is>
          <t>Threshold/gate: HTF_GATE_BYPASS_RZ — NABLED', 'GOLDEN_RULE_DC_15M_ENABLED', 'GOLDEN_RULE_DC_1H_ENABLED', 'GOLDEN_RULE_DC_4H_ENABLED', 'GOLDEN_RULE_DC_D_ENABL | ex: `NABLED', 'GOLDEN_RULE_DC_15M_ENABLED', 'GOLDEN_RULE_DC_1H_ENABLED', 'GOLDEN_RULE`</t>
        </is>
      </c>
      <c r="E266" s="84" t="inlineStr">
        <is>
          <t>ENTRY, GLOBAL_CHECK, STOCKS_EXIT</t>
        </is>
      </c>
      <c r="F266" s="84" t="inlineStr">
        <is>
          <t>ENTRY, GLOBAL_CHECK, STOCKS_EXIT</t>
        </is>
      </c>
      <c r="G266" s="84" t="inlineStr">
        <is>
          <t>HTF_GATE_BYPASS_RZ</t>
        </is>
      </c>
      <c r="H266" s="84" t="inlineStr">
        <is>
          <t>GENERAL — uniform</t>
        </is>
      </c>
      <c r="I266" s="84" t="inlineStr">
        <is>
          <t>LIVE — wired</t>
        </is>
      </c>
      <c r="J266" s="85"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5" t="n">
        <v>69</v>
      </c>
      <c r="B267" s="95" t="inlineStr">
        <is>
          <t>HTF_GATE_D_MANDATORY</t>
        </is>
      </c>
      <c r="C267" s="0" t="inlineStr">
        <is>
          <t>0.0</t>
        </is>
      </c>
      <c r="D267" s="84" t="inlineStr">
        <is>
          <t>Threshold/gate: HTF_GATE_D_MANDATORY — DC_15M_ENABLED', 'GOLDEN_RULE_DC_1H_ENABLED', 'GOLDEN_RULE_DC_4H_ENABLED', 'GOLDEN_RULE_DC_D_ENABLED', 'GOLDEN_RULE_DC_W | ex: `DC_15M_ENABLED', 'GOLDEN_RULE_DC_1H_ENABLED', 'GOLDEN_RULE_DC_4H_ENABLED', 'GOLD`</t>
        </is>
      </c>
      <c r="E267" s="84" t="inlineStr">
        <is>
          <t>ENTRY, GLOBAL_CHECK, STOCKS_EXIT</t>
        </is>
      </c>
      <c r="F267" s="84" t="inlineStr">
        <is>
          <t>ENTRY, GLOBAL_CHECK, STOCKS_EXIT</t>
        </is>
      </c>
      <c r="G267" s="84" t="inlineStr">
        <is>
          <t>HTF_GATE_D_MANDATORY</t>
        </is>
      </c>
      <c r="H267" s="84" t="inlineStr">
        <is>
          <t>GENERAL — uniform</t>
        </is>
      </c>
      <c r="I267" s="84" t="inlineStr">
        <is>
          <t>LIVE — wired</t>
        </is>
      </c>
      <c r="J267" s="85"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4" t="n">
        <v>69</v>
      </c>
      <c r="B268" s="84" t="inlineStr">
        <is>
          <t>HTF_GATE_D_MANDATORY</t>
        </is>
      </c>
      <c r="C268" s="0" t="inlineStr">
        <is>
          <t>0.0_ALT</t>
        </is>
      </c>
      <c r="D268" s="84" t="inlineStr">
        <is>
          <t>Threshold/gate: HTF_GATE_D_MANDATORY — DC_15M_ENABLED', 'GOLDEN_RULE_DC_1H_ENABLED', 'GOLDEN_RULE_DC_4H_ENABLED', 'GOLDEN_RULE_DC_D_ENABLED', 'GOLDEN_RULE_DC_W | ex: `DC_15M_ENABLED', 'GOLDEN_RULE_DC_1H_ENABLED', 'GOLDEN_RULE_DC_4H_ENABLED', 'GOLD`</t>
        </is>
      </c>
      <c r="E268" s="84" t="inlineStr">
        <is>
          <t>ENTRY, GLOBAL_CHECK, STOCKS_EXIT</t>
        </is>
      </c>
      <c r="F268" s="84" t="inlineStr">
        <is>
          <t>ENTRY, GLOBAL_CHECK, STOCKS_EXIT</t>
        </is>
      </c>
      <c r="G268" s="84" t="inlineStr">
        <is>
          <t>HTF_GATE_D_MANDATORY</t>
        </is>
      </c>
      <c r="H268" s="84" t="inlineStr">
        <is>
          <t>GENERAL — uniform</t>
        </is>
      </c>
      <c r="I268" s="84" t="inlineStr">
        <is>
          <t>LIVE — wired</t>
        </is>
      </c>
      <c r="J268" s="85"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5" t="n">
        <v>70</v>
      </c>
      <c r="B269" s="95" t="inlineStr">
        <is>
          <t>HTF_GATE_MIN_CONFIRMATIONS</t>
        </is>
      </c>
      <c r="C269" s="0" t="inlineStr">
        <is>
          <t>0.0</t>
        </is>
      </c>
      <c r="D269" s="84" t="inlineStr">
        <is>
          <t>Threshold/gate: HTF_GATE_MIN_CONFIRMATIONS — _RULE_DC_1H_ENABLED', 'GOLDEN_RULE_DC_4H_ENABLED', 'GOLDEN_RULE_DC_D_ENABLED', 'GOLDEN_RULE_DC_W_ENABLED', 'GOLDEN_RULE_ | ex: `_RULE_DC_1H_ENABLED', 'GOLDEN_RULE_DC_4H_ENABLED', 'GOLDEN_RULE_DC_D_ENABLED', '`</t>
        </is>
      </c>
      <c r="E269" s="84" t="inlineStr">
        <is>
          <t>ENTRY, GLOBAL_CHECK, STOCKS_EXIT</t>
        </is>
      </c>
      <c r="F269" s="84" t="inlineStr">
        <is>
          <t>ENTRY, GLOBAL_CHECK, STOCKS_EXIT</t>
        </is>
      </c>
      <c r="G269" s="84" t="inlineStr">
        <is>
          <t>HTF_GATE_MIN_CONFIRMATIONS</t>
        </is>
      </c>
      <c r="H269" s="84" t="inlineStr">
        <is>
          <t>GENERAL — uniform</t>
        </is>
      </c>
      <c r="I269" s="84" t="inlineStr">
        <is>
          <t>LIVE — wired</t>
        </is>
      </c>
      <c r="J269" s="85"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4" t="n">
        <v>70</v>
      </c>
      <c r="B270" s="84" t="inlineStr">
        <is>
          <t>HTF_GATE_MIN_CONFIRMATIONS</t>
        </is>
      </c>
      <c r="C270" s="0" t="inlineStr">
        <is>
          <t>0.0_ALT</t>
        </is>
      </c>
      <c r="D270" s="84" t="inlineStr">
        <is>
          <t>Threshold/gate: HTF_GATE_MIN_CONFIRMATIONS — _RULE_DC_1H_ENABLED', 'GOLDEN_RULE_DC_4H_ENABLED', 'GOLDEN_RULE_DC_D_ENABLED', 'GOLDEN_RULE_DC_W_ENABLED', 'GOLDEN_RULE_ | ex: `_RULE_DC_1H_ENABLED', 'GOLDEN_RULE_DC_4H_ENABLED', 'GOLDEN_RULE_DC_D_ENABLED', '`</t>
        </is>
      </c>
      <c r="E270" s="84" t="inlineStr">
        <is>
          <t>ENTRY, GLOBAL_CHECK, STOCKS_EXIT</t>
        </is>
      </c>
      <c r="F270" s="84" t="inlineStr">
        <is>
          <t>ENTRY, GLOBAL_CHECK, STOCKS_EXIT</t>
        </is>
      </c>
      <c r="G270" s="84" t="inlineStr">
        <is>
          <t>HTF_GATE_MIN_CONFIRMATIONS</t>
        </is>
      </c>
      <c r="H270" s="84" t="inlineStr">
        <is>
          <t>GENERAL — uniform</t>
        </is>
      </c>
      <c r="I270" s="84" t="inlineStr">
        <is>
          <t>LIVE — wired</t>
        </is>
      </c>
      <c r="J270" s="85"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5" t="n">
        <v>71</v>
      </c>
      <c r="B271" s="95" t="inlineStr">
        <is>
          <t>HTF_TREND_VETO_BYPASS_ENABLED</t>
        </is>
      </c>
      <c r="C271" s="0" t="inlineStr">
        <is>
          <t>False</t>
        </is>
      </c>
      <c r="D271" s="84" t="inlineStr">
        <is>
          <t>Threshold/gate: HTF_TREND_VETO_BYPASS_ENABLED — TF', 'FG_FEAR_THRESHOLD', 'FG_GREED_THRESHOLD', 'FH_MOMENTUM_FILTER_TF', 'FUNDING_GATE_FILTER_TF', 'FUNDING_GATE_MIN_TFS | ex: `TF', 'FG_FEAR_THRESHOLD', 'FG_GREED_THRESHOLD', 'FH_MOMENTUM_FILTER_TF', 'FUNDIN`</t>
        </is>
      </c>
      <c r="E271" s="84" t="inlineStr">
        <is>
          <t>GLOBAL_CHECK, STOCKS_EXIT</t>
        </is>
      </c>
      <c r="F271" s="84" t="inlineStr">
        <is>
          <t>GLOBAL_CHECK, STOCKS_EXIT</t>
        </is>
      </c>
      <c r="G271" s="84" t="inlineStr">
        <is>
          <t>HTF_TREND_VETO_BYPASS_ENABLED</t>
        </is>
      </c>
      <c r="H271" s="84" t="inlineStr">
        <is>
          <t>GENERAL</t>
        </is>
      </c>
      <c r="I271" s="84" t="inlineStr">
        <is>
          <t>LIVE — wired</t>
        </is>
      </c>
      <c r="J271" s="85"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4" t="n">
        <v>71</v>
      </c>
      <c r="B272" s="84" t="inlineStr">
        <is>
          <t>HTF_TREND_VETO_BYPASS_ENABLED</t>
        </is>
      </c>
      <c r="C272" s="0" t="inlineStr">
        <is>
          <t>True</t>
        </is>
      </c>
      <c r="D272" s="84" t="inlineStr">
        <is>
          <t>Threshold/gate: HTF_TREND_VETO_BYPASS_ENABLED — TF', 'FG_FEAR_THRESHOLD', 'FG_GREED_THRESHOLD', 'FH_MOMENTUM_FILTER_TF', 'FUNDING_GATE_FILTER_TF', 'FUNDING_GATE_MIN_TFS | ex: `TF', 'FG_FEAR_THRESHOLD', 'FG_GREED_THRESHOLD', 'FH_MOMENTUM_FILTER_TF', 'FUNDIN`</t>
        </is>
      </c>
      <c r="E272" s="84" t="inlineStr">
        <is>
          <t>GLOBAL_CHECK, STOCKS_EXIT</t>
        </is>
      </c>
      <c r="F272" s="84" t="inlineStr">
        <is>
          <t>GLOBAL_CHECK, STOCKS_EXIT</t>
        </is>
      </c>
      <c r="G272" s="84" t="inlineStr">
        <is>
          <t>HTF_TREND_VETO_BYPASS_ENABLED</t>
        </is>
      </c>
      <c r="H272" s="84" t="inlineStr">
        <is>
          <t>GENERAL</t>
        </is>
      </c>
      <c r="I272" s="84" t="inlineStr">
        <is>
          <t>LIVE — wired</t>
        </is>
      </c>
      <c r="J272" s="85"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5" t="n">
        <v>72</v>
      </c>
      <c r="B273" s="95" t="inlineStr">
        <is>
          <t>HTF_TREND_VETO_BYPASS_REASONS</t>
        </is>
      </c>
      <c r="C273" s="0" t="inlineStr">
        <is>
          <t>0.0</t>
        </is>
      </c>
      <c r="D273" s="84" t="inlineStr">
        <is>
          <t>Threshold/gate: HTF_TREND_VETO_BYPASS_REASONS — ED_THRESHOLD', 'FH_MOMENTUM_FILTER_TF', 'FUNDING_GATE_FILTER_TF', 'FUNDING_GATE_MIN_TFS', 'GOLDEN_RULE_ENFORCE_FILTER_TF | ex: `ED_THRESHOLD', 'FH_MOMENTUM_FILTER_TF', 'FUNDING_GATE_FILTER_TF', 'FUNDING_GATE_`</t>
        </is>
      </c>
      <c r="E273" s="84" t="inlineStr">
        <is>
          <t>GLOBAL_CHECK, STOCKS_EXIT</t>
        </is>
      </c>
      <c r="F273" s="84" t="inlineStr">
        <is>
          <t>GLOBAL_CHECK, STOCKS_EXIT</t>
        </is>
      </c>
      <c r="G273" s="84" t="inlineStr">
        <is>
          <t>HTF_TREND_VETO_BYPASS_REASONS</t>
        </is>
      </c>
      <c r="H273" s="84" t="inlineStr">
        <is>
          <t>GENERAL</t>
        </is>
      </c>
      <c r="I273" s="84" t="inlineStr">
        <is>
          <t>LIVE — wired</t>
        </is>
      </c>
      <c r="J273" s="85"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4" t="n">
        <v>72</v>
      </c>
      <c r="B274" s="84" t="inlineStr">
        <is>
          <t>HTF_TREND_VETO_BYPASS_REASONS</t>
        </is>
      </c>
      <c r="C274" s="0" t="inlineStr">
        <is>
          <t>0.0_ALT</t>
        </is>
      </c>
      <c r="D274" s="84" t="inlineStr">
        <is>
          <t>Threshold/gate: HTF_TREND_VETO_BYPASS_REASONS — ED_THRESHOLD', 'FH_MOMENTUM_FILTER_TF', 'FUNDING_GATE_FILTER_TF', 'FUNDING_GATE_MIN_TFS', 'GOLDEN_RULE_ENFORCE_FILTER_TF | ex: `ED_THRESHOLD', 'FH_MOMENTUM_FILTER_TF', 'FUNDING_GATE_FILTER_TF', 'FUNDING_GATE_`</t>
        </is>
      </c>
      <c r="E274" s="84" t="inlineStr">
        <is>
          <t>GLOBAL_CHECK, STOCKS_EXIT</t>
        </is>
      </c>
      <c r="F274" s="84" t="inlineStr">
        <is>
          <t>GLOBAL_CHECK, STOCKS_EXIT</t>
        </is>
      </c>
      <c r="G274" s="84" t="inlineStr">
        <is>
          <t>HTF_TREND_VETO_BYPASS_REASONS</t>
        </is>
      </c>
      <c r="H274" s="84" t="inlineStr">
        <is>
          <t>GENERAL</t>
        </is>
      </c>
      <c r="I274" s="84" t="inlineStr">
        <is>
          <t>LIVE — wired</t>
        </is>
      </c>
      <c r="J274" s="85"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8" t="n">
        <v>73</v>
      </c>
      <c r="B275" s="98" t="inlineStr">
        <is>
          <t>KILLER_KNOB_FINDER_FILTER_TF</t>
        </is>
      </c>
      <c r="C275" s="0" t="inlineStr">
        <is>
          <t>OFF</t>
        </is>
      </c>
      <c r="D275" s="87" t="inlineStr">
        <is>
          <t>Dead/misnamed filter — no read in ez_manage/ez_positions_quick/tradier_manage. Appears 0x; likely legacy or typo.</t>
        </is>
      </c>
      <c r="E275" s="87" t="inlineStr">
        <is>
          <t>DEAD</t>
        </is>
      </c>
      <c r="F275" s="87" t="inlineStr">
        <is>
          <t>DEAD</t>
        </is>
      </c>
      <c r="G275" s="87" t="inlineStr">
        <is>
          <t>KILLER_KNOB_FINDER</t>
        </is>
      </c>
      <c r="H275" s="87" t="inlineStr">
        <is>
          <t>SPECIFIC — only gated switches</t>
        </is>
      </c>
      <c r="I275" s="87" t="inlineStr">
        <is>
          <t>DEAD — REMOVE</t>
        </is>
      </c>
      <c r="J275" s="88"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7" t="n">
        <v>73</v>
      </c>
      <c r="B276" s="87" t="inlineStr">
        <is>
          <t>KILLER_KNOB_FINDER_FILTER_TF</t>
        </is>
      </c>
      <c r="C276" s="0" t="inlineStr">
        <is>
          <t>D</t>
        </is>
      </c>
      <c r="D276" s="87" t="inlineStr">
        <is>
          <t>Dead/misnamed filter — no read in ez_manage/ez_positions_quick/tradier_manage. Appears 0x; likely legacy or typo.</t>
        </is>
      </c>
      <c r="E276" s="87" t="inlineStr">
        <is>
          <t>DEAD</t>
        </is>
      </c>
      <c r="F276" s="87" t="inlineStr">
        <is>
          <t>DEAD</t>
        </is>
      </c>
      <c r="G276" s="87" t="inlineStr">
        <is>
          <t>KILLER_KNOB_FINDER</t>
        </is>
      </c>
      <c r="H276" s="87" t="inlineStr">
        <is>
          <t>SPECIFIC — only gated switches</t>
        </is>
      </c>
      <c r="I276" s="87" t="inlineStr">
        <is>
          <t>DEAD — REMOVE</t>
        </is>
      </c>
      <c r="J276" s="88"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7" t="n">
        <v>73</v>
      </c>
      <c r="B277" s="87" t="inlineStr">
        <is>
          <t>KILLER_KNOB_FINDER_FILTER_TF</t>
        </is>
      </c>
      <c r="C277" s="0" t="inlineStr">
        <is>
          <t>4h</t>
        </is>
      </c>
      <c r="D277" s="87" t="inlineStr">
        <is>
          <t>Dead/misnamed filter — no read in ez_manage/ez_positions_quick/tradier_manage. Appears 0x; likely legacy or typo.</t>
        </is>
      </c>
      <c r="E277" s="87" t="inlineStr">
        <is>
          <t>DEAD</t>
        </is>
      </c>
      <c r="F277" s="87" t="inlineStr">
        <is>
          <t>DEAD</t>
        </is>
      </c>
      <c r="G277" s="87" t="inlineStr">
        <is>
          <t>KILLER_KNOB_FINDER</t>
        </is>
      </c>
      <c r="H277" s="87" t="inlineStr">
        <is>
          <t>SPECIFIC — only gated switches</t>
        </is>
      </c>
      <c r="I277" s="87" t="inlineStr">
        <is>
          <t>DEAD — REMOVE</t>
        </is>
      </c>
      <c r="J277" s="88"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7" t="n">
        <v>73</v>
      </c>
      <c r="B278" s="87" t="inlineStr">
        <is>
          <t>KILLER_KNOB_FINDER_FILTER_TF</t>
        </is>
      </c>
      <c r="C278" s="0" t="inlineStr">
        <is>
          <t>1h</t>
        </is>
      </c>
      <c r="D278" s="87" t="inlineStr">
        <is>
          <t>Dead/misnamed filter — no read in ez_manage/ez_positions_quick/tradier_manage. Appears 0x; likely legacy or typo.</t>
        </is>
      </c>
      <c r="E278" s="87" t="inlineStr">
        <is>
          <t>DEAD</t>
        </is>
      </c>
      <c r="F278" s="87" t="inlineStr">
        <is>
          <t>DEAD</t>
        </is>
      </c>
      <c r="G278" s="87" t="inlineStr">
        <is>
          <t>KILLER_KNOB_FINDER</t>
        </is>
      </c>
      <c r="H278" s="87" t="inlineStr">
        <is>
          <t>SPECIFIC — only gated switches</t>
        </is>
      </c>
      <c r="I278" s="87" t="inlineStr">
        <is>
          <t>DEAD — REMOVE</t>
        </is>
      </c>
      <c r="J278" s="88"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7" t="n">
        <v>73</v>
      </c>
      <c r="B279" s="87" t="inlineStr">
        <is>
          <t>KILLER_KNOB_FINDER_FILTER_TF</t>
        </is>
      </c>
      <c r="C279" s="0" t="inlineStr">
        <is>
          <t>15m</t>
        </is>
      </c>
      <c r="D279" s="87" t="inlineStr">
        <is>
          <t>Dead/misnamed filter — no read in ez_manage/ez_positions_quick/tradier_manage. Appears 0x; likely legacy or typo.</t>
        </is>
      </c>
      <c r="E279" s="87" t="inlineStr">
        <is>
          <t>DEAD</t>
        </is>
      </c>
      <c r="F279" s="87" t="inlineStr">
        <is>
          <t>DEAD</t>
        </is>
      </c>
      <c r="G279" s="87" t="inlineStr">
        <is>
          <t>KILLER_KNOB_FINDER</t>
        </is>
      </c>
      <c r="H279" s="87" t="inlineStr">
        <is>
          <t>SPECIFIC — only gated switches</t>
        </is>
      </c>
      <c r="I279" s="87" t="inlineStr">
        <is>
          <t>DEAD — REMOVE</t>
        </is>
      </c>
      <c r="J279" s="88"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5" t="n">
        <v>74</v>
      </c>
      <c r="B280" s="95" t="inlineStr">
        <is>
          <t>LEADERBOARD_FILTER</t>
        </is>
      </c>
      <c r="C280" s="0" t="inlineStr">
        <is>
          <t>False</t>
        </is>
      </c>
      <c r="D280" s="84" t="inlineStr">
        <is>
          <t>Leaderboard regime filter (top-N symbols). | Live read: `ILTER_TF', 'FUNDING_GATE_MIN_TFS', 'GOLDEN_RULE_ENFORCE_FILTER_TF', 'GOLDEN_RULE`</t>
        </is>
      </c>
      <c r="E280" s="84" t="inlineStr">
        <is>
          <t>AUGMENT, ENTRY, EXIT, GLOBAL_CHECK, REDUCE, STOCKS_EXIT</t>
        </is>
      </c>
      <c r="F280" s="84" t="inlineStr">
        <is>
          <t>AUGMENT, ENTRY, EXIT, GLOBAL_CHECK, REDUCE, STOCKS_EXIT</t>
        </is>
      </c>
      <c r="G280" s="84" t="inlineStr">
        <is>
          <t>Leaderboard</t>
        </is>
      </c>
      <c r="H280" s="84" t="inlineStr">
        <is>
          <t>GENERAL — uniform</t>
        </is>
      </c>
      <c r="I280" s="84" t="inlineStr">
        <is>
          <t>LIVE — wired</t>
        </is>
      </c>
      <c r="J280" s="85"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4" t="n">
        <v>74</v>
      </c>
      <c r="B281" s="84" t="inlineStr">
        <is>
          <t>LEADERBOARD_FILTER</t>
        </is>
      </c>
      <c r="C281" s="0" t="inlineStr">
        <is>
          <t>False_ALT</t>
        </is>
      </c>
      <c r="D281" s="84" t="inlineStr">
        <is>
          <t>Leaderboard regime filter (top-N symbols). | Live read: `ILTER_TF', 'FUNDING_GATE_MIN_TFS', 'GOLDEN_RULE_ENFORCE_FILTER_TF', 'GOLDEN_RULE`</t>
        </is>
      </c>
      <c r="E281" s="84" t="inlineStr">
        <is>
          <t>AUGMENT, ENTRY, EXIT, GLOBAL_CHECK, REDUCE, STOCKS_EXIT</t>
        </is>
      </c>
      <c r="F281" s="84" t="inlineStr">
        <is>
          <t>AUGMENT, ENTRY, EXIT, GLOBAL_CHECK, REDUCE, STOCKS_EXIT</t>
        </is>
      </c>
      <c r="G281" s="84" t="inlineStr">
        <is>
          <t>Leaderboard</t>
        </is>
      </c>
      <c r="H281" s="84" t="inlineStr">
        <is>
          <t>GENERAL — uniform</t>
        </is>
      </c>
      <c r="I281" s="84" t="inlineStr">
        <is>
          <t>LIVE — wired</t>
        </is>
      </c>
      <c r="J281" s="85"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5" t="n">
        <v>75</v>
      </c>
      <c r="B282" s="95" t="inlineStr">
        <is>
          <t>LH_HL_FILTER_ENABLED</t>
        </is>
      </c>
      <c r="C282" s="0" t="inlineStr">
        <is>
          <t>False</t>
        </is>
      </c>
      <c r="D282" s="84" t="inlineStr">
        <is>
          <t>Lower-high / Higher-low structure filter (SMA200D replacement). | Live read: `N_RULE_ENTRY_TF_LIST', 'GOLDEN_RULE_MULT_15M', 'GOLDEN_RULE_MULT_1H', 'GOLDEN_RU`</t>
        </is>
      </c>
      <c r="E282" s="84" t="inlineStr">
        <is>
          <t>ENTRY, GLOBAL_CHECK, STOCKS_EXIT</t>
        </is>
      </c>
      <c r="F282" s="84" t="inlineStr">
        <is>
          <t>ENTRY, GLOBAL_CHECK, STOCKS_EXIT</t>
        </is>
      </c>
      <c r="G282" s="84" t="inlineStr">
        <is>
          <t>LH/HL filter</t>
        </is>
      </c>
      <c r="H282" s="84" t="inlineStr">
        <is>
          <t>GENERAL</t>
        </is>
      </c>
      <c r="I282" s="84" t="inlineStr">
        <is>
          <t>LIVE — wired</t>
        </is>
      </c>
      <c r="J282" s="85"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4" t="n">
        <v>75</v>
      </c>
      <c r="B283" s="84" t="inlineStr">
        <is>
          <t>LH_HL_FILTER_ENABLED</t>
        </is>
      </c>
      <c r="C283" s="0" t="inlineStr">
        <is>
          <t>True</t>
        </is>
      </c>
      <c r="D283" s="84" t="inlineStr">
        <is>
          <t>Lower-high / Higher-low structure filter (SMA200D replacement). | Live read: `N_RULE_ENTRY_TF_LIST', 'GOLDEN_RULE_MULT_15M', 'GOLDEN_RULE_MULT_1H', 'GOLDEN_RU`</t>
        </is>
      </c>
      <c r="E283" s="84" t="inlineStr">
        <is>
          <t>ENTRY, GLOBAL_CHECK, STOCKS_EXIT</t>
        </is>
      </c>
      <c r="F283" s="84" t="inlineStr">
        <is>
          <t>ENTRY, GLOBAL_CHECK, STOCKS_EXIT</t>
        </is>
      </c>
      <c r="G283" s="84" t="inlineStr">
        <is>
          <t>LH/HL filter</t>
        </is>
      </c>
      <c r="H283" s="84" t="inlineStr">
        <is>
          <t>GENERAL</t>
        </is>
      </c>
      <c r="I283" s="84" t="inlineStr">
        <is>
          <t>LIVE — wired</t>
        </is>
      </c>
      <c r="J283" s="85"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5" t="n">
        <v>76</v>
      </c>
      <c r="B284" s="95" t="inlineStr">
        <is>
          <t>LH_HL_FILTER_MODE</t>
        </is>
      </c>
      <c r="C284" s="0" t="inlineStr">
        <is>
          <t>STRICT_2BAR</t>
        </is>
      </c>
      <c r="D284" s="84" t="inlineStr">
        <is>
          <t>Threshold/gate: LH_HL_FILTER_MODE — _MULT_1H', 'GOLDEN_RULE_MULT_4H', 'GOLDEN_RULE_MULT_D', 'GOLDEN_RULE_MULT_W', 'GR_FILTER_ALL_ENTRIES', 'GR_OPEN_COOLDOWN | ex: `_MULT_1H', 'GOLDEN_RULE_MULT_4H', 'GOLDEN_RULE_MULT_D', 'GOLDEN_RULE_MULT_W', 'G`</t>
        </is>
      </c>
      <c r="E284" s="84" t="inlineStr">
        <is>
          <t>ENTRY, GLOBAL_CHECK, STOCKS_EXIT</t>
        </is>
      </c>
      <c r="F284" s="84" t="inlineStr">
        <is>
          <t>ENTRY, GLOBAL_CHECK, STOCKS_EXIT</t>
        </is>
      </c>
      <c r="G284" s="84" t="inlineStr">
        <is>
          <t>LH/HL filter</t>
        </is>
      </c>
      <c r="H284" s="84" t="inlineStr">
        <is>
          <t>GENERAL</t>
        </is>
      </c>
      <c r="I284" s="84" t="inlineStr">
        <is>
          <t>LIVE — wired</t>
        </is>
      </c>
      <c r="J284" s="85"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4" t="n">
        <v>76</v>
      </c>
      <c r="B285" s="84" t="inlineStr">
        <is>
          <t>LH_HL_FILTER_MODE</t>
        </is>
      </c>
      <c r="C285" s="0" t="inlineStr">
        <is>
          <t>STRICT_2BAR_ALT</t>
        </is>
      </c>
      <c r="D285" s="84" t="inlineStr">
        <is>
          <t>Threshold/gate: LH_HL_FILTER_MODE — _MULT_1H', 'GOLDEN_RULE_MULT_4H', 'GOLDEN_RULE_MULT_D', 'GOLDEN_RULE_MULT_W', 'GR_FILTER_ALL_ENTRIES', 'GR_OPEN_COOLDOWN | ex: `_MULT_1H', 'GOLDEN_RULE_MULT_4H', 'GOLDEN_RULE_MULT_D', 'GOLDEN_RULE_MULT_W', 'G`</t>
        </is>
      </c>
      <c r="E285" s="84" t="inlineStr">
        <is>
          <t>ENTRY, GLOBAL_CHECK, STOCKS_EXIT</t>
        </is>
      </c>
      <c r="F285" s="84" t="inlineStr">
        <is>
          <t>ENTRY, GLOBAL_CHECK, STOCKS_EXIT</t>
        </is>
      </c>
      <c r="G285" s="84" t="inlineStr">
        <is>
          <t>LH/HL filter</t>
        </is>
      </c>
      <c r="H285" s="84" t="inlineStr">
        <is>
          <t>GENERAL</t>
        </is>
      </c>
      <c r="I285" s="84" t="inlineStr">
        <is>
          <t>LIVE — wired</t>
        </is>
      </c>
      <c r="J285" s="85"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5" t="n">
        <v>77</v>
      </c>
      <c r="B286" s="95" t="inlineStr">
        <is>
          <t>LH_HL_FILTER_REQUIRE_BOTH</t>
        </is>
      </c>
      <c r="C286" s="0" t="inlineStr">
        <is>
          <t>False</t>
        </is>
      </c>
      <c r="D286" s="84" t="inlineStr">
        <is>
          <t>Threshold/gate: LH_HL_FILTER_REQUIRE_BOTH — LE_MULT_4H', 'GOLDEN_RULE_MULT_D', 'GOLDEN_RULE_MULT_W', 'GR_FILTER_ALL_ENTRIES', 'GR_OPEN_COOLDOWN_S', 'GR_TOTAL_VOTE_S | ex: `LE_MULT_4H', 'GOLDEN_RULE_MULT_D', 'GOLDEN_RULE_MULT_W', 'GR_FILTER_ALL_ENTRIES'`</t>
        </is>
      </c>
      <c r="E286" s="84" t="inlineStr">
        <is>
          <t>ENTRY, GLOBAL_CHECK, STOCKS_EXIT</t>
        </is>
      </c>
      <c r="F286" s="84" t="inlineStr">
        <is>
          <t>ENTRY, GLOBAL_CHECK, STOCKS_EXIT</t>
        </is>
      </c>
      <c r="G286" s="84" t="inlineStr">
        <is>
          <t>LH/HL filter</t>
        </is>
      </c>
      <c r="H286" s="84" t="inlineStr">
        <is>
          <t>GENERAL</t>
        </is>
      </c>
      <c r="I286" s="84" t="inlineStr">
        <is>
          <t>LIVE — wired</t>
        </is>
      </c>
      <c r="J286" s="85"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4" t="n">
        <v>77</v>
      </c>
      <c r="B287" s="84" t="inlineStr">
        <is>
          <t>LH_HL_FILTER_REQUIRE_BOTH</t>
        </is>
      </c>
      <c r="C287" s="0" t="inlineStr">
        <is>
          <t>False_ALT</t>
        </is>
      </c>
      <c r="D287" s="84" t="inlineStr">
        <is>
          <t>Threshold/gate: LH_HL_FILTER_REQUIRE_BOTH — LE_MULT_4H', 'GOLDEN_RULE_MULT_D', 'GOLDEN_RULE_MULT_W', 'GR_FILTER_ALL_ENTRIES', 'GR_OPEN_COOLDOWN_S', 'GR_TOTAL_VOTE_S | ex: `LE_MULT_4H', 'GOLDEN_RULE_MULT_D', 'GOLDEN_RULE_MULT_W', 'GR_FILTER_ALL_ENTRIES'`</t>
        </is>
      </c>
      <c r="E287" s="84" t="inlineStr">
        <is>
          <t>ENTRY, GLOBAL_CHECK, STOCKS_EXIT</t>
        </is>
      </c>
      <c r="F287" s="84" t="inlineStr">
        <is>
          <t>ENTRY, GLOBAL_CHECK, STOCKS_EXIT</t>
        </is>
      </c>
      <c r="G287" s="84" t="inlineStr">
        <is>
          <t>LH/HL filter</t>
        </is>
      </c>
      <c r="H287" s="84" t="inlineStr">
        <is>
          <t>GENERAL</t>
        </is>
      </c>
      <c r="I287" s="84" t="inlineStr">
        <is>
          <t>LIVE — wired</t>
        </is>
      </c>
      <c r="J287" s="85"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6" t="n">
        <v>78</v>
      </c>
      <c r="B288" s="96"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6" t="n">
        <v>79</v>
      </c>
      <c r="B290" s="96"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6" t="n">
        <v>80</v>
      </c>
      <c r="B295" s="96"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5" t="n">
        <v>81</v>
      </c>
      <c r="B300" s="95" t="inlineStr">
        <is>
          <t>LIVE_VEC_EMERGENCY_BRAKE_ENABLED</t>
        </is>
      </c>
      <c r="C300" s="0" t="inlineStr">
        <is>
          <t>False</t>
        </is>
      </c>
      <c r="D300" s="84" t="inlineStr">
        <is>
          <t>Emergency brake enabled in live vector path. | Live read: `ER_TF', 'GOLDEN_RULE_HTF_VOTE_FILTER_TF', 'GR_FILTER_VEC_ENABLED', 'GR_FILTER_VE`</t>
        </is>
      </c>
      <c r="E300" s="84" t="inlineStr">
        <is>
          <t>GLOBAL_CHECK, STOCKS_EXIT</t>
        </is>
      </c>
      <c r="F300" s="84" t="inlineStr">
        <is>
          <t>GLOBAL_CHECK, STOCKS_EXIT</t>
        </is>
      </c>
      <c r="G300" s="84" t="inlineStr">
        <is>
          <t>LIVE_VEC_EMERGENCY_BRAKE_ENABLED</t>
        </is>
      </c>
      <c r="H300" s="84" t="inlineStr">
        <is>
          <t>GENERAL</t>
        </is>
      </c>
      <c r="I300" s="84" t="inlineStr">
        <is>
          <t>LIVE — wired</t>
        </is>
      </c>
      <c r="J300" s="85"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4" t="n">
        <v>81</v>
      </c>
      <c r="B301" s="84" t="inlineStr">
        <is>
          <t>LIVE_VEC_EMERGENCY_BRAKE_ENABLED</t>
        </is>
      </c>
      <c r="C301" s="0" t="inlineStr">
        <is>
          <t>True</t>
        </is>
      </c>
      <c r="D301" s="84" t="inlineStr">
        <is>
          <t>Emergency brake enabled in live vector path. | Live read: `ER_TF', 'GOLDEN_RULE_HTF_VOTE_FILTER_TF', 'GR_FILTER_VEC_ENABLED', 'GR_FILTER_VE`</t>
        </is>
      </c>
      <c r="E301" s="84" t="inlineStr">
        <is>
          <t>GLOBAL_CHECK, STOCKS_EXIT</t>
        </is>
      </c>
      <c r="F301" s="84" t="inlineStr">
        <is>
          <t>GLOBAL_CHECK, STOCKS_EXIT</t>
        </is>
      </c>
      <c r="G301" s="84" t="inlineStr">
        <is>
          <t>LIVE_VEC_EMERGENCY_BRAKE_ENABLED</t>
        </is>
      </c>
      <c r="H301" s="84" t="inlineStr">
        <is>
          <t>GENERAL</t>
        </is>
      </c>
      <c r="I301" s="84" t="inlineStr">
        <is>
          <t>LIVE — wired</t>
        </is>
      </c>
      <c r="J301" s="85"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5" t="n">
        <v>82</v>
      </c>
      <c r="B302" s="95" t="inlineStr">
        <is>
          <t>LR_BAND_LADDER_STOCH_EXTREME</t>
        </is>
      </c>
      <c r="C302" s="0" t="inlineStr">
        <is>
          <t>30.0</t>
        </is>
      </c>
      <c r="D302" s="84" t="inlineStr">
        <is>
          <t>Threshold/gate: LR_BAND_LADDER_STOCH_EXTREME — _TF', 'GR_FILTER_VEC_ENABLED', 'GR_FILTER_VEC_FILTER_TF', 'GR_FILTER_VEC_MIN_TFS', 'GR_V5_HTF_MIN_ALIGN', 'GR_V5_LTF_MIN | ex: `_TF', 'GR_FILTER_VEC_ENABLED', 'GR_FILTER_VEC_FILTER_TF', 'GR_FILTER_VEC_MIN_TFS`</t>
        </is>
      </c>
      <c r="E302" s="84" t="inlineStr">
        <is>
          <t>GLOBAL_CHECK, STOCKS_EXIT</t>
        </is>
      </c>
      <c r="F302" s="84" t="inlineStr">
        <is>
          <t>GLOBAL_CHECK, STOCKS_EXIT</t>
        </is>
      </c>
      <c r="G302" s="84" t="inlineStr">
        <is>
          <t>LR_BAND_LADDER_STOCH_EXTREME</t>
        </is>
      </c>
      <c r="H302" s="84" t="inlineStr">
        <is>
          <t>GENERAL</t>
        </is>
      </c>
      <c r="I302" s="84" t="inlineStr">
        <is>
          <t>LIVE — wired</t>
        </is>
      </c>
      <c r="J302" s="85"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4" t="n">
        <v>82</v>
      </c>
      <c r="B303" s="84" t="inlineStr">
        <is>
          <t>LR_BAND_LADDER_STOCH_EXTREME</t>
        </is>
      </c>
      <c r="C303" s="0" t="inlineStr">
        <is>
          <t>30.0_ALT</t>
        </is>
      </c>
      <c r="D303" s="84" t="inlineStr">
        <is>
          <t>Threshold/gate: LR_BAND_LADDER_STOCH_EXTREME — _TF', 'GR_FILTER_VEC_ENABLED', 'GR_FILTER_VEC_FILTER_TF', 'GR_FILTER_VEC_MIN_TFS', 'GR_V5_HTF_MIN_ALIGN', 'GR_V5_LTF_MIN | ex: `_TF', 'GR_FILTER_VEC_ENABLED', 'GR_FILTER_VEC_FILTER_TF', 'GR_FILTER_VEC_MIN_TFS`</t>
        </is>
      </c>
      <c r="E303" s="84" t="inlineStr">
        <is>
          <t>GLOBAL_CHECK, STOCKS_EXIT</t>
        </is>
      </c>
      <c r="F303" s="84" t="inlineStr">
        <is>
          <t>GLOBAL_CHECK, STOCKS_EXIT</t>
        </is>
      </c>
      <c r="G303" s="84" t="inlineStr">
        <is>
          <t>LR_BAND_LADDER_STOCH_EXTREME</t>
        </is>
      </c>
      <c r="H303" s="84" t="inlineStr">
        <is>
          <t>GENERAL</t>
        </is>
      </c>
      <c r="I303" s="84" t="inlineStr">
        <is>
          <t>LIVE — wired</t>
        </is>
      </c>
      <c r="J303" s="85"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5" t="n">
        <v>83</v>
      </c>
      <c r="B304" s="95" t="inlineStr">
        <is>
          <t>LR_BAND_LADDER_TF_BOTTOM</t>
        </is>
      </c>
      <c r="C304" s="0" t="inlineStr">
        <is>
          <t>0</t>
        </is>
      </c>
      <c r="D304" s="84" t="inlineStr">
        <is>
          <t>Threshold/gate: LR_BAND_LADDER_TF_BOTTOM — GR_FILTER_VEC_FILTER_TF', 'GR_FILTER_VEC_MIN_TFS', 'GR_V5_HTF_MIN_ALIGN', 'GR_V5_LTF_MIN_ALIGN', 'GR_V5_STATE_FILTER_TF' | ex: `GR_FILTER_VEC_FILTER_TF', 'GR_FILTER_VEC_MIN_TFS', 'GR_V5_HTF_MIN_ALIGN', 'GR_V5`</t>
        </is>
      </c>
      <c r="E304" s="84" t="inlineStr">
        <is>
          <t>GLOBAL_CHECK, STOCKS_EXIT</t>
        </is>
      </c>
      <c r="F304" s="84" t="inlineStr">
        <is>
          <t>GLOBAL_CHECK, STOCKS_EXIT</t>
        </is>
      </c>
      <c r="G304" s="84" t="inlineStr">
        <is>
          <t>LR_BAND_LADDER_TF_BOTTOM</t>
        </is>
      </c>
      <c r="H304" s="84" t="inlineStr">
        <is>
          <t>GENERAL</t>
        </is>
      </c>
      <c r="I304" s="84" t="inlineStr">
        <is>
          <t>LIVE — wired</t>
        </is>
      </c>
      <c r="J304" s="85"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4" t="n">
        <v>83</v>
      </c>
      <c r="B305" s="84" t="inlineStr">
        <is>
          <t>LR_BAND_LADDER_TF_BOTTOM</t>
        </is>
      </c>
      <c r="C305" s="0" t="inlineStr">
        <is>
          <t>1</t>
        </is>
      </c>
      <c r="D305" s="84" t="inlineStr">
        <is>
          <t>Threshold/gate: LR_BAND_LADDER_TF_BOTTOM — GR_FILTER_VEC_FILTER_TF', 'GR_FILTER_VEC_MIN_TFS', 'GR_V5_HTF_MIN_ALIGN', 'GR_V5_LTF_MIN_ALIGN', 'GR_V5_STATE_FILTER_TF' | ex: `GR_FILTER_VEC_FILTER_TF', 'GR_FILTER_VEC_MIN_TFS', 'GR_V5_HTF_MIN_ALIGN', 'GR_V5`</t>
        </is>
      </c>
      <c r="E305" s="84" t="inlineStr">
        <is>
          <t>GLOBAL_CHECK, STOCKS_EXIT</t>
        </is>
      </c>
      <c r="F305" s="84" t="inlineStr">
        <is>
          <t>GLOBAL_CHECK, STOCKS_EXIT</t>
        </is>
      </c>
      <c r="G305" s="84" t="inlineStr">
        <is>
          <t>LR_BAND_LADDER_TF_BOTTOM</t>
        </is>
      </c>
      <c r="H305" s="84" t="inlineStr">
        <is>
          <t>GENERAL</t>
        </is>
      </c>
      <c r="I305" s="84" t="inlineStr">
        <is>
          <t>LIVE — wired</t>
        </is>
      </c>
      <c r="J305" s="85"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5" t="n">
        <v>84</v>
      </c>
      <c r="B306" s="95" t="inlineStr">
        <is>
          <t>LR_BAND_LADDER_TF_TOP</t>
        </is>
      </c>
      <c r="C306" s="0" t="inlineStr">
        <is>
          <t>0</t>
        </is>
      </c>
      <c r="D306" s="84" t="inlineStr">
        <is>
          <t>Threshold/gate: LR_BAND_LADDER_TF_TOP — R_FILTER_VEC_MIN_TFS', 'GR_V5_HTF_MIN_ALIGN', 'GR_V5_LTF_MIN_ALIGN', 'GR_V5_STATE_FILTER_TF', 'HAIKU_WINNER_FILTER_TF',  | ex: `R_FILTER_VEC_MIN_TFS', 'GR_V5_HTF_MIN_ALIGN', 'GR_V5_LTF_MIN_ALIGN', 'GR_V5_STAT`</t>
        </is>
      </c>
      <c r="E306" s="84" t="inlineStr">
        <is>
          <t>GLOBAL_CHECK, STOCKS_EXIT</t>
        </is>
      </c>
      <c r="F306" s="84" t="inlineStr">
        <is>
          <t>GLOBAL_CHECK, STOCKS_EXIT</t>
        </is>
      </c>
      <c r="G306" s="84" t="inlineStr">
        <is>
          <t>LR_BAND_LADDER_TF_TOP</t>
        </is>
      </c>
      <c r="H306" s="84" t="inlineStr">
        <is>
          <t>GENERAL</t>
        </is>
      </c>
      <c r="I306" s="84" t="inlineStr">
        <is>
          <t>LIVE — wired</t>
        </is>
      </c>
      <c r="J306" s="85"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4" t="n">
        <v>84</v>
      </c>
      <c r="B307" s="84" t="inlineStr">
        <is>
          <t>LR_BAND_LADDER_TF_TOP</t>
        </is>
      </c>
      <c r="C307" s="0" t="inlineStr">
        <is>
          <t>1</t>
        </is>
      </c>
      <c r="D307" s="84" t="inlineStr">
        <is>
          <t>Threshold/gate: LR_BAND_LADDER_TF_TOP — R_FILTER_VEC_MIN_TFS', 'GR_V5_HTF_MIN_ALIGN', 'GR_V5_LTF_MIN_ALIGN', 'GR_V5_STATE_FILTER_TF', 'HAIKU_WINNER_FILTER_TF',  | ex: `R_FILTER_VEC_MIN_TFS', 'GR_V5_HTF_MIN_ALIGN', 'GR_V5_LTF_MIN_ALIGN', 'GR_V5_STAT`</t>
        </is>
      </c>
      <c r="E307" s="84" t="inlineStr">
        <is>
          <t>GLOBAL_CHECK, STOCKS_EXIT</t>
        </is>
      </c>
      <c r="F307" s="84" t="inlineStr">
        <is>
          <t>GLOBAL_CHECK, STOCKS_EXIT</t>
        </is>
      </c>
      <c r="G307" s="84" t="inlineStr">
        <is>
          <t>LR_BAND_LADDER_TF_TOP</t>
        </is>
      </c>
      <c r="H307" s="84" t="inlineStr">
        <is>
          <t>GENERAL</t>
        </is>
      </c>
      <c r="I307" s="84" t="inlineStr">
        <is>
          <t>LIVE — wired</t>
        </is>
      </c>
      <c r="J307" s="85"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5" t="n">
        <v>85</v>
      </c>
      <c r="B308" s="95" t="inlineStr">
        <is>
          <t>MANDATORY_REENTRY_WT_FILTER_MIN_TFS</t>
        </is>
      </c>
      <c r="C308" s="0" t="inlineStr">
        <is>
          <t>1</t>
        </is>
      </c>
      <c r="D308"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4" t="inlineStr">
        <is>
          <t>GLOBAL_CHECK, STOCKS_EXIT</t>
        </is>
      </c>
      <c r="F308" s="84" t="inlineStr">
        <is>
          <t>GLOBAL_CHECK, STOCKS_EXIT</t>
        </is>
      </c>
      <c r="G308" s="84" t="inlineStr">
        <is>
          <t>MANDATORY_REENTRY_WT_FILTER_MIN_</t>
        </is>
      </c>
      <c r="H308" s="84" t="inlineStr">
        <is>
          <t>GENERAL</t>
        </is>
      </c>
      <c r="I308" s="84" t="inlineStr">
        <is>
          <t>LIVE — wired</t>
        </is>
      </c>
      <c r="J308" s="85"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4" t="n">
        <v>85</v>
      </c>
      <c r="B309" s="84" t="inlineStr">
        <is>
          <t>MANDATORY_REENTRY_WT_FILTER_MIN_TFS</t>
        </is>
      </c>
      <c r="C309" s="0" t="inlineStr">
        <is>
          <t>3</t>
        </is>
      </c>
      <c r="D309"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4" t="inlineStr">
        <is>
          <t>GLOBAL_CHECK, STOCKS_EXIT</t>
        </is>
      </c>
      <c r="F309" s="84" t="inlineStr">
        <is>
          <t>GLOBAL_CHECK, STOCKS_EXIT</t>
        </is>
      </c>
      <c r="G309" s="84" t="inlineStr">
        <is>
          <t>MANDATORY_REENTRY_WT_FILTER_MIN_</t>
        </is>
      </c>
      <c r="H309" s="84" t="inlineStr">
        <is>
          <t>GENERAL</t>
        </is>
      </c>
      <c r="I309" s="84" t="inlineStr">
        <is>
          <t>LIVE — wired</t>
        </is>
      </c>
      <c r="J309" s="85"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4" t="n">
        <v>85</v>
      </c>
      <c r="B310" s="84" t="inlineStr">
        <is>
          <t>MANDATORY_REENTRY_WT_FILTER_MIN_TFS</t>
        </is>
      </c>
      <c r="C310" s="0" t="inlineStr">
        <is>
          <t>2</t>
        </is>
      </c>
      <c r="D310" s="84"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4" t="inlineStr">
        <is>
          <t>GLOBAL_CHECK, STOCKS_EXIT</t>
        </is>
      </c>
      <c r="F310" s="84" t="inlineStr">
        <is>
          <t>GLOBAL_CHECK, STOCKS_EXIT</t>
        </is>
      </c>
      <c r="G310" s="84" t="inlineStr">
        <is>
          <t>MANDATORY_REENTRY_WT_FILTER_MIN_</t>
        </is>
      </c>
      <c r="H310" s="84" t="inlineStr">
        <is>
          <t>GENERAL</t>
        </is>
      </c>
      <c r="I310" s="84" t="inlineStr">
        <is>
          <t>LIVE — wired</t>
        </is>
      </c>
      <c r="J310" s="85"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5" t="n">
        <v>86</v>
      </c>
      <c r="B311" s="95" t="inlineStr">
        <is>
          <t>MANDATORY_REENTRY_WT_FILTER_MIN_VELOCITY</t>
        </is>
      </c>
      <c r="C311" s="0" t="inlineStr">
        <is>
          <t>0.0</t>
        </is>
      </c>
      <c r="D311" s="84" t="inlineStr">
        <is>
          <t>Threshold/gate: MANDATORY_REENTRY_WT_FILTER_MIN_VELOCITY — D', 'GUARANTEED_REENTRY_DELTA_GATE_ENABLED', 'GUARANTEED_REENTRY_K_FAVORABLE_HIGH', 'GUARANTEED_REENTRY_K_FAVORABLE_LOW' | ex: `D', 'GUARANTEED_REENTRY_DELTA_GATE_ENABLED', 'GUARANTEED_REENTRY_K_FAVORABLE_HIG`</t>
        </is>
      </c>
      <c r="E311" s="84" t="inlineStr">
        <is>
          <t>GLOBAL_CHECK, STOCKS_EXIT</t>
        </is>
      </c>
      <c r="F311" s="84" t="inlineStr">
        <is>
          <t>GLOBAL_CHECK, STOCKS_EXIT</t>
        </is>
      </c>
      <c r="G311" s="84" t="inlineStr">
        <is>
          <t>MANDATORY_REENTRY_WT_FILTER_MIN_</t>
        </is>
      </c>
      <c r="H311" s="84" t="inlineStr">
        <is>
          <t>GENERAL</t>
        </is>
      </c>
      <c r="I311" s="84" t="inlineStr">
        <is>
          <t>LIVE — wired</t>
        </is>
      </c>
      <c r="J311" s="85"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4" t="n">
        <v>86</v>
      </c>
      <c r="B312" s="84" t="inlineStr">
        <is>
          <t>MANDATORY_REENTRY_WT_FILTER_MIN_VELOCITY</t>
        </is>
      </c>
      <c r="C312" s="0" t="inlineStr">
        <is>
          <t>0.0_ALT</t>
        </is>
      </c>
      <c r="D312" s="84" t="inlineStr">
        <is>
          <t>Threshold/gate: MANDATORY_REENTRY_WT_FILTER_MIN_VELOCITY — D', 'GUARANTEED_REENTRY_DELTA_GATE_ENABLED', 'GUARANTEED_REENTRY_K_FAVORABLE_HIGH', 'GUARANTEED_REENTRY_K_FAVORABLE_LOW' | ex: `D', 'GUARANTEED_REENTRY_DELTA_GATE_ENABLED', 'GUARANTEED_REENTRY_K_FAVORABLE_HIG`</t>
        </is>
      </c>
      <c r="E312" s="84" t="inlineStr">
        <is>
          <t>GLOBAL_CHECK, STOCKS_EXIT</t>
        </is>
      </c>
      <c r="F312" s="84" t="inlineStr">
        <is>
          <t>GLOBAL_CHECK, STOCKS_EXIT</t>
        </is>
      </c>
      <c r="G312" s="84" t="inlineStr">
        <is>
          <t>MANDATORY_REENTRY_WT_FILTER_MIN_</t>
        </is>
      </c>
      <c r="H312" s="84" t="inlineStr">
        <is>
          <t>GENERAL</t>
        </is>
      </c>
      <c r="I312" s="84" t="inlineStr">
        <is>
          <t>LIVE — wired</t>
        </is>
      </c>
      <c r="J312" s="85"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5" t="n">
        <v>87</v>
      </c>
      <c r="B313" s="95" t="inlineStr">
        <is>
          <t>MANDATORY_REENTRY_WT_FILTER_REQUIRE_FLIP</t>
        </is>
      </c>
      <c r="C313" s="0" t="inlineStr">
        <is>
          <t>False</t>
        </is>
      </c>
      <c r="D313" s="84" t="inlineStr">
        <is>
          <t>Threshold/gate: MANDATORY_REENTRY_WT_FILTER_REQUIRE_FLIP — 'GUARANTEED_REENTRY_K_FAVORABLE_HIGH', 'GUARANTEED_REENTRY_K_FAVORABLE_LOW', 'GUARANTEED_REENTRY_K_HIGH_BLOCK', 'GUARANT | ex: `'GUARANTEED_REENTRY_K_FAVORABLE_HIGH', 'GUARANTEED_REENTRY_K_FAVORABLE_LOW', 'GU`</t>
        </is>
      </c>
      <c r="E313" s="84" t="inlineStr">
        <is>
          <t>GLOBAL_CHECK, STOCKS_EXIT</t>
        </is>
      </c>
      <c r="F313" s="84" t="inlineStr">
        <is>
          <t>GLOBAL_CHECK, STOCKS_EXIT</t>
        </is>
      </c>
      <c r="G313" s="84" t="inlineStr">
        <is>
          <t>MANDATORY_REENTRY_WT_FILTER_REQU</t>
        </is>
      </c>
      <c r="H313" s="84" t="inlineStr">
        <is>
          <t>GENERAL</t>
        </is>
      </c>
      <c r="I313" s="84" t="inlineStr">
        <is>
          <t>LIVE — wired</t>
        </is>
      </c>
      <c r="J313" s="85"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4" t="n">
        <v>87</v>
      </c>
      <c r="B314" s="84" t="inlineStr">
        <is>
          <t>MANDATORY_REENTRY_WT_FILTER_REQUIRE_FLIP</t>
        </is>
      </c>
      <c r="C314" s="0" t="inlineStr">
        <is>
          <t>False_ALT</t>
        </is>
      </c>
      <c r="D314" s="84" t="inlineStr">
        <is>
          <t>Threshold/gate: MANDATORY_REENTRY_WT_FILTER_REQUIRE_FLIP — 'GUARANTEED_REENTRY_K_FAVORABLE_HIGH', 'GUARANTEED_REENTRY_K_FAVORABLE_LOW', 'GUARANTEED_REENTRY_K_HIGH_BLOCK', 'GUARANT | ex: `'GUARANTEED_REENTRY_K_FAVORABLE_HIGH', 'GUARANTEED_REENTRY_K_FAVORABLE_LOW', 'GU`</t>
        </is>
      </c>
      <c r="E314" s="84" t="inlineStr">
        <is>
          <t>GLOBAL_CHECK, STOCKS_EXIT</t>
        </is>
      </c>
      <c r="F314" s="84" t="inlineStr">
        <is>
          <t>GLOBAL_CHECK, STOCKS_EXIT</t>
        </is>
      </c>
      <c r="G314" s="84" t="inlineStr">
        <is>
          <t>MANDATORY_REENTRY_WT_FILTER_REQU</t>
        </is>
      </c>
      <c r="H314" s="84" t="inlineStr">
        <is>
          <t>GENERAL</t>
        </is>
      </c>
      <c r="I314" s="84" t="inlineStr">
        <is>
          <t>LIVE — wired</t>
        </is>
      </c>
      <c r="J314" s="85"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6" t="n">
        <v>88</v>
      </c>
      <c r="B315" s="96"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5" t="n">
        <v>89</v>
      </c>
      <c r="B317" s="95" t="inlineStr">
        <is>
          <t>MANDATORY_REENTRY_WT_FILTER_VELOCITY_RATIO</t>
        </is>
      </c>
      <c r="C317" s="0" t="inlineStr">
        <is>
          <t>0.90</t>
        </is>
      </c>
      <c r="D317"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4" t="inlineStr">
        <is>
          <t>GLOBAL_CHECK, STOCKS_EXIT</t>
        </is>
      </c>
      <c r="F317" s="84" t="inlineStr">
        <is>
          <t>GLOBAL_CHECK, STOCKS_EXIT</t>
        </is>
      </c>
      <c r="G317" s="84" t="inlineStr">
        <is>
          <t>MANDATORY_REENTRY_WT_FILTER_VELO</t>
        </is>
      </c>
      <c r="H317" s="84" t="inlineStr">
        <is>
          <t>GENERAL</t>
        </is>
      </c>
      <c r="I317" s="84" t="inlineStr">
        <is>
          <t>LIVE — wired</t>
        </is>
      </c>
      <c r="J317" s="85"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4" t="n">
        <v>89</v>
      </c>
      <c r="B318" s="84" t="inlineStr">
        <is>
          <t>MANDATORY_REENTRY_WT_FILTER_VELOCITY_RATIO</t>
        </is>
      </c>
      <c r="C318" s="0" t="inlineStr">
        <is>
          <t>0.90_ALT</t>
        </is>
      </c>
      <c r="D318"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4" t="inlineStr">
        <is>
          <t>GLOBAL_CHECK, STOCKS_EXIT</t>
        </is>
      </c>
      <c r="F318" s="84" t="inlineStr">
        <is>
          <t>GLOBAL_CHECK, STOCKS_EXIT</t>
        </is>
      </c>
      <c r="G318" s="84" t="inlineStr">
        <is>
          <t>MANDATORY_REENTRY_WT_FILTER_VELO</t>
        </is>
      </c>
      <c r="H318" s="84" t="inlineStr">
        <is>
          <t>GENERAL</t>
        </is>
      </c>
      <c r="I318" s="84" t="inlineStr">
        <is>
          <t>LIVE — wired</t>
        </is>
      </c>
      <c r="J318" s="85"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5" t="n">
        <v>90</v>
      </c>
      <c r="B319" s="95" t="inlineStr">
        <is>
          <t>MARKET_QUALITY_SCORE_ENABLED</t>
        </is>
      </c>
      <c r="C319" s="0" t="inlineStr">
        <is>
          <t>False</t>
        </is>
      </c>
      <c r="D319" s="84" t="inlineStr">
        <is>
          <t>Market quality score gate (choppiness). | Live read: `'MARKET_QUALITY_SCORE_ENABLED_TRADIER', 'MARK_PRICE_MAX_STALENESS', 'MAX_ALLOWED`</t>
        </is>
      </c>
      <c r="E319" s="84" t="inlineStr">
        <is>
          <t>ENTRY, GLOBAL_CHECK, STOCKS_EXIT</t>
        </is>
      </c>
      <c r="F319" s="84" t="inlineStr">
        <is>
          <t>ENTRY, GLOBAL_CHECK, STOCKS_EXIT</t>
        </is>
      </c>
      <c r="G319" s="84" t="inlineStr">
        <is>
          <t>MARKET_QUALITY_SCORE_ENABLED</t>
        </is>
      </c>
      <c r="H319" s="84" t="inlineStr">
        <is>
          <t>GENERAL — uniform</t>
        </is>
      </c>
      <c r="I319" s="84" t="inlineStr">
        <is>
          <t>LIVE — wired</t>
        </is>
      </c>
      <c r="J319" s="85"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4" t="n">
        <v>90</v>
      </c>
      <c r="B320" s="84" t="inlineStr">
        <is>
          <t>MARKET_QUALITY_SCORE_ENABLED</t>
        </is>
      </c>
      <c r="C320" s="0" t="inlineStr">
        <is>
          <t>True</t>
        </is>
      </c>
      <c r="D320" s="84" t="inlineStr">
        <is>
          <t>Market quality score gate (choppiness). | Live read: `'MARKET_QUALITY_SCORE_ENABLED_TRADIER', 'MARK_PRICE_MAX_STALENESS', 'MAX_ALLOWED`</t>
        </is>
      </c>
      <c r="E320" s="84" t="inlineStr">
        <is>
          <t>ENTRY, GLOBAL_CHECK, STOCKS_EXIT</t>
        </is>
      </c>
      <c r="F320" s="84" t="inlineStr">
        <is>
          <t>ENTRY, GLOBAL_CHECK, STOCKS_EXIT</t>
        </is>
      </c>
      <c r="G320" s="84" t="inlineStr">
        <is>
          <t>MARKET_QUALITY_SCORE_ENABLED</t>
        </is>
      </c>
      <c r="H320" s="84" t="inlineStr">
        <is>
          <t>GENERAL — uniform</t>
        </is>
      </c>
      <c r="I320" s="84" t="inlineStr">
        <is>
          <t>LIVE — wired</t>
        </is>
      </c>
      <c r="J320" s="85"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5" t="n">
        <v>91</v>
      </c>
      <c r="B321" s="95" t="inlineStr">
        <is>
          <t>MI_TF_AGREE_MIN</t>
        </is>
      </c>
      <c r="C321" s="0" t="inlineStr">
        <is>
          <t>0.0</t>
        </is>
      </c>
      <c r="D321" s="84" t="inlineStr">
        <is>
          <t>Market internals: min TFs agreeing. | Live read: `STATE_FILTER_TF', 'HAIKU_WINNER_FILTER_TF', 'HOUR_OF_DAY_GATE_ENABLED', 'HTF4_CO`</t>
        </is>
      </c>
      <c r="E321" s="84" t="inlineStr">
        <is>
          <t>ENTRY, GLOBAL_CHECK, STOCKS_EXIT</t>
        </is>
      </c>
      <c r="F321" s="84" t="inlineStr">
        <is>
          <t>ENTRY, GLOBAL_CHECK, STOCKS_EXIT</t>
        </is>
      </c>
      <c r="G321" s="84" t="inlineStr">
        <is>
          <t>MI_TF_AGREE_MIN</t>
        </is>
      </c>
      <c r="H321" s="84" t="inlineStr">
        <is>
          <t>GENERAL</t>
        </is>
      </c>
      <c r="I321" s="84" t="inlineStr">
        <is>
          <t>LIVE — wired</t>
        </is>
      </c>
      <c r="J321" s="85"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4" t="n">
        <v>91</v>
      </c>
      <c r="B322" s="84" t="inlineStr">
        <is>
          <t>MI_TF_AGREE_MIN</t>
        </is>
      </c>
      <c r="C322" s="0" t="inlineStr">
        <is>
          <t>0.0_ALT</t>
        </is>
      </c>
      <c r="D322" s="84" t="inlineStr">
        <is>
          <t>Market internals: min TFs agreeing. | Live read: `STATE_FILTER_TF', 'HAIKU_WINNER_FILTER_TF', 'HOUR_OF_DAY_GATE_ENABLED', 'HTF4_CO`</t>
        </is>
      </c>
      <c r="E322" s="84" t="inlineStr">
        <is>
          <t>ENTRY, GLOBAL_CHECK, STOCKS_EXIT</t>
        </is>
      </c>
      <c r="F322" s="84" t="inlineStr">
        <is>
          <t>ENTRY, GLOBAL_CHECK, STOCKS_EXIT</t>
        </is>
      </c>
      <c r="G322" s="84" t="inlineStr">
        <is>
          <t>MI_TF_AGREE_MIN</t>
        </is>
      </c>
      <c r="H322" s="84" t="inlineStr">
        <is>
          <t>GENERAL</t>
        </is>
      </c>
      <c r="I322" s="84" t="inlineStr">
        <is>
          <t>LIVE — wired</t>
        </is>
      </c>
      <c r="J322" s="85"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6" t="n">
        <v>92</v>
      </c>
      <c r="B323" s="96"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6" t="n">
        <v>93</v>
      </c>
      <c r="B328" s="96"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5" t="n">
        <v>94</v>
      </c>
      <c r="B333" s="95" t="inlineStr">
        <is>
          <t>MOVER_THRESHOLD</t>
        </is>
      </c>
      <c r="C333" s="0" t="inlineStr">
        <is>
          <t>5</t>
        </is>
      </c>
      <c r="D333" s="84" t="inlineStr">
        <is>
          <t>Mover threshold (volatility). | Live read: `_ = getattr(config, "MOVER_THRESHOLD", None)`</t>
        </is>
      </c>
      <c r="E333" s="84" t="inlineStr">
        <is>
          <t>ENTRY, GLOBAL_CHECK, STOCKS_EXIT</t>
        </is>
      </c>
      <c r="F333" s="84" t="inlineStr">
        <is>
          <t>ENTRY, GLOBAL_CHECK, STOCKS_EXIT</t>
        </is>
      </c>
      <c r="G333" s="84" t="inlineStr">
        <is>
          <t>MOVER_THRESHOLD</t>
        </is>
      </c>
      <c r="H333" s="84" t="inlineStr">
        <is>
          <t>GENERAL</t>
        </is>
      </c>
      <c r="I333" s="84" t="inlineStr">
        <is>
          <t>LIVE — wired</t>
        </is>
      </c>
      <c r="J333" s="85"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4" t="n">
        <v>94</v>
      </c>
      <c r="B334" s="84" t="inlineStr">
        <is>
          <t>MOVER_THRESHOLD</t>
        </is>
      </c>
      <c r="C334" s="0" t="inlineStr">
        <is>
          <t>6.25</t>
        </is>
      </c>
      <c r="D334" s="84" t="inlineStr">
        <is>
          <t>Mover threshold (volatility). | Live read: `_ = getattr(config, "MOVER_THRESHOLD", None)`</t>
        </is>
      </c>
      <c r="E334" s="84" t="inlineStr">
        <is>
          <t>ENTRY, GLOBAL_CHECK, STOCKS_EXIT</t>
        </is>
      </c>
      <c r="F334" s="84" t="inlineStr">
        <is>
          <t>ENTRY, GLOBAL_CHECK, STOCKS_EXIT</t>
        </is>
      </c>
      <c r="G334" s="84" t="inlineStr">
        <is>
          <t>MOVER_THRESHOLD</t>
        </is>
      </c>
      <c r="H334" s="84" t="inlineStr">
        <is>
          <t>GENERAL</t>
        </is>
      </c>
      <c r="I334" s="84" t="inlineStr">
        <is>
          <t>LIVE — wired</t>
        </is>
      </c>
      <c r="J334" s="85"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4" t="n">
        <v>94</v>
      </c>
      <c r="B335" s="84" t="inlineStr">
        <is>
          <t>MOVER_THRESHOLD</t>
        </is>
      </c>
      <c r="C335" s="0" t="inlineStr">
        <is>
          <t>3.75</t>
        </is>
      </c>
      <c r="D335" s="84" t="inlineStr">
        <is>
          <t>Mover threshold (volatility). | Live read: `_ = getattr(config, "MOVER_THRESHOLD", None)`</t>
        </is>
      </c>
      <c r="E335" s="84" t="inlineStr">
        <is>
          <t>ENTRY, GLOBAL_CHECK, STOCKS_EXIT</t>
        </is>
      </c>
      <c r="F335" s="84" t="inlineStr">
        <is>
          <t>ENTRY, GLOBAL_CHECK, STOCKS_EXIT</t>
        </is>
      </c>
      <c r="G335" s="84" t="inlineStr">
        <is>
          <t>MOVER_THRESHOLD</t>
        </is>
      </c>
      <c r="H335" s="84" t="inlineStr">
        <is>
          <t>GENERAL</t>
        </is>
      </c>
      <c r="I335" s="84" t="inlineStr">
        <is>
          <t>LIVE — wired</t>
        </is>
      </c>
      <c r="J335" s="85"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4" t="n">
        <v>94</v>
      </c>
      <c r="B336" s="84" t="inlineStr">
        <is>
          <t>MOVER_THRESHOLD</t>
        </is>
      </c>
      <c r="C336" s="0" t="inlineStr">
        <is>
          <t>2.5</t>
        </is>
      </c>
      <c r="D336" s="84" t="inlineStr">
        <is>
          <t>Mover threshold (volatility). | Live read: `_ = getattr(config, "MOVER_THRESHOLD", None)`</t>
        </is>
      </c>
      <c r="E336" s="84" t="inlineStr">
        <is>
          <t>ENTRY, GLOBAL_CHECK, STOCKS_EXIT</t>
        </is>
      </c>
      <c r="F336" s="84" t="inlineStr">
        <is>
          <t>ENTRY, GLOBAL_CHECK, STOCKS_EXIT</t>
        </is>
      </c>
      <c r="G336" s="84" t="inlineStr">
        <is>
          <t>MOVER_THRESHOLD</t>
        </is>
      </c>
      <c r="H336" s="84" t="inlineStr">
        <is>
          <t>GENERAL</t>
        </is>
      </c>
      <c r="I336" s="84" t="inlineStr">
        <is>
          <t>LIVE — wired</t>
        </is>
      </c>
      <c r="J336" s="85"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6" t="n">
        <v>95</v>
      </c>
      <c r="B337" s="96"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6" t="n">
        <v>96</v>
      </c>
      <c r="B342" s="96"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6" t="n">
        <v>97</v>
      </c>
      <c r="B347" s="96"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5" t="n">
        <v>98</v>
      </c>
      <c r="B352" s="95" t="inlineStr">
        <is>
          <t>MTF_FILTER_STRONG_BUY_QUICK_BYPASS</t>
        </is>
      </c>
      <c r="C352" s="0" t="inlineStr">
        <is>
          <t>0.0</t>
        </is>
      </c>
      <c r="D352" s="84" t="inlineStr">
        <is>
          <t>Bypasses MTF filter for strong buys in quick path. | Live read: `ABLED', 'LH_HL_FILTER_ENABLED', 'LH_HL_FILTER_HEDGE_GATE_ENABLED', 'LH_HL_FILTER`</t>
        </is>
      </c>
      <c r="E352" s="84" t="inlineStr">
        <is>
          <t>GLOBAL_CHECK, STOCKS_EXIT</t>
        </is>
      </c>
      <c r="F352" s="84" t="inlineStr">
        <is>
          <t>GLOBAL_CHECK, STOCKS_EXIT</t>
        </is>
      </c>
      <c r="G352" s="84" t="inlineStr">
        <is>
          <t>MTF_FILTER_STRONG_BUY_QUICK_BYPA</t>
        </is>
      </c>
      <c r="H352" s="84" t="inlineStr">
        <is>
          <t>GENERAL</t>
        </is>
      </c>
      <c r="I352" s="84" t="inlineStr">
        <is>
          <t>LIVE — wired</t>
        </is>
      </c>
      <c r="J352" s="85"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4" t="n">
        <v>98</v>
      </c>
      <c r="B353" s="84" t="inlineStr">
        <is>
          <t>MTF_FILTER_STRONG_BUY_QUICK_BYPASS</t>
        </is>
      </c>
      <c r="C353" s="0" t="inlineStr">
        <is>
          <t>0.0_ALT</t>
        </is>
      </c>
      <c r="D353" s="84" t="inlineStr">
        <is>
          <t>Bypasses MTF filter for strong buys in quick path. | Live read: `ABLED', 'LH_HL_FILTER_ENABLED', 'LH_HL_FILTER_HEDGE_GATE_ENABLED', 'LH_HL_FILTER`</t>
        </is>
      </c>
      <c r="E353" s="84" t="inlineStr">
        <is>
          <t>GLOBAL_CHECK, STOCKS_EXIT</t>
        </is>
      </c>
      <c r="F353" s="84" t="inlineStr">
        <is>
          <t>GLOBAL_CHECK, STOCKS_EXIT</t>
        </is>
      </c>
      <c r="G353" s="84" t="inlineStr">
        <is>
          <t>MTF_FILTER_STRONG_BUY_QUICK_BYPA</t>
        </is>
      </c>
      <c r="H353" s="84" t="inlineStr">
        <is>
          <t>GENERAL</t>
        </is>
      </c>
      <c r="I353" s="84" t="inlineStr">
        <is>
          <t>LIVE — wired</t>
        </is>
      </c>
      <c r="J353" s="85"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5" t="n">
        <v>99</v>
      </c>
      <c r="B354" s="95" t="inlineStr">
        <is>
          <t>MTF_GR_MIN_IND</t>
        </is>
      </c>
      <c r="C354" s="0" t="inlineStr">
        <is>
          <t>5</t>
        </is>
      </c>
      <c r="D354" s="84" t="inlineStr">
        <is>
          <t>Threshold/gate: MTF_GR_MIN_IND — _FILTER_HEDGE_GATE_ENABLED', 'LH_HL_FILTER_MODE', 'LH_HL_FILTER_REQUIRE_BOTH', 'LH_HL_FILTER_TF_REQ', 'LIVE_ENTRY_ENGINE | ex: `_FILTER_HEDGE_GATE_ENABLED', 'LH_HL_FILTER_MODE', 'LH_HL_FILTER_REQUIRE_BOTH', '`</t>
        </is>
      </c>
      <c r="E354" s="84" t="inlineStr">
        <is>
          <t>GLOBAL_CHECK, STOCKS_EXIT</t>
        </is>
      </c>
      <c r="F354" s="84" t="inlineStr">
        <is>
          <t>GLOBAL_CHECK, STOCKS_EXIT</t>
        </is>
      </c>
      <c r="G354" s="84" t="inlineStr">
        <is>
          <t>MTF_GR_MIN_IND</t>
        </is>
      </c>
      <c r="H354" s="84" t="inlineStr">
        <is>
          <t>GENERAL</t>
        </is>
      </c>
      <c r="I354" s="84" t="inlineStr">
        <is>
          <t>LIVE — wired</t>
        </is>
      </c>
      <c r="J354" s="85"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4" t="n">
        <v>99</v>
      </c>
      <c r="B355" s="84" t="inlineStr">
        <is>
          <t>MTF_GR_MIN_IND</t>
        </is>
      </c>
      <c r="C355" s="0" t="inlineStr">
        <is>
          <t>5_ALT</t>
        </is>
      </c>
      <c r="D355" s="84" t="inlineStr">
        <is>
          <t>Threshold/gate: MTF_GR_MIN_IND — _FILTER_HEDGE_GATE_ENABLED', 'LH_HL_FILTER_MODE', 'LH_HL_FILTER_REQUIRE_BOTH', 'LH_HL_FILTER_TF_REQ', 'LIVE_ENTRY_ENGINE | ex: `_FILTER_HEDGE_GATE_ENABLED', 'LH_HL_FILTER_MODE', 'LH_HL_FILTER_REQUIRE_BOTH', '`</t>
        </is>
      </c>
      <c r="E355" s="84" t="inlineStr">
        <is>
          <t>GLOBAL_CHECK, STOCKS_EXIT</t>
        </is>
      </c>
      <c r="F355" s="84" t="inlineStr">
        <is>
          <t>GLOBAL_CHECK, STOCKS_EXIT</t>
        </is>
      </c>
      <c r="G355" s="84" t="inlineStr">
        <is>
          <t>MTF_GR_MIN_IND</t>
        </is>
      </c>
      <c r="H355" s="84" t="inlineStr">
        <is>
          <t>GENERAL</t>
        </is>
      </c>
      <c r="I355" s="84" t="inlineStr">
        <is>
          <t>LIVE — wired</t>
        </is>
      </c>
      <c r="J355" s="85"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5" t="n">
        <v>100</v>
      </c>
      <c r="B356" s="95" t="inlineStr">
        <is>
          <t>MTS_BOTTOM_BONUS_THRESHOLD</t>
        </is>
      </c>
      <c r="C356" s="0" t="inlineStr">
        <is>
          <t>25</t>
        </is>
      </c>
      <c r="D356" s="84" t="inlineStr">
        <is>
          <t>MTS bottom bonus threshold. | Live read: `F_REGIME_SIZE_CAP', 'HTF_REGIME_TF', 'HTF_REGIME_VOL_TARGET', 'HTF_TREND_VETO_BY`</t>
        </is>
      </c>
      <c r="E356" s="84" t="inlineStr">
        <is>
          <t>ENTRY, GLOBAL_CHECK, STOCKS_EXIT</t>
        </is>
      </c>
      <c r="F356" s="84" t="inlineStr">
        <is>
          <t>ENTRY, GLOBAL_CHECK, STOCKS_EXIT</t>
        </is>
      </c>
      <c r="G356" s="84" t="inlineStr">
        <is>
          <t>MTS_BOTTOM_BONUS_THRESHOLD</t>
        </is>
      </c>
      <c r="H356" s="84" t="inlineStr">
        <is>
          <t>GENERAL</t>
        </is>
      </c>
      <c r="I356" s="84" t="inlineStr">
        <is>
          <t>LIVE — wired</t>
        </is>
      </c>
      <c r="J356" s="85"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4" t="n">
        <v>100</v>
      </c>
      <c r="B357" s="84" t="inlineStr">
        <is>
          <t>MTS_BOTTOM_BONUS_THRESHOLD</t>
        </is>
      </c>
      <c r="C357" s="0" t="inlineStr">
        <is>
          <t>31.25</t>
        </is>
      </c>
      <c r="D357" s="84" t="inlineStr">
        <is>
          <t>MTS bottom bonus threshold. | Live read: `F_REGIME_SIZE_CAP', 'HTF_REGIME_TF', 'HTF_REGIME_VOL_TARGET', 'HTF_TREND_VETO_BY`</t>
        </is>
      </c>
      <c r="E357" s="84" t="inlineStr">
        <is>
          <t>ENTRY, GLOBAL_CHECK, STOCKS_EXIT</t>
        </is>
      </c>
      <c r="F357" s="84" t="inlineStr">
        <is>
          <t>ENTRY, GLOBAL_CHECK, STOCKS_EXIT</t>
        </is>
      </c>
      <c r="G357" s="84" t="inlineStr">
        <is>
          <t>MTS_BOTTOM_BONUS_THRESHOLD</t>
        </is>
      </c>
      <c r="H357" s="84" t="inlineStr">
        <is>
          <t>GENERAL</t>
        </is>
      </c>
      <c r="I357" s="84" t="inlineStr">
        <is>
          <t>LIVE — wired</t>
        </is>
      </c>
      <c r="J357" s="85"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4" t="n">
        <v>100</v>
      </c>
      <c r="B358" s="84" t="inlineStr">
        <is>
          <t>MTS_BOTTOM_BONUS_THRESHOLD</t>
        </is>
      </c>
      <c r="C358" s="0" t="inlineStr">
        <is>
          <t>18.75</t>
        </is>
      </c>
      <c r="D358" s="84" t="inlineStr">
        <is>
          <t>MTS bottom bonus threshold. | Live read: `F_REGIME_SIZE_CAP', 'HTF_REGIME_TF', 'HTF_REGIME_VOL_TARGET', 'HTF_TREND_VETO_BY`</t>
        </is>
      </c>
      <c r="E358" s="84" t="inlineStr">
        <is>
          <t>ENTRY, GLOBAL_CHECK, STOCKS_EXIT</t>
        </is>
      </c>
      <c r="F358" s="84" t="inlineStr">
        <is>
          <t>ENTRY, GLOBAL_CHECK, STOCKS_EXIT</t>
        </is>
      </c>
      <c r="G358" s="84" t="inlineStr">
        <is>
          <t>MTS_BOTTOM_BONUS_THRESHOLD</t>
        </is>
      </c>
      <c r="H358" s="84" t="inlineStr">
        <is>
          <t>GENERAL</t>
        </is>
      </c>
      <c r="I358" s="84" t="inlineStr">
        <is>
          <t>LIVE — wired</t>
        </is>
      </c>
      <c r="J358" s="85"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4" t="n">
        <v>100</v>
      </c>
      <c r="B359" s="84" t="inlineStr">
        <is>
          <t>MTS_BOTTOM_BONUS_THRESHOLD</t>
        </is>
      </c>
      <c r="C359" s="0" t="inlineStr">
        <is>
          <t>12.5</t>
        </is>
      </c>
      <c r="D359" s="84" t="inlineStr">
        <is>
          <t>MTS bottom bonus threshold. | Live read: `F_REGIME_SIZE_CAP', 'HTF_REGIME_TF', 'HTF_REGIME_VOL_TARGET', 'HTF_TREND_VETO_BY`</t>
        </is>
      </c>
      <c r="E359" s="84" t="inlineStr">
        <is>
          <t>ENTRY, GLOBAL_CHECK, STOCKS_EXIT</t>
        </is>
      </c>
      <c r="F359" s="84" t="inlineStr">
        <is>
          <t>ENTRY, GLOBAL_CHECK, STOCKS_EXIT</t>
        </is>
      </c>
      <c r="G359" s="84" t="inlineStr">
        <is>
          <t>MTS_BOTTOM_BONUS_THRESHOLD</t>
        </is>
      </c>
      <c r="H359" s="84" t="inlineStr">
        <is>
          <t>GENERAL</t>
        </is>
      </c>
      <c r="I359" s="84" t="inlineStr">
        <is>
          <t>LIVE — wired</t>
        </is>
      </c>
      <c r="J359" s="85"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5" t="n">
        <v>101</v>
      </c>
      <c r="B360" s="95" t="inlineStr">
        <is>
          <t>MTS_BOTTOM_STRONG_THRESHOLD</t>
        </is>
      </c>
      <c r="C360" s="0" t="inlineStr">
        <is>
          <t>40</t>
        </is>
      </c>
      <c r="D360" s="84" t="inlineStr">
        <is>
          <t>Threshold/gate: MTS_BOTTOM_STRONG_THRESHOLD — E_TF', 'HTF_REGIME_VOL_TARGET', 'HTF_TREND_VETO_BYPASS_ENABLED', 'HTF_TREND_VETO_BYPASS_REASONS', 'HTF_W_M_ALIGN_GATE',  | ex: `E_TF', 'HTF_REGIME_VOL_TARGET', 'HTF_TREND_VETO_BYPASS_ENABLED', 'HTF_TREND_VETO`</t>
        </is>
      </c>
      <c r="E360" s="84" t="inlineStr">
        <is>
          <t>ENTRY, GLOBAL_CHECK, STOCKS_EXIT</t>
        </is>
      </c>
      <c r="F360" s="84" t="inlineStr">
        <is>
          <t>ENTRY, GLOBAL_CHECK, STOCKS_EXIT</t>
        </is>
      </c>
      <c r="G360" s="84" t="inlineStr">
        <is>
          <t>MTS_BOTTOM_STRONG_THRESHOLD</t>
        </is>
      </c>
      <c r="H360" s="84" t="inlineStr">
        <is>
          <t>GENERAL</t>
        </is>
      </c>
      <c r="I360" s="84" t="inlineStr">
        <is>
          <t>LIVE — wired</t>
        </is>
      </c>
      <c r="J360" s="85"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4" t="n">
        <v>101</v>
      </c>
      <c r="B361" s="84" t="inlineStr">
        <is>
          <t>MTS_BOTTOM_STRONG_THRESHOLD</t>
        </is>
      </c>
      <c r="C361" s="0" t="inlineStr">
        <is>
          <t>50</t>
        </is>
      </c>
      <c r="D361" s="84" t="inlineStr">
        <is>
          <t>Threshold/gate: MTS_BOTTOM_STRONG_THRESHOLD — E_TF', 'HTF_REGIME_VOL_TARGET', 'HTF_TREND_VETO_BYPASS_ENABLED', 'HTF_TREND_VETO_BYPASS_REASONS', 'HTF_W_M_ALIGN_GATE',  | ex: `E_TF', 'HTF_REGIME_VOL_TARGET', 'HTF_TREND_VETO_BYPASS_ENABLED', 'HTF_TREND_VETO`</t>
        </is>
      </c>
      <c r="E361" s="84" t="inlineStr">
        <is>
          <t>ENTRY, GLOBAL_CHECK, STOCKS_EXIT</t>
        </is>
      </c>
      <c r="F361" s="84" t="inlineStr">
        <is>
          <t>ENTRY, GLOBAL_CHECK, STOCKS_EXIT</t>
        </is>
      </c>
      <c r="G361" s="84" t="inlineStr">
        <is>
          <t>MTS_BOTTOM_STRONG_THRESHOLD</t>
        </is>
      </c>
      <c r="H361" s="84" t="inlineStr">
        <is>
          <t>GENERAL</t>
        </is>
      </c>
      <c r="I361" s="84" t="inlineStr">
        <is>
          <t>LIVE — wired</t>
        </is>
      </c>
      <c r="J361" s="85"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4" t="n">
        <v>101</v>
      </c>
      <c r="B362" s="84" t="inlineStr">
        <is>
          <t>MTS_BOTTOM_STRONG_THRESHOLD</t>
        </is>
      </c>
      <c r="C362" s="0" t="inlineStr">
        <is>
          <t>30</t>
        </is>
      </c>
      <c r="D362" s="84" t="inlineStr">
        <is>
          <t>Threshold/gate: MTS_BOTTOM_STRONG_THRESHOLD — E_TF', 'HTF_REGIME_VOL_TARGET', 'HTF_TREND_VETO_BYPASS_ENABLED', 'HTF_TREND_VETO_BYPASS_REASONS', 'HTF_W_M_ALIGN_GATE',  | ex: `E_TF', 'HTF_REGIME_VOL_TARGET', 'HTF_TREND_VETO_BYPASS_ENABLED', 'HTF_TREND_VETO`</t>
        </is>
      </c>
      <c r="E362" s="84" t="inlineStr">
        <is>
          <t>ENTRY, GLOBAL_CHECK, STOCKS_EXIT</t>
        </is>
      </c>
      <c r="F362" s="84" t="inlineStr">
        <is>
          <t>ENTRY, GLOBAL_CHECK, STOCKS_EXIT</t>
        </is>
      </c>
      <c r="G362" s="84" t="inlineStr">
        <is>
          <t>MTS_BOTTOM_STRONG_THRESHOLD</t>
        </is>
      </c>
      <c r="H362" s="84" t="inlineStr">
        <is>
          <t>GENERAL</t>
        </is>
      </c>
      <c r="I362" s="84" t="inlineStr">
        <is>
          <t>LIVE — wired</t>
        </is>
      </c>
      <c r="J362" s="85"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4" t="n">
        <v>101</v>
      </c>
      <c r="B363" s="84" t="inlineStr">
        <is>
          <t>MTS_BOTTOM_STRONG_THRESHOLD</t>
        </is>
      </c>
      <c r="C363" s="0" t="inlineStr">
        <is>
          <t>20</t>
        </is>
      </c>
      <c r="D363" s="84" t="inlineStr">
        <is>
          <t>Threshold/gate: MTS_BOTTOM_STRONG_THRESHOLD — E_TF', 'HTF_REGIME_VOL_TARGET', 'HTF_TREND_VETO_BYPASS_ENABLED', 'HTF_TREND_VETO_BYPASS_REASONS', 'HTF_W_M_ALIGN_GATE',  | ex: `E_TF', 'HTF_REGIME_VOL_TARGET', 'HTF_TREND_VETO_BYPASS_ENABLED', 'HTF_TREND_VETO`</t>
        </is>
      </c>
      <c r="E363" s="84" t="inlineStr">
        <is>
          <t>ENTRY, GLOBAL_CHECK, STOCKS_EXIT</t>
        </is>
      </c>
      <c r="F363" s="84" t="inlineStr">
        <is>
          <t>ENTRY, GLOBAL_CHECK, STOCKS_EXIT</t>
        </is>
      </c>
      <c r="G363" s="84" t="inlineStr">
        <is>
          <t>MTS_BOTTOM_STRONG_THRESHOLD</t>
        </is>
      </c>
      <c r="H363" s="84" t="inlineStr">
        <is>
          <t>GENERAL</t>
        </is>
      </c>
      <c r="I363" s="84" t="inlineStr">
        <is>
          <t>LIVE — wired</t>
        </is>
      </c>
      <c r="J363" s="85"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5" t="n">
        <v>102</v>
      </c>
      <c r="B364" s="95" t="inlineStr">
        <is>
          <t>MTS_GATE_ENABLED</t>
        </is>
      </c>
      <c r="C364" s="0" t="inlineStr">
        <is>
          <t>False</t>
        </is>
      </c>
      <c r="D364" s="84" t="inlineStr">
        <is>
          <t>MTS (Mayer) gate enabled. | Live read: `'HTF_TREND_VETO_BYPASS_ENABLED', 'HTF_TREND_VETO_BYPASS_REASONS', 'HTF_W_M_ALIGN`</t>
        </is>
      </c>
      <c r="E364" s="84" t="inlineStr">
        <is>
          <t>ENTRY, GLOBAL_CHECK, STOCKS_EXIT</t>
        </is>
      </c>
      <c r="F364" s="84" t="inlineStr">
        <is>
          <t>ENTRY, GLOBAL_CHECK, STOCKS_EXIT</t>
        </is>
      </c>
      <c r="G364" s="84" t="inlineStr">
        <is>
          <t>MTS_GATE_ENABLED</t>
        </is>
      </c>
      <c r="H364" s="84" t="inlineStr">
        <is>
          <t>GENERAL</t>
        </is>
      </c>
      <c r="I364" s="84" t="inlineStr">
        <is>
          <t>LIVE — wired</t>
        </is>
      </c>
      <c r="J364" s="85"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4" t="n">
        <v>102</v>
      </c>
      <c r="B365" s="84" t="inlineStr">
        <is>
          <t>MTS_GATE_ENABLED</t>
        </is>
      </c>
      <c r="C365" s="0" t="inlineStr">
        <is>
          <t>True</t>
        </is>
      </c>
      <c r="D365" s="84" t="inlineStr">
        <is>
          <t>MTS (Mayer) gate enabled. | Live read: `'HTF_TREND_VETO_BYPASS_ENABLED', 'HTF_TREND_VETO_BYPASS_REASONS', 'HTF_W_M_ALIGN`</t>
        </is>
      </c>
      <c r="E365" s="84" t="inlineStr">
        <is>
          <t>ENTRY, GLOBAL_CHECK, STOCKS_EXIT</t>
        </is>
      </c>
      <c r="F365" s="84" t="inlineStr">
        <is>
          <t>ENTRY, GLOBAL_CHECK, STOCKS_EXIT</t>
        </is>
      </c>
      <c r="G365" s="84" t="inlineStr">
        <is>
          <t>MTS_GATE_ENABLED</t>
        </is>
      </c>
      <c r="H365" s="84" t="inlineStr">
        <is>
          <t>GENERAL</t>
        </is>
      </c>
      <c r="I365" s="84" t="inlineStr">
        <is>
          <t>LIVE — wired</t>
        </is>
      </c>
      <c r="J365" s="85"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6" t="n">
        <v>103</v>
      </c>
      <c r="B366" s="96"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5" t="n">
        <v>104</v>
      </c>
      <c r="B371" s="95" t="inlineStr">
        <is>
          <t>NEWBORN_LOSS_KILL_GAIN_THRESHOLD_PCT</t>
        </is>
      </c>
      <c r="C371" s="0" t="inlineStr">
        <is>
          <t>0</t>
        </is>
      </c>
      <c r="D371" s="84" t="inlineStr">
        <is>
          <t>Threshold/gate: NEWBORN_LOSS_KILL_GAIN_THRESHOLD_PCT — _PCT', 'MANDATORY_HEDGE_HARD_THRESHOLD_PCT', 'MANDATORY_HEDGE_ON_NEGATIVE_ENABLED', 'MIN_TFS_AGREE_EXIT', 'MI_DIV_EXIT_E | ex: `_PCT', 'MANDATORY_HEDGE_HARD_THRESHOLD_PCT', 'MANDATORY_HEDGE_ON_NEGATIVE_ENABLE`</t>
        </is>
      </c>
      <c r="E371" s="84" t="inlineStr">
        <is>
          <t>AUGMENT, EXIT, GLOBAL_CHECK, REDUCE, STOCKS_EXIT</t>
        </is>
      </c>
      <c r="F371" s="84" t="inlineStr">
        <is>
          <t>AUGMENT, EXIT, GLOBAL_CHECK, REDUCE, STOCKS_EXIT</t>
        </is>
      </c>
      <c r="G371" s="84" t="inlineStr">
        <is>
          <t>NEWBORN_LOSS_KILL_GAIN_THRESHOLD</t>
        </is>
      </c>
      <c r="H371" s="84" t="inlineStr">
        <is>
          <t>GENERAL</t>
        </is>
      </c>
      <c r="I371" s="84" t="inlineStr">
        <is>
          <t>LIVE — wired</t>
        </is>
      </c>
      <c r="J371" s="85"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4" t="n">
        <v>104</v>
      </c>
      <c r="B372" s="84" t="inlineStr">
        <is>
          <t>NEWBORN_LOSS_KILL_GAIN_THRESHOLD_PCT</t>
        </is>
      </c>
      <c r="C372" s="0" t="inlineStr">
        <is>
          <t>2.0</t>
        </is>
      </c>
      <c r="D372" s="84" t="inlineStr">
        <is>
          <t>Threshold/gate: NEWBORN_LOSS_KILL_GAIN_THRESHOLD_PCT — _PCT', 'MANDATORY_HEDGE_HARD_THRESHOLD_PCT', 'MANDATORY_HEDGE_ON_NEGATIVE_ENABLED', 'MIN_TFS_AGREE_EXIT', 'MI_DIV_EXIT_E | ex: `_PCT', 'MANDATORY_HEDGE_HARD_THRESHOLD_PCT', 'MANDATORY_HEDGE_ON_NEGATIVE_ENABLE`</t>
        </is>
      </c>
      <c r="E372" s="84" t="inlineStr">
        <is>
          <t>AUGMENT, EXIT, GLOBAL_CHECK, REDUCE, STOCKS_EXIT</t>
        </is>
      </c>
      <c r="F372" s="84" t="inlineStr">
        <is>
          <t>AUGMENT, EXIT, GLOBAL_CHECK, REDUCE, STOCKS_EXIT</t>
        </is>
      </c>
      <c r="G372" s="84" t="inlineStr">
        <is>
          <t>NEWBORN_LOSS_KILL_GAIN_THRESHOLD</t>
        </is>
      </c>
      <c r="H372" s="84" t="inlineStr">
        <is>
          <t>GENERAL</t>
        </is>
      </c>
      <c r="I372" s="84" t="inlineStr">
        <is>
          <t>LIVE — wired</t>
        </is>
      </c>
      <c r="J372" s="85"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4" t="n">
        <v>104</v>
      </c>
      <c r="B373" s="84" t="inlineStr">
        <is>
          <t>NEWBORN_LOSS_KILL_GAIN_THRESHOLD_PCT</t>
        </is>
      </c>
      <c r="C373" s="0" t="inlineStr">
        <is>
          <t>1.0</t>
        </is>
      </c>
      <c r="D373" s="84" t="inlineStr">
        <is>
          <t>Threshold/gate: NEWBORN_LOSS_KILL_GAIN_THRESHOLD_PCT — _PCT', 'MANDATORY_HEDGE_HARD_THRESHOLD_PCT', 'MANDATORY_HEDGE_ON_NEGATIVE_ENABLED', 'MIN_TFS_AGREE_EXIT', 'MI_DIV_EXIT_E | ex: `_PCT', 'MANDATORY_HEDGE_HARD_THRESHOLD_PCT', 'MANDATORY_HEDGE_ON_NEGATIVE_ENABLE`</t>
        </is>
      </c>
      <c r="E373" s="84" t="inlineStr">
        <is>
          <t>AUGMENT, EXIT, GLOBAL_CHECK, REDUCE, STOCKS_EXIT</t>
        </is>
      </c>
      <c r="F373" s="84" t="inlineStr">
        <is>
          <t>AUGMENT, EXIT, GLOBAL_CHECK, REDUCE, STOCKS_EXIT</t>
        </is>
      </c>
      <c r="G373" s="84" t="inlineStr">
        <is>
          <t>NEWBORN_LOSS_KILL_GAIN_THRESHOLD</t>
        </is>
      </c>
      <c r="H373" s="84" t="inlineStr">
        <is>
          <t>GENERAL</t>
        </is>
      </c>
      <c r="I373" s="84" t="inlineStr">
        <is>
          <t>LIVE — wired</t>
        </is>
      </c>
      <c r="J373" s="85"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4" t="n">
        <v>104</v>
      </c>
      <c r="B374" s="84" t="inlineStr">
        <is>
          <t>NEWBORN_LOSS_KILL_GAIN_THRESHOLD_PCT</t>
        </is>
      </c>
      <c r="C374" s="0" t="inlineStr">
        <is>
          <t>0.5</t>
        </is>
      </c>
      <c r="D374" s="84" t="inlineStr">
        <is>
          <t>Threshold/gate: NEWBORN_LOSS_KILL_GAIN_THRESHOLD_PCT — _PCT', 'MANDATORY_HEDGE_HARD_THRESHOLD_PCT', 'MANDATORY_HEDGE_ON_NEGATIVE_ENABLED', 'MIN_TFS_AGREE_EXIT', 'MI_DIV_EXIT_E | ex: `_PCT', 'MANDATORY_HEDGE_HARD_THRESHOLD_PCT', 'MANDATORY_HEDGE_ON_NEGATIVE_ENABLE`</t>
        </is>
      </c>
      <c r="E374" s="84" t="inlineStr">
        <is>
          <t>AUGMENT, EXIT, GLOBAL_CHECK, REDUCE, STOCKS_EXIT</t>
        </is>
      </c>
      <c r="F374" s="84" t="inlineStr">
        <is>
          <t>AUGMENT, EXIT, GLOBAL_CHECK, REDUCE, STOCKS_EXIT</t>
        </is>
      </c>
      <c r="G374" s="84" t="inlineStr">
        <is>
          <t>NEWBORN_LOSS_KILL_GAIN_THRESHOLD</t>
        </is>
      </c>
      <c r="H374" s="84" t="inlineStr">
        <is>
          <t>GENERAL</t>
        </is>
      </c>
      <c r="I374" s="84" t="inlineStr">
        <is>
          <t>LIVE — wired</t>
        </is>
      </c>
      <c r="J374" s="85"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5" t="n">
        <v>105</v>
      </c>
      <c r="B375" s="95" t="inlineStr">
        <is>
          <t>NEWBORN_LOSS_KILL_REQUIRE_VEL_AGAINST</t>
        </is>
      </c>
      <c r="C375" s="0" t="inlineStr">
        <is>
          <t>0.0</t>
        </is>
      </c>
      <c r="D375" s="84" t="inlineStr">
        <is>
          <t>Threshold/gate: NEWBORN_LOSS_KILL_REQUIRE_VEL_AGAINST — CT', 'MANDATORY_HEDGE_ON_NEGATIVE_ENABLED', 'MIN_TFS_AGREE_EXIT', 'MI_DIV_EXIT_ENABLED', 'MI_EXHAUST_EXIT_ENABLED', 'MI_ | ex: `CT', 'MANDATORY_HEDGE_ON_NEGATIVE_ENABLED', 'MIN_TFS_AGREE_EXIT', 'MI_DIV_EXIT_E`</t>
        </is>
      </c>
      <c r="E375" s="84" t="inlineStr">
        <is>
          <t>AUGMENT, EXIT, GLOBAL_CHECK, REDUCE, STOCKS_EXIT</t>
        </is>
      </c>
      <c r="F375" s="84" t="inlineStr">
        <is>
          <t>AUGMENT, EXIT, GLOBAL_CHECK, REDUCE, STOCKS_EXIT</t>
        </is>
      </c>
      <c r="G375" s="84" t="inlineStr">
        <is>
          <t>NEWBORN_LOSS_KILL_REQUIRE_VEL_AG</t>
        </is>
      </c>
      <c r="H375" s="84" t="inlineStr">
        <is>
          <t>GENERAL</t>
        </is>
      </c>
      <c r="I375" s="84" t="inlineStr">
        <is>
          <t>LIVE — wired</t>
        </is>
      </c>
      <c r="J375" s="85"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4" t="n">
        <v>105</v>
      </c>
      <c r="B376" s="84" t="inlineStr">
        <is>
          <t>NEWBORN_LOSS_KILL_REQUIRE_VEL_AGAINST</t>
        </is>
      </c>
      <c r="C376" s="0" t="inlineStr">
        <is>
          <t>0.0_ALT</t>
        </is>
      </c>
      <c r="D376" s="84" t="inlineStr">
        <is>
          <t>Threshold/gate: NEWBORN_LOSS_KILL_REQUIRE_VEL_AGAINST — CT', 'MANDATORY_HEDGE_ON_NEGATIVE_ENABLED', 'MIN_TFS_AGREE_EXIT', 'MI_DIV_EXIT_ENABLED', 'MI_EXHAUST_EXIT_ENABLED', 'MI_ | ex: `CT', 'MANDATORY_HEDGE_ON_NEGATIVE_ENABLED', 'MIN_TFS_AGREE_EXIT', 'MI_DIV_EXIT_E`</t>
        </is>
      </c>
      <c r="E376" s="84" t="inlineStr">
        <is>
          <t>AUGMENT, EXIT, GLOBAL_CHECK, REDUCE, STOCKS_EXIT</t>
        </is>
      </c>
      <c r="F376" s="84" t="inlineStr">
        <is>
          <t>AUGMENT, EXIT, GLOBAL_CHECK, REDUCE, STOCKS_EXIT</t>
        </is>
      </c>
      <c r="G376" s="84" t="inlineStr">
        <is>
          <t>NEWBORN_LOSS_KILL_REQUIRE_VEL_AG</t>
        </is>
      </c>
      <c r="H376" s="84" t="inlineStr">
        <is>
          <t>GENERAL</t>
        </is>
      </c>
      <c r="I376" s="84" t="inlineStr">
        <is>
          <t>LIVE — wired</t>
        </is>
      </c>
      <c r="J376" s="85"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6" t="n">
        <v>106</v>
      </c>
      <c r="B377" s="96"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5" t="n">
        <v>107</v>
      </c>
      <c r="B382" s="95" t="inlineStr">
        <is>
          <t>NEW_POSITION_MAX_LOSS_THRESHOLD</t>
        </is>
      </c>
      <c r="C382" s="0" t="inlineStr">
        <is>
          <t>0</t>
        </is>
      </c>
      <c r="D382" s="84" t="inlineStr">
        <is>
          <t>Threshold/gate: NEW_POSITION_MAX_LOSS_THRESHOLD — _EXHAUSTIVE_REDUCE_LIST_LIVE = ['DC_BREACH_REDUCE_ENABLED', 'DC_BREACH_REDUCE_FILTER_TF', 'DC_BREACH_REDUCE_MIN_TFS', 'D | ex: `_EXHAUSTIVE_REDUCE_LIST_LIVE = ['DC_BREACH_REDUCE_ENABLED', 'DC_BREACH_REDUCE_FI`</t>
        </is>
      </c>
      <c r="E382" s="84" t="inlineStr">
        <is>
          <t>AUGMENT, EXIT, GLOBAL_CHECK, REDUCE, STOCKS_EXIT</t>
        </is>
      </c>
      <c r="F382" s="84" t="inlineStr">
        <is>
          <t>AUGMENT, EXIT, GLOBAL_CHECK, REDUCE, STOCKS_EXIT</t>
        </is>
      </c>
      <c r="G382" s="84" t="inlineStr">
        <is>
          <t>NEW_POSITION_MAX_LOSS_THRESHOLD</t>
        </is>
      </c>
      <c r="H382" s="84" t="inlineStr">
        <is>
          <t>GENERAL</t>
        </is>
      </c>
      <c r="I382" s="84" t="inlineStr">
        <is>
          <t>LIVE — wired</t>
        </is>
      </c>
      <c r="J382" s="85"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4" t="n">
        <v>107</v>
      </c>
      <c r="B383" s="84" t="inlineStr">
        <is>
          <t>NEW_POSITION_MAX_LOSS_THRESHOLD</t>
        </is>
      </c>
      <c r="C383" s="0" t="inlineStr">
        <is>
          <t>2.0</t>
        </is>
      </c>
      <c r="D383" s="84" t="inlineStr">
        <is>
          <t>Threshold/gate: NEW_POSITION_MAX_LOSS_THRESHOLD — _EXHAUSTIVE_REDUCE_LIST_LIVE = ['DC_BREACH_REDUCE_ENABLED', 'DC_BREACH_REDUCE_FILTER_TF', 'DC_BREACH_REDUCE_MIN_TFS', 'D | ex: `_EXHAUSTIVE_REDUCE_LIST_LIVE = ['DC_BREACH_REDUCE_ENABLED', 'DC_BREACH_REDUCE_FI`</t>
        </is>
      </c>
      <c r="E383" s="84" t="inlineStr">
        <is>
          <t>AUGMENT, EXIT, GLOBAL_CHECK, REDUCE, STOCKS_EXIT</t>
        </is>
      </c>
      <c r="F383" s="84" t="inlineStr">
        <is>
          <t>AUGMENT, EXIT, GLOBAL_CHECK, REDUCE, STOCKS_EXIT</t>
        </is>
      </c>
      <c r="G383" s="84" t="inlineStr">
        <is>
          <t>NEW_POSITION_MAX_LOSS_THRESHOLD</t>
        </is>
      </c>
      <c r="H383" s="84" t="inlineStr">
        <is>
          <t>GENERAL</t>
        </is>
      </c>
      <c r="I383" s="84" t="inlineStr">
        <is>
          <t>LIVE — wired</t>
        </is>
      </c>
      <c r="J383" s="85"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4" t="n">
        <v>107</v>
      </c>
      <c r="B384" s="84" t="inlineStr">
        <is>
          <t>NEW_POSITION_MAX_LOSS_THRESHOLD</t>
        </is>
      </c>
      <c r="C384" s="0" t="inlineStr">
        <is>
          <t>1.0</t>
        </is>
      </c>
      <c r="D384" s="84" t="inlineStr">
        <is>
          <t>Threshold/gate: NEW_POSITION_MAX_LOSS_THRESHOLD — _EXHAUSTIVE_REDUCE_LIST_LIVE = ['DC_BREACH_REDUCE_ENABLED', 'DC_BREACH_REDUCE_FILTER_TF', 'DC_BREACH_REDUCE_MIN_TFS', 'D | ex: `_EXHAUSTIVE_REDUCE_LIST_LIVE = ['DC_BREACH_REDUCE_ENABLED', 'DC_BREACH_REDUCE_FI`</t>
        </is>
      </c>
      <c r="E384" s="84" t="inlineStr">
        <is>
          <t>AUGMENT, EXIT, GLOBAL_CHECK, REDUCE, STOCKS_EXIT</t>
        </is>
      </c>
      <c r="F384" s="84" t="inlineStr">
        <is>
          <t>AUGMENT, EXIT, GLOBAL_CHECK, REDUCE, STOCKS_EXIT</t>
        </is>
      </c>
      <c r="G384" s="84" t="inlineStr">
        <is>
          <t>NEW_POSITION_MAX_LOSS_THRESHOLD</t>
        </is>
      </c>
      <c r="H384" s="84" t="inlineStr">
        <is>
          <t>GENERAL</t>
        </is>
      </c>
      <c r="I384" s="84" t="inlineStr">
        <is>
          <t>LIVE — wired</t>
        </is>
      </c>
      <c r="J384" s="85"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4" t="n">
        <v>107</v>
      </c>
      <c r="B385" s="84" t="inlineStr">
        <is>
          <t>NEW_POSITION_MAX_LOSS_THRESHOLD</t>
        </is>
      </c>
      <c r="C385" s="0" t="inlineStr">
        <is>
          <t>0.5</t>
        </is>
      </c>
      <c r="D385" s="84" t="inlineStr">
        <is>
          <t>Threshold/gate: NEW_POSITION_MAX_LOSS_THRESHOLD — _EXHAUSTIVE_REDUCE_LIST_LIVE = ['DC_BREACH_REDUCE_ENABLED', 'DC_BREACH_REDUCE_FILTER_TF', 'DC_BREACH_REDUCE_MIN_TFS', 'D | ex: `_EXHAUSTIVE_REDUCE_LIST_LIVE = ['DC_BREACH_REDUCE_ENABLED', 'DC_BREACH_REDUCE_FI`</t>
        </is>
      </c>
      <c r="E385" s="84" t="inlineStr">
        <is>
          <t>AUGMENT, EXIT, GLOBAL_CHECK, REDUCE, STOCKS_EXIT</t>
        </is>
      </c>
      <c r="F385" s="84" t="inlineStr">
        <is>
          <t>AUGMENT, EXIT, GLOBAL_CHECK, REDUCE, STOCKS_EXIT</t>
        </is>
      </c>
      <c r="G385" s="84" t="inlineStr">
        <is>
          <t>NEW_POSITION_MAX_LOSS_THRESHOLD</t>
        </is>
      </c>
      <c r="H385" s="84" t="inlineStr">
        <is>
          <t>GENERAL</t>
        </is>
      </c>
      <c r="I385" s="84" t="inlineStr">
        <is>
          <t>LIVE — wired</t>
        </is>
      </c>
      <c r="J385" s="85"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6" t="n">
        <v>108</v>
      </c>
      <c r="B386" s="96"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5" t="n">
        <v>109</v>
      </c>
      <c r="B391" s="95" t="inlineStr">
        <is>
          <t>OI_CONFIRM_ENABLED</t>
        </is>
      </c>
      <c r="C391" s="0" t="inlineStr">
        <is>
          <t>False</t>
        </is>
      </c>
      <c r="D391" s="84" t="inlineStr">
        <is>
          <t>Open Interest confirmation enabled. | Live read: `N_GATE', 'LEADERBOARD_FILTER', 'LIVE_ONLY_SIGNALS_BATCH5_FILTER_TF', 'LIVE_VEC_E`</t>
        </is>
      </c>
      <c r="E391" s="84" t="inlineStr">
        <is>
          <t>ENTRY, GLOBAL_CHECK, STOCKS_EXIT</t>
        </is>
      </c>
      <c r="F391" s="84" t="inlineStr">
        <is>
          <t>ENTRY, GLOBAL_CHECK, STOCKS_EXIT</t>
        </is>
      </c>
      <c r="G391" s="84" t="inlineStr">
        <is>
          <t>OI_CONFIRM_ENABLED</t>
        </is>
      </c>
      <c r="H391" s="84" t="inlineStr">
        <is>
          <t>GENERAL</t>
        </is>
      </c>
      <c r="I391" s="84" t="inlineStr">
        <is>
          <t>LIVE — wired</t>
        </is>
      </c>
      <c r="J391" s="85"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4" t="n">
        <v>109</v>
      </c>
      <c r="B392" s="84" t="inlineStr">
        <is>
          <t>OI_CONFIRM_ENABLED</t>
        </is>
      </c>
      <c r="C392" s="0" t="inlineStr">
        <is>
          <t>True</t>
        </is>
      </c>
      <c r="D392" s="84" t="inlineStr">
        <is>
          <t>Open Interest confirmation enabled. | Live read: `N_GATE', 'LEADERBOARD_FILTER', 'LIVE_ONLY_SIGNALS_BATCH5_FILTER_TF', 'LIVE_VEC_E`</t>
        </is>
      </c>
      <c r="E392" s="84" t="inlineStr">
        <is>
          <t>ENTRY, GLOBAL_CHECK, STOCKS_EXIT</t>
        </is>
      </c>
      <c r="F392" s="84" t="inlineStr">
        <is>
          <t>ENTRY, GLOBAL_CHECK, STOCKS_EXIT</t>
        </is>
      </c>
      <c r="G392" s="84" t="inlineStr">
        <is>
          <t>OI_CONFIRM_ENABLED</t>
        </is>
      </c>
      <c r="H392" s="84" t="inlineStr">
        <is>
          <t>GENERAL</t>
        </is>
      </c>
      <c r="I392" s="84" t="inlineStr">
        <is>
          <t>LIVE — wired</t>
        </is>
      </c>
      <c r="J392" s="85"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5" t="n">
        <v>110</v>
      </c>
      <c r="B393" s="95" t="inlineStr">
        <is>
          <t>OI_CONFIRM_MIN_CHANGE_PCT</t>
        </is>
      </c>
      <c r="C393" s="0" t="inlineStr">
        <is>
          <t>0</t>
        </is>
      </c>
      <c r="D393" s="84" t="inlineStr">
        <is>
          <t>Threshold/gate: OI_CONFIRM_MIN_CHANGE_PCT — FILTER', 'LIVE_ONLY_SIGNALS_BATCH5_FILTER_TF', 'LIVE_VEC_EMERGENCY_BRAKE_ENABLED', 'LR_BAND_LADDER_STOCH_EXTREME', 'LR_B | ex: `FILTER', 'LIVE_ONLY_SIGNALS_BATCH5_FILTER_TF', 'LIVE_VEC_EMERGENCY_BRAKE_ENABLED`</t>
        </is>
      </c>
      <c r="E393" s="84" t="inlineStr">
        <is>
          <t>ENTRY, GLOBAL_CHECK, STOCKS_EXIT</t>
        </is>
      </c>
      <c r="F393" s="84" t="inlineStr">
        <is>
          <t>ENTRY, GLOBAL_CHECK, STOCKS_EXIT</t>
        </is>
      </c>
      <c r="G393" s="84" t="inlineStr">
        <is>
          <t>OI_CONFIRM_MIN_CHANGE_PCT</t>
        </is>
      </c>
      <c r="H393" s="84" t="inlineStr">
        <is>
          <t>GENERAL</t>
        </is>
      </c>
      <c r="I393" s="84" t="inlineStr">
        <is>
          <t>LIVE — wired</t>
        </is>
      </c>
      <c r="J393" s="85"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4" t="n">
        <v>110</v>
      </c>
      <c r="B394" s="84" t="inlineStr">
        <is>
          <t>OI_CONFIRM_MIN_CHANGE_PCT</t>
        </is>
      </c>
      <c r="C394" s="0" t="inlineStr">
        <is>
          <t>2.0</t>
        </is>
      </c>
      <c r="D394" s="84" t="inlineStr">
        <is>
          <t>Threshold/gate: OI_CONFIRM_MIN_CHANGE_PCT — FILTER', 'LIVE_ONLY_SIGNALS_BATCH5_FILTER_TF', 'LIVE_VEC_EMERGENCY_BRAKE_ENABLED', 'LR_BAND_LADDER_STOCH_EXTREME', 'LR_B | ex: `FILTER', 'LIVE_ONLY_SIGNALS_BATCH5_FILTER_TF', 'LIVE_VEC_EMERGENCY_BRAKE_ENABLED`</t>
        </is>
      </c>
      <c r="E394" s="84" t="inlineStr">
        <is>
          <t>ENTRY, GLOBAL_CHECK, STOCKS_EXIT</t>
        </is>
      </c>
      <c r="F394" s="84" t="inlineStr">
        <is>
          <t>ENTRY, GLOBAL_CHECK, STOCKS_EXIT</t>
        </is>
      </c>
      <c r="G394" s="84" t="inlineStr">
        <is>
          <t>OI_CONFIRM_MIN_CHANGE_PCT</t>
        </is>
      </c>
      <c r="H394" s="84" t="inlineStr">
        <is>
          <t>GENERAL</t>
        </is>
      </c>
      <c r="I394" s="84" t="inlineStr">
        <is>
          <t>LIVE — wired</t>
        </is>
      </c>
      <c r="J394" s="85"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4" t="n">
        <v>110</v>
      </c>
      <c r="B395" s="84" t="inlineStr">
        <is>
          <t>OI_CONFIRM_MIN_CHANGE_PCT</t>
        </is>
      </c>
      <c r="C395" s="0" t="inlineStr">
        <is>
          <t>1.0</t>
        </is>
      </c>
      <c r="D395" s="84" t="inlineStr">
        <is>
          <t>Threshold/gate: OI_CONFIRM_MIN_CHANGE_PCT — FILTER', 'LIVE_ONLY_SIGNALS_BATCH5_FILTER_TF', 'LIVE_VEC_EMERGENCY_BRAKE_ENABLED', 'LR_BAND_LADDER_STOCH_EXTREME', 'LR_B | ex: `FILTER', 'LIVE_ONLY_SIGNALS_BATCH5_FILTER_TF', 'LIVE_VEC_EMERGENCY_BRAKE_ENABLED`</t>
        </is>
      </c>
      <c r="E395" s="84" t="inlineStr">
        <is>
          <t>ENTRY, GLOBAL_CHECK, STOCKS_EXIT</t>
        </is>
      </c>
      <c r="F395" s="84" t="inlineStr">
        <is>
          <t>ENTRY, GLOBAL_CHECK, STOCKS_EXIT</t>
        </is>
      </c>
      <c r="G395" s="84" t="inlineStr">
        <is>
          <t>OI_CONFIRM_MIN_CHANGE_PCT</t>
        </is>
      </c>
      <c r="H395" s="84" t="inlineStr">
        <is>
          <t>GENERAL</t>
        </is>
      </c>
      <c r="I395" s="84" t="inlineStr">
        <is>
          <t>LIVE — wired</t>
        </is>
      </c>
      <c r="J395" s="85"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4" t="n">
        <v>110</v>
      </c>
      <c r="B396" s="84" t="inlineStr">
        <is>
          <t>OI_CONFIRM_MIN_CHANGE_PCT</t>
        </is>
      </c>
      <c r="C396" s="0" t="inlineStr">
        <is>
          <t>0.5</t>
        </is>
      </c>
      <c r="D396" s="84" t="inlineStr">
        <is>
          <t>Threshold/gate: OI_CONFIRM_MIN_CHANGE_PCT — FILTER', 'LIVE_ONLY_SIGNALS_BATCH5_FILTER_TF', 'LIVE_VEC_EMERGENCY_BRAKE_ENABLED', 'LR_BAND_LADDER_STOCH_EXTREME', 'LR_B | ex: `FILTER', 'LIVE_ONLY_SIGNALS_BATCH5_FILTER_TF', 'LIVE_VEC_EMERGENCY_BRAKE_ENABLED`</t>
        </is>
      </c>
      <c r="E396" s="84" t="inlineStr">
        <is>
          <t>ENTRY, GLOBAL_CHECK, STOCKS_EXIT</t>
        </is>
      </c>
      <c r="F396" s="84" t="inlineStr">
        <is>
          <t>ENTRY, GLOBAL_CHECK, STOCKS_EXIT</t>
        </is>
      </c>
      <c r="G396" s="84" t="inlineStr">
        <is>
          <t>OI_CONFIRM_MIN_CHANGE_PCT</t>
        </is>
      </c>
      <c r="H396" s="84" t="inlineStr">
        <is>
          <t>GENERAL</t>
        </is>
      </c>
      <c r="I396" s="84" t="inlineStr">
        <is>
          <t>LIVE — wired</t>
        </is>
      </c>
      <c r="J396" s="85"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5" t="n">
        <v>111</v>
      </c>
      <c r="B397" s="95" t="inlineStr">
        <is>
          <t>OI_CONFIRM_MIN_PRICE_PCT</t>
        </is>
      </c>
      <c r="C397" s="0" t="inlineStr">
        <is>
          <t>0</t>
        </is>
      </c>
      <c r="D397" s="84" t="inlineStr">
        <is>
          <t>Threshold/gate: OI_CONFIRM_MIN_PRICE_PCT — ATCH5_FILTER_TF', 'LIVE_VEC_EMERGENCY_BRAKE_ENABLED', 'LR_BAND_LADDER_STOCH_EXTREME', 'LR_BAND_LADDER_TF_BOTTOM', 'LR_BA | ex: `ATCH5_FILTER_TF', 'LIVE_VEC_EMERGENCY_BRAKE_ENABLED', 'LR_BAND_LADDER_STOCH_EXTR`</t>
        </is>
      </c>
      <c r="E397" s="84" t="inlineStr">
        <is>
          <t>ENTRY, GLOBAL_CHECK, STOCKS_EXIT</t>
        </is>
      </c>
      <c r="F397" s="84" t="inlineStr">
        <is>
          <t>ENTRY, GLOBAL_CHECK, STOCKS_EXIT</t>
        </is>
      </c>
      <c r="G397" s="84" t="inlineStr">
        <is>
          <t>OI_CONFIRM_MIN_PRICE_PCT</t>
        </is>
      </c>
      <c r="H397" s="84" t="inlineStr">
        <is>
          <t>GENERAL</t>
        </is>
      </c>
      <c r="I397" s="84" t="inlineStr">
        <is>
          <t>LIVE — wired</t>
        </is>
      </c>
      <c r="J397" s="85"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4" t="n">
        <v>111</v>
      </c>
      <c r="B398" s="84" t="inlineStr">
        <is>
          <t>OI_CONFIRM_MIN_PRICE_PCT</t>
        </is>
      </c>
      <c r="C398" s="0" t="inlineStr">
        <is>
          <t>2.0</t>
        </is>
      </c>
      <c r="D398" s="84" t="inlineStr">
        <is>
          <t>Threshold/gate: OI_CONFIRM_MIN_PRICE_PCT — ATCH5_FILTER_TF', 'LIVE_VEC_EMERGENCY_BRAKE_ENABLED', 'LR_BAND_LADDER_STOCH_EXTREME', 'LR_BAND_LADDER_TF_BOTTOM', 'LR_BA | ex: `ATCH5_FILTER_TF', 'LIVE_VEC_EMERGENCY_BRAKE_ENABLED', 'LR_BAND_LADDER_STOCH_EXTR`</t>
        </is>
      </c>
      <c r="E398" s="84" t="inlineStr">
        <is>
          <t>ENTRY, GLOBAL_CHECK, STOCKS_EXIT</t>
        </is>
      </c>
      <c r="F398" s="84" t="inlineStr">
        <is>
          <t>ENTRY, GLOBAL_CHECK, STOCKS_EXIT</t>
        </is>
      </c>
      <c r="G398" s="84" t="inlineStr">
        <is>
          <t>OI_CONFIRM_MIN_PRICE_PCT</t>
        </is>
      </c>
      <c r="H398" s="84" t="inlineStr">
        <is>
          <t>GENERAL</t>
        </is>
      </c>
      <c r="I398" s="84" t="inlineStr">
        <is>
          <t>LIVE — wired</t>
        </is>
      </c>
      <c r="J398" s="85"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4" t="n">
        <v>111</v>
      </c>
      <c r="B399" s="84" t="inlineStr">
        <is>
          <t>OI_CONFIRM_MIN_PRICE_PCT</t>
        </is>
      </c>
      <c r="C399" s="0" t="inlineStr">
        <is>
          <t>1.0</t>
        </is>
      </c>
      <c r="D399" s="84" t="inlineStr">
        <is>
          <t>Threshold/gate: OI_CONFIRM_MIN_PRICE_PCT — ATCH5_FILTER_TF', 'LIVE_VEC_EMERGENCY_BRAKE_ENABLED', 'LR_BAND_LADDER_STOCH_EXTREME', 'LR_BAND_LADDER_TF_BOTTOM', 'LR_BA | ex: `ATCH5_FILTER_TF', 'LIVE_VEC_EMERGENCY_BRAKE_ENABLED', 'LR_BAND_LADDER_STOCH_EXTR`</t>
        </is>
      </c>
      <c r="E399" s="84" t="inlineStr">
        <is>
          <t>ENTRY, GLOBAL_CHECK, STOCKS_EXIT</t>
        </is>
      </c>
      <c r="F399" s="84" t="inlineStr">
        <is>
          <t>ENTRY, GLOBAL_CHECK, STOCKS_EXIT</t>
        </is>
      </c>
      <c r="G399" s="84" t="inlineStr">
        <is>
          <t>OI_CONFIRM_MIN_PRICE_PCT</t>
        </is>
      </c>
      <c r="H399" s="84" t="inlineStr">
        <is>
          <t>GENERAL</t>
        </is>
      </c>
      <c r="I399" s="84" t="inlineStr">
        <is>
          <t>LIVE — wired</t>
        </is>
      </c>
      <c r="J399" s="85"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4" t="n">
        <v>111</v>
      </c>
      <c r="B400" s="84" t="inlineStr">
        <is>
          <t>OI_CONFIRM_MIN_PRICE_PCT</t>
        </is>
      </c>
      <c r="C400" s="0" t="inlineStr">
        <is>
          <t>0.5</t>
        </is>
      </c>
      <c r="D400" s="84" t="inlineStr">
        <is>
          <t>Threshold/gate: OI_CONFIRM_MIN_PRICE_PCT — ATCH5_FILTER_TF', 'LIVE_VEC_EMERGENCY_BRAKE_ENABLED', 'LR_BAND_LADDER_STOCH_EXTREME', 'LR_BAND_LADDER_TF_BOTTOM', 'LR_BA | ex: `ATCH5_FILTER_TF', 'LIVE_VEC_EMERGENCY_BRAKE_ENABLED', 'LR_BAND_LADDER_STOCH_EXTR`</t>
        </is>
      </c>
      <c r="E400" s="84" t="inlineStr">
        <is>
          <t>ENTRY, GLOBAL_CHECK, STOCKS_EXIT</t>
        </is>
      </c>
      <c r="F400" s="84" t="inlineStr">
        <is>
          <t>ENTRY, GLOBAL_CHECK, STOCKS_EXIT</t>
        </is>
      </c>
      <c r="G400" s="84" t="inlineStr">
        <is>
          <t>OI_CONFIRM_MIN_PRICE_PCT</t>
        </is>
      </c>
      <c r="H400" s="84" t="inlineStr">
        <is>
          <t>GENERAL</t>
        </is>
      </c>
      <c r="I400" s="84" t="inlineStr">
        <is>
          <t>LIVE — wired</t>
        </is>
      </c>
      <c r="J400" s="85"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6" t="n">
        <v>112</v>
      </c>
      <c r="B401" s="96"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6" t="n">
        <v>113</v>
      </c>
      <c r="B406" s="96"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6" t="n">
        <v>114</v>
      </c>
      <c r="B411" s="96"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3" t="n">
        <v>421</v>
      </c>
      <c r="B416" s="93"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3" t="n">
        <v>422</v>
      </c>
      <c r="B417" s="93"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3" t="n">
        <v>423</v>
      </c>
      <c r="B418" s="93"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3" t="n">
        <v>424</v>
      </c>
      <c r="B419" s="93"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3" t="n">
        <v>425</v>
      </c>
      <c r="B420" s="93"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3" t="n">
        <v>426</v>
      </c>
      <c r="B421" s="93"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3" t="n">
        <v>427</v>
      </c>
      <c r="B422" s="93"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3" t="n">
        <v>428</v>
      </c>
      <c r="B423" s="93"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3" t="n">
        <v>429</v>
      </c>
      <c r="B424" s="93"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3" t="n">
        <v>430</v>
      </c>
      <c r="B425" s="93"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3" t="n">
        <v>431</v>
      </c>
      <c r="B426" s="93"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3" t="n">
        <v>432</v>
      </c>
      <c r="B427" s="93"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3" t="inlineStr">
        <is>
          <t>STDEV_SLOPE_SIZING_ENABLED</t>
        </is>
      </c>
      <c r="B428" s="93" t="inlineStr">
        <is>
          <t>STDEV_SLOPE_SIZING</t>
        </is>
      </c>
      <c r="C428" s="0" t="inlineStr">
        <is>
          <t>STDEV_DAILY_6MO</t>
        </is>
      </c>
      <c r="D428" s="0" t="inlineStr">
        <is>
          <t>STDEV_LADDER</t>
        </is>
      </c>
      <c r="E428" s="0" t="inlineStr">
        <is>
          <t>1x top -&gt; 10x slope/bottom D, 4x 4h, 2x 1h stdev 2.5</t>
        </is>
      </c>
    </row>
    <row r="429" ht="15.75" customHeight="1" s="67">
      <c r="A429" s="93" t="inlineStr">
        <is>
          <t>STDEV_BAND_MULTIPLIER</t>
        </is>
      </c>
      <c r="B429" s="93" t="inlineStr">
        <is>
          <t>STDEV_SLOPE_SIZING</t>
        </is>
      </c>
      <c r="C429" s="0" t="inlineStr">
        <is>
          <t>STDEV_DAILY_6MO</t>
        </is>
      </c>
      <c r="D429" s="0" t="inlineStr">
        <is>
          <t>STDEV_LADDER</t>
        </is>
      </c>
      <c r="E429" s="0" t="inlineStr">
        <is>
          <t>1x top -&gt; 10x slope/bottom D, 4x 4h, 2x 1h stdev 2.5</t>
        </is>
      </c>
    </row>
    <row r="430" ht="15.75" customHeight="1" s="67">
      <c r="A430" s="93" t="inlineStr">
        <is>
          <t>STDEV_SLOPE_SIZING_D_MAX</t>
        </is>
      </c>
      <c r="B430" s="93" t="inlineStr">
        <is>
          <t>STDEV_SLOPE_SIZING</t>
        </is>
      </c>
      <c r="C430" s="0" t="inlineStr">
        <is>
          <t>STDEV_DAILY_6MO</t>
        </is>
      </c>
      <c r="D430" s="0" t="inlineStr">
        <is>
          <t>STDEV_LADDER</t>
        </is>
      </c>
      <c r="E430" s="0" t="inlineStr">
        <is>
          <t>1x top -&gt; 10x slope/bottom D, 4x 4h, 2x 1h stdev 2.5</t>
        </is>
      </c>
    </row>
    <row r="431" ht="15.75" customHeight="1" s="67">
      <c r="A431" s="93" t="inlineStr">
        <is>
          <t>STDEV_SLOPE_SIZING_4H_MAX</t>
        </is>
      </c>
      <c r="B431" s="93" t="inlineStr">
        <is>
          <t>STDEV_SLOPE_SIZING</t>
        </is>
      </c>
      <c r="C431" s="0" t="inlineStr">
        <is>
          <t>STDEV_DAILY_6MO</t>
        </is>
      </c>
      <c r="D431" s="0" t="inlineStr">
        <is>
          <t>STDEV_LADDER</t>
        </is>
      </c>
      <c r="E431" s="0" t="inlineStr">
        <is>
          <t>1x top -&gt; 10x slope/bottom D, 4x 4h, 2x 1h stdev 2.5</t>
        </is>
      </c>
    </row>
    <row r="432" ht="15.75" customHeight="1" s="67">
      <c r="A432" s="93" t="inlineStr">
        <is>
          <t>STDEV_SLOPE_SIZING_1H_MAX</t>
        </is>
      </c>
      <c r="B432" s="93" t="inlineStr">
        <is>
          <t>STDEV_SLOPE_SIZING</t>
        </is>
      </c>
      <c r="C432" s="0" t="inlineStr">
        <is>
          <t>STDEV_DAILY_6MO</t>
        </is>
      </c>
      <c r="D432" s="0" t="inlineStr">
        <is>
          <t>STDEV_LADDER</t>
        </is>
      </c>
      <c r="E432" s="0" t="inlineStr">
        <is>
          <t>1x top -&gt; 10x slope/bottom D, 4x 4h, 2x 1h stdev 2.5</t>
        </is>
      </c>
    </row>
    <row r="433" ht="15.75" customHeight="1" s="67">
      <c r="A433" s="93" t="inlineStr">
        <is>
          <t>STDEV_SLOPE_SIZING_15M_MAX</t>
        </is>
      </c>
      <c r="B433" s="93" t="inlineStr">
        <is>
          <t>STDEV_SLOPE_SIZING</t>
        </is>
      </c>
      <c r="C433" s="0" t="inlineStr">
        <is>
          <t>STDEV_DAILY_6MO</t>
        </is>
      </c>
      <c r="D433" s="0" t="inlineStr">
        <is>
          <t>STDEV_LADDER</t>
        </is>
      </c>
      <c r="E433" s="0" t="inlineStr">
        <is>
          <t>1x top -&gt; 10x slope/bottom D, 4x 4h, 2x 1h stdev 2.5</t>
        </is>
      </c>
    </row>
    <row r="434" ht="15.75" customHeight="1" s="67">
      <c r="A434" s="93" t="inlineStr">
        <is>
          <t>STDEV_SLOPE_LOOKBACK_D</t>
        </is>
      </c>
      <c r="B434" s="93" t="inlineStr">
        <is>
          <t>STDEV_SLOPE_SIZING</t>
        </is>
      </c>
      <c r="C434" s="0" t="inlineStr">
        <is>
          <t>STDEV_DAILY_6MO</t>
        </is>
      </c>
      <c r="D434" s="0" t="inlineStr">
        <is>
          <t>STDEV_LADDER</t>
        </is>
      </c>
      <c r="E434" s="0" t="inlineStr">
        <is>
          <t>1x top -&gt; 10x slope/bottom D, 4x 4h, 2x 1h stdev 2.5</t>
        </is>
      </c>
    </row>
    <row r="435" ht="15.75" customHeight="1" s="67">
      <c r="A435" s="93" t="inlineStr">
        <is>
          <t>STDEV_SLOPE_LOOKBACK_4H</t>
        </is>
      </c>
      <c r="B435" s="93" t="inlineStr">
        <is>
          <t>STDEV_SLOPE_SIZING</t>
        </is>
      </c>
      <c r="C435" s="0" t="inlineStr">
        <is>
          <t>STDEV_DAILY_6MO</t>
        </is>
      </c>
      <c r="D435" s="0" t="inlineStr">
        <is>
          <t>STDEV_LADDER</t>
        </is>
      </c>
      <c r="E435" s="0" t="inlineStr">
        <is>
          <t>1x top -&gt; 10x slope/bottom D, 4x 4h, 2x 1h stdev 2.5</t>
        </is>
      </c>
    </row>
    <row r="436" ht="15.75" customHeight="1" s="67">
      <c r="A436" s="93" t="inlineStr">
        <is>
          <t>STDEV_SLOPE_LOOKBACK_1H</t>
        </is>
      </c>
      <c r="B436" s="93" t="inlineStr">
        <is>
          <t>STDEV_SLOPE_SIZING</t>
        </is>
      </c>
      <c r="C436" s="0" t="inlineStr">
        <is>
          <t>STDEV_DAILY_6MO</t>
        </is>
      </c>
      <c r="D436" s="0" t="inlineStr">
        <is>
          <t>STDEV_LADDER</t>
        </is>
      </c>
      <c r="E436" s="0" t="inlineStr">
        <is>
          <t>1x top -&gt; 10x slope/bottom D, 4x 4h, 2x 1h stdev 2.5</t>
        </is>
      </c>
    </row>
    <row r="437" ht="15.75" customHeight="1" s="67">
      <c r="A437" s="93" t="inlineStr">
        <is>
          <t>STDEV_SLOPE_LOOKBACK_15M</t>
        </is>
      </c>
      <c r="B437" s="93" t="inlineStr">
        <is>
          <t>STDEV_SLOPE_SIZING</t>
        </is>
      </c>
      <c r="C437" s="0" t="inlineStr">
        <is>
          <t>STDEV_DAILY_6MO</t>
        </is>
      </c>
      <c r="D437" s="0" t="inlineStr">
        <is>
          <t>STDEV_LADDER</t>
        </is>
      </c>
      <c r="E437" s="0" t="inlineStr">
        <is>
          <t>1x top -&gt; 10x slope/bottom D, 4x 4h, 2x 1h stdev 2.5</t>
        </is>
      </c>
    </row>
    <row r="438" ht="15.75" customHeight="1" s="67">
      <c r="A438" s="93" t="inlineStr">
        <is>
          <t>BAND_SLOPE_SIZING_V2_ENABLED</t>
        </is>
      </c>
      <c r="B438" s="93" t="inlineStr">
        <is>
          <t>STDEV_SLOPE_SIZING</t>
        </is>
      </c>
      <c r="C438" s="0" t="inlineStr">
        <is>
          <t>STDEV_DAILY_6MO</t>
        </is>
      </c>
      <c r="D438" s="0" t="inlineStr">
        <is>
          <t>STDEV_LADDER</t>
        </is>
      </c>
      <c r="E438" s="0" t="inlineStr">
        <is>
          <t>1x top -&gt; 10x slope/bottom D, 4x 4h, 2x 1h stdev 2.5</t>
        </is>
      </c>
    </row>
    <row r="439" ht="15.75" customHeight="1" s="67">
      <c r="A439" s="93" t="inlineStr">
        <is>
          <t>BAND_SLOPE_SIZING_V2_TF</t>
        </is>
      </c>
      <c r="B439" s="93" t="inlineStr">
        <is>
          <t>STDEV_SLOPE_SIZING</t>
        </is>
      </c>
      <c r="C439" s="0" t="inlineStr">
        <is>
          <t>STDEV_DAILY_6MO</t>
        </is>
      </c>
      <c r="D439" s="0" t="inlineStr">
        <is>
          <t>STDEV_LADDER</t>
        </is>
      </c>
      <c r="E439" s="0" t="inlineStr">
        <is>
          <t>1x top -&gt; 10x slope/bottom D, 4x 4h, 2x 1h stdev 2.5</t>
        </is>
      </c>
    </row>
    <row r="440" ht="15.75" customHeight="1" s="67">
      <c r="A440" s="93" t="inlineStr">
        <is>
          <t>BAND_SLOPE_SIZING_V2_DEPTH_GAIN</t>
        </is>
      </c>
      <c r="B440" s="93" t="inlineStr">
        <is>
          <t>STDEV_SLOPE_SIZING</t>
        </is>
      </c>
      <c r="C440" s="0" t="inlineStr">
        <is>
          <t>STDEV_DAILY_6MO</t>
        </is>
      </c>
      <c r="D440" s="0" t="inlineStr">
        <is>
          <t>STDEV_LADDER</t>
        </is>
      </c>
      <c r="E440" s="0" t="inlineStr">
        <is>
          <t>1x top -&gt; 10x slope/bottom D, 4x 4h, 2x 1h stdev 2.5</t>
        </is>
      </c>
    </row>
    <row r="441" ht="15.75" customHeight="1" s="67">
      <c r="A441" s="93" t="inlineStr">
        <is>
          <t>BAND_SLOPE_SIZING_V2_MIN</t>
        </is>
      </c>
      <c r="B441" s="93" t="inlineStr">
        <is>
          <t>STDEV_SLOPE_SIZING</t>
        </is>
      </c>
      <c r="C441" s="0" t="inlineStr">
        <is>
          <t>STDEV_DAILY_6MO</t>
        </is>
      </c>
      <c r="D441" s="0" t="inlineStr">
        <is>
          <t>STDEV_LADDER</t>
        </is>
      </c>
      <c r="E441" s="0" t="inlineStr">
        <is>
          <t>1x top -&gt; 10x slope/bottom D, 4x 4h, 2x 1h stdev 2.5</t>
        </is>
      </c>
    </row>
    <row r="442" ht="15.75" customHeight="1" s="67">
      <c r="A442" s="93" t="inlineStr">
        <is>
          <t>BAND_SLOPE_SIZING_V2_MAX</t>
        </is>
      </c>
      <c r="B442" s="93"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3" t="inlineStr">
        <is>
          <t>AAPL_LONG</t>
        </is>
      </c>
      <c r="B3" s="93" t="inlineStr">
        <is>
          <t>OK</t>
        </is>
      </c>
      <c r="C3" s="0" t="n">
        <v>-6.6311</v>
      </c>
      <c r="D3" s="0" t="n">
        <v>-0.2557</v>
      </c>
      <c r="E3" s="0" t="n">
        <v>41</v>
      </c>
      <c r="F3" s="0">
        <f>IFERROR(VLOOKUP($A3,Results_30d_Deltas!$A$2:$H$5000,8,FALSE)-E2,"")</f>
        <v/>
      </c>
      <c r="G3" s="0">
        <f>IFERROR(VLOOKUP($A3,Results_30d_Deltas!$A$2:$H$5000,7,FALSE)-E2,"")</f>
        <v/>
      </c>
      <c r="K3" s="0">
        <f>IF(B3=C3,"YES","NO")</f>
        <v/>
      </c>
    </row>
    <row r="4">
      <c r="A4" s="93" t="inlineStr">
        <is>
          <t>AAPL_SHORT</t>
        </is>
      </c>
      <c r="B4" s="93" t="inlineStr">
        <is>
          <t>OK</t>
        </is>
      </c>
      <c r="C4" s="0" t="n">
        <v>1.3858</v>
      </c>
      <c r="D4" s="0" t="n">
        <v>0.0498</v>
      </c>
      <c r="E4" s="0" t="n">
        <v>43</v>
      </c>
      <c r="F4" s="0">
        <f>IFERROR(VLOOKUP($A4,Results_30d_Deltas!$A$2:$H$5000,8,FALSE)-E3,"")</f>
        <v/>
      </c>
      <c r="G4" s="0">
        <f>IFERROR(VLOOKUP($A4,Results_30d_Deltas!$A$2:$H$5000,7,FALSE)-E3,"")</f>
        <v/>
      </c>
      <c r="K4" s="0">
        <f>IF(B4=C4,"YES","NO")</f>
        <v/>
      </c>
    </row>
    <row r="5">
      <c r="A5" s="93" t="inlineStr">
        <is>
          <t>MU_LONG</t>
        </is>
      </c>
      <c r="B5" s="93" t="inlineStr">
        <is>
          <t>OK</t>
        </is>
      </c>
      <c r="C5" s="0" t="n">
        <v>-0.3971</v>
      </c>
      <c r="D5" s="0" t="n">
        <v>-0.0038</v>
      </c>
      <c r="E5" s="0" t="n">
        <v>123</v>
      </c>
      <c r="F5" s="0">
        <f>IFERROR(VLOOKUP($A5,Results_30d_Deltas!$A$2:$H$5000,8,FALSE)-E4,"")</f>
        <v/>
      </c>
      <c r="G5" s="0">
        <f>IFERROR(VLOOKUP($A5,Results_30d_Deltas!$A$2:$H$5000,7,FALSE)-E4,"")</f>
        <v/>
      </c>
      <c r="K5" s="0">
        <f>IF(B5=C5,"YES","NO")</f>
        <v/>
      </c>
    </row>
    <row r="6">
      <c r="A6" s="93" t="inlineStr">
        <is>
          <t>MU_SHORT</t>
        </is>
      </c>
      <c r="B6" s="93" t="inlineStr">
        <is>
          <t>OK</t>
        </is>
      </c>
      <c r="C6" s="0" t="n">
        <v>10.1335</v>
      </c>
      <c r="D6" s="0" t="n">
        <v>0.0824</v>
      </c>
      <c r="E6" s="0" t="n">
        <v>121</v>
      </c>
      <c r="F6" s="0">
        <f>IFERROR(VLOOKUP($A6,Results_30d_Deltas!$A$2:$H$5000,8,FALSE)-E5,"")</f>
        <v/>
      </c>
      <c r="G6" s="0">
        <f>IFERROR(VLOOKUP($A6,Results_30d_Deltas!$A$2:$H$5000,7,FALSE)-E5,"")</f>
        <v/>
      </c>
      <c r="K6" s="0">
        <f>IF(B6=C6,"YES","NO")</f>
        <v/>
      </c>
    </row>
    <row r="7">
      <c r="A7" s="93" t="inlineStr">
        <is>
          <t>MSFT_LONG</t>
        </is>
      </c>
      <c r="B7" s="93" t="inlineStr">
        <is>
          <t>NO_NPZ</t>
        </is>
      </c>
      <c r="F7" s="0">
        <f>IFERROR(VLOOKUP($A7,Results_30d_Deltas!$A$2:$H$5000,8,FALSE)-E6,"")</f>
        <v/>
      </c>
      <c r="G7" s="0">
        <f>IFERROR(VLOOKUP($A7,Results_30d_Deltas!$A$2:$H$5000,7,FALSE)-E6,"")</f>
        <v/>
      </c>
      <c r="K7" s="0">
        <f>IF(B7=C7,"YES","NO")</f>
        <v/>
      </c>
    </row>
    <row r="8">
      <c r="A8" s="93" t="inlineStr">
        <is>
          <t>MSFT_SHORT</t>
        </is>
      </c>
      <c r="B8" s="93" t="inlineStr">
        <is>
          <t>NO_NPZ</t>
        </is>
      </c>
      <c r="F8" s="0">
        <f>IFERROR(VLOOKUP($A8,Results_30d_Deltas!$A$2:$H$5000,8,FALSE)-E7,"")</f>
        <v/>
      </c>
      <c r="G8" s="0">
        <f>IFERROR(VLOOKUP($A8,Results_30d_Deltas!$A$2:$H$5000,7,FALSE)-E7,"")</f>
        <v/>
      </c>
      <c r="K8" s="0">
        <f>IF(B8=C8,"YES","NO")</f>
        <v/>
      </c>
    </row>
    <row r="9">
      <c r="A9" s="93" t="inlineStr">
        <is>
          <t>TSLA_LONG</t>
        </is>
      </c>
      <c r="B9" s="93" t="inlineStr">
        <is>
          <t>NO_NPZ</t>
        </is>
      </c>
      <c r="F9" s="0">
        <f>IFERROR(VLOOKUP($A9,Results_30d_Deltas!$A$2:$H$5000,8,FALSE)-E8,"")</f>
        <v/>
      </c>
      <c r="G9" s="0">
        <f>IFERROR(VLOOKUP($A9,Results_30d_Deltas!$A$2:$H$5000,7,FALSE)-E8,"")</f>
        <v/>
      </c>
      <c r="K9" s="0">
        <f>IF(B9=C9,"YES","NO")</f>
        <v/>
      </c>
    </row>
    <row r="10">
      <c r="A10" s="93" t="inlineStr">
        <is>
          <t>TSLA_SHORT</t>
        </is>
      </c>
      <c r="B10" s="93" t="inlineStr">
        <is>
          <t>NO_NPZ</t>
        </is>
      </c>
      <c r="F10" s="0">
        <f>IFERROR(VLOOKUP($A10,Results_30d_Deltas!$A$2:$H$5000,8,FALSE)-E9,"")</f>
        <v/>
      </c>
      <c r="G10" s="0">
        <f>IFERROR(VLOOKUP($A10,Results_30d_Deltas!$A$2:$H$5000,7,FALSE)-E9,"")</f>
        <v/>
      </c>
      <c r="K10" s="0">
        <f>IF(B10=C10,"YES","NO")</f>
        <v/>
      </c>
    </row>
    <row r="11">
      <c r="A11" s="93" t="inlineStr">
        <is>
          <t>BTC_LONG</t>
        </is>
      </c>
      <c r="B11" s="93" t="inlineStr">
        <is>
          <t>NO_NPZ</t>
        </is>
      </c>
      <c r="F11" s="0">
        <f>IFERROR(VLOOKUP($A11,Results_30d_Deltas!$A$2:$H$5000,8,FALSE)-E10,"")</f>
        <v/>
      </c>
      <c r="G11" s="0">
        <f>IFERROR(VLOOKUP($A11,Results_30d_Deltas!$A$2:$H$5000,7,FALSE)-E10,"")</f>
        <v/>
      </c>
      <c r="K11" s="0">
        <f>IF(B11=C11,"YES","NO")</f>
        <v/>
      </c>
    </row>
    <row r="12">
      <c r="A12" s="93" t="inlineStr">
        <is>
          <t>BTC_SHORT</t>
        </is>
      </c>
      <c r="B12" s="93" t="inlineStr">
        <is>
          <t>NO_NPZ</t>
        </is>
      </c>
      <c r="F12" s="0">
        <f>IFERROR(VLOOKUP($A12,Results_30d_Deltas!$A$2:$H$5000,8,FALSE)-E11,"")</f>
        <v/>
      </c>
      <c r="G12" s="0">
        <f>IFERROR(VLOOKUP($A12,Results_30d_Deltas!$A$2:$H$5000,7,FALSE)-E11,"")</f>
        <v/>
      </c>
      <c r="K12" s="0">
        <f>IF(B12=C12,"YES","NO")</f>
        <v/>
      </c>
    </row>
    <row r="13">
      <c r="A13" s="93" t="inlineStr">
        <is>
          <t>ETH_LONG</t>
        </is>
      </c>
      <c r="B13" s="93" t="inlineStr">
        <is>
          <t>NO_NPZ</t>
        </is>
      </c>
      <c r="F13" s="0">
        <f>IFERROR(VLOOKUP($A13,Results_30d_Deltas!$A$2:$H$5000,8,FALSE)-E12,"")</f>
        <v/>
      </c>
      <c r="G13" s="0">
        <f>IFERROR(VLOOKUP($A13,Results_30d_Deltas!$A$2:$H$5000,7,FALSE)-E12,"")</f>
        <v/>
      </c>
      <c r="K13" s="0">
        <f>IF(B13=C13,"YES","NO")</f>
        <v/>
      </c>
    </row>
    <row r="14">
      <c r="A14" s="93" t="inlineStr">
        <is>
          <t>ETH_SHORT</t>
        </is>
      </c>
      <c r="B14" s="93"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3" t="inlineStr">
        <is>
          <t>TRADIER_DC_DAYTRADE_MAX_HOLD_MINUTES</t>
        </is>
      </c>
      <c r="B3" s="93" t="inlineStr">
        <is>
          <t>0</t>
        </is>
      </c>
      <c r="D3" s="0" t="inlineStr">
        <is>
          <t>DAYTRADE</t>
        </is>
      </c>
      <c r="E3" s="0">
        <f>IF(G3="",E2,IF(G3&gt;0,E2+G3,E2))</f>
        <v/>
      </c>
      <c r="F3" s="0">
        <f>IFERROR(VLOOKUP($A3&amp;"_"&amp;$B3,Results_Deltas!$A$2:$P$15000,5,FALSE),"")</f>
        <v/>
      </c>
      <c r="G3" s="0">
        <f>IFERROR(VLOOKUP($A3&amp;"_"&amp;$B3,Results_Deltas!$A$2:$P$15000,5,FALSE),"")</f>
        <v/>
      </c>
    </row>
    <row r="4">
      <c r="A4" s="93" t="inlineStr">
        <is>
          <t>TRADIER_DC_DAYTRADE_REQUIRE_1H_EXPANSION</t>
        </is>
      </c>
      <c r="B4" s="93" t="inlineStr">
        <is>
          <t>True</t>
        </is>
      </c>
      <c r="D4" s="0" t="inlineStr">
        <is>
          <t>DAYTRADE</t>
        </is>
      </c>
      <c r="E4" s="0">
        <f>IF(G4="",E3,IF(G4&gt;0,E3+G4,E3))</f>
        <v/>
      </c>
      <c r="F4" s="0">
        <f>IFERROR(VLOOKUP($A4&amp;"_"&amp;$B4,Results_Deltas!$A$2:$P$15000,5,FALSE),"")</f>
        <v/>
      </c>
      <c r="G4" s="0">
        <f>IFERROR(VLOOKUP($A4&amp;"_"&amp;$B4,Results_Deltas!$A$2:$P$15000,5,FALSE),"")</f>
        <v/>
      </c>
    </row>
    <row r="5">
      <c r="A5" s="93" t="inlineStr">
        <is>
          <t>TRADIER_DC_DAYTRADE_STOP_PCT</t>
        </is>
      </c>
      <c r="B5" s="93" t="inlineStr">
        <is>
          <t>0.005</t>
        </is>
      </c>
      <c r="D5" s="0" t="inlineStr">
        <is>
          <t>DAYTRADE</t>
        </is>
      </c>
      <c r="E5" s="0">
        <f>IF(G5="",E4,IF(G5&gt;0,E4+G5,E4))</f>
        <v/>
      </c>
      <c r="F5" s="0">
        <f>IFERROR(VLOOKUP($A5&amp;"_"&amp;$B5,Results_Deltas!$A$2:$P$15000,5,FALSE),"")</f>
        <v/>
      </c>
      <c r="G5" s="0">
        <f>IFERROR(VLOOKUP($A5&amp;"_"&amp;$B5,Results_Deltas!$A$2:$P$15000,5,FALSE),"")</f>
        <v/>
      </c>
    </row>
    <row r="6">
      <c r="A6" s="93" t="inlineStr">
        <is>
          <t>DC_DAYTRADE_ENABLED</t>
        </is>
      </c>
      <c r="B6" s="93" t="inlineStr">
        <is>
          <t>False</t>
        </is>
      </c>
      <c r="D6" s="0" t="inlineStr">
        <is>
          <t>DAYTRADE</t>
        </is>
      </c>
      <c r="E6" s="0">
        <f>IF(G6="",E5,IF(G6&gt;0,E5+G6,E5))</f>
        <v/>
      </c>
      <c r="F6" s="0">
        <f>IFERROR(VLOOKUP($A6&amp;"_"&amp;$B6,Results_Deltas!$A$2:$P$15000,5,FALSE),"")</f>
        <v/>
      </c>
      <c r="G6" s="0">
        <f>IFERROR(VLOOKUP($A6&amp;"_"&amp;$B6,Results_Deltas!$A$2:$P$15000,5,FALSE),"")</f>
        <v/>
      </c>
    </row>
    <row r="7">
      <c r="A7" s="93" t="inlineStr">
        <is>
          <t>DC_DAYTRADE_MAX_HOLD_MINUTES</t>
        </is>
      </c>
      <c r="B7" s="93" t="inlineStr">
        <is>
          <t>0</t>
        </is>
      </c>
      <c r="D7" s="0" t="inlineStr">
        <is>
          <t>DAYTRADE</t>
        </is>
      </c>
      <c r="E7" s="0">
        <f>IF(G7="",E6,IF(G7&gt;0,E6+G7,E6))</f>
        <v/>
      </c>
      <c r="F7" s="0">
        <f>IFERROR(VLOOKUP($A7&amp;"_"&amp;$B7,Results_Deltas!$A$2:$P$15000,5,FALSE),"")</f>
        <v/>
      </c>
      <c r="G7" s="0">
        <f>IFERROR(VLOOKUP($A7&amp;"_"&amp;$B7,Results_Deltas!$A$2:$P$15000,5,FALSE),"")</f>
        <v/>
      </c>
    </row>
    <row r="8">
      <c r="A8" s="93" t="inlineStr">
        <is>
          <t>DC_DAYTRADE_STOP_PCT</t>
        </is>
      </c>
      <c r="B8" s="93" t="inlineStr">
        <is>
          <t>0.015</t>
        </is>
      </c>
      <c r="D8" s="0" t="inlineStr">
        <is>
          <t>DAYTRADE</t>
        </is>
      </c>
      <c r="E8" s="0">
        <f>IF(G8="",E7,IF(G8&gt;0,E7+G8,E7))</f>
        <v/>
      </c>
      <c r="F8" s="0">
        <f>IFERROR(VLOOKUP($A8&amp;"_"&amp;$B8,Results_Deltas!$A$2:$P$15000,5,FALSE),"")</f>
        <v/>
      </c>
      <c r="G8" s="0">
        <f>IFERROR(VLOOKUP($A8&amp;"_"&amp;$B8,Results_Deltas!$A$2:$P$15000,5,FALSE),"")</f>
        <v/>
      </c>
    </row>
    <row r="9">
      <c r="A9" s="93" t="inlineStr">
        <is>
          <t>WT_TECHNICAL_WAIT_LOWER_HIGH_ONLY</t>
        </is>
      </c>
      <c r="B9" s="93"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93" t="inlineStr">
        <is>
          <t>AUGMENT_BOUNCE_MIN_GAIN_PCT=0.25</t>
        </is>
      </c>
      <c r="B3" s="93" t="inlineStr">
        <is>
          <t>avg&lt;-5 pos0% n&gt;=50 - disable per category deep dive</t>
        </is>
      </c>
    </row>
    <row r="4">
      <c r="A4" s="93" t="inlineStr">
        <is>
          <t>AUGMENT_BOUNCE_MIN_GAIN_PCT=0.375</t>
        </is>
      </c>
      <c r="B4" s="93" t="inlineStr">
        <is>
          <t>avg&lt;-5 pos0% n&gt;=50 - disable per category deep dive</t>
        </is>
      </c>
    </row>
    <row r="5">
      <c r="A5" s="93" t="inlineStr">
        <is>
          <t>AUGMENT_BOUNCE_MIN_GAIN_PCT=0.625</t>
        </is>
      </c>
      <c r="B5" s="93" t="inlineStr">
        <is>
          <t>avg&lt;-5 pos0% n&gt;=50 - disable per category deep dive</t>
        </is>
      </c>
    </row>
    <row r="6">
      <c r="A6" s="93" t="inlineStr">
        <is>
          <t>AUGMENT_BOUNCE_MIN_GAIN_PCT=0.75</t>
        </is>
      </c>
      <c r="B6" s="93" t="inlineStr">
        <is>
          <t>avg&lt;-5 pos0% n&gt;=50 - disable per category deep dive</t>
        </is>
      </c>
    </row>
    <row r="7">
      <c r="A7" s="93" t="inlineStr">
        <is>
          <t>AUGMENT_BREAKOUT_MIN_GAIN_PCT=0.25</t>
        </is>
      </c>
      <c r="B7" s="93" t="inlineStr">
        <is>
          <t>avg&lt;-5 pos0% n&gt;=50 - disable per category deep dive</t>
        </is>
      </c>
    </row>
    <row r="8">
      <c r="A8" s="93" t="inlineStr">
        <is>
          <t>AUGMENT_BREAKOUT_MIN_GAIN_PCT=0.375</t>
        </is>
      </c>
      <c r="B8" s="93" t="inlineStr">
        <is>
          <t>avg&lt;-5 pos0% n&gt;=50 - disable per category deep dive</t>
        </is>
      </c>
    </row>
    <row r="9">
      <c r="A9" s="93" t="inlineStr">
        <is>
          <t>AUGMENT_BREAKOUT_MIN_GAIN_PCT=0.625</t>
        </is>
      </c>
      <c r="B9" s="93" t="inlineStr">
        <is>
          <t>avg&lt;-5 pos0% n&gt;=50 - disable per category deep dive</t>
        </is>
      </c>
    </row>
    <row r="10">
      <c r="A10" s="93" t="inlineStr">
        <is>
          <t>AUGMENT_BREAKOUT_MIN_GAIN_PCT=0.75</t>
        </is>
      </c>
      <c r="B10" s="93" t="inlineStr">
        <is>
          <t>avg&lt;-5 pos0% n&gt;=50 - disable per category deep dive</t>
        </is>
      </c>
    </row>
    <row r="11">
      <c r="A11" s="93" t="inlineStr">
        <is>
          <t>AUGMENT_FALLBACK_GAIN_PCT=0.5</t>
        </is>
      </c>
      <c r="B11" s="93" t="inlineStr">
        <is>
          <t>avg&lt;-5 pos0% n&gt;=50 - disable per category deep dive</t>
        </is>
      </c>
    </row>
    <row r="12">
      <c r="A12" s="93" t="inlineStr">
        <is>
          <t>AUGMENT_FALLBACK_GAIN_PCT=0.75</t>
        </is>
      </c>
      <c r="B12" s="93" t="inlineStr">
        <is>
          <t>avg&lt;-5 pos0% n&gt;=50 - disable per category deep dive</t>
        </is>
      </c>
    </row>
    <row r="13">
      <c r="A13" s="93" t="inlineStr">
        <is>
          <t>AUGMENT_FALLBACK_GAIN_PCT=1.25</t>
        </is>
      </c>
      <c r="B13" s="93" t="inlineStr">
        <is>
          <t>avg&lt;-5 pos0% n&gt;=50 - disable per category deep dive</t>
        </is>
      </c>
    </row>
    <row r="14">
      <c r="A14" s="93" t="inlineStr">
        <is>
          <t>AUGMENT_FALLBACK_GAIN_PCT=1.5</t>
        </is>
      </c>
      <c r="B14" s="93" t="inlineStr">
        <is>
          <t>avg&lt;-5 pos0% n&gt;=50 - disable per category deep dive</t>
        </is>
      </c>
    </row>
    <row r="15">
      <c r="A15" s="93" t="inlineStr">
        <is>
          <t>AUGMENT_MIN_GAIN_PCT=0.25</t>
        </is>
      </c>
      <c r="B15" s="93" t="inlineStr">
        <is>
          <t>avg&lt;-5 pos0% n&gt;=50 - disable per category deep dive</t>
        </is>
      </c>
    </row>
    <row r="16">
      <c r="A16" s="93" t="inlineStr">
        <is>
          <t>AUGMENT_MIN_GAIN_PCT=0.375</t>
        </is>
      </c>
      <c r="B16" s="93" t="inlineStr">
        <is>
          <t>avg&lt;-5 pos0% n&gt;=50 - disable per category deep dive</t>
        </is>
      </c>
    </row>
    <row r="17">
      <c r="A17" s="93" t="inlineStr">
        <is>
          <t>AUGMENT_MIN_GAIN_PCT=0.625</t>
        </is>
      </c>
      <c r="B17" s="93" t="inlineStr">
        <is>
          <t>avg&lt;-5 pos0% n&gt;=50 - disable per category deep dive</t>
        </is>
      </c>
    </row>
    <row r="18">
      <c r="A18" s="93" t="inlineStr">
        <is>
          <t>AUGMENT_MIN_GAIN_PCT=0.75</t>
        </is>
      </c>
      <c r="B18" s="93" t="inlineStr">
        <is>
          <t>avg&lt;-5 pos0% n&gt;=50 - disable per category deep dive</t>
        </is>
      </c>
    </row>
    <row r="19">
      <c r="A19" s="93" t="inlineStr">
        <is>
          <t>COOLDOWN_LOCKS_FILTER_TF=1h</t>
        </is>
      </c>
      <c r="B19" s="93" t="inlineStr">
        <is>
          <t>avg&lt;-5 pos0% n&gt;=50 - disable per category deep dive</t>
        </is>
      </c>
    </row>
    <row r="20">
      <c r="A20" s="93" t="inlineStr">
        <is>
          <t>COOLDOWN_LOCKS_FILTER_TF=4h</t>
        </is>
      </c>
      <c r="B20" s="93" t="inlineStr">
        <is>
          <t>avg&lt;-5 pos0% n&gt;=50 - disable per category deep dive</t>
        </is>
      </c>
    </row>
    <row r="21">
      <c r="A21" s="93" t="inlineStr">
        <is>
          <t>COOLDOWN_LOCKS_FILTER_TF=D</t>
        </is>
      </c>
      <c r="B21" s="93" t="inlineStr">
        <is>
          <t>avg&lt;-5 pos0% n&gt;=50 - disable per category deep dive</t>
        </is>
      </c>
    </row>
    <row r="22">
      <c r="A22" s="93" t="inlineStr">
        <is>
          <t>COOLDOWN_LOCKS_FILTER_TF=OFF</t>
        </is>
      </c>
      <c r="B22" s="93" t="inlineStr">
        <is>
          <t>avg&lt;-5 pos0% n&gt;=50 - disable per category deep dive</t>
        </is>
      </c>
    </row>
    <row r="23">
      <c r="A23" s="93" t="inlineStr">
        <is>
          <t>DUP_GUARD_FILTER_TF=4h</t>
        </is>
      </c>
      <c r="B23" s="93" t="inlineStr">
        <is>
          <t>avg&lt;-5 pos0% n&gt;=50 - disable per category deep dive</t>
        </is>
      </c>
    </row>
    <row r="24">
      <c r="A24" s="93" t="inlineStr">
        <is>
          <t>DUP_GUARD_FILTER_TF=D</t>
        </is>
      </c>
      <c r="B24" s="93" t="inlineStr">
        <is>
          <t>avg&lt;-5 pos0% n&gt;=50 - disable per category deep dive</t>
        </is>
      </c>
    </row>
    <row r="25">
      <c r="A25" s="93" t="inlineStr">
        <is>
          <t>DUP_GUARD_FILTER_TF=OFF</t>
        </is>
      </c>
      <c r="B25" s="93" t="inlineStr">
        <is>
          <t>avg&lt;-5 pos0% n&gt;=50 - disable per category deep dive</t>
        </is>
      </c>
    </row>
    <row r="26">
      <c r="A26" s="93" t="inlineStr">
        <is>
          <t>EMA_9_21_FILTER_MIN_TFS=0</t>
        </is>
      </c>
      <c r="B26" s="93" t="inlineStr">
        <is>
          <t>avg&lt;-5 pos0% n&gt;=50 - disable per category deep dive</t>
        </is>
      </c>
    </row>
    <row r="27">
      <c r="A27" s="93" t="inlineStr">
        <is>
          <t>FUNDING_GATE_FILTER_TF=1h</t>
        </is>
      </c>
      <c r="B27" s="93" t="inlineStr">
        <is>
          <t>avg&lt;-5 pos0% n&gt;=50 - disable per category deep dive</t>
        </is>
      </c>
    </row>
    <row r="28">
      <c r="A28" s="93" t="inlineStr">
        <is>
          <t>FUNDING_GATE_FILTER_TF=4h</t>
        </is>
      </c>
      <c r="B28" s="93" t="inlineStr">
        <is>
          <t>avg&lt;-5 pos0% n&gt;=50 - disable per category deep dive</t>
        </is>
      </c>
    </row>
    <row r="29">
      <c r="A29" s="93" t="inlineStr">
        <is>
          <t>FUNDING_GATE_FILTER_TF=D</t>
        </is>
      </c>
      <c r="B29" s="93" t="inlineStr">
        <is>
          <t>avg&lt;-5 pos0% n&gt;=50 - disable per category deep dive</t>
        </is>
      </c>
    </row>
    <row r="30">
      <c r="A30" s="93" t="inlineStr">
        <is>
          <t>FUNDING_GATE_FILTER_TF=OFF</t>
        </is>
      </c>
      <c r="B30" s="93" t="inlineStr">
        <is>
          <t>avg&lt;-5 pos0% n&gt;=50 - disable per category deep dive</t>
        </is>
      </c>
    </row>
    <row r="31">
      <c r="A31" s="93" t="inlineStr">
        <is>
          <t>RZ_BOT_BB_THRESHOLD=0.375</t>
        </is>
      </c>
      <c r="B31" s="93"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2026-09-18T22:23:58Z</dcterms:modified>
</cp:coreProperties>
</file>