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7">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xf numFmtId="0" fontId="0" fillId="16" borderId="0" pivotButton="0" quotePrefix="0" xfId="0"/>
    <xf numFmtId="0" fontId="24"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R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84" t="inlineStr">
        <is>
          <t>EMA_50_200_FILTER_ENABLED=False</t>
        </is>
      </c>
      <c r="IP2" s="84" t="inlineStr">
        <is>
          <t>EMA_50_200_FILTER_ENABLED=True</t>
        </is>
      </c>
      <c r="IQ2" s="84" t="inlineStr">
        <is>
          <t>SMA_50_FILTER_ENABLED=False</t>
        </is>
      </c>
      <c r="IR2" s="84" t="inlineStr">
        <is>
          <t>SMA_200_FILTER_ENABLED=False</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EMA_50_200_FILTER_ENABLED=False</t>
        </is>
      </c>
      <c r="IO2" s="84" t="inlineStr">
        <is>
          <t>EMA_50_200_FILTER_ENABLED=True</t>
        </is>
      </c>
      <c r="IP2" s="84" t="inlineStr">
        <is>
          <t>SMA_50_FILTER_ENABLED=False</t>
        </is>
      </c>
      <c r="IQ2" s="84" t="inlineStr">
        <is>
          <t>SMA_200_FILTER_ENABLED=False</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EMA_50_200_FILTER_ENABLED=False</t>
        </is>
      </c>
      <c r="IO2" s="84" t="inlineStr">
        <is>
          <t>EMA_50_200_FILTER_ENABLED=True</t>
        </is>
      </c>
      <c r="IP2" s="84" t="inlineStr">
        <is>
          <t>SMA_50_FILTER_ENABLED=False</t>
        </is>
      </c>
      <c r="IQ2" s="84" t="inlineStr">
        <is>
          <t>SMA_200_FILTER_ENABLED=False</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JL5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KINDERGARTEN_EMA_GATE_ENABLED=False</t>
        </is>
      </c>
      <c r="IO2" s="84" t="inlineStr">
        <is>
          <t>KINDERGARTEN_EMA_GATE_ENABLED=True</t>
        </is>
      </c>
      <c r="IP2" s="84" t="inlineStr">
        <is>
          <t>EMA_9_21_FILTER_ENABLED=False</t>
        </is>
      </c>
      <c r="IQ2" s="84" t="inlineStr">
        <is>
          <t>EMA_9_21_FILTER_ENABLED=True</t>
        </is>
      </c>
      <c r="IR2" s="84" t="inlineStr">
        <is>
          <t>EMA_9_21_FILTER_TFS=1h</t>
        </is>
      </c>
      <c r="IS2" s="84" t="inlineStr">
        <is>
          <t>EMA_9_21_FILTER_TFS=1h,D</t>
        </is>
      </c>
      <c r="IT2" s="84" t="inlineStr">
        <is>
          <t>EMA_9_21_FILTER_TFS=15m,1h,4h</t>
        </is>
      </c>
      <c r="IU2" s="84" t="inlineStr">
        <is>
          <t>EMA_9_21_FILTER_TFS=D</t>
        </is>
      </c>
      <c r="IV2" s="84" t="inlineStr">
        <is>
          <t>KINDERGARTEN_CUMULATIVE_MIN_TFS=1</t>
        </is>
      </c>
      <c r="IW2" s="84" t="inlineStr">
        <is>
          <t>KINDERGARTEN_CUMULATIVE_MIN_TFS=2</t>
        </is>
      </c>
      <c r="IX2" s="84" t="inlineStr">
        <is>
          <t>KINDERGARTEN_STRICT_TFS=</t>
        </is>
      </c>
      <c r="IY2" s="84" t="inlineStr">
        <is>
          <t>KINDERGARTEN_STRICT_TFS=1h,D</t>
        </is>
      </c>
      <c r="IZ2" s="84" t="inlineStr">
        <is>
          <t>WT_SIMPLE_GUARANTEE_ENABLED=False</t>
        </is>
      </c>
      <c r="JA2" s="84" t="inlineStr">
        <is>
          <t>WT_SIMPLE_GUARANTEE_ENABLED=True</t>
        </is>
      </c>
      <c r="JB2" s="84" t="inlineStr">
        <is>
          <t>FORCE_MIN_ONE_TRADE=False</t>
        </is>
      </c>
      <c r="JC2" s="84" t="inlineStr">
        <is>
          <t>FORCE_MIN_ONE_TRADE=True</t>
        </is>
      </c>
      <c r="JD2" s="84" t="inlineStr">
        <is>
          <t>EMA_50_200_FILTER_ENABLED=False</t>
        </is>
      </c>
      <c r="JE2" s="84" t="inlineStr">
        <is>
          <t>EMA_50_200_FILTER_ENABLED=True</t>
        </is>
      </c>
      <c r="JF2" s="84" t="inlineStr">
        <is>
          <t>EMA_50_200_TFS=D</t>
        </is>
      </c>
      <c r="JG2" s="84" t="inlineStr">
        <is>
          <t>EMA_50_200_TFS=1h,D</t>
        </is>
      </c>
      <c r="JH2" s="84" t="inlineStr">
        <is>
          <t>EMA_50_200_TFS=15m,1h,4h</t>
        </is>
      </c>
      <c r="JI2" s="84" t="inlineStr">
        <is>
          <t>SMA_50_FILTER_ENABLED=False</t>
        </is>
      </c>
      <c r="JJ2" s="84" t="inlineStr">
        <is>
          <t>SMA_50_FILTER_ENABLED=True</t>
        </is>
      </c>
      <c r="JK2" s="84" t="inlineStr">
        <is>
          <t>SMA_200_FILTER_ENABLED=False</t>
        </is>
      </c>
      <c r="JL2" s="84" t="inlineStr">
        <is>
          <t>SMA_200_FILTER_ENABLED=True</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85"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85"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s="85" t="inlineStr">
        <is>
          <t>HARDCODED_RALLY_REENTRY_REQUIRE_WT</t>
        </is>
      </c>
      <c r="B22" s="83" t="inlineStr">
        <is>
          <t>False</t>
        </is>
      </c>
      <c r="C22" s="0" t="inlineStr">
        <is>
          <t>False</t>
        </is>
      </c>
      <c r="D22" s="0" t="inlineStr">
        <is>
          <t>ALWAYS_TESTED</t>
        </is>
      </c>
    </row>
    <row r="23" ht="10.5" customHeight="1" s="67">
      <c r="A23" s="0" t="inlineStr">
        <is>
          <t>HARDCODED_RALLY_REENTRY_REQUIRE_WT</t>
        </is>
      </c>
      <c r="B23" s="83" t="inlineStr">
        <is>
          <t>False</t>
        </is>
      </c>
      <c r="C23" s="0" t="inlineStr">
        <is>
          <t>True</t>
        </is>
      </c>
      <c r="D23" s="0" t="inlineStr">
        <is>
          <t>ALWAYS_TESTED</t>
        </is>
      </c>
    </row>
    <row r="24" ht="10.5" customHeight="1" s="67">
      <c r="A24" s="85" t="inlineStr">
        <is>
          <t>BEAR_MARKET_MODE</t>
        </is>
      </c>
      <c r="B24" s="83" t="inlineStr">
        <is>
          <t>True</t>
        </is>
      </c>
      <c r="C24" s="0" t="n"/>
      <c r="D24" s="0" t="n"/>
      <c r="G24" s="0">
        <f>IFERROR(VLOOKUP($A24&amp;"_"&amp;$B24,Results_Deltas!$A$2:$P$15000,5,FALSE),"")</f>
        <v/>
      </c>
      <c r="H24" s="0">
        <f>IFERROR(VLOOKUP($A24,Results_30d_Deltas!$A$2:$H$5000,7,FALSE)-E24,"")</f>
        <v/>
      </c>
      <c r="I24" s="0">
        <f>IFERROR(VLOOKUP($A24,Results_30d_Deltas!$A$2:$H$5000,6,FALSE),"")</f>
        <v/>
      </c>
    </row>
    <row r="25" ht="10.5" customHeight="1" s="67">
      <c r="A25" s="0" t="inlineStr">
        <is>
          <t>BEAR_MARKET_MODE</t>
        </is>
      </c>
      <c r="B25" s="83" t="inlineStr">
        <is>
          <t>False</t>
        </is>
      </c>
      <c r="C25" s="0" t="n"/>
      <c r="D25" s="0" t="n"/>
      <c r="G25" s="0">
        <f>IFERROR(VLOOKUP($A25&amp;"_"&amp;$B25,Results_Deltas!$A$2:$P$15000,5,FALSE),"")</f>
        <v/>
      </c>
      <c r="H25" s="0">
        <f>IFERROR(VLOOKUP($A25,Results_30d_Deltas!$A$2:$H$5000,7,FALSE)-E25,"")</f>
        <v/>
      </c>
      <c r="I25" s="0">
        <f>IFERROR(VLOOKUP($A25,Results_30d_Deltas!$A$2:$H$5000,6,FALSE),"")</f>
        <v/>
      </c>
    </row>
    <row r="26" ht="10.5" customHeight="1" s="67">
      <c r="A26" s="85" t="inlineStr">
        <is>
          <t>KINDERGARTEN_EMA_GATE_ENABLED</t>
        </is>
      </c>
      <c r="B26" s="85" t="inlineStr">
        <is>
          <t>True</t>
        </is>
      </c>
      <c r="C26" s="0" t="inlineStr">
        <is>
          <t>True</t>
        </is>
      </c>
      <c r="D26" s="0" t="inlineStr">
        <is>
          <t>KINDERGARTEN</t>
        </is>
      </c>
      <c r="E26" s="0">
        <f>IF(G25="",E25,IF(G25&gt;0,E25+G25,E25))</f>
        <v/>
      </c>
      <c r="F26" s="0">
        <f>IFERROR(VLOOKUP($A26&amp;"_"&amp;$B26,Results_Deltas!$A$2:$P$15000,5,FALSE),"")</f>
        <v/>
      </c>
      <c r="G26" s="0">
        <f>IFERROR(VLOOKUP($A26&amp;"_"&amp;$B26,Results_Deltas!$A$2:$P$15000,5,FALSE),"")</f>
        <v/>
      </c>
    </row>
    <row r="27" ht="10.5" customHeight="1" s="67">
      <c r="A27" s="0" t="inlineStr">
        <is>
          <t>KINDERGARTEN_EMA_GATE_ENABLED</t>
        </is>
      </c>
      <c r="B27" s="0" t="inlineStr">
        <is>
          <t>True</t>
        </is>
      </c>
      <c r="C27" s="0" t="inlineStr">
        <is>
          <t>False</t>
        </is>
      </c>
      <c r="D27" s="0" t="inlineStr">
        <is>
          <t>KINDERGARTEN</t>
        </is>
      </c>
      <c r="E27" s="0">
        <f>IF(G26="",E26,IF(G26&gt;0,E26+G26,E26))</f>
        <v/>
      </c>
      <c r="F27" s="0">
        <f>IFERROR(VLOOKUP($A27&amp;"_"&amp;$B27,Results_Deltas!$A$2:$P$15000,5,FALSE),"")</f>
        <v/>
      </c>
      <c r="G27" s="0">
        <f>IFERROR(VLOOKUP($A27&amp;"_"&amp;$B27,Results_Deltas!$A$2:$P$15000,5,FALSE),"")</f>
        <v/>
      </c>
    </row>
    <row r="28" ht="10.5" customHeight="1" s="67">
      <c r="A28" s="0" t="inlineStr">
        <is>
          <t>KINDERGARTEN_EMA_GATE_ENABLED</t>
        </is>
      </c>
      <c r="B28" s="0" t="inlineStr">
        <is>
          <t>False</t>
        </is>
      </c>
      <c r="C28" s="0" t="inlineStr">
        <is>
          <t>True</t>
        </is>
      </c>
      <c r="D28" s="0" t="inlineStr">
        <is>
          <t>KINDERGARTEN</t>
        </is>
      </c>
      <c r="E28" s="0">
        <f>IF(G27="",E27,IF(G27&gt;0,E27+G27,E27))</f>
        <v/>
      </c>
      <c r="F28" s="0">
        <f>IFERROR(VLOOKUP($A28&amp;"_"&amp;$B28,Results_Deltas!$A$2:$P$15000,5,FALSE),"")</f>
        <v/>
      </c>
      <c r="G28" s="0">
        <f>IFERROR(VLOOKUP($A28&amp;"_"&amp;$B28,Results_Deltas!$A$2:$P$15000,5,FALSE),"")</f>
        <v/>
      </c>
    </row>
    <row r="29" ht="10.5" customHeight="1" s="67">
      <c r="A29" s="0" t="inlineStr">
        <is>
          <t>KINDERGARTEN_EMA_GATE_ENABLED</t>
        </is>
      </c>
      <c r="B29" s="0" t="inlineStr">
        <is>
          <t>False</t>
        </is>
      </c>
      <c r="C29" s="0" t="inlineStr">
        <is>
          <t>False</t>
        </is>
      </c>
      <c r="D29" s="0" t="inlineStr">
        <is>
          <t>KINDERGARTEN</t>
        </is>
      </c>
      <c r="E29" s="0">
        <f>IF(G28="",E28,IF(G28&gt;0,E28+G28,E28))</f>
        <v/>
      </c>
      <c r="F29" s="0">
        <f>IFERROR(VLOOKUP($A29&amp;"_"&amp;$B29,Results_Deltas!$A$2:$P$15000,5,FALSE),"")</f>
        <v/>
      </c>
      <c r="G29" s="0">
        <f>IFERROR(VLOOKUP($A29&amp;"_"&amp;$B29,Results_Deltas!$A$2:$P$15000,5,FALSE),"")</f>
        <v/>
      </c>
    </row>
    <row r="30" ht="10.5" customHeight="1" s="67">
      <c r="A30" s="85" t="inlineStr">
        <is>
          <t>EMA_9_21_FILTER_ENABLED</t>
        </is>
      </c>
      <c r="B30" s="85" t="inlineStr">
        <is>
          <t>True</t>
        </is>
      </c>
      <c r="C30" s="0" t="inlineStr">
        <is>
          <t>True</t>
        </is>
      </c>
      <c r="D30" s="0" t="inlineStr">
        <is>
          <t>KINDERGARTEN</t>
        </is>
      </c>
      <c r="E30" s="0">
        <f>IF(G29="",E29,IF(G29&gt;0,E29+G29,E29))</f>
        <v/>
      </c>
      <c r="F30" s="0">
        <f>IFERROR(VLOOKUP($A30&amp;"_"&amp;$B30,Results_Deltas!$A$2:$P$15000,5,FALSE),"")</f>
        <v/>
      </c>
      <c r="G30" s="0">
        <f>IFERROR(VLOOKUP($A30&amp;"_"&amp;$B30,Results_Deltas!$A$2:$P$15000,5,FALSE),"")</f>
        <v/>
      </c>
    </row>
    <row r="31" ht="10.5" customHeight="1" s="67">
      <c r="A31" s="0" t="inlineStr">
        <is>
          <t>EMA_9_21_FILTER_ENABLED</t>
        </is>
      </c>
      <c r="B31" s="0" t="inlineStr">
        <is>
          <t>True</t>
        </is>
      </c>
      <c r="C31" s="0" t="inlineStr">
        <is>
          <t>False</t>
        </is>
      </c>
      <c r="D31" s="0" t="inlineStr">
        <is>
          <t>KINDERGARTEN</t>
        </is>
      </c>
      <c r="E31" s="0">
        <f>IF(G30="",E30,IF(G30&gt;0,E30+G30,E30))</f>
        <v/>
      </c>
      <c r="F31" s="0">
        <f>IFERROR(VLOOKUP($A31&amp;"_"&amp;$B31,Results_Deltas!$A$2:$P$15000,5,FALSE),"")</f>
        <v/>
      </c>
      <c r="G31" s="0">
        <f>IFERROR(VLOOKUP($A31&amp;"_"&amp;$B31,Results_Deltas!$A$2:$P$15000,5,FALSE),"")</f>
        <v/>
      </c>
    </row>
    <row r="32" ht="10.5" customHeight="1" s="67">
      <c r="A32" s="0" t="inlineStr">
        <is>
          <t>EMA_9_21_FILTER_ENABLED</t>
        </is>
      </c>
      <c r="B32" s="0" t="inlineStr">
        <is>
          <t>False</t>
        </is>
      </c>
      <c r="C32" s="0" t="inlineStr">
        <is>
          <t>True</t>
        </is>
      </c>
      <c r="D32" s="0" t="inlineStr">
        <is>
          <t>KINDERGARTEN</t>
        </is>
      </c>
      <c r="E32" s="0">
        <f>IF(G31="",E31,IF(G31&gt;0,E31+G31,E31))</f>
        <v/>
      </c>
      <c r="F32" s="0">
        <f>IFERROR(VLOOKUP($A32&amp;"_"&amp;$B32,Results_Deltas!$A$2:$P$15000,5,FALSE),"")</f>
        <v/>
      </c>
      <c r="G32" s="0">
        <f>IFERROR(VLOOKUP($A32&amp;"_"&amp;$B32,Results_Deltas!$A$2:$P$15000,5,FALSE),"")</f>
        <v/>
      </c>
    </row>
    <row r="33" ht="10.5" customHeight="1" s="67">
      <c r="A33" s="85" t="inlineStr">
        <is>
          <t>EMA_9_21_FILTER_TFS</t>
        </is>
      </c>
      <c r="B33" s="85" t="inlineStr">
        <is>
          <t>1h</t>
        </is>
      </c>
      <c r="C33" s="0" t="inlineStr">
        <is>
          <t>1h</t>
        </is>
      </c>
      <c r="D33" s="0" t="inlineStr">
        <is>
          <t>KINDERGARTEN</t>
        </is>
      </c>
      <c r="E33" s="0">
        <f>IF(G32="",E32,IF(G32&gt;0,E32+G32,E32))</f>
        <v/>
      </c>
      <c r="F33" s="0">
        <f>IFERROR(VLOOKUP($A33&amp;"_"&amp;$B33,Results_Deltas!$A$2:$P$15000,5,FALSE),"")</f>
        <v/>
      </c>
      <c r="G33" s="0">
        <f>IFERROR(VLOOKUP($A33&amp;"_"&amp;$B33,Results_Deltas!$A$2:$P$15000,5,FALSE),"")</f>
        <v/>
      </c>
    </row>
    <row r="34" ht="10.5" customHeight="1" s="67">
      <c r="A34" s="0" t="inlineStr">
        <is>
          <t>EMA_9_21_FILTER_TFS</t>
        </is>
      </c>
      <c r="B34" s="0" t="inlineStr">
        <is>
          <t>1h</t>
        </is>
      </c>
      <c r="C34" s="0" t="inlineStr">
        <is>
          <t>1h,D</t>
        </is>
      </c>
      <c r="D34" s="0" t="inlineStr">
        <is>
          <t>KINDERGARTEN</t>
        </is>
      </c>
      <c r="E34" s="0">
        <f>IF(G33="",E33,IF(G33&gt;0,E33+G33,E33))</f>
        <v/>
      </c>
      <c r="F34" s="0">
        <f>IFERROR(VLOOKUP($A34&amp;"_"&amp;$B34,Results_Deltas!$A$2:$P$15000,5,FALSE),"")</f>
        <v/>
      </c>
      <c r="G34" s="0">
        <f>IFERROR(VLOOKUP($A34&amp;"_"&amp;$B34,Results_Deltas!$A$2:$P$15000,5,FALSE),"")</f>
        <v/>
      </c>
    </row>
    <row r="35" ht="10.5" customHeight="1" s="67">
      <c r="A35" s="0" t="inlineStr">
        <is>
          <t>EMA_9_21_FILTER_TFS</t>
        </is>
      </c>
      <c r="B35" s="0" t="inlineStr">
        <is>
          <t>1h</t>
        </is>
      </c>
      <c r="C35" s="0" t="inlineStr">
        <is>
          <t>15m,1h,4h</t>
        </is>
      </c>
      <c r="D35" s="0" t="inlineStr">
        <is>
          <t>KINDERGARTEN</t>
        </is>
      </c>
      <c r="E35" s="0">
        <f>IF(G34="",E34,IF(G34&gt;0,E34+G34,E34))</f>
        <v/>
      </c>
      <c r="F35" s="0">
        <f>IFERROR(VLOOKUP($A35&amp;"_"&amp;$B35,Results_Deltas!$A$2:$P$15000,5,FALSE),"")</f>
        <v/>
      </c>
      <c r="G35" s="0">
        <f>IFERROR(VLOOKUP($A35&amp;"_"&amp;$B35,Results_Deltas!$A$2:$P$15000,5,FALSE),"")</f>
        <v/>
      </c>
    </row>
    <row r="36" ht="10.5" customHeight="1" s="67">
      <c r="A36" s="0" t="inlineStr">
        <is>
          <t>EMA_9_21_FILTER_TFS</t>
        </is>
      </c>
      <c r="B36" s="0" t="inlineStr">
        <is>
          <t>1h</t>
        </is>
      </c>
      <c r="C36" s="0" t="inlineStr">
        <is>
          <t>D</t>
        </is>
      </c>
      <c r="D36" s="0" t="inlineStr">
        <is>
          <t>KINDERGARTEN</t>
        </is>
      </c>
      <c r="E36" s="0">
        <f>IF(G35="",E35,IF(G35&gt;0,E35+G35,E35))</f>
        <v/>
      </c>
      <c r="F36" s="0">
        <f>IFERROR(VLOOKUP($A36&amp;"_"&amp;$B36,Results_Deltas!$A$2:$P$15000,5,FALSE),"")</f>
        <v/>
      </c>
      <c r="G36" s="0">
        <f>IFERROR(VLOOKUP($A36&amp;"_"&amp;$B36,Results_Deltas!$A$2:$P$15000,5,FALSE),"")</f>
        <v/>
      </c>
    </row>
    <row r="37" ht="10.5" customHeight="1" s="67">
      <c r="A37" s="0" t="inlineStr">
        <is>
          <t>EMA_9_21_FILTER_TFS</t>
        </is>
      </c>
      <c r="B37" s="0" t="inlineStr">
        <is>
          <t>1h,D</t>
        </is>
      </c>
      <c r="C37" s="0" t="inlineStr">
        <is>
          <t>1h</t>
        </is>
      </c>
      <c r="D37" s="0" t="inlineStr">
        <is>
          <t>KINDERGARTEN</t>
        </is>
      </c>
      <c r="E37" s="0">
        <f>IF(G36="",E36,IF(G36&gt;0,E36+G36,E36))</f>
        <v/>
      </c>
      <c r="F37" s="0">
        <f>IFERROR(VLOOKUP($A37&amp;"_"&amp;$B37,Results_Deltas!$A$2:$P$15000,5,FALSE),"")</f>
        <v/>
      </c>
      <c r="G37" s="0">
        <f>IFERROR(VLOOKUP($A37&amp;"_"&amp;$B37,Results_Deltas!$A$2:$P$15000,5,FALSE),"")</f>
        <v/>
      </c>
    </row>
    <row r="38" ht="10.5" customHeight="1" s="67">
      <c r="A38" s="85" t="inlineStr">
        <is>
          <t>KINDERGARTEN_CUMULATIVE_MIN_TFS</t>
        </is>
      </c>
      <c r="B38" s="85" t="n">
        <v>1</v>
      </c>
      <c r="C38" s="0" t="n">
        <v>1</v>
      </c>
      <c r="D38" s="0" t="inlineStr">
        <is>
          <t>KINDERGARTEN</t>
        </is>
      </c>
      <c r="E38" s="0">
        <f>IF(G37="",E37,IF(G37&gt;0,E37+G37,E37))</f>
        <v/>
      </c>
      <c r="F38" s="0">
        <f>IFERROR(VLOOKUP($A38&amp;"_"&amp;$B38,Results_Deltas!$A$2:$P$15000,5,FALSE),"")</f>
        <v/>
      </c>
      <c r="G38" s="0">
        <f>IFERROR(VLOOKUP($A38&amp;"_"&amp;$B38,Results_Deltas!$A$2:$P$15000,5,FALSE),"")</f>
        <v/>
      </c>
    </row>
    <row r="39" ht="10.5" customHeight="1" s="67">
      <c r="A39" s="0" t="inlineStr">
        <is>
          <t>KINDERGARTEN_CUMULATIVE_MIN_TFS</t>
        </is>
      </c>
      <c r="B39" s="0" t="n">
        <v>1</v>
      </c>
      <c r="C39" s="0" t="n">
        <v>2</v>
      </c>
      <c r="D39" s="0" t="inlineStr">
        <is>
          <t>KINDERGARTEN</t>
        </is>
      </c>
      <c r="E39" s="0">
        <f>IF(G38="",E38,IF(G38&gt;0,E38+G38,E38))</f>
        <v/>
      </c>
      <c r="F39" s="0">
        <f>IFERROR(VLOOKUP($A39&amp;"_"&amp;$B39,Results_Deltas!$A$2:$P$15000,5,FALSE),"")</f>
        <v/>
      </c>
      <c r="G39" s="0">
        <f>IFERROR(VLOOKUP($A39&amp;"_"&amp;$B39,Results_Deltas!$A$2:$P$15000,5,FALSE),"")</f>
        <v/>
      </c>
    </row>
    <row r="40" ht="10.5" customHeight="1" s="67">
      <c r="A40" s="85" t="inlineStr">
        <is>
          <t>KINDERGARTEN_STRICT_TFS</t>
        </is>
      </c>
      <c r="B40" s="85" t="inlineStr"/>
      <c r="C40" s="0" t="inlineStr">
        <is>
          <t>1h,D</t>
        </is>
      </c>
      <c r="D40" s="0" t="inlineStr">
        <is>
          <t>KINDERGARTEN</t>
        </is>
      </c>
      <c r="E40" s="0">
        <f>IF(G39="",E39,IF(G39&gt;0,E39+G39,E39))</f>
        <v/>
      </c>
      <c r="F40" s="0">
        <f>IFERROR(VLOOKUP($A40&amp;"_"&amp;$B40,Results_Deltas!$A$2:$P$15000,5,FALSE),"")</f>
        <v/>
      </c>
      <c r="G40" s="0">
        <f>IFERROR(VLOOKUP($A40&amp;"_"&amp;$B40,Results_Deltas!$A$2:$P$15000,5,FALSE),"")</f>
        <v/>
      </c>
    </row>
    <row r="41" ht="15.75" customHeight="1" s="67">
      <c r="A41" s="0" t="inlineStr">
        <is>
          <t>KINDERGARTEN_STRICT_TFS</t>
        </is>
      </c>
      <c r="B41" s="0" t="inlineStr">
        <is>
          <t>1h,D</t>
        </is>
      </c>
      <c r="C41" s="0" t="inlineStr"/>
      <c r="D41" s="0" t="inlineStr">
        <is>
          <t>KINDERGARTEN</t>
        </is>
      </c>
      <c r="E41" s="0">
        <f>IF(G40="",E40,IF(G40&gt;0,E40+G40,E40))</f>
        <v/>
      </c>
      <c r="F41" s="0">
        <f>IFERROR(VLOOKUP($A41&amp;"_"&amp;$B41,Results_Deltas!$A$2:$P$15000,5,FALSE),"")</f>
        <v/>
      </c>
      <c r="G41" s="0">
        <f>IFERROR(VLOOKUP($A41&amp;"_"&amp;$B41,Results_Deltas!$A$2:$P$15000,5,FALSE),"")</f>
        <v/>
      </c>
    </row>
    <row r="42" ht="15.75" customHeight="1" s="67">
      <c r="A42" s="85" t="inlineStr">
        <is>
          <t>WT_SIMPLE_GUARANTEE_ENABLED</t>
        </is>
      </c>
      <c r="B42" s="85" t="inlineStr">
        <is>
          <t>False</t>
        </is>
      </c>
      <c r="C42" s="0" t="inlineStr">
        <is>
          <t>False</t>
        </is>
      </c>
      <c r="D42" s="0" t="inlineStr">
        <is>
          <t>KINDERGARTEN</t>
        </is>
      </c>
      <c r="E42" s="0">
        <f>IF(G41="",E41,IF(G41&gt;0,E41+G41,E41))</f>
        <v/>
      </c>
      <c r="F42" s="0">
        <f>IFERROR(VLOOKUP($A42&amp;"_"&amp;$B42,Results_Deltas!$A$2:$P$15000,5,FALSE),"")</f>
        <v/>
      </c>
      <c r="G42" s="0">
        <f>IFERROR(VLOOKUP($A42&amp;"_"&amp;$B42,Results_Deltas!$A$2:$P$15000,5,FALSE),"")</f>
        <v/>
      </c>
    </row>
    <row r="43" ht="15.75" customHeight="1" s="67">
      <c r="A43" s="0" t="inlineStr">
        <is>
          <t>WT_SIMPLE_GUARANTEE_ENABLED</t>
        </is>
      </c>
      <c r="B43" s="0" t="inlineStr">
        <is>
          <t>False</t>
        </is>
      </c>
      <c r="C43" s="0" t="inlineStr">
        <is>
          <t>True</t>
        </is>
      </c>
      <c r="D43" s="0" t="inlineStr">
        <is>
          <t>KINDERGARTEN</t>
        </is>
      </c>
      <c r="E43" s="0">
        <f>IF(G42="",E42,IF(G42&gt;0,E42+G42,E42))</f>
        <v/>
      </c>
      <c r="F43" s="0">
        <f>IFERROR(VLOOKUP($A43&amp;"_"&amp;$B43,Results_Deltas!$A$2:$P$15000,5,FALSE),"")</f>
        <v/>
      </c>
      <c r="G43" s="0">
        <f>IFERROR(VLOOKUP($A43&amp;"_"&amp;$B43,Results_Deltas!$A$2:$P$15000,5,FALSE),"")</f>
        <v/>
      </c>
    </row>
    <row r="44" ht="15.75" customHeight="1" s="67">
      <c r="A44" s="85" t="inlineStr">
        <is>
          <t>FORCE_MIN_ONE_TRADE</t>
        </is>
      </c>
      <c r="B44" s="85" t="inlineStr">
        <is>
          <t>False</t>
        </is>
      </c>
      <c r="C44" s="0" t="inlineStr">
        <is>
          <t>False</t>
        </is>
      </c>
      <c r="D44" s="0" t="inlineStr">
        <is>
          <t>KINDERGARTEN</t>
        </is>
      </c>
      <c r="E44" s="0">
        <f>IF(G43="",E43,IF(G43&gt;0,E43+G43,E43))</f>
        <v/>
      </c>
      <c r="F44" s="0">
        <f>IFERROR(VLOOKUP($A44&amp;"_"&amp;$B44,Results_Deltas!$A$2:$P$15000,5,FALSE),"")</f>
        <v/>
      </c>
      <c r="G44" s="0">
        <f>IFERROR(VLOOKUP($A44&amp;"_"&amp;$B44,Results_Deltas!$A$2:$P$15000,5,FALSE),"")</f>
        <v/>
      </c>
    </row>
    <row r="45" ht="15.75" customHeight="1" s="67">
      <c r="A45" s="0" t="inlineStr">
        <is>
          <t>FORCE_MIN_ONE_TRADE</t>
        </is>
      </c>
      <c r="B45" s="0" t="inlineStr">
        <is>
          <t>False</t>
        </is>
      </c>
      <c r="C45" s="0" t="inlineStr">
        <is>
          <t>True</t>
        </is>
      </c>
      <c r="D45" s="0" t="inlineStr">
        <is>
          <t>KINDERGARTEN</t>
        </is>
      </c>
      <c r="E45" s="0">
        <f>IF(G44="",E44,IF(G44&gt;0,E44+G44,E44))</f>
        <v/>
      </c>
      <c r="F45" s="0">
        <f>IFERROR(VLOOKUP($A45&amp;"_"&amp;$B45,Results_Deltas!$A$2:$P$15000,5,FALSE),"")</f>
        <v/>
      </c>
      <c r="G45" s="0">
        <f>IFERROR(VLOOKUP($A45&amp;"_"&amp;$B45,Results_Deltas!$A$2:$P$15000,5,FALSE),"")</f>
        <v/>
      </c>
    </row>
    <row r="46" ht="15.75" customHeight="1" s="67">
      <c r="A46" s="83" t="inlineStr">
        <is>
          <t>EMA_50_200_FILTER_ENABLED</t>
        </is>
      </c>
      <c r="B46" s="83" t="inlineStr">
        <is>
          <t>True</t>
        </is>
      </c>
      <c r="C46" t="inlineStr">
        <is>
          <t>True</t>
        </is>
      </c>
      <c r="D46" t="inlineStr">
        <is>
          <t>KINDERGARTEN</t>
        </is>
      </c>
      <c r="E46">
        <f>IF(G45="",E45,IF(G45&gt;0,E45+G45,E45))</f>
        <v/>
      </c>
      <c r="F46">
        <f>IFERROR(VLOOKUP($A46&amp;"_"&amp;$B46,Results_Deltas!$A$2:$P$15000,5,FALSE),"")</f>
        <v/>
      </c>
      <c r="G46">
        <f>IFERROR(VLOOKUP($A46&amp;"_"&amp;$B46,Results_Deltas!$A$2:$P$15000,5,FALSE),"")</f>
        <v/>
      </c>
    </row>
    <row r="47" ht="15.75" customHeight="1" s="67">
      <c r="A47" t="inlineStr">
        <is>
          <t>EMA_50_200_FILTER_ENABLED</t>
        </is>
      </c>
      <c r="B47" t="inlineStr">
        <is>
          <t>True</t>
        </is>
      </c>
      <c r="C47" t="inlineStr">
        <is>
          <t>False</t>
        </is>
      </c>
      <c r="D47" t="inlineStr">
        <is>
          <t>KINDERGARTEN</t>
        </is>
      </c>
      <c r="E47">
        <f>IF(G46="",E46,IF(G46&gt;0,E46+G46,E46))</f>
        <v/>
      </c>
      <c r="F47">
        <f>IFERROR(VLOOKUP($A47&amp;"_"&amp;$B47,Results_Deltas!$A$2:$P$15000,5,FALSE),"")</f>
        <v/>
      </c>
      <c r="G47">
        <f>IFERROR(VLOOKUP($A47&amp;"_"&amp;$B47,Results_Deltas!$A$2:$P$15000,5,FALSE),"")</f>
        <v/>
      </c>
    </row>
    <row r="48" ht="15.75" customHeight="1" s="67">
      <c r="A48" t="inlineStr">
        <is>
          <t>EMA_50_200_FILTER_ENABLED</t>
        </is>
      </c>
      <c r="B48" t="inlineStr">
        <is>
          <t>False</t>
        </is>
      </c>
      <c r="C48" t="inlineStr">
        <is>
          <t>True</t>
        </is>
      </c>
      <c r="D48" t="inlineStr">
        <is>
          <t>KINDERGARTEN</t>
        </is>
      </c>
      <c r="E48">
        <f>IF(G47="",E47,IF(G47&gt;0,E47+G47,E47))</f>
        <v/>
      </c>
      <c r="F48">
        <f>IFERROR(VLOOKUP($A48&amp;"_"&amp;$B48,Results_Deltas!$A$2:$P$15000,5,FALSE),"")</f>
        <v/>
      </c>
      <c r="G48">
        <f>IFERROR(VLOOKUP($A48&amp;"_"&amp;$B48,Results_Deltas!$A$2:$P$15000,5,FALSE),"")</f>
        <v/>
      </c>
    </row>
    <row r="49" ht="15.75" customHeight="1" s="67">
      <c r="A49" s="83" t="inlineStr">
        <is>
          <t>EMA_50_200_TFS</t>
        </is>
      </c>
      <c r="B49" s="83" t="inlineStr">
        <is>
          <t>D</t>
        </is>
      </c>
      <c r="C49" t="inlineStr">
        <is>
          <t>D</t>
        </is>
      </c>
      <c r="D49" t="inlineStr">
        <is>
          <t>KINDERGARTEN</t>
        </is>
      </c>
      <c r="E49">
        <f>IF(G48="",E48,IF(G48&gt;0,E48+G48,E48))</f>
        <v/>
      </c>
      <c r="F49">
        <f>IFERROR(VLOOKUP($A49&amp;"_"&amp;$B49,Results_Deltas!$A$2:$P$15000,5,FALSE),"")</f>
        <v/>
      </c>
      <c r="G49">
        <f>IFERROR(VLOOKUP($A49&amp;"_"&amp;$B49,Results_Deltas!$A$2:$P$15000,5,FALSE),"")</f>
        <v/>
      </c>
    </row>
    <row r="50" ht="15.75" customHeight="1" s="67">
      <c r="A50" t="inlineStr">
        <is>
          <t>EMA_50_200_TFS</t>
        </is>
      </c>
      <c r="B50" t="inlineStr">
        <is>
          <t>D</t>
        </is>
      </c>
      <c r="C50" t="inlineStr">
        <is>
          <t>1h,D</t>
        </is>
      </c>
      <c r="D50" t="inlineStr">
        <is>
          <t>KINDERGARTEN</t>
        </is>
      </c>
      <c r="E50">
        <f>IF(G49="",E49,IF(G49&gt;0,E49+G49,E49))</f>
        <v/>
      </c>
      <c r="F50">
        <f>IFERROR(VLOOKUP($A50&amp;"_"&amp;$B50,Results_Deltas!$A$2:$P$15000,5,FALSE),"")</f>
        <v/>
      </c>
      <c r="G50">
        <f>IFERROR(VLOOKUP($A50&amp;"_"&amp;$B50,Results_Deltas!$A$2:$P$15000,5,FALSE),"")</f>
        <v/>
      </c>
    </row>
    <row r="51" ht="15.75" customHeight="1" s="67">
      <c r="A51" t="inlineStr">
        <is>
          <t>EMA_50_200_TFS</t>
        </is>
      </c>
      <c r="B51" t="inlineStr">
        <is>
          <t>D</t>
        </is>
      </c>
      <c r="C51" t="inlineStr">
        <is>
          <t>15m,1h,4h</t>
        </is>
      </c>
      <c r="D51" t="inlineStr">
        <is>
          <t>KINDERGARTEN</t>
        </is>
      </c>
      <c r="E51">
        <f>IF(G50="",E50,IF(G50&gt;0,E50+G50,E50))</f>
        <v/>
      </c>
      <c r="F51">
        <f>IFERROR(VLOOKUP($A51&amp;"_"&amp;$B51,Results_Deltas!$A$2:$P$15000,5,FALSE),"")</f>
        <v/>
      </c>
      <c r="G51">
        <f>IFERROR(VLOOKUP($A51&amp;"_"&amp;$B51,Results_Deltas!$A$2:$P$15000,5,FALSE),"")</f>
        <v/>
      </c>
    </row>
    <row r="52" ht="15.75" customHeight="1" s="67">
      <c r="A52" t="inlineStr">
        <is>
          <t>EMA_50_200_TFS</t>
        </is>
      </c>
      <c r="B52" t="inlineStr">
        <is>
          <t>1h,D</t>
        </is>
      </c>
      <c r="C52" t="inlineStr">
        <is>
          <t>D</t>
        </is>
      </c>
      <c r="D52" t="inlineStr">
        <is>
          <t>KINDERGARTEN</t>
        </is>
      </c>
      <c r="E52">
        <f>IF(G51="",E51,IF(G51&gt;0,E51+G51,E51))</f>
        <v/>
      </c>
      <c r="F52">
        <f>IFERROR(VLOOKUP($A52&amp;"_"&amp;$B52,Results_Deltas!$A$2:$P$15000,5,FALSE),"")</f>
        <v/>
      </c>
      <c r="G52">
        <f>IFERROR(VLOOKUP($A52&amp;"_"&amp;$B52,Results_Deltas!$A$2:$P$15000,5,FALSE),"")</f>
        <v/>
      </c>
    </row>
    <row r="53" ht="15.75" customHeight="1" s="67">
      <c r="A53" s="83" t="inlineStr">
        <is>
          <t>SMA_50_FILTER_ENABLED</t>
        </is>
      </c>
      <c r="B53" s="83" t="inlineStr">
        <is>
          <t>False</t>
        </is>
      </c>
      <c r="C53" t="inlineStr">
        <is>
          <t>False</t>
        </is>
      </c>
      <c r="D53" t="inlineStr">
        <is>
          <t>KINDERGARTEN</t>
        </is>
      </c>
      <c r="E53">
        <f>IF(G52="",E52,IF(G52&gt;0,E52+G52,E52))</f>
        <v/>
      </c>
      <c r="F53">
        <f>IFERROR(VLOOKUP($A53&amp;"_"&amp;$B53,Results_Deltas!$A$2:$P$15000,5,FALSE),"")</f>
        <v/>
      </c>
      <c r="G53">
        <f>IFERROR(VLOOKUP($A53&amp;"_"&amp;$B53,Results_Deltas!$A$2:$P$15000,5,FALSE),"")</f>
        <v/>
      </c>
    </row>
    <row r="54" ht="15.75" customHeight="1" s="67">
      <c r="A54" t="inlineStr">
        <is>
          <t>SMA_50_FILTER_ENABLED</t>
        </is>
      </c>
      <c r="B54" t="inlineStr">
        <is>
          <t>False</t>
        </is>
      </c>
      <c r="C54" t="inlineStr">
        <is>
          <t>True</t>
        </is>
      </c>
      <c r="D54" t="inlineStr">
        <is>
          <t>KINDERGARTEN</t>
        </is>
      </c>
      <c r="E54">
        <f>IF(G53="",E53,IF(G53&gt;0,E53+G53,E53))</f>
        <v/>
      </c>
      <c r="F54">
        <f>IFERROR(VLOOKUP($A54&amp;"_"&amp;$B54,Results_Deltas!$A$2:$P$15000,5,FALSE),"")</f>
        <v/>
      </c>
      <c r="G54">
        <f>IFERROR(VLOOKUP($A54&amp;"_"&amp;$B54,Results_Deltas!$A$2:$P$15000,5,FALSE),"")</f>
        <v/>
      </c>
    </row>
    <row r="55" ht="15.75" customHeight="1" s="67">
      <c r="A55" s="83" t="inlineStr">
        <is>
          <t>SMA_200_FILTER_ENABLED</t>
        </is>
      </c>
      <c r="B55" s="83" t="inlineStr">
        <is>
          <t>False</t>
        </is>
      </c>
      <c r="C55" t="inlineStr">
        <is>
          <t>False</t>
        </is>
      </c>
      <c r="D55" t="inlineStr">
        <is>
          <t>KINDERGARTEN</t>
        </is>
      </c>
      <c r="E55">
        <f>IF(G54="",E54,IF(G54&gt;0,E54+G54,E54))</f>
        <v/>
      </c>
      <c r="F55">
        <f>IFERROR(VLOOKUP($A55&amp;"_"&amp;$B55,Results_Deltas!$A$2:$P$15000,5,FALSE),"")</f>
        <v/>
      </c>
      <c r="G55">
        <f>IFERROR(VLOOKUP($A55&amp;"_"&amp;$B55,Results_Deltas!$A$2:$P$15000,5,FALSE),"")</f>
        <v/>
      </c>
    </row>
    <row r="56" ht="15.75" customHeight="1" s="67">
      <c r="A56" t="inlineStr">
        <is>
          <t>SMA_200_FILTER_ENABLED</t>
        </is>
      </c>
      <c r="B56" t="inlineStr">
        <is>
          <t>False</t>
        </is>
      </c>
      <c r="C56" t="inlineStr">
        <is>
          <t>True</t>
        </is>
      </c>
      <c r="D56" t="inlineStr">
        <is>
          <t>KINDERGARTEN</t>
        </is>
      </c>
      <c r="E56">
        <f>IF(G55="",E55,IF(G55&gt;0,E55+G55,E55))</f>
        <v/>
      </c>
      <c r="F56">
        <f>IFERROR(VLOOKUP($A56&amp;"_"&amp;$B56,Results_Deltas!$A$2:$P$15000,5,FALSE),"")</f>
        <v/>
      </c>
      <c r="G56">
        <f>IFERROR(VLOOKUP($A56&amp;"_"&amp;$B56,Results_Deltas!$A$2:$P$15000,5,FALSE),"")</f>
        <v/>
      </c>
    </row>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7"/>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c r="A443" s="0" t="n">
        <v>900</v>
      </c>
      <c r="B443" s="0" t="inlineStr">
        <is>
          <t>KINDERGARTEN_EMA_GATE_ENABLED</t>
        </is>
      </c>
      <c r="C443" s="0" t="inlineStr">
        <is>
          <t>False</t>
        </is>
      </c>
      <c r="D443" s="0" t="inlineStr">
        <is>
          <t>Kindergarten EMA gate: blocks entries when 9/21 EMA misaligned on TF. False=OFF, True=blocks counter-trend on 1h+D+4h. | Live: tradier_manage _kindergarten_ema_gate</t>
        </is>
      </c>
      <c r="E443" s="0" t="inlineStr">
        <is>
          <t>ENTRY, GLOBAL_CHECK</t>
        </is>
      </c>
      <c r="F443" s="0" t="inlineStr">
        <is>
          <t>ENTRY, GLOBAL_CHECK</t>
        </is>
      </c>
      <c r="G443" s="0" t="inlineStr">
        <is>
          <t>KINDERGARTEN_EMA_GATE_ENABLED</t>
        </is>
      </c>
      <c r="H443" s="0" t="inlineStr">
        <is>
          <t>SPECIFIC — only gated switches</t>
        </is>
      </c>
      <c r="I443" s="0" t="inlineStr">
        <is>
          <t>LIVE — wired</t>
        </is>
      </c>
    </row>
    <row r="444" ht="15.75" customHeight="1" s="67">
      <c r="A444" s="0" t="n">
        <v>901</v>
      </c>
      <c r="B444" s="0" t="inlineStr">
        <is>
          <t>KINDERGARTEN_EMA_GATE_ENABLED</t>
        </is>
      </c>
      <c r="C444" s="0" t="inlineStr">
        <is>
          <t>True</t>
        </is>
      </c>
      <c r="D444" s="0" t="inlineStr">
        <is>
          <t>Kindergarten EMA gate: blocks entries when 9/21 EMA misaligned on TF. False=OFF, True=blocks counter-trend on 1h+D+4h. | Live: tradier_manage _kindergarten_ema_gate</t>
        </is>
      </c>
      <c r="E444" s="0" t="inlineStr">
        <is>
          <t>ENTRY, GLOBAL_CHECK</t>
        </is>
      </c>
      <c r="F444" s="0" t="inlineStr">
        <is>
          <t>ENTRY, GLOBAL_CHECK</t>
        </is>
      </c>
      <c r="G444" s="0" t="inlineStr">
        <is>
          <t>KINDERGARTEN_EMA_GATE_ENABLED</t>
        </is>
      </c>
      <c r="H444" s="0" t="inlineStr">
        <is>
          <t>SPECIFIC — only gated switches</t>
        </is>
      </c>
      <c r="I444" s="0" t="inlineStr">
        <is>
          <t>LIVE — wired</t>
        </is>
      </c>
    </row>
    <row r="445" ht="15.75" customHeight="1" s="67">
      <c r="A445" s="0" t="n">
        <v>902</v>
      </c>
      <c r="B445" s="0" t="inlineStr">
        <is>
          <t>EMA_9_21_FILTER_ENABLED</t>
        </is>
      </c>
      <c r="C445" s="0" t="inlineStr">
        <is>
          <t>False</t>
        </is>
      </c>
      <c r="D445" s="0" t="inlineStr">
        <is>
          <t>9/21 EMA filter enabled: False=off, True=require 9 above 21 on TF for LONG (reverse SHORT). | Live: v12_quick_engine kindergarten gate</t>
        </is>
      </c>
      <c r="E445" s="0" t="inlineStr">
        <is>
          <t>ENTRY, GLOBAL_CHECK</t>
        </is>
      </c>
      <c r="F445" s="0" t="inlineStr">
        <is>
          <t>ENTRY, GLOBAL_CHECK</t>
        </is>
      </c>
      <c r="G445" s="0" t="inlineStr">
        <is>
          <t>EMA_9_21_FILTER_ENABLED</t>
        </is>
      </c>
      <c r="H445" s="0" t="inlineStr">
        <is>
          <t>SPECIFIC — only gated switches</t>
        </is>
      </c>
      <c r="I445" s="0" t="inlineStr">
        <is>
          <t>LIVE — wired</t>
        </is>
      </c>
    </row>
    <row r="446" ht="15.75" customHeight="1" s="67">
      <c r="A446" s="0" t="n">
        <v>903</v>
      </c>
      <c r="B446" s="0" t="inlineStr">
        <is>
          <t>EMA_9_21_FILTER_ENABLED</t>
        </is>
      </c>
      <c r="C446" s="0" t="inlineStr">
        <is>
          <t>True</t>
        </is>
      </c>
      <c r="D446" s="0" t="inlineStr">
        <is>
          <t>9/21 EMA filter enabled: False=off, True=require 9 above 21 on TF for LONG (reverse SHORT). | Live: v12_quick_engine kindergarten gate</t>
        </is>
      </c>
      <c r="E446" s="0" t="inlineStr">
        <is>
          <t>ENTRY, GLOBAL_CHECK</t>
        </is>
      </c>
      <c r="F446" s="0" t="inlineStr">
        <is>
          <t>ENTRY, GLOBAL_CHECK</t>
        </is>
      </c>
      <c r="G446" s="0" t="inlineStr">
        <is>
          <t>EMA_9_21_FILTER_ENABLED</t>
        </is>
      </c>
      <c r="H446" s="0" t="inlineStr">
        <is>
          <t>SPECIFIC — only gated switches</t>
        </is>
      </c>
      <c r="I446" s="0" t="inlineStr">
        <is>
          <t>LIVE — wired</t>
        </is>
      </c>
    </row>
    <row r="447" ht="15.75" customHeight="1" s="67">
      <c r="A447" s="0" t="n">
        <v>904</v>
      </c>
      <c r="B447" s="0" t="inlineStr">
        <is>
          <t>EMA_9_21_FILTER_TFS</t>
        </is>
      </c>
      <c r="C447" s="0" t="inlineStr">
        <is>
          <t>1h</t>
        </is>
      </c>
      <c r="D447" s="0" t="inlineStr">
        <is>
          <t>TF list for 9/21: comma-separated TFs that must agree (e.g. 1h, 1h+D, 15m+1h+4h). | Live: EMA_9_21_FILTER_TFS</t>
        </is>
      </c>
      <c r="E447" s="0" t="inlineStr">
        <is>
          <t>GLOBAL_CHECK</t>
        </is>
      </c>
      <c r="F447" s="0" t="inlineStr">
        <is>
          <t>GLOBAL_CHECK</t>
        </is>
      </c>
      <c r="G447" s="0" t="inlineStr">
        <is>
          <t>GLOBAL_CHECK</t>
        </is>
      </c>
      <c r="H447" s="0" t="inlineStr">
        <is>
          <t>EMA_9_21_FILTER_TFS</t>
        </is>
      </c>
      <c r="I447" s="0" t="inlineStr">
        <is>
          <t>LIVE — wired</t>
        </is>
      </c>
    </row>
    <row r="448" ht="15.75" customHeight="1" s="67">
      <c r="A448" s="0" t="n">
        <v>905</v>
      </c>
      <c r="B448" s="0" t="inlineStr">
        <is>
          <t>EMA_9_21_FILTER_TFS</t>
        </is>
      </c>
      <c r="C448" s="0" t="inlineStr">
        <is>
          <t>1h,D</t>
        </is>
      </c>
      <c r="D448" s="0" t="inlineStr">
        <is>
          <t>TF list for 9/21: 1h+D both must agree. Tests multi-TF trend alignment.</t>
        </is>
      </c>
      <c r="E448" s="0" t="inlineStr">
        <is>
          <t>GLOBAL_CHECK</t>
        </is>
      </c>
      <c r="F448" s="0" t="inlineStr">
        <is>
          <t>GLOBAL_CHECK</t>
        </is>
      </c>
      <c r="G448" s="0" t="inlineStr">
        <is>
          <t>GLOBAL_CHECK</t>
        </is>
      </c>
      <c r="H448" s="0" t="inlineStr">
        <is>
          <t>EMA_9_21_FILTER_TFS</t>
        </is>
      </c>
      <c r="I448" s="0" t="inlineStr">
        <is>
          <t>LIVE — wired</t>
        </is>
      </c>
    </row>
    <row r="449" ht="15.75" customHeight="1" s="67">
      <c r="A449" s="0" t="n">
        <v>906</v>
      </c>
      <c r="B449" s="0" t="inlineStr">
        <is>
          <t>EMA_9_21_FILTER_TFS</t>
        </is>
      </c>
      <c r="C449" s="0" t="inlineStr">
        <is>
          <t>15m,1h,4h</t>
        </is>
      </c>
      <c r="D449" s="0" t="inlineStr">
        <is>
          <t>TF list for 9/21: 15m+1h+4h triple confirmation.</t>
        </is>
      </c>
      <c r="E449" s="0" t="inlineStr">
        <is>
          <t>GLOBAL_CHECK</t>
        </is>
      </c>
      <c r="F449" s="0" t="inlineStr">
        <is>
          <t>GLOBAL_CHECK</t>
        </is>
      </c>
      <c r="G449" s="0" t="inlineStr">
        <is>
          <t>GLOBAL_CHECK</t>
        </is>
      </c>
      <c r="H449" s="0" t="inlineStr">
        <is>
          <t>EMA_9_21_FILTER_TFS</t>
        </is>
      </c>
      <c r="I449" s="0" t="inlineStr">
        <is>
          <t>LIVE — wired</t>
        </is>
      </c>
    </row>
    <row r="450" ht="15.75" customHeight="1" s="67">
      <c r="A450" s="0" t="n">
        <v>907</v>
      </c>
      <c r="B450" s="0" t="inlineStr">
        <is>
          <t>EMA_9_21_FILTER_TFS</t>
        </is>
      </c>
      <c r="C450" s="0" t="inlineStr">
        <is>
          <t>D</t>
        </is>
      </c>
      <c r="D450" s="0" t="inlineStr">
        <is>
          <t>TF list for 9/21: D only (daily trend).</t>
        </is>
      </c>
      <c r="E450" s="0" t="inlineStr">
        <is>
          <t>GLOBAL_CHECK</t>
        </is>
      </c>
      <c r="F450" s="0" t="inlineStr">
        <is>
          <t>GLOBAL_CHECK</t>
        </is>
      </c>
      <c r="G450" s="0" t="inlineStr">
        <is>
          <t>GLOBAL_CHECK</t>
        </is>
      </c>
      <c r="H450" s="0" t="inlineStr">
        <is>
          <t>EMA_9_21_FILTER_TFS</t>
        </is>
      </c>
      <c r="I450" s="0" t="inlineStr">
        <is>
          <t>LIVE — wired</t>
        </is>
      </c>
    </row>
    <row r="451" ht="15.75" customHeight="1" s="67">
      <c r="A451" s="0" t="n">
        <v>908</v>
      </c>
      <c r="B451" s="0" t="inlineStr">
        <is>
          <t>KINDERGARTEN_CUMULATIVE_MIN_TFS</t>
        </is>
      </c>
      <c r="C451" s="0" t="inlineStr">
        <is>
          <t>1</t>
        </is>
      </c>
      <c r="D451" s="0" t="inlineStr">
        <is>
          <t>Min TFs that must pass kindergarten checks (1=any, 2=2 TFs agree, 3=3 TFs).</t>
        </is>
      </c>
      <c r="E451" s="0" t="inlineStr">
        <is>
          <t>GLOBAL_CHECK</t>
        </is>
      </c>
      <c r="F451" s="0" t="inlineStr">
        <is>
          <t>GLOBAL_CHECK</t>
        </is>
      </c>
      <c r="G451" s="0" t="inlineStr">
        <is>
          <t>GLOBAL_CHECK</t>
        </is>
      </c>
      <c r="H451" s="0" t="inlineStr">
        <is>
          <t>KINDERGARTEN_CUMULATIVE_MIN_TFS</t>
        </is>
      </c>
      <c r="I451" s="0" t="inlineStr">
        <is>
          <t>LIVE — wired</t>
        </is>
      </c>
    </row>
    <row r="452" ht="15.75" customHeight="1" s="67">
      <c r="A452" s="0" t="n">
        <v>909</v>
      </c>
      <c r="B452" s="0" t="inlineStr">
        <is>
          <t>KINDERGARTEN_CUMULATIVE_MIN_TFS</t>
        </is>
      </c>
      <c r="C452" s="0" t="inlineStr">
        <is>
          <t>2</t>
        </is>
      </c>
      <c r="D452" s="0" t="inlineStr">
        <is>
          <t>Min TFs that must pass kindergarten checks (1=any, 2=2 TFs agree, 3=3 TFs).</t>
        </is>
      </c>
      <c r="E452" s="0" t="inlineStr">
        <is>
          <t>GLOBAL_CHECK</t>
        </is>
      </c>
      <c r="F452" s="0" t="inlineStr">
        <is>
          <t>GLOBAL_CHECK</t>
        </is>
      </c>
      <c r="G452" s="0" t="inlineStr">
        <is>
          <t>GLOBAL_CHECK</t>
        </is>
      </c>
      <c r="H452" s="0" t="inlineStr">
        <is>
          <t>KINDERGARTEN_CUMULATIVE_MIN_TFS</t>
        </is>
      </c>
      <c r="I452" s="0" t="inlineStr">
        <is>
          <t>LIVE — wired</t>
        </is>
      </c>
    </row>
    <row r="453" ht="15.75" customHeight="1" s="67">
      <c r="A453" s="0" t="n">
        <v>910</v>
      </c>
      <c r="B453" s="0" t="inlineStr">
        <is>
          <t>KINDERGARTEN_STRICT_TFS</t>
        </is>
      </c>
      <c r="C453" s="0" t="inlineStr"/>
      <c r="D453" s="0" t="inlineStr">
        <is>
          <t>Strict TF list: when set (e.g. 1h,D), ALL listed TFs must agree (hard gate). Empty=use MIN_TFS count.</t>
        </is>
      </c>
      <c r="E453" s="0" t="inlineStr">
        <is>
          <t>GLOBAL_CHECK</t>
        </is>
      </c>
      <c r="F453" s="0" t="inlineStr">
        <is>
          <t>GLOBAL_CHECK</t>
        </is>
      </c>
      <c r="G453" s="0" t="inlineStr">
        <is>
          <t>GLOBAL_CHECK</t>
        </is>
      </c>
      <c r="H453" s="0" t="inlineStr">
        <is>
          <t>KINDERGARTEN_STRICT_TFS</t>
        </is>
      </c>
      <c r="I453" s="0" t="inlineStr">
        <is>
          <t>LIVE — wired</t>
        </is>
      </c>
    </row>
    <row r="454" ht="15.75" customHeight="1" s="67">
      <c r="A454" s="0" t="n">
        <v>911</v>
      </c>
      <c r="B454" s="0" t="inlineStr">
        <is>
          <t>KINDERGARTEN_STRICT_TFS</t>
        </is>
      </c>
      <c r="C454" s="0" t="inlineStr">
        <is>
          <t>1h,D</t>
        </is>
      </c>
      <c r="D454" s="0" t="inlineStr">
        <is>
          <t>Strict TF list: 1h and D both must agree.</t>
        </is>
      </c>
      <c r="E454" s="0" t="inlineStr">
        <is>
          <t>GLOBAL_CHECK</t>
        </is>
      </c>
      <c r="F454" s="0" t="inlineStr">
        <is>
          <t>GLOBAL_CHECK</t>
        </is>
      </c>
      <c r="G454" s="0" t="inlineStr">
        <is>
          <t>GLOBAL_CHECK</t>
        </is>
      </c>
      <c r="H454" s="0" t="inlineStr">
        <is>
          <t>KINDERGARTEN_STRICT_TFS</t>
        </is>
      </c>
      <c r="I454" s="0" t="inlineStr">
        <is>
          <t>LIVE — wired</t>
        </is>
      </c>
    </row>
    <row r="455" ht="15.75" customHeight="1" s="67">
      <c r="A455" s="0" t="n">
        <v>912</v>
      </c>
      <c r="B455" s="0" t="inlineStr">
        <is>
          <t>WT_SIMPLE_GUARANTEE_ENABLED</t>
        </is>
      </c>
      <c r="C455" s="0" t="inlineStr">
        <is>
          <t>False</t>
        </is>
      </c>
      <c r="D455" s="0" t="inlineStr">
        <is>
          <t>WT simple cross guarantee: when True, forces entry whenever wt1&gt;wt2 regardless of trend filters. Default False (MRVL_SHORT fix).</t>
        </is>
      </c>
      <c r="E455" s="0" t="inlineStr">
        <is>
          <t>ENTRY, GLOBAL_CHECK</t>
        </is>
      </c>
      <c r="F455" s="0" t="inlineStr">
        <is>
          <t>ENTRY, GLOBAL_CHECK</t>
        </is>
      </c>
      <c r="G455" s="0" t="inlineStr">
        <is>
          <t>WT_SIMPLE_GUARANTEE_ENABLED</t>
        </is>
      </c>
      <c r="H455" s="0" t="inlineStr">
        <is>
          <t>SPECIFIC — only gated switches</t>
        </is>
      </c>
      <c r="I455" s="0" t="inlineStr">
        <is>
          <t>LIVE — wired</t>
        </is>
      </c>
    </row>
    <row r="456" ht="15.75" customHeight="1" s="67">
      <c r="A456" s="0" t="n">
        <v>913</v>
      </c>
      <c r="B456" s="0" t="inlineStr">
        <is>
          <t>WT_SIMPLE_GUARANTEE_ENABLED</t>
        </is>
      </c>
      <c r="C456" s="0" t="inlineStr">
        <is>
          <t>True</t>
        </is>
      </c>
      <c r="D456" s="0" t="inlineStr">
        <is>
          <t>WT simple cross guarantee: when True, forces entry whenever wt1&gt;wt2 regardless of trend filters. Default False (MRVL_SHORT fix).</t>
        </is>
      </c>
      <c r="E456" s="0" t="inlineStr">
        <is>
          <t>ENTRY, GLOBAL_CHECK</t>
        </is>
      </c>
      <c r="F456" s="0" t="inlineStr">
        <is>
          <t>ENTRY, GLOBAL_CHECK</t>
        </is>
      </c>
      <c r="G456" s="0" t="inlineStr">
        <is>
          <t>WT_SIMPLE_GUARANTEE_ENABLED</t>
        </is>
      </c>
      <c r="H456" s="0" t="inlineStr">
        <is>
          <t>SPECIFIC — only gated switches</t>
        </is>
      </c>
      <c r="I456" s="0" t="inlineStr">
        <is>
          <t>LIVE — wired</t>
        </is>
      </c>
    </row>
    <row r="457" ht="15.75" customHeight="1" s="67">
      <c r="A457" s="0" t="n">
        <v>914</v>
      </c>
      <c r="B457" s="0" t="inlineStr">
        <is>
          <t>FORCE_MIN_ONE_TRADE</t>
        </is>
      </c>
      <c r="C457" s="0" t="inlineStr">
        <is>
          <t>False</t>
        </is>
      </c>
      <c r="D457" s="0" t="inlineStr">
        <is>
          <t>Force min one trade: when True, forces 1 trade at first bar even if gated to 0. Default False.</t>
        </is>
      </c>
      <c r="E457" s="0" t="inlineStr">
        <is>
          <t>GLOBAL_CHECK</t>
        </is>
      </c>
      <c r="F457" s="0" t="inlineStr">
        <is>
          <t>GLOBAL_CHECK</t>
        </is>
      </c>
      <c r="G457" s="0" t="inlineStr">
        <is>
          <t>GLOBAL_CHECK</t>
        </is>
      </c>
      <c r="H457" s="0" t="inlineStr">
        <is>
          <t>FORCE_MIN_ONE_TRADE</t>
        </is>
      </c>
      <c r="I457" s="0" t="inlineStr">
        <is>
          <t>LIVE — wired</t>
        </is>
      </c>
    </row>
    <row r="458" ht="15.75" customHeight="1" s="67">
      <c r="A458" s="0" t="n">
        <v>915</v>
      </c>
      <c r="B458" s="0" t="inlineStr">
        <is>
          <t>FORCE_MIN_ONE_TRADE</t>
        </is>
      </c>
      <c r="C458" s="0" t="inlineStr">
        <is>
          <t>True</t>
        </is>
      </c>
      <c r="D458" s="0" t="inlineStr">
        <is>
          <t>Force min one trade: when True, forces 1 trade at first bar even if gated to 0. Default False.</t>
        </is>
      </c>
      <c r="E458" s="0" t="inlineStr">
        <is>
          <t>GLOBAL_CHECK</t>
        </is>
      </c>
      <c r="F458" s="0" t="inlineStr">
        <is>
          <t>GLOBAL_CHECK</t>
        </is>
      </c>
      <c r="G458" s="0" t="inlineStr">
        <is>
          <t>GLOBAL_CHECK</t>
        </is>
      </c>
      <c r="H458" s="0" t="inlineStr">
        <is>
          <t>FORCE_MIN_ONE_TRADE</t>
        </is>
      </c>
      <c r="I458" s="0" t="inlineStr">
        <is>
          <t>LIVE — wired</t>
        </is>
      </c>
    </row>
    <row r="459" ht="15.75" customHeight="1" s="67">
      <c r="A459" t="n">
        <v>458</v>
      </c>
      <c r="B459" t="inlineStr">
        <is>
          <t>EMA_50_200_FILTER_ENABLED</t>
        </is>
      </c>
      <c r="C459" t="inlineStr">
        <is>
          <t>False</t>
        </is>
      </c>
      <c r="D459" t="inlineStr">
        <is>
          <t>EMA 50/200 gate: False=off, True=require 50 above 200 on TF for LONG (reverse SHORT). Cumulate with 9/21 per MIN_TFS.</t>
        </is>
      </c>
      <c r="E459" t="inlineStr">
        <is>
          <t>ENTRY, GLOBAL_CHECK</t>
        </is>
      </c>
      <c r="F459" t="inlineStr">
        <is>
          <t>ENTRY, GLOBAL_CHECK</t>
        </is>
      </c>
      <c r="G459" t="inlineStr">
        <is>
          <t>EMA_50_200_FILTER_ENABLED</t>
        </is>
      </c>
      <c r="H459" t="inlineStr">
        <is>
          <t>SPECIFIC — only gated switches</t>
        </is>
      </c>
      <c r="I459" t="inlineStr">
        <is>
          <t>LIVE — wired</t>
        </is>
      </c>
    </row>
    <row r="460" ht="15.75" customHeight="1" s="67">
      <c r="A460" t="n">
        <v>459</v>
      </c>
      <c r="B460" t="inlineStr">
        <is>
          <t>EMA_50_200_FILTER_ENABLED</t>
        </is>
      </c>
      <c r="C460" t="inlineStr">
        <is>
          <t>True</t>
        </is>
      </c>
      <c r="D460" t="inlineStr">
        <is>
          <t>EMA 50/200 gate: False=off, True=require 50 above 200 on TF for LONG (reverse SHORT). Cumulate with 9/21 per MIN_TFS.</t>
        </is>
      </c>
      <c r="E460" t="inlineStr">
        <is>
          <t>ENTRY, GLOBAL_CHECK</t>
        </is>
      </c>
      <c r="F460" t="inlineStr">
        <is>
          <t>ENTRY, GLOBAL_CHECK</t>
        </is>
      </c>
      <c r="G460" t="inlineStr">
        <is>
          <t>EMA_50_200_FILTER_ENABLED</t>
        </is>
      </c>
      <c r="H460" t="inlineStr">
        <is>
          <t>SPECIFIC — only gated switches</t>
        </is>
      </c>
      <c r="I460" t="inlineStr">
        <is>
          <t>LIVE — wired</t>
        </is>
      </c>
    </row>
    <row r="461" ht="15.75" customHeight="1" s="67">
      <c r="A461" t="n">
        <v>460</v>
      </c>
      <c r="B461" t="inlineStr">
        <is>
          <t>EMA_50_200_TFS</t>
        </is>
      </c>
      <c r="C461" t="inlineStr">
        <is>
          <t>D</t>
        </is>
      </c>
      <c r="D461" t="inlineStr">
        <is>
          <t>TF list for 50/200: D only (daily trend).</t>
        </is>
      </c>
      <c r="E461" t="inlineStr">
        <is>
          <t>GLOBAL_CHECK</t>
        </is>
      </c>
      <c r="F461" t="inlineStr">
        <is>
          <t>GLOBAL_CHECK</t>
        </is>
      </c>
      <c r="G461" t="inlineStr">
        <is>
          <t>GLOBAL_CHECK</t>
        </is>
      </c>
      <c r="H461" t="inlineStr">
        <is>
          <t>EMA_50_200_TFS</t>
        </is>
      </c>
      <c r="I461" t="inlineStr">
        <is>
          <t>SPECIFIC — only gated switches</t>
        </is>
      </c>
    </row>
    <row r="462" ht="15.75" customHeight="1" s="67">
      <c r="A462" t="n">
        <v>461</v>
      </c>
      <c r="B462" t="inlineStr">
        <is>
          <t>EMA_50_200_TFS</t>
        </is>
      </c>
      <c r="C462" t="inlineStr">
        <is>
          <t>1h,D</t>
        </is>
      </c>
      <c r="D462" t="inlineStr">
        <is>
          <t>TF list for 50/200: 1h,D both must agree.</t>
        </is>
      </c>
      <c r="E462" t="inlineStr">
        <is>
          <t>GLOBAL_CHECK</t>
        </is>
      </c>
      <c r="F462" t="inlineStr">
        <is>
          <t>GLOBAL_CHECK</t>
        </is>
      </c>
      <c r="G462" t="inlineStr">
        <is>
          <t>GLOBAL_CHECK</t>
        </is>
      </c>
      <c r="H462" t="inlineStr">
        <is>
          <t>EMA_50_200_TFS</t>
        </is>
      </c>
      <c r="I462" t="inlineStr">
        <is>
          <t>SPECIFIC — only gated switches</t>
        </is>
      </c>
    </row>
    <row r="463" ht="15.75" customHeight="1" s="67">
      <c r="A463" t="n">
        <v>462</v>
      </c>
      <c r="B463" t="inlineStr">
        <is>
          <t>EMA_50_200_TFS</t>
        </is>
      </c>
      <c r="C463" t="inlineStr">
        <is>
          <t>15m,1h,4h</t>
        </is>
      </c>
      <c r="D463" t="inlineStr">
        <is>
          <t>TF list for 50/200: 15m+1h+4h triple.</t>
        </is>
      </c>
      <c r="E463" t="inlineStr">
        <is>
          <t>GLOBAL_CHECK</t>
        </is>
      </c>
      <c r="F463" t="inlineStr">
        <is>
          <t>GLOBAL_CHECK</t>
        </is>
      </c>
      <c r="G463" t="inlineStr">
        <is>
          <t>GLOBAL_CHECK</t>
        </is>
      </c>
      <c r="H463" t="inlineStr">
        <is>
          <t>EMA_50_200_TFS</t>
        </is>
      </c>
      <c r="I463" t="inlineStr">
        <is>
          <t>SPECIFIC — only gated switches</t>
        </is>
      </c>
    </row>
    <row r="464" ht="15.75" customHeight="1" s="67">
      <c r="A464" t="n">
        <v>463</v>
      </c>
      <c r="B464" t="inlineStr">
        <is>
          <t>SMA_50_FILTER_ENABLED</t>
        </is>
      </c>
      <c r="C464" t="inlineStr">
        <is>
          <t>False</t>
        </is>
      </c>
      <c r="D464" t="inlineStr">
        <is>
          <t>SMA 50 gate: False=off, True=require close&gt; SMA50 on TF for LONG. Category 50/50.</t>
        </is>
      </c>
      <c r="E464" t="inlineStr">
        <is>
          <t>ENTRY, GLOBAL_CHECK</t>
        </is>
      </c>
      <c r="F464" t="inlineStr">
        <is>
          <t>ENTRY, GLOBAL_CHECK</t>
        </is>
      </c>
      <c r="G464" t="inlineStr">
        <is>
          <t>SMA_50_FILTER_ENABLED</t>
        </is>
      </c>
      <c r="H464" t="inlineStr">
        <is>
          <t>SPECIFIC — only gated switches</t>
        </is>
      </c>
      <c r="I464" t="inlineStr">
        <is>
          <t>LIVE — wired</t>
        </is>
      </c>
    </row>
    <row r="465" ht="15.75" customHeight="1" s="67">
      <c r="A465" t="n">
        <v>464</v>
      </c>
      <c r="B465" t="inlineStr">
        <is>
          <t>SMA_50_FILTER_ENABLED</t>
        </is>
      </c>
      <c r="C465" t="inlineStr">
        <is>
          <t>True</t>
        </is>
      </c>
      <c r="D465" t="inlineStr">
        <is>
          <t>SMA 50 gate: False=off, True=require close&gt; SMA50 on TF for LONG. Category 50/50.</t>
        </is>
      </c>
      <c r="E465" t="inlineStr">
        <is>
          <t>ENTRY, GLOBAL_CHECK</t>
        </is>
      </c>
      <c r="F465" t="inlineStr">
        <is>
          <t>ENTRY, GLOBAL_CHECK</t>
        </is>
      </c>
      <c r="G465" t="inlineStr">
        <is>
          <t>SMA_50_FILTER_ENABLED</t>
        </is>
      </c>
      <c r="H465" t="inlineStr">
        <is>
          <t>SPECIFIC — only gated switches</t>
        </is>
      </c>
      <c r="I465" t="inlineStr">
        <is>
          <t>LIVE — wired</t>
        </is>
      </c>
    </row>
    <row r="466" ht="15.75" customHeight="1" s="67">
      <c r="A466" t="n">
        <v>465</v>
      </c>
      <c r="B466" t="inlineStr">
        <is>
          <t>SMA_200_FILTER_ENABLED</t>
        </is>
      </c>
      <c r="C466" t="inlineStr">
        <is>
          <t>False</t>
        </is>
      </c>
      <c r="D466" t="inlineStr">
        <is>
          <t>SMA 200 gate: False=off, True=require close&gt; SMA200 on TF for LONG. Category 50/50.</t>
        </is>
      </c>
      <c r="E466" t="inlineStr">
        <is>
          <t>ENTRY, GLOBAL_CHECK</t>
        </is>
      </c>
      <c r="F466" t="inlineStr">
        <is>
          <t>ENTRY, GLOBAL_CHECK</t>
        </is>
      </c>
      <c r="G466" t="inlineStr">
        <is>
          <t>SMA_200_FILTER_ENABLED</t>
        </is>
      </c>
      <c r="H466" t="inlineStr">
        <is>
          <t>SPECIFIC — only gated switches</t>
        </is>
      </c>
      <c r="I466" t="inlineStr">
        <is>
          <t>LIVE — wired</t>
        </is>
      </c>
    </row>
    <row r="467" ht="15.75" customHeight="1" s="67">
      <c r="A467" t="n">
        <v>466</v>
      </c>
      <c r="B467" t="inlineStr">
        <is>
          <t>SMA_200_FILTER_ENABLED</t>
        </is>
      </c>
      <c r="C467" t="inlineStr">
        <is>
          <t>True</t>
        </is>
      </c>
      <c r="D467" t="inlineStr">
        <is>
          <t>SMA 200 gate: False=off, True=require close&gt; SMA200 on TF for LONG. Category 50/50.</t>
        </is>
      </c>
      <c r="E467" t="inlineStr">
        <is>
          <t>ENTRY, GLOBAL_CHECK</t>
        </is>
      </c>
      <c r="F467" t="inlineStr">
        <is>
          <t>ENTRY, GLOBAL_CHECK</t>
        </is>
      </c>
      <c r="G467" t="inlineStr">
        <is>
          <t>SMA_200_FILTER_ENABLED</t>
        </is>
      </c>
      <c r="H467" t="inlineStr">
        <is>
          <t>SPECIFIC — only gated switches</t>
        </is>
      </c>
      <c r="I467" t="inlineStr">
        <is>
          <t>LIVE — wired</t>
        </is>
      </c>
    </row>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2026-09-19T01:33:54Z</dcterms:modified>
</cp:coreProperties>
</file>