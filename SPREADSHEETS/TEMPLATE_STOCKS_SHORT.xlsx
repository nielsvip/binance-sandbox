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BB_PULLBACK_GATE_TF</t>
        </is>
      </c>
      <c r="B6" s="26" t="inlineStr">
        <is>
          <t>OFF</t>
        </is>
      </c>
      <c r="C6" s="26" t="n"/>
      <c r="D6" s="26" t="n"/>
      <c r="E6" s="26">
        <f>IF(G7="",E5,IF(G7&gt;0,E5+G7,E5))</f>
        <v/>
      </c>
      <c r="F6" s="26" t="n"/>
      <c r="G6" s="26">
        <f>IFERROR(VLOOKUP($A7&amp;"_"&amp;$B7,Results_Deltas!$A$2:$P$15000,5,FALSE),"")</f>
        <v/>
      </c>
      <c r="H6" s="26">
        <f>IFERROR(VLOOKUP($A7,Results_30d_Deltas!$A$2:$H$5000,7,FALSE)-E5,"")</f>
        <v/>
      </c>
      <c r="I6" s="26">
        <f>IFERROR(VLOOKUP($A7,Results_30d_Deltas!$A$2:$H$5000,6,FALSE),"")</f>
        <v/>
      </c>
      <c r="J6" s="26" t="n"/>
      <c r="K6" s="26" t="n"/>
      <c r="L6" s="26" t="inlineStr">
        <is>
          <t>NO</t>
        </is>
      </c>
      <c r="M6" s="32" t="n"/>
      <c r="N6" s="33" t="n"/>
      <c r="O6" s="33" t="n"/>
      <c r="P6" s="33" t="n"/>
      <c r="Q6" s="33" t="n"/>
      <c r="R6" s="33" t="n"/>
      <c r="S6" s="33" t="n"/>
      <c r="T6" s="33" t="n"/>
      <c r="U6" s="33" t="n"/>
      <c r="V6" s="33" t="n"/>
      <c r="W6" s="33" t="n"/>
      <c r="X6" s="34" t="n"/>
      <c r="Y6" s="34" t="n"/>
      <c r="Z6" s="34" t="n"/>
      <c r="AA6" s="34" t="n"/>
      <c r="AB6" s="34"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ez_manage.py:4361 top()</t>
        </is>
      </c>
      <c r="IM6" s="26" t="inlineStr">
        <is>
          <t>v12_quick_engine.py:288 x12</t>
        </is>
      </c>
      <c r="IN6" s="26" t="n"/>
    </row>
    <row r="7" ht="10.5" customHeight="1" s="67">
      <c r="A7" s="26" t="inlineStr">
        <is>
          <t>BB_PULLBACK_GATE_TF</t>
        </is>
      </c>
      <c r="B7" s="26" t="inlineStr">
        <is>
          <t>D</t>
        </is>
      </c>
      <c r="C7" s="26" t="n"/>
      <c r="D7" s="26" t="n"/>
      <c r="E7" s="26">
        <f>IF(G8="",E7,IF(G8&gt;0,E7+G8,E7))</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4h</t>
        </is>
      </c>
      <c r="C8" s="26" t="n"/>
      <c r="D8" s="26" t="n"/>
      <c r="E8" s="26">
        <f>IF(G9="",E8,IF(G9&gt;0,E8+G9,E8))</f>
        <v/>
      </c>
      <c r="F8" s="26" t="n"/>
      <c r="G8" s="26">
        <f>IFERROR(VLOOKUP($A9&amp;"_"&amp;$B9,Results_Deltas!$A$2:$P$15000,5,FALSE),"")</f>
        <v/>
      </c>
      <c r="H8" s="26">
        <f>IFERROR(VLOOKUP($A9,Results_30d_Deltas!$A$2:$H$5000,7,FALSE)-E8,"")</f>
        <v/>
      </c>
      <c r="I8" s="26">
        <f>IFERROR(VLOOKUP($A9,Results_30d_Deltas!$A$2:$H$5000,6,FALSE),"")</f>
        <v/>
      </c>
      <c r="J8" s="26" t="n"/>
      <c r="K8" s="26" t="n"/>
      <c r="L8" s="26" t="inlineStr">
        <is>
          <t>NO</t>
        </is>
      </c>
      <c r="M8" s="32" t="n"/>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1h</t>
        </is>
      </c>
      <c r="C9" s="26" t="n"/>
      <c r="D9" s="26" t="n"/>
      <c r="E9" s="26">
        <f>IF(G10="",E9,IF(G10&gt;0,E9+G10,E9))</f>
        <v/>
      </c>
      <c r="F9" s="26" t="n"/>
      <c r="G9" s="26">
        <f>IFERROR(VLOOKUP($A10&amp;"_"&amp;$B10,Results_Deltas!$A$2:$P$15000,5,FALSE),"")</f>
        <v/>
      </c>
      <c r="H9" s="26">
        <f>IFERROR(VLOOKUP($A10,Results_30d_Deltas!$A$2:$H$5000,7,FALSE)-E9,"")</f>
        <v/>
      </c>
      <c r="I9" s="26">
        <f>IFERROR(VLOOKUP($A10,Results_30d_Deltas!$A$2:$H$5000,6,FALSE),"")</f>
        <v/>
      </c>
      <c r="J9" s="26" t="n"/>
      <c r="K9" s="26" t="n"/>
      <c r="L9" s="26" t="inlineStr">
        <is>
          <t>NO</t>
        </is>
      </c>
      <c r="M9" s="32" t="n"/>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7" t="inlineStr">
        <is>
          <t>BB_PULLBACK_GATE_TF</t>
        </is>
      </c>
      <c r="B10" s="27" t="inlineStr">
        <is>
          <t>15m</t>
        </is>
      </c>
      <c r="C10" s="26" t="n"/>
      <c r="D10" s="26" t="n"/>
      <c r="E10" s="26">
        <f>IF(G11="",E10,IF(G11&gt;0,E10+G11,E10))</f>
        <v/>
      </c>
      <c r="F10" s="26" t="n"/>
      <c r="G10" s="26">
        <f>IFERROR(VLOOKUP($A11&amp;"_"&amp;$B11,Results_Deltas!$A$2:$P$15000,5,FALSE),"")</f>
        <v/>
      </c>
      <c r="H10" s="26">
        <f>IFERROR(VLOOKUP($A11,Results_30d_Deltas!$A$2:$H$5000,7,FALSE)-E10,"")</f>
        <v/>
      </c>
      <c r="I10" s="26">
        <f>IFERROR(VLOOKUP($A11,Results_30d_Deltas!$A$2:$H$5000,6,FALSE),"")</f>
        <v/>
      </c>
      <c r="J10" s="26" t="n"/>
      <c r="K10" s="26" t="n"/>
      <c r="L10" s="26" t="inlineStr">
        <is>
          <t>YES</t>
        </is>
      </c>
      <c r="M10" s="32" t="n"/>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WT_MOMENTUM_EXIT_THRESHOLD</t>
        </is>
      </c>
      <c r="B11" s="27" t="inlineStr">
        <is>
          <t>1</t>
        </is>
      </c>
      <c r="C11" s="26" t="n"/>
      <c r="D11" s="26" t="n"/>
      <c r="E11" s="26">
        <f>IF(G22="",E21,IF(G22&gt;0,E21+G22,E21))</f>
        <v/>
      </c>
      <c r="F11" s="26" t="n"/>
      <c r="G11" s="26">
        <f>IFERROR(VLOOKUP($A22&amp;"_"&amp;$B22,Results_Deltas!$A$2:$P$15000,5,FALSE),"")</f>
        <v/>
      </c>
      <c r="H11" s="26">
        <f>IFERROR(VLOOKUP($A22,Results_30d_Deltas!$A$2:$H$5000,7,FALSE)-E21,"")</f>
        <v/>
      </c>
      <c r="I11" s="26">
        <f>IFERROR(VLOOKUP($A22,Results_30d_Deltas!$A$2:$H$5000,6,FALSE),"")</f>
        <v/>
      </c>
      <c r="J11" s="26" t="n"/>
      <c r="K11" s="26" t="n"/>
      <c r="L11" s="26" t="inlineStr">
        <is>
          <t>YES</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4" t="n"/>
      <c r="BW11" s="34" t="n"/>
      <c r="BX11" s="34" t="n"/>
      <c r="BY11" s="34" t="n"/>
      <c r="BZ11" s="34"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4" t="n"/>
      <c r="DU11" s="34" t="n"/>
      <c r="DV11" s="34" t="n"/>
      <c r="DW11" s="34" t="n"/>
      <c r="DX11" s="34"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4" t="n"/>
      <c r="GB11" s="34" t="n"/>
      <c r="GC11" s="34" t="n"/>
      <c r="GD11" s="34" t="n"/>
      <c r="GE11" s="34"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ez_manage.py:6087 top()</t>
        </is>
      </c>
      <c r="IM11" s="26" t="inlineStr">
        <is>
          <t>v12_quick_engine.py:4293 x3</t>
        </is>
      </c>
      <c r="IN11" s="26" t="n"/>
    </row>
    <row r="12" ht="10.5" customHeight="1" s="67">
      <c r="A12" s="27" t="inlineStr">
        <is>
          <t>WT_ACCEL_EXIT_ENABLED</t>
        </is>
      </c>
      <c r="B12" s="27" t="inlineStr">
        <is>
          <t>False</t>
        </is>
      </c>
      <c r="C12" s="26" t="n"/>
      <c r="D12" s="26" t="n"/>
      <c r="E12" s="26">
        <f>IF(G24="",E23,IF(G24&gt;0,E23+G24,E23))</f>
        <v/>
      </c>
      <c r="F12" s="26" t="n"/>
      <c r="G12" s="26">
        <f>IFERROR(VLOOKUP($A24&amp;"_"&amp;$B24,Results_Deltas!$A$2:$P$15000,5,FALSE),"")</f>
        <v/>
      </c>
      <c r="H12" s="26">
        <f>IFERROR(VLOOKUP($A24,Results_30d_Deltas!$A$2:$H$5000,7,FALSE)-E23,"")</f>
        <v/>
      </c>
      <c r="I12" s="26">
        <f>IFERROR(VLOOKUP($A24,Results_30d_Deltas!$A$2:$H$5000,6,FALSE),"")</f>
        <v/>
      </c>
      <c r="J12" s="26" t="n"/>
      <c r="K12" s="26" t="n"/>
      <c r="L12" s="26" t="inlineStr">
        <is>
          <t>YES</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4" t="n"/>
      <c r="HZ12" s="34" t="n"/>
      <c r="IA12" s="34" t="n"/>
      <c r="IB12" s="34" t="n"/>
      <c r="IC12" s="34" t="n"/>
      <c r="ID12" s="34" t="n"/>
      <c r="IE12" s="34" t="n"/>
      <c r="IF12" s="34" t="n"/>
      <c r="IG12" s="34" t="n"/>
      <c r="IH12" s="34" t="n"/>
      <c r="II12" s="34" t="n"/>
      <c r="IJ12" s="34" t="n"/>
      <c r="IK12" s="26" t="n"/>
      <c r="IL12" s="26" t="inlineStr">
        <is>
          <t>ez_manage.py:6083 top()</t>
        </is>
      </c>
      <c r="IM12" s="26" t="inlineStr">
        <is>
          <t>v12_quick_engine.py:4290 x3</t>
        </is>
      </c>
      <c r="IN12" s="26" t="n"/>
    </row>
    <row r="13" ht="10.5" customHeight="1" s="67">
      <c r="A13" s="37" t="inlineStr">
        <is>
          <t>ADX_RANGING_THRESHOLD</t>
        </is>
      </c>
      <c r="B13" s="38" t="inlineStr">
        <is>
          <t>15</t>
        </is>
      </c>
      <c r="C13" s="38" t="n"/>
      <c r="D13" s="38" t="inlineStr">
        <is>
          <t>ENTRY, GLOBAL_CHECK, STOCKS_EXIT</t>
        </is>
      </c>
      <c r="E13" s="38">
        <f>IF(G28="",E27,IF(G28&gt;0,E27+G28,E27))</f>
        <v/>
      </c>
      <c r="F13" s="26" t="n"/>
      <c r="G13" s="38">
        <f>IFERROR(VLOOKUP($A28&amp;"_"&amp;$B28,Results_Deltas!$A$2:$P$15000,5,FALSE),"")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BAND_ARROW_ENABLED</t>
        </is>
      </c>
      <c r="B14" s="38" t="inlineStr">
        <is>
          <t>True</t>
        </is>
      </c>
      <c r="C14" s="38" t="n"/>
      <c r="D14" s="38" t="inlineStr">
        <is>
          <t>GLOBAL_CHECK, STOCKS_EXIT</t>
        </is>
      </c>
      <c r="E14" s="38">
        <f>IF(G35="",E34,IF(G35&gt;0,E34+G35,E34))</f>
        <v/>
      </c>
      <c r="F14" s="26" t="n"/>
      <c r="G14" s="38">
        <f>IFERROR(VLOOKUP($A35&amp;"_"&amp;$B35,Results_Deltas!$A$2:$P$15000,5,FALSE),"")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CRYPTO_SPIKE_FADE_THRESHOLD_PCT</t>
        </is>
      </c>
      <c r="B15" s="38" t="inlineStr">
        <is>
          <t>5</t>
        </is>
      </c>
      <c r="C15" s="38" t="n"/>
      <c r="D15" s="38" t="inlineStr">
        <is>
          <t>GLOBAL_CHECK, STOCKS_EXIT</t>
        </is>
      </c>
      <c r="E15" s="38">
        <f>IF(G50="",E49,IF(G50&gt;0,E49+G50,E49))</f>
        <v/>
      </c>
      <c r="F15" s="26" t="n"/>
      <c r="G15" s="38">
        <f>IFERROR(VLOOKUP($A50&amp;"_"&amp;$B50,Results_Deltas!$A$2:$P$15000,5,FALSE),"")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DC_MOMENT_STRONG_THRESHOLD</t>
        </is>
      </c>
      <c r="B16" s="38" t="inlineStr">
        <is>
          <t>50</t>
        </is>
      </c>
      <c r="C16" s="38" t="n"/>
      <c r="D16" s="38" t="inlineStr">
        <is>
          <t>ENTRY, GLOBAL_CHECK, STOCKS_EXIT</t>
        </is>
      </c>
      <c r="E16" s="38">
        <f>IF(G52="",E51,IF(G52&gt;0,E51+G52,E51))</f>
        <v/>
      </c>
      <c r="F16" s="26" t="n"/>
      <c r="G16" s="38">
        <f>IFERROR(VLOOKUP($A52&amp;"_"&amp;$B52,Results_Deltas!$A$2:$P$15000,5,FALSE),"")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9" t="inlineStr">
        <is>
          <t>DELTA_REENTRY_FILTER_ENABLED</t>
        </is>
      </c>
      <c r="B17" s="40" t="inlineStr">
        <is>
          <t>False</t>
        </is>
      </c>
      <c r="C17" s="38" t="n"/>
      <c r="D17" s="38" t="inlineStr">
        <is>
          <t>ENTRY, GLOBAL_CHECK, STOCKS_EXIT</t>
        </is>
      </c>
      <c r="E17" s="38">
        <f>IF(G57="",E56,IF(G57&gt;0,E56+G57,E56))</f>
        <v/>
      </c>
      <c r="F17" s="26" t="n"/>
      <c r="G17" s="38">
        <f>IFERROR(VLOOKUP($A57&amp;"_"&amp;$B57,Results_Deltas!$A$2:$P$15000,5,FALSE),"")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DELTA_REENTRY_FILTER_ENABLED</t>
        </is>
      </c>
      <c r="B18" s="38" t="inlineStr">
        <is>
          <t>True</t>
        </is>
      </c>
      <c r="C18" s="38" t="n"/>
      <c r="D18" s="38" t="inlineStr">
        <is>
          <t>ENTRY, GLOBAL_CHECK, STOCKS_EXIT</t>
        </is>
      </c>
      <c r="E18" s="38">
        <f>IF(G58="",E57,IF(G58&gt;0,E57+G58,E57))</f>
        <v/>
      </c>
      <c r="F18" s="26" t="n"/>
      <c r="G18" s="38">
        <f>IFERROR(VLOOKUP($A58&amp;"_"&amp;$B58,Results_Deltas!$A$2:$P$15000,5,FALSE),"")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DUP_GUARD_FILTER_TF</t>
        </is>
      </c>
      <c r="B19" s="38" t="inlineStr">
        <is>
          <t>1h</t>
        </is>
      </c>
      <c r="C19" s="38" t="n"/>
      <c r="D19" s="38" t="inlineStr">
        <is>
          <t>GLOBAL_CHECK</t>
        </is>
      </c>
      <c r="E19" s="38">
        <f>IF(G62="",E61,IF(G62&gt;0,E61+G62,E61))</f>
        <v/>
      </c>
      <c r="F19" s="26" t="n"/>
      <c r="G19" s="38">
        <f>IFERROR(VLOOKUP($A62&amp;"_"&amp;$B62,Results_Deltas!$A$2:$P$15000,5,FALSE),"")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FUNDING_GATE_FILTER_TF</t>
        </is>
      </c>
      <c r="B20" s="38" t="inlineStr">
        <is>
          <t>4h</t>
        </is>
      </c>
      <c r="C20" s="38" t="n"/>
      <c r="D20" s="38" t="inlineStr">
        <is>
          <t>GLOBAL_CHECK</t>
        </is>
      </c>
      <c r="E20" s="38">
        <f>IF(G86="",E85,IF(G86&gt;0,E85+G86,E85))</f>
        <v/>
      </c>
      <c r="F20" s="26" t="n"/>
      <c r="G20" s="38">
        <f>IFERROR(VLOOKUP($A86&amp;"_"&amp;$B86,Results_Deltas!$A$2:$P$15000,5,FALSE),"")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9" t="inlineStr">
        <is>
          <t>HTF_TREND_VETO_BYPASS_ENABLED</t>
        </is>
      </c>
      <c r="B21" s="40" t="inlineStr">
        <is>
          <t>True</t>
        </is>
      </c>
      <c r="C21" s="38" t="n"/>
      <c r="D21" s="38" t="inlineStr">
        <is>
          <t>GLOBAL_CHECK, STOCKS_EXIT</t>
        </is>
      </c>
      <c r="E21" s="38">
        <f>IF(G131="",E130,IF(G131&gt;0,E130+G131,E130))</f>
        <v/>
      </c>
      <c r="F21" s="26" t="n"/>
      <c r="G21" s="38">
        <f>IFERROR(VLOOKUP($A131&amp;"_"&amp;$B131,Results_Deltas!$A$2:$P$15000,5,FALSE),"")</f>
        <v/>
      </c>
      <c r="H21" s="38" t="inlineStr">
        <is>
          <t>Blanket (page end)</t>
        </is>
      </c>
      <c r="I21" s="26" t="n"/>
      <c r="J21" s="26" t="n"/>
      <c r="K21" s="26" t="n"/>
      <c r="L21" s="26" t="inlineStr">
        <is>
          <t>YES</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LH_HL_FILTER_ENABLED</t>
        </is>
      </c>
      <c r="B22" s="38" t="inlineStr">
        <is>
          <t>True</t>
        </is>
      </c>
      <c r="C22" s="38" t="n"/>
      <c r="D22" s="38" t="inlineStr">
        <is>
          <t>ENTRY, GLOBAL_CHECK, STOCKS_EXIT</t>
        </is>
      </c>
      <c r="E22" s="38">
        <f>IF(G137="",E136,IF(G137&gt;0,E136+G137,E136))</f>
        <v/>
      </c>
      <c r="F22" s="26" t="n"/>
      <c r="G22" s="38">
        <f>IFERROR(VLOOKUP($A137&amp;"_"&amp;$B137,Results_Deltas!$A$2:$P$15000,5,FALSE),"")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9" t="inlineStr">
        <is>
          <t>LH_HL_FILTER_MODE</t>
        </is>
      </c>
      <c r="B23" s="40" t="inlineStr">
        <is>
          <t>STRICT_2BAR</t>
        </is>
      </c>
      <c r="C23" s="38" t="n"/>
      <c r="D23" s="38" t="inlineStr">
        <is>
          <t>ENTRY, GLOBAL_CHECK, STOCKS_EXIT</t>
        </is>
      </c>
      <c r="E23" s="38">
        <f>IF(G138="",E137,IF(G138&gt;0,E137+G138,E137))</f>
        <v/>
      </c>
      <c r="F23" s="26" t="n"/>
      <c r="G23" s="38">
        <f>IFERROR(VLOOKUP($A138&amp;"_"&amp;$B138,Results_Deltas!$A$2:$P$15000,5,FALSE),"")</f>
        <v/>
      </c>
      <c r="H23" s="38" t="inlineStr">
        <is>
          <t>Blanket (page end)</t>
        </is>
      </c>
      <c r="I23" s="26" t="n"/>
      <c r="J23" s="26" t="n"/>
      <c r="K23" s="26" t="n"/>
      <c r="L23" s="26" t="inlineStr">
        <is>
          <t>YES</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L24" s="35" t="inlineStr">
        <is>
          <t>NO</t>
        </is>
      </c>
    </row>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7" t="inlineStr">
        <is>
          <t>STDEV_SLOPE_SIZING_MODE</t>
        </is>
      </c>
      <c r="B3" s="27" t="inlineStr">
        <is>
          <t>slope_to_top</t>
        </is>
      </c>
      <c r="C3" s="26" t="n"/>
      <c r="D3" s="26" t="inlineStr">
        <is>
          <t>STDEV_LADDER</t>
        </is>
      </c>
      <c r="E3" s="26">
        <f>IF(G18="",E17,IF(G18&gt;0,E17+G18,E17))</f>
        <v/>
      </c>
      <c r="F3" s="26" t="n"/>
      <c r="G3" s="26">
        <f>IFERROR(VLOOKUP($A18&amp;"_"&amp;$B18,Results_Deltas!$A$2:$P$15000,5,FALSE),"")</f>
        <v/>
      </c>
      <c r="H3" s="26">
        <f>IFERROR(VLOOKUP($A3,Results_30d_Deltas!$A$2:$H$5000,7,FALSE)-E3,"")</f>
        <v/>
      </c>
      <c r="I3" s="26" t="n"/>
      <c r="J3" s="26" t="n"/>
      <c r="K3" s="26" t="n"/>
      <c r="L3" s="26" t="inlineStr">
        <is>
          <t>YES</t>
        </is>
      </c>
    </row>
    <row r="4">
      <c r="A4" s="35" t="inlineStr">
        <is>
          <t>STDEV_SLOPE_SIZING_ENABLED</t>
        </is>
      </c>
      <c r="B4" s="35" t="b">
        <v>0</v>
      </c>
      <c r="D4" s="35" t="inlineStr">
        <is>
          <t>STDEV_LADDER</t>
        </is>
      </c>
      <c r="E4" s="35">
        <f>IF(G20="",E19,IF(G20&gt;0,E19+G20,E19))</f>
        <v/>
      </c>
      <c r="F4" s="35">
        <f>IFERROR(VLOOKUP($A20&amp;"="&amp;$B20,Results_Deltas!$A$2:$P$15000,5,FALSE),"")</f>
        <v/>
      </c>
      <c r="G4" s="35">
        <f>IFERROR(VLOOKUP($A20,Results_30d_Deltas!$A$2:$H$5000,7,FALSE)-E20,"")</f>
        <v/>
      </c>
      <c r="H4" s="35">
        <f>IFERROR(VLOOKUP($A20,Results_30d_Deltas!$A$2:$H$5000,6,FALSE),"")</f>
        <v/>
      </c>
      <c r="L4" s="35" t="inlineStr">
        <is>
          <t>NO</t>
        </is>
      </c>
    </row>
    <row r="5">
      <c r="A5" s="35" t="inlineStr">
        <is>
          <t>BAND_SLOPE_SIZING_V2_TF</t>
        </is>
      </c>
      <c r="B5" s="35" t="inlineStr">
        <is>
          <t>4h</t>
        </is>
      </c>
      <c r="D5" s="35" t="inlineStr">
        <is>
          <t>STDEV_LADDER</t>
        </is>
      </c>
      <c r="E5" s="35">
        <f>IF(G27="",E26,IF(G27&gt;0,E26+G27,E26))</f>
        <v/>
      </c>
      <c r="F5" s="35">
        <f>IFERROR(VLOOKUP($A27&amp;"="&amp;$B27,Results_Deltas!$A$2:$P$15000,5,FALSE),"")</f>
        <v/>
      </c>
      <c r="G5" s="35">
        <f>IFERROR(VLOOKUP($A27,Results_30d_Deltas!$A$2:$H$5000,7,FALSE)-E27,"")</f>
        <v/>
      </c>
      <c r="H5" s="35">
        <f>IFERROR(VLOOKUP($A27,Results_30d_Deltas!$A$2:$H$5000,6,FALSE),"")</f>
        <v/>
      </c>
      <c r="L5" s="35" t="inlineStr">
        <is>
          <t>NO</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2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27" t="inlineStr">
        <is>
          <t>1h</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DC_BREAKOUT_SCORE</t>
        </is>
      </c>
      <c r="B7" s="26" t="inlineStr">
        <is>
          <t>10</t>
        </is>
      </c>
      <c r="C7" s="26" t="n"/>
      <c r="D7" s="26" t="n"/>
      <c r="E7" s="26" t="n"/>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ez_manage.py:3077 top()</t>
        </is>
      </c>
      <c r="IL7" s="26" t="inlineStr">
        <is>
          <t>v12_quick_engine.py:1517 x18</t>
        </is>
      </c>
      <c r="IM7" s="26" t="n"/>
    </row>
    <row r="8" ht="10.5" customHeight="1" s="67">
      <c r="A8" s="27" t="inlineStr">
        <is>
          <t>DC_BREAKOUT_SCORE</t>
        </is>
      </c>
      <c r="B8" s="27" t="inlineStr">
        <is>
          <t>15</t>
        </is>
      </c>
      <c r="C8" s="26" t="n"/>
      <c r="D8" s="26" t="n"/>
      <c r="E8" s="26" t="n"/>
      <c r="F8" s="26" t="n"/>
      <c r="G8" s="26">
        <f>IFERROR(VLOOKUP($A9&amp;"_"&amp;$B9,Results_Deltas!$A$2:$P$15000,5,FALSE),"")</f>
        <v/>
      </c>
      <c r="H8" s="26">
        <f>IFERROR(VLOOKUP($A9,Results_30d_Deltas!$A$2:$H$5000,7,FALSE)-E8,"")</f>
        <v/>
      </c>
      <c r="I8" s="26">
        <f>IFERROR(VLOOKUP($A9,Results_30d_Deltas!$A$2:$H$5000,6,FALSE),"")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6" t="inlineStr">
        <is>
          <t>DC_BREAKOUT_SCORE</t>
        </is>
      </c>
      <c r="B9" s="26" t="inlineStr">
        <is>
          <t>20</t>
        </is>
      </c>
      <c r="C9" s="26" t="n"/>
      <c r="D9" s="26" t="n"/>
      <c r="E9" s="26" t="n"/>
      <c r="F9" s="26" t="n"/>
      <c r="G9" s="26">
        <f>IFERROR(VLOOKUP($A10&amp;"_"&amp;$B10,Results_Deltas!$A$2:$P$15000,5,FALSE),"")</f>
        <v/>
      </c>
      <c r="H9" s="26">
        <f>IFERROR(VLOOKUP($A10,Results_30d_Deltas!$A$2:$H$5000,7,FALSE)-E9,"")</f>
        <v/>
      </c>
      <c r="I9" s="26">
        <f>IFERROR(VLOOKUP($A10,Results_30d_Deltas!$A$2:$H$5000,6,FALSE),"")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25</t>
        </is>
      </c>
      <c r="C10" s="26" t="n"/>
      <c r="D10" s="26" t="n"/>
      <c r="E10" s="26" t="n"/>
      <c r="F10" s="26" t="n"/>
      <c r="G10" s="26">
        <f>IFERROR(VLOOKUP($A11&amp;"_"&amp;$B11,Results_Deltas!$A$2:$P$15000,5,FALSE),"")</f>
        <v/>
      </c>
      <c r="H10" s="26">
        <f>IFERROR(VLOOKUP($A11,Results_30d_Deltas!$A$2:$H$5000,7,FALSE)-E10,"")</f>
        <v/>
      </c>
      <c r="I10" s="26">
        <f>IFERROR(VLOOKUP($A11,Results_30d_Deltas!$A$2:$H$5000,6,FALSE),"")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BB_BREAKOUT_SCORE</t>
        </is>
      </c>
      <c r="B12" s="26" t="inlineStr">
        <is>
          <t>10</t>
        </is>
      </c>
      <c r="C12" s="26" t="n"/>
      <c r="D12" s="26" t="n"/>
      <c r="E12" s="26" t="n"/>
      <c r="F12" s="26" t="n"/>
      <c r="G12" s="26">
        <f>IFERROR(VLOOKUP($A13&amp;"_"&amp;$B13,Results_Deltas!$A$2:$P$15000,5,FALSE),"")</f>
        <v/>
      </c>
      <c r="H12" s="26">
        <f>IFERROR(VLOOKUP($A13,Results_30d_Deltas!$A$2:$H$5000,7,FALSE)-E12,"")</f>
        <v/>
      </c>
      <c r="I12" s="26">
        <f>IFERROR(VLOOKUP($A13,Results_30d_Deltas!$A$2:$H$5000,6,FALSE),"")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ez_manage.py:2963 top()</t>
        </is>
      </c>
      <c r="IL12" s="26" t="inlineStr">
        <is>
          <t>v12_quick_engine.py:1255 x6</t>
        </is>
      </c>
      <c r="IM12" s="26" t="n"/>
    </row>
    <row r="13" ht="10.5" customHeight="1" s="67">
      <c r="A13" s="26" t="inlineStr">
        <is>
          <t>SCALP_V3_K_OB_EXIT_K3M_HI</t>
        </is>
      </c>
      <c r="B13" s="26" t="inlineStr">
        <is>
          <t>0.5</t>
        </is>
      </c>
      <c r="C13" s="26" t="n"/>
      <c r="D13" s="26" t="n"/>
      <c r="E13" s="26" t="n"/>
      <c r="F13" s="26" t="n"/>
      <c r="G13" s="26">
        <f>IFERROR(VLOOKUP($A135&amp;"_"&amp;$B135,Results_Deltas!$A$2:$P$15000,5,FALSE),"")</f>
        <v/>
      </c>
      <c r="H13" s="26">
        <f>IFERROR(VLOOKUP($A135,Results_30d_Deltas!$A$2:$H$5000,7,FALSE)-E134,"")</f>
        <v/>
      </c>
      <c r="I13" s="26">
        <f>IFERROR(VLOOKUP($A135,Results_30d_Deltas!$A$2:$H$5000,6,FALSE),"")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ez_manage.py:5553 top()</t>
        </is>
      </c>
      <c r="IL13" s="26" t="inlineStr">
        <is>
          <t>v12_quick_engine.py:3181 x4</t>
        </is>
      </c>
      <c r="IM13" s="26" t="n"/>
    </row>
    <row r="14" ht="10.5" customHeight="1" s="67">
      <c r="A14" s="26" t="inlineStr">
        <is>
          <t>SCALP_V3_K_OB_EXIT_K3M_HI</t>
        </is>
      </c>
      <c r="B14" s="26" t="inlineStr">
        <is>
          <t>1.0</t>
        </is>
      </c>
      <c r="C14" s="26" t="n"/>
      <c r="D14" s="26" t="n"/>
      <c r="E14" s="26" t="n"/>
      <c r="F14" s="26" t="n"/>
      <c r="G14" s="26">
        <f>IFERROR(VLOOKUP($A136&amp;"_"&amp;$B136,Results_Deltas!$A$2:$P$15000,5,FALSE),"")</f>
        <v/>
      </c>
      <c r="H14" s="26">
        <f>IFERROR(VLOOKUP($A136,Results_30d_Deltas!$A$2:$H$5000,7,FALSE)-E135,"")</f>
        <v/>
      </c>
      <c r="I14" s="26">
        <f>IFERROR(VLOOKUP($A136,Results_30d_Deltas!$A$2:$H$5000,6,FALSE),"")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ez_manage.py:5553 top()</t>
        </is>
      </c>
      <c r="IL14" s="26" t="inlineStr">
        <is>
          <t>v12_quick_engine.py:3181 x4</t>
        </is>
      </c>
      <c r="IM14" s="26" t="n"/>
    </row>
    <row r="15" ht="10.5" customHeight="1" s="67">
      <c r="A15" s="26" t="inlineStr">
        <is>
          <t>SCALP_V3_K_OB_EXIT_K3M_LO</t>
        </is>
      </c>
      <c r="B15" s="26" t="inlineStr">
        <is>
          <t>1.0</t>
        </is>
      </c>
      <c r="C15" s="26" t="n"/>
      <c r="D15" s="26" t="n"/>
      <c r="E15" s="26" t="n"/>
      <c r="F15" s="26" t="n"/>
      <c r="G15" s="26">
        <f>IFERROR(VLOOKUP($A140&amp;"_"&amp;$B140,Results_Deltas!$A$2:$P$15000,5,FALSE),"")</f>
        <v/>
      </c>
      <c r="H15" s="26">
        <f>IFERROR(VLOOKUP($A140,Results_30d_Deltas!$A$2:$H$5000,7,FALSE)-E139,"")</f>
        <v/>
      </c>
      <c r="I15" s="26">
        <f>IFERROR(VLOOKUP($A140,Results_30d_Deltas!$A$2:$H$5000,6,FALSE),"")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ez_manage.py:5554 top()</t>
        </is>
      </c>
      <c r="IL15" s="26" t="inlineStr">
        <is>
          <t>v12_quick_engine.py:3182 x4</t>
        </is>
      </c>
      <c r="IM15" s="26" t="n"/>
    </row>
    <row r="16" ht="10.5" customHeight="1" s="67">
      <c r="A16" s="26" t="inlineStr">
        <is>
          <t>STDEV_BREAKOUT_PCTB_LONG</t>
        </is>
      </c>
      <c r="B16" s="26" t="inlineStr">
        <is>
          <t>0.5</t>
        </is>
      </c>
      <c r="C16" s="26" t="n"/>
      <c r="D16" s="26" t="n"/>
      <c r="E16" s="26" t="n"/>
      <c r="F16" s="26" t="n"/>
      <c r="G16" s="26">
        <f>IFERROR(VLOOKUP($A151&amp;"_"&amp;$B151,Results_Deltas!$A$2:$P$15000,5,FALSE),"")</f>
        <v/>
      </c>
      <c r="H16" s="26">
        <f>IFERROR(VLOOKUP($A151,Results_30d_Deltas!$A$2:$H$5000,7,FALSE)-E150,"")</f>
        <v/>
      </c>
      <c r="I16" s="26">
        <f>IFERROR(VLOOKUP($A151,Results_30d_Deltas!$A$2:$H$5000,6,FALSE),"")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ez_manage.py:4044 top()</t>
        </is>
      </c>
      <c r="IL16" s="26" t="inlineStr">
        <is>
          <t>v12_quick_engine.py:3280 x3</t>
        </is>
      </c>
      <c r="IM16" s="26" t="n"/>
    </row>
    <row r="17" ht="10.5" customHeight="1" s="67">
      <c r="A17" s="26" t="inlineStr">
        <is>
          <t>STDEV_BREAKOUT_PCTB_LONG</t>
        </is>
      </c>
      <c r="B17" s="26" t="inlineStr">
        <is>
          <t>2.0</t>
        </is>
      </c>
      <c r="C17" s="26" t="n"/>
      <c r="D17" s="26" t="n"/>
      <c r="E17" s="26" t="n"/>
      <c r="F17" s="26" t="n"/>
      <c r="G17" s="26">
        <f>IFERROR(VLOOKUP($A153&amp;"_"&amp;$B153,Results_Deltas!$A$2:$P$15000,5,FALSE),"")</f>
        <v/>
      </c>
      <c r="H17" s="26">
        <f>IFERROR(VLOOKUP($A153,Results_30d_Deltas!$A$2:$H$5000,7,FALSE)-E152,"")</f>
        <v/>
      </c>
      <c r="I17" s="26">
        <f>IFERROR(VLOOKUP($A153,Results_30d_Deltas!$A$2:$H$5000,6,FALSE),"")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ez_manage.py:4044 top()</t>
        </is>
      </c>
      <c r="IL17" s="26" t="inlineStr">
        <is>
          <t>v12_quick_engine.py:3280 x3</t>
        </is>
      </c>
      <c r="IM17" s="26" t="n"/>
    </row>
    <row r="18" ht="10.5" customHeight="1" s="67">
      <c r="A18" s="26" t="inlineStr">
        <is>
          <t>STDEV_BREAKOUT_PCTB_SHORT</t>
        </is>
      </c>
      <c r="B18" s="26" t="inlineStr">
        <is>
          <t>1.0</t>
        </is>
      </c>
      <c r="C18" s="26" t="n"/>
      <c r="D18" s="26" t="n"/>
      <c r="E18" s="26" t="n"/>
      <c r="F18" s="26" t="n"/>
      <c r="G18" s="26">
        <f>IFERROR(VLOOKUP($A156&amp;"_"&amp;$B156,Results_Deltas!$A$2:$P$15000,5,FALSE),"")</f>
        <v/>
      </c>
      <c r="H18" s="26">
        <f>IFERROR(VLOOKUP($A156,Results_30d_Deltas!$A$2:$H$5000,7,FALSE)-E155,"")</f>
        <v/>
      </c>
      <c r="I18" s="26">
        <f>IFERROR(VLOOKUP($A156,Results_30d_Deltas!$A$2:$H$5000,6,FALSE),"")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ez_manage.py:4045 top()</t>
        </is>
      </c>
      <c r="IL18" s="26" t="inlineStr">
        <is>
          <t>v12_quick_engine.py:3281 x3</t>
        </is>
      </c>
      <c r="IM18" s="26" t="n"/>
    </row>
    <row r="19" ht="10.5" customHeight="1" s="67">
      <c r="A19" s="26" t="inlineStr">
        <is>
          <t>STDEV_SUPPRESS_EARLY_EXIT</t>
        </is>
      </c>
      <c r="B19" s="26" t="inlineStr">
        <is>
          <t>0.5</t>
        </is>
      </c>
      <c r="C19" s="26" t="n"/>
      <c r="D19" s="26" t="n"/>
      <c r="E19" s="26" t="n"/>
      <c r="F19" s="26" t="n"/>
      <c r="G19" s="26">
        <f>IFERROR(VLOOKUP($A159&amp;"_"&amp;$B159,Results_Deltas!$A$2:$P$15000,5,FALSE),"")</f>
        <v/>
      </c>
      <c r="H19" s="26">
        <f>IFERROR(VLOOKUP($A159,Results_30d_Deltas!$A$2:$H$5000,7,FALSE)-E158,"")</f>
        <v/>
      </c>
      <c r="I19" s="26">
        <f>IFERROR(VLOOKUP($A159,Results_30d_Deltas!$A$2:$H$5000,6,FALSE),"")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ez_manage.py:4060 top()</t>
        </is>
      </c>
      <c r="IL19" s="26" t="inlineStr">
        <is>
          <t>v12_quick_engine.py:3300 x2</t>
        </is>
      </c>
      <c r="IM19" s="26" t="n"/>
    </row>
    <row r="20" ht="10.5" customHeight="1" s="67">
      <c r="A20" s="26" t="inlineStr">
        <is>
          <t>STDEV_SUPPRESS_EARLY_EXIT</t>
        </is>
      </c>
      <c r="B20" s="26" t="inlineStr">
        <is>
          <t>1.0</t>
        </is>
      </c>
      <c r="C20" s="26" t="n"/>
      <c r="D20" s="26" t="n"/>
      <c r="E20" s="26" t="n"/>
      <c r="F20" s="26" t="n"/>
      <c r="G20" s="26">
        <f>IFERROR(VLOOKUP($A160&amp;"_"&amp;$B160,Results_Deltas!$A$2:$P$15000,5,FALSE),"")</f>
        <v/>
      </c>
      <c r="H20" s="26">
        <f>IFERROR(VLOOKUP($A160,Results_30d_Deltas!$A$2:$H$5000,7,FALSE)-E159,"")</f>
        <v/>
      </c>
      <c r="I20" s="26">
        <f>IFERROR(VLOOKUP($A160,Results_30d_Deltas!$A$2:$H$5000,6,FALSE),"")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ez_manage.py:4060 top()</t>
        </is>
      </c>
      <c r="IL20" s="26" t="inlineStr">
        <is>
          <t>v12_quick_engine.py:3300 x2</t>
        </is>
      </c>
      <c r="IM20" s="26" t="n"/>
    </row>
    <row r="21" ht="10.5" customHeight="1" s="67">
      <c r="A21" s="37" t="inlineStr">
        <is>
          <t>COOLDOWN_LOCKS_FILTER_TF</t>
        </is>
      </c>
      <c r="B21" s="38" t="inlineStr">
        <is>
          <t>D</t>
        </is>
      </c>
      <c r="C21" s="38" t="n"/>
      <c r="D21" s="38" t="inlineStr">
        <is>
          <t>GLOBAL_CHECK</t>
        </is>
      </c>
      <c r="E21" s="38" t="n"/>
      <c r="F21" s="26" t="n"/>
      <c r="G21" s="38">
        <f>IFERROR(VLOOKUP($A230&amp;"_"&amp;$B230,Results_Deltas!$A$2:$P$15000,5,FALSE),"")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BB_SQUEEZE_EXIT_ENABLED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ez_manage.py:6163 top()</t>
        </is>
      </c>
      <c r="IL3" s="26" t="inlineStr">
        <is>
          <t>v12_quick_engine.py:891 x4</t>
        </is>
      </c>
      <c r="IM3" s="26" t="n"/>
    </row>
    <row r="4" ht="10.5" customHeight="1" s="67">
      <c r="A4" s="26" t="inlineStr">
        <is>
          <t>BTC_DIVERGENCE_EXIT_AGAINST</t>
        </is>
      </c>
      <c r="B4" s="26" t="inlineStr">
        <is>
          <t>0.5</t>
        </is>
      </c>
      <c r="C4" s="26" t="n"/>
      <c r="D4" s="26" t="n"/>
      <c r="E4" s="26" t="n"/>
      <c r="F4" s="26" t="n"/>
      <c r="G4" s="26">
        <f>IFERROR(VLOOKUP($A8&amp;"_"&amp;$B8,Results_Deltas!$A$2:$P$15000,5,FALSE),"")</f>
        <v/>
      </c>
      <c r="H4" s="26">
        <f>IFERROR(VLOOKUP($A8,Results_30d_Deltas!$A$2:$H$5000,7,FALSE)-E7,"")</f>
        <v/>
      </c>
      <c r="I4" s="26">
        <f>IFERROR(VLOOKUP($A8,Results_30d_Deltas!$A$2:$H$5000,6,FALSE),"")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ez_manage.py:4448 top()</t>
        </is>
      </c>
      <c r="IL4" s="26" t="inlineStr">
        <is>
          <t>v12_quick_engine.py:408 x8</t>
        </is>
      </c>
      <c r="IM4" s="26" t="n"/>
    </row>
    <row r="5" ht="10.5" customHeight="1" s="67">
      <c r="A5" s="26" t="inlineStr">
        <is>
          <t>E_1_WT_EXIT_USE_DELTA_ENABLED</t>
        </is>
      </c>
      <c r="B5" s="26" t="inlineStr">
        <is>
          <t>True</t>
        </is>
      </c>
      <c r="C5" s="26" t="n"/>
      <c r="D5" s="26" t="n"/>
      <c r="E5" s="26" t="n"/>
      <c r="F5" s="26" t="n"/>
      <c r="G5" s="26">
        <f>IFERROR(VLOOKUP($A14&amp;"_"&amp;$B14,Results_Deltas!$A$2:$P$15000,5,FALSE),"")</f>
        <v/>
      </c>
      <c r="H5" s="26">
        <f>IFERROR(VLOOKUP($A14,Results_30d_Deltas!$A$2:$H$5000,7,FALSE)-E13,"")</f>
        <v/>
      </c>
      <c r="I5" s="26">
        <f>IFERROR(VLOOKUP($A14,Results_30d_Deltas!$A$2:$H$5000,6,FALSE),"")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4" t="n"/>
      <c r="CA5" s="34" t="n"/>
      <c r="CB5" s="34" t="n"/>
      <c r="CC5" s="34" t="n"/>
      <c r="CD5" s="34"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ez_manage.py:4699 top()</t>
        </is>
      </c>
      <c r="IL5" s="26" t="inlineStr">
        <is>
          <t>v12_quick_engine.py:1818 x7</t>
        </is>
      </c>
      <c r="IM5" s="26" t="n"/>
    </row>
    <row r="6" ht="10.5" customHeight="1" s="67">
      <c r="A6" s="26" t="inlineStr">
        <is>
          <t>WT_4H_VEL_EXIT_K_EXTREME_HIGH</t>
        </is>
      </c>
      <c r="B6" s="26" t="inlineStr">
        <is>
          <t>1.0</t>
        </is>
      </c>
      <c r="C6" s="26" t="n"/>
      <c r="D6" s="26" t="n"/>
      <c r="E6" s="26" t="n"/>
      <c r="F6" s="26" t="n"/>
      <c r="G6" s="26">
        <f>IFERROR(VLOOKUP($A57&amp;"_"&amp;$B57,Results_Deltas!$A$2:$P$15000,5,FALSE),"")</f>
        <v/>
      </c>
      <c r="H6" s="26">
        <f>IFERROR(VLOOKUP($A57,Results_30d_Deltas!$A$2:$H$5000,7,FALSE)-E56,"")</f>
        <v/>
      </c>
      <c r="I6" s="26">
        <f>IFERROR(VLOOKUP($A57,Results_30d_Deltas!$A$2:$H$5000,6,FALSE),"")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ez_manage.py:5877 top()</t>
        </is>
      </c>
      <c r="IL6" s="26" t="inlineStr">
        <is>
          <t>v12_quick_engine.py:3696 x5</t>
        </is>
      </c>
      <c r="IM6" s="26" t="n"/>
    </row>
    <row r="7" ht="10.5" customHeight="1" s="67">
      <c r="A7" s="26" t="inlineStr">
        <is>
          <t>WT_4H_VEL_EXIT_K_EXTREME_LOW</t>
        </is>
      </c>
      <c r="B7" s="26" t="inlineStr">
        <is>
          <t>2.0</t>
        </is>
      </c>
      <c r="C7" s="26" t="n"/>
      <c r="D7" s="26" t="n"/>
      <c r="E7" s="26" t="n"/>
      <c r="F7" s="26" t="n"/>
      <c r="G7" s="26">
        <f>IFERROR(VLOOKUP($A62&amp;"_"&amp;$B62,Results_Deltas!$A$2:$P$15000,5,FALSE),"")</f>
        <v/>
      </c>
      <c r="H7" s="26">
        <f>IFERROR(VLOOKUP($A62,Results_30d_Deltas!$A$2:$H$5000,7,FALSE)-E61,"")</f>
        <v/>
      </c>
      <c r="I7" s="26">
        <f>IFERROR(VLOOKUP($A62,Results_30d_Deltas!$A$2:$H$5000,6,FALSE),"")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ez_manage.py:5878 top()</t>
        </is>
      </c>
      <c r="IL7" s="26" t="inlineStr">
        <is>
          <t>v12_quick_engine.py:3697 x5</t>
        </is>
      </c>
      <c r="IM7" s="26" t="n"/>
    </row>
    <row r="8" ht="10.5" customHeight="1" s="67">
      <c r="A8" s="26" t="inlineStr">
        <is>
          <t>WT_4H_VEL_EXIT_REQUIRE_K_EXTREME</t>
        </is>
      </c>
      <c r="B8" s="26" t="inlineStr">
        <is>
          <t>0.5</t>
        </is>
      </c>
      <c r="C8" s="26" t="n"/>
      <c r="D8" s="26" t="n"/>
      <c r="E8" s="26" t="n"/>
      <c r="F8" s="26" t="n"/>
      <c r="G8" s="26">
        <f>IFERROR(VLOOKUP($A64&amp;"_"&amp;$B64,Results_Deltas!$A$2:$P$15000,5,FALSE),"")</f>
        <v/>
      </c>
      <c r="H8" s="26">
        <f>IFERROR(VLOOKUP($A64,Results_30d_Deltas!$A$2:$H$5000,7,FALSE)-E63,"")</f>
        <v/>
      </c>
      <c r="I8" s="26">
        <f>IFERROR(VLOOKUP($A64,Results_30d_Deltas!$A$2:$H$5000,6,FALSE),"")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ez_manage.py:5880 top()</t>
        </is>
      </c>
      <c r="IL8" s="26" t="inlineStr">
        <is>
          <t>v12_quick_engine.py:3699 x5</t>
        </is>
      </c>
      <c r="IM8" s="26" t="n"/>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HLR_REENTRY_MULT_4H</t>
        </is>
      </c>
      <c r="B3" s="26" t="inlineStr">
        <is>
          <t>1.0</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ez_manage.py:4847 top()</t>
        </is>
      </c>
      <c r="IM3" s="26" t="inlineStr">
        <is>
          <t>v12_quick_engine.py:2027 x6</t>
        </is>
      </c>
      <c r="IN3" s="26" t="n"/>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AUGMENT_BOUNCE_MIN_GAIN_PCT</t>
        </is>
      </c>
      <c r="B3" s="26" t="inlineStr">
        <is>
          <t>0.75</t>
        </is>
      </c>
      <c r="C3" s="26" t="n"/>
      <c r="D3" s="26" t="n"/>
      <c r="E3" s="26" t="n"/>
      <c r="F3" s="26" t="n"/>
      <c r="G3" s="26">
        <f>IFERROR(VLOOKUP($A17&amp;"_"&amp;$B17,Results_Deltas!$A$2:$P$15000,5,FALSE),"")</f>
        <v/>
      </c>
      <c r="H3" s="26">
        <f>IFERROR(VLOOKUP($A17,Results_30d_Deltas!$A$2:$H$5000,7,FALSE)-E16,"")</f>
        <v/>
      </c>
      <c r="I3" s="26">
        <f>IFERROR(VLOOKUP($A17,Results_30d_Deltas!$A$2:$H$5000,6,FALSE),"")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ez_manage.py:56856 top()</t>
        </is>
      </c>
      <c r="IL3" s="26" t="inlineStr">
        <is>
          <t>v12_quick_engine.py:4872 x2</t>
        </is>
      </c>
      <c r="IM3" s="26" t="n"/>
    </row>
    <row r="4" ht="10.5" customHeight="1" s="67">
      <c r="A4" s="26" t="inlineStr">
        <is>
          <t>AUGMENT_BREAKOUT_MIN_GAIN_PCT</t>
        </is>
      </c>
      <c r="B4" s="26" t="inlineStr">
        <is>
          <t>0.625</t>
        </is>
      </c>
      <c r="C4" s="26" t="n"/>
      <c r="D4" s="26" t="n"/>
      <c r="E4" s="26" t="n"/>
      <c r="F4" s="26" t="n"/>
      <c r="G4" s="26">
        <f>IFERROR(VLOOKUP($A21&amp;"_"&amp;$B21,Results_Deltas!$A$2:$P$15000,5,FALSE),"")</f>
        <v/>
      </c>
      <c r="H4" s="26">
        <f>IFERROR(VLOOKUP($A21,Results_30d_Deltas!$A$2:$H$5000,7,FALSE)-E20,"")</f>
        <v/>
      </c>
      <c r="I4" s="26">
        <f>IFERROR(VLOOKUP($A21,Results_30d_Deltas!$A$2:$H$5000,6,FALSE),"")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ez_manage.py:56860 top()</t>
        </is>
      </c>
      <c r="IL4" s="26" t="inlineStr">
        <is>
          <t>v12_quick_engine.py:4873 x2</t>
        </is>
      </c>
      <c r="IM4" s="26" t="n"/>
    </row>
    <row r="5" ht="10.5" customHeight="1" s="67">
      <c r="A5" s="37" t="inlineStr">
        <is>
          <t>LH_HL_FILTER_ENABLED</t>
        </is>
      </c>
      <c r="B5" s="38" t="inlineStr">
        <is>
          <t>True</t>
        </is>
      </c>
      <c r="C5" s="38" t="n"/>
      <c r="D5" s="38" t="inlineStr">
        <is>
          <t>ENTRY, GLOBAL_CHECK, STOCKS_EXIT</t>
        </is>
      </c>
      <c r="E5" s="38" t="n"/>
      <c r="F5" s="26" t="n"/>
      <c r="G5" s="38">
        <f>IFERROR(VLOOKUP($A132&amp;"_"&amp;$B132,Results_Deltas!$A$2:$P$15000,5,FALSE),"")</f>
        <v/>
      </c>
      <c r="H5" s="38" t="inlineStr">
        <is>
          <t>Blanket (page end)</t>
        </is>
      </c>
      <c r="I5" s="26" t="n"/>
      <c r="J5" s="26" t="n"/>
      <c r="K5" s="26" t="n"/>
      <c r="L5" s="26" t="inlineStr">
        <is>
          <t>NO</t>
        </is>
      </c>
      <c r="M5" s="26" t="n"/>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AUGMENT_FALLBACK_GAIN_PCT</t>
        </is>
      </c>
      <c r="B3" s="26" t="inlineStr">
        <is>
          <t>0.5</t>
        </is>
      </c>
      <c r="C3" s="26" t="n"/>
      <c r="D3" s="26" t="n"/>
      <c r="E3" s="26" t="n"/>
      <c r="F3" s="26" t="n"/>
      <c r="G3" s="26">
        <f>IFERROR(VLOOKUP($A14&amp;"_"&amp;$B14,Results_Deltas!$A$2:$P$15000,5,FALSE),"")</f>
        <v/>
      </c>
      <c r="H3" s="26">
        <f>IFERROR(VLOOKUP($A14,Results_30d_Deltas!$A$2:$H$5000,7,FALSE)-E13,"")</f>
        <v/>
      </c>
      <c r="I3" s="26">
        <f>IFERROR(VLOOKUP($A14,Results_30d_Deltas!$A$2:$H$5000,6,FALSE),"")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ez_manage.py:56864 top()</t>
        </is>
      </c>
      <c r="IL3" s="26" t="inlineStr">
        <is>
          <t>v12_quick_engine.py:4990 x4</t>
        </is>
      </c>
      <c r="IM3" s="26" t="n"/>
    </row>
    <row r="4" ht="10.5" customHeight="1" s="67">
      <c r="A4" s="26" t="inlineStr">
        <is>
          <t>AUGMENT_FALLBACK_GAIN_PCT</t>
        </is>
      </c>
      <c r="B4" s="26" t="inlineStr">
        <is>
          <t>0.75</t>
        </is>
      </c>
      <c r="C4" s="26" t="n"/>
      <c r="D4" s="26" t="n"/>
      <c r="E4" s="26" t="n"/>
      <c r="F4" s="26" t="n"/>
      <c r="G4" s="26">
        <f>IFERROR(VLOOKUP($A15&amp;"_"&amp;$B15,Results_Deltas!$A$2:$P$15000,5,FALSE),"")</f>
        <v/>
      </c>
      <c r="H4" s="26">
        <f>IFERROR(VLOOKUP($A15,Results_30d_Deltas!$A$2:$H$5000,7,FALSE)-E14,"")</f>
        <v/>
      </c>
      <c r="I4" s="26">
        <f>IFERROR(VLOOKUP($A15,Results_30d_Deltas!$A$2:$H$5000,6,FALSE),"")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ez_manage.py:56864 top()</t>
        </is>
      </c>
      <c r="IL4" s="26" t="inlineStr">
        <is>
          <t>v12_quick_engine.py:4990 x4</t>
        </is>
      </c>
      <c r="IM4" s="26" t="n"/>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2.0</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DYN_STRUCT_TRAIL_ENABLED</t>
        </is>
      </c>
      <c r="B4" s="26" t="inlineStr">
        <is>
          <t>True</t>
        </is>
      </c>
      <c r="C4" s="26" t="n"/>
      <c r="D4" s="26" t="n"/>
      <c r="E4" s="26" t="n"/>
      <c r="F4" s="26" t="n"/>
      <c r="G4" s="26">
        <f>IFERROR(VLOOKUP($A36&amp;"_"&amp;$B36,Results_Deltas!$A$2:$P$15000,5,FALSE),"")</f>
        <v/>
      </c>
      <c r="H4" s="26">
        <f>IFERROR(VLOOKUP($A36,Results_30d_Deltas!$A$2:$H$5000,7,FALSE)-E35,"")</f>
        <v/>
      </c>
      <c r="I4" s="26">
        <f>IFERROR(VLOOKUP($A36,Results_30d_Deltas!$A$2:$H$5000,6,FALSE),"")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ez_manage.py:5979 top()</t>
        </is>
      </c>
      <c r="IL4" s="26" t="inlineStr">
        <is>
          <t>v12_quick_engine.py:865 x8</t>
        </is>
      </c>
      <c r="IM4" s="26" t="n"/>
    </row>
    <row r="5" ht="10.5" customHeight="1" s="67">
      <c r="A5" s="27" t="inlineStr">
        <is>
          <t>HLR_TOP_EXIT_ENABLED</t>
        </is>
      </c>
      <c r="B5" s="27" t="inlineStr">
        <is>
          <t>True</t>
        </is>
      </c>
      <c r="C5" s="26" t="n"/>
      <c r="D5" s="26" t="n"/>
      <c r="E5" s="26" t="n"/>
      <c r="F5" s="26" t="n"/>
      <c r="G5" s="26">
        <f>IFERROR(VLOOKUP($A38&amp;"_"&amp;$B38,Results_Deltas!$A$2:$P$15000,5,FALSE),"")</f>
        <v/>
      </c>
      <c r="H5" s="26">
        <f>IFERROR(VLOOKUP($A38,Results_30d_Deltas!$A$2:$H$5000,7,FALSE)-E37,"")</f>
        <v/>
      </c>
      <c r="I5" s="26">
        <f>IFERROR(VLOOKUP($A38,Results_30d_Deltas!$A$2:$H$5000,6,FALSE),"")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ez_manage.py:4858 top()</t>
        </is>
      </c>
      <c r="IL5" s="26" t="inlineStr">
        <is>
          <t>v12_quick_engine.py:2031 x5</t>
        </is>
      </c>
      <c r="IM5" s="26" t="n"/>
    </row>
    <row r="6" ht="10.5" customHeight="1" s="67">
      <c r="A6" s="26" t="inlineStr">
        <is>
          <t>HTF_EXIT_VETO_ENABLED</t>
        </is>
      </c>
      <c r="B6" s="26" t="inlineStr">
        <is>
          <t>False</t>
        </is>
      </c>
      <c r="C6" s="26" t="n"/>
      <c r="D6" s="26" t="n"/>
      <c r="E6" s="26" t="n"/>
      <c r="F6" s="26" t="n"/>
      <c r="G6" s="26">
        <f>IFERROR(VLOOKUP($A45&amp;"_"&amp;$B45,Results_Deltas!$A$2:$P$15000,5,FALSE),"")</f>
        <v/>
      </c>
      <c r="H6" s="26">
        <f>IFERROR(VLOOKUP($A45,Results_30d_Deltas!$A$2:$H$5000,7,FALSE)-E44,"")</f>
        <v/>
      </c>
      <c r="I6" s="26">
        <f>IFERROR(VLOOKUP($A45,Results_30d_Deltas!$A$2:$H$5000,6,FALSE),"")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4" t="n"/>
      <c r="EN6" s="34" t="n"/>
      <c r="EO6" s="34" t="n"/>
      <c r="EP6" s="34" t="n"/>
      <c r="EQ6" s="34"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ez_manage.py:4873 top()</t>
        </is>
      </c>
      <c r="IL6" s="26" t="inlineStr">
        <is>
          <t>v12_quick_engine.py:2049 x2</t>
        </is>
      </c>
      <c r="IM6" s="26" t="n"/>
    </row>
    <row r="7" ht="10.5" customHeight="1" s="67">
      <c r="A7" s="26" t="inlineStr">
        <is>
          <t>HTF_EXIT_VETO_MIN_ALIGNED</t>
        </is>
      </c>
      <c r="B7" s="26" t="inlineStr">
        <is>
          <t>0.5</t>
        </is>
      </c>
      <c r="C7" s="26" t="n"/>
      <c r="D7" s="26" t="n"/>
      <c r="E7" s="26" t="n"/>
      <c r="F7" s="26" t="n"/>
      <c r="G7" s="26">
        <f>IFERROR(VLOOKUP($A52&amp;"_"&amp;$B52,Results_Deltas!$A$2:$P$15000,5,FALSE),"")</f>
        <v/>
      </c>
      <c r="H7" s="26">
        <f>IFERROR(VLOOKUP($A52,Results_30d_Deltas!$A$2:$H$5000,7,FALSE)-E51,"")</f>
        <v/>
      </c>
      <c r="I7" s="26">
        <f>IFERROR(VLOOKUP($A52,Results_30d_Deltas!$A$2:$H$5000,6,FALSE),"")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4" t="n"/>
      <c r="EN7" s="34" t="n"/>
      <c r="EO7" s="34" t="n"/>
      <c r="EP7" s="34" t="n"/>
      <c r="EQ7" s="34"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ez_manage.py:4875 top()</t>
        </is>
      </c>
      <c r="IL7" s="26" t="inlineStr">
        <is>
          <t>v12_quick_engine.py:2051 x3</t>
        </is>
      </c>
      <c r="IM7" s="26" t="n"/>
    </row>
    <row r="8" ht="10.5" customHeight="1" s="67">
      <c r="A8" s="26" t="inlineStr">
        <is>
          <t>WT_PERCENTILE_ENTRY_OB_D</t>
        </is>
      </c>
      <c r="B8" s="26" t="inlineStr">
        <is>
          <t>135.0</t>
        </is>
      </c>
      <c r="C8" s="26" t="n"/>
      <c r="D8" s="26" t="n"/>
      <c r="E8" s="26" t="n"/>
      <c r="F8" s="26" t="n"/>
      <c r="G8" s="26">
        <f>IFERROR(VLOOKUP($A112&amp;"_"&amp;$B112,Results_Deltas!$A$2:$P$15000,5,FALSE),"")</f>
        <v/>
      </c>
      <c r="H8" s="26">
        <f>IFERROR(VLOOKUP($A112,Results_30d_Deltas!$A$2:$H$5000,7,FALSE)-E111,"")</f>
        <v/>
      </c>
      <c r="I8" s="26">
        <f>IFERROR(VLOOKUP($A112,Results_30d_Deltas!$A$2:$H$5000,6,FALSE),"")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4" t="n"/>
      <c r="FJ8" s="34" t="n"/>
      <c r="FK8" s="34" t="n"/>
      <c r="FL8" s="34" t="n"/>
      <c r="FM8" s="34"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ez_manage.py:5925 top()</t>
        </is>
      </c>
      <c r="IL8" s="26" t="inlineStr">
        <is>
          <t>v12_quick_engine.py:3765 x2</t>
        </is>
      </c>
      <c r="IM8" s="26" t="n"/>
    </row>
    <row r="9" ht="10.5" customHeight="1" s="67">
      <c r="A9" s="26" t="inlineStr">
        <is>
          <t>WT_PERCENTILE_EXIT_OS_4H</t>
        </is>
      </c>
      <c r="B9" s="26" t="inlineStr">
        <is>
          <t>0.5</t>
        </is>
      </c>
      <c r="C9" s="26" t="n"/>
      <c r="D9" s="26" t="n"/>
      <c r="E9" s="26" t="n"/>
      <c r="F9" s="26" t="n"/>
      <c r="G9" s="26">
        <f>IFERROR(VLOOKUP($A127&amp;"_"&amp;$B127,Results_Deltas!$A$2:$P$15000,5,FALSE),"")</f>
        <v/>
      </c>
      <c r="H9" s="26">
        <f>IFERROR(VLOOKUP($A127,Results_30d_Deltas!$A$2:$H$5000,7,FALSE)-E126,"")</f>
        <v/>
      </c>
      <c r="I9" s="26">
        <f>IFERROR(VLOOKUP($A127,Results_30d_Deltas!$A$2:$H$5000,6,FALSE),"")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ez_manage.py:5930 top()</t>
        </is>
      </c>
      <c r="IL9" s="26" t="inlineStr">
        <is>
          <t>v12_quick_engine.py:3770 x5</t>
        </is>
      </c>
      <c r="IM9" s="26" t="n"/>
    </row>
    <row r="10" ht="10.5" customHeight="1" s="67">
      <c r="A10" s="26" t="inlineStr">
        <is>
          <t>WT_PERCENTILE_EXIT_OS_4H</t>
        </is>
      </c>
      <c r="B10" s="26" t="inlineStr">
        <is>
          <t>1.0</t>
        </is>
      </c>
      <c r="C10" s="26" t="n"/>
      <c r="D10" s="26" t="n"/>
      <c r="E10" s="26" t="n"/>
      <c r="F10" s="26" t="n"/>
      <c r="G10" s="26">
        <f>IFERROR(VLOOKUP($A128&amp;"_"&amp;$B128,Results_Deltas!$A$2:$P$15000,5,FALSE),"")</f>
        <v/>
      </c>
      <c r="H10" s="26">
        <f>IFERROR(VLOOKUP($A128,Results_30d_Deltas!$A$2:$H$5000,7,FALSE)-E127,"")</f>
        <v/>
      </c>
      <c r="I10" s="26">
        <f>IFERROR(VLOOKUP($A128,Results_30d_Deltas!$A$2:$H$5000,6,FALSE),"")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ez_manage.py:5930 top()</t>
        </is>
      </c>
      <c r="IL10" s="26" t="inlineStr">
        <is>
          <t>v12_quick_engine.py:3770 x5</t>
        </is>
      </c>
      <c r="IM10" s="26" t="n"/>
    </row>
    <row r="11" ht="10.5" customHeight="1" s="67">
      <c r="A11" s="26" t="inlineStr">
        <is>
          <t>WT_REDUCE_FRAC_LOW</t>
        </is>
      </c>
      <c r="B11" s="26" t="inlineStr">
        <is>
          <t>1.0</t>
        </is>
      </c>
      <c r="C11" s="26" t="n"/>
      <c r="D11" s="26" t="n"/>
      <c r="E11" s="26" t="n"/>
      <c r="F11" s="26" t="n"/>
      <c r="G11" s="26">
        <f>IFERROR(VLOOKUP($A140&amp;"_"&amp;$B140,Results_Deltas!$A$2:$P$15000,5,FALSE),"")</f>
        <v/>
      </c>
      <c r="H11" s="26">
        <f>IFERROR(VLOOKUP($A140,Results_30d_Deltas!$A$2:$H$5000,7,FALSE)-E139,"")</f>
        <v/>
      </c>
      <c r="I11" s="26">
        <f>IFERROR(VLOOKUP($A140,Results_30d_Deltas!$A$2:$H$5000,6,FALSE),"")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4" t="n"/>
      <c r="BL11" s="34" t="n"/>
      <c r="BM11" s="34" t="n"/>
      <c r="BN11" s="34" t="n"/>
      <c r="BO11" s="34"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ez_manage.py:4308 top()</t>
        </is>
      </c>
      <c r="IL11" s="26" t="inlineStr">
        <is>
          <t>v12_quick_engine.py:2948 x10</t>
        </is>
      </c>
      <c r="IM11" s="26" t="n"/>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3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6" t="inlineStr">
        <is>
          <t>RECENT_REDUCTION_GUARD_ENABLED</t>
        </is>
      </c>
      <c r="B6" s="26" t="inlineStr">
        <is>
          <t>False</t>
        </is>
      </c>
      <c r="C6" s="26" t="n"/>
      <c r="D6" s="26" t="n"/>
      <c r="E6" s="26" t="n"/>
      <c r="F6" s="26" t="n"/>
      <c r="G6" s="26">
        <f>IFERROR(VLOOKUP($A7&amp;"_"&amp;$B7,Results_Deltas!$A$2:$P$15000,5,FALSE),"")</f>
        <v/>
      </c>
      <c r="H6" s="26">
        <f>IFERROR(VLOOKUP($A7,Results_30d_Deltas!$A$2:$H$5000,7,FALSE)-E6,"")</f>
        <v/>
      </c>
      <c r="I6" s="26">
        <f>IFERROR(VLOOKUP($A7,Results_30d_Deltas!$A$2:$H$5000,6,FALSE),"")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ez_manage.py:5264 top()</t>
        </is>
      </c>
      <c r="IL6" s="26" t="inlineStr">
        <is>
          <t>v12_quick_engine.py:2806 x1</t>
        </is>
      </c>
      <c r="IM6" s="26" t="n"/>
    </row>
    <row r="7" ht="10.5" customHeight="1" s="67">
      <c r="A7" s="26" t="inlineStr">
        <is>
          <t>ABSOLUTE_OPEN_LOCK_SEC</t>
        </is>
      </c>
      <c r="B7" s="26" t="n"/>
      <c r="C7" s="26" t="n"/>
      <c r="D7" s="26" t="n"/>
      <c r="E7" s="26" t="n"/>
      <c r="F7" s="26" t="n"/>
      <c r="G7" s="26">
        <f>IFERROR(VLOOKUP($A9&amp;"_"&amp;$B9,Results_Deltas!$A$2:$P$15000,5,FALSE),"")</f>
        <v/>
      </c>
      <c r="H7" s="26">
        <f>IFERROR(VLOOKUP($A9,Results_30d_Deltas!$A$2:$H$5000,7,FALSE)-E8,"")</f>
        <v/>
      </c>
      <c r="I7" s="26">
        <f>IFERROR(VLOOKUP($A9,Results_30d_Deltas!$A$2:$H$5000,6,FALSE),"")</f>
        <v/>
      </c>
      <c r="J7" s="26" t="n"/>
      <c r="K7" s="26" t="n"/>
      <c r="L7" s="26"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config only</t>
        </is>
      </c>
      <c r="IL7" s="26" t="inlineStr">
        <is>
          <t>not declared</t>
        </is>
      </c>
      <c r="IM7" s="26" t="n"/>
    </row>
    <row r="8" ht="10.5" customHeight="1" s="67">
      <c r="A8" s="26" t="inlineStr">
        <is>
          <t>BALANCE_FLOOR_USD</t>
        </is>
      </c>
      <c r="B8" s="26" t="n"/>
      <c r="C8" s="26" t="n"/>
      <c r="D8" s="26" t="n"/>
      <c r="E8" s="26" t="n"/>
      <c r="F8" s="26" t="n"/>
      <c r="G8" s="26">
        <f>IFERROR(VLOOKUP($A10&amp;"_"&amp;$B10,Results_Deltas!$A$2:$P$15000,5,FALSE),"")</f>
        <v/>
      </c>
      <c r="H8" s="26">
        <f>IFERROR(VLOOKUP($A10,Results_30d_Deltas!$A$2:$H$5000,7,FALSE)-E9,"")</f>
        <v/>
      </c>
      <c r="I8" s="26">
        <f>IFERROR(VLOOKUP($A10,Results_30d_Deltas!$A$2:$H$5000,6,FALSE),"")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config only</t>
        </is>
      </c>
      <c r="IL8" s="26" t="inlineStr">
        <is>
          <t>not declared</t>
        </is>
      </c>
      <c r="IM8" s="26" t="n"/>
    </row>
    <row r="9" ht="10.5" customHeight="1" s="67">
      <c r="A9" s="26" t="inlineStr">
        <is>
          <t>BLACKLIST_SYMBOLS</t>
        </is>
      </c>
      <c r="B9" s="26" t="inlineStr">
        <is>
          <t>()</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ez_manage.py:4377 top()</t>
        </is>
      </c>
      <c r="IL9" s="26" t="inlineStr">
        <is>
          <t>v12_quick_engine.py:3798 x5</t>
        </is>
      </c>
      <c r="IM9" s="26" t="n"/>
    </row>
    <row r="10" ht="10.5" customHeight="1" s="67">
      <c r="A10" s="26" t="inlineStr">
        <is>
          <t>CIRCUIT_BREAKER_THRESHOLD_PCT</t>
        </is>
      </c>
      <c r="B10" s="26" t="n"/>
      <c r="C10" s="26" t="n"/>
      <c r="D10" s="26" t="n"/>
      <c r="E10" s="26" t="n"/>
      <c r="F10" s="26" t="n"/>
      <c r="G10" s="26">
        <f>IFERROR(VLOOKUP($A12&amp;"_"&amp;$B12,Results_Deltas!$A$2:$P$15000,5,FALSE),"")</f>
        <v/>
      </c>
      <c r="H10" s="26">
        <f>IFERROR(VLOOKUP($A12,Results_30d_Deltas!$A$2:$H$5000,7,FALSE)-E11,"")</f>
        <v/>
      </c>
      <c r="I10" s="26">
        <f>IFERROR(VLOOKUP($A12,Results_30d_Deltas!$A$2:$H$5000,6,FALSE),"")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COUNTER_TREND_SMA200_BYPASS_ENABLED</t>
        </is>
      </c>
      <c r="B11" s="26" t="inlineStr">
        <is>
          <t>False</t>
        </is>
      </c>
      <c r="C11" s="26" t="n"/>
      <c r="D11" s="26" t="n"/>
      <c r="E11" s="26" t="n"/>
      <c r="F11" s="26" t="n"/>
      <c r="G11" s="26">
        <f>IFERROR(VLOOKUP($A13&amp;"_"&amp;$B13,Results_Deltas!$A$2:$P$15000,5,FALSE),"")</f>
        <v/>
      </c>
      <c r="H11" s="26">
        <f>IFERROR(VLOOKUP($A13,Results_30d_Deltas!$A$2:$H$5000,7,FALSE)-E12,"")</f>
        <v/>
      </c>
      <c r="I11" s="26">
        <f>IFERROR(VLOOKUP($A13,Results_30d_Deltas!$A$2:$H$5000,6,FALSE),"")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4" t="n"/>
      <c r="HE11" s="34" t="n"/>
      <c r="HF11" s="34" t="n"/>
      <c r="HG11" s="34" t="n"/>
      <c r="HH11" s="34"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ez_manage.py:3056 top()</t>
        </is>
      </c>
      <c r="IL11" s="26" t="inlineStr">
        <is>
          <t>v12_quick_engine.py:1470 x6</t>
        </is>
      </c>
      <c r="IM11" s="26" t="n"/>
    </row>
    <row r="12" ht="10.5" customHeight="1" s="67">
      <c r="A12" s="27" t="inlineStr">
        <is>
          <t>COUNTER_TREND_SMA200_BYPASS_ENABLED</t>
        </is>
      </c>
      <c r="B12" s="27" t="inlineStr">
        <is>
          <t>True</t>
        </is>
      </c>
      <c r="C12" s="26" t="n"/>
      <c r="D12" s="26" t="n"/>
      <c r="E12" s="26" t="n"/>
      <c r="F12" s="26" t="n"/>
      <c r="G12" s="26">
        <f>IFERROR(VLOOKUP($A14&amp;"_"&amp;$B14,Results_Deltas!$A$2:$P$15000,5,FALSE),"")</f>
        <v/>
      </c>
      <c r="H12" s="26">
        <f>IFERROR(VLOOKUP($A14,Results_30d_Deltas!$A$2:$H$5000,7,FALSE)-E13,"")</f>
        <v/>
      </c>
      <c r="I12" s="26">
        <f>IFERROR(VLOOKUP($A14,Results_30d_Deltas!$A$2:$H$5000,6,FALSE),"")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4" t="n"/>
      <c r="HE12" s="34" t="n"/>
      <c r="HF12" s="34" t="n"/>
      <c r="HG12" s="34" t="n"/>
      <c r="HH12" s="34"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ez_manage.py:3056 top()</t>
        </is>
      </c>
      <c r="IL12" s="26" t="inlineStr">
        <is>
          <t>v12_quick_engine.py:1470 x6</t>
        </is>
      </c>
      <c r="IM12" s="26" t="n"/>
    </row>
    <row r="13" ht="10.5" customHeight="1" s="67">
      <c r="A13" s="26" t="inlineStr">
        <is>
          <t>EXECUTE_NOW_MAX_MARK_AGE_S</t>
        </is>
      </c>
      <c r="B13" s="26" t="inlineStr">
        <is>
          <t>45.0</t>
        </is>
      </c>
      <c r="C13" s="26" t="n"/>
      <c r="D13" s="26" t="n"/>
      <c r="E13" s="26" t="n"/>
      <c r="F13" s="26" t="n"/>
      <c r="G13" s="26">
        <f>IFERROR(VLOOKUP($A16&amp;"_"&amp;$B16,Results_Deltas!$A$2:$P$15000,5,FALSE),"")</f>
        <v/>
      </c>
      <c r="H13" s="26">
        <f>IFERROR(VLOOKUP($A16,Results_30d_Deltas!$A$2:$H$5000,7,FALSE)-E15,"")</f>
        <v/>
      </c>
      <c r="I13" s="26">
        <f>IFERROR(VLOOKUP($A16,Results_30d_Deltas!$A$2:$H$5000,6,FALSE),"")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ez_manage.py:4656 top()</t>
        </is>
      </c>
      <c r="IL13" s="26" t="inlineStr">
        <is>
          <t>v12_quick_engine.py:3868 x1</t>
        </is>
      </c>
      <c r="IM13" s="26" t="n"/>
    </row>
    <row r="14" ht="10.5" customHeight="1" s="67">
      <c r="A14" s="26" t="inlineStr">
        <is>
          <t>EXECUTE_NOW_MAX_MARK_AGE_S</t>
        </is>
      </c>
      <c r="B14" s="26" t="inlineStr">
        <is>
          <t>75.0</t>
        </is>
      </c>
      <c r="C14" s="26" t="n"/>
      <c r="D14" s="26" t="n"/>
      <c r="E14" s="26" t="n"/>
      <c r="F14" s="26" t="n"/>
      <c r="G14" s="26">
        <f>IFERROR(VLOOKUP($A18&amp;"_"&amp;$B18,Results_Deltas!$A$2:$P$15000,5,FALSE),"")</f>
        <v/>
      </c>
      <c r="H14" s="26">
        <f>IFERROR(VLOOKUP($A18,Results_30d_Deltas!$A$2:$H$5000,7,FALSE)-E17,"")</f>
        <v/>
      </c>
      <c r="I14" s="26">
        <f>IFERROR(VLOOKUP($A18,Results_30d_Deltas!$A$2:$H$5000,6,FALSE),"")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ez_manage.py:4656 top()</t>
        </is>
      </c>
      <c r="IL14" s="26" t="inlineStr">
        <is>
          <t>v12_quick_engine.py:3868 x1</t>
        </is>
      </c>
      <c r="IM14" s="26" t="n"/>
    </row>
    <row r="15" ht="10.5" customHeight="1" s="67">
      <c r="A15" s="26" t="inlineStr">
        <is>
          <t>HARD_AUGMENT_LOCK_SEC</t>
        </is>
      </c>
      <c r="B15" s="26" t="n"/>
      <c r="C15" s="26" t="n"/>
      <c r="D15" s="26" t="n"/>
      <c r="E15" s="26" t="n"/>
      <c r="F15" s="26" t="n"/>
      <c r="G15" s="26">
        <f>IFERROR(VLOOKUP($A20&amp;"_"&amp;$B20,Results_Deltas!$A$2:$P$15000,5,FALSE),"")</f>
        <v/>
      </c>
      <c r="H15" s="26">
        <f>IFERROR(VLOOKUP($A20,Results_30d_Deltas!$A$2:$H$5000,7,FALSE)-E19,"")</f>
        <v/>
      </c>
      <c r="I15" s="26">
        <f>IFERROR(VLOOKUP($A20,Results_30d_Deltas!$A$2:$H$5000,6,FALSE),"")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config only</t>
        </is>
      </c>
      <c r="IL15" s="26" t="inlineStr">
        <is>
          <t>not declared</t>
        </is>
      </c>
      <c r="IM15" s="26" t="n"/>
    </row>
    <row r="16" ht="10.5" customHeight="1" s="67">
      <c r="A16" s="26" t="inlineStr">
        <is>
          <t>HARD_REDUCE_LOCK_SEC</t>
        </is>
      </c>
      <c r="B16" s="26" t="n"/>
      <c r="C16" s="26" t="n"/>
      <c r="D16" s="26" t="n"/>
      <c r="E16" s="26" t="n"/>
      <c r="F16" s="26" t="n"/>
      <c r="G16" s="26">
        <f>IFERROR(VLOOKUP($A21&amp;"_"&amp;$B21,Results_Deltas!$A$2:$P$15000,5,FALSE),"")</f>
        <v/>
      </c>
      <c r="H16" s="26">
        <f>IFERROR(VLOOKUP($A21,Results_30d_Deltas!$A$2:$H$5000,7,FALSE)-E20,"")</f>
        <v/>
      </c>
      <c r="I16" s="26">
        <f>IFERROR(VLOOKUP($A21,Results_30d_Deltas!$A$2:$H$5000,6,FALSE),"")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config only</t>
        </is>
      </c>
      <c r="IL16" s="26" t="inlineStr">
        <is>
          <t>not declared</t>
        </is>
      </c>
      <c r="IM16" s="26" t="n"/>
    </row>
    <row r="17" ht="10.5" customHeight="1" s="67">
      <c r="A17" s="26" t="inlineStr">
        <is>
          <t>OPEN_RATE_BREAKER_ENABLED</t>
        </is>
      </c>
      <c r="B17" s="26" t="inlineStr">
        <is>
          <t>False</t>
        </is>
      </c>
      <c r="C17" s="26" t="n"/>
      <c r="D17" s="26" t="n"/>
      <c r="E17" s="26" t="n"/>
      <c r="F17" s="26" t="n"/>
      <c r="G17" s="26">
        <f>IFERROR(VLOOKUP($A22&amp;"_"&amp;$B22,Results_Deltas!$A$2:$P$15000,5,FALSE),"")</f>
        <v/>
      </c>
      <c r="H17" s="26">
        <f>IFERROR(VLOOKUP($A22,Results_30d_Deltas!$A$2:$H$5000,7,FALSE)-E21,"")</f>
        <v/>
      </c>
      <c r="I17" s="26">
        <f>IFERROR(VLOOKUP($A22,Results_30d_Deltas!$A$2:$H$5000,6,FALSE),"")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4" t="n"/>
      <c r="DY17" s="34" t="n"/>
      <c r="DZ17" s="34" t="n"/>
      <c r="EA17" s="34" t="n"/>
      <c r="EB17" s="34"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4" t="n"/>
      <c r="HJ17" s="34" t="n"/>
      <c r="HK17" s="34" t="n"/>
      <c r="HL17" s="34" t="n"/>
      <c r="HM17" s="34"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ez_manage.py:5141 top()</t>
        </is>
      </c>
      <c r="IL17" s="26" t="inlineStr">
        <is>
          <t>v12_quick_engine.py:2538 x1</t>
        </is>
      </c>
      <c r="IM17" s="26" t="n"/>
    </row>
    <row r="18" ht="10.5" customHeight="1" s="67">
      <c r="A18" s="27" t="inlineStr">
        <is>
          <t>OPEN_RATE_BREAKER_ENABLED</t>
        </is>
      </c>
      <c r="B18" s="27" t="inlineStr">
        <is>
          <t>True</t>
        </is>
      </c>
      <c r="C18" s="26" t="n"/>
      <c r="D18" s="26" t="n"/>
      <c r="E18" s="26" t="n"/>
      <c r="F18" s="26" t="n"/>
      <c r="G18" s="26">
        <f>IFERROR(VLOOKUP($A23&amp;"_"&amp;$B23,Results_Deltas!$A$2:$P$15000,5,FALSE),"")</f>
        <v/>
      </c>
      <c r="H18" s="26">
        <f>IFERROR(VLOOKUP($A23,Results_30d_Deltas!$A$2:$H$5000,7,FALSE)-E22,"")</f>
        <v/>
      </c>
      <c r="I18" s="26">
        <f>IFERROR(VLOOKUP($A23,Results_30d_Deltas!$A$2:$H$5000,6,FALSE),"")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4" t="n"/>
      <c r="DY18" s="34" t="n"/>
      <c r="DZ18" s="34" t="n"/>
      <c r="EA18" s="34" t="n"/>
      <c r="EB18" s="34"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4" t="n"/>
      <c r="HJ18" s="34" t="n"/>
      <c r="HK18" s="34" t="n"/>
      <c r="HL18" s="34" t="n"/>
      <c r="HM18" s="34"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ez_manage.py:5141 top()</t>
        </is>
      </c>
      <c r="IL18" s="26" t="inlineStr">
        <is>
          <t>v12_quick_engine.py:2538 x1</t>
        </is>
      </c>
      <c r="IM18" s="26" t="n"/>
    </row>
    <row r="19" ht="10.5" customHeight="1" s="67">
      <c r="A19" s="26" t="inlineStr">
        <is>
          <t>OPEN_RATE_MAX</t>
        </is>
      </c>
      <c r="B19" s="26" t="inlineStr">
        <is>
          <t>15</t>
        </is>
      </c>
      <c r="C19" s="26" t="n"/>
      <c r="D19" s="26" t="n"/>
      <c r="E19" s="26" t="n"/>
      <c r="F19" s="26" t="n"/>
      <c r="G19" s="26">
        <f>IFERROR(VLOOKUP($A24&amp;"_"&amp;$B24,Results_Deltas!$A$2:$P$15000,5,FALSE),"")</f>
        <v/>
      </c>
      <c r="H19" s="26">
        <f>IFERROR(VLOOKUP($A24,Results_30d_Deltas!$A$2:$H$5000,7,FALSE)-E23,"")</f>
        <v/>
      </c>
      <c r="I19" s="26">
        <f>IFERROR(VLOOKUP($A24,Results_30d_Deltas!$A$2:$H$5000,6,FALSE),"")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4" t="n"/>
      <c r="DY19" s="34" t="n"/>
      <c r="DZ19" s="34" t="n"/>
      <c r="EA19" s="34" t="n"/>
      <c r="EB19" s="34"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4" t="n"/>
      <c r="HJ19" s="34" t="n"/>
      <c r="HK19" s="34" t="n"/>
      <c r="HL19" s="34" t="n"/>
      <c r="HM19" s="34"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ez_manage.py:5142 top()</t>
        </is>
      </c>
      <c r="IL19" s="26" t="inlineStr">
        <is>
          <t>v12_quick_engine.py:2539 x1</t>
        </is>
      </c>
      <c r="IM19" s="26" t="n"/>
    </row>
    <row r="20" ht="10.5" customHeight="1" s="67">
      <c r="A20" s="26" t="inlineStr">
        <is>
          <t>STALE_HOLD_ENABLED</t>
        </is>
      </c>
      <c r="B20" s="26" t="n"/>
      <c r="C20" s="26" t="n"/>
      <c r="D20" s="26" t="n"/>
      <c r="E20" s="26" t="n"/>
      <c r="F20" s="26" t="n"/>
      <c r="G20" s="26">
        <f>IFERROR(VLOOKUP($A34&amp;"_"&amp;$B34,Results_Deltas!$A$2:$P$15000,5,FALSE),"")</f>
        <v/>
      </c>
      <c r="H20" s="26">
        <f>IFERROR(VLOOKUP($A34,Results_30d_Deltas!$A$2:$H$5000,7,FALSE)-E33,"")</f>
        <v/>
      </c>
      <c r="I20" s="26">
        <f>IFERROR(VLOOKUP($A34,Results_30d_Deltas!$A$2:$H$5000,6,FALSE),"")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UNIVERSAL_NOLOSS_BYPASS_REASONS</t>
        </is>
      </c>
      <c r="B21" s="26" t="n"/>
      <c r="C21" s="26" t="n"/>
      <c r="D21" s="26" t="n"/>
      <c r="E21" s="26" t="n"/>
      <c r="F21" s="26" t="n"/>
      <c r="G21" s="26">
        <f>IFERROR(VLOOKUP($A40&amp;"_"&amp;$B40,Results_Deltas!$A$2:$P$15000,5,FALSE),"")</f>
        <v/>
      </c>
      <c r="H21" s="26">
        <f>IFERROR(VLOOKUP($A40,Results_30d_Deltas!$A$2:$H$5000,7,FALSE)-E39,"")</f>
        <v/>
      </c>
      <c r="I21" s="26">
        <f>IFERROR(VLOOKUP($A40,Results_30d_Deltas!$A$2:$H$5000,6,FALSE),"")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37" t="inlineStr">
        <is>
          <t>EMA_9_21_FILTER_MIN_TFS</t>
        </is>
      </c>
      <c r="B22" s="38" t="inlineStr">
        <is>
          <t>1</t>
        </is>
      </c>
      <c r="C22" s="38" t="n"/>
      <c r="D22" s="38" t="inlineStr">
        <is>
          <t>GLOBAL_CHECK</t>
        </is>
      </c>
      <c r="E22" s="38" t="n"/>
      <c r="F22" s="26" t="n"/>
      <c r="G22" s="38">
        <f>IFERROR(VLOOKUP($A78&amp;"_"&amp;$B78,Results_Deltas!$A$2:$P$15000,5,FALSE),"")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0.5" customHeight="1" s="67">
      <c r="A23" s="37" t="inlineStr">
        <is>
          <t>HTF_GATE_D_MANDATORY</t>
        </is>
      </c>
      <c r="B23" s="38" t="inlineStr">
        <is>
          <t>0.0</t>
        </is>
      </c>
      <c r="C23" s="38" t="n"/>
      <c r="D23" s="38" t="inlineStr">
        <is>
          <t>ENTRY, GLOBAL_CHECK, STOCKS_EXIT</t>
        </is>
      </c>
      <c r="E23" s="38" t="n"/>
      <c r="F23" s="26" t="n"/>
      <c r="G23" s="38">
        <f>IFERROR(VLOOKUP($A138&amp;"_"&amp;$B138,Results_Deltas!$A$2:$P$15000,5,FALSE),"")</f>
        <v/>
      </c>
      <c r="H23" s="38" t="inlineStr">
        <is>
          <t>Blanket (page end)</t>
        </is>
      </c>
      <c r="I23" s="26" t="n"/>
      <c r="J23" s="26" t="n"/>
      <c r="K23" s="26" t="n"/>
      <c r="L23" s="26" t="inlineStr">
        <is>
          <t>YES</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0.5" customHeight="1" s="67">
      <c r="A24" s="39" t="inlineStr">
        <is>
          <t>HTF_TREND_VETO_BYPASS_ENABLED</t>
        </is>
      </c>
      <c r="B24" s="40" t="inlineStr">
        <is>
          <t>True</t>
        </is>
      </c>
      <c r="C24" s="38" t="n"/>
      <c r="D24" s="38" t="inlineStr">
        <is>
          <t>GLOBAL_CHECK, STOCKS_EXIT</t>
        </is>
      </c>
      <c r="E24" s="38" t="n"/>
      <c r="F24" s="26" t="n"/>
      <c r="G24" s="38">
        <f>IFERROR(VLOOKUP($A143&amp;"_"&amp;$B143,Results_Deltas!$A$2:$P$15000,5,FALSE),"")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0.5" customHeight="1" s="67">
      <c r="A25" s="39" t="inlineStr">
        <is>
          <t>LH_HL_FILTER_MODE</t>
        </is>
      </c>
      <c r="B25" s="40" t="inlineStr">
        <is>
          <t>STRICT_2BAR</t>
        </is>
      </c>
      <c r="C25" s="38" t="n"/>
      <c r="D25" s="38" t="inlineStr">
        <is>
          <t>ENTRY, GLOBAL_CHECK, STOCKS_EXIT</t>
        </is>
      </c>
      <c r="E25" s="38" t="n"/>
      <c r="F25" s="26" t="n"/>
      <c r="G25" s="38">
        <f>IFERROR(VLOOKUP($A150&amp;"_"&amp;$B150,Results_Deltas!$A$2:$P$15000,5,FALSE),"")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0.5" customHeight="1" s="67">
      <c r="A26" s="37" t="inlineStr">
        <is>
          <t>LIVE_VEC_EMERGENCY_BRAKE_ENABLED</t>
        </is>
      </c>
      <c r="B26" s="38" t="inlineStr">
        <is>
          <t>True</t>
        </is>
      </c>
      <c r="C26" s="38" t="n"/>
      <c r="D26" s="38" t="inlineStr">
        <is>
          <t>GLOBAL_CHECK, STOCKS_EXIT</t>
        </is>
      </c>
      <c r="E26" s="38" t="n"/>
      <c r="F26" s="26" t="n"/>
      <c r="G26" s="38">
        <f>IFERROR(VLOOKUP($A155&amp;"_"&amp;$B155,Results_Deltas!$A$2:$P$15000,5,FALSE),"")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0.5" customHeight="1" s="67">
      <c r="A27" s="37" t="inlineStr">
        <is>
          <t>LR_BAND_LADDER_TF_TOP</t>
        </is>
      </c>
      <c r="B27" s="38" t="inlineStr">
        <is>
          <t>0</t>
        </is>
      </c>
      <c r="C27" s="38" t="n"/>
      <c r="D27" s="38" t="inlineStr">
        <is>
          <t>GLOBAL_CHECK, STOCKS_EXIT</t>
        </is>
      </c>
      <c r="E27" s="38" t="n"/>
      <c r="F27" s="26" t="n"/>
      <c r="G27" s="38">
        <f>IFERROR(VLOOKUP($A160&amp;"_"&amp;$B160,Results_Deltas!$A$2:$P$15000,5,FALSE),"")</f>
        <v/>
      </c>
      <c r="H27" s="38" t="inlineStr">
        <is>
          <t>Blanket (page end)</t>
        </is>
      </c>
      <c r="I27" s="26" t="n"/>
      <c r="J27" s="26" t="n"/>
      <c r="K27" s="26" t="n"/>
      <c r="L27" s="26" t="inlineStr">
        <is>
          <t>YES</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0.5" customHeight="1" s="67">
      <c r="A28" s="39" t="inlineStr">
        <is>
          <t>MANDATORY_REENTRY_WT_FILTER_VELOCITY_RATIO</t>
        </is>
      </c>
      <c r="B28" s="40" t="inlineStr">
        <is>
          <t>0.90</t>
        </is>
      </c>
      <c r="C28" s="38" t="n"/>
      <c r="D28" s="38" t="inlineStr">
        <is>
          <t>GLOBAL_CHECK, STOCKS_EXIT</t>
        </is>
      </c>
      <c r="E28" s="38" t="n"/>
      <c r="F28" s="26" t="n"/>
      <c r="G28" s="38">
        <f>IFERROR(VLOOKUP($A169&amp;"_"&amp;$B169,Results_Deltas!$A$2:$P$15000,5,FALSE),"")</f>
        <v/>
      </c>
      <c r="H28" s="38" t="inlineStr">
        <is>
          <t>Blanket (page end)</t>
        </is>
      </c>
      <c r="I28" s="26" t="n"/>
      <c r="J28" s="26" t="n"/>
      <c r="K28" s="26" t="n"/>
      <c r="L28" s="26" t="inlineStr">
        <is>
          <t>YES</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0.5" customHeight="1" s="67">
      <c r="A29" s="37" t="inlineStr">
        <is>
          <t>MOVER_THRESHOLD</t>
        </is>
      </c>
      <c r="B29" s="38" t="inlineStr">
        <is>
          <t>3.75</t>
        </is>
      </c>
      <c r="C29" s="38" t="n"/>
      <c r="D29" s="38" t="inlineStr">
        <is>
          <t>ENTRY, GLOBAL_CHECK, STOCKS_EXIT</t>
        </is>
      </c>
      <c r="E29" s="38" t="n"/>
      <c r="F29" s="26" t="n"/>
      <c r="G29" s="38">
        <f>IFERROR(VLOOKUP($A177&amp;"_"&amp;$B177,Results_Deltas!$A$2:$P$15000,5,FALSE),"")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0.5" customHeight="1" s="67">
      <c r="A30" s="37" t="inlineStr">
        <is>
          <t>NEWBORN_LOSS_KILL_GAIN_THRESHOLD_PCT</t>
        </is>
      </c>
      <c r="B30" s="38" t="inlineStr">
        <is>
          <t>2.0</t>
        </is>
      </c>
      <c r="C30" s="38" t="n"/>
      <c r="D30" s="38" t="inlineStr">
        <is>
          <t>AUGMENT, EXIT, GLOBAL_CHECK, REDUCE, STOCKS_EXIT</t>
        </is>
      </c>
      <c r="E30" s="38" t="n"/>
      <c r="F30" s="26" t="n"/>
      <c r="G30" s="38">
        <f>IFERROR(VLOOKUP($A194&amp;"_"&amp;$B194,Results_Deltas!$A$2:$P$15000,5,FALSE),"")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0.5" customHeight="1" s="67">
      <c r="A31" s="37" t="inlineStr">
        <is>
          <t>NEWBORN_LOSS_KILL_GAIN_THRESHOLD_PCT</t>
        </is>
      </c>
      <c r="B31" s="38" t="inlineStr">
        <is>
          <t>1.0</t>
        </is>
      </c>
      <c r="C31" s="38" t="n"/>
      <c r="D31" s="38" t="inlineStr">
        <is>
          <t>AUGMENT, EXIT, GLOBAL_CHECK, REDUCE, STOCKS_EXIT</t>
        </is>
      </c>
      <c r="E31" s="38" t="n"/>
      <c r="F31" s="26" t="n"/>
      <c r="G31" s="38">
        <f>IFERROR(VLOOKUP($A195&amp;"_"&amp;$B195,Results_Deltas!$A$2:$P$15000,5,FALSE),"")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0.5" customHeight="1" s="67">
      <c r="A32" s="27" t="inlineStr">
        <is>
          <t>UNIVERSAL_NOLOSS_GATE</t>
        </is>
      </c>
      <c r="B32" s="27" t="inlineStr">
        <is>
          <t>False</t>
        </is>
      </c>
      <c r="C32" s="26" t="n"/>
      <c r="D32" s="26" t="n"/>
      <c r="E32" s="26" t="n"/>
      <c r="F32" s="26" t="n"/>
      <c r="G32" s="26">
        <f>IFERROR(VLOOKUP($A213&amp;"_"&amp;$B213,Results_Deltas!$A$2:$P$15000,5,FALSE),"")</f>
        <v/>
      </c>
      <c r="H32" s="26">
        <f>IFERROR(VLOOKUP($A214,Results_30d_Deltas!$A$2:$H$5000,7,FALSE)-E3,"")</f>
        <v/>
      </c>
      <c r="I32" s="26">
        <f>IFERROR(VLOOKUP($A214,Results_30d_Deltas!$A$2:$H$5000,6,FALSE),"")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6" t="n"/>
      <c r="HE32" s="36" t="n"/>
      <c r="HF32" s="36" t="n"/>
      <c r="HG32" s="36" t="n"/>
      <c r="HH32" s="36"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ez_manage.py:4233 top()</t>
        </is>
      </c>
      <c r="IL32" s="26" t="inlineStr">
        <is>
          <t>v12_quick_engine.py:837 x18</t>
        </is>
      </c>
      <c r="IM32" s="26" t="n"/>
    </row>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2026-09-19T02:35:03Z</dcterms:created>
  <dcterms:modified xsi:type="dcterms:W3CDTF">2026-09-19T02:35:39Z</dcterms:modified>
</cp:coreProperties>
</file>