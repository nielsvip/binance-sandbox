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7">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xf numFmtId="0" fontId="0" fillId="16" borderId="0" pivotButton="0" quotePrefix="0" xfId="0"/>
    <xf numFmtId="0" fontId="24"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JC4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84" t="inlineStr">
        <is>
          <t>KINDERGARTEN_EMA_GATE_ENABLED=False</t>
        </is>
      </c>
      <c r="IO2" s="84" t="inlineStr">
        <is>
          <t>KINDERGARTEN_EMA_GATE_ENABLED=True</t>
        </is>
      </c>
      <c r="IP2" s="84" t="inlineStr">
        <is>
          <t>EMA_9_21_FILTER_ENABLED=False</t>
        </is>
      </c>
      <c r="IQ2" s="84" t="inlineStr">
        <is>
          <t>EMA_9_21_FILTER_ENABLED=True</t>
        </is>
      </c>
      <c r="IR2" s="84" t="inlineStr">
        <is>
          <t>EMA_9_21_FILTER_TFS=1h</t>
        </is>
      </c>
      <c r="IS2" s="84" t="inlineStr">
        <is>
          <t>EMA_9_21_FILTER_TFS=1h,D</t>
        </is>
      </c>
      <c r="IT2" s="84" t="inlineStr">
        <is>
          <t>EMA_9_21_FILTER_TFS=15m,1h,4h</t>
        </is>
      </c>
      <c r="IU2" s="84" t="inlineStr">
        <is>
          <t>EMA_9_21_FILTER_TFS=D</t>
        </is>
      </c>
      <c r="IV2" s="84" t="inlineStr">
        <is>
          <t>KINDERGARTEN_CUMULATIVE_MIN_TFS=1</t>
        </is>
      </c>
      <c r="IW2" s="84" t="inlineStr">
        <is>
          <t>KINDERGARTEN_CUMULATIVE_MIN_TFS=2</t>
        </is>
      </c>
      <c r="IX2" s="84" t="inlineStr">
        <is>
          <t>KINDERGARTEN_STRICT_TFS=</t>
        </is>
      </c>
      <c r="IY2" s="84" t="inlineStr">
        <is>
          <t>KINDERGARTEN_STRICT_TFS=1h,D</t>
        </is>
      </c>
      <c r="IZ2" s="84" t="inlineStr">
        <is>
          <t>WT_SIMPLE_GUARANTEE_ENABLED=False</t>
        </is>
      </c>
      <c r="JA2" s="84" t="inlineStr">
        <is>
          <t>WT_SIMPLE_GUARANTEE_ENABLED=True</t>
        </is>
      </c>
      <c r="JB2" s="84" t="inlineStr">
        <is>
          <t>FORCE_MIN_ONE_TRADE=False</t>
        </is>
      </c>
      <c r="JC2" s="84" t="inlineStr">
        <is>
          <t>FORCE_MIN_ONE_TRADE=True</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s="85" t="inlineStr">
        <is>
          <t>HARDCODED_RALLY_REENTRY_ENABLED</t>
        </is>
      </c>
      <c r="B18" s="83" t="inlineStr">
        <is>
          <t>True</t>
        </is>
      </c>
      <c r="C18" s="0" t="inlineStr">
        <is>
          <t>True</t>
        </is>
      </c>
      <c r="D18" s="0" t="inlineStr">
        <is>
          <t>ALWAYS_TESTED</t>
        </is>
      </c>
    </row>
    <row r="19" ht="10.5" customHeight="1" s="67">
      <c r="A19" s="0" t="inlineStr">
        <is>
          <t>HARDCODED_RALLY_REENTRY_ENABLED</t>
        </is>
      </c>
      <c r="B19" s="83" t="inlineStr">
        <is>
          <t>True</t>
        </is>
      </c>
      <c r="C19" s="0" t="inlineStr">
        <is>
          <t>False</t>
        </is>
      </c>
      <c r="D19" s="0" t="inlineStr">
        <is>
          <t>ALWAYS_TESTED</t>
        </is>
      </c>
    </row>
    <row r="20" ht="10.5" customHeight="1" s="67">
      <c r="A20" s="85" t="inlineStr">
        <is>
          <t>HARDCODED_RALLY_REENTRY_BYPASS_COOLDOWN</t>
        </is>
      </c>
      <c r="B20" s="83" t="inlineStr">
        <is>
          <t>True</t>
        </is>
      </c>
      <c r="C20" s="0" t="inlineStr">
        <is>
          <t>True</t>
        </is>
      </c>
      <c r="D20" s="0" t="inlineStr">
        <is>
          <t>ALWAYS_TESTED</t>
        </is>
      </c>
    </row>
    <row r="21" ht="10.5" customHeight="1" s="67">
      <c r="A21" s="0" t="inlineStr">
        <is>
          <t>HARDCODED_RALLY_REENTRY_BYPASS_COOLDOWN</t>
        </is>
      </c>
      <c r="B21" s="83" t="inlineStr">
        <is>
          <t>True</t>
        </is>
      </c>
      <c r="C21" s="0" t="inlineStr">
        <is>
          <t>False</t>
        </is>
      </c>
      <c r="D21" s="0" t="inlineStr">
        <is>
          <t>ALWAYS_TESTED</t>
        </is>
      </c>
    </row>
    <row r="22" ht="10.5" customHeight="1" s="67">
      <c r="A22" s="85" t="inlineStr">
        <is>
          <t>HARDCODED_RALLY_REENTRY_REQUIRE_WT</t>
        </is>
      </c>
      <c r="B22" s="83" t="inlineStr">
        <is>
          <t>False</t>
        </is>
      </c>
      <c r="C22" s="0" t="inlineStr">
        <is>
          <t>False</t>
        </is>
      </c>
      <c r="D22" s="0" t="inlineStr">
        <is>
          <t>ALWAYS_TESTED</t>
        </is>
      </c>
    </row>
    <row r="23" ht="10.5" customHeight="1" s="67">
      <c r="A23" s="0" t="inlineStr">
        <is>
          <t>HARDCODED_RALLY_REENTRY_REQUIRE_WT</t>
        </is>
      </c>
      <c r="B23" s="83" t="inlineStr">
        <is>
          <t>False</t>
        </is>
      </c>
      <c r="C23" s="0" t="inlineStr">
        <is>
          <t>True</t>
        </is>
      </c>
      <c r="D23" s="0" t="inlineStr">
        <is>
          <t>ALWAYS_TESTED</t>
        </is>
      </c>
    </row>
    <row r="24" ht="10.5" customHeight="1" s="67">
      <c r="A24" s="85" t="inlineStr">
        <is>
          <t>BEAR_MARKET_MODE</t>
        </is>
      </c>
      <c r="B24" s="83" t="inlineStr">
        <is>
          <t>True</t>
        </is>
      </c>
      <c r="C24" s="0" t="n"/>
      <c r="D24" s="0" t="n"/>
      <c r="G24" s="0">
        <f>IFERROR(VLOOKUP($A24&amp;"_"&amp;$B24,Results_Deltas!$A$2:$P$15000,5,FALSE),"")</f>
        <v/>
      </c>
      <c r="H24" s="0">
        <f>IFERROR(VLOOKUP($A24,Results_30d_Deltas!$A$2:$H$5000,7,FALSE)-E24,"")</f>
        <v/>
      </c>
      <c r="I24" s="0">
        <f>IFERROR(VLOOKUP($A24,Results_30d_Deltas!$A$2:$H$5000,6,FALSE),"")</f>
        <v/>
      </c>
    </row>
    <row r="25" ht="10.5" customHeight="1" s="67">
      <c r="A25" s="0" t="inlineStr">
        <is>
          <t>BEAR_MARKET_MODE</t>
        </is>
      </c>
      <c r="B25" s="83" t="inlineStr">
        <is>
          <t>False</t>
        </is>
      </c>
      <c r="C25" s="0" t="n"/>
      <c r="D25" s="0" t="n"/>
      <c r="G25" s="0">
        <f>IFERROR(VLOOKUP($A25&amp;"_"&amp;$B25,Results_Deltas!$A$2:$P$15000,5,FALSE),"")</f>
        <v/>
      </c>
      <c r="H25" s="0">
        <f>IFERROR(VLOOKUP($A25,Results_30d_Deltas!$A$2:$H$5000,7,FALSE)-E25,"")</f>
        <v/>
      </c>
      <c r="I25" s="0">
        <f>IFERROR(VLOOKUP($A25,Results_30d_Deltas!$A$2:$H$5000,6,FALSE),"")</f>
        <v/>
      </c>
    </row>
    <row r="26" ht="10.5" customHeight="1" s="67">
      <c r="A26" s="85" t="inlineStr">
        <is>
          <t>KINDERGARTEN_EMA_GATE_ENABLED</t>
        </is>
      </c>
      <c r="B26" s="85" t="inlineStr">
        <is>
          <t>True</t>
        </is>
      </c>
      <c r="C26" s="0" t="inlineStr">
        <is>
          <t>True</t>
        </is>
      </c>
      <c r="D26" s="0" t="inlineStr">
        <is>
          <t>KINDERGARTEN</t>
        </is>
      </c>
      <c r="E26" s="0">
        <f>IF(G25="",E25,IF(G25&gt;0,E25+G25,E25))</f>
        <v/>
      </c>
      <c r="F26" s="0">
        <f>IFERROR(VLOOKUP($A26&amp;"_"&amp;$B26,Results_Deltas!$A$2:$P$15000,5,FALSE),"")</f>
        <v/>
      </c>
      <c r="G26" s="0">
        <f>IFERROR(VLOOKUP($A26&amp;"_"&amp;$B26,Results_Deltas!$A$2:$P$15000,5,FALSE),"")</f>
        <v/>
      </c>
    </row>
    <row r="27" ht="10.5" customHeight="1" s="67">
      <c r="A27" s="0" t="inlineStr">
        <is>
          <t>KINDERGARTEN_EMA_GATE_ENABLED</t>
        </is>
      </c>
      <c r="B27" s="0" t="inlineStr">
        <is>
          <t>True</t>
        </is>
      </c>
      <c r="C27" s="0" t="inlineStr">
        <is>
          <t>False</t>
        </is>
      </c>
      <c r="D27" s="0" t="inlineStr">
        <is>
          <t>KINDERGARTEN</t>
        </is>
      </c>
      <c r="E27" s="0">
        <f>IF(G26="",E26,IF(G26&gt;0,E26+G26,E26))</f>
        <v/>
      </c>
      <c r="F27" s="0">
        <f>IFERROR(VLOOKUP($A27&amp;"_"&amp;$B27,Results_Deltas!$A$2:$P$15000,5,FALSE),"")</f>
        <v/>
      </c>
      <c r="G27" s="0">
        <f>IFERROR(VLOOKUP($A27&amp;"_"&amp;$B27,Results_Deltas!$A$2:$P$15000,5,FALSE),"")</f>
        <v/>
      </c>
    </row>
    <row r="28" ht="10.5" customHeight="1" s="67">
      <c r="A28" s="0" t="inlineStr">
        <is>
          <t>KINDERGARTEN_EMA_GATE_ENABLED</t>
        </is>
      </c>
      <c r="B28" s="0" t="inlineStr">
        <is>
          <t>False</t>
        </is>
      </c>
      <c r="C28" s="0" t="inlineStr">
        <is>
          <t>True</t>
        </is>
      </c>
      <c r="D28" s="0" t="inlineStr">
        <is>
          <t>KINDERGARTEN</t>
        </is>
      </c>
      <c r="E28" s="0">
        <f>IF(G27="",E27,IF(G27&gt;0,E27+G27,E27))</f>
        <v/>
      </c>
      <c r="F28" s="0">
        <f>IFERROR(VLOOKUP($A28&amp;"_"&amp;$B28,Results_Deltas!$A$2:$P$15000,5,FALSE),"")</f>
        <v/>
      </c>
      <c r="G28" s="0">
        <f>IFERROR(VLOOKUP($A28&amp;"_"&amp;$B28,Results_Deltas!$A$2:$P$15000,5,FALSE),"")</f>
        <v/>
      </c>
    </row>
    <row r="29" ht="10.5" customHeight="1" s="67">
      <c r="A29" s="0" t="inlineStr">
        <is>
          <t>KINDERGARTEN_EMA_GATE_ENABLED</t>
        </is>
      </c>
      <c r="B29" s="0" t="inlineStr">
        <is>
          <t>False</t>
        </is>
      </c>
      <c r="C29" s="0" t="inlineStr">
        <is>
          <t>False</t>
        </is>
      </c>
      <c r="D29" s="0" t="inlineStr">
        <is>
          <t>KINDERGARTEN</t>
        </is>
      </c>
      <c r="E29" s="0">
        <f>IF(G28="",E28,IF(G28&gt;0,E28+G28,E28))</f>
        <v/>
      </c>
      <c r="F29" s="0">
        <f>IFERROR(VLOOKUP($A29&amp;"_"&amp;$B29,Results_Deltas!$A$2:$P$15000,5,FALSE),"")</f>
        <v/>
      </c>
      <c r="G29" s="0">
        <f>IFERROR(VLOOKUP($A29&amp;"_"&amp;$B29,Results_Deltas!$A$2:$P$15000,5,FALSE),"")</f>
        <v/>
      </c>
    </row>
    <row r="30" ht="10.5" customHeight="1" s="67">
      <c r="A30" s="85" t="inlineStr">
        <is>
          <t>EMA_9_21_FILTER_ENABLED</t>
        </is>
      </c>
      <c r="B30" s="85" t="inlineStr">
        <is>
          <t>True</t>
        </is>
      </c>
      <c r="C30" s="0" t="inlineStr">
        <is>
          <t>True</t>
        </is>
      </c>
      <c r="D30" s="0" t="inlineStr">
        <is>
          <t>KINDERGARTEN</t>
        </is>
      </c>
      <c r="E30" s="0">
        <f>IF(G29="",E29,IF(G29&gt;0,E29+G29,E29))</f>
        <v/>
      </c>
      <c r="F30" s="0">
        <f>IFERROR(VLOOKUP($A30&amp;"_"&amp;$B30,Results_Deltas!$A$2:$P$15000,5,FALSE),"")</f>
        <v/>
      </c>
      <c r="G30" s="0">
        <f>IFERROR(VLOOKUP($A30&amp;"_"&amp;$B30,Results_Deltas!$A$2:$P$15000,5,FALSE),"")</f>
        <v/>
      </c>
    </row>
    <row r="31" ht="10.5" customHeight="1" s="67">
      <c r="A31" s="0" t="inlineStr">
        <is>
          <t>EMA_9_21_FILTER_ENABLED</t>
        </is>
      </c>
      <c r="B31" s="0" t="inlineStr">
        <is>
          <t>True</t>
        </is>
      </c>
      <c r="C31" s="0" t="inlineStr">
        <is>
          <t>False</t>
        </is>
      </c>
      <c r="D31" s="0" t="inlineStr">
        <is>
          <t>KINDERGARTEN</t>
        </is>
      </c>
      <c r="E31" s="0">
        <f>IF(G30="",E30,IF(G30&gt;0,E30+G30,E30))</f>
        <v/>
      </c>
      <c r="F31" s="0">
        <f>IFERROR(VLOOKUP($A31&amp;"_"&amp;$B31,Results_Deltas!$A$2:$P$15000,5,FALSE),"")</f>
        <v/>
      </c>
      <c r="G31" s="0">
        <f>IFERROR(VLOOKUP($A31&amp;"_"&amp;$B31,Results_Deltas!$A$2:$P$15000,5,FALSE),"")</f>
        <v/>
      </c>
    </row>
    <row r="32" ht="10.5" customHeight="1" s="67">
      <c r="A32" s="0" t="inlineStr">
        <is>
          <t>EMA_9_21_FILTER_ENABLED</t>
        </is>
      </c>
      <c r="B32" s="0" t="inlineStr">
        <is>
          <t>False</t>
        </is>
      </c>
      <c r="C32" s="0" t="inlineStr">
        <is>
          <t>True</t>
        </is>
      </c>
      <c r="D32" s="0" t="inlineStr">
        <is>
          <t>KINDERGARTEN</t>
        </is>
      </c>
      <c r="E32" s="0">
        <f>IF(G31="",E31,IF(G31&gt;0,E31+G31,E31))</f>
        <v/>
      </c>
      <c r="F32" s="0">
        <f>IFERROR(VLOOKUP($A32&amp;"_"&amp;$B32,Results_Deltas!$A$2:$P$15000,5,FALSE),"")</f>
        <v/>
      </c>
      <c r="G32" s="0">
        <f>IFERROR(VLOOKUP($A32&amp;"_"&amp;$B32,Results_Deltas!$A$2:$P$15000,5,FALSE),"")</f>
        <v/>
      </c>
    </row>
    <row r="33" ht="10.5" customHeight="1" s="67">
      <c r="A33" s="85" t="inlineStr">
        <is>
          <t>EMA_9_21_FILTER_TFS</t>
        </is>
      </c>
      <c r="B33" s="85" t="inlineStr">
        <is>
          <t>1h</t>
        </is>
      </c>
      <c r="C33" s="0" t="inlineStr">
        <is>
          <t>1h</t>
        </is>
      </c>
      <c r="D33" s="0" t="inlineStr">
        <is>
          <t>KINDERGARTEN</t>
        </is>
      </c>
      <c r="E33" s="0">
        <f>IF(G32="",E32,IF(G32&gt;0,E32+G32,E32))</f>
        <v/>
      </c>
      <c r="F33" s="0">
        <f>IFERROR(VLOOKUP($A33&amp;"_"&amp;$B33,Results_Deltas!$A$2:$P$15000,5,FALSE),"")</f>
        <v/>
      </c>
      <c r="G33" s="0">
        <f>IFERROR(VLOOKUP($A33&amp;"_"&amp;$B33,Results_Deltas!$A$2:$P$15000,5,FALSE),"")</f>
        <v/>
      </c>
    </row>
    <row r="34" ht="10.5" customHeight="1" s="67">
      <c r="A34" s="0" t="inlineStr">
        <is>
          <t>EMA_9_21_FILTER_TFS</t>
        </is>
      </c>
      <c r="B34" s="0" t="inlineStr">
        <is>
          <t>1h</t>
        </is>
      </c>
      <c r="C34" s="0" t="inlineStr">
        <is>
          <t>1h,D</t>
        </is>
      </c>
      <c r="D34" s="0" t="inlineStr">
        <is>
          <t>KINDERGARTEN</t>
        </is>
      </c>
      <c r="E34" s="0">
        <f>IF(G33="",E33,IF(G33&gt;0,E33+G33,E33))</f>
        <v/>
      </c>
      <c r="F34" s="0">
        <f>IFERROR(VLOOKUP($A34&amp;"_"&amp;$B34,Results_Deltas!$A$2:$P$15000,5,FALSE),"")</f>
        <v/>
      </c>
      <c r="G34" s="0">
        <f>IFERROR(VLOOKUP($A34&amp;"_"&amp;$B34,Results_Deltas!$A$2:$P$15000,5,FALSE),"")</f>
        <v/>
      </c>
    </row>
    <row r="35" ht="10.5" customHeight="1" s="67">
      <c r="A35" s="0" t="inlineStr">
        <is>
          <t>EMA_9_21_FILTER_TFS</t>
        </is>
      </c>
      <c r="B35" s="0" t="inlineStr">
        <is>
          <t>1h</t>
        </is>
      </c>
      <c r="C35" s="0" t="inlineStr">
        <is>
          <t>15m,1h,4h</t>
        </is>
      </c>
      <c r="D35" s="0" t="inlineStr">
        <is>
          <t>KINDERGARTEN</t>
        </is>
      </c>
      <c r="E35" s="0">
        <f>IF(G34="",E34,IF(G34&gt;0,E34+G34,E34))</f>
        <v/>
      </c>
      <c r="F35" s="0">
        <f>IFERROR(VLOOKUP($A35&amp;"_"&amp;$B35,Results_Deltas!$A$2:$P$15000,5,FALSE),"")</f>
        <v/>
      </c>
      <c r="G35" s="0">
        <f>IFERROR(VLOOKUP($A35&amp;"_"&amp;$B35,Results_Deltas!$A$2:$P$15000,5,FALSE),"")</f>
        <v/>
      </c>
    </row>
    <row r="36" ht="10.5" customHeight="1" s="67">
      <c r="A36" s="0" t="inlineStr">
        <is>
          <t>EMA_9_21_FILTER_TFS</t>
        </is>
      </c>
      <c r="B36" s="0" t="inlineStr">
        <is>
          <t>1h</t>
        </is>
      </c>
      <c r="C36" s="0" t="inlineStr">
        <is>
          <t>D</t>
        </is>
      </c>
      <c r="D36" s="0" t="inlineStr">
        <is>
          <t>KINDERGARTEN</t>
        </is>
      </c>
      <c r="E36" s="0">
        <f>IF(G35="",E35,IF(G35&gt;0,E35+G35,E35))</f>
        <v/>
      </c>
      <c r="F36" s="0">
        <f>IFERROR(VLOOKUP($A36&amp;"_"&amp;$B36,Results_Deltas!$A$2:$P$15000,5,FALSE),"")</f>
        <v/>
      </c>
      <c r="G36" s="0">
        <f>IFERROR(VLOOKUP($A36&amp;"_"&amp;$B36,Results_Deltas!$A$2:$P$15000,5,FALSE),"")</f>
        <v/>
      </c>
    </row>
    <row r="37" ht="10.5" customHeight="1" s="67">
      <c r="A37" s="0" t="inlineStr">
        <is>
          <t>EMA_9_21_FILTER_TFS</t>
        </is>
      </c>
      <c r="B37" s="0" t="inlineStr">
        <is>
          <t>1h,D</t>
        </is>
      </c>
      <c r="C37" s="0" t="inlineStr">
        <is>
          <t>1h</t>
        </is>
      </c>
      <c r="D37" s="0" t="inlineStr">
        <is>
          <t>KINDERGARTEN</t>
        </is>
      </c>
      <c r="E37" s="0">
        <f>IF(G36="",E36,IF(G36&gt;0,E36+G36,E36))</f>
        <v/>
      </c>
      <c r="F37" s="0">
        <f>IFERROR(VLOOKUP($A37&amp;"_"&amp;$B37,Results_Deltas!$A$2:$P$15000,5,FALSE),"")</f>
        <v/>
      </c>
      <c r="G37" s="0">
        <f>IFERROR(VLOOKUP($A37&amp;"_"&amp;$B37,Results_Deltas!$A$2:$P$15000,5,FALSE),"")</f>
        <v/>
      </c>
    </row>
    <row r="38" ht="10.5" customHeight="1" s="67">
      <c r="A38" s="85" t="inlineStr">
        <is>
          <t>KINDERGARTEN_CUMULATIVE_MIN_TFS</t>
        </is>
      </c>
      <c r="B38" s="85" t="n">
        <v>1</v>
      </c>
      <c r="C38" s="0" t="n">
        <v>1</v>
      </c>
      <c r="D38" s="0" t="inlineStr">
        <is>
          <t>KINDERGARTEN</t>
        </is>
      </c>
      <c r="E38" s="0">
        <f>IF(G37="",E37,IF(G37&gt;0,E37+G37,E37))</f>
        <v/>
      </c>
      <c r="F38" s="0">
        <f>IFERROR(VLOOKUP($A38&amp;"_"&amp;$B38,Results_Deltas!$A$2:$P$15000,5,FALSE),"")</f>
        <v/>
      </c>
      <c r="G38" s="0">
        <f>IFERROR(VLOOKUP($A38&amp;"_"&amp;$B38,Results_Deltas!$A$2:$P$15000,5,FALSE),"")</f>
        <v/>
      </c>
    </row>
    <row r="39" ht="10.5" customHeight="1" s="67">
      <c r="A39" s="0" t="inlineStr">
        <is>
          <t>KINDERGARTEN_CUMULATIVE_MIN_TFS</t>
        </is>
      </c>
      <c r="B39" s="0" t="n">
        <v>1</v>
      </c>
      <c r="C39" s="0" t="n">
        <v>2</v>
      </c>
      <c r="D39" s="0" t="inlineStr">
        <is>
          <t>KINDERGARTEN</t>
        </is>
      </c>
      <c r="E39" s="0">
        <f>IF(G38="",E38,IF(G38&gt;0,E38+G38,E38))</f>
        <v/>
      </c>
      <c r="F39" s="0">
        <f>IFERROR(VLOOKUP($A39&amp;"_"&amp;$B39,Results_Deltas!$A$2:$P$15000,5,FALSE),"")</f>
        <v/>
      </c>
      <c r="G39" s="0">
        <f>IFERROR(VLOOKUP($A39&amp;"_"&amp;$B39,Results_Deltas!$A$2:$P$15000,5,FALSE),"")</f>
        <v/>
      </c>
    </row>
    <row r="40" ht="10.5" customHeight="1" s="67">
      <c r="A40" s="85" t="inlineStr">
        <is>
          <t>KINDERGARTEN_STRICT_TFS</t>
        </is>
      </c>
      <c r="B40" s="85" t="inlineStr"/>
      <c r="C40" s="0" t="inlineStr">
        <is>
          <t>1h,D</t>
        </is>
      </c>
      <c r="D40" s="0" t="inlineStr">
        <is>
          <t>KINDERGARTEN</t>
        </is>
      </c>
      <c r="E40" s="0">
        <f>IF(G39="",E39,IF(G39&gt;0,E39+G39,E39))</f>
        <v/>
      </c>
      <c r="F40" s="0">
        <f>IFERROR(VLOOKUP($A40&amp;"_"&amp;$B40,Results_Deltas!$A$2:$P$15000,5,FALSE),"")</f>
        <v/>
      </c>
      <c r="G40" s="0">
        <f>IFERROR(VLOOKUP($A40&amp;"_"&amp;$B40,Results_Deltas!$A$2:$P$15000,5,FALSE),"")</f>
        <v/>
      </c>
    </row>
    <row r="41" ht="15.75" customHeight="1" s="67">
      <c r="A41" s="0" t="inlineStr">
        <is>
          <t>KINDERGARTEN_STRICT_TFS</t>
        </is>
      </c>
      <c r="B41" s="0" t="inlineStr">
        <is>
          <t>1h,D</t>
        </is>
      </c>
      <c r="C41" s="0" t="inlineStr"/>
      <c r="D41" s="0" t="inlineStr">
        <is>
          <t>KINDERGARTEN</t>
        </is>
      </c>
      <c r="E41" s="0">
        <f>IF(G40="",E40,IF(G40&gt;0,E40+G40,E40))</f>
        <v/>
      </c>
      <c r="F41" s="0">
        <f>IFERROR(VLOOKUP($A41&amp;"_"&amp;$B41,Results_Deltas!$A$2:$P$15000,5,FALSE),"")</f>
        <v/>
      </c>
      <c r="G41" s="0">
        <f>IFERROR(VLOOKUP($A41&amp;"_"&amp;$B41,Results_Deltas!$A$2:$P$15000,5,FALSE),"")</f>
        <v/>
      </c>
    </row>
    <row r="42" ht="15.75" customHeight="1" s="67">
      <c r="A42" s="85" t="inlineStr">
        <is>
          <t>WT_SIMPLE_GUARANTEE_ENABLED</t>
        </is>
      </c>
      <c r="B42" s="85" t="inlineStr">
        <is>
          <t>False</t>
        </is>
      </c>
      <c r="C42" s="0" t="inlineStr">
        <is>
          <t>False</t>
        </is>
      </c>
      <c r="D42" s="0" t="inlineStr">
        <is>
          <t>KINDERGARTEN</t>
        </is>
      </c>
      <c r="E42" s="0">
        <f>IF(G41="",E41,IF(G41&gt;0,E41+G41,E41))</f>
        <v/>
      </c>
      <c r="F42" s="0">
        <f>IFERROR(VLOOKUP($A42&amp;"_"&amp;$B42,Results_Deltas!$A$2:$P$15000,5,FALSE),"")</f>
        <v/>
      </c>
      <c r="G42" s="0">
        <f>IFERROR(VLOOKUP($A42&amp;"_"&amp;$B42,Results_Deltas!$A$2:$P$15000,5,FALSE),"")</f>
        <v/>
      </c>
    </row>
    <row r="43" ht="15.75" customHeight="1" s="67">
      <c r="A43" s="0" t="inlineStr">
        <is>
          <t>WT_SIMPLE_GUARANTEE_ENABLED</t>
        </is>
      </c>
      <c r="B43" s="0" t="inlineStr">
        <is>
          <t>False</t>
        </is>
      </c>
      <c r="C43" s="0" t="inlineStr">
        <is>
          <t>True</t>
        </is>
      </c>
      <c r="D43" s="0" t="inlineStr">
        <is>
          <t>KINDERGARTEN</t>
        </is>
      </c>
      <c r="E43" s="0">
        <f>IF(G42="",E42,IF(G42&gt;0,E42+G42,E42))</f>
        <v/>
      </c>
      <c r="F43" s="0">
        <f>IFERROR(VLOOKUP($A43&amp;"_"&amp;$B43,Results_Deltas!$A$2:$P$15000,5,FALSE),"")</f>
        <v/>
      </c>
      <c r="G43" s="0">
        <f>IFERROR(VLOOKUP($A43&amp;"_"&amp;$B43,Results_Deltas!$A$2:$P$15000,5,FALSE),"")</f>
        <v/>
      </c>
    </row>
    <row r="44" ht="15.75" customHeight="1" s="67">
      <c r="A44" s="85" t="inlineStr">
        <is>
          <t>FORCE_MIN_ONE_TRADE</t>
        </is>
      </c>
      <c r="B44" s="85" t="inlineStr">
        <is>
          <t>False</t>
        </is>
      </c>
      <c r="C44" s="0" t="inlineStr">
        <is>
          <t>False</t>
        </is>
      </c>
      <c r="D44" s="0" t="inlineStr">
        <is>
          <t>KINDERGARTEN</t>
        </is>
      </c>
      <c r="E44" s="0">
        <f>IF(G43="",E43,IF(G43&gt;0,E43+G43,E43))</f>
        <v/>
      </c>
      <c r="F44" s="0">
        <f>IFERROR(VLOOKUP($A44&amp;"_"&amp;$B44,Results_Deltas!$A$2:$P$15000,5,FALSE),"")</f>
        <v/>
      </c>
      <c r="G44" s="0">
        <f>IFERROR(VLOOKUP($A44&amp;"_"&amp;$B44,Results_Deltas!$A$2:$P$15000,5,FALSE),"")</f>
        <v/>
      </c>
    </row>
    <row r="45" ht="15.75" customHeight="1" s="67">
      <c r="A45" s="0" t="inlineStr">
        <is>
          <t>FORCE_MIN_ONE_TRADE</t>
        </is>
      </c>
      <c r="B45" s="0" t="inlineStr">
        <is>
          <t>False</t>
        </is>
      </c>
      <c r="C45" s="0" t="inlineStr">
        <is>
          <t>True</t>
        </is>
      </c>
      <c r="D45" s="0" t="inlineStr">
        <is>
          <t>KINDERGARTEN</t>
        </is>
      </c>
      <c r="E45" s="0">
        <f>IF(G44="",E44,IF(G44&gt;0,E44+G44,E44))</f>
        <v/>
      </c>
      <c r="F45" s="0">
        <f>IFERROR(VLOOKUP($A45&amp;"_"&amp;$B45,Results_Deltas!$A$2:$P$15000,5,FALSE),"")</f>
        <v/>
      </c>
      <c r="G45" s="0">
        <f>IFERROR(VLOOKUP($A45&amp;"_"&amp;$B45,Results_Deltas!$A$2:$P$15000,5,FALSE),"")</f>
        <v/>
      </c>
    </row>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58"/>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c r="A443" s="0" t="n">
        <v>900</v>
      </c>
      <c r="B443" s="0" t="inlineStr">
        <is>
          <t>KINDERGARTEN_EMA_GATE_ENABLED</t>
        </is>
      </c>
      <c r="C443" s="0" t="inlineStr">
        <is>
          <t>False</t>
        </is>
      </c>
      <c r="D443" s="0" t="inlineStr">
        <is>
          <t>Kindergarten EMA gate: blocks entries when 9/21 EMA misaligned on TF. False=OFF, True=blocks counter-trend on 1h+D+4h. | Live: tradier_manage _kindergarten_ema_gate</t>
        </is>
      </c>
      <c r="E443" s="0" t="inlineStr">
        <is>
          <t>ENTRY, GLOBAL_CHECK</t>
        </is>
      </c>
      <c r="F443" s="0" t="inlineStr">
        <is>
          <t>ENTRY, GLOBAL_CHECK</t>
        </is>
      </c>
      <c r="G443" s="0" t="inlineStr">
        <is>
          <t>KINDERGARTEN_EMA_GATE_ENABLED</t>
        </is>
      </c>
      <c r="H443" s="0" t="inlineStr">
        <is>
          <t>SPECIFIC — only gated switches</t>
        </is>
      </c>
      <c r="I443" s="0" t="inlineStr">
        <is>
          <t>LIVE — wired</t>
        </is>
      </c>
    </row>
    <row r="444" ht="15.75" customHeight="1" s="67">
      <c r="A444" s="0" t="n">
        <v>901</v>
      </c>
      <c r="B444" s="0" t="inlineStr">
        <is>
          <t>KINDERGARTEN_EMA_GATE_ENABLED</t>
        </is>
      </c>
      <c r="C444" s="0" t="inlineStr">
        <is>
          <t>True</t>
        </is>
      </c>
      <c r="D444" s="0" t="inlineStr">
        <is>
          <t>Kindergarten EMA gate: blocks entries when 9/21 EMA misaligned on TF. False=OFF, True=blocks counter-trend on 1h+D+4h. | Live: tradier_manage _kindergarten_ema_gate</t>
        </is>
      </c>
      <c r="E444" s="0" t="inlineStr">
        <is>
          <t>ENTRY, GLOBAL_CHECK</t>
        </is>
      </c>
      <c r="F444" s="0" t="inlineStr">
        <is>
          <t>ENTRY, GLOBAL_CHECK</t>
        </is>
      </c>
      <c r="G444" s="0" t="inlineStr">
        <is>
          <t>KINDERGARTEN_EMA_GATE_ENABLED</t>
        </is>
      </c>
      <c r="H444" s="0" t="inlineStr">
        <is>
          <t>SPECIFIC — only gated switches</t>
        </is>
      </c>
      <c r="I444" s="0" t="inlineStr">
        <is>
          <t>LIVE — wired</t>
        </is>
      </c>
    </row>
    <row r="445" ht="15.75" customHeight="1" s="67">
      <c r="A445" s="0" t="n">
        <v>902</v>
      </c>
      <c r="B445" s="0" t="inlineStr">
        <is>
          <t>EMA_9_21_FILTER_ENABLED</t>
        </is>
      </c>
      <c r="C445" s="0" t="inlineStr">
        <is>
          <t>False</t>
        </is>
      </c>
      <c r="D445" s="0" t="inlineStr">
        <is>
          <t>9/21 EMA filter enabled: False=off, True=require 9 above 21 on TF for LONG (reverse SHORT). | Live: v12_quick_engine kindergarten gate</t>
        </is>
      </c>
      <c r="E445" s="0" t="inlineStr">
        <is>
          <t>ENTRY, GLOBAL_CHECK</t>
        </is>
      </c>
      <c r="F445" s="0" t="inlineStr">
        <is>
          <t>ENTRY, GLOBAL_CHECK</t>
        </is>
      </c>
      <c r="G445" s="0" t="inlineStr">
        <is>
          <t>EMA_9_21_FILTER_ENABLED</t>
        </is>
      </c>
      <c r="H445" s="0" t="inlineStr">
        <is>
          <t>SPECIFIC — only gated switches</t>
        </is>
      </c>
      <c r="I445" s="0" t="inlineStr">
        <is>
          <t>LIVE — wired</t>
        </is>
      </c>
    </row>
    <row r="446" ht="15.75" customHeight="1" s="67">
      <c r="A446" s="0" t="n">
        <v>903</v>
      </c>
      <c r="B446" s="0" t="inlineStr">
        <is>
          <t>EMA_9_21_FILTER_ENABLED</t>
        </is>
      </c>
      <c r="C446" s="0" t="inlineStr">
        <is>
          <t>True</t>
        </is>
      </c>
      <c r="D446" s="0" t="inlineStr">
        <is>
          <t>9/21 EMA filter enabled: False=off, True=require 9 above 21 on TF for LONG (reverse SHORT). | Live: v12_quick_engine kindergarten gate</t>
        </is>
      </c>
      <c r="E446" s="0" t="inlineStr">
        <is>
          <t>ENTRY, GLOBAL_CHECK</t>
        </is>
      </c>
      <c r="F446" s="0" t="inlineStr">
        <is>
          <t>ENTRY, GLOBAL_CHECK</t>
        </is>
      </c>
      <c r="G446" s="0" t="inlineStr">
        <is>
          <t>EMA_9_21_FILTER_ENABLED</t>
        </is>
      </c>
      <c r="H446" s="0" t="inlineStr">
        <is>
          <t>SPECIFIC — only gated switches</t>
        </is>
      </c>
      <c r="I446" s="0" t="inlineStr">
        <is>
          <t>LIVE — wired</t>
        </is>
      </c>
    </row>
    <row r="447" ht="15.75" customHeight="1" s="67">
      <c r="A447" s="0" t="n">
        <v>904</v>
      </c>
      <c r="B447" s="0" t="inlineStr">
        <is>
          <t>EMA_9_21_FILTER_TFS</t>
        </is>
      </c>
      <c r="C447" s="0" t="inlineStr">
        <is>
          <t>1h</t>
        </is>
      </c>
      <c r="D447" s="0" t="inlineStr">
        <is>
          <t>TF list for 9/21: comma-separated TFs that must agree (e.g. 1h, 1h+D, 15m+1h+4h). | Live: EMA_9_21_FILTER_TFS</t>
        </is>
      </c>
      <c r="E447" s="0" t="inlineStr">
        <is>
          <t>GLOBAL_CHECK</t>
        </is>
      </c>
      <c r="F447" s="0" t="inlineStr">
        <is>
          <t>GLOBAL_CHECK</t>
        </is>
      </c>
      <c r="G447" s="0" t="inlineStr">
        <is>
          <t>GLOBAL_CHECK</t>
        </is>
      </c>
      <c r="H447" s="0" t="inlineStr">
        <is>
          <t>EMA_9_21_FILTER_TFS</t>
        </is>
      </c>
      <c r="I447" s="0" t="inlineStr">
        <is>
          <t>LIVE — wired</t>
        </is>
      </c>
    </row>
    <row r="448" ht="15.75" customHeight="1" s="67">
      <c r="A448" s="0" t="n">
        <v>905</v>
      </c>
      <c r="B448" s="0" t="inlineStr">
        <is>
          <t>EMA_9_21_FILTER_TFS</t>
        </is>
      </c>
      <c r="C448" s="0" t="inlineStr">
        <is>
          <t>1h,D</t>
        </is>
      </c>
      <c r="D448" s="0" t="inlineStr">
        <is>
          <t>TF list for 9/21: 1h+D both must agree. Tests multi-TF trend alignment.</t>
        </is>
      </c>
      <c r="E448" s="0" t="inlineStr">
        <is>
          <t>GLOBAL_CHECK</t>
        </is>
      </c>
      <c r="F448" s="0" t="inlineStr">
        <is>
          <t>GLOBAL_CHECK</t>
        </is>
      </c>
      <c r="G448" s="0" t="inlineStr">
        <is>
          <t>GLOBAL_CHECK</t>
        </is>
      </c>
      <c r="H448" s="0" t="inlineStr">
        <is>
          <t>EMA_9_21_FILTER_TFS</t>
        </is>
      </c>
      <c r="I448" s="0" t="inlineStr">
        <is>
          <t>LIVE — wired</t>
        </is>
      </c>
    </row>
    <row r="449" ht="15.75" customHeight="1" s="67">
      <c r="A449" s="0" t="n">
        <v>906</v>
      </c>
      <c r="B449" s="0" t="inlineStr">
        <is>
          <t>EMA_9_21_FILTER_TFS</t>
        </is>
      </c>
      <c r="C449" s="0" t="inlineStr">
        <is>
          <t>15m,1h,4h</t>
        </is>
      </c>
      <c r="D449" s="0" t="inlineStr">
        <is>
          <t>TF list for 9/21: 15m+1h+4h triple confirmation.</t>
        </is>
      </c>
      <c r="E449" s="0" t="inlineStr">
        <is>
          <t>GLOBAL_CHECK</t>
        </is>
      </c>
      <c r="F449" s="0" t="inlineStr">
        <is>
          <t>GLOBAL_CHECK</t>
        </is>
      </c>
      <c r="G449" s="0" t="inlineStr">
        <is>
          <t>GLOBAL_CHECK</t>
        </is>
      </c>
      <c r="H449" s="0" t="inlineStr">
        <is>
          <t>EMA_9_21_FILTER_TFS</t>
        </is>
      </c>
      <c r="I449" s="0" t="inlineStr">
        <is>
          <t>LIVE — wired</t>
        </is>
      </c>
    </row>
    <row r="450" ht="15.75" customHeight="1" s="67">
      <c r="A450" s="0" t="n">
        <v>907</v>
      </c>
      <c r="B450" s="0" t="inlineStr">
        <is>
          <t>EMA_9_21_FILTER_TFS</t>
        </is>
      </c>
      <c r="C450" s="0" t="inlineStr">
        <is>
          <t>D</t>
        </is>
      </c>
      <c r="D450" s="0" t="inlineStr">
        <is>
          <t>TF list for 9/21: D only (daily trend).</t>
        </is>
      </c>
      <c r="E450" s="0" t="inlineStr">
        <is>
          <t>GLOBAL_CHECK</t>
        </is>
      </c>
      <c r="F450" s="0" t="inlineStr">
        <is>
          <t>GLOBAL_CHECK</t>
        </is>
      </c>
      <c r="G450" s="0" t="inlineStr">
        <is>
          <t>GLOBAL_CHECK</t>
        </is>
      </c>
      <c r="H450" s="0" t="inlineStr">
        <is>
          <t>EMA_9_21_FILTER_TFS</t>
        </is>
      </c>
      <c r="I450" s="0" t="inlineStr">
        <is>
          <t>LIVE — wired</t>
        </is>
      </c>
    </row>
    <row r="451" ht="15.75" customHeight="1" s="67">
      <c r="A451" s="0" t="n">
        <v>908</v>
      </c>
      <c r="B451" s="0" t="inlineStr">
        <is>
          <t>KINDERGARTEN_CUMULATIVE_MIN_TFS</t>
        </is>
      </c>
      <c r="C451" s="0" t="inlineStr">
        <is>
          <t>1</t>
        </is>
      </c>
      <c r="D451" s="0" t="inlineStr">
        <is>
          <t>Min TFs that must pass kindergarten checks (1=any, 2=2 TFs agree, 3=3 TFs).</t>
        </is>
      </c>
      <c r="E451" s="0" t="inlineStr">
        <is>
          <t>GLOBAL_CHECK</t>
        </is>
      </c>
      <c r="F451" s="0" t="inlineStr">
        <is>
          <t>GLOBAL_CHECK</t>
        </is>
      </c>
      <c r="G451" s="0" t="inlineStr">
        <is>
          <t>GLOBAL_CHECK</t>
        </is>
      </c>
      <c r="H451" s="0" t="inlineStr">
        <is>
          <t>KINDERGARTEN_CUMULATIVE_MIN_TFS</t>
        </is>
      </c>
      <c r="I451" s="0" t="inlineStr">
        <is>
          <t>LIVE — wired</t>
        </is>
      </c>
    </row>
    <row r="452" ht="15.75" customHeight="1" s="67">
      <c r="A452" s="0" t="n">
        <v>909</v>
      </c>
      <c r="B452" s="0" t="inlineStr">
        <is>
          <t>KINDERGARTEN_CUMULATIVE_MIN_TFS</t>
        </is>
      </c>
      <c r="C452" s="0" t="inlineStr">
        <is>
          <t>2</t>
        </is>
      </c>
      <c r="D452" s="0" t="inlineStr">
        <is>
          <t>Min TFs that must pass kindergarten checks (1=any, 2=2 TFs agree, 3=3 TFs).</t>
        </is>
      </c>
      <c r="E452" s="0" t="inlineStr">
        <is>
          <t>GLOBAL_CHECK</t>
        </is>
      </c>
      <c r="F452" s="0" t="inlineStr">
        <is>
          <t>GLOBAL_CHECK</t>
        </is>
      </c>
      <c r="G452" s="0" t="inlineStr">
        <is>
          <t>GLOBAL_CHECK</t>
        </is>
      </c>
      <c r="H452" s="0" t="inlineStr">
        <is>
          <t>KINDERGARTEN_CUMULATIVE_MIN_TFS</t>
        </is>
      </c>
      <c r="I452" s="0" t="inlineStr">
        <is>
          <t>LIVE — wired</t>
        </is>
      </c>
    </row>
    <row r="453" ht="15.75" customHeight="1" s="67">
      <c r="A453" s="0" t="n">
        <v>910</v>
      </c>
      <c r="B453" s="0" t="inlineStr">
        <is>
          <t>KINDERGARTEN_STRICT_TFS</t>
        </is>
      </c>
      <c r="C453" s="0" t="inlineStr"/>
      <c r="D453" s="0" t="inlineStr">
        <is>
          <t>Strict TF list: when set (e.g. 1h,D), ALL listed TFs must agree (hard gate). Empty=use MIN_TFS count.</t>
        </is>
      </c>
      <c r="E453" s="0" t="inlineStr">
        <is>
          <t>GLOBAL_CHECK</t>
        </is>
      </c>
      <c r="F453" s="0" t="inlineStr">
        <is>
          <t>GLOBAL_CHECK</t>
        </is>
      </c>
      <c r="G453" s="0" t="inlineStr">
        <is>
          <t>GLOBAL_CHECK</t>
        </is>
      </c>
      <c r="H453" s="0" t="inlineStr">
        <is>
          <t>KINDERGARTEN_STRICT_TFS</t>
        </is>
      </c>
      <c r="I453" s="0" t="inlineStr">
        <is>
          <t>LIVE — wired</t>
        </is>
      </c>
    </row>
    <row r="454" ht="15.75" customHeight="1" s="67">
      <c r="A454" s="0" t="n">
        <v>911</v>
      </c>
      <c r="B454" s="0" t="inlineStr">
        <is>
          <t>KINDERGARTEN_STRICT_TFS</t>
        </is>
      </c>
      <c r="C454" s="0" t="inlineStr">
        <is>
          <t>1h,D</t>
        </is>
      </c>
      <c r="D454" s="0" t="inlineStr">
        <is>
          <t>Strict TF list: 1h and D both must agree.</t>
        </is>
      </c>
      <c r="E454" s="0" t="inlineStr">
        <is>
          <t>GLOBAL_CHECK</t>
        </is>
      </c>
      <c r="F454" s="0" t="inlineStr">
        <is>
          <t>GLOBAL_CHECK</t>
        </is>
      </c>
      <c r="G454" s="0" t="inlineStr">
        <is>
          <t>GLOBAL_CHECK</t>
        </is>
      </c>
      <c r="H454" s="0" t="inlineStr">
        <is>
          <t>KINDERGARTEN_STRICT_TFS</t>
        </is>
      </c>
      <c r="I454" s="0" t="inlineStr">
        <is>
          <t>LIVE — wired</t>
        </is>
      </c>
    </row>
    <row r="455" ht="15.75" customHeight="1" s="67">
      <c r="A455" s="0" t="n">
        <v>912</v>
      </c>
      <c r="B455" s="0" t="inlineStr">
        <is>
          <t>WT_SIMPLE_GUARANTEE_ENABLED</t>
        </is>
      </c>
      <c r="C455" s="0" t="inlineStr">
        <is>
          <t>False</t>
        </is>
      </c>
      <c r="D455" s="0" t="inlineStr">
        <is>
          <t>WT simple cross guarantee: when True, forces entry whenever wt1&gt;wt2 regardless of trend filters. Default False (MRVL_SHORT fix).</t>
        </is>
      </c>
      <c r="E455" s="0" t="inlineStr">
        <is>
          <t>ENTRY, GLOBAL_CHECK</t>
        </is>
      </c>
      <c r="F455" s="0" t="inlineStr">
        <is>
          <t>ENTRY, GLOBAL_CHECK</t>
        </is>
      </c>
      <c r="G455" s="0" t="inlineStr">
        <is>
          <t>WT_SIMPLE_GUARANTEE_ENABLED</t>
        </is>
      </c>
      <c r="H455" s="0" t="inlineStr">
        <is>
          <t>SPECIFIC — only gated switches</t>
        </is>
      </c>
      <c r="I455" s="0" t="inlineStr">
        <is>
          <t>LIVE — wired</t>
        </is>
      </c>
    </row>
    <row r="456" ht="15.75" customHeight="1" s="67">
      <c r="A456" s="0" t="n">
        <v>913</v>
      </c>
      <c r="B456" s="0" t="inlineStr">
        <is>
          <t>WT_SIMPLE_GUARANTEE_ENABLED</t>
        </is>
      </c>
      <c r="C456" s="0" t="inlineStr">
        <is>
          <t>True</t>
        </is>
      </c>
      <c r="D456" s="0" t="inlineStr">
        <is>
          <t>WT simple cross guarantee: when True, forces entry whenever wt1&gt;wt2 regardless of trend filters. Default False (MRVL_SHORT fix).</t>
        </is>
      </c>
      <c r="E456" s="0" t="inlineStr">
        <is>
          <t>ENTRY, GLOBAL_CHECK</t>
        </is>
      </c>
      <c r="F456" s="0" t="inlineStr">
        <is>
          <t>ENTRY, GLOBAL_CHECK</t>
        </is>
      </c>
      <c r="G456" s="0" t="inlineStr">
        <is>
          <t>WT_SIMPLE_GUARANTEE_ENABLED</t>
        </is>
      </c>
      <c r="H456" s="0" t="inlineStr">
        <is>
          <t>SPECIFIC — only gated switches</t>
        </is>
      </c>
      <c r="I456" s="0" t="inlineStr">
        <is>
          <t>LIVE — wired</t>
        </is>
      </c>
    </row>
    <row r="457" ht="15.75" customHeight="1" s="67">
      <c r="A457" s="0" t="n">
        <v>914</v>
      </c>
      <c r="B457" s="0" t="inlineStr">
        <is>
          <t>FORCE_MIN_ONE_TRADE</t>
        </is>
      </c>
      <c r="C457" s="0" t="inlineStr">
        <is>
          <t>False</t>
        </is>
      </c>
      <c r="D457" s="0" t="inlineStr">
        <is>
          <t>Force min one trade: when True, forces 1 trade at first bar even if gated to 0. Default False.</t>
        </is>
      </c>
      <c r="E457" s="0" t="inlineStr">
        <is>
          <t>GLOBAL_CHECK</t>
        </is>
      </c>
      <c r="F457" s="0" t="inlineStr">
        <is>
          <t>GLOBAL_CHECK</t>
        </is>
      </c>
      <c r="G457" s="0" t="inlineStr">
        <is>
          <t>GLOBAL_CHECK</t>
        </is>
      </c>
      <c r="H457" s="0" t="inlineStr">
        <is>
          <t>FORCE_MIN_ONE_TRADE</t>
        </is>
      </c>
      <c r="I457" s="0" t="inlineStr">
        <is>
          <t>LIVE — wired</t>
        </is>
      </c>
    </row>
    <row r="458" ht="15.75" customHeight="1" s="67">
      <c r="A458" s="0" t="n">
        <v>915</v>
      </c>
      <c r="B458" s="0" t="inlineStr">
        <is>
          <t>FORCE_MIN_ONE_TRADE</t>
        </is>
      </c>
      <c r="C458" s="0" t="inlineStr">
        <is>
          <t>True</t>
        </is>
      </c>
      <c r="D458" s="0" t="inlineStr">
        <is>
          <t>Force min one trade: when True, forces 1 trade at first bar even if gated to 0. Default False.</t>
        </is>
      </c>
      <c r="E458" s="0" t="inlineStr">
        <is>
          <t>GLOBAL_CHECK</t>
        </is>
      </c>
      <c r="F458" s="0" t="inlineStr">
        <is>
          <t>GLOBAL_CHECK</t>
        </is>
      </c>
      <c r="G458" s="0" t="inlineStr">
        <is>
          <t>GLOBAL_CHECK</t>
        </is>
      </c>
      <c r="H458" s="0" t="inlineStr">
        <is>
          <t>FORCE_MIN_ONE_TRADE</t>
        </is>
      </c>
      <c r="I458" s="0" t="inlineStr">
        <is>
          <t>LIVE — wired</t>
        </is>
      </c>
    </row>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2026-09-19T01:14:23Z</dcterms:modified>
</cp:coreProperties>
</file>