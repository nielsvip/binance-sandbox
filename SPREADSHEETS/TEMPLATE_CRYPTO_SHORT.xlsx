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BB_PULLBACK_GATE_TF</t>
        </is>
      </c>
      <c r="B3" s="0" t="inlineStr">
        <is>
          <t>D</t>
        </is>
      </c>
      <c r="E3" s="0">
        <f>IF(G20="",E19,IF(G20&gt;0,E19+G20,E19))</f>
        <v/>
      </c>
      <c r="G3" s="0">
        <f>IFERROR(VLOOKUP($A20&amp;"_"&amp;$B20,Results_Deltas!$A$2:$P$15000,5,FALSE),"")</f>
        <v/>
      </c>
      <c r="H3" s="0">
        <f>IFERROR(VLOOKUP($A20,Results_30d_Deltas!$A$2:$H$5000,7,FALSE)-E19,"")</f>
        <v/>
      </c>
      <c r="I3" s="0">
        <f>IFERROR(VLOOKUP($A20,Results_30d_Deltas!$A$2:$H$5000,6,FALSE),"")</f>
        <v/>
      </c>
      <c r="L3" s="0" t="inlineStr">
        <is>
          <t>NO</t>
        </is>
      </c>
      <c r="M3" s="0" t="n">
        <v>-0.01461520315883156</v>
      </c>
      <c r="IL3" s="0" t="inlineStr">
        <is>
          <t>ez_manage.py:4361 top()</t>
        </is>
      </c>
      <c r="IM3" s="0" t="inlineStr">
        <is>
          <t>v12_quick_engine.py:288 x12</t>
        </is>
      </c>
      <c r="IO3" s="0" t="inlineStr">
        <is>
          <t>SUSPICIOUS n=0 for crypto_short — keep, needs S1 fills (backtest-expert: &lt;30 trades, seek plateaus, punish)</t>
        </is>
      </c>
    </row>
    <row r="4" ht="10.5" customHeight="1" s="67">
      <c r="A4" s="0" t="inlineStr">
        <is>
          <t>WT_15M_BOUNCE_OPEN_ENABLED</t>
        </is>
      </c>
      <c r="B4" s="0" t="inlineStr">
        <is>
          <t>False</t>
        </is>
      </c>
      <c r="E4" s="0">
        <f>TEMPLATE_BASELINE_METRICS!B2</f>
        <v/>
      </c>
      <c r="G4" s="0">
        <f>IFERROR(VLOOKUP($A3&amp;"="&amp;$B3,Results_Deltas!$A$2:$P$15000,5,FALSE),"")</f>
        <v/>
      </c>
      <c r="H4" s="0">
        <f>IFERROR(VLOOKUP($A3,Results_30d_Deltas!$A$2:$H$5000,7,FALSE)-E3,"")</f>
        <v/>
      </c>
      <c r="I4" s="0">
        <f>IFERROR(VLOOKUP($A3,Results_30d_Deltas!$A$2:$H$5000,6,FALSE),"")</f>
        <v/>
      </c>
      <c r="L4" s="0" t="inlineStr">
        <is>
          <t>YES</t>
        </is>
      </c>
      <c r="M4" s="0" t="n">
        <v>-1.443363110521922</v>
      </c>
      <c r="IL4" s="0" t="inlineStr">
        <is>
          <t>ez_manage.py:6076 top()</t>
        </is>
      </c>
      <c r="IM4" s="0" t="inlineStr">
        <is>
          <t>v12_quick_engine.py:4288 x7</t>
        </is>
      </c>
    </row>
    <row r="5" ht="10.5" customHeight="1" s="67">
      <c r="A5" s="0" t="inlineStr">
        <is>
          <t>WT_15M_BOUNCE_OPEN_ENABLED</t>
        </is>
      </c>
      <c r="B5" s="0" t="inlineStr">
        <is>
          <t>True</t>
        </is>
      </c>
      <c r="E5" s="0">
        <f>IF(G4="",E3,IF(G4&gt;0,E3+G4,E3))</f>
        <v/>
      </c>
      <c r="G5" s="0">
        <f>IFERROR(VLOOKUP($A4&amp;"_"&amp;$B4,Results_Deltas!$A$2:$P$15000,5,FALSE),"")</f>
        <v/>
      </c>
      <c r="H5" s="0">
        <f>IFERROR(VLOOKUP($A4,Results_30d_Deltas!$A$2:$H$5000,7,FALSE)-E3,"")</f>
        <v/>
      </c>
      <c r="I5" s="0">
        <f>IFERROR(VLOOKUP($A4,Results_30d_Deltas!$A$2:$H$5000,6,FALSE),"")</f>
        <v/>
      </c>
      <c r="L5" s="0" t="inlineStr">
        <is>
          <t>NO</t>
        </is>
      </c>
      <c r="M5" s="0" t="n">
        <v>0.4983574507294249</v>
      </c>
      <c r="IL5" s="0" t="inlineStr">
        <is>
          <t>ez_manage.py:6076 top()</t>
        </is>
      </c>
      <c r="IM5" s="0" t="inlineStr">
        <is>
          <t>v12_quick_engine.py:4288 x7</t>
        </is>
      </c>
    </row>
    <row r="6" ht="15.75" customHeight="1" s="67">
      <c r="A6" s="0" t="inlineStr">
        <is>
          <t>BB_SQUEEZE_ENTRY_ENABLED</t>
        </is>
      </c>
      <c r="B6" s="0" t="inlineStr">
        <is>
          <t>True</t>
        </is>
      </c>
      <c r="E6" s="0">
        <f>IF(G14="",E13,IF(G14&gt;0,E13+G14,E13))</f>
        <v/>
      </c>
      <c r="G6" s="0">
        <f>IFERROR(VLOOKUP($A14&amp;"_"&amp;$B14,Results_Deltas!$A$2:$P$15000,5,FALSE),"")</f>
        <v/>
      </c>
      <c r="H6" s="0">
        <f>IFERROR(VLOOKUP($A14,Results_30d_Deltas!$A$2:$H$5000,7,FALSE)-E13,"")</f>
        <v/>
      </c>
      <c r="I6" s="0">
        <f>IFERROR(VLOOKUP($A14,Results_30d_Deltas!$A$2:$H$5000,6,FALSE),"")</f>
        <v/>
      </c>
      <c r="L6" s="0" t="inlineStr">
        <is>
          <t>YES</t>
        </is>
      </c>
      <c r="M6" s="0" t="n">
        <v>-0.1488924195897515</v>
      </c>
      <c r="IL6" s="0" t="inlineStr">
        <is>
          <t>ez_manage.py:4371 top()</t>
        </is>
      </c>
      <c r="IM6" s="0" t="inlineStr">
        <is>
          <t>v12_quick_engine.py:889 x9</t>
        </is>
      </c>
      <c r="IO6" s="0" t="inlineStr">
        <is>
          <t>SUSPICIOUS n=0 for crypto_short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AUDIT_STATUS 2026-09-16 (4 sheets direct)</t>
        </is>
      </c>
    </row>
    <row r="3">
      <c r="A3" s="0" t="inlineStr">
        <is>
          <t>REMOVED for CRYPTO — stocks_only STDEV_SLOPE_SIZING (TradierConfig only, 0 hits in crypto)</t>
        </is>
      </c>
      <c r="B3" s="0" t="inlineStr">
        <is>
          <t>N/A for crypto — see STOCKS templates</t>
        </is>
      </c>
      <c r="N3" s="0"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GR_FILTER_VEC_FILTER_TF</t>
        </is>
      </c>
      <c r="B3" s="0" t="inlineStr">
        <is>
          <t>D</t>
        </is>
      </c>
      <c r="G3" s="0">
        <f>IFERROR(VLOOKUP($A12&amp;"_"&amp;$B12,Results_Deltas!$A$2:$P$15000,5,FALSE),"")</f>
        <v/>
      </c>
      <c r="H3" s="0">
        <f>IFERROR(VLOOKUP($A12,Results_30d_Deltas!$A$2:$H$5000,7,FALSE)-E11,"")</f>
        <v/>
      </c>
      <c r="I3" s="0">
        <f>IFERROR(VLOOKUP($A12,Results_30d_Deltas!$A$2:$H$5000,6,FALSE),"")</f>
        <v/>
      </c>
      <c r="L3" s="0" t="inlineStr">
        <is>
          <t>NO</t>
        </is>
      </c>
      <c r="M3" s="0" t="n">
        <v>0.008427842309496815</v>
      </c>
      <c r="IK3" s="0" t="inlineStr">
        <is>
          <t>ez_manage.py:6004 top()</t>
        </is>
      </c>
      <c r="IL3" s="0" t="inlineStr">
        <is>
          <t>v12_quick_engine.py:112 x3</t>
        </is>
      </c>
      <c r="IN3" s="0" t="inlineStr">
        <is>
          <t>SUSPICIOUS n=0 for crypto_short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7"/>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BEAR_HOLD_EXIT_DELAY_BARS</t>
        </is>
      </c>
      <c r="B3" s="0" t="inlineStr">
        <is>
          <t>0</t>
        </is>
      </c>
      <c r="C3" s="0" t="inlineStr">
        <is>
          <t>24</t>
        </is>
      </c>
    </row>
    <row r="4">
      <c r="A4" s="0" t="inlineStr">
        <is>
          <t>BEAR_HOLD_EXIT_DELAY_BARS</t>
        </is>
      </c>
      <c r="B4" s="0" t="inlineStr">
        <is>
          <t>0</t>
        </is>
      </c>
      <c r="C4" s="0" t="inlineStr">
        <is>
          <t>48</t>
        </is>
      </c>
    </row>
    <row r="5">
      <c r="A5" s="0" t="inlineStr">
        <is>
          <t>WT_DIVERGENCE_VV_SHORT_EXIT_ENABLED</t>
        </is>
      </c>
      <c r="B5" s="0" t="inlineStr">
        <is>
          <t>False</t>
        </is>
      </c>
      <c r="D5" s="0" t="inlineStr">
        <is>
          <t>WT_WAIT</t>
        </is>
      </c>
      <c r="E5" s="0">
        <f>IF(G260="",E259,IF(G260&gt;0,E259+G260,E259))</f>
        <v/>
      </c>
      <c r="F5" s="0">
        <f>IFERROR(VLOOKUP($A260&amp;"_"&amp;$B260,Results_Deltas!$A$2:$P$15000,5,FALSE),"")</f>
        <v/>
      </c>
      <c r="G5" s="0">
        <f>IFERROR(VLOOKUP($A260&amp;"_"&amp;$B260,Results_Deltas!$A$2:$P$15000,5,FALSE),"")</f>
        <v/>
      </c>
    </row>
    <row r="6">
      <c r="A6" s="0" t="inlineStr">
        <is>
          <t>EXIT_BLOCKER_REQUIRE_LH_LL_ENABLED</t>
        </is>
      </c>
      <c r="B6" s="0" t="inlineStr">
        <is>
          <t>False</t>
        </is>
      </c>
      <c r="D6" s="0" t="inlineStr">
        <is>
          <t>EXIT_BLOCKER</t>
        </is>
      </c>
      <c r="E6" s="0">
        <f>IF(G261="",E260,IF(G261&gt;0,E260+G261,E260))</f>
        <v/>
      </c>
      <c r="F6" s="0">
        <f>IFERROR(VLOOKUP($A261&amp;"_"&amp;$B261,Results_Deltas!$A$2:$P$15000,5,FALSE),"")</f>
        <v/>
      </c>
      <c r="G6" s="0">
        <f>IFERROR(VLOOKUP($A261&amp;"_"&amp;$B261,Results_Deltas!$A$2:$P$15000,5,FALSE),"")</f>
        <v/>
      </c>
    </row>
    <row r="7">
      <c r="A7" s="0" t="inlineStr">
        <is>
          <t>WT_15M_LH_WAIT_EXIT_ENABLED</t>
        </is>
      </c>
      <c r="B7" s="0" t="inlineStr">
        <is>
          <t>False</t>
        </is>
      </c>
      <c r="D7" s="0" t="inlineStr">
        <is>
          <t>WT_WAIT</t>
        </is>
      </c>
      <c r="E7" s="0">
        <f>IF(G259="",E258,IF(G259&gt;0,E258+G259,E258))</f>
        <v/>
      </c>
      <c r="F7" s="0">
        <f>IFERROR(VLOOKUP($A259&amp;"_"&amp;$B259,Results_Deltas!$A$2:$P$15000,5,FALSE),"")</f>
        <v/>
      </c>
      <c r="G7" s="0">
        <f>IFERROR(VLOOKUP($A259&amp;"_"&amp;$B259,Results_Deltas!$A$2:$P$15000,5,FALSE),"")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SHORT_DC_LOW_BREAK_SIZE_MULT</t>
        </is>
      </c>
      <c r="B3" s="0" t="inlineStr">
        <is>
          <t>2.0</t>
        </is>
      </c>
      <c r="C3" s="0" t="inlineStr">
        <is>
          <t>3.0</t>
        </is>
      </c>
    </row>
    <row r="4" ht="10.5" customHeight="1" s="67">
      <c r="A4" s="0" t="inlineStr">
        <is>
          <t>SHORT_DC_LOW_BREAK_ENABLED</t>
        </is>
      </c>
      <c r="B4" s="0" t="inlineStr">
        <is>
          <t>False</t>
        </is>
      </c>
      <c r="C4" s="0"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DD_BOUNCE_ENABLED</t>
        </is>
      </c>
      <c r="B3" s="0" t="inlineStr">
        <is>
          <t>True</t>
        </is>
      </c>
      <c r="G3" s="0">
        <f>IFERROR(VLOOKUP($A7&amp;"="&amp;$B7,Results_Deltas!$A$2:$P$15000,5,FALSE),"")</f>
        <v/>
      </c>
      <c r="H3" s="0">
        <f>IFERROR(VLOOKUP($A7,Results_30d_Deltas!$A$2:$H$5000,7,FALSE)-E7,"")</f>
        <v/>
      </c>
      <c r="I3" s="0">
        <f>IFERROR(VLOOKUP($A7,Results_30d_Deltas!$A$2:$H$5000,6,FALSE),"")</f>
        <v/>
      </c>
      <c r="L3" s="0" t="inlineStr">
        <is>
          <t>NO</t>
        </is>
      </c>
      <c r="M3" s="0" t="n">
        <v>-1.221835845267563</v>
      </c>
      <c r="IK3" s="0" t="inlineStr">
        <is>
          <t>ez_manage.py:4586 top()</t>
        </is>
      </c>
      <c r="IL3" s="0" t="inlineStr">
        <is>
          <t>v12_quick_engine.py:567 x9</t>
        </is>
      </c>
      <c r="IN3" s="0" t="inlineStr">
        <is>
          <t>SUSPICIOUS n=0 for crypto_short — keep, needs S1 fills (backtest-expert: &lt;30 trades, seek plateaus, punish)</t>
        </is>
      </c>
    </row>
    <row r="4" ht="10.5" customHeight="1" s="67">
      <c r="A4" s="0" t="inlineStr">
        <is>
          <t>SHORT_PARTIAL_RECOVERY_ENABLED</t>
        </is>
      </c>
      <c r="B4" s="0" t="inlineStr">
        <is>
          <t>False</t>
        </is>
      </c>
      <c r="C4" s="0" t="inlineStr">
        <is>
          <t>True</t>
        </is>
      </c>
    </row>
    <row r="5" ht="10.5" customHeight="1" s="67">
      <c r="A5" s="0" t="inlineStr">
        <is>
          <t>SHORT_PARTIAL_RECOVERY_THRESHOLD_PCT</t>
        </is>
      </c>
      <c r="B5" s="0" t="inlineStr">
        <is>
          <t>-1.0</t>
        </is>
      </c>
      <c r="C5" s="0" t="inlineStr">
        <is>
          <t>-0.5</t>
        </is>
      </c>
    </row>
    <row r="6" ht="10.5" customHeight="1" s="67">
      <c r="A6" s="0" t="inlineStr">
        <is>
          <t>SHORT_PARTIAL_RECOVERY_SIZE_MULT</t>
        </is>
      </c>
      <c r="B6" s="0" t="inlineStr">
        <is>
          <t>2.0</t>
        </is>
      </c>
      <c r="C6" s="0" t="inlineStr">
        <is>
          <t>3.0</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BREAKEVEN_GAIN_EROSION_ENABLED</t>
        </is>
      </c>
      <c r="B3" s="0" t="inlineStr">
        <is>
          <t>True</t>
        </is>
      </c>
      <c r="G3" s="0">
        <f>IFERROR(VLOOKUP($A11&amp;"_"&amp;$B11,Results_Deltas!$A$2:$P$15000,5,FALSE),"")</f>
        <v/>
      </c>
      <c r="H3" s="0">
        <f>IFERROR(VLOOKUP($A11,Results_30d_Deltas!$A$2:$H$5000,7,FALSE)-E10,"")</f>
        <v/>
      </c>
      <c r="I3" s="0">
        <f>IFERROR(VLOOKUP($A11,Results_30d_Deltas!$A$2:$H$5000,6,FALSE),"")</f>
        <v/>
      </c>
      <c r="L3" s="0" t="inlineStr">
        <is>
          <t>NO</t>
        </is>
      </c>
      <c r="M3" s="0" t="n">
        <v>-1.220547071013275</v>
      </c>
      <c r="IK3" s="0" t="inlineStr">
        <is>
          <t>ez_manage.py:4400 top()</t>
        </is>
      </c>
      <c r="IL3" s="0" t="inlineStr">
        <is>
          <t>v12_quick_engine.py:341 x8</t>
        </is>
      </c>
      <c r="IN3" s="0" t="inlineStr">
        <is>
          <t>SUSPICIOUS n=0 for crypto_short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UNIVERSAL_NOLOSS_GATE</t>
        </is>
      </c>
      <c r="B3" s="0" t="inlineStr">
        <is>
          <t>True</t>
        </is>
      </c>
      <c r="G3" s="0">
        <f>IFERROR(VLOOKUP($A14&amp;"_"&amp;$B14,Results_Deltas!$A$2:$P$15000,5,FALSE),"")</f>
        <v/>
      </c>
      <c r="H3" s="0">
        <f>IFERROR(VLOOKUP($A14,Results_30d_Deltas!$A$2:$H$5000,7,FALSE)-E13,"")</f>
        <v/>
      </c>
      <c r="I3" s="0">
        <f>IFERROR(VLOOKUP($A14,Results_30d_Deltas!$A$2:$H$5000,6,FALSE),"")</f>
        <v/>
      </c>
      <c r="L3" s="0" t="inlineStr">
        <is>
          <t>NO</t>
        </is>
      </c>
      <c r="M3" s="0" t="n">
        <v>-0.9564960772650978</v>
      </c>
      <c r="IK3" s="0" t="inlineStr">
        <is>
          <t>ez_manage.py:4233 top()</t>
        </is>
      </c>
      <c r="IL3" s="0" t="inlineStr">
        <is>
          <t>v12_quick_engine.py:837 x18</t>
        </is>
      </c>
    </row>
    <row r="4" ht="10.5" customHeight="1" s="67">
      <c r="A4" s="0" t="inlineStr">
        <is>
          <t>UNIVERSAL_NOLOSS_GATE</t>
        </is>
      </c>
      <c r="B4" s="0" t="inlineStr">
        <is>
          <t>False</t>
        </is>
      </c>
      <c r="G4" s="0">
        <f>IFERROR(VLOOKUP($A33&amp;"="&amp;$B33,Results_Deltas!$A$2:$P$15000,5,FALSE),"")</f>
        <v/>
      </c>
      <c r="H4" s="0">
        <f>IFERROR(VLOOKUP($A33,Results_30d_Deltas!$A$2:$H$5000,7,FALSE)-E33,"")</f>
        <v/>
      </c>
      <c r="I4" s="0">
        <f>IFERROR(VLOOKUP($A33,Results_30d_Deltas!$A$2:$H$5000,6,FALSE),"")</f>
        <v/>
      </c>
      <c r="L4" s="0" t="inlineStr">
        <is>
          <t>YES</t>
        </is>
      </c>
      <c r="M4" s="0" t="n">
        <v>0.02702630097734527</v>
      </c>
      <c r="IK4" s="0" t="inlineStr">
        <is>
          <t>ez_manage.py:4233 top()</t>
        </is>
      </c>
      <c r="IL4" s="0" t="inlineStr">
        <is>
          <t>v12_quick_engine.py:837 x18</t>
        </is>
      </c>
    </row>
    <row r="5" ht="10.5" customHeight="1" s="67">
      <c r="A5" s="0" t="inlineStr">
        <is>
          <t>UNIVERSAL_NOLOSS_GATE</t>
        </is>
      </c>
      <c r="B5" s="0" t="inlineStr">
        <is>
          <t>False</t>
        </is>
      </c>
      <c r="G5" s="0">
        <f>IFERROR(VLOOKUP($A44&amp;"_"&amp;$B44,Results_Deltas!$A$2:$P$15000,5,FALSE),"")</f>
        <v/>
      </c>
      <c r="H5" s="0">
        <f>IFERROR(VLOOKUP($A45,Results_30d_Deltas!$A$2:$H$5000,7,FALSE)-E-166,"")</f>
        <v/>
      </c>
      <c r="I5" s="0">
        <f>IFERROR(VLOOKUP($A45,Results_30d_Deltas!$A$2:$H$5000,6,FALSE),"")</f>
        <v/>
      </c>
      <c r="L5" s="0" t="inlineStr">
        <is>
          <t>YES</t>
        </is>
      </c>
      <c r="M5" s="0" t="n">
        <v>0.02702630097734527</v>
      </c>
      <c r="IK5" s="0" t="inlineStr">
        <is>
          <t>ez_manage.py:4233 top()</t>
        </is>
      </c>
      <c r="IL5" s="0" t="inlineStr">
        <is>
          <t>v12_quick_engine.py:837 x18</t>
        </is>
      </c>
    </row>
    <row r="6" ht="10.5" customHeight="1" s="67">
      <c r="A6" s="0" t="inlineStr">
        <is>
          <t>COUNTER_TREND_SMA200_BYPASS_ENABLED</t>
        </is>
      </c>
      <c r="B6" s="0" t="inlineStr">
        <is>
          <t>False</t>
        </is>
      </c>
      <c r="G6" s="0">
        <f>IFERROR(VLOOKUP($A35&amp;"_"&amp;$B35,Results_Deltas!$A$2:$P$15000,5,FALSE),"")</f>
        <v/>
      </c>
      <c r="H6" s="0">
        <f>IFERROR(VLOOKUP($A35,Results_30d_Deltas!$A$2:$H$5000,7,FALSE)-E34,"")</f>
        <v/>
      </c>
      <c r="I6" s="0">
        <f>IFERROR(VLOOKUP($A35,Results_30d_Deltas!$A$2:$H$5000,6,FALSE),"")</f>
        <v/>
      </c>
      <c r="L6" s="0" t="inlineStr">
        <is>
          <t>NO</t>
        </is>
      </c>
      <c r="M6" s="0" t="n">
        <v>-0.05754513000156646</v>
      </c>
      <c r="IK6" s="0" t="inlineStr">
        <is>
          <t>ez_manage.py:3056 top()</t>
        </is>
      </c>
      <c r="IL6" s="0" t="inlineStr">
        <is>
          <t>v12_quick_engine.py:1470 x6</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0" t="inlineStr">
        <is>
          <t>FUNDING_GATE_FILTER_TF=D</t>
        </is>
      </c>
      <c r="B3" s="0" t="inlineStr">
        <is>
          <t>crypto-only FUNDING_GATE avg&lt;-5 pos0%</t>
        </is>
      </c>
    </row>
    <row r="4">
      <c r="A4" s="0" t="inlineStr">
        <is>
          <t>FUNDING_GATE_FILTER_TF=1h</t>
        </is>
      </c>
      <c r="B4" s="0" t="inlineStr">
        <is>
          <t>crypto-only FUNDING_GATE avg&lt;-5 pos0%</t>
        </is>
      </c>
    </row>
    <row r="5">
      <c r="A5" s="0" t="inlineStr">
        <is>
          <t>FUNDING_GATE_FILTER_TF=OFF</t>
        </is>
      </c>
      <c r="B5" s="0"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2026-09-18T21:50:15Z</dcterms:modified>
</cp:coreProperties>
</file>