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8">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7" borderId="0" applyAlignment="1" pivotButton="0" quotePrefix="0" xfId="0">
      <alignment vertical="bottom"/>
    </xf>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6" fillId="17"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1" t="inlineStr">
        <is>
          <t>BB_PULLBACK_GATE_TF</t>
        </is>
      </c>
      <c r="B3" s="92" t="inlineStr">
        <is>
          <t>D</t>
        </is>
      </c>
      <c r="E3" s="0">
        <f>IF(G20="",E19,IF(G20&gt;0,E19+G20,E19))</f>
        <v/>
      </c>
      <c r="G3" s="0">
        <f>IFERROR(VLOOKUP($A20&amp;"_"&amp;$B20,Results_Deltas!$A$2:$P$15000,5,FALSE),"")</f>
        <v/>
      </c>
      <c r="H3" s="0">
        <f>IFERROR(VLOOKUP($A20,Results_30d_Deltas!$A$2:$H$5000,7,FALSE)-E19,"")</f>
        <v/>
      </c>
      <c r="I3" s="0">
        <f>IFERROR(VLOOKUP($A20,Results_30d_Deltas!$A$2:$H$5000,6,FALSE),"")</f>
        <v/>
      </c>
      <c r="L3" s="0" t="inlineStr">
        <is>
          <t>NO</t>
        </is>
      </c>
      <c r="M3" s="78" t="n">
        <v>-0.01461520315883156</v>
      </c>
      <c r="N3" s="79" t="n"/>
      <c r="O3" s="79" t="n"/>
      <c r="P3" s="79" t="n"/>
      <c r="Q3" s="79" t="n"/>
      <c r="R3" s="79" t="n"/>
      <c r="S3" s="79" t="n"/>
      <c r="T3" s="79" t="n"/>
      <c r="U3" s="79" t="n"/>
      <c r="V3" s="79" t="n"/>
      <c r="W3" s="79" t="n"/>
      <c r="X3" s="80" t="n"/>
      <c r="Y3" s="80" t="n"/>
      <c r="Z3" s="80" t="n"/>
      <c r="AA3" s="80" t="n"/>
      <c r="AB3" s="80"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ez_manage.py:4361 top()</t>
        </is>
      </c>
      <c r="IM3" s="0" t="inlineStr">
        <is>
          <t>v12_quick_engine.py:288 x12</t>
        </is>
      </c>
      <c r="IO3" s="81" t="inlineStr">
        <is>
          <t>SUSPICIOUS n=0 for crypto_short — keep, needs S1 fills (backtest-expert: &lt;30 trades, seek plateaus, punish)</t>
        </is>
      </c>
    </row>
    <row r="4" ht="10.5" customHeight="1" s="67">
      <c r="A4" s="30" t="inlineStr">
        <is>
          <t>BB_PULLBACK_GATE_TF</t>
        </is>
      </c>
      <c r="B4" s="72" t="inlineStr">
        <is>
          <t>OFF</t>
        </is>
      </c>
      <c r="C4" s="30" t="n"/>
      <c r="D4" s="30" t="n"/>
      <c r="E4" s="30">
        <f>IF(G7="",E5,IF(G7&gt;0,E5+G7,E5))</f>
        <v/>
      </c>
      <c r="F4" s="30" t="n"/>
      <c r="G4" s="30">
        <f>IFERROR(VLOOKUP($A7&amp;"_"&amp;$B7,Results_Deltas!$A$2:$P$15000,5,FALSE),"")</f>
        <v/>
      </c>
      <c r="H4" s="30">
        <f>IFERROR(VLOOKUP($A7,Results_30d_Deltas!$A$2:$H$5000,7,FALSE)-E5,"")</f>
        <v/>
      </c>
      <c r="I4" s="30">
        <f>IFERROR(VLOOKUP($A7,Results_30d_Deltas!$A$2:$H$5000,6,FALSE),"")</f>
        <v/>
      </c>
      <c r="J4" s="30" t="n"/>
      <c r="K4" s="30" t="n"/>
      <c r="L4" s="30" t="inlineStr">
        <is>
          <t>NO</t>
        </is>
      </c>
      <c r="M4" s="32" t="n">
        <v>-1.341520621152154</v>
      </c>
      <c r="N4" s="33" t="n"/>
      <c r="O4" s="33" t="n"/>
      <c r="P4" s="33" t="n"/>
      <c r="Q4" s="33" t="n"/>
      <c r="R4" s="33" t="n"/>
      <c r="S4" s="33" t="n"/>
      <c r="T4" s="33" t="n"/>
      <c r="U4" s="33" t="n"/>
      <c r="V4" s="33" t="n"/>
      <c r="W4" s="33" t="n"/>
      <c r="X4" s="34" t="n"/>
      <c r="Y4" s="34" t="n"/>
      <c r="Z4" s="34" t="n"/>
      <c r="AA4" s="34" t="n"/>
      <c r="AB4" s="34"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ez_manage.py:4361 top()</t>
        </is>
      </c>
      <c r="IM4" s="30" t="inlineStr">
        <is>
          <t>v12_quick_engine.py:288 x12</t>
        </is>
      </c>
      <c r="IN4" s="30" t="n"/>
      <c r="IO4" s="76" t="inlineStr">
        <is>
          <t>SUSPICIOUS n=0 for crypto_short — keep, needs S1 fills (backtest-expert: &lt;30 trades, seek plateaus, punish)</t>
        </is>
      </c>
    </row>
    <row r="5" ht="10.5" customHeight="1" s="67">
      <c r="A5" s="88" t="inlineStr">
        <is>
          <t>WT_15M_BOUNCE_OPEN_ENABLED</t>
        </is>
      </c>
      <c r="B5" s="89" t="inlineStr">
        <is>
          <t>False</t>
        </is>
      </c>
      <c r="E5" s="0">
        <f>TEMPLATE_BASELINE_METRICS!B2</f>
        <v/>
      </c>
      <c r="G5" s="0">
        <f>IFERROR(VLOOKUP($A3&amp;"="&amp;$B3,Results_Deltas!$A$2:$P$15000,5,FALSE),"")</f>
        <v/>
      </c>
      <c r="H5" s="0">
        <f>IFERROR(VLOOKUP($A3,Results_30d_Deltas!$A$2:$H$5000,7,FALSE)-E3,"")</f>
        <v/>
      </c>
      <c r="I5" s="0">
        <f>IFERROR(VLOOKUP($A3,Results_30d_Deltas!$A$2:$H$5000,6,FALSE),"")</f>
        <v/>
      </c>
      <c r="L5" s="0" t="inlineStr">
        <is>
          <t>YES</t>
        </is>
      </c>
      <c r="M5" s="78" t="n">
        <v>-1.443363110521922</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80" t="n"/>
      <c r="DZ5" s="80" t="n"/>
      <c r="EA5" s="80" t="n"/>
      <c r="EB5" s="80" t="n"/>
      <c r="EC5" s="80"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80" t="n"/>
      <c r="HK5" s="80" t="n"/>
      <c r="HL5" s="80" t="n"/>
      <c r="HM5" s="80" t="n"/>
      <c r="HN5" s="80" t="n"/>
      <c r="HO5" s="79" t="n"/>
      <c r="HP5" s="79" t="n"/>
      <c r="HQ5" s="79" t="n"/>
      <c r="HR5" s="79" t="n"/>
      <c r="HS5" s="79" t="n"/>
      <c r="HT5" s="79" t="n"/>
      <c r="HU5" s="79" t="n"/>
      <c r="HV5" s="79" t="n"/>
      <c r="HW5" s="79" t="n"/>
      <c r="HX5" s="79" t="n"/>
      <c r="HY5" s="80" t="n"/>
      <c r="HZ5" s="80" t="n"/>
      <c r="IA5" s="80" t="n"/>
      <c r="IB5" s="80" t="n"/>
      <c r="IC5" s="80" t="n"/>
      <c r="ID5" s="80" t="n"/>
      <c r="IE5" s="80" t="n"/>
      <c r="IF5" s="80" t="n"/>
      <c r="IG5" s="80" t="n"/>
      <c r="IH5" s="80" t="n"/>
      <c r="II5" s="80" t="n"/>
      <c r="IJ5" s="80" t="n"/>
      <c r="IL5" s="0" t="inlineStr">
        <is>
          <t>ez_manage.py:6076 top()</t>
        </is>
      </c>
      <c r="IM5" s="0" t="inlineStr">
        <is>
          <t>v12_quick_engine.py:4288 x7</t>
        </is>
      </c>
    </row>
    <row r="6" ht="15.75" customHeight="1" s="67">
      <c r="A6" s="0" t="inlineStr">
        <is>
          <t>WT_15M_BOUNCE_OPEN_ENABLED</t>
        </is>
      </c>
      <c r="B6" s="77" t="inlineStr">
        <is>
          <t>True</t>
        </is>
      </c>
      <c r="E6" s="0">
        <f>IF(G4="",E3,IF(G4&gt;0,E3+G4,E3))</f>
        <v/>
      </c>
      <c r="G6" s="0">
        <f>IFERROR(VLOOKUP($A4&amp;"_"&amp;$B4,Results_Deltas!$A$2:$P$15000,5,FALSE),"")</f>
        <v/>
      </c>
      <c r="H6" s="0">
        <f>IFERROR(VLOOKUP($A4,Results_30d_Deltas!$A$2:$H$5000,7,FALSE)-E3,"")</f>
        <v/>
      </c>
      <c r="I6" s="0">
        <f>IFERROR(VLOOKUP($A4,Results_30d_Deltas!$A$2:$H$5000,6,FALSE),"")</f>
        <v/>
      </c>
      <c r="L6" s="0" t="inlineStr">
        <is>
          <t>NO</t>
        </is>
      </c>
      <c r="M6" s="78" t="n">
        <v>0.4983574507294249</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80" t="n"/>
      <c r="DZ6" s="80" t="n"/>
      <c r="EA6" s="80" t="n"/>
      <c r="EB6" s="80" t="n"/>
      <c r="EC6" s="80"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80" t="n"/>
      <c r="HK6" s="80" t="n"/>
      <c r="HL6" s="80" t="n"/>
      <c r="HM6" s="80" t="n"/>
      <c r="HN6" s="80"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ez_manage.py:6076 top()</t>
        </is>
      </c>
      <c r="IM6" s="0" t="inlineStr">
        <is>
          <t>v12_quick_engine.py:4288 x7</t>
        </is>
      </c>
    </row>
    <row r="7" ht="10.5" customHeight="1" s="67">
      <c r="A7" s="88" t="inlineStr">
        <is>
          <t>BB_SQUEEZE_ENTRY_ENABLED</t>
        </is>
      </c>
      <c r="B7" s="89" t="inlineStr">
        <is>
          <t>True</t>
        </is>
      </c>
      <c r="E7" s="0">
        <f>IF(G14="",E13,IF(G14&gt;0,E13+G14,E13))</f>
        <v/>
      </c>
      <c r="G7" s="0">
        <f>IFERROR(VLOOKUP($A14&amp;"_"&amp;$B14,Results_Deltas!$A$2:$P$15000,5,FALSE),"")</f>
        <v/>
      </c>
      <c r="H7" s="0">
        <f>IFERROR(VLOOKUP($A14,Results_30d_Deltas!$A$2:$H$5000,7,FALSE)-E13,"")</f>
        <v/>
      </c>
      <c r="I7" s="0">
        <f>IFERROR(VLOOKUP($A14,Results_30d_Deltas!$A$2:$H$5000,6,FALSE),"")</f>
        <v/>
      </c>
      <c r="L7" s="0" t="inlineStr">
        <is>
          <t>YES</t>
        </is>
      </c>
      <c r="M7" s="78" t="n">
        <v>-0.1488924195897515</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80" t="n"/>
      <c r="FK7" s="80" t="n"/>
      <c r="FL7" s="80" t="n"/>
      <c r="FM7" s="80" t="n"/>
      <c r="FN7" s="80"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80" t="n"/>
      <c r="HZ7" s="80" t="n"/>
      <c r="IA7" s="80" t="n"/>
      <c r="IB7" s="80" t="n"/>
      <c r="IC7" s="80" t="n"/>
      <c r="ID7" s="80" t="n"/>
      <c r="IE7" s="80" t="n"/>
      <c r="IF7" s="80" t="n"/>
      <c r="IG7" s="80" t="n"/>
      <c r="IH7" s="80" t="n"/>
      <c r="II7" s="80" t="n"/>
      <c r="IJ7" s="80" t="n"/>
      <c r="IL7" s="0" t="inlineStr">
        <is>
          <t>ez_manage.py:4371 top()</t>
        </is>
      </c>
      <c r="IM7" s="0" t="inlineStr">
        <is>
          <t>v12_quick_engine.py:889 x9</t>
        </is>
      </c>
      <c r="IO7" s="81" t="inlineStr">
        <is>
          <t>SUSPICIOUS n=0 for crypto_short — keep, needs S1 fills (backtest-expert: &lt;30 trades, seek plateaus, punish)</t>
        </is>
      </c>
    </row>
    <row r="8" ht="10.5" customHeight="1" s="67">
      <c r="A8" s="0" t="inlineStr">
        <is>
          <t>BB_SQUEEZE_ENTRY_ENABLED</t>
        </is>
      </c>
      <c r="B8" s="77" t="b">
        <v>0</v>
      </c>
      <c r="E8" s="0">
        <f>IF(G14="",E13,IF(G14&gt;0,E13+G14,E13))</f>
        <v/>
      </c>
      <c r="G8" s="0">
        <f>IFERROR(VLOOKUP($A14&amp;"_"&amp;$B14,Results_Deltas!$A$2:$P$15000,5,FALSE),"")</f>
        <v/>
      </c>
      <c r="H8" s="0">
        <f>IFERROR(VLOOKUP($A14,Results_30d_Deltas!$A$2:$H$5000,7,FALSE)-E13,"")</f>
        <v/>
      </c>
      <c r="I8" s="0">
        <f>IFERROR(VLOOKUP($A14,Results_30d_Deltas!$A$2:$H$5000,6,FALSE),"")</f>
        <v/>
      </c>
      <c r="L8" s="0" t="inlineStr">
        <is>
          <t>YES</t>
        </is>
      </c>
      <c r="M8" s="78" t="n">
        <v>-0.1488924195897515</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80" t="n"/>
      <c r="FK8" s="80" t="n"/>
      <c r="FL8" s="80" t="n"/>
      <c r="FM8" s="80" t="n"/>
      <c r="FN8" s="80"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80" t="n"/>
      <c r="HZ8" s="80" t="n"/>
      <c r="IA8" s="80" t="n"/>
      <c r="IB8" s="80" t="n"/>
      <c r="IC8" s="80" t="n"/>
      <c r="ID8" s="80" t="n"/>
      <c r="IE8" s="80" t="n"/>
      <c r="IF8" s="80" t="n"/>
      <c r="IG8" s="80" t="n"/>
      <c r="IH8" s="80" t="n"/>
      <c r="II8" s="80" t="n"/>
      <c r="IJ8" s="80" t="n"/>
      <c r="IL8" s="0" t="inlineStr">
        <is>
          <t>ez_manage.py:4371 top()</t>
        </is>
      </c>
      <c r="IM8" s="0" t="inlineStr">
        <is>
          <t>v12_quick_engine.py:889 x9</t>
        </is>
      </c>
      <c r="IO8" s="81" t="inlineStr">
        <is>
          <t>SUSPICIOUS n=0 for crypto_short — keep, needs S1 fills (backtest-expert: &lt;30 trades, seek plateaus, punish)</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0.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0.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0.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0.5" customHeight="1" s="67"/>
    <row r="155" ht="10.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AUDIT_STATUS 2026-09-16 (4 sheets direct)</t>
        </is>
      </c>
    </row>
    <row r="3">
      <c r="A3" s="90" t="inlineStr">
        <is>
          <t>REMOVED for CRYPTO — stocks_only STDEV_SLOPE_SIZING (TradierConfig only, 0 hits in crypto)</t>
        </is>
      </c>
      <c r="B3" s="89" t="inlineStr">
        <is>
          <t>N/A for crypto — see STOCKS templates</t>
        </is>
      </c>
      <c r="N3" s="82"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5.75" customHeight="1" s="67"/>
    <row r="189" ht="15.75" customHeight="1" s="67"/>
    <row r="190" ht="10.5" customHeight="1" s="67"/>
    <row r="191" ht="15.75" customHeight="1" s="67"/>
    <row r="192" ht="15.75" customHeight="1" s="67"/>
    <row r="193" ht="15.75" customHeight="1" s="67"/>
    <row r="194" ht="10.5" customHeight="1" s="67"/>
    <row r="195" ht="10.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0.5" customHeight="1" s="67"/>
    <row r="218" ht="15.75" customHeight="1" s="67"/>
    <row r="219" ht="15.75" customHeight="1" s="67"/>
    <row r="220" ht="15.75" customHeight="1" s="67"/>
    <row r="221" ht="15.75" customHeight="1" s="67"/>
    <row r="222" ht="15.75" customHeight="1" s="67"/>
    <row r="223" ht="15.75" customHeight="1" s="67"/>
    <row r="224" ht="15.75" customHeight="1" s="67"/>
    <row r="225" ht="10.5" customHeight="1" s="67"/>
    <row r="226" ht="15.75" customHeight="1" s="67"/>
    <row r="227" ht="15.75" customHeight="1" s="67"/>
    <row r="228" ht="15.75" customHeight="1" s="67"/>
    <row r="229" ht="15.75" customHeight="1" s="67"/>
    <row r="230" ht="15.75" customHeight="1" s="67"/>
    <row r="231" ht="15.75" customHeight="1" s="67"/>
    <row r="232" ht="10.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0.5" customHeight="1" s="67"/>
    <row r="245" ht="15.75" customHeight="1" s="67"/>
    <row r="246" ht="10.5" customHeight="1" s="67"/>
    <row r="247" ht="10.5" customHeight="1" s="67"/>
    <row r="248" ht="10.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0.5" customHeight="1" s="67"/>
    <row r="261" ht="15.75" customHeight="1" s="67"/>
    <row r="262" ht="15.75" customHeight="1" s="67"/>
    <row r="263" ht="15.75" customHeight="1" s="67"/>
    <row r="264" ht="15.75" customHeight="1" s="67"/>
    <row r="265" ht="15.75" customHeight="1" s="67"/>
    <row r="266" ht="10.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0.5" customHeight="1" s="67"/>
    <row r="282" ht="15.75" customHeight="1" s="67"/>
    <row r="283" ht="15.75" customHeight="1" s="67"/>
    <row r="284" ht="15.75" customHeight="1" s="67"/>
    <row r="285" ht="15.75" customHeight="1" s="67"/>
    <row r="286" ht="15.75" customHeight="1" s="67"/>
    <row r="287" ht="15.75" customHeight="1" s="67"/>
    <row r="288" ht="15.75" customHeight="1" s="67"/>
    <row r="289" ht="10.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0.5" customHeight="1" s="67"/>
    <row r="305" ht="15.75" customHeight="1" s="67"/>
    <row r="306" ht="15.75" customHeight="1" s="67"/>
    <row r="307" ht="15.75" customHeight="1" s="67"/>
    <row r="308" ht="15.75" customHeight="1" s="67"/>
    <row r="309" ht="15.75" customHeight="1" s="67"/>
    <row r="310" ht="15.75" customHeight="1" s="67"/>
    <row r="311" ht="10.5" customHeight="1" s="67"/>
    <row r="312" ht="10.5" customHeight="1" s="67"/>
    <row r="313" ht="10.5" customHeight="1" s="67"/>
    <row r="314" ht="10.5" customHeight="1" s="67"/>
    <row r="315" ht="10.5" customHeight="1" s="67"/>
    <row r="316" ht="10.5" customHeight="1" s="67"/>
    <row r="317" ht="10.5" customHeight="1" s="67"/>
    <row r="318" ht="10.5" customHeight="1" s="67"/>
    <row r="319" ht="10.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GR_FILTER_VEC_FILTER_TF</t>
        </is>
      </c>
      <c r="B3" s="89" t="inlineStr">
        <is>
          <t>D</t>
        </is>
      </c>
      <c r="G3" s="0">
        <f>IFERROR(VLOOKUP($A12&amp;"_"&amp;$B12,Results_Deltas!$A$2:$P$15000,5,FALSE),"")</f>
        <v/>
      </c>
      <c r="H3" s="0">
        <f>IFERROR(VLOOKUP($A12,Results_30d_Deltas!$A$2:$H$5000,7,FALSE)-E11,"")</f>
        <v/>
      </c>
      <c r="I3" s="0">
        <f>IFERROR(VLOOKUP($A12,Results_30d_Deltas!$A$2:$H$5000,6,FALSE),"")</f>
        <v/>
      </c>
      <c r="L3" s="0" t="inlineStr">
        <is>
          <t>NO</t>
        </is>
      </c>
      <c r="M3" s="78" t="n">
        <v>0.008427842309496815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80" t="n"/>
      <c r="CF3" s="80" t="n"/>
      <c r="CG3" s="80" t="n"/>
      <c r="CH3" s="80" t="n"/>
      <c r="CI3" s="80" t="n"/>
      <c r="CJ3" s="80" t="n"/>
      <c r="CK3" s="80" t="n"/>
      <c r="CL3" s="80" t="n"/>
      <c r="CM3" s="80" t="n"/>
      <c r="CN3" s="80"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80" t="n"/>
      <c r="ES3" s="80" t="n"/>
      <c r="ET3" s="80" t="n"/>
      <c r="EU3" s="80" t="n"/>
      <c r="EV3" s="80" t="n"/>
      <c r="EW3" s="79" t="n"/>
      <c r="EX3" s="79" t="n"/>
      <c r="EY3" s="79" t="n"/>
      <c r="EZ3" s="79" t="n"/>
      <c r="FA3" s="79" t="n"/>
      <c r="FB3" s="79" t="n"/>
      <c r="FC3" s="79" t="n"/>
      <c r="FD3" s="79" t="n"/>
      <c r="FE3" s="79" t="n"/>
      <c r="FF3" s="79" t="n"/>
      <c r="FG3" s="80" t="n"/>
      <c r="FH3" s="80"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ez_manage.py:6004 top()</t>
        </is>
      </c>
      <c r="IL3" s="0" t="inlineStr">
        <is>
          <t>v12_quick_engine.py:112 x3</t>
        </is>
      </c>
      <c r="IN3" s="81" t="inlineStr">
        <is>
          <t>SUSPICIOUS n=0 for crypto_short — keep, needs S1 fills (backtest-expert: &lt;30 trades, seek plateaus, punish)</t>
        </is>
      </c>
    </row>
    <row r="4" ht="10.5" customHeight="1" s="67">
      <c r="A4" s="31" t="inlineStr">
        <is>
          <t>GR_FILTER_VEC_FILTER_TF</t>
        </is>
      </c>
      <c r="B4" s="72" t="inlineStr">
        <is>
          <t>15m</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YES</t>
        </is>
      </c>
      <c r="M4" s="33" t="n">
        <v>-0.2001235155604809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ez_manage.py:6004 top()</t>
        </is>
      </c>
      <c r="IL4" s="30" t="inlineStr">
        <is>
          <t>v12_quick_engine.py:112 x3</t>
        </is>
      </c>
      <c r="IM4" s="30" t="n"/>
      <c r="IN4" s="76" t="inlineStr">
        <is>
          <t>SUSPICIOUS n=0 for crypto_short — keep, needs S1 fills (backtest-expert: &lt;30 trades, seek plateaus, punish)</t>
        </is>
      </c>
    </row>
    <row r="5" ht="10.5" customHeight="1" s="67"/>
    <row r="6" ht="10.5" customHeight="1" s="67"/>
    <row r="7" ht="10.5" customHeight="1" s="67"/>
    <row r="8" ht="10.5" customHeight="1" s="67"/>
    <row r="9" ht="10.5" customHeight="1" s="67"/>
    <row r="10" ht="10.5" customHeight="1" s="67"/>
    <row r="11" ht="10.5" customHeight="1" s="67"/>
    <row r="12" ht="10.5" customHeight="1" s="67"/>
    <row r="13" ht="15.7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0.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1" t="inlineStr">
        <is>
          <t>DC_BREAK_WAIT_WT15_CLOSE_ENABLED</t>
        </is>
      </c>
      <c r="B3" s="91"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1"/>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1" t="inlineStr">
        <is>
          <t>BEAR_HOLD_EXIT_DELAY_BARS</t>
        </is>
      </c>
      <c r="B3" s="91" t="inlineStr">
        <is>
          <t>0</t>
        </is>
      </c>
      <c r="C3" s="0" t="inlineStr">
        <is>
          <t>24</t>
        </is>
      </c>
    </row>
    <row r="4">
      <c r="A4" s="0" t="inlineStr">
        <is>
          <t>BEAR_HOLD_EXIT_DELAY_BARS</t>
        </is>
      </c>
      <c r="B4" s="0" t="inlineStr">
        <is>
          <t>0</t>
        </is>
      </c>
      <c r="C4" s="0" t="inlineStr">
        <is>
          <t>48</t>
        </is>
      </c>
    </row>
    <row r="5">
      <c r="A5" s="0" t="inlineStr">
        <is>
          <t>BEAR_HOLD_EXIT_DELAY_BARS</t>
        </is>
      </c>
      <c r="B5" s="0" t="inlineStr">
        <is>
          <t>1</t>
        </is>
      </c>
      <c r="C5" s="0" t="inlineStr">
        <is>
          <t>24</t>
        </is>
      </c>
    </row>
    <row r="6">
      <c r="A6" s="91" t="inlineStr">
        <is>
          <t>WT_DIVERGENCE_VV_SHORT_EXIT_ENABLED</t>
        </is>
      </c>
      <c r="B6" s="91" t="inlineStr">
        <is>
          <t>False</t>
        </is>
      </c>
      <c r="D6" s="0" t="inlineStr">
        <is>
          <t>WT_WAIT</t>
        </is>
      </c>
      <c r="E6" s="0">
        <f>IF(G260="",E259,IF(G260&gt;0,E259+G260,E259))</f>
        <v/>
      </c>
      <c r="F6" s="0">
        <f>IFERROR(VLOOKUP($A260&amp;"_"&amp;$B260,Results_Deltas!$A$2:$P$15000,5,FALSE),"")</f>
        <v/>
      </c>
      <c r="G6" s="0">
        <f>IFERROR(VLOOKUP($A260&amp;"_"&amp;$B260,Results_Deltas!$A$2:$P$15000,5,FALSE),"")</f>
        <v/>
      </c>
    </row>
    <row r="7">
      <c r="A7" s="91" t="inlineStr">
        <is>
          <t>EXIT_BLOCKER_REQUIRE_LH_LL_ENABLED</t>
        </is>
      </c>
      <c r="B7" s="91" t="inlineStr">
        <is>
          <t>False</t>
        </is>
      </c>
      <c r="D7" s="0" t="inlineStr">
        <is>
          <t>EXIT_BLOCKER</t>
        </is>
      </c>
      <c r="E7" s="0">
        <f>IF(G261="",E260,IF(G261&gt;0,E260+G261,E260))</f>
        <v/>
      </c>
      <c r="F7" s="0">
        <f>IFERROR(VLOOKUP($A261&amp;"_"&amp;$B261,Results_Deltas!$A$2:$P$15000,5,FALSE),"")</f>
        <v/>
      </c>
      <c r="G7" s="0">
        <f>IFERROR(VLOOKUP($A261&amp;"_"&amp;$B261,Results_Deltas!$A$2:$P$15000,5,FALSE),"")</f>
        <v/>
      </c>
    </row>
    <row r="8">
      <c r="A8" s="0" t="inlineStr">
        <is>
          <t>WT_DIVERGENCE_VV_SHORT_EXIT_ENABLED</t>
        </is>
      </c>
      <c r="B8" s="0" t="b">
        <v>1</v>
      </c>
      <c r="D8" s="0" t="inlineStr">
        <is>
          <t>WT_WAIT</t>
        </is>
      </c>
      <c r="E8" s="0">
        <f>IF(G260="",E259,IF(G260&gt;0,E259+G260,E259))</f>
        <v/>
      </c>
      <c r="F8" s="0">
        <f>IFERROR(VLOOKUP($A260&amp;"_"&amp;$B260,Results_Deltas!$A$2:$P$15000,5,FALSE),"")</f>
        <v/>
      </c>
      <c r="G8" s="0">
        <f>IFERROR(VLOOKUP($A260&amp;"_"&amp;$B260,Results_Deltas!$A$2:$P$15000,5,FALSE),"")</f>
        <v/>
      </c>
    </row>
    <row r="9">
      <c r="A9" s="0" t="inlineStr">
        <is>
          <t>EXIT_BLOCKER_REQUIRE_LH_LL_ENABLED</t>
        </is>
      </c>
      <c r="B9" s="0" t="b">
        <v>1</v>
      </c>
      <c r="D9" s="0" t="inlineStr">
        <is>
          <t>EXIT_BLOCKER</t>
        </is>
      </c>
      <c r="E9" s="0">
        <f>IF(G261="",E260,IF(G261&gt;0,E260+G261,E260))</f>
        <v/>
      </c>
      <c r="F9" s="0">
        <f>IFERROR(VLOOKUP($A261&amp;"_"&amp;$B261,Results_Deltas!$A$2:$P$15000,5,FALSE),"")</f>
        <v/>
      </c>
      <c r="G9" s="0">
        <f>IFERROR(VLOOKUP($A261&amp;"_"&amp;$B261,Results_Deltas!$A$2:$P$15000,5,FALSE),"")</f>
        <v/>
      </c>
    </row>
    <row r="10">
      <c r="A10" s="91" t="inlineStr">
        <is>
          <t>WT_15M_LH_WAIT_EXIT_ENABLED</t>
        </is>
      </c>
      <c r="B10" s="91" t="inlineStr">
        <is>
          <t>False</t>
        </is>
      </c>
      <c r="D10" s="0" t="inlineStr">
        <is>
          <t>WT_WAIT</t>
        </is>
      </c>
      <c r="E10" s="0">
        <f>IF(G259="",E258,IF(G259&gt;0,E258+G259,E258))</f>
        <v/>
      </c>
      <c r="F10" s="0">
        <f>IFERROR(VLOOKUP($A259&amp;"_"&amp;$B259,Results_Deltas!$A$2:$P$15000,5,FALSE),"")</f>
        <v/>
      </c>
      <c r="G10" s="0">
        <f>IFERROR(VLOOKUP($A259&amp;"_"&amp;$B259,Results_Deltas!$A$2:$P$15000,5,FALSE),"")</f>
        <v/>
      </c>
    </row>
    <row r="11">
      <c r="A11" s="0" t="inlineStr">
        <is>
          <t>WT_15M_LH_WAIT_EXIT_ENABLED</t>
        </is>
      </c>
      <c r="B11" s="0" t="b">
        <v>1</v>
      </c>
      <c r="D11" s="0" t="inlineStr">
        <is>
          <t>WT_WAIT</t>
        </is>
      </c>
      <c r="E11" s="0">
        <f>IF(G259="",E258,IF(G259&gt;0,E258+G259,E258))</f>
        <v/>
      </c>
      <c r="F11" s="0">
        <f>IFERROR(VLOOKUP($A259&amp;"_"&amp;$B259,Results_Deltas!$A$2:$P$15000,5,FALSE),"")</f>
        <v/>
      </c>
      <c r="G11" s="0">
        <f>IFERROR(VLOOKUP($A259&amp;"_"&amp;$B259,Results_Deltas!$A$2:$P$15000,5,FALSE),"")</f>
        <v/>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HARDCODED_RALLY_REENTRY_ENABLED</t>
        </is>
      </c>
      <c r="B3" s="97" t="inlineStr">
        <is>
          <t>True</t>
        </is>
      </c>
      <c r="C3" s="0" t="inlineStr">
        <is>
          <t>True</t>
        </is>
      </c>
      <c r="D3" s="0" t="inlineStr">
        <is>
          <t>ALWAYS_TESTED</t>
        </is>
      </c>
    </row>
    <row r="4" ht="10.5" customHeight="1" s="67">
      <c r="A4" s="0" t="inlineStr">
        <is>
          <t>HARDCODED_RALLY_REENTRY_ENABLED</t>
        </is>
      </c>
      <c r="B4" s="97" t="inlineStr">
        <is>
          <t>True</t>
        </is>
      </c>
      <c r="C4" s="0" t="inlineStr">
        <is>
          <t>False</t>
        </is>
      </c>
      <c r="D4" s="0" t="inlineStr">
        <is>
          <t>ALWAYS_TESTED</t>
        </is>
      </c>
    </row>
    <row r="5" ht="10.5" customHeight="1" s="67">
      <c r="A5" s="0" t="inlineStr">
        <is>
          <t>HARDCODED_RALLY_REENTRY_BYPASS_COOLDOWN</t>
        </is>
      </c>
      <c r="B5" s="97" t="inlineStr">
        <is>
          <t>True</t>
        </is>
      </c>
      <c r="C5" s="0" t="inlineStr">
        <is>
          <t>True</t>
        </is>
      </c>
      <c r="D5" s="0" t="inlineStr">
        <is>
          <t>ALWAYS_TESTED</t>
        </is>
      </c>
    </row>
    <row r="6" ht="10.5" customHeight="1" s="67">
      <c r="A6" s="0" t="inlineStr">
        <is>
          <t>HARDCODED_RALLY_REENTRY_BYPASS_COOLDOWN</t>
        </is>
      </c>
      <c r="B6" s="97" t="inlineStr">
        <is>
          <t>True</t>
        </is>
      </c>
      <c r="C6" s="0" t="inlineStr">
        <is>
          <t>False</t>
        </is>
      </c>
      <c r="D6" s="0" t="inlineStr">
        <is>
          <t>ALWAYS_TESTED</t>
        </is>
      </c>
    </row>
    <row r="7" ht="10.5" customHeight="1" s="67">
      <c r="A7" s="0" t="inlineStr">
        <is>
          <t>HARDCODED_RALLY_REENTRY_REQUIRE_WT</t>
        </is>
      </c>
      <c r="B7" s="97" t="inlineStr">
        <is>
          <t>False</t>
        </is>
      </c>
      <c r="C7" s="0" t="inlineStr">
        <is>
          <t>False</t>
        </is>
      </c>
      <c r="D7" s="0" t="inlineStr">
        <is>
          <t>ALWAYS_TESTED</t>
        </is>
      </c>
    </row>
    <row r="8" ht="10.5" customHeight="1" s="67">
      <c r="A8" s="0" t="inlineStr">
        <is>
          <t>HARDCODED_RALLY_REENTRY_REQUIRE_WT</t>
        </is>
      </c>
      <c r="B8" s="97"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5.75" customHeight="1" s="67"/>
    <row r="235" ht="15.75" customHeight="1" s="67"/>
    <row r="236" ht="15.75" customHeight="1" s="67"/>
    <row r="237" ht="15.75" customHeight="1" s="67"/>
    <row r="238" ht="10.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0.5" customHeight="1" s="67"/>
    <row r="252" ht="15.75" customHeight="1" s="67"/>
    <row r="253" ht="15.75" customHeight="1" s="67"/>
    <row r="254" ht="10.5" customHeight="1" s="67"/>
    <row r="255" ht="15.75" customHeight="1" s="67"/>
    <row r="256" ht="15.75" customHeight="1" s="67"/>
    <row r="257" ht="15.75" customHeight="1" s="67"/>
    <row r="258" ht="15.75" customHeight="1" s="67"/>
    <row r="259" ht="15.75" customHeight="1" s="67"/>
    <row r="260" ht="15.75" customHeight="1" s="67"/>
    <row r="261" ht="15.75" customHeight="1" s="67"/>
    <row r="262" ht="10.5" customHeight="1" s="67"/>
    <row r="263" ht="15.75" customHeight="1" s="67"/>
    <row r="264" ht="10.5" customHeight="1" s="67"/>
    <row r="265" ht="15.75" customHeight="1" s="67"/>
    <row r="266" ht="10.5" customHeight="1" s="67"/>
    <row r="267" ht="15.75" customHeight="1" s="67"/>
    <row r="268" ht="10.5" customHeight="1" s="67"/>
    <row r="269" ht="10.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0.5" customHeight="1" s="67"/>
    <row r="315" ht="15.75" customHeight="1" s="67"/>
    <row r="316" ht="10.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0.5" customHeight="1" s="67"/>
    <row r="361" ht="10.5" customHeight="1" s="67"/>
    <row r="362" ht="10.5" customHeight="1" s="67"/>
    <row r="363" ht="10.5" customHeight="1" s="67"/>
    <row r="364" ht="10.5" customHeight="1" s="67"/>
    <row r="365" ht="10.5" customHeight="1" s="67"/>
    <row r="366" ht="10.5" customHeight="1" s="67"/>
    <row r="367" ht="10.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HARDCODED_RALLY_REENTRY_ENABLED</t>
        </is>
      </c>
      <c r="B3" s="97" t="inlineStr">
        <is>
          <t>True</t>
        </is>
      </c>
      <c r="C3" s="0" t="inlineStr">
        <is>
          <t>True</t>
        </is>
      </c>
      <c r="D3" s="0" t="inlineStr">
        <is>
          <t>ALWAYS_TESTED</t>
        </is>
      </c>
    </row>
    <row r="4" ht="10.5" customHeight="1" s="67">
      <c r="A4" s="0" t="inlineStr">
        <is>
          <t>HARDCODED_RALLY_REENTRY_ENABLED</t>
        </is>
      </c>
      <c r="B4" s="97" t="inlineStr">
        <is>
          <t>True</t>
        </is>
      </c>
      <c r="C4" s="0" t="inlineStr">
        <is>
          <t>False</t>
        </is>
      </c>
      <c r="D4" s="0" t="inlineStr">
        <is>
          <t>ALWAYS_TESTED</t>
        </is>
      </c>
    </row>
    <row r="5" ht="10.5" customHeight="1" s="67">
      <c r="A5" s="0" t="inlineStr">
        <is>
          <t>HARDCODED_RALLY_REENTRY_BYPASS_COOLDOWN</t>
        </is>
      </c>
      <c r="B5" s="97" t="inlineStr">
        <is>
          <t>True</t>
        </is>
      </c>
      <c r="C5" s="0" t="inlineStr">
        <is>
          <t>True</t>
        </is>
      </c>
      <c r="D5" s="0" t="inlineStr">
        <is>
          <t>ALWAYS_TESTED</t>
        </is>
      </c>
    </row>
    <row r="6" ht="10.5" customHeight="1" s="67">
      <c r="A6" s="0" t="inlineStr">
        <is>
          <t>HARDCODED_RALLY_REENTRY_BYPASS_COOLDOWN</t>
        </is>
      </c>
      <c r="B6" s="97" t="inlineStr">
        <is>
          <t>True</t>
        </is>
      </c>
      <c r="C6" s="0" t="inlineStr">
        <is>
          <t>False</t>
        </is>
      </c>
      <c r="D6" s="0" t="inlineStr">
        <is>
          <t>ALWAYS_TESTED</t>
        </is>
      </c>
    </row>
    <row r="7" ht="10.5" customHeight="1" s="67">
      <c r="A7" s="0" t="inlineStr">
        <is>
          <t>HARDCODED_RALLY_REENTRY_REQUIRE_WT</t>
        </is>
      </c>
      <c r="B7" s="97" t="inlineStr">
        <is>
          <t>False</t>
        </is>
      </c>
      <c r="C7" s="0" t="inlineStr">
        <is>
          <t>False</t>
        </is>
      </c>
      <c r="D7" s="0" t="inlineStr">
        <is>
          <t>ALWAYS_TESTED</t>
        </is>
      </c>
    </row>
    <row r="8" ht="10.5" customHeight="1" s="67">
      <c r="A8" s="0" t="inlineStr">
        <is>
          <t>HARDCODED_RALLY_REENTRY_REQUIRE_WT</t>
        </is>
      </c>
      <c r="B8" s="97"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0.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0.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0.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SHORT_DC_LOW_BREAK_SIZE_MULT</t>
        </is>
      </c>
      <c r="B3" s="91" t="inlineStr">
        <is>
          <t>2.0</t>
        </is>
      </c>
      <c r="C3" s="0" t="inlineStr">
        <is>
          <t>3.0</t>
        </is>
      </c>
    </row>
    <row r="4" ht="10.5" customHeight="1" s="67">
      <c r="A4" s="0" t="inlineStr">
        <is>
          <t>SHORT_DC_LOW_BREAK_SIZE_MULT</t>
        </is>
      </c>
      <c r="B4" s="0" t="inlineStr">
        <is>
          <t>1.0</t>
        </is>
      </c>
      <c r="C4" s="0" t="inlineStr">
        <is>
          <t>3.0</t>
        </is>
      </c>
    </row>
    <row r="5" ht="10.5" customHeight="1" s="67">
      <c r="A5" s="91" t="inlineStr">
        <is>
          <t>SHORT_DC_LOW_BREAK_ENABLED</t>
        </is>
      </c>
      <c r="B5" s="91" t="inlineStr">
        <is>
          <t>False</t>
        </is>
      </c>
      <c r="C5" s="0" t="inlineStr">
        <is>
          <t>True</t>
        </is>
      </c>
    </row>
    <row r="6" ht="10.5" customHeight="1" s="67">
      <c r="A6" s="0" t="inlineStr">
        <is>
          <t>SHORT_DC_LOW_BREAK_ENABLED</t>
        </is>
      </c>
      <c r="B6" s="0" t="b">
        <v>1</v>
      </c>
      <c r="C6" s="0" t="inlineStr">
        <is>
          <t>True</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DD_BOUNCE_ENABLED</t>
        </is>
      </c>
      <c r="B3" s="92" t="inlineStr">
        <is>
          <t>True</t>
        </is>
      </c>
      <c r="G3" s="0">
        <f>IFERROR(VLOOKUP($A7&amp;"="&amp;$B7,Results_Deltas!$A$2:$P$15000,5,FALSE),"")</f>
        <v/>
      </c>
      <c r="H3" s="0">
        <f>IFERROR(VLOOKUP($A7,Results_30d_Deltas!$A$2:$H$5000,7,FALSE)-E7,"")</f>
        <v/>
      </c>
      <c r="I3" s="0">
        <f>IFERROR(VLOOKUP($A7,Results_30d_Deltas!$A$2:$H$5000,6,FALSE),"")</f>
        <v/>
      </c>
      <c r="L3" s="0" t="inlineStr">
        <is>
          <t>NO</t>
        </is>
      </c>
      <c r="M3" s="78" t="n">
        <v>-1.221835845267563</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ez_manage.py:4586 top()</t>
        </is>
      </c>
      <c r="IL3" s="0" t="inlineStr">
        <is>
          <t>v12_quick_engine.py:567 x9</t>
        </is>
      </c>
      <c r="IN3" s="81" t="inlineStr">
        <is>
          <t>SUSPICIOUS n=0 for crypto_short — keep, needs S1 fills (backtest-expert: &lt;30 trades, seek plateaus, punish)</t>
        </is>
      </c>
    </row>
    <row r="4" ht="10.5" customHeight="1" s="67">
      <c r="A4" s="0" t="inlineStr">
        <is>
          <t>DD_BOUNCE_ENABLED</t>
        </is>
      </c>
      <c r="B4" s="77" t="b">
        <v>0</v>
      </c>
      <c r="G4" s="0">
        <f>IFERROR(VLOOKUP($A7&amp;"="&amp;$B7,Results_Deltas!$A$2:$P$15000,5,FALSE),"")</f>
        <v/>
      </c>
      <c r="H4" s="0">
        <f>IFERROR(VLOOKUP($A7,Results_30d_Deltas!$A$2:$H$5000,7,FALSE)-E7,"")</f>
        <v/>
      </c>
      <c r="I4" s="0">
        <f>IFERROR(VLOOKUP($A7,Results_30d_Deltas!$A$2:$H$5000,6,FALSE),"")</f>
        <v/>
      </c>
      <c r="L4" s="0" t="inlineStr">
        <is>
          <t>NO</t>
        </is>
      </c>
      <c r="M4" s="78" t="n">
        <v>-1.221835845267563</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ez_manage.py:4586 top()</t>
        </is>
      </c>
      <c r="IL4" s="0" t="inlineStr">
        <is>
          <t>v12_quick_engine.py:567 x9</t>
        </is>
      </c>
      <c r="IN4" s="81" t="inlineStr">
        <is>
          <t>SUSPICIOUS n=0 for crypto_short — keep, needs S1 fills (backtest-expert: &lt;30 trades, seek plateaus, punish)</t>
        </is>
      </c>
    </row>
    <row r="5" ht="10.5" customHeight="1" s="67">
      <c r="A5" s="91" t="inlineStr">
        <is>
          <t>SHORT_PARTIAL_RECOVERY_ENABLED</t>
        </is>
      </c>
      <c r="B5" s="91" t="inlineStr">
        <is>
          <t>False</t>
        </is>
      </c>
      <c r="C5" s="0" t="inlineStr">
        <is>
          <t>True</t>
        </is>
      </c>
    </row>
    <row r="6" ht="10.5" customHeight="1" s="67">
      <c r="A6" s="91" t="inlineStr">
        <is>
          <t>SHORT_PARTIAL_RECOVERY_THRESHOLD_PCT</t>
        </is>
      </c>
      <c r="B6" s="91" t="inlineStr">
        <is>
          <t>-1.0</t>
        </is>
      </c>
      <c r="C6" s="0" t="inlineStr">
        <is>
          <t>-0.5</t>
        </is>
      </c>
    </row>
    <row r="7" ht="10.5" customHeight="1" s="67">
      <c r="A7" s="0" t="inlineStr">
        <is>
          <t>SHORT_PARTIAL_RECOVERY_ENABLED</t>
        </is>
      </c>
      <c r="B7" s="0" t="b">
        <v>1</v>
      </c>
      <c r="C7" s="0" t="inlineStr">
        <is>
          <t>True</t>
        </is>
      </c>
    </row>
    <row r="8" ht="10.5" customHeight="1" s="67">
      <c r="A8" s="91" t="inlineStr">
        <is>
          <t>SHORT_PARTIAL_RECOVERY_SIZE_MULT</t>
        </is>
      </c>
      <c r="B8" s="91" t="inlineStr">
        <is>
          <t>2.0</t>
        </is>
      </c>
      <c r="C8" s="0" t="inlineStr">
        <is>
          <t>3.0</t>
        </is>
      </c>
    </row>
    <row r="9" ht="10.5" customHeight="1" s="67">
      <c r="A9" s="0" t="inlineStr">
        <is>
          <t>SHORT_PARTIAL_RECOVERY_SIZE_MULT</t>
        </is>
      </c>
      <c r="B9" s="0" t="inlineStr">
        <is>
          <t>1.0</t>
        </is>
      </c>
      <c r="C9" s="0" t="inlineStr">
        <is>
          <t>3.0</t>
        </is>
      </c>
    </row>
    <row r="10" ht="10.5" customHeight="1" s="67">
      <c r="A10" s="91" t="inlineStr">
        <is>
          <t>SHORT_PARTIAL_RECOVERY_THRESHOLD_PCT</t>
        </is>
      </c>
      <c r="B10" s="91" t="n">
        <v>-0.5</v>
      </c>
      <c r="C10" s="0" t="inlineStr">
        <is>
          <t>-0.5</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0.5" customHeight="1" s="67"/>
    <row r="91" ht="15.75" customHeight="1" s="67"/>
    <row r="92" ht="15.75" customHeight="1" s="67"/>
    <row r="93" ht="15.75" customHeight="1" s="67"/>
    <row r="94" ht="15.75" customHeight="1" s="67"/>
    <row r="95" ht="10.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0.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0.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BREAKEVEN_GAIN_EROSION_ENABLED</t>
        </is>
      </c>
      <c r="B3" s="92" t="inlineStr">
        <is>
          <t>True</t>
        </is>
      </c>
      <c r="G3" s="0">
        <f>IFERROR(VLOOKUP($A11&amp;"_"&amp;$B11,Results_Deltas!$A$2:$P$15000,5,FALSE),"")</f>
        <v/>
      </c>
      <c r="H3" s="0">
        <f>IFERROR(VLOOKUP($A11,Results_30d_Deltas!$A$2:$H$5000,7,FALSE)-E10,"")</f>
        <v/>
      </c>
      <c r="I3" s="0">
        <f>IFERROR(VLOOKUP($A11,Results_30d_Deltas!$A$2:$H$5000,6,FALSE),"")</f>
        <v/>
      </c>
      <c r="L3" s="0" t="inlineStr">
        <is>
          <t>NO</t>
        </is>
      </c>
      <c r="M3" s="78" t="n">
        <v>-1.220547071013275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80" t="n"/>
      <c r="AM3" s="80" t="n"/>
      <c r="AN3" s="80" t="n"/>
      <c r="AO3" s="80" t="n"/>
      <c r="AP3" s="80"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80" t="n"/>
      <c r="HT3" s="80" t="n"/>
      <c r="HU3" s="80" t="n"/>
      <c r="HV3" s="80" t="n"/>
      <c r="HW3" s="80" t="n"/>
      <c r="HX3" s="79" t="n"/>
      <c r="HY3" s="79" t="n"/>
      <c r="HZ3" s="79" t="n"/>
      <c r="IA3" s="79" t="n"/>
      <c r="IB3" s="79" t="n"/>
      <c r="IC3" s="79" t="n"/>
      <c r="ID3" s="79" t="n"/>
      <c r="IE3" s="79" t="n"/>
      <c r="IF3" s="79" t="n"/>
      <c r="IG3" s="79" t="n"/>
      <c r="IH3" s="79" t="n"/>
      <c r="II3" s="79" t="n"/>
      <c r="IK3" s="0" t="inlineStr">
        <is>
          <t>ez_manage.py:4400 top()</t>
        </is>
      </c>
      <c r="IL3" s="0" t="inlineStr">
        <is>
          <t>v12_quick_engine.py:341 x8</t>
        </is>
      </c>
      <c r="IN3" s="81" t="inlineStr">
        <is>
          <t>SUSPICIOUS n=0 for crypto_short — keep, needs S1 fills (backtest-expert: &lt;30 trades, seek plateaus, punish)</t>
        </is>
      </c>
    </row>
    <row r="4" ht="10.5" customHeight="1" s="67">
      <c r="A4" s="0" t="inlineStr">
        <is>
          <t>BREAKEVEN_GAIN_EROSION_ENABLED</t>
        </is>
      </c>
      <c r="B4" s="77" t="b">
        <v>0</v>
      </c>
      <c r="G4" s="0">
        <f>IFERROR(VLOOKUP($A11&amp;"_"&amp;$B11,Results_Deltas!$A$2:$P$15000,5,FALSE),"")</f>
        <v/>
      </c>
      <c r="H4" s="0">
        <f>IFERROR(VLOOKUP($A11,Results_30d_Deltas!$A$2:$H$5000,7,FALSE)-E10,"")</f>
        <v/>
      </c>
      <c r="I4" s="0">
        <f>IFERROR(VLOOKUP($A11,Results_30d_Deltas!$A$2:$H$5000,6,FALSE),"")</f>
        <v/>
      </c>
      <c r="L4" s="0" t="inlineStr">
        <is>
          <t>NO</t>
        </is>
      </c>
      <c r="M4" s="78" t="n">
        <v>-1.220547071013275</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80" t="n"/>
      <c r="AM4" s="80" t="n"/>
      <c r="AN4" s="80" t="n"/>
      <c r="AO4" s="80" t="n"/>
      <c r="AP4" s="80"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80" t="n"/>
      <c r="HT4" s="80" t="n"/>
      <c r="HU4" s="80" t="n"/>
      <c r="HV4" s="80" t="n"/>
      <c r="HW4" s="80" t="n"/>
      <c r="HX4" s="79" t="n"/>
      <c r="HY4" s="79" t="n"/>
      <c r="HZ4" s="79" t="n"/>
      <c r="IA4" s="79" t="n"/>
      <c r="IB4" s="79" t="n"/>
      <c r="IC4" s="79" t="n"/>
      <c r="ID4" s="79" t="n"/>
      <c r="IE4" s="79" t="n"/>
      <c r="IF4" s="79" t="n"/>
      <c r="IG4" s="79" t="n"/>
      <c r="IH4" s="79" t="n"/>
      <c r="II4" s="79" t="n"/>
      <c r="IK4" s="0" t="inlineStr">
        <is>
          <t>ez_manage.py:4400 top()</t>
        </is>
      </c>
      <c r="IL4" s="0" t="inlineStr">
        <is>
          <t>v12_quick_engine.py:341 x8</t>
        </is>
      </c>
      <c r="IN4" s="81" t="inlineStr">
        <is>
          <t>SUSPICIOUS n=0 for crypto_short — keep, needs S1 fills (backtest-expert: &lt;30 trades, seek plateaus, punish)</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0.5" customHeight="1" s="67"/>
    <row r="87" ht="15.75" customHeight="1" s="67"/>
    <row r="88" ht="15.75" customHeight="1" s="67"/>
    <row r="89" ht="15.75" customHeight="1" s="67"/>
    <row r="90" ht="15.75" customHeight="1" s="67"/>
    <row r="91" ht="10.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0.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0.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5.75" customHeight="1" s="67"/>
    <row r="130" ht="15.75" customHeight="1" s="67"/>
    <row r="131" ht="15.75" customHeight="1" s="67"/>
    <row r="132" ht="15.75" customHeight="1" s="67"/>
    <row r="133" ht="10.5" customHeight="1" s="67"/>
    <row r="134" ht="10.5" customHeight="1" s="67"/>
    <row r="135" ht="10.5" customHeight="1" s="67"/>
    <row r="136" ht="15.75" customHeight="1" s="67"/>
    <row r="137" ht="15.75" customHeight="1" s="67"/>
    <row r="138" ht="15.75" customHeight="1" s="67"/>
    <row r="139" ht="15.75" customHeight="1" s="67"/>
    <row r="140" ht="15.75" customHeight="1" s="67"/>
    <row r="141" ht="10.5" customHeight="1" s="67"/>
    <row r="142" ht="15.75" customHeight="1" s="67"/>
    <row r="143" ht="15.75" customHeight="1" s="67"/>
    <row r="144" ht="15.75" customHeight="1" s="67"/>
    <row r="145" ht="15.75" customHeight="1" s="67"/>
    <row r="146" ht="15.75" customHeight="1" s="67"/>
    <row r="147" ht="15.75" customHeight="1" s="67"/>
    <row r="148" ht="15.75" customHeight="1" s="67"/>
    <row r="149" ht="10.5" customHeight="1" s="67"/>
    <row r="150" ht="15.75" customHeight="1" s="67"/>
    <row r="151" ht="10.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0.5" customHeight="1" s="67"/>
    <row r="162" ht="15.75" customHeight="1" s="67"/>
    <row r="163" ht="15.75" customHeight="1" s="67"/>
    <row r="164" ht="10.5" customHeight="1" s="67"/>
    <row r="165" ht="15.75" customHeight="1" s="67"/>
    <row r="166" ht="15.75" customHeight="1" s="67"/>
    <row r="167" ht="15.75" customHeight="1" s="67"/>
    <row r="168" ht="15.75" customHeight="1" s="67"/>
    <row r="169" ht="10.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0.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0.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0.5" customHeight="1" s="67"/>
    <row r="231" ht="15.75" customHeight="1" s="67"/>
    <row r="232" ht="15.7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0.5" customHeight="1" s="67"/>
    <row r="258" ht="10.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UNIVERSAL_NOLOSS_GATE</t>
        </is>
      </c>
      <c r="B3" s="89" t="inlineStr">
        <is>
          <t>True</t>
        </is>
      </c>
      <c r="G3" s="0">
        <f>IFERROR(VLOOKUP($A14&amp;"_"&amp;$B14,Results_Deltas!$A$2:$P$15000,5,FALSE),"")</f>
        <v/>
      </c>
      <c r="H3" s="0">
        <f>IFERROR(VLOOKUP($A14,Results_30d_Deltas!$A$2:$H$5000,7,FALSE)-E13,"")</f>
        <v/>
      </c>
      <c r="I3" s="0">
        <f>IFERROR(VLOOKUP($A14,Results_30d_Deltas!$A$2:$H$5000,6,FALSE),"")</f>
        <v/>
      </c>
      <c r="L3" s="0" t="inlineStr">
        <is>
          <t>NO</t>
        </is>
      </c>
      <c r="M3" s="78" t="n">
        <v>-0.9564960772650978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80" t="n"/>
      <c r="HE3" s="80" t="n"/>
      <c r="HF3" s="80" t="n"/>
      <c r="HG3" s="80" t="n"/>
      <c r="HH3" s="80"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ez_manage.py:4233 top()</t>
        </is>
      </c>
      <c r="IL3" s="0" t="inlineStr">
        <is>
          <t>v12_quick_engine.py:837 x18</t>
        </is>
      </c>
    </row>
    <row r="4" ht="10.5" customHeight="1" s="67">
      <c r="A4" s="0" t="inlineStr">
        <is>
          <t>UNIVERSAL_NOLOSS_GATE</t>
        </is>
      </c>
      <c r="B4" s="77" t="inlineStr">
        <is>
          <t>False</t>
        </is>
      </c>
      <c r="G4" s="0">
        <f>IFERROR(VLOOKUP($A33&amp;"="&amp;$B33,Results_Deltas!$A$2:$P$15000,5,FALSE),"")</f>
        <v/>
      </c>
      <c r="H4" s="0">
        <f>IFERROR(VLOOKUP($A33,Results_30d_Deltas!$A$2:$H$5000,7,FALSE)-E33,"")</f>
        <v/>
      </c>
      <c r="I4" s="0">
        <f>IFERROR(VLOOKUP($A33,Results_30d_Deltas!$A$2:$H$5000,6,FALSE),"")</f>
        <v/>
      </c>
      <c r="L4" s="0" t="inlineStr">
        <is>
          <t>YES</t>
        </is>
      </c>
      <c r="M4" s="78" t="n">
        <v>0.02702630097734527</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80" t="n"/>
      <c r="HE4" s="80" t="n"/>
      <c r="HF4" s="80" t="n"/>
      <c r="HG4" s="80" t="n"/>
      <c r="HH4" s="80"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ez_manage.py:4233 top()</t>
        </is>
      </c>
      <c r="IL4" s="0" t="inlineStr">
        <is>
          <t>v12_quick_engine.py:837 x18</t>
        </is>
      </c>
    </row>
    <row r="5" ht="10.5" customHeight="1" s="67">
      <c r="A5" s="0" t="inlineStr">
        <is>
          <t>UNIVERSAL_NOLOSS_GATE</t>
        </is>
      </c>
      <c r="B5" s="77" t="inlineStr">
        <is>
          <t>False</t>
        </is>
      </c>
      <c r="G5" s="0">
        <f>IFERROR(VLOOKUP($A44&amp;"_"&amp;$B44,Results_Deltas!$A$2:$P$15000,5,FALSE),"")</f>
        <v/>
      </c>
      <c r="H5" s="0">
        <f>IFERROR(VLOOKUP($A45,Results_30d_Deltas!$A$2:$H$5000,7,FALSE)-E-166,"")</f>
        <v/>
      </c>
      <c r="I5" s="0">
        <f>IFERROR(VLOOKUP($A45,Results_30d_Deltas!$A$2:$H$5000,6,FALSE),"")</f>
        <v/>
      </c>
      <c r="L5" s="0" t="inlineStr">
        <is>
          <t>YES</t>
        </is>
      </c>
      <c r="M5" s="78" t="n">
        <v>0.02702630097734527</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80" t="n"/>
      <c r="HE5" s="80" t="n"/>
      <c r="HF5" s="80" t="n"/>
      <c r="HG5" s="80" t="n"/>
      <c r="HH5" s="80"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ez_manage.py:4233 top()</t>
        </is>
      </c>
      <c r="IL5" s="0" t="inlineStr">
        <is>
          <t>v12_quick_engine.py:837 x18</t>
        </is>
      </c>
    </row>
    <row r="6" ht="10.5" customHeight="1" s="67">
      <c r="A6" s="88" t="inlineStr">
        <is>
          <t>COUNTER_TREND_SMA200_BYPASS_ENABLED</t>
        </is>
      </c>
      <c r="B6" s="89" t="inlineStr">
        <is>
          <t>False</t>
        </is>
      </c>
      <c r="G6" s="0">
        <f>IFERROR(VLOOKUP($A35&amp;"_"&amp;$B35,Results_Deltas!$A$2:$P$15000,5,FALSE),"")</f>
        <v/>
      </c>
      <c r="H6" s="0">
        <f>IFERROR(VLOOKUP($A35,Results_30d_Deltas!$A$2:$H$5000,7,FALSE)-E34,"")</f>
        <v/>
      </c>
      <c r="I6" s="0">
        <f>IFERROR(VLOOKUP($A35,Results_30d_Deltas!$A$2:$H$5000,6,FALSE),"")</f>
        <v/>
      </c>
      <c r="L6" s="0" t="inlineStr">
        <is>
          <t>NO</t>
        </is>
      </c>
      <c r="M6" s="78" t="n">
        <v>-0.05754513000156646</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80" t="n"/>
      <c r="HE6" s="80" t="n"/>
      <c r="HF6" s="80" t="n"/>
      <c r="HG6" s="80" t="n"/>
      <c r="HH6" s="80"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ez_manage.py:3056 top()</t>
        </is>
      </c>
      <c r="IL6" s="0" t="inlineStr">
        <is>
          <t>v12_quick_engine.py:1470 x6</t>
        </is>
      </c>
    </row>
    <row r="7" ht="10.5" customHeight="1" s="67">
      <c r="A7" s="31" t="inlineStr">
        <is>
          <t>COUNTER_TREND_SMA200_BYPASS_ENABLED</t>
        </is>
      </c>
      <c r="B7" s="72" t="inlineStr">
        <is>
          <t>True</t>
        </is>
      </c>
      <c r="C7" s="30" t="n"/>
      <c r="D7" s="30" t="n"/>
      <c r="E7" s="30" t="n"/>
      <c r="F7" s="30" t="n"/>
      <c r="G7" s="30">
        <f>IFERROR(VLOOKUP($A29&amp;"_"&amp;$B29,Results_Deltas!$A$2:$P$15000,5,FALSE),"")</f>
        <v/>
      </c>
      <c r="H7" s="30">
        <f>IFERROR(VLOOKUP($A29,Results_30d_Deltas!$A$2:$H$5000,7,FALSE)-E28,"")</f>
        <v/>
      </c>
      <c r="I7" s="30">
        <f>IFERROR(VLOOKUP($A29,Results_30d_Deltas!$A$2:$H$5000,6,FALSE),"")</f>
        <v/>
      </c>
      <c r="J7" s="30" t="n"/>
      <c r="K7" s="30" t="n"/>
      <c r="L7" s="30" t="inlineStr">
        <is>
          <t>YES</t>
        </is>
      </c>
      <c r="M7" s="33" t="n">
        <v>-0.09352054298529378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0" t="inlineStr">
        <is>
          <t>HARDCODED_RALLY_REENTRY_ENABLED</t>
        </is>
      </c>
      <c r="B8" s="97" t="inlineStr">
        <is>
          <t>True</t>
        </is>
      </c>
      <c r="C8" s="0" t="inlineStr">
        <is>
          <t>True</t>
        </is>
      </c>
      <c r="D8" s="0" t="inlineStr">
        <is>
          <t>ALWAYS_TESTED</t>
        </is>
      </c>
    </row>
    <row r="9" ht="10.5" customHeight="1" s="67">
      <c r="A9" s="0" t="inlineStr">
        <is>
          <t>HARDCODED_RALLY_REENTRY_ENABLED</t>
        </is>
      </c>
      <c r="B9" s="97" t="inlineStr">
        <is>
          <t>True</t>
        </is>
      </c>
      <c r="C9" s="0" t="inlineStr">
        <is>
          <t>False</t>
        </is>
      </c>
      <c r="D9" s="0" t="inlineStr">
        <is>
          <t>ALWAYS_TESTED</t>
        </is>
      </c>
    </row>
    <row r="10" ht="10.5" customHeight="1" s="67">
      <c r="A10" s="0" t="inlineStr">
        <is>
          <t>HARDCODED_RALLY_REENTRY_BYPASS_COOLDOWN</t>
        </is>
      </c>
      <c r="B10" s="97" t="inlineStr">
        <is>
          <t>True</t>
        </is>
      </c>
      <c r="C10" s="0" t="inlineStr">
        <is>
          <t>True</t>
        </is>
      </c>
      <c r="D10" s="0" t="inlineStr">
        <is>
          <t>ALWAYS_TESTED</t>
        </is>
      </c>
    </row>
    <row r="11" ht="10.5" customHeight="1" s="67">
      <c r="A11" s="0" t="inlineStr">
        <is>
          <t>HARDCODED_RALLY_REENTRY_BYPASS_COOLDOWN</t>
        </is>
      </c>
      <c r="B11" s="97" t="inlineStr">
        <is>
          <t>True</t>
        </is>
      </c>
      <c r="C11" s="0" t="inlineStr">
        <is>
          <t>False</t>
        </is>
      </c>
      <c r="D11" s="0" t="inlineStr">
        <is>
          <t>ALWAYS_TESTED</t>
        </is>
      </c>
    </row>
    <row r="12" ht="10.5" customHeight="1" s="67">
      <c r="A12" s="0" t="inlineStr">
        <is>
          <t>HARDCODED_RALLY_REENTRY_REQUIRE_WT</t>
        </is>
      </c>
      <c r="B12" s="97" t="inlineStr">
        <is>
          <t>False</t>
        </is>
      </c>
      <c r="C12" s="0" t="inlineStr">
        <is>
          <t>False</t>
        </is>
      </c>
      <c r="D12" s="0" t="inlineStr">
        <is>
          <t>ALWAYS_TESTED</t>
        </is>
      </c>
    </row>
    <row r="13" ht="10.5" customHeight="1" s="67">
      <c r="A13" s="0" t="inlineStr">
        <is>
          <t>HARDCODED_RALLY_REENTRY_REQUIRE_WT</t>
        </is>
      </c>
      <c r="B13" s="97" t="inlineStr">
        <is>
          <t>False</t>
        </is>
      </c>
      <c r="C13" s="0" t="inlineStr">
        <is>
          <t>True</t>
        </is>
      </c>
      <c r="D13" s="0" t="inlineStr">
        <is>
          <t>ALWAYS_TESTED</t>
        </is>
      </c>
    </row>
    <row r="14" ht="10.5" customHeight="1" s="67">
      <c r="A14" s="0" t="inlineStr">
        <is>
          <t>BEAR_MARKET_MODE</t>
        </is>
      </c>
      <c r="B14" s="97" t="inlineStr">
        <is>
          <t>True</t>
        </is>
      </c>
      <c r="C14" s="0" t="n"/>
      <c r="D14" s="0" t="n"/>
      <c r="G14">
        <f>IFERROR(VLOOKUP($A14&amp;"_"&amp;$B14,Results_Deltas!$A$2:$P$15000,5,FALSE),"")</f>
        <v/>
      </c>
      <c r="H14">
        <f>IFERROR(VLOOKUP($A14,Results_30d_Deltas!$A$2:$H$5000,7,FALSE)-E14,"")</f>
        <v/>
      </c>
      <c r="I14">
        <f>IFERROR(VLOOKUP($A14,Results_30d_Deltas!$A$2:$H$5000,6,FALSE),"")</f>
        <v/>
      </c>
    </row>
    <row r="15" ht="10.5" customHeight="1" s="67">
      <c r="A15" s="0" t="inlineStr">
        <is>
          <t>BEAR_MARKET_MODE</t>
        </is>
      </c>
      <c r="B15" s="97" t="inlineStr">
        <is>
          <t>False</t>
        </is>
      </c>
      <c r="C15" s="0" t="n"/>
      <c r="D15" s="0" t="n"/>
      <c r="G15">
        <f>IFERROR(VLOOKUP($A15&amp;"_"&amp;$B15,Results_Deltas!$A$2:$P$15000,5,FALSE),"")</f>
        <v/>
      </c>
      <c r="H15">
        <f>IFERROR(VLOOKUP($A15,Results_30d_Deltas!$A$2:$H$5000,7,FALSE)-E15,"")</f>
        <v/>
      </c>
      <c r="I15">
        <f>IFERROR(VLOOKUP($A15,Results_30d_Deltas!$A$2:$H$5000,6,FALSE),"")</f>
        <v/>
      </c>
    </row>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0.5" customHeight="1" s="67"/>
    <row r="63" ht="15.75" customHeight="1" s="67"/>
    <row r="64" ht="15.75" customHeight="1" s="67"/>
    <row r="65" ht="15.75" customHeight="1" s="67"/>
    <row r="66" ht="15.75" customHeight="1" s="67"/>
    <row r="67" ht="15.75" customHeight="1" s="67"/>
    <row r="68" ht="15.75" customHeight="1" s="67"/>
    <row r="69" ht="10.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0.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0.5" customHeight="1" s="67"/>
    <row r="168" ht="10.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3" t="n">
        <v>1</v>
      </c>
      <c r="B3" s="93" t="inlineStr">
        <is>
          <t>ADX_RANGING_THRESHOLD</t>
        </is>
      </c>
      <c r="C3" s="0" t="inlineStr">
        <is>
          <t>25</t>
        </is>
      </c>
      <c r="D3" s="83" t="inlineStr">
        <is>
          <t>Threshold/gate: ADX_RANGING_THRESHOLD — _adx_thresh = float(getattr(config, "ADX_RANGING_THRESHOLD", 20.0)) | ex: `_adx_thresh = float(getattr(config, "ADX_RANGING_THRESHOLD", 20.0))`</t>
        </is>
      </c>
      <c r="E3" s="83" t="inlineStr">
        <is>
          <t>ENTRY, GLOBAL_CHECK, STOCKS_EXIT</t>
        </is>
      </c>
      <c r="F3" s="83" t="inlineStr">
        <is>
          <t>ENTRY, GLOBAL_CHECK, STOCKS_EXIT</t>
        </is>
      </c>
      <c r="G3" s="83" t="inlineStr">
        <is>
          <t>ADX_RANGING_THRESHOLD</t>
        </is>
      </c>
      <c r="H3" s="83" t="inlineStr">
        <is>
          <t>GENERAL</t>
        </is>
      </c>
      <c r="I3" s="83" t="inlineStr">
        <is>
          <t>LIVE — wired</t>
        </is>
      </c>
      <c r="J3" s="84"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3" t="n">
        <v>1</v>
      </c>
      <c r="B4" s="83" t="inlineStr">
        <is>
          <t>ADX_RANGING_THRESHOLD</t>
        </is>
      </c>
      <c r="C4" s="0" t="inlineStr">
        <is>
          <t>15</t>
        </is>
      </c>
      <c r="D4" s="83" t="inlineStr">
        <is>
          <t>Threshold/gate: ADX_RANGING_THRESHOLD — _adx_thresh = float(getattr(config, "ADX_RANGING_THRESHOLD", 20.0)) | ex: `_adx_thresh = float(getattr(config, "ADX_RANGING_THRESHOLD", 20.0))`</t>
        </is>
      </c>
      <c r="E4" s="83" t="inlineStr">
        <is>
          <t>ENTRY, GLOBAL_CHECK, STOCKS_EXIT</t>
        </is>
      </c>
      <c r="F4" s="83" t="inlineStr">
        <is>
          <t>ENTRY, GLOBAL_CHECK, STOCKS_EXIT</t>
        </is>
      </c>
      <c r="G4" s="83" t="inlineStr">
        <is>
          <t>ADX_RANGING_THRESHOLD</t>
        </is>
      </c>
      <c r="H4" s="83" t="inlineStr">
        <is>
          <t>GENERAL</t>
        </is>
      </c>
      <c r="I4" s="83" t="inlineStr">
        <is>
          <t>LIVE — wired</t>
        </is>
      </c>
      <c r="J4" s="84"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3" t="n">
        <v>1</v>
      </c>
      <c r="B5" s="83" t="inlineStr">
        <is>
          <t>ADX_RANGING_THRESHOLD</t>
        </is>
      </c>
      <c r="C5" s="0" t="inlineStr">
        <is>
          <t>10</t>
        </is>
      </c>
      <c r="D5" s="83" t="inlineStr">
        <is>
          <t>Threshold/gate: ADX_RANGING_THRESHOLD — _adx_thresh = float(getattr(config, "ADX_RANGING_THRESHOLD", 20.0)) | ex: `_adx_thresh = float(getattr(config, "ADX_RANGING_THRESHOLD", 20.0))`</t>
        </is>
      </c>
      <c r="E5" s="83" t="inlineStr">
        <is>
          <t>ENTRY, GLOBAL_CHECK, STOCKS_EXIT</t>
        </is>
      </c>
      <c r="F5" s="83" t="inlineStr">
        <is>
          <t>ENTRY, GLOBAL_CHECK, STOCKS_EXIT</t>
        </is>
      </c>
      <c r="G5" s="83" t="inlineStr">
        <is>
          <t>ADX_RANGING_THRESHOLD</t>
        </is>
      </c>
      <c r="H5" s="83" t="inlineStr">
        <is>
          <t>GENERAL</t>
        </is>
      </c>
      <c r="I5" s="83" t="inlineStr">
        <is>
          <t>LIVE — wired</t>
        </is>
      </c>
      <c r="J5" s="84"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4" t="n">
        <v>2</v>
      </c>
      <c r="B6" s="94"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3" t="n">
        <v>3</v>
      </c>
      <c r="B11" s="93" t="inlineStr">
        <is>
          <t>BANDAID_OFF_LOSER_RECOVER_PCT</t>
        </is>
      </c>
      <c r="C11" s="0" t="inlineStr">
        <is>
          <t>0</t>
        </is>
      </c>
      <c r="D11" s="83" t="inlineStr">
        <is>
          <t>Threshold/gate: BANDAID_OFF_LOSER_RECOVER_PCT — 'AUG_COOLDOWN_S', 'AVAILABLE_IPS', 'BACKUP_KLINES_CACHE', 'BANDAID_OFF_LOSER_RECOVER_PCT', 'BAND_FILE', 'BASE_TF', | ex: `'AUG_COOLDOWN_S', 'AVAILABLE_IPS', 'BACKUP_KLINES_CACHE', 'BANDAID_OFF_LOSER_REC`</t>
        </is>
      </c>
      <c r="E11" s="83" t="inlineStr">
        <is>
          <t>AUGMENT, ENTRY, EXIT, GLOBAL_CHECK, REDUCE, STOCKS_EXIT</t>
        </is>
      </c>
      <c r="F11" s="83" t="inlineStr">
        <is>
          <t>AUGMENT, ENTRY, EXIT, GLOBAL_CHECK, REDUCE, STOCKS_EXIT</t>
        </is>
      </c>
      <c r="G11" s="83" t="inlineStr">
        <is>
          <t>BANDAID_OFF_LOSER_RECOVER_PCT</t>
        </is>
      </c>
      <c r="H11" s="83" t="inlineStr">
        <is>
          <t>GENERAL</t>
        </is>
      </c>
      <c r="I11" s="83" t="inlineStr">
        <is>
          <t>LIVE — wired</t>
        </is>
      </c>
      <c r="J11" s="84"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3" t="n">
        <v>3</v>
      </c>
      <c r="B12" s="83" t="inlineStr">
        <is>
          <t>BANDAID_OFF_LOSER_RECOVER_PCT</t>
        </is>
      </c>
      <c r="C12" s="0" t="inlineStr">
        <is>
          <t>2.0</t>
        </is>
      </c>
      <c r="D12" s="83" t="inlineStr">
        <is>
          <t>Threshold/gate: BANDAID_OFF_LOSER_RECOVER_PCT — 'AUG_COOLDOWN_S', 'AVAILABLE_IPS', 'BACKUP_KLINES_CACHE', 'BANDAID_OFF_LOSER_RECOVER_PCT', 'BAND_FILE', 'BASE_TF', | ex: `'AUG_COOLDOWN_S', 'AVAILABLE_IPS', 'BACKUP_KLINES_CACHE', 'BANDAID_OFF_LOSER_REC`</t>
        </is>
      </c>
      <c r="E12" s="83" t="inlineStr">
        <is>
          <t>AUGMENT, ENTRY, EXIT, GLOBAL_CHECK, REDUCE, STOCKS_EXIT</t>
        </is>
      </c>
      <c r="F12" s="83" t="inlineStr">
        <is>
          <t>AUGMENT, ENTRY, EXIT, GLOBAL_CHECK, REDUCE, STOCKS_EXIT</t>
        </is>
      </c>
      <c r="G12" s="83" t="inlineStr">
        <is>
          <t>BANDAID_OFF_LOSER_RECOVER_PCT</t>
        </is>
      </c>
      <c r="H12" s="83" t="inlineStr">
        <is>
          <t>GENERAL</t>
        </is>
      </c>
      <c r="I12" s="83" t="inlineStr">
        <is>
          <t>LIVE — wired</t>
        </is>
      </c>
      <c r="J12" s="84"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3" t="n">
        <v>3</v>
      </c>
      <c r="B13" s="83" t="inlineStr">
        <is>
          <t>BANDAID_OFF_LOSER_RECOVER_PCT</t>
        </is>
      </c>
      <c r="C13" s="0" t="inlineStr">
        <is>
          <t>1.0</t>
        </is>
      </c>
      <c r="D13" s="83" t="inlineStr">
        <is>
          <t>Threshold/gate: BANDAID_OFF_LOSER_RECOVER_PCT — 'AUG_COOLDOWN_S', 'AVAILABLE_IPS', 'BACKUP_KLINES_CACHE', 'BANDAID_OFF_LOSER_RECOVER_PCT', 'BAND_FILE', 'BASE_TF', | ex: `'AUG_COOLDOWN_S', 'AVAILABLE_IPS', 'BACKUP_KLINES_CACHE', 'BANDAID_OFF_LOSER_REC`</t>
        </is>
      </c>
      <c r="E13" s="83" t="inlineStr">
        <is>
          <t>AUGMENT, ENTRY, EXIT, GLOBAL_CHECK, REDUCE, STOCKS_EXIT</t>
        </is>
      </c>
      <c r="F13" s="83" t="inlineStr">
        <is>
          <t>AUGMENT, ENTRY, EXIT, GLOBAL_CHECK, REDUCE, STOCKS_EXIT</t>
        </is>
      </c>
      <c r="G13" s="83" t="inlineStr">
        <is>
          <t>BANDAID_OFF_LOSER_RECOVER_PCT</t>
        </is>
      </c>
      <c r="H13" s="83" t="inlineStr">
        <is>
          <t>GENERAL</t>
        </is>
      </c>
      <c r="I13" s="83" t="inlineStr">
        <is>
          <t>LIVE — wired</t>
        </is>
      </c>
      <c r="J13" s="84"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3" t="n">
        <v>3</v>
      </c>
      <c r="B14" s="83" t="inlineStr">
        <is>
          <t>BANDAID_OFF_LOSER_RECOVER_PCT</t>
        </is>
      </c>
      <c r="C14" s="0" t="inlineStr">
        <is>
          <t>0.5</t>
        </is>
      </c>
      <c r="D14" s="83" t="inlineStr">
        <is>
          <t>Threshold/gate: BANDAID_OFF_LOSER_RECOVER_PCT — 'AUG_COOLDOWN_S', 'AVAILABLE_IPS', 'BACKUP_KLINES_CACHE', 'BANDAID_OFF_LOSER_RECOVER_PCT', 'BAND_FILE', 'BASE_TF', | ex: `'AUG_COOLDOWN_S', 'AVAILABLE_IPS', 'BACKUP_KLINES_CACHE', 'BANDAID_OFF_LOSER_REC`</t>
        </is>
      </c>
      <c r="E14" s="83" t="inlineStr">
        <is>
          <t>AUGMENT, ENTRY, EXIT, GLOBAL_CHECK, REDUCE, STOCKS_EXIT</t>
        </is>
      </c>
      <c r="F14" s="83" t="inlineStr">
        <is>
          <t>AUGMENT, ENTRY, EXIT, GLOBAL_CHECK, REDUCE, STOCKS_EXIT</t>
        </is>
      </c>
      <c r="G14" s="83" t="inlineStr">
        <is>
          <t>BANDAID_OFF_LOSER_RECOVER_PCT</t>
        </is>
      </c>
      <c r="H14" s="83" t="inlineStr">
        <is>
          <t>GENERAL</t>
        </is>
      </c>
      <c r="I14" s="83" t="inlineStr">
        <is>
          <t>LIVE — wired</t>
        </is>
      </c>
      <c r="J14" s="84"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3" t="n">
        <v>4</v>
      </c>
      <c r="B15" s="93" t="inlineStr">
        <is>
          <t>BAND_ARROW_ENABLED</t>
        </is>
      </c>
      <c r="C15" s="0" t="inlineStr">
        <is>
          <t>False</t>
        </is>
      </c>
      <c r="D15" s="83" t="inlineStr">
        <is>
          <t>Enables BAND+ARROW confluence entry (Donchian/BB + WT arrow). When OFF, that entry path is skipped. | Live read: `_EXHAUSTIVE_FILTER_LIST_LIVE = ['ADAPTIVE_REGIME_DC_BREAKDOWN_THRESHOLD', 'ADAPT`</t>
        </is>
      </c>
      <c r="E15" s="83" t="inlineStr">
        <is>
          <t>GLOBAL_CHECK, STOCKS_EXIT</t>
        </is>
      </c>
      <c r="F15" s="83" t="inlineStr">
        <is>
          <t>GLOBAL_CHECK, STOCKS_EXIT</t>
        </is>
      </c>
      <c r="G15" s="83" t="inlineStr">
        <is>
          <t>BAND_ARROW_ENABLED</t>
        </is>
      </c>
      <c r="H15" s="83" t="inlineStr">
        <is>
          <t>GENERAL</t>
        </is>
      </c>
      <c r="I15" s="83" t="inlineStr">
        <is>
          <t>LIVE — wired</t>
        </is>
      </c>
      <c r="J15" s="84"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3" t="n">
        <v>4</v>
      </c>
      <c r="B16" s="83" t="inlineStr">
        <is>
          <t>BAND_ARROW_ENABLED</t>
        </is>
      </c>
      <c r="C16" s="0" t="inlineStr">
        <is>
          <t>True</t>
        </is>
      </c>
      <c r="D16" s="83" t="inlineStr">
        <is>
          <t>Enables BAND+ARROW confluence entry (Donchian/BB + WT arrow). When OFF, that entry path is skipped. | Live read: `_EXHAUSTIVE_FILTER_LIST_LIVE = ['ADAPTIVE_REGIME_DC_BREAKDOWN_THRESHOLD', 'ADAPT`</t>
        </is>
      </c>
      <c r="E16" s="83" t="inlineStr">
        <is>
          <t>GLOBAL_CHECK, STOCKS_EXIT</t>
        </is>
      </c>
      <c r="F16" s="83" t="inlineStr">
        <is>
          <t>GLOBAL_CHECK, STOCKS_EXIT</t>
        </is>
      </c>
      <c r="G16" s="83" t="inlineStr">
        <is>
          <t>BAND_ARROW_ENABLED</t>
        </is>
      </c>
      <c r="H16" s="83" t="inlineStr">
        <is>
          <t>GENERAL</t>
        </is>
      </c>
      <c r="I16" s="83" t="inlineStr">
        <is>
          <t>LIVE — wired</t>
        </is>
      </c>
      <c r="J16" s="84"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4" t="n">
        <v>5</v>
      </c>
      <c r="B17" s="94"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4" t="n">
        <v>6</v>
      </c>
      <c r="B22" s="94"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4" t="n">
        <v>7</v>
      </c>
      <c r="B27" s="94"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4" t="n">
        <v>8</v>
      </c>
      <c r="B32" s="94"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4" t="n">
        <v>9</v>
      </c>
      <c r="B37" s="94"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4" t="n">
        <v>10</v>
      </c>
      <c r="B42" s="94"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5" t="n">
        <v>11</v>
      </c>
      <c r="B47" s="95" t="inlineStr">
        <is>
          <t>BTC_ACCEL_RAMP_REQUIRE_POSITIVE</t>
        </is>
      </c>
      <c r="C47" s="0" t="inlineStr">
        <is>
          <t>0.0</t>
        </is>
      </c>
      <c r="D47"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5" t="inlineStr">
        <is>
          <t>UNIVERSAL (ex-BTC) — ENTRY/EXIT/REENTRY</t>
        </is>
      </c>
      <c r="F47" s="85" t="inlineStr">
        <is>
          <t>UNIVERSAL (ex-BTC) — ENTRY/EXIT/REENTRY</t>
        </is>
      </c>
      <c r="G47" s="85" t="inlineStr">
        <is>
          <t>Accel ramp (UNIVERSAL) — UNIVERSAL</t>
        </is>
      </c>
      <c r="H47" s="85" t="inlineStr">
        <is>
          <t>GENERAL</t>
        </is>
      </c>
      <c r="I47" s="85" t="inlineStr">
        <is>
          <t>LIVE — UNIVERSAL (ex-BTC)</t>
        </is>
      </c>
      <c r="J47" s="85"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5" t="n">
        <v>11</v>
      </c>
      <c r="B48" s="85" t="inlineStr">
        <is>
          <t>BTC_ACCEL_RAMP_REQUIRE_POSITIVE</t>
        </is>
      </c>
      <c r="C48" s="0" t="inlineStr">
        <is>
          <t>0.0_ALT</t>
        </is>
      </c>
      <c r="D48"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5" t="inlineStr">
        <is>
          <t>UNIVERSAL (ex-BTC) — ENTRY/EXIT/REENTRY</t>
        </is>
      </c>
      <c r="F48" s="85" t="inlineStr">
        <is>
          <t>UNIVERSAL (ex-BTC) — ENTRY/EXIT/REENTRY</t>
        </is>
      </c>
      <c r="G48" s="85" t="inlineStr">
        <is>
          <t>Accel ramp (UNIVERSAL) — UNIVERSAL</t>
        </is>
      </c>
      <c r="H48" s="85" t="inlineStr">
        <is>
          <t>GENERAL</t>
        </is>
      </c>
      <c r="I48" s="85" t="inlineStr">
        <is>
          <t>LIVE — UNIVERSAL (ex-BTC)</t>
        </is>
      </c>
      <c r="J48" s="85"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5" t="n">
        <v>12</v>
      </c>
      <c r="B49" s="95" t="inlineStr">
        <is>
          <t>BTC_DEDICATED_FILTER_TF</t>
        </is>
      </c>
      <c r="C49" s="0" t="inlineStr">
        <is>
          <t>OFF</t>
        </is>
      </c>
      <c r="D49" s="85" t="inlineStr">
        <is>
          <t>UNIVERSAL gate (BTCUSDC/BTCUSDT) — requires dedicated BTC momentum alignment. | Live read: `_EXHAUSTIVE_FILTER_LIST_LIVE = ['ADAPTIVE_REGIME_DC_BREAKDOWN_THRESHOLD', 'ADAPT` | UNIVERSAL per 2026-08-28 — applies to ALL symbols, not BTC-only.</t>
        </is>
      </c>
      <c r="E49" s="85" t="inlineStr">
        <is>
          <t>UNIVERSAL (ex-BTC) — ENTRY/EXIT/REENTRY</t>
        </is>
      </c>
      <c r="F49" s="85" t="inlineStr">
        <is>
          <t>UNIVERSAL (ex-BTC) — ENTRY/EXIT/REENTRY</t>
        </is>
      </c>
      <c r="G49" s="85" t="inlineStr">
        <is>
          <t>Dedicated (UNIVERSAL) — UNIVERSAL</t>
        </is>
      </c>
      <c r="H49" s="85" t="inlineStr">
        <is>
          <t>SPECIFIC — only gated switches</t>
        </is>
      </c>
      <c r="I49" s="85" t="inlineStr">
        <is>
          <t>LIVE — UNIVERSAL (ex-BTC)</t>
        </is>
      </c>
      <c r="J49" s="85"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5" t="n">
        <v>12</v>
      </c>
      <c r="B50" s="85" t="inlineStr">
        <is>
          <t>BTC_DEDICATED_FILTER_TF</t>
        </is>
      </c>
      <c r="C50" s="0" t="inlineStr">
        <is>
          <t>D</t>
        </is>
      </c>
      <c r="D50" s="85" t="inlineStr">
        <is>
          <t>UNIVERSAL gate (BTCUSDC/BTCUSDT) — requires dedicated BTC momentum alignment. | Live read: `_EXHAUSTIVE_FILTER_LIST_LIVE = ['ADAPTIVE_REGIME_DC_BREAKDOWN_THRESHOLD', 'ADAPT` | UNIVERSAL per 2026-08-28 — applies to ALL symbols, not BTC-only.</t>
        </is>
      </c>
      <c r="E50" s="85" t="inlineStr">
        <is>
          <t>UNIVERSAL (ex-BTC) — ENTRY/EXIT/REENTRY</t>
        </is>
      </c>
      <c r="F50" s="85" t="inlineStr">
        <is>
          <t>UNIVERSAL (ex-BTC) — ENTRY/EXIT/REENTRY</t>
        </is>
      </c>
      <c r="G50" s="85" t="inlineStr">
        <is>
          <t>Dedicated (UNIVERSAL) — UNIVERSAL</t>
        </is>
      </c>
      <c r="H50" s="85" t="inlineStr">
        <is>
          <t>SPECIFIC — only gated switches</t>
        </is>
      </c>
      <c r="I50" s="85" t="inlineStr">
        <is>
          <t>LIVE — UNIVERSAL (ex-BTC)</t>
        </is>
      </c>
      <c r="J50" s="85"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5" t="n">
        <v>12</v>
      </c>
      <c r="B51" s="85" t="inlineStr">
        <is>
          <t>BTC_DEDICATED_FILTER_TF</t>
        </is>
      </c>
      <c r="C51" s="0" t="inlineStr">
        <is>
          <t>4h</t>
        </is>
      </c>
      <c r="D51" s="85" t="inlineStr">
        <is>
          <t>UNIVERSAL gate (BTCUSDC/BTCUSDT) — requires dedicated BTC momentum alignment. | Live read: `_EXHAUSTIVE_FILTER_LIST_LIVE = ['ADAPTIVE_REGIME_DC_BREAKDOWN_THRESHOLD', 'ADAPT` | UNIVERSAL per 2026-08-28 — applies to ALL symbols, not BTC-only.</t>
        </is>
      </c>
      <c r="E51" s="85" t="inlineStr">
        <is>
          <t>UNIVERSAL (ex-BTC) — ENTRY/EXIT/REENTRY</t>
        </is>
      </c>
      <c r="F51" s="85" t="inlineStr">
        <is>
          <t>UNIVERSAL (ex-BTC) — ENTRY/EXIT/REENTRY</t>
        </is>
      </c>
      <c r="G51" s="85" t="inlineStr">
        <is>
          <t>Dedicated (UNIVERSAL) — UNIVERSAL</t>
        </is>
      </c>
      <c r="H51" s="85" t="inlineStr">
        <is>
          <t>SPECIFIC — only gated switches</t>
        </is>
      </c>
      <c r="I51" s="85" t="inlineStr">
        <is>
          <t>LIVE — UNIVERSAL (ex-BTC)</t>
        </is>
      </c>
      <c r="J51" s="85"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5" t="n">
        <v>12</v>
      </c>
      <c r="B52" s="85" t="inlineStr">
        <is>
          <t>BTC_DEDICATED_FILTER_TF</t>
        </is>
      </c>
      <c r="C52" s="0" t="inlineStr">
        <is>
          <t>1h</t>
        </is>
      </c>
      <c r="D52" s="85" t="inlineStr">
        <is>
          <t>UNIVERSAL gate (BTCUSDC/BTCUSDT) — requires dedicated BTC momentum alignment. | Live read: `_EXHAUSTIVE_FILTER_LIST_LIVE = ['ADAPTIVE_REGIME_DC_BREAKDOWN_THRESHOLD', 'ADAPT` | UNIVERSAL per 2026-08-28 — applies to ALL symbols, not BTC-only.</t>
        </is>
      </c>
      <c r="E52" s="85" t="inlineStr">
        <is>
          <t>UNIVERSAL (ex-BTC) — ENTRY/EXIT/REENTRY</t>
        </is>
      </c>
      <c r="F52" s="85" t="inlineStr">
        <is>
          <t>UNIVERSAL (ex-BTC) — ENTRY/EXIT/REENTRY</t>
        </is>
      </c>
      <c r="G52" s="85" t="inlineStr">
        <is>
          <t>Dedicated (UNIVERSAL) — UNIVERSAL</t>
        </is>
      </c>
      <c r="H52" s="85" t="inlineStr">
        <is>
          <t>SPECIFIC — only gated switches</t>
        </is>
      </c>
      <c r="I52" s="85" t="inlineStr">
        <is>
          <t>LIVE — UNIVERSAL (ex-BTC)</t>
        </is>
      </c>
      <c r="J52" s="85"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5" t="n">
        <v>12</v>
      </c>
      <c r="B53" s="85" t="inlineStr">
        <is>
          <t>BTC_DEDICATED_FILTER_TF</t>
        </is>
      </c>
      <c r="C53" s="0" t="inlineStr">
        <is>
          <t>15m</t>
        </is>
      </c>
      <c r="D53" s="85" t="inlineStr">
        <is>
          <t>UNIVERSAL gate (BTCUSDC/BTCUSDT) — requires dedicated BTC momentum alignment. | Live read: `_EXHAUSTIVE_FILTER_LIST_LIVE = ['ADAPTIVE_REGIME_DC_BREAKDOWN_THRESHOLD', 'ADAPT` | UNIVERSAL per 2026-08-28 — applies to ALL symbols, not BTC-only.</t>
        </is>
      </c>
      <c r="E53" s="85" t="inlineStr">
        <is>
          <t>UNIVERSAL (ex-BTC) — ENTRY/EXIT/REENTRY</t>
        </is>
      </c>
      <c r="F53" s="85" t="inlineStr">
        <is>
          <t>UNIVERSAL (ex-BTC) — ENTRY/EXIT/REENTRY</t>
        </is>
      </c>
      <c r="G53" s="85" t="inlineStr">
        <is>
          <t>Dedicated (UNIVERSAL) — UNIVERSAL</t>
        </is>
      </c>
      <c r="H53" s="85" t="inlineStr">
        <is>
          <t>SPECIFIC — only gated switches</t>
        </is>
      </c>
      <c r="I53" s="85" t="inlineStr">
        <is>
          <t>LIVE — UNIVERSAL (ex-BTC)</t>
        </is>
      </c>
      <c r="J53" s="85"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5" t="n">
        <v>13</v>
      </c>
      <c r="B54" s="95" t="inlineStr">
        <is>
          <t>BTC_HARD_BLOCK_OTHER_ACCOUNTS</t>
        </is>
      </c>
      <c r="C54" s="0" t="inlineStr">
        <is>
          <t>0.0</t>
        </is>
      </c>
      <c r="D54" s="85" t="inlineStr">
        <is>
          <t>Global kill: when BTC regime is adverse, blocks non-BTC accounts. | Live read: `_EXHAUSTIVE_FILTER_LIST_LIVE = ['ADAPTIVE_REGIME_DC_BREAKDOWN_THRESHOLD', 'ADAPT` | UNIVERSAL per 2026-08-28 — applies to ALL symbols, not BTC-only.</t>
        </is>
      </c>
      <c r="E54" s="85" t="inlineStr">
        <is>
          <t>UNIVERSAL (ex-BTC) — ENTRY/EXIT/REENTRY</t>
        </is>
      </c>
      <c r="F54" s="85" t="inlineStr">
        <is>
          <t>UNIVERSAL (ex-BTC) — ENTRY/EXIT/REENTRY</t>
        </is>
      </c>
      <c r="G54" s="85" t="inlineStr">
        <is>
          <t>Global block (UNIVERSAL) — UNIVERSAL</t>
        </is>
      </c>
      <c r="H54" s="85" t="inlineStr">
        <is>
          <t>GENERAL</t>
        </is>
      </c>
      <c r="I54" s="85" t="inlineStr">
        <is>
          <t>LIVE — UNIVERSAL (ex-BTC)</t>
        </is>
      </c>
      <c r="J54" s="85"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5" t="n">
        <v>13</v>
      </c>
      <c r="B55" s="85" t="inlineStr">
        <is>
          <t>BTC_HARD_BLOCK_OTHER_ACCOUNTS</t>
        </is>
      </c>
      <c r="C55" s="0" t="inlineStr">
        <is>
          <t>0.0_ALT</t>
        </is>
      </c>
      <c r="D55" s="85" t="inlineStr">
        <is>
          <t>Global kill: when BTC regime is adverse, blocks non-BTC accounts. | Live read: `_EXHAUSTIVE_FILTER_LIST_LIVE = ['ADAPTIVE_REGIME_DC_BREAKDOWN_THRESHOLD', 'ADAPT` | UNIVERSAL per 2026-08-28 — applies to ALL symbols, not BTC-only.</t>
        </is>
      </c>
      <c r="E55" s="85" t="inlineStr">
        <is>
          <t>UNIVERSAL (ex-BTC) — ENTRY/EXIT/REENTRY</t>
        </is>
      </c>
      <c r="F55" s="85" t="inlineStr">
        <is>
          <t>UNIVERSAL (ex-BTC) — ENTRY/EXIT/REENTRY</t>
        </is>
      </c>
      <c r="G55" s="85" t="inlineStr">
        <is>
          <t>Global block (UNIVERSAL) — UNIVERSAL</t>
        </is>
      </c>
      <c r="H55" s="85" t="inlineStr">
        <is>
          <t>GENERAL</t>
        </is>
      </c>
      <c r="I55" s="85" t="inlineStr">
        <is>
          <t>LIVE — UNIVERSAL (ex-BTC)</t>
        </is>
      </c>
      <c r="J55" s="85"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5" t="n">
        <v>14</v>
      </c>
      <c r="B56" s="95" t="inlineStr">
        <is>
          <t>BTC_ROUND_BANDS_EACH_SIDE</t>
        </is>
      </c>
      <c r="C56" s="0" t="inlineStr">
        <is>
          <t>0.0</t>
        </is>
      </c>
      <c r="D56" s="85" t="inlineStr">
        <is>
          <t>Risk shape: round bands per side for BTC sizing. | Live read: `_EXHAUSTIVE_FILTER_LIST_LIVE = ['ADAPTIVE_REGIME_DC_BREAKDOWN_THRESHOLD', 'ADAPT` | UNIVERSAL per 2026-08-28 — applies to ALL symbols, not BTC-only.</t>
        </is>
      </c>
      <c r="E56" s="85" t="inlineStr">
        <is>
          <t>UNIVERSAL (ex-BTC) — ENTRY/EXIT/REENTRY</t>
        </is>
      </c>
      <c r="F56" s="85" t="inlineStr">
        <is>
          <t>UNIVERSAL (ex-BTC) — ENTRY/EXIT/REENTRY</t>
        </is>
      </c>
      <c r="G56" s="85" t="inlineStr">
        <is>
          <t>Band sizing (UNIVERSAL) — UNIVERSAL</t>
        </is>
      </c>
      <c r="H56" s="85" t="inlineStr">
        <is>
          <t>GENERAL</t>
        </is>
      </c>
      <c r="I56" s="85" t="inlineStr">
        <is>
          <t>LIVE — UNIVERSAL (ex-BTC)</t>
        </is>
      </c>
      <c r="J56" s="85"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5" t="n">
        <v>14</v>
      </c>
      <c r="B57" s="85" t="inlineStr">
        <is>
          <t>BTC_ROUND_BANDS_EACH_SIDE</t>
        </is>
      </c>
      <c r="C57" s="0" t="inlineStr">
        <is>
          <t>0.0_ALT</t>
        </is>
      </c>
      <c r="D57" s="85" t="inlineStr">
        <is>
          <t>Risk shape: round bands per side for BTC sizing. | Live read: `_EXHAUSTIVE_FILTER_LIST_LIVE = ['ADAPTIVE_REGIME_DC_BREAKDOWN_THRESHOLD', 'ADAPT` | UNIVERSAL per 2026-08-28 — applies to ALL symbols, not BTC-only.</t>
        </is>
      </c>
      <c r="E57" s="85" t="inlineStr">
        <is>
          <t>UNIVERSAL (ex-BTC) — ENTRY/EXIT/REENTRY</t>
        </is>
      </c>
      <c r="F57" s="85" t="inlineStr">
        <is>
          <t>UNIVERSAL (ex-BTC) — ENTRY/EXIT/REENTRY</t>
        </is>
      </c>
      <c r="G57" s="85" t="inlineStr">
        <is>
          <t>Band sizing (UNIVERSAL) — UNIVERSAL</t>
        </is>
      </c>
      <c r="H57" s="85" t="inlineStr">
        <is>
          <t>GENERAL</t>
        </is>
      </c>
      <c r="I57" s="85" t="inlineStr">
        <is>
          <t>LIVE — UNIVERSAL (ex-BTC)</t>
        </is>
      </c>
      <c r="J57" s="85"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4" t="n">
        <v>15</v>
      </c>
      <c r="B58" s="94"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4" t="n">
        <v>16</v>
      </c>
      <c r="B63" s="94"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4" t="n">
        <v>17</v>
      </c>
      <c r="B68" s="94"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3" t="n">
        <v>18</v>
      </c>
      <c r="B73" s="93" t="inlineStr">
        <is>
          <t>COOLDOWN_LOCKS_FILTER_TF</t>
        </is>
      </c>
      <c r="C73" s="0" t="inlineStr">
        <is>
          <t>OFF</t>
        </is>
      </c>
      <c r="D73" s="83" t="inlineStr">
        <is>
          <t>Cooldown lockout after recent trade on FILTER_TF. | Live read: `EAT_TRIGGER', 'ADAPTIVE_REGIME_LOOKBACK_DAYS', 'ADAPTIVE_REGIME_MIN_SIGNALS', 'A`</t>
        </is>
      </c>
      <c r="E73" s="83" t="inlineStr">
        <is>
          <t>GLOBAL_CHECK</t>
        </is>
      </c>
      <c r="F73" s="83" t="inlineStr">
        <is>
          <t>GLOBAL_CHECK</t>
        </is>
      </c>
      <c r="G73" s="83" t="inlineStr">
        <is>
          <t>COOLDOWN_LOCKS</t>
        </is>
      </c>
      <c r="H73" s="83" t="inlineStr">
        <is>
          <t>GENERAL — uniform</t>
        </is>
      </c>
      <c r="I73" s="83" t="inlineStr">
        <is>
          <t>LIVE — wired</t>
        </is>
      </c>
      <c r="J73" s="84"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3" t="n">
        <v>18</v>
      </c>
      <c r="B74" s="83" t="inlineStr">
        <is>
          <t>COOLDOWN_LOCKS_FILTER_TF</t>
        </is>
      </c>
      <c r="C74" s="0" t="inlineStr">
        <is>
          <t>D</t>
        </is>
      </c>
      <c r="D74" s="83" t="inlineStr">
        <is>
          <t>Cooldown lockout after recent trade on FILTER_TF. | Live read: `EAT_TRIGGER', 'ADAPTIVE_REGIME_LOOKBACK_DAYS', 'ADAPTIVE_REGIME_MIN_SIGNALS', 'A`</t>
        </is>
      </c>
      <c r="E74" s="83" t="inlineStr">
        <is>
          <t>GLOBAL_CHECK</t>
        </is>
      </c>
      <c r="F74" s="83" t="inlineStr">
        <is>
          <t>GLOBAL_CHECK</t>
        </is>
      </c>
      <c r="G74" s="83" t="inlineStr">
        <is>
          <t>COOLDOWN_LOCKS</t>
        </is>
      </c>
      <c r="H74" s="83" t="inlineStr">
        <is>
          <t>GENERAL — uniform</t>
        </is>
      </c>
      <c r="I74" s="83" t="inlineStr">
        <is>
          <t>LIVE — wired</t>
        </is>
      </c>
      <c r="J74" s="84"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3" t="n">
        <v>18</v>
      </c>
      <c r="B75" s="83" t="inlineStr">
        <is>
          <t>COOLDOWN_LOCKS_FILTER_TF</t>
        </is>
      </c>
      <c r="C75" s="0" t="inlineStr">
        <is>
          <t>4h</t>
        </is>
      </c>
      <c r="D75" s="83" t="inlineStr">
        <is>
          <t>Cooldown lockout after recent trade on FILTER_TF. | Live read: `EAT_TRIGGER', 'ADAPTIVE_REGIME_LOOKBACK_DAYS', 'ADAPTIVE_REGIME_MIN_SIGNALS', 'A`</t>
        </is>
      </c>
      <c r="E75" s="83" t="inlineStr">
        <is>
          <t>GLOBAL_CHECK</t>
        </is>
      </c>
      <c r="F75" s="83" t="inlineStr">
        <is>
          <t>GLOBAL_CHECK</t>
        </is>
      </c>
      <c r="G75" s="83" t="inlineStr">
        <is>
          <t>COOLDOWN_LOCKS</t>
        </is>
      </c>
      <c r="H75" s="83" t="inlineStr">
        <is>
          <t>GENERAL — uniform</t>
        </is>
      </c>
      <c r="I75" s="83" t="inlineStr">
        <is>
          <t>LIVE — wired</t>
        </is>
      </c>
      <c r="J75" s="84"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3" t="n">
        <v>18</v>
      </c>
      <c r="B76" s="83" t="inlineStr">
        <is>
          <t>COOLDOWN_LOCKS_FILTER_TF</t>
        </is>
      </c>
      <c r="C76" s="0" t="inlineStr">
        <is>
          <t>1h</t>
        </is>
      </c>
      <c r="D76" s="83" t="inlineStr">
        <is>
          <t>Cooldown lockout after recent trade on FILTER_TF. | Live read: `EAT_TRIGGER', 'ADAPTIVE_REGIME_LOOKBACK_DAYS', 'ADAPTIVE_REGIME_MIN_SIGNALS', 'A`</t>
        </is>
      </c>
      <c r="E76" s="83" t="inlineStr">
        <is>
          <t>GLOBAL_CHECK</t>
        </is>
      </c>
      <c r="F76" s="83" t="inlineStr">
        <is>
          <t>GLOBAL_CHECK</t>
        </is>
      </c>
      <c r="G76" s="83" t="inlineStr">
        <is>
          <t>COOLDOWN_LOCKS</t>
        </is>
      </c>
      <c r="H76" s="83" t="inlineStr">
        <is>
          <t>GENERAL — uniform</t>
        </is>
      </c>
      <c r="I76" s="83" t="inlineStr">
        <is>
          <t>LIVE — wired</t>
        </is>
      </c>
      <c r="J76" s="84"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3" t="n">
        <v>18</v>
      </c>
      <c r="B77" s="83" t="inlineStr">
        <is>
          <t>COOLDOWN_LOCKS_FILTER_TF</t>
        </is>
      </c>
      <c r="C77" s="0" t="inlineStr">
        <is>
          <t>15m</t>
        </is>
      </c>
      <c r="D77" s="83" t="inlineStr">
        <is>
          <t>Cooldown lockout after recent trade on FILTER_TF. | Live read: `EAT_TRIGGER', 'ADAPTIVE_REGIME_LOOKBACK_DAYS', 'ADAPTIVE_REGIME_MIN_SIGNALS', 'A`</t>
        </is>
      </c>
      <c r="E77" s="83" t="inlineStr">
        <is>
          <t>GLOBAL_CHECK</t>
        </is>
      </c>
      <c r="F77" s="83" t="inlineStr">
        <is>
          <t>GLOBAL_CHECK</t>
        </is>
      </c>
      <c r="G77" s="83" t="inlineStr">
        <is>
          <t>COOLDOWN_LOCKS</t>
        </is>
      </c>
      <c r="H77" s="83" t="inlineStr">
        <is>
          <t>GENERAL — uniform</t>
        </is>
      </c>
      <c r="I77" s="83" t="inlineStr">
        <is>
          <t>LIVE — wired</t>
        </is>
      </c>
      <c r="J77" s="84"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3" t="n">
        <v>19</v>
      </c>
      <c r="B78" s="93" t="inlineStr">
        <is>
          <t>CRYPTO_SPIKE_FADE_THRESHOLD_PCT</t>
        </is>
      </c>
      <c r="C78" s="0" t="inlineStr">
        <is>
          <t>10</t>
        </is>
      </c>
      <c r="D78" s="83" t="inlineStr">
        <is>
          <t>Blocks entries after crypto spike &gt; threshold (fade the spike). | Live read: `ME_LOOKBACK_DAYS', 'ADAPTIVE_REGIME_MIN_SIGNALS', 'ADAPTIVE_REGIME_NPZ_CACHE_HOU`</t>
        </is>
      </c>
      <c r="E78" s="83" t="inlineStr">
        <is>
          <t>GLOBAL_CHECK, STOCKS_EXIT</t>
        </is>
      </c>
      <c r="F78" s="83" t="inlineStr">
        <is>
          <t>GLOBAL_CHECK, STOCKS_EXIT</t>
        </is>
      </c>
      <c r="G78" s="83" t="inlineStr">
        <is>
          <t>CRYPTO_SPIKE_FADE_THRESHOLD_PCT</t>
        </is>
      </c>
      <c r="H78" s="83" t="inlineStr">
        <is>
          <t>GENERAL</t>
        </is>
      </c>
      <c r="I78" s="83" t="inlineStr">
        <is>
          <t>LIVE — wired</t>
        </is>
      </c>
      <c r="J78" s="84"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3" t="n">
        <v>19</v>
      </c>
      <c r="B79" s="83" t="inlineStr">
        <is>
          <t>CRYPTO_SPIKE_FADE_THRESHOLD_PCT</t>
        </is>
      </c>
      <c r="C79" s="0" t="inlineStr">
        <is>
          <t>12.5</t>
        </is>
      </c>
      <c r="D79" s="83" t="inlineStr">
        <is>
          <t>Blocks entries after crypto spike &gt; threshold (fade the spike). | Live read: `ME_LOOKBACK_DAYS', 'ADAPTIVE_REGIME_MIN_SIGNALS', 'ADAPTIVE_REGIME_NPZ_CACHE_HOU`</t>
        </is>
      </c>
      <c r="E79" s="83" t="inlineStr">
        <is>
          <t>GLOBAL_CHECK, STOCKS_EXIT</t>
        </is>
      </c>
      <c r="F79" s="83" t="inlineStr">
        <is>
          <t>GLOBAL_CHECK, STOCKS_EXIT</t>
        </is>
      </c>
      <c r="G79" s="83" t="inlineStr">
        <is>
          <t>CRYPTO_SPIKE_FADE_THRESHOLD_PCT</t>
        </is>
      </c>
      <c r="H79" s="83" t="inlineStr">
        <is>
          <t>GENERAL</t>
        </is>
      </c>
      <c r="I79" s="83" t="inlineStr">
        <is>
          <t>LIVE — wired</t>
        </is>
      </c>
      <c r="J79" s="84"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3" t="n">
        <v>19</v>
      </c>
      <c r="B80" s="83" t="inlineStr">
        <is>
          <t>CRYPTO_SPIKE_FADE_THRESHOLD_PCT</t>
        </is>
      </c>
      <c r="C80" s="0" t="inlineStr">
        <is>
          <t>7.5</t>
        </is>
      </c>
      <c r="D80" s="83" t="inlineStr">
        <is>
          <t>Blocks entries after crypto spike &gt; threshold (fade the spike). | Live read: `ME_LOOKBACK_DAYS', 'ADAPTIVE_REGIME_MIN_SIGNALS', 'ADAPTIVE_REGIME_NPZ_CACHE_HOU`</t>
        </is>
      </c>
      <c r="E80" s="83" t="inlineStr">
        <is>
          <t>GLOBAL_CHECK, STOCKS_EXIT</t>
        </is>
      </c>
      <c r="F80" s="83" t="inlineStr">
        <is>
          <t>GLOBAL_CHECK, STOCKS_EXIT</t>
        </is>
      </c>
      <c r="G80" s="83" t="inlineStr">
        <is>
          <t>CRYPTO_SPIKE_FADE_THRESHOLD_PCT</t>
        </is>
      </c>
      <c r="H80" s="83" t="inlineStr">
        <is>
          <t>GENERAL</t>
        </is>
      </c>
      <c r="I80" s="83" t="inlineStr">
        <is>
          <t>LIVE — wired</t>
        </is>
      </c>
      <c r="J80" s="84"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3" t="n">
        <v>19</v>
      </c>
      <c r="B81" s="83" t="inlineStr">
        <is>
          <t>CRYPTO_SPIKE_FADE_THRESHOLD_PCT</t>
        </is>
      </c>
      <c r="C81" s="0" t="inlineStr">
        <is>
          <t>5</t>
        </is>
      </c>
      <c r="D81" s="83" t="inlineStr">
        <is>
          <t>Blocks entries after crypto spike &gt; threshold (fade the spike). | Live read: `ME_LOOKBACK_DAYS', 'ADAPTIVE_REGIME_MIN_SIGNALS', 'ADAPTIVE_REGIME_NPZ_CACHE_HOU`</t>
        </is>
      </c>
      <c r="E81" s="83" t="inlineStr">
        <is>
          <t>GLOBAL_CHECK, STOCKS_EXIT</t>
        </is>
      </c>
      <c r="F81" s="83" t="inlineStr">
        <is>
          <t>GLOBAL_CHECK, STOCKS_EXIT</t>
        </is>
      </c>
      <c r="G81" s="83" t="inlineStr">
        <is>
          <t>CRYPTO_SPIKE_FADE_THRESHOLD_PCT</t>
        </is>
      </c>
      <c r="H81" s="83" t="inlineStr">
        <is>
          <t>GENERAL</t>
        </is>
      </c>
      <c r="I81" s="83" t="inlineStr">
        <is>
          <t>LIVE — wired</t>
        </is>
      </c>
      <c r="J81" s="84"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4" t="n">
        <v>20</v>
      </c>
      <c r="B82" s="94"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4" t="n">
        <v>21</v>
      </c>
      <c r="B87" s="94"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4" t="n">
        <v>22</v>
      </c>
      <c r="B92" s="94"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3" t="n">
        <v>23</v>
      </c>
      <c r="B97" s="93" t="inlineStr">
        <is>
          <t>DC_MOMENT_STRONG_THRESHOLD</t>
        </is>
      </c>
      <c r="C97" s="0" t="inlineStr">
        <is>
          <t>40</t>
        </is>
      </c>
      <c r="D97" s="83" t="inlineStr">
        <is>
          <t>Threshold for strong momentum regime (DC momentum). | Live read: `ROW_ENABLED', 'BAR_PATTERNS_FILTER_TF', 'BB_PULLBACK_GATE_FILTER_TF', 'BB_PULLBA`</t>
        </is>
      </c>
      <c r="E97" s="83" t="inlineStr">
        <is>
          <t>ENTRY, GLOBAL_CHECK, STOCKS_EXIT</t>
        </is>
      </c>
      <c r="F97" s="83" t="inlineStr">
        <is>
          <t>ENTRY, GLOBAL_CHECK, STOCKS_EXIT</t>
        </is>
      </c>
      <c r="G97" s="83" t="inlineStr">
        <is>
          <t>DC_MOMENT_STRONG_THRESHOLD</t>
        </is>
      </c>
      <c r="H97" s="83" t="inlineStr">
        <is>
          <t>GENERAL</t>
        </is>
      </c>
      <c r="I97" s="83" t="inlineStr">
        <is>
          <t>LIVE — wired</t>
        </is>
      </c>
      <c r="J97" s="84"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3" t="n">
        <v>23</v>
      </c>
      <c r="B98" s="83" t="inlineStr">
        <is>
          <t>DC_MOMENT_STRONG_THRESHOLD</t>
        </is>
      </c>
      <c r="C98" s="0" t="inlineStr">
        <is>
          <t>50</t>
        </is>
      </c>
      <c r="D98" s="83" t="inlineStr">
        <is>
          <t>Threshold for strong momentum regime (DC momentum). | Live read: `ROW_ENABLED', 'BAR_PATTERNS_FILTER_TF', 'BB_PULLBACK_GATE_FILTER_TF', 'BB_PULLBA`</t>
        </is>
      </c>
      <c r="E98" s="83" t="inlineStr">
        <is>
          <t>ENTRY, GLOBAL_CHECK, STOCKS_EXIT</t>
        </is>
      </c>
      <c r="F98" s="83" t="inlineStr">
        <is>
          <t>ENTRY, GLOBAL_CHECK, STOCKS_EXIT</t>
        </is>
      </c>
      <c r="G98" s="83" t="inlineStr">
        <is>
          <t>DC_MOMENT_STRONG_THRESHOLD</t>
        </is>
      </c>
      <c r="H98" s="83" t="inlineStr">
        <is>
          <t>GENERAL</t>
        </is>
      </c>
      <c r="I98" s="83" t="inlineStr">
        <is>
          <t>LIVE — wired</t>
        </is>
      </c>
      <c r="J98" s="84"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3" t="n">
        <v>23</v>
      </c>
      <c r="B99" s="83" t="inlineStr">
        <is>
          <t>DC_MOMENT_STRONG_THRESHOLD</t>
        </is>
      </c>
      <c r="C99" s="0" t="inlineStr">
        <is>
          <t>30</t>
        </is>
      </c>
      <c r="D99" s="83" t="inlineStr">
        <is>
          <t>Threshold for strong momentum regime (DC momentum). | Live read: `ROW_ENABLED', 'BAR_PATTERNS_FILTER_TF', 'BB_PULLBACK_GATE_FILTER_TF', 'BB_PULLBA`</t>
        </is>
      </c>
      <c r="E99" s="83" t="inlineStr">
        <is>
          <t>ENTRY, GLOBAL_CHECK, STOCKS_EXIT</t>
        </is>
      </c>
      <c r="F99" s="83" t="inlineStr">
        <is>
          <t>ENTRY, GLOBAL_CHECK, STOCKS_EXIT</t>
        </is>
      </c>
      <c r="G99" s="83" t="inlineStr">
        <is>
          <t>DC_MOMENT_STRONG_THRESHOLD</t>
        </is>
      </c>
      <c r="H99" s="83" t="inlineStr">
        <is>
          <t>GENERAL</t>
        </is>
      </c>
      <c r="I99" s="83" t="inlineStr">
        <is>
          <t>LIVE — wired</t>
        </is>
      </c>
      <c r="J99" s="84"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3" t="n">
        <v>23</v>
      </c>
      <c r="B100" s="83" t="inlineStr">
        <is>
          <t>DC_MOMENT_STRONG_THRESHOLD</t>
        </is>
      </c>
      <c r="C100" s="0" t="inlineStr">
        <is>
          <t>20</t>
        </is>
      </c>
      <c r="D100" s="83" t="inlineStr">
        <is>
          <t>Threshold for strong momentum regime (DC momentum). | Live read: `ROW_ENABLED', 'BAR_PATTERNS_FILTER_TF', 'BB_PULLBACK_GATE_FILTER_TF', 'BB_PULLBA`</t>
        </is>
      </c>
      <c r="E100" s="83" t="inlineStr">
        <is>
          <t>ENTRY, GLOBAL_CHECK, STOCKS_EXIT</t>
        </is>
      </c>
      <c r="F100" s="83" t="inlineStr">
        <is>
          <t>ENTRY, GLOBAL_CHECK, STOCKS_EXIT</t>
        </is>
      </c>
      <c r="G100" s="83" t="inlineStr">
        <is>
          <t>DC_MOMENT_STRONG_THRESHOLD</t>
        </is>
      </c>
      <c r="H100" s="83" t="inlineStr">
        <is>
          <t>GENERAL</t>
        </is>
      </c>
      <c r="I100" s="83" t="inlineStr">
        <is>
          <t>LIVE — wired</t>
        </is>
      </c>
      <c r="J100" s="84"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4" t="n">
        <v>24</v>
      </c>
      <c r="B101" s="94"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3" t="n">
        <v>25</v>
      </c>
      <c r="B106" s="93" t="inlineStr">
        <is>
          <t>DELTA_HTF_GATE</t>
        </is>
      </c>
      <c r="C106" s="0" t="inlineStr">
        <is>
          <t>4h</t>
        </is>
      </c>
      <c r="D106" s="83" t="inlineStr">
        <is>
          <t>Delta HTF alignment gate (requires HTF delta agreement). | Live read: `N_TFS', 'BB_RECOVERY_FILTER_TF', 'BTC_DEDICATED_FILTER_TF', 'BTC_DIVERGENCE_REQU`</t>
        </is>
      </c>
      <c r="E106" s="83" t="inlineStr">
        <is>
          <t>ENTRY, GLOBAL_CHECK, STOCKS_EXIT</t>
        </is>
      </c>
      <c r="F106" s="83" t="inlineStr">
        <is>
          <t>ENTRY, GLOBAL_CHECK, STOCKS_EXIT</t>
        </is>
      </c>
      <c r="G106" s="83" t="inlineStr">
        <is>
          <t>DELTA_HTF_GATE</t>
        </is>
      </c>
      <c r="H106" s="83" t="inlineStr">
        <is>
          <t>GENERAL</t>
        </is>
      </c>
      <c r="I106" s="83" t="inlineStr">
        <is>
          <t>LIVE — wired</t>
        </is>
      </c>
      <c r="J106" s="84"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3" t="n">
        <v>25</v>
      </c>
      <c r="B107" s="83" t="inlineStr">
        <is>
          <t>DELTA_HTF_GATE</t>
        </is>
      </c>
      <c r="C107" s="0" t="inlineStr">
        <is>
          <t>4h_ALT</t>
        </is>
      </c>
      <c r="D107" s="83" t="inlineStr">
        <is>
          <t>Delta HTF alignment gate (requires HTF delta agreement). | Live read: `N_TFS', 'BB_RECOVERY_FILTER_TF', 'BTC_DEDICATED_FILTER_TF', 'BTC_DIVERGENCE_REQU`</t>
        </is>
      </c>
      <c r="E107" s="83" t="inlineStr">
        <is>
          <t>ENTRY, GLOBAL_CHECK, STOCKS_EXIT</t>
        </is>
      </c>
      <c r="F107" s="83" t="inlineStr">
        <is>
          <t>ENTRY, GLOBAL_CHECK, STOCKS_EXIT</t>
        </is>
      </c>
      <c r="G107" s="83" t="inlineStr">
        <is>
          <t>DELTA_HTF_GATE</t>
        </is>
      </c>
      <c r="H107" s="83" t="inlineStr">
        <is>
          <t>GENERAL</t>
        </is>
      </c>
      <c r="I107" s="83" t="inlineStr">
        <is>
          <t>LIVE — wired</t>
        </is>
      </c>
      <c r="J107" s="84"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3" t="n">
        <v>26</v>
      </c>
      <c r="B108" s="93" t="inlineStr">
        <is>
          <t>DELTA_REENTRY_FILTER_ENABLED</t>
        </is>
      </c>
      <c r="C108" s="0" t="inlineStr">
        <is>
          <t>False</t>
        </is>
      </c>
      <c r="D108" s="83" t="inlineStr">
        <is>
          <t>When OFF, disables delta-based reentry gating. | Live read: `Y_REQUIRE_TREND', 'BTC_ENTRY_PRIMARY_REQUIRE_ACCEL_RAMP', 'BTC_ENTRY_PRIMARY_REQ`</t>
        </is>
      </c>
      <c r="E108" s="83" t="inlineStr">
        <is>
          <t>ENTRY, GLOBAL_CHECK, STOCKS_EXIT</t>
        </is>
      </c>
      <c r="F108" s="83" t="inlineStr">
        <is>
          <t>ENTRY, GLOBAL_CHECK, STOCKS_EXIT</t>
        </is>
      </c>
      <c r="G108" s="83" t="inlineStr">
        <is>
          <t>DELTA_REENTRY_FILTER_ENABLED</t>
        </is>
      </c>
      <c r="H108" s="83" t="inlineStr">
        <is>
          <t>GENERAL</t>
        </is>
      </c>
      <c r="I108" s="83" t="inlineStr">
        <is>
          <t>LIVE — wired</t>
        </is>
      </c>
      <c r="J108" s="84"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3" t="n">
        <v>26</v>
      </c>
      <c r="B109" s="83" t="inlineStr">
        <is>
          <t>DELTA_REENTRY_FILTER_ENABLED</t>
        </is>
      </c>
      <c r="C109" s="0" t="inlineStr">
        <is>
          <t>True</t>
        </is>
      </c>
      <c r="D109" s="83" t="inlineStr">
        <is>
          <t>When OFF, disables delta-based reentry gating. | Live read: `Y_REQUIRE_TREND', 'BTC_ENTRY_PRIMARY_REQUIRE_ACCEL_RAMP', 'BTC_ENTRY_PRIMARY_REQ`</t>
        </is>
      </c>
      <c r="E109" s="83" t="inlineStr">
        <is>
          <t>ENTRY, GLOBAL_CHECK, STOCKS_EXIT</t>
        </is>
      </c>
      <c r="F109" s="83" t="inlineStr">
        <is>
          <t>ENTRY, GLOBAL_CHECK, STOCKS_EXIT</t>
        </is>
      </c>
      <c r="G109" s="83" t="inlineStr">
        <is>
          <t>DELTA_REENTRY_FILTER_ENABLED</t>
        </is>
      </c>
      <c r="H109" s="83" t="inlineStr">
        <is>
          <t>GENERAL</t>
        </is>
      </c>
      <c r="I109" s="83" t="inlineStr">
        <is>
          <t>LIVE — wired</t>
        </is>
      </c>
      <c r="J109" s="84"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3" t="n">
        <v>27</v>
      </c>
      <c r="B110" s="93" t="inlineStr">
        <is>
          <t>DUP_GUARD_FILTER_TF</t>
        </is>
      </c>
      <c r="C110" s="0" t="inlineStr">
        <is>
          <t>OFF</t>
        </is>
      </c>
      <c r="D110" s="83" t="inlineStr">
        <is>
          <t>Duplicate guard — prevents re-entering same signal on FILTER_TF. | Live read: `DIVERGENCE_REQUIRE_D_CONFIRM_BARS', 'BTC_HARD_BLOCK_OTHER_ACCOUNTS', 'BTC_REGIME`</t>
        </is>
      </c>
      <c r="E110" s="83" t="inlineStr">
        <is>
          <t>GLOBAL_CHECK</t>
        </is>
      </c>
      <c r="F110" s="83" t="inlineStr">
        <is>
          <t>GLOBAL_CHECK</t>
        </is>
      </c>
      <c r="G110" s="83" t="inlineStr">
        <is>
          <t>DUP_GUARD</t>
        </is>
      </c>
      <c r="H110" s="83" t="inlineStr">
        <is>
          <t>GENERAL — uniform</t>
        </is>
      </c>
      <c r="I110" s="83" t="inlineStr">
        <is>
          <t>LIVE — wired</t>
        </is>
      </c>
      <c r="J110" s="84"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3" t="n">
        <v>27</v>
      </c>
      <c r="B111" s="83" t="inlineStr">
        <is>
          <t>DUP_GUARD_FILTER_TF</t>
        </is>
      </c>
      <c r="C111" s="0" t="inlineStr">
        <is>
          <t>D</t>
        </is>
      </c>
      <c r="D111" s="83" t="inlineStr">
        <is>
          <t>Duplicate guard — prevents re-entering same signal on FILTER_TF. | Live read: `DIVERGENCE_REQUIRE_D_CONFIRM_BARS', 'BTC_HARD_BLOCK_OTHER_ACCOUNTS', 'BTC_REGIME`</t>
        </is>
      </c>
      <c r="E111" s="83" t="inlineStr">
        <is>
          <t>GLOBAL_CHECK</t>
        </is>
      </c>
      <c r="F111" s="83" t="inlineStr">
        <is>
          <t>GLOBAL_CHECK</t>
        </is>
      </c>
      <c r="G111" s="83" t="inlineStr">
        <is>
          <t>DUP_GUARD</t>
        </is>
      </c>
      <c r="H111" s="83" t="inlineStr">
        <is>
          <t>GENERAL — uniform</t>
        </is>
      </c>
      <c r="I111" s="83" t="inlineStr">
        <is>
          <t>LIVE — wired</t>
        </is>
      </c>
      <c r="J111" s="84"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3" t="n">
        <v>27</v>
      </c>
      <c r="B112" s="83" t="inlineStr">
        <is>
          <t>DUP_GUARD_FILTER_TF</t>
        </is>
      </c>
      <c r="C112" s="0" t="inlineStr">
        <is>
          <t>4h</t>
        </is>
      </c>
      <c r="D112" s="83" t="inlineStr">
        <is>
          <t>Duplicate guard — prevents re-entering same signal on FILTER_TF. | Live read: `DIVERGENCE_REQUIRE_D_CONFIRM_BARS', 'BTC_HARD_BLOCK_OTHER_ACCOUNTS', 'BTC_REGIME`</t>
        </is>
      </c>
      <c r="E112" s="83" t="inlineStr">
        <is>
          <t>GLOBAL_CHECK</t>
        </is>
      </c>
      <c r="F112" s="83" t="inlineStr">
        <is>
          <t>GLOBAL_CHECK</t>
        </is>
      </c>
      <c r="G112" s="83" t="inlineStr">
        <is>
          <t>DUP_GUARD</t>
        </is>
      </c>
      <c r="H112" s="83" t="inlineStr">
        <is>
          <t>GENERAL — uniform</t>
        </is>
      </c>
      <c r="I112" s="83" t="inlineStr">
        <is>
          <t>LIVE — wired</t>
        </is>
      </c>
      <c r="J112" s="84"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3" t="n">
        <v>27</v>
      </c>
      <c r="B113" s="83" t="inlineStr">
        <is>
          <t>DUP_GUARD_FILTER_TF</t>
        </is>
      </c>
      <c r="C113" s="0" t="inlineStr">
        <is>
          <t>1h</t>
        </is>
      </c>
      <c r="D113" s="83" t="inlineStr">
        <is>
          <t>Duplicate guard — prevents re-entering same signal on FILTER_TF. | Live read: `DIVERGENCE_REQUIRE_D_CONFIRM_BARS', 'BTC_HARD_BLOCK_OTHER_ACCOUNTS', 'BTC_REGIME`</t>
        </is>
      </c>
      <c r="E113" s="83" t="inlineStr">
        <is>
          <t>GLOBAL_CHECK</t>
        </is>
      </c>
      <c r="F113" s="83" t="inlineStr">
        <is>
          <t>GLOBAL_CHECK</t>
        </is>
      </c>
      <c r="G113" s="83" t="inlineStr">
        <is>
          <t>DUP_GUARD</t>
        </is>
      </c>
      <c r="H113" s="83" t="inlineStr">
        <is>
          <t>GENERAL — uniform</t>
        </is>
      </c>
      <c r="I113" s="83" t="inlineStr">
        <is>
          <t>LIVE — wired</t>
        </is>
      </c>
      <c r="J113" s="84"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3" t="n">
        <v>27</v>
      </c>
      <c r="B114" s="83" t="inlineStr">
        <is>
          <t>DUP_GUARD_FILTER_TF</t>
        </is>
      </c>
      <c r="C114" s="0" t="inlineStr">
        <is>
          <t>15m</t>
        </is>
      </c>
      <c r="D114" s="83" t="inlineStr">
        <is>
          <t>Duplicate guard — prevents re-entering same signal on FILTER_TF. | Live read: `DIVERGENCE_REQUIRE_D_CONFIRM_BARS', 'BTC_HARD_BLOCK_OTHER_ACCOUNTS', 'BTC_REGIME`</t>
        </is>
      </c>
      <c r="E114" s="83" t="inlineStr">
        <is>
          <t>GLOBAL_CHECK</t>
        </is>
      </c>
      <c r="F114" s="83" t="inlineStr">
        <is>
          <t>GLOBAL_CHECK</t>
        </is>
      </c>
      <c r="G114" s="83" t="inlineStr">
        <is>
          <t>DUP_GUARD</t>
        </is>
      </c>
      <c r="H114" s="83" t="inlineStr">
        <is>
          <t>GENERAL — uniform</t>
        </is>
      </c>
      <c r="I114" s="83" t="inlineStr">
        <is>
          <t>LIVE — wired</t>
        </is>
      </c>
      <c r="J114" s="84"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6" t="n">
        <v>28</v>
      </c>
      <c r="B115" s="96" t="inlineStr">
        <is>
          <t>E2E_REPLAY_VALIDATOR_FILTER_TF</t>
        </is>
      </c>
      <c r="C115" s="0" t="inlineStr">
        <is>
          <t>OFF</t>
        </is>
      </c>
      <c r="D115" s="86" t="inlineStr">
        <is>
          <t>Dead/misnamed filter — no read in ez_manage/ez_positions_quick/tradier_manage. Appears 0x; likely legacy or typo.</t>
        </is>
      </c>
      <c r="E115" s="86" t="inlineStr">
        <is>
          <t>DEAD</t>
        </is>
      </c>
      <c r="F115" s="86" t="inlineStr">
        <is>
          <t>DEAD</t>
        </is>
      </c>
      <c r="G115" s="86" t="inlineStr">
        <is>
          <t>E2E_REPLAY_VALIDATOR</t>
        </is>
      </c>
      <c r="H115" s="86" t="inlineStr">
        <is>
          <t>SPECIFIC — only gated switches</t>
        </is>
      </c>
      <c r="I115" s="86" t="inlineStr">
        <is>
          <t>DEAD — REMOVE</t>
        </is>
      </c>
      <c r="J115" s="87"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6" t="n">
        <v>28</v>
      </c>
      <c r="B116" s="86" t="inlineStr">
        <is>
          <t>E2E_REPLAY_VALIDATOR_FILTER_TF</t>
        </is>
      </c>
      <c r="C116" s="0" t="inlineStr">
        <is>
          <t>D</t>
        </is>
      </c>
      <c r="D116" s="86" t="inlineStr">
        <is>
          <t>Dead/misnamed filter — no read in ez_manage/ez_positions_quick/tradier_manage. Appears 0x; likely legacy or typo.</t>
        </is>
      </c>
      <c r="E116" s="86" t="inlineStr">
        <is>
          <t>DEAD</t>
        </is>
      </c>
      <c r="F116" s="86" t="inlineStr">
        <is>
          <t>DEAD</t>
        </is>
      </c>
      <c r="G116" s="86" t="inlineStr">
        <is>
          <t>E2E_REPLAY_VALIDATOR</t>
        </is>
      </c>
      <c r="H116" s="86" t="inlineStr">
        <is>
          <t>SPECIFIC — only gated switches</t>
        </is>
      </c>
      <c r="I116" s="86" t="inlineStr">
        <is>
          <t>DEAD — REMOVE</t>
        </is>
      </c>
      <c r="J116" s="87"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6" t="n">
        <v>28</v>
      </c>
      <c r="B117" s="86" t="inlineStr">
        <is>
          <t>E2E_REPLAY_VALIDATOR_FILTER_TF</t>
        </is>
      </c>
      <c r="C117" s="0" t="inlineStr">
        <is>
          <t>4h</t>
        </is>
      </c>
      <c r="D117" s="86" t="inlineStr">
        <is>
          <t>Dead/misnamed filter — no read in ez_manage/ez_positions_quick/tradier_manage. Appears 0x; likely legacy or typo.</t>
        </is>
      </c>
      <c r="E117" s="86" t="inlineStr">
        <is>
          <t>DEAD</t>
        </is>
      </c>
      <c r="F117" s="86" t="inlineStr">
        <is>
          <t>DEAD</t>
        </is>
      </c>
      <c r="G117" s="86" t="inlineStr">
        <is>
          <t>E2E_REPLAY_VALIDATOR</t>
        </is>
      </c>
      <c r="H117" s="86" t="inlineStr">
        <is>
          <t>SPECIFIC — only gated switches</t>
        </is>
      </c>
      <c r="I117" s="86" t="inlineStr">
        <is>
          <t>DEAD — REMOVE</t>
        </is>
      </c>
      <c r="J117" s="87"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6" t="n">
        <v>28</v>
      </c>
      <c r="B118" s="86" t="inlineStr">
        <is>
          <t>E2E_REPLAY_VALIDATOR_FILTER_TF</t>
        </is>
      </c>
      <c r="C118" s="0" t="inlineStr">
        <is>
          <t>1h</t>
        </is>
      </c>
      <c r="D118" s="86" t="inlineStr">
        <is>
          <t>Dead/misnamed filter — no read in ez_manage/ez_positions_quick/tradier_manage. Appears 0x; likely legacy or typo.</t>
        </is>
      </c>
      <c r="E118" s="86" t="inlineStr">
        <is>
          <t>DEAD</t>
        </is>
      </c>
      <c r="F118" s="86" t="inlineStr">
        <is>
          <t>DEAD</t>
        </is>
      </c>
      <c r="G118" s="86" t="inlineStr">
        <is>
          <t>E2E_REPLAY_VALIDATOR</t>
        </is>
      </c>
      <c r="H118" s="86" t="inlineStr">
        <is>
          <t>SPECIFIC — only gated switches</t>
        </is>
      </c>
      <c r="I118" s="86" t="inlineStr">
        <is>
          <t>DEAD — REMOVE</t>
        </is>
      </c>
      <c r="J118" s="87"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6" t="n">
        <v>28</v>
      </c>
      <c r="B119" s="86" t="inlineStr">
        <is>
          <t>E2E_REPLAY_VALIDATOR_FILTER_TF</t>
        </is>
      </c>
      <c r="C119" s="0" t="inlineStr">
        <is>
          <t>15m</t>
        </is>
      </c>
      <c r="D119" s="86" t="inlineStr">
        <is>
          <t>Dead/misnamed filter — no read in ez_manage/ez_positions_quick/tradier_manage. Appears 0x; likely legacy or typo.</t>
        </is>
      </c>
      <c r="E119" s="86" t="inlineStr">
        <is>
          <t>DEAD</t>
        </is>
      </c>
      <c r="F119" s="86" t="inlineStr">
        <is>
          <t>DEAD</t>
        </is>
      </c>
      <c r="G119" s="86" t="inlineStr">
        <is>
          <t>E2E_REPLAY_VALIDATOR</t>
        </is>
      </c>
      <c r="H119" s="86" t="inlineStr">
        <is>
          <t>SPECIFIC — only gated switches</t>
        </is>
      </c>
      <c r="I119" s="86" t="inlineStr">
        <is>
          <t>DEAD — REMOVE</t>
        </is>
      </c>
      <c r="J119" s="87"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4" t="n">
        <v>29</v>
      </c>
      <c r="B120" s="94"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3" t="n">
        <v>30</v>
      </c>
      <c r="B125" s="93" t="inlineStr">
        <is>
          <t>EMA_9_21_FILTER_MIN_TFS</t>
        </is>
      </c>
      <c r="C125" s="0" t="inlineStr">
        <is>
          <t>0</t>
        </is>
      </c>
      <c r="D125" s="83" t="inlineStr">
        <is>
          <t>Threshold/gate: EMA_9_21_FILTER_MIN_TFS — OTHER_ACCOUNTS', 'BTC_REGIME_PAUSE_ENABLED', 'BTC_REVERSE_REQUIRE_HTF_ALIGNED', 'BTC_ROUND_BANDS_EACH_SIDE', 'BT_WT_CROS | ex: `OTHER_ACCOUNTS', 'BTC_REGIME_PAUSE_ENABLED', 'BTC_REVERSE_REQUIRE_HTF_ALIGNED', `</t>
        </is>
      </c>
      <c r="E125" s="83" t="inlineStr">
        <is>
          <t>GLOBAL_CHECK</t>
        </is>
      </c>
      <c r="F125" s="83" t="inlineStr">
        <is>
          <t>GLOBAL_CHECK</t>
        </is>
      </c>
      <c r="G125" s="83" t="inlineStr">
        <is>
          <t>EMA_9_21_FILTER_MIN_TFS</t>
        </is>
      </c>
      <c r="H125" s="83" t="inlineStr">
        <is>
          <t>GENERAL</t>
        </is>
      </c>
      <c r="I125" s="83" t="inlineStr">
        <is>
          <t>LIVE — wired</t>
        </is>
      </c>
      <c r="J125" s="84"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3" t="n">
        <v>30</v>
      </c>
      <c r="B126" s="83" t="inlineStr">
        <is>
          <t>EMA_9_21_FILTER_MIN_TFS</t>
        </is>
      </c>
      <c r="C126" s="0" t="inlineStr">
        <is>
          <t>2</t>
        </is>
      </c>
      <c r="D126" s="83" t="inlineStr">
        <is>
          <t>Threshold/gate: EMA_9_21_FILTER_MIN_TFS — OTHER_ACCOUNTS', 'BTC_REGIME_PAUSE_ENABLED', 'BTC_REVERSE_REQUIRE_HTF_ALIGNED', 'BTC_ROUND_BANDS_EACH_SIDE', 'BT_WT_CROS | ex: `OTHER_ACCOUNTS', 'BTC_REGIME_PAUSE_ENABLED', 'BTC_REVERSE_REQUIRE_HTF_ALIGNED', `</t>
        </is>
      </c>
      <c r="E126" s="83" t="inlineStr">
        <is>
          <t>GLOBAL_CHECK</t>
        </is>
      </c>
      <c r="F126" s="83" t="inlineStr">
        <is>
          <t>GLOBAL_CHECK</t>
        </is>
      </c>
      <c r="G126" s="83" t="inlineStr">
        <is>
          <t>EMA_9_21_FILTER_MIN_TFS</t>
        </is>
      </c>
      <c r="H126" s="83" t="inlineStr">
        <is>
          <t>GENERAL</t>
        </is>
      </c>
      <c r="I126" s="83" t="inlineStr">
        <is>
          <t>LIVE — wired</t>
        </is>
      </c>
      <c r="J126" s="84"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3" t="n">
        <v>30</v>
      </c>
      <c r="B127" s="83" t="inlineStr">
        <is>
          <t>EMA_9_21_FILTER_MIN_TFS</t>
        </is>
      </c>
      <c r="C127" s="0" t="inlineStr">
        <is>
          <t>1</t>
        </is>
      </c>
      <c r="D127" s="83" t="inlineStr">
        <is>
          <t>Threshold/gate: EMA_9_21_FILTER_MIN_TFS — OTHER_ACCOUNTS', 'BTC_REGIME_PAUSE_ENABLED', 'BTC_REVERSE_REQUIRE_HTF_ALIGNED', 'BTC_ROUND_BANDS_EACH_SIDE', 'BT_WT_CROS | ex: `OTHER_ACCOUNTS', 'BTC_REGIME_PAUSE_ENABLED', 'BTC_REVERSE_REQUIRE_HTF_ALIGNED', `</t>
        </is>
      </c>
      <c r="E127" s="83" t="inlineStr">
        <is>
          <t>GLOBAL_CHECK</t>
        </is>
      </c>
      <c r="F127" s="83" t="inlineStr">
        <is>
          <t>GLOBAL_CHECK</t>
        </is>
      </c>
      <c r="G127" s="83" t="inlineStr">
        <is>
          <t>EMA_9_21_FILTER_MIN_TFS</t>
        </is>
      </c>
      <c r="H127" s="83" t="inlineStr">
        <is>
          <t>GENERAL</t>
        </is>
      </c>
      <c r="I127" s="83" t="inlineStr">
        <is>
          <t>LIVE — wired</t>
        </is>
      </c>
      <c r="J127" s="84"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3" t="n">
        <v>31</v>
      </c>
      <c r="B128" s="93" t="inlineStr">
        <is>
          <t>EMA_BLANKET_FILTER_ENABLED</t>
        </is>
      </c>
      <c r="C128" s="0" t="inlineStr">
        <is>
          <t>False</t>
        </is>
      </c>
      <c r="D128" s="83" t="inlineStr">
        <is>
          <t>Blanket EMA filter (price above/below EMA blanket). | Live read: `E_PAUSE_ENABLED', 'BTC_REVERSE_REQUIRE_HTF_ALIGNED', 'BTC_ROUND_BANDS_EACH_SIDE'`</t>
        </is>
      </c>
      <c r="E128" s="83" t="inlineStr">
        <is>
          <t>GLOBAL_CHECK</t>
        </is>
      </c>
      <c r="F128" s="83" t="inlineStr">
        <is>
          <t>GLOBAL_CHECK</t>
        </is>
      </c>
      <c r="G128" s="83" t="inlineStr">
        <is>
          <t>EMA_BLANKET_FILTER_ENABLED</t>
        </is>
      </c>
      <c r="H128" s="83" t="inlineStr">
        <is>
          <t>GENERAL</t>
        </is>
      </c>
      <c r="I128" s="83" t="inlineStr">
        <is>
          <t>LIVE — wired</t>
        </is>
      </c>
      <c r="J128" s="84"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3" t="n">
        <v>31</v>
      </c>
      <c r="B129" s="83" t="inlineStr">
        <is>
          <t>EMA_BLANKET_FILTER_ENABLED</t>
        </is>
      </c>
      <c r="C129" s="0" t="inlineStr">
        <is>
          <t>True</t>
        </is>
      </c>
      <c r="D129" s="83" t="inlineStr">
        <is>
          <t>Blanket EMA filter (price above/below EMA blanket). | Live read: `E_PAUSE_ENABLED', 'BTC_REVERSE_REQUIRE_HTF_ALIGNED', 'BTC_ROUND_BANDS_EACH_SIDE'`</t>
        </is>
      </c>
      <c r="E129" s="83" t="inlineStr">
        <is>
          <t>GLOBAL_CHECK</t>
        </is>
      </c>
      <c r="F129" s="83" t="inlineStr">
        <is>
          <t>GLOBAL_CHECK</t>
        </is>
      </c>
      <c r="G129" s="83" t="inlineStr">
        <is>
          <t>EMA_BLANKET_FILTER_ENABLED</t>
        </is>
      </c>
      <c r="H129" s="83" t="inlineStr">
        <is>
          <t>GENERAL</t>
        </is>
      </c>
      <c r="I129" s="83" t="inlineStr">
        <is>
          <t>LIVE — wired</t>
        </is>
      </c>
      <c r="J129" s="84"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4" t="n">
        <v>32</v>
      </c>
      <c r="B130" s="94"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3" t="n">
        <v>33</v>
      </c>
      <c r="B135" s="93" t="inlineStr">
        <is>
          <t>EMA_BLANKET_FILTER_MIN_TFS</t>
        </is>
      </c>
      <c r="C135" s="0" t="inlineStr">
        <is>
          <t>0</t>
        </is>
      </c>
      <c r="D135" s="83" t="inlineStr">
        <is>
          <t>Threshold/gate: EMA_BLANKET_FILTER_MIN_TFS — D_BANDS_EACH_SIDE', 'BT_WT_CROSS_LADDER_FILTER_TF', 'CIRCUIT_SHARPE_GATES_ENABLED', 'CIRCUIT_SHARPE_GATES_FILTER_TF', 'C | ex: `D_BANDS_EACH_SIDE', 'BT_WT_CROSS_LADDER_FILTER_TF', 'CIRCUIT_SHARPE_GATES_ENABLE`</t>
        </is>
      </c>
      <c r="E135" s="83" t="inlineStr">
        <is>
          <t>GLOBAL_CHECK</t>
        </is>
      </c>
      <c r="F135" s="83" t="inlineStr">
        <is>
          <t>GLOBAL_CHECK</t>
        </is>
      </c>
      <c r="G135" s="83" t="inlineStr">
        <is>
          <t>EMA_BLANKET_FILTER_MIN_TFS</t>
        </is>
      </c>
      <c r="H135" s="83" t="inlineStr">
        <is>
          <t>GENERAL</t>
        </is>
      </c>
      <c r="I135" s="83" t="inlineStr">
        <is>
          <t>LIVE — wired</t>
        </is>
      </c>
      <c r="J135" s="84"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3" t="n">
        <v>33</v>
      </c>
      <c r="B136" s="83" t="inlineStr">
        <is>
          <t>EMA_BLANKET_FILTER_MIN_TFS</t>
        </is>
      </c>
      <c r="C136" s="0" t="inlineStr">
        <is>
          <t>2</t>
        </is>
      </c>
      <c r="D136" s="83" t="inlineStr">
        <is>
          <t>Threshold/gate: EMA_BLANKET_FILTER_MIN_TFS — D_BANDS_EACH_SIDE', 'BT_WT_CROSS_LADDER_FILTER_TF', 'CIRCUIT_SHARPE_GATES_ENABLED', 'CIRCUIT_SHARPE_GATES_FILTER_TF', 'C | ex: `D_BANDS_EACH_SIDE', 'BT_WT_CROSS_LADDER_FILTER_TF', 'CIRCUIT_SHARPE_GATES_ENABLE`</t>
        </is>
      </c>
      <c r="E136" s="83" t="inlineStr">
        <is>
          <t>GLOBAL_CHECK</t>
        </is>
      </c>
      <c r="F136" s="83" t="inlineStr">
        <is>
          <t>GLOBAL_CHECK</t>
        </is>
      </c>
      <c r="G136" s="83" t="inlineStr">
        <is>
          <t>EMA_BLANKET_FILTER_MIN_TFS</t>
        </is>
      </c>
      <c r="H136" s="83" t="inlineStr">
        <is>
          <t>GENERAL</t>
        </is>
      </c>
      <c r="I136" s="83" t="inlineStr">
        <is>
          <t>LIVE — wired</t>
        </is>
      </c>
      <c r="J136" s="84"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3" t="n">
        <v>33</v>
      </c>
      <c r="B137" s="83" t="inlineStr">
        <is>
          <t>EMA_BLANKET_FILTER_MIN_TFS</t>
        </is>
      </c>
      <c r="C137" s="0" t="inlineStr">
        <is>
          <t>1</t>
        </is>
      </c>
      <c r="D137" s="83" t="inlineStr">
        <is>
          <t>Threshold/gate: EMA_BLANKET_FILTER_MIN_TFS — D_BANDS_EACH_SIDE', 'BT_WT_CROSS_LADDER_FILTER_TF', 'CIRCUIT_SHARPE_GATES_ENABLED', 'CIRCUIT_SHARPE_GATES_FILTER_TF', 'C | ex: `D_BANDS_EACH_SIDE', 'BT_WT_CROSS_LADDER_FILTER_TF', 'CIRCUIT_SHARPE_GATES_ENABLE`</t>
        </is>
      </c>
      <c r="E137" s="83" t="inlineStr">
        <is>
          <t>GLOBAL_CHECK</t>
        </is>
      </c>
      <c r="F137" s="83" t="inlineStr">
        <is>
          <t>GLOBAL_CHECK</t>
        </is>
      </c>
      <c r="G137" s="83" t="inlineStr">
        <is>
          <t>EMA_BLANKET_FILTER_MIN_TFS</t>
        </is>
      </c>
      <c r="H137" s="83" t="inlineStr">
        <is>
          <t>GENERAL</t>
        </is>
      </c>
      <c r="I137" s="83" t="inlineStr">
        <is>
          <t>LIVE — wired</t>
        </is>
      </c>
      <c r="J137" s="84"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4" t="n">
        <v>34</v>
      </c>
      <c r="B138" s="94"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3" t="n">
        <v>35</v>
      </c>
      <c r="B143" s="93" t="inlineStr">
        <is>
          <t>EXECUTE_NOW_SINGLE_GATE_ENFORCE</t>
        </is>
      </c>
      <c r="C143" s="0" t="inlineStr">
        <is>
          <t>0.0</t>
        </is>
      </c>
      <c r="D143" s="83" t="inlineStr">
        <is>
          <t>Enforces single-gate through execute_now (THE ONLY gate). | Live read: `'EXECUTE_NOW_SINGLE_GATE_ENFORCE', 'EXECUTE_NOW_WIRE_TRIPWIRE_MAX_LAG_S', 'EXECU`</t>
        </is>
      </c>
      <c r="E143" s="83" t="inlineStr">
        <is>
          <t>ENTRY, GLOBAL_CHECK, STOCKS_EXIT</t>
        </is>
      </c>
      <c r="F143" s="83" t="inlineStr">
        <is>
          <t>ENTRY, GLOBAL_CHECK, STOCKS_EXIT</t>
        </is>
      </c>
      <c r="G143" s="83" t="inlineStr">
        <is>
          <t>EXECUTE_NOW_SINGLE_GATE_ENFORCE</t>
        </is>
      </c>
      <c r="H143" s="83" t="inlineStr">
        <is>
          <t>GENERAL</t>
        </is>
      </c>
      <c r="I143" s="83" t="inlineStr">
        <is>
          <t>LIVE — wired</t>
        </is>
      </c>
      <c r="J143" s="84"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3" t="n">
        <v>35</v>
      </c>
      <c r="B144" s="83" t="inlineStr">
        <is>
          <t>EXECUTE_NOW_SINGLE_GATE_ENFORCE</t>
        </is>
      </c>
      <c r="C144" s="0" t="inlineStr">
        <is>
          <t>0.0_ALT</t>
        </is>
      </c>
      <c r="D144" s="83" t="inlineStr">
        <is>
          <t>Enforces single-gate through execute_now (THE ONLY gate). | Live read: `'EXECUTE_NOW_SINGLE_GATE_ENFORCE', 'EXECUTE_NOW_WIRE_TRIPWIRE_MAX_LAG_S', 'EXECU`</t>
        </is>
      </c>
      <c r="E144" s="83" t="inlineStr">
        <is>
          <t>ENTRY, GLOBAL_CHECK, STOCKS_EXIT</t>
        </is>
      </c>
      <c r="F144" s="83" t="inlineStr">
        <is>
          <t>ENTRY, GLOBAL_CHECK, STOCKS_EXIT</t>
        </is>
      </c>
      <c r="G144" s="83" t="inlineStr">
        <is>
          <t>EXECUTE_NOW_SINGLE_GATE_ENFORCE</t>
        </is>
      </c>
      <c r="H144" s="83" t="inlineStr">
        <is>
          <t>GENERAL</t>
        </is>
      </c>
      <c r="I144" s="83" t="inlineStr">
        <is>
          <t>LIVE — wired</t>
        </is>
      </c>
      <c r="J144" s="84"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6" t="n">
        <v>36</v>
      </c>
      <c r="B145" s="96" t="inlineStr">
        <is>
          <t>EXHAUSTION_EXIT_FILTER_TF</t>
        </is>
      </c>
      <c r="C145" s="0" t="inlineStr">
        <is>
          <t>OFF</t>
        </is>
      </c>
      <c r="D145" s="86" t="inlineStr">
        <is>
          <t>Dead/misnamed filter — no read in ez_manage/ez_positions_quick/tradier_manage. Appears 0x; likely legacy or typo.</t>
        </is>
      </c>
      <c r="E145" s="86" t="inlineStr">
        <is>
          <t>DEAD</t>
        </is>
      </c>
      <c r="F145" s="86" t="inlineStr">
        <is>
          <t>DEAD</t>
        </is>
      </c>
      <c r="G145" s="86" t="inlineStr">
        <is>
          <t>EXHAUSTION_EXIT</t>
        </is>
      </c>
      <c r="H145" s="86" t="inlineStr">
        <is>
          <t>SPECIFIC — only gated switches</t>
        </is>
      </c>
      <c r="I145" s="86" t="inlineStr">
        <is>
          <t>DEAD — REMOVE</t>
        </is>
      </c>
      <c r="J145" s="87"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6" t="n">
        <v>36</v>
      </c>
      <c r="B146" s="86" t="inlineStr">
        <is>
          <t>EXHAUSTION_EXIT_FILTER_TF</t>
        </is>
      </c>
      <c r="C146" s="0" t="inlineStr">
        <is>
          <t>D</t>
        </is>
      </c>
      <c r="D146" s="86" t="inlineStr">
        <is>
          <t>Dead/misnamed filter — no read in ez_manage/ez_positions_quick/tradier_manage. Appears 0x; likely legacy or typo.</t>
        </is>
      </c>
      <c r="E146" s="86" t="inlineStr">
        <is>
          <t>DEAD</t>
        </is>
      </c>
      <c r="F146" s="86" t="inlineStr">
        <is>
          <t>DEAD</t>
        </is>
      </c>
      <c r="G146" s="86" t="inlineStr">
        <is>
          <t>EXHAUSTION_EXIT</t>
        </is>
      </c>
      <c r="H146" s="86" t="inlineStr">
        <is>
          <t>SPECIFIC — only gated switches</t>
        </is>
      </c>
      <c r="I146" s="86" t="inlineStr">
        <is>
          <t>DEAD — REMOVE</t>
        </is>
      </c>
      <c r="J146" s="87"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6" t="n">
        <v>36</v>
      </c>
      <c r="B147" s="86" t="inlineStr">
        <is>
          <t>EXHAUSTION_EXIT_FILTER_TF</t>
        </is>
      </c>
      <c r="C147" s="0" t="inlineStr">
        <is>
          <t>4h</t>
        </is>
      </c>
      <c r="D147" s="86" t="inlineStr">
        <is>
          <t>Dead/misnamed filter — no read in ez_manage/ez_positions_quick/tradier_manage. Appears 0x; likely legacy or typo.</t>
        </is>
      </c>
      <c r="E147" s="86" t="inlineStr">
        <is>
          <t>DEAD</t>
        </is>
      </c>
      <c r="F147" s="86" t="inlineStr">
        <is>
          <t>DEAD</t>
        </is>
      </c>
      <c r="G147" s="86" t="inlineStr">
        <is>
          <t>EXHAUSTION_EXIT</t>
        </is>
      </c>
      <c r="H147" s="86" t="inlineStr">
        <is>
          <t>SPECIFIC — only gated switches</t>
        </is>
      </c>
      <c r="I147" s="86" t="inlineStr">
        <is>
          <t>DEAD — REMOVE</t>
        </is>
      </c>
      <c r="J147" s="87"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6" t="n">
        <v>36</v>
      </c>
      <c r="B148" s="86" t="inlineStr">
        <is>
          <t>EXHAUSTION_EXIT_FILTER_TF</t>
        </is>
      </c>
      <c r="C148" s="0" t="inlineStr">
        <is>
          <t>1h</t>
        </is>
      </c>
      <c r="D148" s="86" t="inlineStr">
        <is>
          <t>Dead/misnamed filter — no read in ez_manage/ez_positions_quick/tradier_manage. Appears 0x; likely legacy or typo.</t>
        </is>
      </c>
      <c r="E148" s="86" t="inlineStr">
        <is>
          <t>DEAD</t>
        </is>
      </c>
      <c r="F148" s="86" t="inlineStr">
        <is>
          <t>DEAD</t>
        </is>
      </c>
      <c r="G148" s="86" t="inlineStr">
        <is>
          <t>EXHAUSTION_EXIT</t>
        </is>
      </c>
      <c r="H148" s="86" t="inlineStr">
        <is>
          <t>SPECIFIC — only gated switches</t>
        </is>
      </c>
      <c r="I148" s="86" t="inlineStr">
        <is>
          <t>DEAD — REMOVE</t>
        </is>
      </c>
      <c r="J148" s="87"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6" t="n">
        <v>36</v>
      </c>
      <c r="B149" s="86" t="inlineStr">
        <is>
          <t>EXHAUSTION_EXIT_FILTER_TF</t>
        </is>
      </c>
      <c r="C149" s="0" t="inlineStr">
        <is>
          <t>15m</t>
        </is>
      </c>
      <c r="D149" s="86" t="inlineStr">
        <is>
          <t>Dead/misnamed filter — no read in ez_manage/ez_positions_quick/tradier_manage. Appears 0x; likely legacy or typo.</t>
        </is>
      </c>
      <c r="E149" s="86" t="inlineStr">
        <is>
          <t>DEAD</t>
        </is>
      </c>
      <c r="F149" s="86" t="inlineStr">
        <is>
          <t>DEAD</t>
        </is>
      </c>
      <c r="G149" s="86" t="inlineStr">
        <is>
          <t>EXHAUSTION_EXIT</t>
        </is>
      </c>
      <c r="H149" s="86" t="inlineStr">
        <is>
          <t>SPECIFIC — only gated switches</t>
        </is>
      </c>
      <c r="I149" s="86" t="inlineStr">
        <is>
          <t>DEAD — REMOVE</t>
        </is>
      </c>
      <c r="J149" s="87"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4" t="n">
        <v>37</v>
      </c>
      <c r="B150" s="94"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4" t="n">
        <v>38</v>
      </c>
      <c r="B155" s="94"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4" t="n">
        <v>39</v>
      </c>
      <c r="B160" s="94"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4" t="n">
        <v>40</v>
      </c>
      <c r="B165" s="94"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3" t="n">
        <v>41</v>
      </c>
      <c r="B170" s="93" t="inlineStr">
        <is>
          <t>EZ_MANAGE_THROTTLER_RATE</t>
        </is>
      </c>
      <c r="C170" s="0" t="inlineStr">
        <is>
          <t>0.0</t>
        </is>
      </c>
      <c r="D170" s="83" t="inlineStr">
        <is>
          <t>Throttler: max decisions per second for ez_manage loop. | Live read: `'EZ_KLINES_SEMAPHORE', 'EZ_MANAGE_CONCURRENCY_LIMIT', 'EZ_MANAGE_MAKER_SEMAPHORE`</t>
        </is>
      </c>
      <c r="E170" s="83" t="inlineStr">
        <is>
          <t>GLOBAL_CHECK, STOCKS_EXIT</t>
        </is>
      </c>
      <c r="F170" s="83" t="inlineStr">
        <is>
          <t>GLOBAL_CHECK, STOCKS_EXIT</t>
        </is>
      </c>
      <c r="G170" s="83" t="inlineStr">
        <is>
          <t>EZ_MANAGE_THROTTLER_RATE</t>
        </is>
      </c>
      <c r="H170" s="83" t="inlineStr">
        <is>
          <t>GENERAL</t>
        </is>
      </c>
      <c r="I170" s="83" t="inlineStr">
        <is>
          <t>LIVE — wired</t>
        </is>
      </c>
      <c r="J170" s="84"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3" t="n">
        <v>41</v>
      </c>
      <c r="B171" s="83" t="inlineStr">
        <is>
          <t>EZ_MANAGE_THROTTLER_RATE</t>
        </is>
      </c>
      <c r="C171" s="0" t="inlineStr">
        <is>
          <t>0.0_ALT</t>
        </is>
      </c>
      <c r="D171" s="83" t="inlineStr">
        <is>
          <t>Throttler: max decisions per second for ez_manage loop. | Live read: `'EZ_KLINES_SEMAPHORE', 'EZ_MANAGE_CONCURRENCY_LIMIT', 'EZ_MANAGE_MAKER_SEMAPHORE`</t>
        </is>
      </c>
      <c r="E171" s="83" t="inlineStr">
        <is>
          <t>GLOBAL_CHECK, STOCKS_EXIT</t>
        </is>
      </c>
      <c r="F171" s="83" t="inlineStr">
        <is>
          <t>GLOBAL_CHECK, STOCKS_EXIT</t>
        </is>
      </c>
      <c r="G171" s="83" t="inlineStr">
        <is>
          <t>EZ_MANAGE_THROTTLER_RATE</t>
        </is>
      </c>
      <c r="H171" s="83" t="inlineStr">
        <is>
          <t>GENERAL</t>
        </is>
      </c>
      <c r="I171" s="83" t="inlineStr">
        <is>
          <t>LIVE — wired</t>
        </is>
      </c>
      <c r="J171" s="84"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4" t="n">
        <v>42</v>
      </c>
      <c r="B172" s="94"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3" t="n">
        <v>43</v>
      </c>
      <c r="B177" s="93" t="inlineStr">
        <is>
          <t>FG_FEAR_THRESHOLD</t>
        </is>
      </c>
      <c r="C177" s="0" t="inlineStr">
        <is>
          <t>25</t>
        </is>
      </c>
      <c r="D177" s="83" t="inlineStr">
        <is>
          <t>Fear/Greed index fear threshold. | Live read: `'CIRCUIT_SHARPE_GATES_FILTER_TF', 'CIRCUIT_SHARPE_GATES_MIN_TFS', 'COOLDOWN_LOCK`</t>
        </is>
      </c>
      <c r="E177" s="83" t="inlineStr">
        <is>
          <t>GLOBAL_CHECK, STOCKS_EXIT</t>
        </is>
      </c>
      <c r="F177" s="83" t="inlineStr">
        <is>
          <t>GLOBAL_CHECK, STOCKS_EXIT</t>
        </is>
      </c>
      <c r="G177" s="83" t="inlineStr">
        <is>
          <t>FG_FEAR_THRESHOLD</t>
        </is>
      </c>
      <c r="H177" s="83" t="inlineStr">
        <is>
          <t>GENERAL</t>
        </is>
      </c>
      <c r="I177" s="83" t="inlineStr">
        <is>
          <t>LIVE — wired</t>
        </is>
      </c>
      <c r="J177" s="84"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3" t="n">
        <v>43</v>
      </c>
      <c r="B178" s="83" t="inlineStr">
        <is>
          <t>FG_FEAR_THRESHOLD</t>
        </is>
      </c>
      <c r="C178" s="0" t="inlineStr">
        <is>
          <t>31.25</t>
        </is>
      </c>
      <c r="D178" s="83" t="inlineStr">
        <is>
          <t>Fear/Greed index fear threshold. | Live read: `'CIRCUIT_SHARPE_GATES_FILTER_TF', 'CIRCUIT_SHARPE_GATES_MIN_TFS', 'COOLDOWN_LOCK`</t>
        </is>
      </c>
      <c r="E178" s="83" t="inlineStr">
        <is>
          <t>GLOBAL_CHECK, STOCKS_EXIT</t>
        </is>
      </c>
      <c r="F178" s="83" t="inlineStr">
        <is>
          <t>GLOBAL_CHECK, STOCKS_EXIT</t>
        </is>
      </c>
      <c r="G178" s="83" t="inlineStr">
        <is>
          <t>FG_FEAR_THRESHOLD</t>
        </is>
      </c>
      <c r="H178" s="83" t="inlineStr">
        <is>
          <t>GENERAL</t>
        </is>
      </c>
      <c r="I178" s="83" t="inlineStr">
        <is>
          <t>LIVE — wired</t>
        </is>
      </c>
      <c r="J178" s="84"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3" t="n">
        <v>43</v>
      </c>
      <c r="B179" s="83" t="inlineStr">
        <is>
          <t>FG_FEAR_THRESHOLD</t>
        </is>
      </c>
      <c r="C179" s="0" t="inlineStr">
        <is>
          <t>18.75</t>
        </is>
      </c>
      <c r="D179" s="83" t="inlineStr">
        <is>
          <t>Fear/Greed index fear threshold. | Live read: `'CIRCUIT_SHARPE_GATES_FILTER_TF', 'CIRCUIT_SHARPE_GATES_MIN_TFS', 'COOLDOWN_LOCK`</t>
        </is>
      </c>
      <c r="E179" s="83" t="inlineStr">
        <is>
          <t>GLOBAL_CHECK, STOCKS_EXIT</t>
        </is>
      </c>
      <c r="F179" s="83" t="inlineStr">
        <is>
          <t>GLOBAL_CHECK, STOCKS_EXIT</t>
        </is>
      </c>
      <c r="G179" s="83" t="inlineStr">
        <is>
          <t>FG_FEAR_THRESHOLD</t>
        </is>
      </c>
      <c r="H179" s="83" t="inlineStr">
        <is>
          <t>GENERAL</t>
        </is>
      </c>
      <c r="I179" s="83" t="inlineStr">
        <is>
          <t>LIVE — wired</t>
        </is>
      </c>
      <c r="J179" s="84"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3" t="n">
        <v>43</v>
      </c>
      <c r="B180" s="83" t="inlineStr">
        <is>
          <t>FG_FEAR_THRESHOLD</t>
        </is>
      </c>
      <c r="C180" s="0" t="inlineStr">
        <is>
          <t>12.5</t>
        </is>
      </c>
      <c r="D180" s="83" t="inlineStr">
        <is>
          <t>Fear/Greed index fear threshold. | Live read: `'CIRCUIT_SHARPE_GATES_FILTER_TF', 'CIRCUIT_SHARPE_GATES_MIN_TFS', 'COOLDOWN_LOCK`</t>
        </is>
      </c>
      <c r="E180" s="83" t="inlineStr">
        <is>
          <t>GLOBAL_CHECK, STOCKS_EXIT</t>
        </is>
      </c>
      <c r="F180" s="83" t="inlineStr">
        <is>
          <t>GLOBAL_CHECK, STOCKS_EXIT</t>
        </is>
      </c>
      <c r="G180" s="83" t="inlineStr">
        <is>
          <t>FG_FEAR_THRESHOLD</t>
        </is>
      </c>
      <c r="H180" s="83" t="inlineStr">
        <is>
          <t>GENERAL</t>
        </is>
      </c>
      <c r="I180" s="83" t="inlineStr">
        <is>
          <t>LIVE — wired</t>
        </is>
      </c>
      <c r="J180" s="84"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3" t="n">
        <v>44</v>
      </c>
      <c r="B181" s="93" t="inlineStr">
        <is>
          <t>FG_GREED_THRESHOLD</t>
        </is>
      </c>
      <c r="C181" s="0" t="inlineStr">
        <is>
          <t>75</t>
        </is>
      </c>
      <c r="D181" s="83" t="inlineStr">
        <is>
          <t>Fear/Greed greed threshold. | Live read: `S_FILTER_TF', 'CIRCUIT_SHARPE_GATES_MIN_TFS', 'COOLDOWN_LOCKS_FILTER_TF', 'CRYPT`</t>
        </is>
      </c>
      <c r="E181" s="83" t="inlineStr">
        <is>
          <t>GLOBAL_CHECK, STOCKS_EXIT</t>
        </is>
      </c>
      <c r="F181" s="83" t="inlineStr">
        <is>
          <t>GLOBAL_CHECK, STOCKS_EXIT</t>
        </is>
      </c>
      <c r="G181" s="83" t="inlineStr">
        <is>
          <t>FG_GREED_THRESHOLD</t>
        </is>
      </c>
      <c r="H181" s="83" t="inlineStr">
        <is>
          <t>GENERAL</t>
        </is>
      </c>
      <c r="I181" s="83" t="inlineStr">
        <is>
          <t>LIVE — wired</t>
        </is>
      </c>
      <c r="J181" s="84"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3" t="n">
        <v>44</v>
      </c>
      <c r="B182" s="83" t="inlineStr">
        <is>
          <t>FG_GREED_THRESHOLD</t>
        </is>
      </c>
      <c r="C182" s="0" t="inlineStr">
        <is>
          <t>93.75</t>
        </is>
      </c>
      <c r="D182" s="83" t="inlineStr">
        <is>
          <t>Fear/Greed greed threshold. | Live read: `S_FILTER_TF', 'CIRCUIT_SHARPE_GATES_MIN_TFS', 'COOLDOWN_LOCKS_FILTER_TF', 'CRYPT`</t>
        </is>
      </c>
      <c r="E182" s="83" t="inlineStr">
        <is>
          <t>GLOBAL_CHECK, STOCKS_EXIT</t>
        </is>
      </c>
      <c r="F182" s="83" t="inlineStr">
        <is>
          <t>GLOBAL_CHECK, STOCKS_EXIT</t>
        </is>
      </c>
      <c r="G182" s="83" t="inlineStr">
        <is>
          <t>FG_GREED_THRESHOLD</t>
        </is>
      </c>
      <c r="H182" s="83" t="inlineStr">
        <is>
          <t>GENERAL</t>
        </is>
      </c>
      <c r="I182" s="83" t="inlineStr">
        <is>
          <t>LIVE — wired</t>
        </is>
      </c>
      <c r="J182" s="84"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3" t="n">
        <v>44</v>
      </c>
      <c r="B183" s="83" t="inlineStr">
        <is>
          <t>FG_GREED_THRESHOLD</t>
        </is>
      </c>
      <c r="C183" s="0" t="inlineStr">
        <is>
          <t>56.25</t>
        </is>
      </c>
      <c r="D183" s="83" t="inlineStr">
        <is>
          <t>Fear/Greed greed threshold. | Live read: `S_FILTER_TF', 'CIRCUIT_SHARPE_GATES_MIN_TFS', 'COOLDOWN_LOCKS_FILTER_TF', 'CRYPT`</t>
        </is>
      </c>
      <c r="E183" s="83" t="inlineStr">
        <is>
          <t>GLOBAL_CHECK, STOCKS_EXIT</t>
        </is>
      </c>
      <c r="F183" s="83" t="inlineStr">
        <is>
          <t>GLOBAL_CHECK, STOCKS_EXIT</t>
        </is>
      </c>
      <c r="G183" s="83" t="inlineStr">
        <is>
          <t>FG_GREED_THRESHOLD</t>
        </is>
      </c>
      <c r="H183" s="83" t="inlineStr">
        <is>
          <t>GENERAL</t>
        </is>
      </c>
      <c r="I183" s="83" t="inlineStr">
        <is>
          <t>LIVE — wired</t>
        </is>
      </c>
      <c r="J183" s="84"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3" t="n">
        <v>44</v>
      </c>
      <c r="B184" s="83" t="inlineStr">
        <is>
          <t>FG_GREED_THRESHOLD</t>
        </is>
      </c>
      <c r="C184" s="0" t="inlineStr">
        <is>
          <t>37.5</t>
        </is>
      </c>
      <c r="D184" s="83" t="inlineStr">
        <is>
          <t>Fear/Greed greed threshold. | Live read: `S_FILTER_TF', 'CIRCUIT_SHARPE_GATES_MIN_TFS', 'COOLDOWN_LOCKS_FILTER_TF', 'CRYPT`</t>
        </is>
      </c>
      <c r="E184" s="83" t="inlineStr">
        <is>
          <t>GLOBAL_CHECK, STOCKS_EXIT</t>
        </is>
      </c>
      <c r="F184" s="83" t="inlineStr">
        <is>
          <t>GLOBAL_CHECK, STOCKS_EXIT</t>
        </is>
      </c>
      <c r="G184" s="83" t="inlineStr">
        <is>
          <t>FG_GREED_THRESHOLD</t>
        </is>
      </c>
      <c r="H184" s="83" t="inlineStr">
        <is>
          <t>GENERAL</t>
        </is>
      </c>
      <c r="I184" s="83" t="inlineStr">
        <is>
          <t>LIVE — wired</t>
        </is>
      </c>
      <c r="J184" s="84"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4" t="n">
        <v>45</v>
      </c>
      <c r="B185" s="94"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4" t="n">
        <v>46</v>
      </c>
      <c r="B190" s="94"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4" t="n">
        <v>47</v>
      </c>
      <c r="B195" s="94"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3" t="n">
        <v>48</v>
      </c>
      <c r="B200" s="93" t="inlineStr">
        <is>
          <t>FUNDING_GATE_FILTER_TF</t>
        </is>
      </c>
      <c r="C200" s="0" t="inlineStr">
        <is>
          <t>OFF</t>
        </is>
      </c>
      <c r="D200" s="83" t="inlineStr">
        <is>
          <t>Funding rate gate on FILTER_TF (perp funding). | Live read: `COOLDOWN_LOCKS_FILTER_TF', 'CRYPTO_SPIKE_FADE_THRESHOLD_PCT', 'DC_BREAK_FILTER_T`</t>
        </is>
      </c>
      <c r="E200" s="83" t="inlineStr">
        <is>
          <t>GLOBAL_CHECK</t>
        </is>
      </c>
      <c r="F200" s="83" t="inlineStr">
        <is>
          <t>GLOBAL_CHECK</t>
        </is>
      </c>
      <c r="G200" s="83" t="inlineStr">
        <is>
          <t>Funding gate</t>
        </is>
      </c>
      <c r="H200" s="83" t="inlineStr">
        <is>
          <t>GENERAL — uniform</t>
        </is>
      </c>
      <c r="I200" s="83" t="inlineStr">
        <is>
          <t>LIVE — wired</t>
        </is>
      </c>
      <c r="J200" s="84"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3" t="n">
        <v>48</v>
      </c>
      <c r="B201" s="83" t="inlineStr">
        <is>
          <t>FUNDING_GATE_FILTER_TF</t>
        </is>
      </c>
      <c r="C201" s="0" t="inlineStr">
        <is>
          <t>D</t>
        </is>
      </c>
      <c r="D201" s="83" t="inlineStr">
        <is>
          <t>Funding rate gate on FILTER_TF (perp funding). | Live read: `COOLDOWN_LOCKS_FILTER_TF', 'CRYPTO_SPIKE_FADE_THRESHOLD_PCT', 'DC_BREAK_FILTER_T`</t>
        </is>
      </c>
      <c r="E201" s="83" t="inlineStr">
        <is>
          <t>GLOBAL_CHECK</t>
        </is>
      </c>
      <c r="F201" s="83" t="inlineStr">
        <is>
          <t>GLOBAL_CHECK</t>
        </is>
      </c>
      <c r="G201" s="83" t="inlineStr">
        <is>
          <t>Funding gate</t>
        </is>
      </c>
      <c r="H201" s="83" t="inlineStr">
        <is>
          <t>GENERAL — uniform</t>
        </is>
      </c>
      <c r="I201" s="83" t="inlineStr">
        <is>
          <t>LIVE — wired</t>
        </is>
      </c>
      <c r="J201" s="84"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3" t="n">
        <v>48</v>
      </c>
      <c r="B202" s="83" t="inlineStr">
        <is>
          <t>FUNDING_GATE_FILTER_TF</t>
        </is>
      </c>
      <c r="C202" s="0" t="inlineStr">
        <is>
          <t>4h</t>
        </is>
      </c>
      <c r="D202" s="83" t="inlineStr">
        <is>
          <t>Funding rate gate on FILTER_TF (perp funding). | Live read: `COOLDOWN_LOCKS_FILTER_TF', 'CRYPTO_SPIKE_FADE_THRESHOLD_PCT', 'DC_BREAK_FILTER_T`</t>
        </is>
      </c>
      <c r="E202" s="83" t="inlineStr">
        <is>
          <t>GLOBAL_CHECK</t>
        </is>
      </c>
      <c r="F202" s="83" t="inlineStr">
        <is>
          <t>GLOBAL_CHECK</t>
        </is>
      </c>
      <c r="G202" s="83" t="inlineStr">
        <is>
          <t>Funding gate</t>
        </is>
      </c>
      <c r="H202" s="83" t="inlineStr">
        <is>
          <t>GENERAL — uniform</t>
        </is>
      </c>
      <c r="I202" s="83" t="inlineStr">
        <is>
          <t>LIVE — wired</t>
        </is>
      </c>
      <c r="J202" s="84"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3" t="n">
        <v>48</v>
      </c>
      <c r="B203" s="83" t="inlineStr">
        <is>
          <t>FUNDING_GATE_FILTER_TF</t>
        </is>
      </c>
      <c r="C203" s="0" t="inlineStr">
        <is>
          <t>1h</t>
        </is>
      </c>
      <c r="D203" s="83" t="inlineStr">
        <is>
          <t>Funding rate gate on FILTER_TF (perp funding). | Live read: `COOLDOWN_LOCKS_FILTER_TF', 'CRYPTO_SPIKE_FADE_THRESHOLD_PCT', 'DC_BREAK_FILTER_T`</t>
        </is>
      </c>
      <c r="E203" s="83" t="inlineStr">
        <is>
          <t>GLOBAL_CHECK</t>
        </is>
      </c>
      <c r="F203" s="83" t="inlineStr">
        <is>
          <t>GLOBAL_CHECK</t>
        </is>
      </c>
      <c r="G203" s="83" t="inlineStr">
        <is>
          <t>Funding gate</t>
        </is>
      </c>
      <c r="H203" s="83" t="inlineStr">
        <is>
          <t>GENERAL — uniform</t>
        </is>
      </c>
      <c r="I203" s="83" t="inlineStr">
        <is>
          <t>LIVE — wired</t>
        </is>
      </c>
      <c r="J203" s="84"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3" t="n">
        <v>48</v>
      </c>
      <c r="B204" s="83" t="inlineStr">
        <is>
          <t>FUNDING_GATE_FILTER_TF</t>
        </is>
      </c>
      <c r="C204" s="0" t="inlineStr">
        <is>
          <t>15m</t>
        </is>
      </c>
      <c r="D204" s="83" t="inlineStr">
        <is>
          <t>Funding rate gate on FILTER_TF (perp funding). | Live read: `COOLDOWN_LOCKS_FILTER_TF', 'CRYPTO_SPIKE_FADE_THRESHOLD_PCT', 'DC_BREAK_FILTER_T`</t>
        </is>
      </c>
      <c r="E204" s="83" t="inlineStr">
        <is>
          <t>GLOBAL_CHECK</t>
        </is>
      </c>
      <c r="F204" s="83" t="inlineStr">
        <is>
          <t>GLOBAL_CHECK</t>
        </is>
      </c>
      <c r="G204" s="83" t="inlineStr">
        <is>
          <t>Funding gate</t>
        </is>
      </c>
      <c r="H204" s="83" t="inlineStr">
        <is>
          <t>GENERAL — uniform</t>
        </is>
      </c>
      <c r="I204" s="83" t="inlineStr">
        <is>
          <t>LIVE — wired</t>
        </is>
      </c>
      <c r="J204" s="84"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3" t="n">
        <v>49</v>
      </c>
      <c r="B205" s="93" t="inlineStr">
        <is>
          <t>FUNDING_GATE_LONG_MAX</t>
        </is>
      </c>
      <c r="C205" s="0" t="inlineStr">
        <is>
          <t>0.0</t>
        </is>
      </c>
      <c r="D205" s="83" t="inlineStr">
        <is>
          <t>Max funding to allow longs (above blocks longs). | Live read: `LED', 'ENTRY_VOL_SPIKE_LOOKBACK', 'ENTRY_VOL_SPIKE_RATIO', 'ENTRY_WILLR_ENABLED'`</t>
        </is>
      </c>
      <c r="E205" s="83" t="inlineStr">
        <is>
          <t>ENTRY, GLOBAL_CHECK, STOCKS_EXIT</t>
        </is>
      </c>
      <c r="F205" s="83" t="inlineStr">
        <is>
          <t>ENTRY, GLOBAL_CHECK, STOCKS_EXIT</t>
        </is>
      </c>
      <c r="G205" s="83" t="inlineStr">
        <is>
          <t>Funding gate</t>
        </is>
      </c>
      <c r="H205" s="83" t="inlineStr">
        <is>
          <t>GENERAL — uniform</t>
        </is>
      </c>
      <c r="I205" s="83" t="inlineStr">
        <is>
          <t>LIVE — wired</t>
        </is>
      </c>
      <c r="J205" s="84"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3" t="n">
        <v>49</v>
      </c>
      <c r="B206" s="83" t="inlineStr">
        <is>
          <t>FUNDING_GATE_LONG_MAX</t>
        </is>
      </c>
      <c r="C206" s="0" t="inlineStr">
        <is>
          <t>0.0_ALT</t>
        </is>
      </c>
      <c r="D206" s="83" t="inlineStr">
        <is>
          <t>Max funding to allow longs (above blocks longs). | Live read: `LED', 'ENTRY_VOL_SPIKE_LOOKBACK', 'ENTRY_VOL_SPIKE_RATIO', 'ENTRY_WILLR_ENABLED'`</t>
        </is>
      </c>
      <c r="E206" s="83" t="inlineStr">
        <is>
          <t>ENTRY, GLOBAL_CHECK, STOCKS_EXIT</t>
        </is>
      </c>
      <c r="F206" s="83" t="inlineStr">
        <is>
          <t>ENTRY, GLOBAL_CHECK, STOCKS_EXIT</t>
        </is>
      </c>
      <c r="G206" s="83" t="inlineStr">
        <is>
          <t>Funding gate</t>
        </is>
      </c>
      <c r="H206" s="83" t="inlineStr">
        <is>
          <t>GENERAL — uniform</t>
        </is>
      </c>
      <c r="I206" s="83" t="inlineStr">
        <is>
          <t>LIVE — wired</t>
        </is>
      </c>
      <c r="J206" s="84"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3" t="n">
        <v>50</v>
      </c>
      <c r="B207" s="93" t="inlineStr">
        <is>
          <t>FUNDING_GATE_MTF_REQUIRED</t>
        </is>
      </c>
      <c r="C207" s="0" t="inlineStr">
        <is>
          <t>0.0</t>
        </is>
      </c>
      <c r="D207" s="83" t="inlineStr">
        <is>
          <t>Requires funding gate on N TFs. | Live read: `RY_WILLR_ENABLED', 'ENTRY_WILLR_LOOKBACK', 'ENTRY_WILLR_OB_THRESHOLD', 'ENTRY_WI`</t>
        </is>
      </c>
      <c r="E207" s="83" t="inlineStr">
        <is>
          <t>ENTRY, GLOBAL_CHECK, STOCKS_EXIT</t>
        </is>
      </c>
      <c r="F207" s="83" t="inlineStr">
        <is>
          <t>ENTRY, GLOBAL_CHECK, STOCKS_EXIT</t>
        </is>
      </c>
      <c r="G207" s="83" t="inlineStr">
        <is>
          <t>Funding gate</t>
        </is>
      </c>
      <c r="H207" s="83" t="inlineStr">
        <is>
          <t>GENERAL — uniform</t>
        </is>
      </c>
      <c r="I207" s="83" t="inlineStr">
        <is>
          <t>LIVE — wired</t>
        </is>
      </c>
      <c r="J207" s="84"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3" t="n">
        <v>50</v>
      </c>
      <c r="B208" s="83" t="inlineStr">
        <is>
          <t>FUNDING_GATE_MTF_REQUIRED</t>
        </is>
      </c>
      <c r="C208" s="0" t="inlineStr">
        <is>
          <t>0.0_ALT</t>
        </is>
      </c>
      <c r="D208" s="83" t="inlineStr">
        <is>
          <t>Requires funding gate on N TFs. | Live read: `RY_WILLR_ENABLED', 'ENTRY_WILLR_LOOKBACK', 'ENTRY_WILLR_OB_THRESHOLD', 'ENTRY_WI`</t>
        </is>
      </c>
      <c r="E208" s="83" t="inlineStr">
        <is>
          <t>ENTRY, GLOBAL_CHECK, STOCKS_EXIT</t>
        </is>
      </c>
      <c r="F208" s="83" t="inlineStr">
        <is>
          <t>ENTRY, GLOBAL_CHECK, STOCKS_EXIT</t>
        </is>
      </c>
      <c r="G208" s="83" t="inlineStr">
        <is>
          <t>Funding gate</t>
        </is>
      </c>
      <c r="H208" s="83" t="inlineStr">
        <is>
          <t>GENERAL — uniform</t>
        </is>
      </c>
      <c r="I208" s="83" t="inlineStr">
        <is>
          <t>LIVE — wired</t>
        </is>
      </c>
      <c r="J208" s="84"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3" t="n">
        <v>51</v>
      </c>
      <c r="B209" s="93" t="inlineStr">
        <is>
          <t>FUNDING_GATE_SHORT_MIN</t>
        </is>
      </c>
      <c r="C209" s="0" t="inlineStr">
        <is>
          <t>0.0</t>
        </is>
      </c>
      <c r="D209" s="83" t="inlineStr">
        <is>
          <t>Min funding to allow shorts. | Live read: `', 'ENTRY_WILLR_OS_THRESHOLD', 'ENTRY_WILLR_THRESHOLD', 'ENTRY_WT_CROSS_EVENT_EN`</t>
        </is>
      </c>
      <c r="E209" s="83" t="inlineStr">
        <is>
          <t>ENTRY, GLOBAL_CHECK, STOCKS_EXIT</t>
        </is>
      </c>
      <c r="F209" s="83" t="inlineStr">
        <is>
          <t>ENTRY, GLOBAL_CHECK, STOCKS_EXIT</t>
        </is>
      </c>
      <c r="G209" s="83" t="inlineStr">
        <is>
          <t>Funding gate</t>
        </is>
      </c>
      <c r="H209" s="83" t="inlineStr">
        <is>
          <t>GENERAL — uniform</t>
        </is>
      </c>
      <c r="I209" s="83" t="inlineStr">
        <is>
          <t>LIVE — wired</t>
        </is>
      </c>
      <c r="J209" s="84"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3" t="n">
        <v>51</v>
      </c>
      <c r="B210" s="83" t="inlineStr">
        <is>
          <t>FUNDING_GATE_SHORT_MIN</t>
        </is>
      </c>
      <c r="C210" s="0" t="inlineStr">
        <is>
          <t>0.0_ALT</t>
        </is>
      </c>
      <c r="D210" s="83" t="inlineStr">
        <is>
          <t>Min funding to allow shorts. | Live read: `', 'ENTRY_WILLR_OS_THRESHOLD', 'ENTRY_WILLR_THRESHOLD', 'ENTRY_WT_CROSS_EVENT_EN`</t>
        </is>
      </c>
      <c r="E210" s="83" t="inlineStr">
        <is>
          <t>ENTRY, GLOBAL_CHECK, STOCKS_EXIT</t>
        </is>
      </c>
      <c r="F210" s="83" t="inlineStr">
        <is>
          <t>ENTRY, GLOBAL_CHECK, STOCKS_EXIT</t>
        </is>
      </c>
      <c r="G210" s="83" t="inlineStr">
        <is>
          <t>Funding gate</t>
        </is>
      </c>
      <c r="H210" s="83" t="inlineStr">
        <is>
          <t>GENERAL — uniform</t>
        </is>
      </c>
      <c r="I210" s="83" t="inlineStr">
        <is>
          <t>LIVE — wired</t>
        </is>
      </c>
      <c r="J210" s="84"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3" t="n">
        <v>52</v>
      </c>
      <c r="B211" s="93" t="inlineStr">
        <is>
          <t>GOLDEN_RULE_BASE_USD</t>
        </is>
      </c>
      <c r="C211" s="0" t="inlineStr">
        <is>
          <t>0.0</t>
        </is>
      </c>
      <c r="D211" s="83" t="inlineStr">
        <is>
          <t>Golden Rule base notional USD. | Live read: `RY_WT_CROSS_EVENT_ENABLED', 'ENTRY_WT_CROSS_LOOKBACK', 'FIRST_OPEN_THROTTLE_ENAB`</t>
        </is>
      </c>
      <c r="E211" s="83" t="inlineStr">
        <is>
          <t>GLOBAL_CHECK, STOCKS_EXIT</t>
        </is>
      </c>
      <c r="F211" s="83" t="inlineStr">
        <is>
          <t>GLOBAL_CHECK, STOCKS_EXIT</t>
        </is>
      </c>
      <c r="G211" s="83" t="inlineStr">
        <is>
          <t>GOLDEN_RULE_BASE_USD</t>
        </is>
      </c>
      <c r="H211" s="83" t="inlineStr">
        <is>
          <t>GENERAL</t>
        </is>
      </c>
      <c r="I211" s="83" t="inlineStr">
        <is>
          <t>LIVE — wired</t>
        </is>
      </c>
      <c r="J211" s="84"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3" t="n">
        <v>52</v>
      </c>
      <c r="B212" s="83" t="inlineStr">
        <is>
          <t>GOLDEN_RULE_BASE_USD</t>
        </is>
      </c>
      <c r="C212" s="0" t="inlineStr">
        <is>
          <t>0.0_ALT</t>
        </is>
      </c>
      <c r="D212" s="83" t="inlineStr">
        <is>
          <t>Golden Rule base notional USD. | Live read: `RY_WT_CROSS_EVENT_ENABLED', 'ENTRY_WT_CROSS_LOOKBACK', 'FIRST_OPEN_THROTTLE_ENAB`</t>
        </is>
      </c>
      <c r="E212" s="83" t="inlineStr">
        <is>
          <t>GLOBAL_CHECK, STOCKS_EXIT</t>
        </is>
      </c>
      <c r="F212" s="83" t="inlineStr">
        <is>
          <t>GLOBAL_CHECK, STOCKS_EXIT</t>
        </is>
      </c>
      <c r="G212" s="83" t="inlineStr">
        <is>
          <t>GOLDEN_RULE_BASE_USD</t>
        </is>
      </c>
      <c r="H212" s="83" t="inlineStr">
        <is>
          <t>GENERAL</t>
        </is>
      </c>
      <c r="I212" s="83" t="inlineStr">
        <is>
          <t>LIVE — wired</t>
        </is>
      </c>
      <c r="J212" s="84"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4" t="n">
        <v>53</v>
      </c>
      <c r="B213" s="94"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4" t="n">
        <v>54</v>
      </c>
      <c r="B218" s="94"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3" t="n">
        <v>55</v>
      </c>
      <c r="B223" s="93" t="inlineStr">
        <is>
          <t>GR_FILTER_ALL_ENTRIES</t>
        </is>
      </c>
      <c r="C223" s="0" t="inlineStr">
        <is>
          <t>0.0</t>
        </is>
      </c>
      <c r="D223" s="83" t="inlineStr">
        <is>
          <t>When True, Golden Rule filters ALL entries (otherwise only breakouts). | Live read: `G_GATE_MTF_REQUIRED', 'FUNDING_GATE_MTF_SHORT_MAX_BEAR_TFS', 'FUNDING_GATE_SHORT`</t>
        </is>
      </c>
      <c r="E223" s="83" t="inlineStr">
        <is>
          <t>GLOBAL_CHECK, STOCKS_EXIT</t>
        </is>
      </c>
      <c r="F223" s="83" t="inlineStr">
        <is>
          <t>GLOBAL_CHECK, STOCKS_EXIT</t>
        </is>
      </c>
      <c r="G223" s="83" t="inlineStr">
        <is>
          <t>GR_FILTER_ALL_ENTRIES</t>
        </is>
      </c>
      <c r="H223" s="83" t="inlineStr">
        <is>
          <t>GENERAL — uniform</t>
        </is>
      </c>
      <c r="I223" s="83" t="inlineStr">
        <is>
          <t>LIVE — wired</t>
        </is>
      </c>
      <c r="J223" s="84"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3" t="n">
        <v>55</v>
      </c>
      <c r="B224" s="83" t="inlineStr">
        <is>
          <t>GR_FILTER_ALL_ENTRIES</t>
        </is>
      </c>
      <c r="C224" s="0" t="inlineStr">
        <is>
          <t>0.0_ALT</t>
        </is>
      </c>
      <c r="D224" s="83" t="inlineStr">
        <is>
          <t>When True, Golden Rule filters ALL entries (otherwise only breakouts). | Live read: `G_GATE_MTF_REQUIRED', 'FUNDING_GATE_MTF_SHORT_MAX_BEAR_TFS', 'FUNDING_GATE_SHORT`</t>
        </is>
      </c>
      <c r="E224" s="83" t="inlineStr">
        <is>
          <t>GLOBAL_CHECK, STOCKS_EXIT</t>
        </is>
      </c>
      <c r="F224" s="83" t="inlineStr">
        <is>
          <t>GLOBAL_CHECK, STOCKS_EXIT</t>
        </is>
      </c>
      <c r="G224" s="83" t="inlineStr">
        <is>
          <t>GR_FILTER_ALL_ENTRIES</t>
        </is>
      </c>
      <c r="H224" s="83" t="inlineStr">
        <is>
          <t>GENERAL — uniform</t>
        </is>
      </c>
      <c r="I224" s="83" t="inlineStr">
        <is>
          <t>LIVE — wired</t>
        </is>
      </c>
      <c r="J224" s="84"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3" t="n">
        <v>56</v>
      </c>
      <c r="B225" s="93" t="inlineStr">
        <is>
          <t>GR_FILTER_VEC_ENABLED</t>
        </is>
      </c>
      <c r="C225" s="0" t="inlineStr">
        <is>
          <t>False</t>
        </is>
      </c>
      <c r="D225" s="83" t="inlineStr">
        <is>
          <t>Vector Golden Rule filter enabled. | Live read: `C_MOMENTUM_BOTA_SCORER_FILTER_TF', 'DC_MOMENT_STRONG_THRESHOLD', 'DELTA_ENGINE_F`</t>
        </is>
      </c>
      <c r="E225" s="83" t="inlineStr">
        <is>
          <t>GLOBAL_CHECK</t>
        </is>
      </c>
      <c r="F225" s="83" t="inlineStr">
        <is>
          <t>GLOBAL_CHECK</t>
        </is>
      </c>
      <c r="G225" s="83" t="inlineStr">
        <is>
          <t>GR_FILTER_VEC_ENABLED</t>
        </is>
      </c>
      <c r="H225" s="83" t="inlineStr">
        <is>
          <t>GENERAL</t>
        </is>
      </c>
      <c r="I225" s="83" t="inlineStr">
        <is>
          <t>LIVE — wired</t>
        </is>
      </c>
      <c r="J225" s="84"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3" t="n">
        <v>56</v>
      </c>
      <c r="B226" s="83" t="inlineStr">
        <is>
          <t>GR_FILTER_VEC_ENABLED</t>
        </is>
      </c>
      <c r="C226" s="0" t="inlineStr">
        <is>
          <t>True</t>
        </is>
      </c>
      <c r="D226" s="83" t="inlineStr">
        <is>
          <t>Vector Golden Rule filter enabled. | Live read: `C_MOMENTUM_BOTA_SCORER_FILTER_TF', 'DC_MOMENT_STRONG_THRESHOLD', 'DELTA_ENGINE_F`</t>
        </is>
      </c>
      <c r="E226" s="83" t="inlineStr">
        <is>
          <t>GLOBAL_CHECK</t>
        </is>
      </c>
      <c r="F226" s="83" t="inlineStr">
        <is>
          <t>GLOBAL_CHECK</t>
        </is>
      </c>
      <c r="G226" s="83" t="inlineStr">
        <is>
          <t>GR_FILTER_VEC_ENABLED</t>
        </is>
      </c>
      <c r="H226" s="83" t="inlineStr">
        <is>
          <t>GENERAL</t>
        </is>
      </c>
      <c r="I226" s="83" t="inlineStr">
        <is>
          <t>LIVE — wired</t>
        </is>
      </c>
      <c r="J226" s="84"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4" t="n">
        <v>57</v>
      </c>
      <c r="B227" s="94"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3" t="n">
        <v>58</v>
      </c>
      <c r="B232" s="93" t="inlineStr">
        <is>
          <t>GR_FILTER_VEC_MIN_TFS</t>
        </is>
      </c>
      <c r="C232" s="0" t="inlineStr">
        <is>
          <t>0</t>
        </is>
      </c>
      <c r="D232" s="83" t="inlineStr">
        <is>
          <t>Threshold/gate: GR_FILTER_VEC_MIN_TFS — _THRESHOLD', 'DELTA_ENGINE_FILTER_TF', 'DELTA_GATE_DIRECTION_FAVORABLE', 'DELTA_HTF_GATE', 'DELTA_LT_HTF_GATE', 'DELTA_O | ex: `_THRESHOLD', 'DELTA_ENGINE_FILTER_TF', 'DELTA_GATE_DIRECTION_FAVORABLE', 'DELTA_`</t>
        </is>
      </c>
      <c r="E232" s="83" t="inlineStr">
        <is>
          <t>GLOBAL_CHECK</t>
        </is>
      </c>
      <c r="F232" s="83" t="inlineStr">
        <is>
          <t>GLOBAL_CHECK</t>
        </is>
      </c>
      <c r="G232" s="83" t="inlineStr">
        <is>
          <t>GR_FILTER_VEC_MIN_TFS</t>
        </is>
      </c>
      <c r="H232" s="83" t="inlineStr">
        <is>
          <t>GENERAL</t>
        </is>
      </c>
      <c r="I232" s="83" t="inlineStr">
        <is>
          <t>LIVE — wired</t>
        </is>
      </c>
      <c r="J232" s="84"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3" t="n">
        <v>58</v>
      </c>
      <c r="B233" s="83" t="inlineStr">
        <is>
          <t>GR_FILTER_VEC_MIN_TFS</t>
        </is>
      </c>
      <c r="C233" s="0" t="inlineStr">
        <is>
          <t>2</t>
        </is>
      </c>
      <c r="D233" s="83" t="inlineStr">
        <is>
          <t>Threshold/gate: GR_FILTER_VEC_MIN_TFS — _THRESHOLD', 'DELTA_ENGINE_FILTER_TF', 'DELTA_GATE_DIRECTION_FAVORABLE', 'DELTA_HTF_GATE', 'DELTA_LT_HTF_GATE', 'DELTA_O | ex: `_THRESHOLD', 'DELTA_ENGINE_FILTER_TF', 'DELTA_GATE_DIRECTION_FAVORABLE', 'DELTA_`</t>
        </is>
      </c>
      <c r="E233" s="83" t="inlineStr">
        <is>
          <t>GLOBAL_CHECK</t>
        </is>
      </c>
      <c r="F233" s="83" t="inlineStr">
        <is>
          <t>GLOBAL_CHECK</t>
        </is>
      </c>
      <c r="G233" s="83" t="inlineStr">
        <is>
          <t>GR_FILTER_VEC_MIN_TFS</t>
        </is>
      </c>
      <c r="H233" s="83" t="inlineStr">
        <is>
          <t>GENERAL</t>
        </is>
      </c>
      <c r="I233" s="83" t="inlineStr">
        <is>
          <t>LIVE — wired</t>
        </is>
      </c>
      <c r="J233" s="84"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3" t="n">
        <v>58</v>
      </c>
      <c r="B234" s="83" t="inlineStr">
        <is>
          <t>GR_FILTER_VEC_MIN_TFS</t>
        </is>
      </c>
      <c r="C234" s="0" t="inlineStr">
        <is>
          <t>1</t>
        </is>
      </c>
      <c r="D234" s="83" t="inlineStr">
        <is>
          <t>Threshold/gate: GR_FILTER_VEC_MIN_TFS — _THRESHOLD', 'DELTA_ENGINE_FILTER_TF', 'DELTA_GATE_DIRECTION_FAVORABLE', 'DELTA_HTF_GATE', 'DELTA_LT_HTF_GATE', 'DELTA_O | ex: `_THRESHOLD', 'DELTA_ENGINE_FILTER_TF', 'DELTA_GATE_DIRECTION_FAVORABLE', 'DELTA_`</t>
        </is>
      </c>
      <c r="E234" s="83" t="inlineStr">
        <is>
          <t>GLOBAL_CHECK</t>
        </is>
      </c>
      <c r="F234" s="83" t="inlineStr">
        <is>
          <t>GLOBAL_CHECK</t>
        </is>
      </c>
      <c r="G234" s="83" t="inlineStr">
        <is>
          <t>GR_FILTER_VEC_MIN_TFS</t>
        </is>
      </c>
      <c r="H234" s="83" t="inlineStr">
        <is>
          <t>GENERAL</t>
        </is>
      </c>
      <c r="I234" s="83" t="inlineStr">
        <is>
          <t>LIVE — wired</t>
        </is>
      </c>
      <c r="J234" s="84"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4" t="n">
        <v>59</v>
      </c>
      <c r="B235" s="94"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4" t="n">
        <v>60</v>
      </c>
      <c r="B240" s="94"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3" t="n">
        <v>61</v>
      </c>
      <c r="B245" s="93" t="inlineStr">
        <is>
          <t>HA_WICK_QUALITY_ENABLED</t>
        </is>
      </c>
      <c r="C245" s="0" t="inlineStr">
        <is>
          <t>False</t>
        </is>
      </c>
      <c r="D245" s="83" t="inlineStr">
        <is>
          <t>HA wick quality gate enabled (Heikin-Ashi). | Live read: `BLED', 'DC_BREAKOUT_TF', 'DELTA_ENTRY_MIN_TF', 'DELTA_EXIT_MANDATORY_REENTRY_ENA`</t>
        </is>
      </c>
      <c r="E245" s="83" t="inlineStr">
        <is>
          <t>ENTRY, GLOBAL_CHECK, STOCKS_EXIT</t>
        </is>
      </c>
      <c r="F245" s="83" t="inlineStr">
        <is>
          <t>ENTRY, GLOBAL_CHECK, STOCKS_EXIT</t>
        </is>
      </c>
      <c r="G245" s="83" t="inlineStr">
        <is>
          <t>HA_WICK_QUALITY_ENABLED</t>
        </is>
      </c>
      <c r="H245" s="83" t="inlineStr">
        <is>
          <t>GENERAL</t>
        </is>
      </c>
      <c r="I245" s="83" t="inlineStr">
        <is>
          <t>LIVE — wired</t>
        </is>
      </c>
      <c r="J245" s="84"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3" t="n">
        <v>61</v>
      </c>
      <c r="B246" s="83" t="inlineStr">
        <is>
          <t>HA_WICK_QUALITY_ENABLED</t>
        </is>
      </c>
      <c r="C246" s="0" t="inlineStr">
        <is>
          <t>True</t>
        </is>
      </c>
      <c r="D246" s="83" t="inlineStr">
        <is>
          <t>HA wick quality gate enabled (Heikin-Ashi). | Live read: `BLED', 'DC_BREAKOUT_TF', 'DELTA_ENTRY_MIN_TF', 'DELTA_EXIT_MANDATORY_REENTRY_ENA`</t>
        </is>
      </c>
      <c r="E246" s="83" t="inlineStr">
        <is>
          <t>ENTRY, GLOBAL_CHECK, STOCKS_EXIT</t>
        </is>
      </c>
      <c r="F246" s="83" t="inlineStr">
        <is>
          <t>ENTRY, GLOBAL_CHECK, STOCKS_EXIT</t>
        </is>
      </c>
      <c r="G246" s="83" t="inlineStr">
        <is>
          <t>HA_WICK_QUALITY_ENABLED</t>
        </is>
      </c>
      <c r="H246" s="83" t="inlineStr">
        <is>
          <t>GENERAL</t>
        </is>
      </c>
      <c r="I246" s="83" t="inlineStr">
        <is>
          <t>LIVE — wired</t>
        </is>
      </c>
      <c r="J246" s="84"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3" t="n">
        <v>62</v>
      </c>
      <c r="B247" s="93" t="inlineStr">
        <is>
          <t>HA_WICK_QUALITY_SCORE</t>
        </is>
      </c>
      <c r="C247" s="0" t="inlineStr">
        <is>
          <t>15</t>
        </is>
      </c>
      <c r="D247" s="83" t="inlineStr">
        <is>
          <t>Threshold/gate: HA_WICK_QUALITY_SCORE — RULE_BASE_USD', 'GOLDEN_RULE_BB_15M_ENABLED', 'GOLDEN_RULE_BB_1H_ENABLED', 'GOLDEN_RULE_BB_4H_ENABLED', 'GOLDEN_RULE_BB_ | ex: `RULE_BASE_USD', 'GOLDEN_RULE_BB_15M_ENABLED', 'GOLDEN_RULE_BB_1H_ENABLED', 'GOLD`</t>
        </is>
      </c>
      <c r="E247" s="83" t="inlineStr">
        <is>
          <t>ENTRY, GLOBAL_CHECK, STOCKS_EXIT</t>
        </is>
      </c>
      <c r="F247" s="83" t="inlineStr">
        <is>
          <t>ENTRY, GLOBAL_CHECK, STOCKS_EXIT</t>
        </is>
      </c>
      <c r="G247" s="83" t="inlineStr">
        <is>
          <t>HA_WICK_QUALITY_SCORE</t>
        </is>
      </c>
      <c r="H247" s="83" t="inlineStr">
        <is>
          <t>GENERAL</t>
        </is>
      </c>
      <c r="I247" s="83" t="inlineStr">
        <is>
          <t>LIVE — wired</t>
        </is>
      </c>
      <c r="J247" s="84"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3" t="n">
        <v>62</v>
      </c>
      <c r="B248" s="83" t="inlineStr">
        <is>
          <t>HA_WICK_QUALITY_SCORE</t>
        </is>
      </c>
      <c r="C248" s="0" t="inlineStr">
        <is>
          <t>15_ALT</t>
        </is>
      </c>
      <c r="D248" s="83" t="inlineStr">
        <is>
          <t>Threshold/gate: HA_WICK_QUALITY_SCORE — RULE_BASE_USD', 'GOLDEN_RULE_BB_15M_ENABLED', 'GOLDEN_RULE_BB_1H_ENABLED', 'GOLDEN_RULE_BB_4H_ENABLED', 'GOLDEN_RULE_BB_ | ex: `RULE_BASE_USD', 'GOLDEN_RULE_BB_15M_ENABLED', 'GOLDEN_RULE_BB_1H_ENABLED', 'GOLD`</t>
        </is>
      </c>
      <c r="E248" s="83" t="inlineStr">
        <is>
          <t>ENTRY, GLOBAL_CHECK, STOCKS_EXIT</t>
        </is>
      </c>
      <c r="F248" s="83" t="inlineStr">
        <is>
          <t>ENTRY, GLOBAL_CHECK, STOCKS_EXIT</t>
        </is>
      </c>
      <c r="G248" s="83" t="inlineStr">
        <is>
          <t>HA_WICK_QUALITY_SCORE</t>
        </is>
      </c>
      <c r="H248" s="83" t="inlineStr">
        <is>
          <t>GENERAL</t>
        </is>
      </c>
      <c r="I248" s="83" t="inlineStr">
        <is>
          <t>LIVE — wired</t>
        </is>
      </c>
      <c r="J248" s="84"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3" t="n">
        <v>63</v>
      </c>
      <c r="B249" s="93" t="inlineStr">
        <is>
          <t>HA_WICK_QUALITY_TF</t>
        </is>
      </c>
      <c r="C249" s="0" t="inlineStr">
        <is>
          <t>OFF</t>
        </is>
      </c>
      <c r="D249" s="83" t="inlineStr">
        <is>
          <t>Threshold/gate: HA_WICK_QUALITY_TF — ELTA_ENTRY_MIN_TF', 'DELTA_EXIT_MANDATORY_REENTRY_ENABLED', 'DELTA_REENTRY_FILTER_ENABLED', 'DIRECTION_FAVORABLE_REENTRY | ex: `ELTA_ENTRY_MIN_TF', 'DELTA_EXIT_MANDATORY_REENTRY_ENABLED', 'DELTA_REENTRY_FILTE`</t>
        </is>
      </c>
      <c r="E249" s="83" t="inlineStr">
        <is>
          <t>ENTRY, GLOBAL_CHECK, STOCKS_EXIT</t>
        </is>
      </c>
      <c r="F249" s="83" t="inlineStr">
        <is>
          <t>ENTRY, GLOBAL_CHECK, STOCKS_EXIT</t>
        </is>
      </c>
      <c r="G249" s="83" t="inlineStr">
        <is>
          <t>HA_WICK_QUALITY_TF</t>
        </is>
      </c>
      <c r="H249" s="83" t="inlineStr">
        <is>
          <t>GENERAL</t>
        </is>
      </c>
      <c r="I249" s="83" t="inlineStr">
        <is>
          <t>LIVE — wired</t>
        </is>
      </c>
      <c r="J249" s="84"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3" t="n">
        <v>63</v>
      </c>
      <c r="B250" s="83" t="inlineStr">
        <is>
          <t>HA_WICK_QUALITY_TF</t>
        </is>
      </c>
      <c r="C250" s="0" t="inlineStr">
        <is>
          <t>D</t>
        </is>
      </c>
      <c r="D250" s="83" t="inlineStr">
        <is>
          <t>Threshold/gate: HA_WICK_QUALITY_TF — ELTA_ENTRY_MIN_TF', 'DELTA_EXIT_MANDATORY_REENTRY_ENABLED', 'DELTA_REENTRY_FILTER_ENABLED', 'DIRECTION_FAVORABLE_REENTRY | ex: `ELTA_ENTRY_MIN_TF', 'DELTA_EXIT_MANDATORY_REENTRY_ENABLED', 'DELTA_REENTRY_FILTE`</t>
        </is>
      </c>
      <c r="E250" s="83" t="inlineStr">
        <is>
          <t>ENTRY, GLOBAL_CHECK, STOCKS_EXIT</t>
        </is>
      </c>
      <c r="F250" s="83" t="inlineStr">
        <is>
          <t>ENTRY, GLOBAL_CHECK, STOCKS_EXIT</t>
        </is>
      </c>
      <c r="G250" s="83" t="inlineStr">
        <is>
          <t>HA_WICK_QUALITY_TF</t>
        </is>
      </c>
      <c r="H250" s="83" t="inlineStr">
        <is>
          <t>GENERAL</t>
        </is>
      </c>
      <c r="I250" s="83" t="inlineStr">
        <is>
          <t>LIVE — wired</t>
        </is>
      </c>
      <c r="J250" s="84"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3" t="n">
        <v>63</v>
      </c>
      <c r="B251" s="83" t="inlineStr">
        <is>
          <t>HA_WICK_QUALITY_TF</t>
        </is>
      </c>
      <c r="C251" s="0" t="inlineStr">
        <is>
          <t>4h</t>
        </is>
      </c>
      <c r="D251" s="83" t="inlineStr">
        <is>
          <t>Threshold/gate: HA_WICK_QUALITY_TF — ELTA_ENTRY_MIN_TF', 'DELTA_EXIT_MANDATORY_REENTRY_ENABLED', 'DELTA_REENTRY_FILTER_ENABLED', 'DIRECTION_FAVORABLE_REENTRY | ex: `ELTA_ENTRY_MIN_TF', 'DELTA_EXIT_MANDATORY_REENTRY_ENABLED', 'DELTA_REENTRY_FILTE`</t>
        </is>
      </c>
      <c r="E251" s="83" t="inlineStr">
        <is>
          <t>ENTRY, GLOBAL_CHECK, STOCKS_EXIT</t>
        </is>
      </c>
      <c r="F251" s="83" t="inlineStr">
        <is>
          <t>ENTRY, GLOBAL_CHECK, STOCKS_EXIT</t>
        </is>
      </c>
      <c r="G251" s="83" t="inlineStr">
        <is>
          <t>HA_WICK_QUALITY_TF</t>
        </is>
      </c>
      <c r="H251" s="83" t="inlineStr">
        <is>
          <t>GENERAL</t>
        </is>
      </c>
      <c r="I251" s="83" t="inlineStr">
        <is>
          <t>LIVE — wired</t>
        </is>
      </c>
      <c r="J251" s="84"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3" t="n">
        <v>63</v>
      </c>
      <c r="B252" s="83" t="inlineStr">
        <is>
          <t>HA_WICK_QUALITY_TF</t>
        </is>
      </c>
      <c r="C252" s="0" t="inlineStr">
        <is>
          <t>1h</t>
        </is>
      </c>
      <c r="D252" s="83" t="inlineStr">
        <is>
          <t>Threshold/gate: HA_WICK_QUALITY_TF — ELTA_ENTRY_MIN_TF', 'DELTA_EXIT_MANDATORY_REENTRY_ENABLED', 'DELTA_REENTRY_FILTER_ENABLED', 'DIRECTION_FAVORABLE_REENTRY | ex: `ELTA_ENTRY_MIN_TF', 'DELTA_EXIT_MANDATORY_REENTRY_ENABLED', 'DELTA_REENTRY_FILTE`</t>
        </is>
      </c>
      <c r="E252" s="83" t="inlineStr">
        <is>
          <t>ENTRY, GLOBAL_CHECK, STOCKS_EXIT</t>
        </is>
      </c>
      <c r="F252" s="83" t="inlineStr">
        <is>
          <t>ENTRY, GLOBAL_CHECK, STOCKS_EXIT</t>
        </is>
      </c>
      <c r="G252" s="83" t="inlineStr">
        <is>
          <t>HA_WICK_QUALITY_TF</t>
        </is>
      </c>
      <c r="H252" s="83" t="inlineStr">
        <is>
          <t>GENERAL</t>
        </is>
      </c>
      <c r="I252" s="83" t="inlineStr">
        <is>
          <t>LIVE — wired</t>
        </is>
      </c>
      <c r="J252" s="84"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3" t="n">
        <v>63</v>
      </c>
      <c r="B253" s="83" t="inlineStr">
        <is>
          <t>HA_WICK_QUALITY_TF</t>
        </is>
      </c>
      <c r="C253" s="0" t="inlineStr">
        <is>
          <t>15m</t>
        </is>
      </c>
      <c r="D253" s="83" t="inlineStr">
        <is>
          <t>Threshold/gate: HA_WICK_QUALITY_TF — ELTA_ENTRY_MIN_TF', 'DELTA_EXIT_MANDATORY_REENTRY_ENABLED', 'DELTA_REENTRY_FILTER_ENABLED', 'DIRECTION_FAVORABLE_REENTRY | ex: `ELTA_ENTRY_MIN_TF', 'DELTA_EXIT_MANDATORY_REENTRY_ENABLED', 'DELTA_REENTRY_FILTE`</t>
        </is>
      </c>
      <c r="E253" s="83" t="inlineStr">
        <is>
          <t>ENTRY, GLOBAL_CHECK, STOCKS_EXIT</t>
        </is>
      </c>
      <c r="F253" s="83" t="inlineStr">
        <is>
          <t>ENTRY, GLOBAL_CHECK, STOCKS_EXIT</t>
        </is>
      </c>
      <c r="G253" s="83" t="inlineStr">
        <is>
          <t>HA_WICK_QUALITY_TF</t>
        </is>
      </c>
      <c r="H253" s="83" t="inlineStr">
        <is>
          <t>GENERAL</t>
        </is>
      </c>
      <c r="I253" s="83" t="inlineStr">
        <is>
          <t>LIVE — wired</t>
        </is>
      </c>
      <c r="J253" s="84"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3" t="n">
        <v>64</v>
      </c>
      <c r="B254" s="93" t="inlineStr">
        <is>
          <t>HLR_SMA_BAND_PCT</t>
        </is>
      </c>
      <c r="C254" s="0" t="inlineStr">
        <is>
          <t>0</t>
        </is>
      </c>
      <c r="D254" s="83" t="inlineStr">
        <is>
          <t>HLR band pct around SMA. | Live read: `'HLR_REENTRY_MULT_1H', 'HLR_REENTRY_MULT_4H', 'HLR_REENTRY_MULT_D', 'HLR_REENTRY`</t>
        </is>
      </c>
      <c r="E254" s="83" t="inlineStr">
        <is>
          <t>ENTRY, GLOBAL_CHECK, STOCKS_EXIT</t>
        </is>
      </c>
      <c r="F254" s="83" t="inlineStr">
        <is>
          <t>ENTRY, GLOBAL_CHECK, STOCKS_EXIT</t>
        </is>
      </c>
      <c r="G254" s="83" t="inlineStr">
        <is>
          <t>HLR_SMA_BAND_PCT</t>
        </is>
      </c>
      <c r="H254" s="83" t="inlineStr">
        <is>
          <t>GENERAL</t>
        </is>
      </c>
      <c r="I254" s="83" t="inlineStr">
        <is>
          <t>LIVE — wired</t>
        </is>
      </c>
      <c r="J254" s="84"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3" t="n">
        <v>64</v>
      </c>
      <c r="B255" s="83" t="inlineStr">
        <is>
          <t>HLR_SMA_BAND_PCT</t>
        </is>
      </c>
      <c r="C255" s="0" t="inlineStr">
        <is>
          <t>2.0</t>
        </is>
      </c>
      <c r="D255" s="83" t="inlineStr">
        <is>
          <t>HLR band pct around SMA. | Live read: `'HLR_REENTRY_MULT_1H', 'HLR_REENTRY_MULT_4H', 'HLR_REENTRY_MULT_D', 'HLR_REENTRY`</t>
        </is>
      </c>
      <c r="E255" s="83" t="inlineStr">
        <is>
          <t>ENTRY, GLOBAL_CHECK, STOCKS_EXIT</t>
        </is>
      </c>
      <c r="F255" s="83" t="inlineStr">
        <is>
          <t>ENTRY, GLOBAL_CHECK, STOCKS_EXIT</t>
        </is>
      </c>
      <c r="G255" s="83" t="inlineStr">
        <is>
          <t>HLR_SMA_BAND_PCT</t>
        </is>
      </c>
      <c r="H255" s="83" t="inlineStr">
        <is>
          <t>GENERAL</t>
        </is>
      </c>
      <c r="I255" s="83" t="inlineStr">
        <is>
          <t>LIVE — wired</t>
        </is>
      </c>
      <c r="J255" s="84"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3" t="n">
        <v>64</v>
      </c>
      <c r="B256" s="83" t="inlineStr">
        <is>
          <t>HLR_SMA_BAND_PCT</t>
        </is>
      </c>
      <c r="C256" s="0" t="inlineStr">
        <is>
          <t>1.0</t>
        </is>
      </c>
      <c r="D256" s="83" t="inlineStr">
        <is>
          <t>HLR band pct around SMA. | Live read: `'HLR_REENTRY_MULT_1H', 'HLR_REENTRY_MULT_4H', 'HLR_REENTRY_MULT_D', 'HLR_REENTRY`</t>
        </is>
      </c>
      <c r="E256" s="83" t="inlineStr">
        <is>
          <t>ENTRY, GLOBAL_CHECK, STOCKS_EXIT</t>
        </is>
      </c>
      <c r="F256" s="83" t="inlineStr">
        <is>
          <t>ENTRY, GLOBAL_CHECK, STOCKS_EXIT</t>
        </is>
      </c>
      <c r="G256" s="83" t="inlineStr">
        <is>
          <t>HLR_SMA_BAND_PCT</t>
        </is>
      </c>
      <c r="H256" s="83" t="inlineStr">
        <is>
          <t>GENERAL</t>
        </is>
      </c>
      <c r="I256" s="83" t="inlineStr">
        <is>
          <t>LIVE — wired</t>
        </is>
      </c>
      <c r="J256" s="84"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3" t="n">
        <v>64</v>
      </c>
      <c r="B257" s="83" t="inlineStr">
        <is>
          <t>HLR_SMA_BAND_PCT</t>
        </is>
      </c>
      <c r="C257" s="0" t="inlineStr">
        <is>
          <t>0.5</t>
        </is>
      </c>
      <c r="D257" s="83" t="inlineStr">
        <is>
          <t>HLR band pct around SMA. | Live read: `'HLR_REENTRY_MULT_1H', 'HLR_REENTRY_MULT_4H', 'HLR_REENTRY_MULT_D', 'HLR_REENTRY`</t>
        </is>
      </c>
      <c r="E257" s="83" t="inlineStr">
        <is>
          <t>ENTRY, GLOBAL_CHECK, STOCKS_EXIT</t>
        </is>
      </c>
      <c r="F257" s="83" t="inlineStr">
        <is>
          <t>ENTRY, GLOBAL_CHECK, STOCKS_EXIT</t>
        </is>
      </c>
      <c r="G257" s="83" t="inlineStr">
        <is>
          <t>HLR_SMA_BAND_PCT</t>
        </is>
      </c>
      <c r="H257" s="83" t="inlineStr">
        <is>
          <t>GENERAL</t>
        </is>
      </c>
      <c r="I257" s="83" t="inlineStr">
        <is>
          <t>LIVE — wired</t>
        </is>
      </c>
      <c r="J257" s="84"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3" t="n">
        <v>65</v>
      </c>
      <c r="B258" s="93" t="inlineStr">
        <is>
          <t>HLR_TOP_MIN_TFS</t>
        </is>
      </c>
      <c r="C258" s="0" t="inlineStr">
        <is>
          <t>0</t>
        </is>
      </c>
      <c r="D258" s="83" t="inlineStr">
        <is>
          <t>Min TFs for HLR top confirmation. | Live read: `'HLR_TOP_EXIT_ENABLED', 'HLR_TOP_MIN_GAIN_PCT', 'HLR_TOP_MIN_TFS', 'HLR_TOP_VEL_`</t>
        </is>
      </c>
      <c r="E258" s="83" t="inlineStr">
        <is>
          <t>GLOBAL_CHECK, REENTRY, STOCKS_EXIT</t>
        </is>
      </c>
      <c r="F258" s="83" t="inlineStr">
        <is>
          <t>GLOBAL_CHECK, REENTRY, STOCKS_EXIT</t>
        </is>
      </c>
      <c r="G258" s="83" t="inlineStr">
        <is>
          <t>HLR_TOP_MIN_TFS</t>
        </is>
      </c>
      <c r="H258" s="83" t="inlineStr">
        <is>
          <t>GENERAL</t>
        </is>
      </c>
      <c r="I258" s="83" t="inlineStr">
        <is>
          <t>LIVE — wired</t>
        </is>
      </c>
      <c r="J258" s="84"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3" t="n">
        <v>65</v>
      </c>
      <c r="B259" s="83" t="inlineStr">
        <is>
          <t>HLR_TOP_MIN_TFS</t>
        </is>
      </c>
      <c r="C259" s="0" t="inlineStr">
        <is>
          <t>2</t>
        </is>
      </c>
      <c r="D259" s="83" t="inlineStr">
        <is>
          <t>Min TFs for HLR top confirmation. | Live read: `'HLR_TOP_EXIT_ENABLED', 'HLR_TOP_MIN_GAIN_PCT', 'HLR_TOP_MIN_TFS', 'HLR_TOP_VEL_`</t>
        </is>
      </c>
      <c r="E259" s="83" t="inlineStr">
        <is>
          <t>GLOBAL_CHECK, REENTRY, STOCKS_EXIT</t>
        </is>
      </c>
      <c r="F259" s="83" t="inlineStr">
        <is>
          <t>GLOBAL_CHECK, REENTRY, STOCKS_EXIT</t>
        </is>
      </c>
      <c r="G259" s="83" t="inlineStr">
        <is>
          <t>HLR_TOP_MIN_TFS</t>
        </is>
      </c>
      <c r="H259" s="83" t="inlineStr">
        <is>
          <t>GENERAL</t>
        </is>
      </c>
      <c r="I259" s="83" t="inlineStr">
        <is>
          <t>LIVE — wired</t>
        </is>
      </c>
      <c r="J259" s="84"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3" t="n">
        <v>65</v>
      </c>
      <c r="B260" s="83" t="inlineStr">
        <is>
          <t>HLR_TOP_MIN_TFS</t>
        </is>
      </c>
      <c r="C260" s="0" t="inlineStr">
        <is>
          <t>1</t>
        </is>
      </c>
      <c r="D260" s="83" t="inlineStr">
        <is>
          <t>Min TFs for HLR top confirmation. | Live read: `'HLR_TOP_EXIT_ENABLED', 'HLR_TOP_MIN_GAIN_PCT', 'HLR_TOP_MIN_TFS', 'HLR_TOP_VEL_`</t>
        </is>
      </c>
      <c r="E260" s="83" t="inlineStr">
        <is>
          <t>GLOBAL_CHECK, REENTRY, STOCKS_EXIT</t>
        </is>
      </c>
      <c r="F260" s="83" t="inlineStr">
        <is>
          <t>GLOBAL_CHECK, REENTRY, STOCKS_EXIT</t>
        </is>
      </c>
      <c r="G260" s="83" t="inlineStr">
        <is>
          <t>HLR_TOP_MIN_TFS</t>
        </is>
      </c>
      <c r="H260" s="83" t="inlineStr">
        <is>
          <t>GENERAL</t>
        </is>
      </c>
      <c r="I260" s="83" t="inlineStr">
        <is>
          <t>LIVE — wired</t>
        </is>
      </c>
      <c r="J260" s="84"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3" t="n">
        <v>66</v>
      </c>
      <c r="B261" s="93" t="inlineStr">
        <is>
          <t>HTF4_CONF</t>
        </is>
      </c>
      <c r="C261" s="0" t="inlineStr">
        <is>
          <t>False</t>
        </is>
      </c>
      <c r="D261" s="83" t="inlineStr">
        <is>
          <t>HTF 4h confirmation threshold. | Live read: `ILTER_TF', 'EMA_9_21_FILTER_FILTER_TF', 'EMA_9_21_FILTER_MIN_TFS', 'EMA_BLANKET_`</t>
        </is>
      </c>
      <c r="E261" s="83" t="inlineStr">
        <is>
          <t>GLOBAL_CHECK, STOCKS_EXIT</t>
        </is>
      </c>
      <c r="F261" s="83" t="inlineStr">
        <is>
          <t>GLOBAL_CHECK, STOCKS_EXIT</t>
        </is>
      </c>
      <c r="G261" s="83" t="inlineStr">
        <is>
          <t>HTF4_CONF</t>
        </is>
      </c>
      <c r="H261" s="83" t="inlineStr">
        <is>
          <t>GENERAL — uniform</t>
        </is>
      </c>
      <c r="I261" s="83" t="inlineStr">
        <is>
          <t>LIVE — wired</t>
        </is>
      </c>
      <c r="J261" s="84"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3" t="n">
        <v>66</v>
      </c>
      <c r="B262" s="83" t="inlineStr">
        <is>
          <t>HTF4_CONF</t>
        </is>
      </c>
      <c r="C262" s="0" t="inlineStr">
        <is>
          <t>False_ALT</t>
        </is>
      </c>
      <c r="D262" s="83" t="inlineStr">
        <is>
          <t>HTF 4h confirmation threshold. | Live read: `ILTER_TF', 'EMA_9_21_FILTER_FILTER_TF', 'EMA_9_21_FILTER_MIN_TFS', 'EMA_BLANKET_`</t>
        </is>
      </c>
      <c r="E262" s="83" t="inlineStr">
        <is>
          <t>GLOBAL_CHECK, STOCKS_EXIT</t>
        </is>
      </c>
      <c r="F262" s="83" t="inlineStr">
        <is>
          <t>GLOBAL_CHECK, STOCKS_EXIT</t>
        </is>
      </c>
      <c r="G262" s="83" t="inlineStr">
        <is>
          <t>HTF4_CONF</t>
        </is>
      </c>
      <c r="H262" s="83" t="inlineStr">
        <is>
          <t>GENERAL — uniform</t>
        </is>
      </c>
      <c r="I262" s="83" t="inlineStr">
        <is>
          <t>LIVE — wired</t>
        </is>
      </c>
      <c r="J262" s="84"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3" t="n">
        <v>67</v>
      </c>
      <c r="B263" s="93" t="inlineStr">
        <is>
          <t>HTF_DIRECTION_GATE_ENABLED</t>
        </is>
      </c>
      <c r="C263" s="0" t="inlineStr">
        <is>
          <t>False</t>
        </is>
      </c>
      <c r="D263" s="83" t="inlineStr">
        <is>
          <t>HTF direction gate (requires HTF trend alignment). | Live read: `NABLED', 'GOLDEN_RULE_BB_D_ENABLED', 'GOLDEN_RULE_BB_W_ENABLED', 'GOLDEN_RULE_DC`</t>
        </is>
      </c>
      <c r="E263" s="83" t="inlineStr">
        <is>
          <t>ENTRY, GLOBAL_CHECK, STOCKS_EXIT</t>
        </is>
      </c>
      <c r="F263" s="83" t="inlineStr">
        <is>
          <t>ENTRY, GLOBAL_CHECK, STOCKS_EXIT</t>
        </is>
      </c>
      <c r="G263" s="83" t="inlineStr">
        <is>
          <t>HTF direction</t>
        </is>
      </c>
      <c r="H263" s="83" t="inlineStr">
        <is>
          <t>GENERAL — uniform</t>
        </is>
      </c>
      <c r="I263" s="83" t="inlineStr">
        <is>
          <t>LIVE — wired</t>
        </is>
      </c>
      <c r="J263" s="84"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3" t="n">
        <v>67</v>
      </c>
      <c r="B264" s="83" t="inlineStr">
        <is>
          <t>HTF_DIRECTION_GATE_ENABLED</t>
        </is>
      </c>
      <c r="C264" s="0" t="inlineStr">
        <is>
          <t>True</t>
        </is>
      </c>
      <c r="D264" s="83" t="inlineStr">
        <is>
          <t>HTF direction gate (requires HTF trend alignment). | Live read: `NABLED', 'GOLDEN_RULE_BB_D_ENABLED', 'GOLDEN_RULE_BB_W_ENABLED', 'GOLDEN_RULE_DC`</t>
        </is>
      </c>
      <c r="E264" s="83" t="inlineStr">
        <is>
          <t>ENTRY, GLOBAL_CHECK, STOCKS_EXIT</t>
        </is>
      </c>
      <c r="F264" s="83" t="inlineStr">
        <is>
          <t>ENTRY, GLOBAL_CHECK, STOCKS_EXIT</t>
        </is>
      </c>
      <c r="G264" s="83" t="inlineStr">
        <is>
          <t>HTF direction</t>
        </is>
      </c>
      <c r="H264" s="83" t="inlineStr">
        <is>
          <t>GENERAL — uniform</t>
        </is>
      </c>
      <c r="I264" s="83" t="inlineStr">
        <is>
          <t>LIVE — wired</t>
        </is>
      </c>
      <c r="J264" s="84"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3" t="n">
        <v>68</v>
      </c>
      <c r="B265" s="93" t="inlineStr">
        <is>
          <t>HTF_GATE_BYPASS_RZ</t>
        </is>
      </c>
      <c r="C265" s="0" t="inlineStr">
        <is>
          <t>0.0</t>
        </is>
      </c>
      <c r="D265" s="83" t="inlineStr">
        <is>
          <t>Threshold/gate: HTF_GATE_BYPASS_RZ — NABLED', 'GOLDEN_RULE_DC_15M_ENABLED', 'GOLDEN_RULE_DC_1H_ENABLED', 'GOLDEN_RULE_DC_4H_ENABLED', 'GOLDEN_RULE_DC_D_ENABL | ex: `NABLED', 'GOLDEN_RULE_DC_15M_ENABLED', 'GOLDEN_RULE_DC_1H_ENABLED', 'GOLDEN_RULE`</t>
        </is>
      </c>
      <c r="E265" s="83" t="inlineStr">
        <is>
          <t>ENTRY, GLOBAL_CHECK, STOCKS_EXIT</t>
        </is>
      </c>
      <c r="F265" s="83" t="inlineStr">
        <is>
          <t>ENTRY, GLOBAL_CHECK, STOCKS_EXIT</t>
        </is>
      </c>
      <c r="G265" s="83" t="inlineStr">
        <is>
          <t>HTF_GATE_BYPASS_RZ</t>
        </is>
      </c>
      <c r="H265" s="83" t="inlineStr">
        <is>
          <t>GENERAL — uniform</t>
        </is>
      </c>
      <c r="I265" s="83" t="inlineStr">
        <is>
          <t>LIVE — wired</t>
        </is>
      </c>
      <c r="J265" s="84"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3" t="n">
        <v>68</v>
      </c>
      <c r="B266" s="83" t="inlineStr">
        <is>
          <t>HTF_GATE_BYPASS_RZ</t>
        </is>
      </c>
      <c r="C266" s="0" t="inlineStr">
        <is>
          <t>0.0_ALT</t>
        </is>
      </c>
      <c r="D266" s="83" t="inlineStr">
        <is>
          <t>Threshold/gate: HTF_GATE_BYPASS_RZ — NABLED', 'GOLDEN_RULE_DC_15M_ENABLED', 'GOLDEN_RULE_DC_1H_ENABLED', 'GOLDEN_RULE_DC_4H_ENABLED', 'GOLDEN_RULE_DC_D_ENABL | ex: `NABLED', 'GOLDEN_RULE_DC_15M_ENABLED', 'GOLDEN_RULE_DC_1H_ENABLED', 'GOLDEN_RULE`</t>
        </is>
      </c>
      <c r="E266" s="83" t="inlineStr">
        <is>
          <t>ENTRY, GLOBAL_CHECK, STOCKS_EXIT</t>
        </is>
      </c>
      <c r="F266" s="83" t="inlineStr">
        <is>
          <t>ENTRY, GLOBAL_CHECK, STOCKS_EXIT</t>
        </is>
      </c>
      <c r="G266" s="83" t="inlineStr">
        <is>
          <t>HTF_GATE_BYPASS_RZ</t>
        </is>
      </c>
      <c r="H266" s="83" t="inlineStr">
        <is>
          <t>GENERAL — uniform</t>
        </is>
      </c>
      <c r="I266" s="83" t="inlineStr">
        <is>
          <t>LIVE — wired</t>
        </is>
      </c>
      <c r="J266" s="84"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3" t="n">
        <v>69</v>
      </c>
      <c r="B267" s="93" t="inlineStr">
        <is>
          <t>HTF_GATE_D_MANDATORY</t>
        </is>
      </c>
      <c r="C267" s="0" t="inlineStr">
        <is>
          <t>0.0</t>
        </is>
      </c>
      <c r="D267" s="83" t="inlineStr">
        <is>
          <t>Threshold/gate: HTF_GATE_D_MANDATORY — DC_15M_ENABLED', 'GOLDEN_RULE_DC_1H_ENABLED', 'GOLDEN_RULE_DC_4H_ENABLED', 'GOLDEN_RULE_DC_D_ENABLED', 'GOLDEN_RULE_DC_W | ex: `DC_15M_ENABLED', 'GOLDEN_RULE_DC_1H_ENABLED', 'GOLDEN_RULE_DC_4H_ENABLED', 'GOLD`</t>
        </is>
      </c>
      <c r="E267" s="83" t="inlineStr">
        <is>
          <t>ENTRY, GLOBAL_CHECK, STOCKS_EXIT</t>
        </is>
      </c>
      <c r="F267" s="83" t="inlineStr">
        <is>
          <t>ENTRY, GLOBAL_CHECK, STOCKS_EXIT</t>
        </is>
      </c>
      <c r="G267" s="83" t="inlineStr">
        <is>
          <t>HTF_GATE_D_MANDATORY</t>
        </is>
      </c>
      <c r="H267" s="83" t="inlineStr">
        <is>
          <t>GENERAL — uniform</t>
        </is>
      </c>
      <c r="I267" s="83" t="inlineStr">
        <is>
          <t>LIVE — wired</t>
        </is>
      </c>
      <c r="J267" s="84"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3" t="n">
        <v>69</v>
      </c>
      <c r="B268" s="83" t="inlineStr">
        <is>
          <t>HTF_GATE_D_MANDATORY</t>
        </is>
      </c>
      <c r="C268" s="0" t="inlineStr">
        <is>
          <t>0.0_ALT</t>
        </is>
      </c>
      <c r="D268" s="83" t="inlineStr">
        <is>
          <t>Threshold/gate: HTF_GATE_D_MANDATORY — DC_15M_ENABLED', 'GOLDEN_RULE_DC_1H_ENABLED', 'GOLDEN_RULE_DC_4H_ENABLED', 'GOLDEN_RULE_DC_D_ENABLED', 'GOLDEN_RULE_DC_W | ex: `DC_15M_ENABLED', 'GOLDEN_RULE_DC_1H_ENABLED', 'GOLDEN_RULE_DC_4H_ENABLED', 'GOLD`</t>
        </is>
      </c>
      <c r="E268" s="83" t="inlineStr">
        <is>
          <t>ENTRY, GLOBAL_CHECK, STOCKS_EXIT</t>
        </is>
      </c>
      <c r="F268" s="83" t="inlineStr">
        <is>
          <t>ENTRY, GLOBAL_CHECK, STOCKS_EXIT</t>
        </is>
      </c>
      <c r="G268" s="83" t="inlineStr">
        <is>
          <t>HTF_GATE_D_MANDATORY</t>
        </is>
      </c>
      <c r="H268" s="83" t="inlineStr">
        <is>
          <t>GENERAL — uniform</t>
        </is>
      </c>
      <c r="I268" s="83" t="inlineStr">
        <is>
          <t>LIVE — wired</t>
        </is>
      </c>
      <c r="J268" s="84"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3" t="n">
        <v>70</v>
      </c>
      <c r="B269" s="93" t="inlineStr">
        <is>
          <t>HTF_GATE_MIN_CONFIRMATIONS</t>
        </is>
      </c>
      <c r="C269" s="0" t="inlineStr">
        <is>
          <t>0.0</t>
        </is>
      </c>
      <c r="D269" s="83" t="inlineStr">
        <is>
          <t>Threshold/gate: HTF_GATE_MIN_CONFIRMATIONS — _RULE_DC_1H_ENABLED', 'GOLDEN_RULE_DC_4H_ENABLED', 'GOLDEN_RULE_DC_D_ENABLED', 'GOLDEN_RULE_DC_W_ENABLED', 'GOLDEN_RULE_ | ex: `_RULE_DC_1H_ENABLED', 'GOLDEN_RULE_DC_4H_ENABLED', 'GOLDEN_RULE_DC_D_ENABLED', '`</t>
        </is>
      </c>
      <c r="E269" s="83" t="inlineStr">
        <is>
          <t>ENTRY, GLOBAL_CHECK, STOCKS_EXIT</t>
        </is>
      </c>
      <c r="F269" s="83" t="inlineStr">
        <is>
          <t>ENTRY, GLOBAL_CHECK, STOCKS_EXIT</t>
        </is>
      </c>
      <c r="G269" s="83" t="inlineStr">
        <is>
          <t>HTF_GATE_MIN_CONFIRMATIONS</t>
        </is>
      </c>
      <c r="H269" s="83" t="inlineStr">
        <is>
          <t>GENERAL — uniform</t>
        </is>
      </c>
      <c r="I269" s="83" t="inlineStr">
        <is>
          <t>LIVE — wired</t>
        </is>
      </c>
      <c r="J269" s="84"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3" t="n">
        <v>70</v>
      </c>
      <c r="B270" s="83" t="inlineStr">
        <is>
          <t>HTF_GATE_MIN_CONFIRMATIONS</t>
        </is>
      </c>
      <c r="C270" s="0" t="inlineStr">
        <is>
          <t>0.0_ALT</t>
        </is>
      </c>
      <c r="D270" s="83" t="inlineStr">
        <is>
          <t>Threshold/gate: HTF_GATE_MIN_CONFIRMATIONS — _RULE_DC_1H_ENABLED', 'GOLDEN_RULE_DC_4H_ENABLED', 'GOLDEN_RULE_DC_D_ENABLED', 'GOLDEN_RULE_DC_W_ENABLED', 'GOLDEN_RULE_ | ex: `_RULE_DC_1H_ENABLED', 'GOLDEN_RULE_DC_4H_ENABLED', 'GOLDEN_RULE_DC_D_ENABLED', '`</t>
        </is>
      </c>
      <c r="E270" s="83" t="inlineStr">
        <is>
          <t>ENTRY, GLOBAL_CHECK, STOCKS_EXIT</t>
        </is>
      </c>
      <c r="F270" s="83" t="inlineStr">
        <is>
          <t>ENTRY, GLOBAL_CHECK, STOCKS_EXIT</t>
        </is>
      </c>
      <c r="G270" s="83" t="inlineStr">
        <is>
          <t>HTF_GATE_MIN_CONFIRMATIONS</t>
        </is>
      </c>
      <c r="H270" s="83" t="inlineStr">
        <is>
          <t>GENERAL — uniform</t>
        </is>
      </c>
      <c r="I270" s="83" t="inlineStr">
        <is>
          <t>LIVE — wired</t>
        </is>
      </c>
      <c r="J270" s="84"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3" t="n">
        <v>71</v>
      </c>
      <c r="B271" s="93" t="inlineStr">
        <is>
          <t>HTF_TREND_VETO_BYPASS_ENABLED</t>
        </is>
      </c>
      <c r="C271" s="0" t="inlineStr">
        <is>
          <t>False</t>
        </is>
      </c>
      <c r="D271" s="83" t="inlineStr">
        <is>
          <t>Threshold/gate: HTF_TREND_VETO_BYPASS_ENABLED — TF', 'FG_FEAR_THRESHOLD', 'FG_GREED_THRESHOLD', 'FH_MOMENTUM_FILTER_TF', 'FUNDING_GATE_FILTER_TF', 'FUNDING_GATE_MIN_TFS | ex: `TF', 'FG_FEAR_THRESHOLD', 'FG_GREED_THRESHOLD', 'FH_MOMENTUM_FILTER_TF', 'FUNDIN`</t>
        </is>
      </c>
      <c r="E271" s="83" t="inlineStr">
        <is>
          <t>GLOBAL_CHECK, STOCKS_EXIT</t>
        </is>
      </c>
      <c r="F271" s="83" t="inlineStr">
        <is>
          <t>GLOBAL_CHECK, STOCKS_EXIT</t>
        </is>
      </c>
      <c r="G271" s="83" t="inlineStr">
        <is>
          <t>HTF_TREND_VETO_BYPASS_ENABLED</t>
        </is>
      </c>
      <c r="H271" s="83" t="inlineStr">
        <is>
          <t>GENERAL</t>
        </is>
      </c>
      <c r="I271" s="83" t="inlineStr">
        <is>
          <t>LIVE — wired</t>
        </is>
      </c>
      <c r="J271" s="84"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3" t="n">
        <v>71</v>
      </c>
      <c r="B272" s="83" t="inlineStr">
        <is>
          <t>HTF_TREND_VETO_BYPASS_ENABLED</t>
        </is>
      </c>
      <c r="C272" s="0" t="inlineStr">
        <is>
          <t>True</t>
        </is>
      </c>
      <c r="D272" s="83" t="inlineStr">
        <is>
          <t>Threshold/gate: HTF_TREND_VETO_BYPASS_ENABLED — TF', 'FG_FEAR_THRESHOLD', 'FG_GREED_THRESHOLD', 'FH_MOMENTUM_FILTER_TF', 'FUNDING_GATE_FILTER_TF', 'FUNDING_GATE_MIN_TFS | ex: `TF', 'FG_FEAR_THRESHOLD', 'FG_GREED_THRESHOLD', 'FH_MOMENTUM_FILTER_TF', 'FUNDIN`</t>
        </is>
      </c>
      <c r="E272" s="83" t="inlineStr">
        <is>
          <t>GLOBAL_CHECK, STOCKS_EXIT</t>
        </is>
      </c>
      <c r="F272" s="83" t="inlineStr">
        <is>
          <t>GLOBAL_CHECK, STOCKS_EXIT</t>
        </is>
      </c>
      <c r="G272" s="83" t="inlineStr">
        <is>
          <t>HTF_TREND_VETO_BYPASS_ENABLED</t>
        </is>
      </c>
      <c r="H272" s="83" t="inlineStr">
        <is>
          <t>GENERAL</t>
        </is>
      </c>
      <c r="I272" s="83" t="inlineStr">
        <is>
          <t>LIVE — wired</t>
        </is>
      </c>
      <c r="J272" s="84"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3" t="n">
        <v>72</v>
      </c>
      <c r="B273" s="93" t="inlineStr">
        <is>
          <t>HTF_TREND_VETO_BYPASS_REASONS</t>
        </is>
      </c>
      <c r="C273" s="0" t="inlineStr">
        <is>
          <t>0.0</t>
        </is>
      </c>
      <c r="D273" s="83" t="inlineStr">
        <is>
          <t>Threshold/gate: HTF_TREND_VETO_BYPASS_REASONS — ED_THRESHOLD', 'FH_MOMENTUM_FILTER_TF', 'FUNDING_GATE_FILTER_TF', 'FUNDING_GATE_MIN_TFS', 'GOLDEN_RULE_ENFORCE_FILTER_TF | ex: `ED_THRESHOLD', 'FH_MOMENTUM_FILTER_TF', 'FUNDING_GATE_FILTER_TF', 'FUNDING_GATE_`</t>
        </is>
      </c>
      <c r="E273" s="83" t="inlineStr">
        <is>
          <t>GLOBAL_CHECK, STOCKS_EXIT</t>
        </is>
      </c>
      <c r="F273" s="83" t="inlineStr">
        <is>
          <t>GLOBAL_CHECK, STOCKS_EXIT</t>
        </is>
      </c>
      <c r="G273" s="83" t="inlineStr">
        <is>
          <t>HTF_TREND_VETO_BYPASS_REASONS</t>
        </is>
      </c>
      <c r="H273" s="83" t="inlineStr">
        <is>
          <t>GENERAL</t>
        </is>
      </c>
      <c r="I273" s="83" t="inlineStr">
        <is>
          <t>LIVE — wired</t>
        </is>
      </c>
      <c r="J273" s="84"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3" t="n">
        <v>72</v>
      </c>
      <c r="B274" s="83" t="inlineStr">
        <is>
          <t>HTF_TREND_VETO_BYPASS_REASONS</t>
        </is>
      </c>
      <c r="C274" s="0" t="inlineStr">
        <is>
          <t>0.0_ALT</t>
        </is>
      </c>
      <c r="D274" s="83" t="inlineStr">
        <is>
          <t>Threshold/gate: HTF_TREND_VETO_BYPASS_REASONS — ED_THRESHOLD', 'FH_MOMENTUM_FILTER_TF', 'FUNDING_GATE_FILTER_TF', 'FUNDING_GATE_MIN_TFS', 'GOLDEN_RULE_ENFORCE_FILTER_TF | ex: `ED_THRESHOLD', 'FH_MOMENTUM_FILTER_TF', 'FUNDING_GATE_FILTER_TF', 'FUNDING_GATE_`</t>
        </is>
      </c>
      <c r="E274" s="83" t="inlineStr">
        <is>
          <t>GLOBAL_CHECK, STOCKS_EXIT</t>
        </is>
      </c>
      <c r="F274" s="83" t="inlineStr">
        <is>
          <t>GLOBAL_CHECK, STOCKS_EXIT</t>
        </is>
      </c>
      <c r="G274" s="83" t="inlineStr">
        <is>
          <t>HTF_TREND_VETO_BYPASS_REASONS</t>
        </is>
      </c>
      <c r="H274" s="83" t="inlineStr">
        <is>
          <t>GENERAL</t>
        </is>
      </c>
      <c r="I274" s="83" t="inlineStr">
        <is>
          <t>LIVE — wired</t>
        </is>
      </c>
      <c r="J274" s="84"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6" t="n">
        <v>73</v>
      </c>
      <c r="B275" s="96" t="inlineStr">
        <is>
          <t>KILLER_KNOB_FINDER_FILTER_TF</t>
        </is>
      </c>
      <c r="C275" s="0" t="inlineStr">
        <is>
          <t>OFF</t>
        </is>
      </c>
      <c r="D275" s="86" t="inlineStr">
        <is>
          <t>Dead/misnamed filter — no read in ez_manage/ez_positions_quick/tradier_manage. Appears 0x; likely legacy or typo.</t>
        </is>
      </c>
      <c r="E275" s="86" t="inlineStr">
        <is>
          <t>DEAD</t>
        </is>
      </c>
      <c r="F275" s="86" t="inlineStr">
        <is>
          <t>DEAD</t>
        </is>
      </c>
      <c r="G275" s="86" t="inlineStr">
        <is>
          <t>KILLER_KNOB_FINDER</t>
        </is>
      </c>
      <c r="H275" s="86" t="inlineStr">
        <is>
          <t>SPECIFIC — only gated switches</t>
        </is>
      </c>
      <c r="I275" s="86" t="inlineStr">
        <is>
          <t>DEAD — REMOVE</t>
        </is>
      </c>
      <c r="J275" s="87"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6" t="n">
        <v>73</v>
      </c>
      <c r="B276" s="86" t="inlineStr">
        <is>
          <t>KILLER_KNOB_FINDER_FILTER_TF</t>
        </is>
      </c>
      <c r="C276" s="0" t="inlineStr">
        <is>
          <t>D</t>
        </is>
      </c>
      <c r="D276" s="86" t="inlineStr">
        <is>
          <t>Dead/misnamed filter — no read in ez_manage/ez_positions_quick/tradier_manage. Appears 0x; likely legacy or typo.</t>
        </is>
      </c>
      <c r="E276" s="86" t="inlineStr">
        <is>
          <t>DEAD</t>
        </is>
      </c>
      <c r="F276" s="86" t="inlineStr">
        <is>
          <t>DEAD</t>
        </is>
      </c>
      <c r="G276" s="86" t="inlineStr">
        <is>
          <t>KILLER_KNOB_FINDER</t>
        </is>
      </c>
      <c r="H276" s="86" t="inlineStr">
        <is>
          <t>SPECIFIC — only gated switches</t>
        </is>
      </c>
      <c r="I276" s="86" t="inlineStr">
        <is>
          <t>DEAD — REMOVE</t>
        </is>
      </c>
      <c r="J276" s="87"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6" t="n">
        <v>73</v>
      </c>
      <c r="B277" s="86" t="inlineStr">
        <is>
          <t>KILLER_KNOB_FINDER_FILTER_TF</t>
        </is>
      </c>
      <c r="C277" s="0" t="inlineStr">
        <is>
          <t>4h</t>
        </is>
      </c>
      <c r="D277" s="86" t="inlineStr">
        <is>
          <t>Dead/misnamed filter — no read in ez_manage/ez_positions_quick/tradier_manage. Appears 0x; likely legacy or typo.</t>
        </is>
      </c>
      <c r="E277" s="86" t="inlineStr">
        <is>
          <t>DEAD</t>
        </is>
      </c>
      <c r="F277" s="86" t="inlineStr">
        <is>
          <t>DEAD</t>
        </is>
      </c>
      <c r="G277" s="86" t="inlineStr">
        <is>
          <t>KILLER_KNOB_FINDER</t>
        </is>
      </c>
      <c r="H277" s="86" t="inlineStr">
        <is>
          <t>SPECIFIC — only gated switches</t>
        </is>
      </c>
      <c r="I277" s="86" t="inlineStr">
        <is>
          <t>DEAD — REMOVE</t>
        </is>
      </c>
      <c r="J277" s="87"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6" t="n">
        <v>73</v>
      </c>
      <c r="B278" s="86" t="inlineStr">
        <is>
          <t>KILLER_KNOB_FINDER_FILTER_TF</t>
        </is>
      </c>
      <c r="C278" s="0" t="inlineStr">
        <is>
          <t>1h</t>
        </is>
      </c>
      <c r="D278" s="86" t="inlineStr">
        <is>
          <t>Dead/misnamed filter — no read in ez_manage/ez_positions_quick/tradier_manage. Appears 0x; likely legacy or typo.</t>
        </is>
      </c>
      <c r="E278" s="86" t="inlineStr">
        <is>
          <t>DEAD</t>
        </is>
      </c>
      <c r="F278" s="86" t="inlineStr">
        <is>
          <t>DEAD</t>
        </is>
      </c>
      <c r="G278" s="86" t="inlineStr">
        <is>
          <t>KILLER_KNOB_FINDER</t>
        </is>
      </c>
      <c r="H278" s="86" t="inlineStr">
        <is>
          <t>SPECIFIC — only gated switches</t>
        </is>
      </c>
      <c r="I278" s="86" t="inlineStr">
        <is>
          <t>DEAD — REMOVE</t>
        </is>
      </c>
      <c r="J278" s="87"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6" t="n">
        <v>73</v>
      </c>
      <c r="B279" s="86" t="inlineStr">
        <is>
          <t>KILLER_KNOB_FINDER_FILTER_TF</t>
        </is>
      </c>
      <c r="C279" s="0" t="inlineStr">
        <is>
          <t>15m</t>
        </is>
      </c>
      <c r="D279" s="86" t="inlineStr">
        <is>
          <t>Dead/misnamed filter — no read in ez_manage/ez_positions_quick/tradier_manage. Appears 0x; likely legacy or typo.</t>
        </is>
      </c>
      <c r="E279" s="86" t="inlineStr">
        <is>
          <t>DEAD</t>
        </is>
      </c>
      <c r="F279" s="86" t="inlineStr">
        <is>
          <t>DEAD</t>
        </is>
      </c>
      <c r="G279" s="86" t="inlineStr">
        <is>
          <t>KILLER_KNOB_FINDER</t>
        </is>
      </c>
      <c r="H279" s="86" t="inlineStr">
        <is>
          <t>SPECIFIC — only gated switches</t>
        </is>
      </c>
      <c r="I279" s="86" t="inlineStr">
        <is>
          <t>DEAD — REMOVE</t>
        </is>
      </c>
      <c r="J279" s="87"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3" t="n">
        <v>74</v>
      </c>
      <c r="B280" s="93" t="inlineStr">
        <is>
          <t>LEADERBOARD_FILTER</t>
        </is>
      </c>
      <c r="C280" s="0" t="inlineStr">
        <is>
          <t>False</t>
        </is>
      </c>
      <c r="D280" s="83" t="inlineStr">
        <is>
          <t>Leaderboard regime filter (top-N symbols). | Live read: `ILTER_TF', 'FUNDING_GATE_MIN_TFS', 'GOLDEN_RULE_ENFORCE_FILTER_TF', 'GOLDEN_RULE`</t>
        </is>
      </c>
      <c r="E280" s="83" t="inlineStr">
        <is>
          <t>AUGMENT, ENTRY, EXIT, GLOBAL_CHECK, REDUCE, STOCKS_EXIT</t>
        </is>
      </c>
      <c r="F280" s="83" t="inlineStr">
        <is>
          <t>AUGMENT, ENTRY, EXIT, GLOBAL_CHECK, REDUCE, STOCKS_EXIT</t>
        </is>
      </c>
      <c r="G280" s="83" t="inlineStr">
        <is>
          <t>Leaderboard</t>
        </is>
      </c>
      <c r="H280" s="83" t="inlineStr">
        <is>
          <t>GENERAL — uniform</t>
        </is>
      </c>
      <c r="I280" s="83" t="inlineStr">
        <is>
          <t>LIVE — wired</t>
        </is>
      </c>
      <c r="J280" s="84"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3" t="n">
        <v>74</v>
      </c>
      <c r="B281" s="83" t="inlineStr">
        <is>
          <t>LEADERBOARD_FILTER</t>
        </is>
      </c>
      <c r="C281" s="0" t="inlineStr">
        <is>
          <t>False_ALT</t>
        </is>
      </c>
      <c r="D281" s="83" t="inlineStr">
        <is>
          <t>Leaderboard regime filter (top-N symbols). | Live read: `ILTER_TF', 'FUNDING_GATE_MIN_TFS', 'GOLDEN_RULE_ENFORCE_FILTER_TF', 'GOLDEN_RULE`</t>
        </is>
      </c>
      <c r="E281" s="83" t="inlineStr">
        <is>
          <t>AUGMENT, ENTRY, EXIT, GLOBAL_CHECK, REDUCE, STOCKS_EXIT</t>
        </is>
      </c>
      <c r="F281" s="83" t="inlineStr">
        <is>
          <t>AUGMENT, ENTRY, EXIT, GLOBAL_CHECK, REDUCE, STOCKS_EXIT</t>
        </is>
      </c>
      <c r="G281" s="83" t="inlineStr">
        <is>
          <t>Leaderboard</t>
        </is>
      </c>
      <c r="H281" s="83" t="inlineStr">
        <is>
          <t>GENERAL — uniform</t>
        </is>
      </c>
      <c r="I281" s="83" t="inlineStr">
        <is>
          <t>LIVE — wired</t>
        </is>
      </c>
      <c r="J281" s="84"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3" t="n">
        <v>75</v>
      </c>
      <c r="B282" s="93" t="inlineStr">
        <is>
          <t>LH_HL_FILTER_ENABLED</t>
        </is>
      </c>
      <c r="C282" s="0" t="inlineStr">
        <is>
          <t>False</t>
        </is>
      </c>
      <c r="D282" s="83" t="inlineStr">
        <is>
          <t>Lower-high / Higher-low structure filter (SMA200D replacement). | Live read: `N_RULE_ENTRY_TF_LIST', 'GOLDEN_RULE_MULT_15M', 'GOLDEN_RULE_MULT_1H', 'GOLDEN_RU`</t>
        </is>
      </c>
      <c r="E282" s="83" t="inlineStr">
        <is>
          <t>ENTRY, GLOBAL_CHECK, STOCKS_EXIT</t>
        </is>
      </c>
      <c r="F282" s="83" t="inlineStr">
        <is>
          <t>ENTRY, GLOBAL_CHECK, STOCKS_EXIT</t>
        </is>
      </c>
      <c r="G282" s="83" t="inlineStr">
        <is>
          <t>LH/HL filter</t>
        </is>
      </c>
      <c r="H282" s="83" t="inlineStr">
        <is>
          <t>GENERAL</t>
        </is>
      </c>
      <c r="I282" s="83" t="inlineStr">
        <is>
          <t>LIVE — wired</t>
        </is>
      </c>
      <c r="J282" s="84"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3" t="n">
        <v>75</v>
      </c>
      <c r="B283" s="83" t="inlineStr">
        <is>
          <t>LH_HL_FILTER_ENABLED</t>
        </is>
      </c>
      <c r="C283" s="0" t="inlineStr">
        <is>
          <t>True</t>
        </is>
      </c>
      <c r="D283" s="83" t="inlineStr">
        <is>
          <t>Lower-high / Higher-low structure filter (SMA200D replacement). | Live read: `N_RULE_ENTRY_TF_LIST', 'GOLDEN_RULE_MULT_15M', 'GOLDEN_RULE_MULT_1H', 'GOLDEN_RU`</t>
        </is>
      </c>
      <c r="E283" s="83" t="inlineStr">
        <is>
          <t>ENTRY, GLOBAL_CHECK, STOCKS_EXIT</t>
        </is>
      </c>
      <c r="F283" s="83" t="inlineStr">
        <is>
          <t>ENTRY, GLOBAL_CHECK, STOCKS_EXIT</t>
        </is>
      </c>
      <c r="G283" s="83" t="inlineStr">
        <is>
          <t>LH/HL filter</t>
        </is>
      </c>
      <c r="H283" s="83" t="inlineStr">
        <is>
          <t>GENERAL</t>
        </is>
      </c>
      <c r="I283" s="83" t="inlineStr">
        <is>
          <t>LIVE — wired</t>
        </is>
      </c>
      <c r="J283" s="84"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3" t="n">
        <v>76</v>
      </c>
      <c r="B284" s="93" t="inlineStr">
        <is>
          <t>LH_HL_FILTER_MODE</t>
        </is>
      </c>
      <c r="C284" s="0" t="inlineStr">
        <is>
          <t>STRICT_2BAR</t>
        </is>
      </c>
      <c r="D284" s="83" t="inlineStr">
        <is>
          <t>Threshold/gate: LH_HL_FILTER_MODE — _MULT_1H', 'GOLDEN_RULE_MULT_4H', 'GOLDEN_RULE_MULT_D', 'GOLDEN_RULE_MULT_W', 'GR_FILTER_ALL_ENTRIES', 'GR_OPEN_COOLDOWN | ex: `_MULT_1H', 'GOLDEN_RULE_MULT_4H', 'GOLDEN_RULE_MULT_D', 'GOLDEN_RULE_MULT_W', 'G`</t>
        </is>
      </c>
      <c r="E284" s="83" t="inlineStr">
        <is>
          <t>ENTRY, GLOBAL_CHECK, STOCKS_EXIT</t>
        </is>
      </c>
      <c r="F284" s="83" t="inlineStr">
        <is>
          <t>ENTRY, GLOBAL_CHECK, STOCKS_EXIT</t>
        </is>
      </c>
      <c r="G284" s="83" t="inlineStr">
        <is>
          <t>LH/HL filter</t>
        </is>
      </c>
      <c r="H284" s="83" t="inlineStr">
        <is>
          <t>GENERAL</t>
        </is>
      </c>
      <c r="I284" s="83" t="inlineStr">
        <is>
          <t>LIVE — wired</t>
        </is>
      </c>
      <c r="J284" s="84"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3" t="n">
        <v>76</v>
      </c>
      <c r="B285" s="83" t="inlineStr">
        <is>
          <t>LH_HL_FILTER_MODE</t>
        </is>
      </c>
      <c r="C285" s="0" t="inlineStr">
        <is>
          <t>STRICT_2BAR_ALT</t>
        </is>
      </c>
      <c r="D285" s="83" t="inlineStr">
        <is>
          <t>Threshold/gate: LH_HL_FILTER_MODE — _MULT_1H', 'GOLDEN_RULE_MULT_4H', 'GOLDEN_RULE_MULT_D', 'GOLDEN_RULE_MULT_W', 'GR_FILTER_ALL_ENTRIES', 'GR_OPEN_COOLDOWN | ex: `_MULT_1H', 'GOLDEN_RULE_MULT_4H', 'GOLDEN_RULE_MULT_D', 'GOLDEN_RULE_MULT_W', 'G`</t>
        </is>
      </c>
      <c r="E285" s="83" t="inlineStr">
        <is>
          <t>ENTRY, GLOBAL_CHECK, STOCKS_EXIT</t>
        </is>
      </c>
      <c r="F285" s="83" t="inlineStr">
        <is>
          <t>ENTRY, GLOBAL_CHECK, STOCKS_EXIT</t>
        </is>
      </c>
      <c r="G285" s="83" t="inlineStr">
        <is>
          <t>LH/HL filter</t>
        </is>
      </c>
      <c r="H285" s="83" t="inlineStr">
        <is>
          <t>GENERAL</t>
        </is>
      </c>
      <c r="I285" s="83" t="inlineStr">
        <is>
          <t>LIVE — wired</t>
        </is>
      </c>
      <c r="J285" s="84"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3" t="n">
        <v>77</v>
      </c>
      <c r="B286" s="93" t="inlineStr">
        <is>
          <t>LH_HL_FILTER_REQUIRE_BOTH</t>
        </is>
      </c>
      <c r="C286" s="0" t="inlineStr">
        <is>
          <t>False</t>
        </is>
      </c>
      <c r="D286" s="83" t="inlineStr">
        <is>
          <t>Threshold/gate: LH_HL_FILTER_REQUIRE_BOTH — LE_MULT_4H', 'GOLDEN_RULE_MULT_D', 'GOLDEN_RULE_MULT_W', 'GR_FILTER_ALL_ENTRIES', 'GR_OPEN_COOLDOWN_S', 'GR_TOTAL_VOTE_S | ex: `LE_MULT_4H', 'GOLDEN_RULE_MULT_D', 'GOLDEN_RULE_MULT_W', 'GR_FILTER_ALL_ENTRIES'`</t>
        </is>
      </c>
      <c r="E286" s="83" t="inlineStr">
        <is>
          <t>ENTRY, GLOBAL_CHECK, STOCKS_EXIT</t>
        </is>
      </c>
      <c r="F286" s="83" t="inlineStr">
        <is>
          <t>ENTRY, GLOBAL_CHECK, STOCKS_EXIT</t>
        </is>
      </c>
      <c r="G286" s="83" t="inlineStr">
        <is>
          <t>LH/HL filter</t>
        </is>
      </c>
      <c r="H286" s="83" t="inlineStr">
        <is>
          <t>GENERAL</t>
        </is>
      </c>
      <c r="I286" s="83" t="inlineStr">
        <is>
          <t>LIVE — wired</t>
        </is>
      </c>
      <c r="J286" s="84"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3" t="n">
        <v>77</v>
      </c>
      <c r="B287" s="83" t="inlineStr">
        <is>
          <t>LH_HL_FILTER_REQUIRE_BOTH</t>
        </is>
      </c>
      <c r="C287" s="0" t="inlineStr">
        <is>
          <t>False_ALT</t>
        </is>
      </c>
      <c r="D287" s="83" t="inlineStr">
        <is>
          <t>Threshold/gate: LH_HL_FILTER_REQUIRE_BOTH — LE_MULT_4H', 'GOLDEN_RULE_MULT_D', 'GOLDEN_RULE_MULT_W', 'GR_FILTER_ALL_ENTRIES', 'GR_OPEN_COOLDOWN_S', 'GR_TOTAL_VOTE_S | ex: `LE_MULT_4H', 'GOLDEN_RULE_MULT_D', 'GOLDEN_RULE_MULT_W', 'GR_FILTER_ALL_ENTRIES'`</t>
        </is>
      </c>
      <c r="E287" s="83" t="inlineStr">
        <is>
          <t>ENTRY, GLOBAL_CHECK, STOCKS_EXIT</t>
        </is>
      </c>
      <c r="F287" s="83" t="inlineStr">
        <is>
          <t>ENTRY, GLOBAL_CHECK, STOCKS_EXIT</t>
        </is>
      </c>
      <c r="G287" s="83" t="inlineStr">
        <is>
          <t>LH/HL filter</t>
        </is>
      </c>
      <c r="H287" s="83" t="inlineStr">
        <is>
          <t>GENERAL</t>
        </is>
      </c>
      <c r="I287" s="83" t="inlineStr">
        <is>
          <t>LIVE — wired</t>
        </is>
      </c>
      <c r="J287" s="84"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4" t="n">
        <v>78</v>
      </c>
      <c r="B288" s="94"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4" t="n">
        <v>79</v>
      </c>
      <c r="B290" s="94"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4" t="n">
        <v>80</v>
      </c>
      <c r="B295" s="94"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3" t="n">
        <v>81</v>
      </c>
      <c r="B300" s="93" t="inlineStr">
        <is>
          <t>LIVE_VEC_EMERGENCY_BRAKE_ENABLED</t>
        </is>
      </c>
      <c r="C300" s="0" t="inlineStr">
        <is>
          <t>False</t>
        </is>
      </c>
      <c r="D300" s="83" t="inlineStr">
        <is>
          <t>Emergency brake enabled in live vector path. | Live read: `ER_TF', 'GOLDEN_RULE_HTF_VOTE_FILTER_TF', 'GR_FILTER_VEC_ENABLED', 'GR_FILTER_VE`</t>
        </is>
      </c>
      <c r="E300" s="83" t="inlineStr">
        <is>
          <t>GLOBAL_CHECK, STOCKS_EXIT</t>
        </is>
      </c>
      <c r="F300" s="83" t="inlineStr">
        <is>
          <t>GLOBAL_CHECK, STOCKS_EXIT</t>
        </is>
      </c>
      <c r="G300" s="83" t="inlineStr">
        <is>
          <t>LIVE_VEC_EMERGENCY_BRAKE_ENABLED</t>
        </is>
      </c>
      <c r="H300" s="83" t="inlineStr">
        <is>
          <t>GENERAL</t>
        </is>
      </c>
      <c r="I300" s="83" t="inlineStr">
        <is>
          <t>LIVE — wired</t>
        </is>
      </c>
      <c r="J300" s="84"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3" t="n">
        <v>81</v>
      </c>
      <c r="B301" s="83" t="inlineStr">
        <is>
          <t>LIVE_VEC_EMERGENCY_BRAKE_ENABLED</t>
        </is>
      </c>
      <c r="C301" s="0" t="inlineStr">
        <is>
          <t>True</t>
        </is>
      </c>
      <c r="D301" s="83" t="inlineStr">
        <is>
          <t>Emergency brake enabled in live vector path. | Live read: `ER_TF', 'GOLDEN_RULE_HTF_VOTE_FILTER_TF', 'GR_FILTER_VEC_ENABLED', 'GR_FILTER_VE`</t>
        </is>
      </c>
      <c r="E301" s="83" t="inlineStr">
        <is>
          <t>GLOBAL_CHECK, STOCKS_EXIT</t>
        </is>
      </c>
      <c r="F301" s="83" t="inlineStr">
        <is>
          <t>GLOBAL_CHECK, STOCKS_EXIT</t>
        </is>
      </c>
      <c r="G301" s="83" t="inlineStr">
        <is>
          <t>LIVE_VEC_EMERGENCY_BRAKE_ENABLED</t>
        </is>
      </c>
      <c r="H301" s="83" t="inlineStr">
        <is>
          <t>GENERAL</t>
        </is>
      </c>
      <c r="I301" s="83" t="inlineStr">
        <is>
          <t>LIVE — wired</t>
        </is>
      </c>
      <c r="J301" s="84"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3" t="n">
        <v>82</v>
      </c>
      <c r="B302" s="93" t="inlineStr">
        <is>
          <t>LR_BAND_LADDER_STOCH_EXTREME</t>
        </is>
      </c>
      <c r="C302" s="0" t="inlineStr">
        <is>
          <t>30.0</t>
        </is>
      </c>
      <c r="D302" s="83" t="inlineStr">
        <is>
          <t>Threshold/gate: LR_BAND_LADDER_STOCH_EXTREME — _TF', 'GR_FILTER_VEC_ENABLED', 'GR_FILTER_VEC_FILTER_TF', 'GR_FILTER_VEC_MIN_TFS', 'GR_V5_HTF_MIN_ALIGN', 'GR_V5_LTF_MIN | ex: `_TF', 'GR_FILTER_VEC_ENABLED', 'GR_FILTER_VEC_FILTER_TF', 'GR_FILTER_VEC_MIN_TFS`</t>
        </is>
      </c>
      <c r="E302" s="83" t="inlineStr">
        <is>
          <t>GLOBAL_CHECK, STOCKS_EXIT</t>
        </is>
      </c>
      <c r="F302" s="83" t="inlineStr">
        <is>
          <t>GLOBAL_CHECK, STOCKS_EXIT</t>
        </is>
      </c>
      <c r="G302" s="83" t="inlineStr">
        <is>
          <t>LR_BAND_LADDER_STOCH_EXTREME</t>
        </is>
      </c>
      <c r="H302" s="83" t="inlineStr">
        <is>
          <t>GENERAL</t>
        </is>
      </c>
      <c r="I302" s="83" t="inlineStr">
        <is>
          <t>LIVE — wired</t>
        </is>
      </c>
      <c r="J302" s="84"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3" t="n">
        <v>82</v>
      </c>
      <c r="B303" s="83" t="inlineStr">
        <is>
          <t>LR_BAND_LADDER_STOCH_EXTREME</t>
        </is>
      </c>
      <c r="C303" s="0" t="inlineStr">
        <is>
          <t>30.0_ALT</t>
        </is>
      </c>
      <c r="D303" s="83" t="inlineStr">
        <is>
          <t>Threshold/gate: LR_BAND_LADDER_STOCH_EXTREME — _TF', 'GR_FILTER_VEC_ENABLED', 'GR_FILTER_VEC_FILTER_TF', 'GR_FILTER_VEC_MIN_TFS', 'GR_V5_HTF_MIN_ALIGN', 'GR_V5_LTF_MIN | ex: `_TF', 'GR_FILTER_VEC_ENABLED', 'GR_FILTER_VEC_FILTER_TF', 'GR_FILTER_VEC_MIN_TFS`</t>
        </is>
      </c>
      <c r="E303" s="83" t="inlineStr">
        <is>
          <t>GLOBAL_CHECK, STOCKS_EXIT</t>
        </is>
      </c>
      <c r="F303" s="83" t="inlineStr">
        <is>
          <t>GLOBAL_CHECK, STOCKS_EXIT</t>
        </is>
      </c>
      <c r="G303" s="83" t="inlineStr">
        <is>
          <t>LR_BAND_LADDER_STOCH_EXTREME</t>
        </is>
      </c>
      <c r="H303" s="83" t="inlineStr">
        <is>
          <t>GENERAL</t>
        </is>
      </c>
      <c r="I303" s="83" t="inlineStr">
        <is>
          <t>LIVE — wired</t>
        </is>
      </c>
      <c r="J303" s="84"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3" t="n">
        <v>83</v>
      </c>
      <c r="B304" s="93" t="inlineStr">
        <is>
          <t>LR_BAND_LADDER_TF_BOTTOM</t>
        </is>
      </c>
      <c r="C304" s="0" t="inlineStr">
        <is>
          <t>0</t>
        </is>
      </c>
      <c r="D304" s="83" t="inlineStr">
        <is>
          <t>Threshold/gate: LR_BAND_LADDER_TF_BOTTOM — GR_FILTER_VEC_FILTER_TF', 'GR_FILTER_VEC_MIN_TFS', 'GR_V5_HTF_MIN_ALIGN', 'GR_V5_LTF_MIN_ALIGN', 'GR_V5_STATE_FILTER_TF' | ex: `GR_FILTER_VEC_FILTER_TF', 'GR_FILTER_VEC_MIN_TFS', 'GR_V5_HTF_MIN_ALIGN', 'GR_V5`</t>
        </is>
      </c>
      <c r="E304" s="83" t="inlineStr">
        <is>
          <t>GLOBAL_CHECK, STOCKS_EXIT</t>
        </is>
      </c>
      <c r="F304" s="83" t="inlineStr">
        <is>
          <t>GLOBAL_CHECK, STOCKS_EXIT</t>
        </is>
      </c>
      <c r="G304" s="83" t="inlineStr">
        <is>
          <t>LR_BAND_LADDER_TF_BOTTOM</t>
        </is>
      </c>
      <c r="H304" s="83" t="inlineStr">
        <is>
          <t>GENERAL</t>
        </is>
      </c>
      <c r="I304" s="83" t="inlineStr">
        <is>
          <t>LIVE — wired</t>
        </is>
      </c>
      <c r="J304" s="84"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3" t="n">
        <v>83</v>
      </c>
      <c r="B305" s="83" t="inlineStr">
        <is>
          <t>LR_BAND_LADDER_TF_BOTTOM</t>
        </is>
      </c>
      <c r="C305" s="0" t="inlineStr">
        <is>
          <t>1</t>
        </is>
      </c>
      <c r="D305" s="83" t="inlineStr">
        <is>
          <t>Threshold/gate: LR_BAND_LADDER_TF_BOTTOM — GR_FILTER_VEC_FILTER_TF', 'GR_FILTER_VEC_MIN_TFS', 'GR_V5_HTF_MIN_ALIGN', 'GR_V5_LTF_MIN_ALIGN', 'GR_V5_STATE_FILTER_TF' | ex: `GR_FILTER_VEC_FILTER_TF', 'GR_FILTER_VEC_MIN_TFS', 'GR_V5_HTF_MIN_ALIGN', 'GR_V5`</t>
        </is>
      </c>
      <c r="E305" s="83" t="inlineStr">
        <is>
          <t>GLOBAL_CHECK, STOCKS_EXIT</t>
        </is>
      </c>
      <c r="F305" s="83" t="inlineStr">
        <is>
          <t>GLOBAL_CHECK, STOCKS_EXIT</t>
        </is>
      </c>
      <c r="G305" s="83" t="inlineStr">
        <is>
          <t>LR_BAND_LADDER_TF_BOTTOM</t>
        </is>
      </c>
      <c r="H305" s="83" t="inlineStr">
        <is>
          <t>GENERAL</t>
        </is>
      </c>
      <c r="I305" s="83" t="inlineStr">
        <is>
          <t>LIVE — wired</t>
        </is>
      </c>
      <c r="J305" s="84"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3" t="n">
        <v>84</v>
      </c>
      <c r="B306" s="93" t="inlineStr">
        <is>
          <t>LR_BAND_LADDER_TF_TOP</t>
        </is>
      </c>
      <c r="C306" s="0" t="inlineStr">
        <is>
          <t>0</t>
        </is>
      </c>
      <c r="D306" s="83" t="inlineStr">
        <is>
          <t>Threshold/gate: LR_BAND_LADDER_TF_TOP — R_FILTER_VEC_MIN_TFS', 'GR_V5_HTF_MIN_ALIGN', 'GR_V5_LTF_MIN_ALIGN', 'GR_V5_STATE_FILTER_TF', 'HAIKU_WINNER_FILTER_TF',  | ex: `R_FILTER_VEC_MIN_TFS', 'GR_V5_HTF_MIN_ALIGN', 'GR_V5_LTF_MIN_ALIGN', 'GR_V5_STAT`</t>
        </is>
      </c>
      <c r="E306" s="83" t="inlineStr">
        <is>
          <t>GLOBAL_CHECK, STOCKS_EXIT</t>
        </is>
      </c>
      <c r="F306" s="83" t="inlineStr">
        <is>
          <t>GLOBAL_CHECK, STOCKS_EXIT</t>
        </is>
      </c>
      <c r="G306" s="83" t="inlineStr">
        <is>
          <t>LR_BAND_LADDER_TF_TOP</t>
        </is>
      </c>
      <c r="H306" s="83" t="inlineStr">
        <is>
          <t>GENERAL</t>
        </is>
      </c>
      <c r="I306" s="83" t="inlineStr">
        <is>
          <t>LIVE — wired</t>
        </is>
      </c>
      <c r="J306" s="84"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3" t="n">
        <v>84</v>
      </c>
      <c r="B307" s="83" t="inlineStr">
        <is>
          <t>LR_BAND_LADDER_TF_TOP</t>
        </is>
      </c>
      <c r="C307" s="0" t="inlineStr">
        <is>
          <t>1</t>
        </is>
      </c>
      <c r="D307" s="83" t="inlineStr">
        <is>
          <t>Threshold/gate: LR_BAND_LADDER_TF_TOP — R_FILTER_VEC_MIN_TFS', 'GR_V5_HTF_MIN_ALIGN', 'GR_V5_LTF_MIN_ALIGN', 'GR_V5_STATE_FILTER_TF', 'HAIKU_WINNER_FILTER_TF',  | ex: `R_FILTER_VEC_MIN_TFS', 'GR_V5_HTF_MIN_ALIGN', 'GR_V5_LTF_MIN_ALIGN', 'GR_V5_STAT`</t>
        </is>
      </c>
      <c r="E307" s="83" t="inlineStr">
        <is>
          <t>GLOBAL_CHECK, STOCKS_EXIT</t>
        </is>
      </c>
      <c r="F307" s="83" t="inlineStr">
        <is>
          <t>GLOBAL_CHECK, STOCKS_EXIT</t>
        </is>
      </c>
      <c r="G307" s="83" t="inlineStr">
        <is>
          <t>LR_BAND_LADDER_TF_TOP</t>
        </is>
      </c>
      <c r="H307" s="83" t="inlineStr">
        <is>
          <t>GENERAL</t>
        </is>
      </c>
      <c r="I307" s="83" t="inlineStr">
        <is>
          <t>LIVE — wired</t>
        </is>
      </c>
      <c r="J307" s="84"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3" t="n">
        <v>85</v>
      </c>
      <c r="B308" s="93" t="inlineStr">
        <is>
          <t>MANDATORY_REENTRY_WT_FILTER_MIN_TFS</t>
        </is>
      </c>
      <c r="C308" s="0" t="inlineStr">
        <is>
          <t>1</t>
        </is>
      </c>
      <c r="D308"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3" t="inlineStr">
        <is>
          <t>GLOBAL_CHECK, STOCKS_EXIT</t>
        </is>
      </c>
      <c r="F308" s="83" t="inlineStr">
        <is>
          <t>GLOBAL_CHECK, STOCKS_EXIT</t>
        </is>
      </c>
      <c r="G308" s="83" t="inlineStr">
        <is>
          <t>MANDATORY_REENTRY_WT_FILTER_MIN_</t>
        </is>
      </c>
      <c r="H308" s="83" t="inlineStr">
        <is>
          <t>GENERAL</t>
        </is>
      </c>
      <c r="I308" s="83" t="inlineStr">
        <is>
          <t>LIVE — wired</t>
        </is>
      </c>
      <c r="J308" s="84"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3" t="n">
        <v>85</v>
      </c>
      <c r="B309" s="83" t="inlineStr">
        <is>
          <t>MANDATORY_REENTRY_WT_FILTER_MIN_TFS</t>
        </is>
      </c>
      <c r="C309" s="0" t="inlineStr">
        <is>
          <t>3</t>
        </is>
      </c>
      <c r="D309"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3" t="inlineStr">
        <is>
          <t>GLOBAL_CHECK, STOCKS_EXIT</t>
        </is>
      </c>
      <c r="F309" s="83" t="inlineStr">
        <is>
          <t>GLOBAL_CHECK, STOCKS_EXIT</t>
        </is>
      </c>
      <c r="G309" s="83" t="inlineStr">
        <is>
          <t>MANDATORY_REENTRY_WT_FILTER_MIN_</t>
        </is>
      </c>
      <c r="H309" s="83" t="inlineStr">
        <is>
          <t>GENERAL</t>
        </is>
      </c>
      <c r="I309" s="83" t="inlineStr">
        <is>
          <t>LIVE — wired</t>
        </is>
      </c>
      <c r="J309" s="84"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3" t="n">
        <v>85</v>
      </c>
      <c r="B310" s="83" t="inlineStr">
        <is>
          <t>MANDATORY_REENTRY_WT_FILTER_MIN_TFS</t>
        </is>
      </c>
      <c r="C310" s="0" t="inlineStr">
        <is>
          <t>2</t>
        </is>
      </c>
      <c r="D310" s="83"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3" t="inlineStr">
        <is>
          <t>GLOBAL_CHECK, STOCKS_EXIT</t>
        </is>
      </c>
      <c r="F310" s="83" t="inlineStr">
        <is>
          <t>GLOBAL_CHECK, STOCKS_EXIT</t>
        </is>
      </c>
      <c r="G310" s="83" t="inlineStr">
        <is>
          <t>MANDATORY_REENTRY_WT_FILTER_MIN_</t>
        </is>
      </c>
      <c r="H310" s="83" t="inlineStr">
        <is>
          <t>GENERAL</t>
        </is>
      </c>
      <c r="I310" s="83" t="inlineStr">
        <is>
          <t>LIVE — wired</t>
        </is>
      </c>
      <c r="J310" s="84"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3" t="n">
        <v>86</v>
      </c>
      <c r="B311" s="93" t="inlineStr">
        <is>
          <t>MANDATORY_REENTRY_WT_FILTER_MIN_VELOCITY</t>
        </is>
      </c>
      <c r="C311" s="0" t="inlineStr">
        <is>
          <t>0.0</t>
        </is>
      </c>
      <c r="D311" s="83" t="inlineStr">
        <is>
          <t>Threshold/gate: MANDATORY_REENTRY_WT_FILTER_MIN_VELOCITY — D', 'GUARANTEED_REENTRY_DELTA_GATE_ENABLED', 'GUARANTEED_REENTRY_K_FAVORABLE_HIGH', 'GUARANTEED_REENTRY_K_FAVORABLE_LOW' | ex: `D', 'GUARANTEED_REENTRY_DELTA_GATE_ENABLED', 'GUARANTEED_REENTRY_K_FAVORABLE_HIG`</t>
        </is>
      </c>
      <c r="E311" s="83" t="inlineStr">
        <is>
          <t>GLOBAL_CHECK, STOCKS_EXIT</t>
        </is>
      </c>
      <c r="F311" s="83" t="inlineStr">
        <is>
          <t>GLOBAL_CHECK, STOCKS_EXIT</t>
        </is>
      </c>
      <c r="G311" s="83" t="inlineStr">
        <is>
          <t>MANDATORY_REENTRY_WT_FILTER_MIN_</t>
        </is>
      </c>
      <c r="H311" s="83" t="inlineStr">
        <is>
          <t>GENERAL</t>
        </is>
      </c>
      <c r="I311" s="83" t="inlineStr">
        <is>
          <t>LIVE — wired</t>
        </is>
      </c>
      <c r="J311" s="84"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3" t="n">
        <v>86</v>
      </c>
      <c r="B312" s="83" t="inlineStr">
        <is>
          <t>MANDATORY_REENTRY_WT_FILTER_MIN_VELOCITY</t>
        </is>
      </c>
      <c r="C312" s="0" t="inlineStr">
        <is>
          <t>0.0_ALT</t>
        </is>
      </c>
      <c r="D312" s="83" t="inlineStr">
        <is>
          <t>Threshold/gate: MANDATORY_REENTRY_WT_FILTER_MIN_VELOCITY — D', 'GUARANTEED_REENTRY_DELTA_GATE_ENABLED', 'GUARANTEED_REENTRY_K_FAVORABLE_HIGH', 'GUARANTEED_REENTRY_K_FAVORABLE_LOW' | ex: `D', 'GUARANTEED_REENTRY_DELTA_GATE_ENABLED', 'GUARANTEED_REENTRY_K_FAVORABLE_HIG`</t>
        </is>
      </c>
      <c r="E312" s="83" t="inlineStr">
        <is>
          <t>GLOBAL_CHECK, STOCKS_EXIT</t>
        </is>
      </c>
      <c r="F312" s="83" t="inlineStr">
        <is>
          <t>GLOBAL_CHECK, STOCKS_EXIT</t>
        </is>
      </c>
      <c r="G312" s="83" t="inlineStr">
        <is>
          <t>MANDATORY_REENTRY_WT_FILTER_MIN_</t>
        </is>
      </c>
      <c r="H312" s="83" t="inlineStr">
        <is>
          <t>GENERAL</t>
        </is>
      </c>
      <c r="I312" s="83" t="inlineStr">
        <is>
          <t>LIVE — wired</t>
        </is>
      </c>
      <c r="J312" s="84"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3" t="n">
        <v>87</v>
      </c>
      <c r="B313" s="93" t="inlineStr">
        <is>
          <t>MANDATORY_REENTRY_WT_FILTER_REQUIRE_FLIP</t>
        </is>
      </c>
      <c r="C313" s="0" t="inlineStr">
        <is>
          <t>False</t>
        </is>
      </c>
      <c r="D313" s="83" t="inlineStr">
        <is>
          <t>Threshold/gate: MANDATORY_REENTRY_WT_FILTER_REQUIRE_FLIP — 'GUARANTEED_REENTRY_K_FAVORABLE_HIGH', 'GUARANTEED_REENTRY_K_FAVORABLE_LOW', 'GUARANTEED_REENTRY_K_HIGH_BLOCK', 'GUARANT | ex: `'GUARANTEED_REENTRY_K_FAVORABLE_HIGH', 'GUARANTEED_REENTRY_K_FAVORABLE_LOW', 'GU`</t>
        </is>
      </c>
      <c r="E313" s="83" t="inlineStr">
        <is>
          <t>GLOBAL_CHECK, STOCKS_EXIT</t>
        </is>
      </c>
      <c r="F313" s="83" t="inlineStr">
        <is>
          <t>GLOBAL_CHECK, STOCKS_EXIT</t>
        </is>
      </c>
      <c r="G313" s="83" t="inlineStr">
        <is>
          <t>MANDATORY_REENTRY_WT_FILTER_REQU</t>
        </is>
      </c>
      <c r="H313" s="83" t="inlineStr">
        <is>
          <t>GENERAL</t>
        </is>
      </c>
      <c r="I313" s="83" t="inlineStr">
        <is>
          <t>LIVE — wired</t>
        </is>
      </c>
      <c r="J313" s="84"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3" t="n">
        <v>87</v>
      </c>
      <c r="B314" s="83" t="inlineStr">
        <is>
          <t>MANDATORY_REENTRY_WT_FILTER_REQUIRE_FLIP</t>
        </is>
      </c>
      <c r="C314" s="0" t="inlineStr">
        <is>
          <t>False_ALT</t>
        </is>
      </c>
      <c r="D314" s="83" t="inlineStr">
        <is>
          <t>Threshold/gate: MANDATORY_REENTRY_WT_FILTER_REQUIRE_FLIP — 'GUARANTEED_REENTRY_K_FAVORABLE_HIGH', 'GUARANTEED_REENTRY_K_FAVORABLE_LOW', 'GUARANTEED_REENTRY_K_HIGH_BLOCK', 'GUARANT | ex: `'GUARANTEED_REENTRY_K_FAVORABLE_HIGH', 'GUARANTEED_REENTRY_K_FAVORABLE_LOW', 'GU`</t>
        </is>
      </c>
      <c r="E314" s="83" t="inlineStr">
        <is>
          <t>GLOBAL_CHECK, STOCKS_EXIT</t>
        </is>
      </c>
      <c r="F314" s="83" t="inlineStr">
        <is>
          <t>GLOBAL_CHECK, STOCKS_EXIT</t>
        </is>
      </c>
      <c r="G314" s="83" t="inlineStr">
        <is>
          <t>MANDATORY_REENTRY_WT_FILTER_REQU</t>
        </is>
      </c>
      <c r="H314" s="83" t="inlineStr">
        <is>
          <t>GENERAL</t>
        </is>
      </c>
      <c r="I314" s="83" t="inlineStr">
        <is>
          <t>LIVE — wired</t>
        </is>
      </c>
      <c r="J314" s="84"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4" t="n">
        <v>88</v>
      </c>
      <c r="B315" s="94"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3" t="n">
        <v>89</v>
      </c>
      <c r="B317" s="93" t="inlineStr">
        <is>
          <t>MANDATORY_REENTRY_WT_FILTER_VELOCITY_RATIO</t>
        </is>
      </c>
      <c r="C317" s="0" t="inlineStr">
        <is>
          <t>0.90</t>
        </is>
      </c>
      <c r="D317"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3" t="inlineStr">
        <is>
          <t>GLOBAL_CHECK, STOCKS_EXIT</t>
        </is>
      </c>
      <c r="F317" s="83" t="inlineStr">
        <is>
          <t>GLOBAL_CHECK, STOCKS_EXIT</t>
        </is>
      </c>
      <c r="G317" s="83" t="inlineStr">
        <is>
          <t>MANDATORY_REENTRY_WT_FILTER_VELO</t>
        </is>
      </c>
      <c r="H317" s="83" t="inlineStr">
        <is>
          <t>GENERAL</t>
        </is>
      </c>
      <c r="I317" s="83" t="inlineStr">
        <is>
          <t>LIVE — wired</t>
        </is>
      </c>
      <c r="J317" s="84"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3" t="n">
        <v>89</v>
      </c>
      <c r="B318" s="83" t="inlineStr">
        <is>
          <t>MANDATORY_REENTRY_WT_FILTER_VELOCITY_RATIO</t>
        </is>
      </c>
      <c r="C318" s="0" t="inlineStr">
        <is>
          <t>0.90_ALT</t>
        </is>
      </c>
      <c r="D318"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3" t="inlineStr">
        <is>
          <t>GLOBAL_CHECK, STOCKS_EXIT</t>
        </is>
      </c>
      <c r="F318" s="83" t="inlineStr">
        <is>
          <t>GLOBAL_CHECK, STOCKS_EXIT</t>
        </is>
      </c>
      <c r="G318" s="83" t="inlineStr">
        <is>
          <t>MANDATORY_REENTRY_WT_FILTER_VELO</t>
        </is>
      </c>
      <c r="H318" s="83" t="inlineStr">
        <is>
          <t>GENERAL</t>
        </is>
      </c>
      <c r="I318" s="83" t="inlineStr">
        <is>
          <t>LIVE — wired</t>
        </is>
      </c>
      <c r="J318" s="84"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3" t="n">
        <v>90</v>
      </c>
      <c r="B319" s="93" t="inlineStr">
        <is>
          <t>MARKET_QUALITY_SCORE_ENABLED</t>
        </is>
      </c>
      <c r="C319" s="0" t="inlineStr">
        <is>
          <t>False</t>
        </is>
      </c>
      <c r="D319" s="83" t="inlineStr">
        <is>
          <t>Market quality score gate (choppiness). | Live read: `'MARKET_QUALITY_SCORE_ENABLED_TRADIER', 'MARK_PRICE_MAX_STALENESS', 'MAX_ALLOWED`</t>
        </is>
      </c>
      <c r="E319" s="83" t="inlineStr">
        <is>
          <t>ENTRY, GLOBAL_CHECK, STOCKS_EXIT</t>
        </is>
      </c>
      <c r="F319" s="83" t="inlineStr">
        <is>
          <t>ENTRY, GLOBAL_CHECK, STOCKS_EXIT</t>
        </is>
      </c>
      <c r="G319" s="83" t="inlineStr">
        <is>
          <t>MARKET_QUALITY_SCORE_ENABLED</t>
        </is>
      </c>
      <c r="H319" s="83" t="inlineStr">
        <is>
          <t>GENERAL — uniform</t>
        </is>
      </c>
      <c r="I319" s="83" t="inlineStr">
        <is>
          <t>LIVE — wired</t>
        </is>
      </c>
      <c r="J319" s="84"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3" t="n">
        <v>90</v>
      </c>
      <c r="B320" s="83" t="inlineStr">
        <is>
          <t>MARKET_QUALITY_SCORE_ENABLED</t>
        </is>
      </c>
      <c r="C320" s="0" t="inlineStr">
        <is>
          <t>True</t>
        </is>
      </c>
      <c r="D320" s="83" t="inlineStr">
        <is>
          <t>Market quality score gate (choppiness). | Live read: `'MARKET_QUALITY_SCORE_ENABLED_TRADIER', 'MARK_PRICE_MAX_STALENESS', 'MAX_ALLOWED`</t>
        </is>
      </c>
      <c r="E320" s="83" t="inlineStr">
        <is>
          <t>ENTRY, GLOBAL_CHECK, STOCKS_EXIT</t>
        </is>
      </c>
      <c r="F320" s="83" t="inlineStr">
        <is>
          <t>ENTRY, GLOBAL_CHECK, STOCKS_EXIT</t>
        </is>
      </c>
      <c r="G320" s="83" t="inlineStr">
        <is>
          <t>MARKET_QUALITY_SCORE_ENABLED</t>
        </is>
      </c>
      <c r="H320" s="83" t="inlineStr">
        <is>
          <t>GENERAL — uniform</t>
        </is>
      </c>
      <c r="I320" s="83" t="inlineStr">
        <is>
          <t>LIVE — wired</t>
        </is>
      </c>
      <c r="J320" s="84"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3" t="n">
        <v>91</v>
      </c>
      <c r="B321" s="93" t="inlineStr">
        <is>
          <t>MI_TF_AGREE_MIN</t>
        </is>
      </c>
      <c r="C321" s="0" t="inlineStr">
        <is>
          <t>0.0</t>
        </is>
      </c>
      <c r="D321" s="83" t="inlineStr">
        <is>
          <t>Market internals: min TFs agreeing. | Live read: `STATE_FILTER_TF', 'HAIKU_WINNER_FILTER_TF', 'HOUR_OF_DAY_GATE_ENABLED', 'HTF4_CO`</t>
        </is>
      </c>
      <c r="E321" s="83" t="inlineStr">
        <is>
          <t>ENTRY, GLOBAL_CHECK, STOCKS_EXIT</t>
        </is>
      </c>
      <c r="F321" s="83" t="inlineStr">
        <is>
          <t>ENTRY, GLOBAL_CHECK, STOCKS_EXIT</t>
        </is>
      </c>
      <c r="G321" s="83" t="inlineStr">
        <is>
          <t>MI_TF_AGREE_MIN</t>
        </is>
      </c>
      <c r="H321" s="83" t="inlineStr">
        <is>
          <t>GENERAL</t>
        </is>
      </c>
      <c r="I321" s="83" t="inlineStr">
        <is>
          <t>LIVE — wired</t>
        </is>
      </c>
      <c r="J321" s="84"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3" t="n">
        <v>91</v>
      </c>
      <c r="B322" s="83" t="inlineStr">
        <is>
          <t>MI_TF_AGREE_MIN</t>
        </is>
      </c>
      <c r="C322" s="0" t="inlineStr">
        <is>
          <t>0.0_ALT</t>
        </is>
      </c>
      <c r="D322" s="83" t="inlineStr">
        <is>
          <t>Market internals: min TFs agreeing. | Live read: `STATE_FILTER_TF', 'HAIKU_WINNER_FILTER_TF', 'HOUR_OF_DAY_GATE_ENABLED', 'HTF4_CO`</t>
        </is>
      </c>
      <c r="E322" s="83" t="inlineStr">
        <is>
          <t>ENTRY, GLOBAL_CHECK, STOCKS_EXIT</t>
        </is>
      </c>
      <c r="F322" s="83" t="inlineStr">
        <is>
          <t>ENTRY, GLOBAL_CHECK, STOCKS_EXIT</t>
        </is>
      </c>
      <c r="G322" s="83" t="inlineStr">
        <is>
          <t>MI_TF_AGREE_MIN</t>
        </is>
      </c>
      <c r="H322" s="83" t="inlineStr">
        <is>
          <t>GENERAL</t>
        </is>
      </c>
      <c r="I322" s="83" t="inlineStr">
        <is>
          <t>LIVE — wired</t>
        </is>
      </c>
      <c r="J322" s="84"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4" t="n">
        <v>92</v>
      </c>
      <c r="B323" s="94"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4" t="n">
        <v>93</v>
      </c>
      <c r="B328" s="94"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3" t="n">
        <v>94</v>
      </c>
      <c r="B333" s="93" t="inlineStr">
        <is>
          <t>MOVER_THRESHOLD</t>
        </is>
      </c>
      <c r="C333" s="0" t="inlineStr">
        <is>
          <t>5</t>
        </is>
      </c>
      <c r="D333" s="83" t="inlineStr">
        <is>
          <t>Mover threshold (volatility). | Live read: `_ = getattr(config, "MOVER_THRESHOLD", None)`</t>
        </is>
      </c>
      <c r="E333" s="83" t="inlineStr">
        <is>
          <t>ENTRY, GLOBAL_CHECK, STOCKS_EXIT</t>
        </is>
      </c>
      <c r="F333" s="83" t="inlineStr">
        <is>
          <t>ENTRY, GLOBAL_CHECK, STOCKS_EXIT</t>
        </is>
      </c>
      <c r="G333" s="83" t="inlineStr">
        <is>
          <t>MOVER_THRESHOLD</t>
        </is>
      </c>
      <c r="H333" s="83" t="inlineStr">
        <is>
          <t>GENERAL</t>
        </is>
      </c>
      <c r="I333" s="83" t="inlineStr">
        <is>
          <t>LIVE — wired</t>
        </is>
      </c>
      <c r="J333" s="84"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3" t="n">
        <v>94</v>
      </c>
      <c r="B334" s="83" t="inlineStr">
        <is>
          <t>MOVER_THRESHOLD</t>
        </is>
      </c>
      <c r="C334" s="0" t="inlineStr">
        <is>
          <t>6.25</t>
        </is>
      </c>
      <c r="D334" s="83" t="inlineStr">
        <is>
          <t>Mover threshold (volatility). | Live read: `_ = getattr(config, "MOVER_THRESHOLD", None)`</t>
        </is>
      </c>
      <c r="E334" s="83" t="inlineStr">
        <is>
          <t>ENTRY, GLOBAL_CHECK, STOCKS_EXIT</t>
        </is>
      </c>
      <c r="F334" s="83" t="inlineStr">
        <is>
          <t>ENTRY, GLOBAL_CHECK, STOCKS_EXIT</t>
        </is>
      </c>
      <c r="G334" s="83" t="inlineStr">
        <is>
          <t>MOVER_THRESHOLD</t>
        </is>
      </c>
      <c r="H334" s="83" t="inlineStr">
        <is>
          <t>GENERAL</t>
        </is>
      </c>
      <c r="I334" s="83" t="inlineStr">
        <is>
          <t>LIVE — wired</t>
        </is>
      </c>
      <c r="J334" s="84"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3" t="n">
        <v>94</v>
      </c>
      <c r="B335" s="83" t="inlineStr">
        <is>
          <t>MOVER_THRESHOLD</t>
        </is>
      </c>
      <c r="C335" s="0" t="inlineStr">
        <is>
          <t>3.75</t>
        </is>
      </c>
      <c r="D335" s="83" t="inlineStr">
        <is>
          <t>Mover threshold (volatility). | Live read: `_ = getattr(config, "MOVER_THRESHOLD", None)`</t>
        </is>
      </c>
      <c r="E335" s="83" t="inlineStr">
        <is>
          <t>ENTRY, GLOBAL_CHECK, STOCKS_EXIT</t>
        </is>
      </c>
      <c r="F335" s="83" t="inlineStr">
        <is>
          <t>ENTRY, GLOBAL_CHECK, STOCKS_EXIT</t>
        </is>
      </c>
      <c r="G335" s="83" t="inlineStr">
        <is>
          <t>MOVER_THRESHOLD</t>
        </is>
      </c>
      <c r="H335" s="83" t="inlineStr">
        <is>
          <t>GENERAL</t>
        </is>
      </c>
      <c r="I335" s="83" t="inlineStr">
        <is>
          <t>LIVE — wired</t>
        </is>
      </c>
      <c r="J335" s="84"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3" t="n">
        <v>94</v>
      </c>
      <c r="B336" s="83" t="inlineStr">
        <is>
          <t>MOVER_THRESHOLD</t>
        </is>
      </c>
      <c r="C336" s="0" t="inlineStr">
        <is>
          <t>2.5</t>
        </is>
      </c>
      <c r="D336" s="83" t="inlineStr">
        <is>
          <t>Mover threshold (volatility). | Live read: `_ = getattr(config, "MOVER_THRESHOLD", None)`</t>
        </is>
      </c>
      <c r="E336" s="83" t="inlineStr">
        <is>
          <t>ENTRY, GLOBAL_CHECK, STOCKS_EXIT</t>
        </is>
      </c>
      <c r="F336" s="83" t="inlineStr">
        <is>
          <t>ENTRY, GLOBAL_CHECK, STOCKS_EXIT</t>
        </is>
      </c>
      <c r="G336" s="83" t="inlineStr">
        <is>
          <t>MOVER_THRESHOLD</t>
        </is>
      </c>
      <c r="H336" s="83" t="inlineStr">
        <is>
          <t>GENERAL</t>
        </is>
      </c>
      <c r="I336" s="83" t="inlineStr">
        <is>
          <t>LIVE — wired</t>
        </is>
      </c>
      <c r="J336" s="84"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4" t="n">
        <v>95</v>
      </c>
      <c r="B337" s="94"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4" t="n">
        <v>96</v>
      </c>
      <c r="B342" s="94"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4" t="n">
        <v>97</v>
      </c>
      <c r="B347" s="94"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3" t="n">
        <v>98</v>
      </c>
      <c r="B352" s="93" t="inlineStr">
        <is>
          <t>MTF_FILTER_STRONG_BUY_QUICK_BYPASS</t>
        </is>
      </c>
      <c r="C352" s="0" t="inlineStr">
        <is>
          <t>0.0</t>
        </is>
      </c>
      <c r="D352" s="83" t="inlineStr">
        <is>
          <t>Bypasses MTF filter for strong buys in quick path. | Live read: `ABLED', 'LH_HL_FILTER_ENABLED', 'LH_HL_FILTER_HEDGE_GATE_ENABLED', 'LH_HL_FILTER`</t>
        </is>
      </c>
      <c r="E352" s="83" t="inlineStr">
        <is>
          <t>GLOBAL_CHECK, STOCKS_EXIT</t>
        </is>
      </c>
      <c r="F352" s="83" t="inlineStr">
        <is>
          <t>GLOBAL_CHECK, STOCKS_EXIT</t>
        </is>
      </c>
      <c r="G352" s="83" t="inlineStr">
        <is>
          <t>MTF_FILTER_STRONG_BUY_QUICK_BYPA</t>
        </is>
      </c>
      <c r="H352" s="83" t="inlineStr">
        <is>
          <t>GENERAL</t>
        </is>
      </c>
      <c r="I352" s="83" t="inlineStr">
        <is>
          <t>LIVE — wired</t>
        </is>
      </c>
      <c r="J352" s="84"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3" t="n">
        <v>98</v>
      </c>
      <c r="B353" s="83" t="inlineStr">
        <is>
          <t>MTF_FILTER_STRONG_BUY_QUICK_BYPASS</t>
        </is>
      </c>
      <c r="C353" s="0" t="inlineStr">
        <is>
          <t>0.0_ALT</t>
        </is>
      </c>
      <c r="D353" s="83" t="inlineStr">
        <is>
          <t>Bypasses MTF filter for strong buys in quick path. | Live read: `ABLED', 'LH_HL_FILTER_ENABLED', 'LH_HL_FILTER_HEDGE_GATE_ENABLED', 'LH_HL_FILTER`</t>
        </is>
      </c>
      <c r="E353" s="83" t="inlineStr">
        <is>
          <t>GLOBAL_CHECK, STOCKS_EXIT</t>
        </is>
      </c>
      <c r="F353" s="83" t="inlineStr">
        <is>
          <t>GLOBAL_CHECK, STOCKS_EXIT</t>
        </is>
      </c>
      <c r="G353" s="83" t="inlineStr">
        <is>
          <t>MTF_FILTER_STRONG_BUY_QUICK_BYPA</t>
        </is>
      </c>
      <c r="H353" s="83" t="inlineStr">
        <is>
          <t>GENERAL</t>
        </is>
      </c>
      <c r="I353" s="83" t="inlineStr">
        <is>
          <t>LIVE — wired</t>
        </is>
      </c>
      <c r="J353" s="84"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3" t="n">
        <v>99</v>
      </c>
      <c r="B354" s="93" t="inlineStr">
        <is>
          <t>MTF_GR_MIN_IND</t>
        </is>
      </c>
      <c r="C354" s="0" t="inlineStr">
        <is>
          <t>5</t>
        </is>
      </c>
      <c r="D354" s="83" t="inlineStr">
        <is>
          <t>Threshold/gate: MTF_GR_MIN_IND — _FILTER_HEDGE_GATE_ENABLED', 'LH_HL_FILTER_MODE', 'LH_HL_FILTER_REQUIRE_BOTH', 'LH_HL_FILTER_TF_REQ', 'LIVE_ENTRY_ENGINE | ex: `_FILTER_HEDGE_GATE_ENABLED', 'LH_HL_FILTER_MODE', 'LH_HL_FILTER_REQUIRE_BOTH', '`</t>
        </is>
      </c>
      <c r="E354" s="83" t="inlineStr">
        <is>
          <t>GLOBAL_CHECK, STOCKS_EXIT</t>
        </is>
      </c>
      <c r="F354" s="83" t="inlineStr">
        <is>
          <t>GLOBAL_CHECK, STOCKS_EXIT</t>
        </is>
      </c>
      <c r="G354" s="83" t="inlineStr">
        <is>
          <t>MTF_GR_MIN_IND</t>
        </is>
      </c>
      <c r="H354" s="83" t="inlineStr">
        <is>
          <t>GENERAL</t>
        </is>
      </c>
      <c r="I354" s="83" t="inlineStr">
        <is>
          <t>LIVE — wired</t>
        </is>
      </c>
      <c r="J354" s="84"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3" t="n">
        <v>99</v>
      </c>
      <c r="B355" s="83" t="inlineStr">
        <is>
          <t>MTF_GR_MIN_IND</t>
        </is>
      </c>
      <c r="C355" s="0" t="inlineStr">
        <is>
          <t>5_ALT</t>
        </is>
      </c>
      <c r="D355" s="83" t="inlineStr">
        <is>
          <t>Threshold/gate: MTF_GR_MIN_IND — _FILTER_HEDGE_GATE_ENABLED', 'LH_HL_FILTER_MODE', 'LH_HL_FILTER_REQUIRE_BOTH', 'LH_HL_FILTER_TF_REQ', 'LIVE_ENTRY_ENGINE | ex: `_FILTER_HEDGE_GATE_ENABLED', 'LH_HL_FILTER_MODE', 'LH_HL_FILTER_REQUIRE_BOTH', '`</t>
        </is>
      </c>
      <c r="E355" s="83" t="inlineStr">
        <is>
          <t>GLOBAL_CHECK, STOCKS_EXIT</t>
        </is>
      </c>
      <c r="F355" s="83" t="inlineStr">
        <is>
          <t>GLOBAL_CHECK, STOCKS_EXIT</t>
        </is>
      </c>
      <c r="G355" s="83" t="inlineStr">
        <is>
          <t>MTF_GR_MIN_IND</t>
        </is>
      </c>
      <c r="H355" s="83" t="inlineStr">
        <is>
          <t>GENERAL</t>
        </is>
      </c>
      <c r="I355" s="83" t="inlineStr">
        <is>
          <t>LIVE — wired</t>
        </is>
      </c>
      <c r="J355" s="84"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3" t="n">
        <v>100</v>
      </c>
      <c r="B356" s="93" t="inlineStr">
        <is>
          <t>MTS_BOTTOM_BONUS_THRESHOLD</t>
        </is>
      </c>
      <c r="C356" s="0" t="inlineStr">
        <is>
          <t>25</t>
        </is>
      </c>
      <c r="D356" s="83" t="inlineStr">
        <is>
          <t>MTS bottom bonus threshold. | Live read: `F_REGIME_SIZE_CAP', 'HTF_REGIME_TF', 'HTF_REGIME_VOL_TARGET', 'HTF_TREND_VETO_BY`</t>
        </is>
      </c>
      <c r="E356" s="83" t="inlineStr">
        <is>
          <t>ENTRY, GLOBAL_CHECK, STOCKS_EXIT</t>
        </is>
      </c>
      <c r="F356" s="83" t="inlineStr">
        <is>
          <t>ENTRY, GLOBAL_CHECK, STOCKS_EXIT</t>
        </is>
      </c>
      <c r="G356" s="83" t="inlineStr">
        <is>
          <t>MTS_BOTTOM_BONUS_THRESHOLD</t>
        </is>
      </c>
      <c r="H356" s="83" t="inlineStr">
        <is>
          <t>GENERAL</t>
        </is>
      </c>
      <c r="I356" s="83" t="inlineStr">
        <is>
          <t>LIVE — wired</t>
        </is>
      </c>
      <c r="J356" s="84"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3" t="n">
        <v>100</v>
      </c>
      <c r="B357" s="83" t="inlineStr">
        <is>
          <t>MTS_BOTTOM_BONUS_THRESHOLD</t>
        </is>
      </c>
      <c r="C357" s="0" t="inlineStr">
        <is>
          <t>31.25</t>
        </is>
      </c>
      <c r="D357" s="83" t="inlineStr">
        <is>
          <t>MTS bottom bonus threshold. | Live read: `F_REGIME_SIZE_CAP', 'HTF_REGIME_TF', 'HTF_REGIME_VOL_TARGET', 'HTF_TREND_VETO_BY`</t>
        </is>
      </c>
      <c r="E357" s="83" t="inlineStr">
        <is>
          <t>ENTRY, GLOBAL_CHECK, STOCKS_EXIT</t>
        </is>
      </c>
      <c r="F357" s="83" t="inlineStr">
        <is>
          <t>ENTRY, GLOBAL_CHECK, STOCKS_EXIT</t>
        </is>
      </c>
      <c r="G357" s="83" t="inlineStr">
        <is>
          <t>MTS_BOTTOM_BONUS_THRESHOLD</t>
        </is>
      </c>
      <c r="H357" s="83" t="inlineStr">
        <is>
          <t>GENERAL</t>
        </is>
      </c>
      <c r="I357" s="83" t="inlineStr">
        <is>
          <t>LIVE — wired</t>
        </is>
      </c>
      <c r="J357" s="84"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3" t="n">
        <v>100</v>
      </c>
      <c r="B358" s="83" t="inlineStr">
        <is>
          <t>MTS_BOTTOM_BONUS_THRESHOLD</t>
        </is>
      </c>
      <c r="C358" s="0" t="inlineStr">
        <is>
          <t>18.75</t>
        </is>
      </c>
      <c r="D358" s="83" t="inlineStr">
        <is>
          <t>MTS bottom bonus threshold. | Live read: `F_REGIME_SIZE_CAP', 'HTF_REGIME_TF', 'HTF_REGIME_VOL_TARGET', 'HTF_TREND_VETO_BY`</t>
        </is>
      </c>
      <c r="E358" s="83" t="inlineStr">
        <is>
          <t>ENTRY, GLOBAL_CHECK, STOCKS_EXIT</t>
        </is>
      </c>
      <c r="F358" s="83" t="inlineStr">
        <is>
          <t>ENTRY, GLOBAL_CHECK, STOCKS_EXIT</t>
        </is>
      </c>
      <c r="G358" s="83" t="inlineStr">
        <is>
          <t>MTS_BOTTOM_BONUS_THRESHOLD</t>
        </is>
      </c>
      <c r="H358" s="83" t="inlineStr">
        <is>
          <t>GENERAL</t>
        </is>
      </c>
      <c r="I358" s="83" t="inlineStr">
        <is>
          <t>LIVE — wired</t>
        </is>
      </c>
      <c r="J358" s="84"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3" t="n">
        <v>100</v>
      </c>
      <c r="B359" s="83" t="inlineStr">
        <is>
          <t>MTS_BOTTOM_BONUS_THRESHOLD</t>
        </is>
      </c>
      <c r="C359" s="0" t="inlineStr">
        <is>
          <t>12.5</t>
        </is>
      </c>
      <c r="D359" s="83" t="inlineStr">
        <is>
          <t>MTS bottom bonus threshold. | Live read: `F_REGIME_SIZE_CAP', 'HTF_REGIME_TF', 'HTF_REGIME_VOL_TARGET', 'HTF_TREND_VETO_BY`</t>
        </is>
      </c>
      <c r="E359" s="83" t="inlineStr">
        <is>
          <t>ENTRY, GLOBAL_CHECK, STOCKS_EXIT</t>
        </is>
      </c>
      <c r="F359" s="83" t="inlineStr">
        <is>
          <t>ENTRY, GLOBAL_CHECK, STOCKS_EXIT</t>
        </is>
      </c>
      <c r="G359" s="83" t="inlineStr">
        <is>
          <t>MTS_BOTTOM_BONUS_THRESHOLD</t>
        </is>
      </c>
      <c r="H359" s="83" t="inlineStr">
        <is>
          <t>GENERAL</t>
        </is>
      </c>
      <c r="I359" s="83" t="inlineStr">
        <is>
          <t>LIVE — wired</t>
        </is>
      </c>
      <c r="J359" s="84"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3" t="n">
        <v>101</v>
      </c>
      <c r="B360" s="93" t="inlineStr">
        <is>
          <t>MTS_BOTTOM_STRONG_THRESHOLD</t>
        </is>
      </c>
      <c r="C360" s="0" t="inlineStr">
        <is>
          <t>40</t>
        </is>
      </c>
      <c r="D360" s="83" t="inlineStr">
        <is>
          <t>Threshold/gate: MTS_BOTTOM_STRONG_THRESHOLD — E_TF', 'HTF_REGIME_VOL_TARGET', 'HTF_TREND_VETO_BYPASS_ENABLED', 'HTF_TREND_VETO_BYPASS_REASONS', 'HTF_W_M_ALIGN_GATE',  | ex: `E_TF', 'HTF_REGIME_VOL_TARGET', 'HTF_TREND_VETO_BYPASS_ENABLED', 'HTF_TREND_VETO`</t>
        </is>
      </c>
      <c r="E360" s="83" t="inlineStr">
        <is>
          <t>ENTRY, GLOBAL_CHECK, STOCKS_EXIT</t>
        </is>
      </c>
      <c r="F360" s="83" t="inlineStr">
        <is>
          <t>ENTRY, GLOBAL_CHECK, STOCKS_EXIT</t>
        </is>
      </c>
      <c r="G360" s="83" t="inlineStr">
        <is>
          <t>MTS_BOTTOM_STRONG_THRESHOLD</t>
        </is>
      </c>
      <c r="H360" s="83" t="inlineStr">
        <is>
          <t>GENERAL</t>
        </is>
      </c>
      <c r="I360" s="83" t="inlineStr">
        <is>
          <t>LIVE — wired</t>
        </is>
      </c>
      <c r="J360" s="84"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3" t="n">
        <v>101</v>
      </c>
      <c r="B361" s="83" t="inlineStr">
        <is>
          <t>MTS_BOTTOM_STRONG_THRESHOLD</t>
        </is>
      </c>
      <c r="C361" s="0" t="inlineStr">
        <is>
          <t>50</t>
        </is>
      </c>
      <c r="D361" s="83" t="inlineStr">
        <is>
          <t>Threshold/gate: MTS_BOTTOM_STRONG_THRESHOLD — E_TF', 'HTF_REGIME_VOL_TARGET', 'HTF_TREND_VETO_BYPASS_ENABLED', 'HTF_TREND_VETO_BYPASS_REASONS', 'HTF_W_M_ALIGN_GATE',  | ex: `E_TF', 'HTF_REGIME_VOL_TARGET', 'HTF_TREND_VETO_BYPASS_ENABLED', 'HTF_TREND_VETO`</t>
        </is>
      </c>
      <c r="E361" s="83" t="inlineStr">
        <is>
          <t>ENTRY, GLOBAL_CHECK, STOCKS_EXIT</t>
        </is>
      </c>
      <c r="F361" s="83" t="inlineStr">
        <is>
          <t>ENTRY, GLOBAL_CHECK, STOCKS_EXIT</t>
        </is>
      </c>
      <c r="G361" s="83" t="inlineStr">
        <is>
          <t>MTS_BOTTOM_STRONG_THRESHOLD</t>
        </is>
      </c>
      <c r="H361" s="83" t="inlineStr">
        <is>
          <t>GENERAL</t>
        </is>
      </c>
      <c r="I361" s="83" t="inlineStr">
        <is>
          <t>LIVE — wired</t>
        </is>
      </c>
      <c r="J361" s="84"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3" t="n">
        <v>101</v>
      </c>
      <c r="B362" s="83" t="inlineStr">
        <is>
          <t>MTS_BOTTOM_STRONG_THRESHOLD</t>
        </is>
      </c>
      <c r="C362" s="0" t="inlineStr">
        <is>
          <t>30</t>
        </is>
      </c>
      <c r="D362" s="83" t="inlineStr">
        <is>
          <t>Threshold/gate: MTS_BOTTOM_STRONG_THRESHOLD — E_TF', 'HTF_REGIME_VOL_TARGET', 'HTF_TREND_VETO_BYPASS_ENABLED', 'HTF_TREND_VETO_BYPASS_REASONS', 'HTF_W_M_ALIGN_GATE',  | ex: `E_TF', 'HTF_REGIME_VOL_TARGET', 'HTF_TREND_VETO_BYPASS_ENABLED', 'HTF_TREND_VETO`</t>
        </is>
      </c>
      <c r="E362" s="83" t="inlineStr">
        <is>
          <t>ENTRY, GLOBAL_CHECK, STOCKS_EXIT</t>
        </is>
      </c>
      <c r="F362" s="83" t="inlineStr">
        <is>
          <t>ENTRY, GLOBAL_CHECK, STOCKS_EXIT</t>
        </is>
      </c>
      <c r="G362" s="83" t="inlineStr">
        <is>
          <t>MTS_BOTTOM_STRONG_THRESHOLD</t>
        </is>
      </c>
      <c r="H362" s="83" t="inlineStr">
        <is>
          <t>GENERAL</t>
        </is>
      </c>
      <c r="I362" s="83" t="inlineStr">
        <is>
          <t>LIVE — wired</t>
        </is>
      </c>
      <c r="J362" s="84"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3" t="n">
        <v>101</v>
      </c>
      <c r="B363" s="83" t="inlineStr">
        <is>
          <t>MTS_BOTTOM_STRONG_THRESHOLD</t>
        </is>
      </c>
      <c r="C363" s="0" t="inlineStr">
        <is>
          <t>20</t>
        </is>
      </c>
      <c r="D363" s="83" t="inlineStr">
        <is>
          <t>Threshold/gate: MTS_BOTTOM_STRONG_THRESHOLD — E_TF', 'HTF_REGIME_VOL_TARGET', 'HTF_TREND_VETO_BYPASS_ENABLED', 'HTF_TREND_VETO_BYPASS_REASONS', 'HTF_W_M_ALIGN_GATE',  | ex: `E_TF', 'HTF_REGIME_VOL_TARGET', 'HTF_TREND_VETO_BYPASS_ENABLED', 'HTF_TREND_VETO`</t>
        </is>
      </c>
      <c r="E363" s="83" t="inlineStr">
        <is>
          <t>ENTRY, GLOBAL_CHECK, STOCKS_EXIT</t>
        </is>
      </c>
      <c r="F363" s="83" t="inlineStr">
        <is>
          <t>ENTRY, GLOBAL_CHECK, STOCKS_EXIT</t>
        </is>
      </c>
      <c r="G363" s="83" t="inlineStr">
        <is>
          <t>MTS_BOTTOM_STRONG_THRESHOLD</t>
        </is>
      </c>
      <c r="H363" s="83" t="inlineStr">
        <is>
          <t>GENERAL</t>
        </is>
      </c>
      <c r="I363" s="83" t="inlineStr">
        <is>
          <t>LIVE — wired</t>
        </is>
      </c>
      <c r="J363" s="84"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3" t="n">
        <v>102</v>
      </c>
      <c r="B364" s="93" t="inlineStr">
        <is>
          <t>MTS_GATE_ENABLED</t>
        </is>
      </c>
      <c r="C364" s="0" t="inlineStr">
        <is>
          <t>False</t>
        </is>
      </c>
      <c r="D364" s="83" t="inlineStr">
        <is>
          <t>MTS (Mayer) gate enabled. | Live read: `'HTF_TREND_VETO_BYPASS_ENABLED', 'HTF_TREND_VETO_BYPASS_REASONS', 'HTF_W_M_ALIGN`</t>
        </is>
      </c>
      <c r="E364" s="83" t="inlineStr">
        <is>
          <t>ENTRY, GLOBAL_CHECK, STOCKS_EXIT</t>
        </is>
      </c>
      <c r="F364" s="83" t="inlineStr">
        <is>
          <t>ENTRY, GLOBAL_CHECK, STOCKS_EXIT</t>
        </is>
      </c>
      <c r="G364" s="83" t="inlineStr">
        <is>
          <t>MTS_GATE_ENABLED</t>
        </is>
      </c>
      <c r="H364" s="83" t="inlineStr">
        <is>
          <t>GENERAL</t>
        </is>
      </c>
      <c r="I364" s="83" t="inlineStr">
        <is>
          <t>LIVE — wired</t>
        </is>
      </c>
      <c r="J364" s="84"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3" t="n">
        <v>102</v>
      </c>
      <c r="B365" s="83" t="inlineStr">
        <is>
          <t>MTS_GATE_ENABLED</t>
        </is>
      </c>
      <c r="C365" s="0" t="inlineStr">
        <is>
          <t>True</t>
        </is>
      </c>
      <c r="D365" s="83" t="inlineStr">
        <is>
          <t>MTS (Mayer) gate enabled. | Live read: `'HTF_TREND_VETO_BYPASS_ENABLED', 'HTF_TREND_VETO_BYPASS_REASONS', 'HTF_W_M_ALIGN`</t>
        </is>
      </c>
      <c r="E365" s="83" t="inlineStr">
        <is>
          <t>ENTRY, GLOBAL_CHECK, STOCKS_EXIT</t>
        </is>
      </c>
      <c r="F365" s="83" t="inlineStr">
        <is>
          <t>ENTRY, GLOBAL_CHECK, STOCKS_EXIT</t>
        </is>
      </c>
      <c r="G365" s="83" t="inlineStr">
        <is>
          <t>MTS_GATE_ENABLED</t>
        </is>
      </c>
      <c r="H365" s="83" t="inlineStr">
        <is>
          <t>GENERAL</t>
        </is>
      </c>
      <c r="I365" s="83" t="inlineStr">
        <is>
          <t>LIVE — wired</t>
        </is>
      </c>
      <c r="J365" s="84"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4" t="n">
        <v>103</v>
      </c>
      <c r="B366" s="94"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3" t="n">
        <v>104</v>
      </c>
      <c r="B371" s="93" t="inlineStr">
        <is>
          <t>NEWBORN_LOSS_KILL_GAIN_THRESHOLD_PCT</t>
        </is>
      </c>
      <c r="C371" s="0" t="inlineStr">
        <is>
          <t>0</t>
        </is>
      </c>
      <c r="D371" s="83" t="inlineStr">
        <is>
          <t>Threshold/gate: NEWBORN_LOSS_KILL_GAIN_THRESHOLD_PCT — _PCT', 'MANDATORY_HEDGE_HARD_THRESHOLD_PCT', 'MANDATORY_HEDGE_ON_NEGATIVE_ENABLED', 'MIN_TFS_AGREE_EXIT', 'MI_DIV_EXIT_E | ex: `_PCT', 'MANDATORY_HEDGE_HARD_THRESHOLD_PCT', 'MANDATORY_HEDGE_ON_NEGATIVE_ENABLE`</t>
        </is>
      </c>
      <c r="E371" s="83" t="inlineStr">
        <is>
          <t>AUGMENT, EXIT, GLOBAL_CHECK, REDUCE, STOCKS_EXIT</t>
        </is>
      </c>
      <c r="F371" s="83" t="inlineStr">
        <is>
          <t>AUGMENT, EXIT, GLOBAL_CHECK, REDUCE, STOCKS_EXIT</t>
        </is>
      </c>
      <c r="G371" s="83" t="inlineStr">
        <is>
          <t>NEWBORN_LOSS_KILL_GAIN_THRESHOLD</t>
        </is>
      </c>
      <c r="H371" s="83" t="inlineStr">
        <is>
          <t>GENERAL</t>
        </is>
      </c>
      <c r="I371" s="83" t="inlineStr">
        <is>
          <t>LIVE — wired</t>
        </is>
      </c>
      <c r="J371" s="84"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3" t="n">
        <v>104</v>
      </c>
      <c r="B372" s="83" t="inlineStr">
        <is>
          <t>NEWBORN_LOSS_KILL_GAIN_THRESHOLD_PCT</t>
        </is>
      </c>
      <c r="C372" s="0" t="inlineStr">
        <is>
          <t>2.0</t>
        </is>
      </c>
      <c r="D372" s="83" t="inlineStr">
        <is>
          <t>Threshold/gate: NEWBORN_LOSS_KILL_GAIN_THRESHOLD_PCT — _PCT', 'MANDATORY_HEDGE_HARD_THRESHOLD_PCT', 'MANDATORY_HEDGE_ON_NEGATIVE_ENABLED', 'MIN_TFS_AGREE_EXIT', 'MI_DIV_EXIT_E | ex: `_PCT', 'MANDATORY_HEDGE_HARD_THRESHOLD_PCT', 'MANDATORY_HEDGE_ON_NEGATIVE_ENABLE`</t>
        </is>
      </c>
      <c r="E372" s="83" t="inlineStr">
        <is>
          <t>AUGMENT, EXIT, GLOBAL_CHECK, REDUCE, STOCKS_EXIT</t>
        </is>
      </c>
      <c r="F372" s="83" t="inlineStr">
        <is>
          <t>AUGMENT, EXIT, GLOBAL_CHECK, REDUCE, STOCKS_EXIT</t>
        </is>
      </c>
      <c r="G372" s="83" t="inlineStr">
        <is>
          <t>NEWBORN_LOSS_KILL_GAIN_THRESHOLD</t>
        </is>
      </c>
      <c r="H372" s="83" t="inlineStr">
        <is>
          <t>GENERAL</t>
        </is>
      </c>
      <c r="I372" s="83" t="inlineStr">
        <is>
          <t>LIVE — wired</t>
        </is>
      </c>
      <c r="J372" s="84"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3" t="n">
        <v>104</v>
      </c>
      <c r="B373" s="83" t="inlineStr">
        <is>
          <t>NEWBORN_LOSS_KILL_GAIN_THRESHOLD_PCT</t>
        </is>
      </c>
      <c r="C373" s="0" t="inlineStr">
        <is>
          <t>1.0</t>
        </is>
      </c>
      <c r="D373" s="83" t="inlineStr">
        <is>
          <t>Threshold/gate: NEWBORN_LOSS_KILL_GAIN_THRESHOLD_PCT — _PCT', 'MANDATORY_HEDGE_HARD_THRESHOLD_PCT', 'MANDATORY_HEDGE_ON_NEGATIVE_ENABLED', 'MIN_TFS_AGREE_EXIT', 'MI_DIV_EXIT_E | ex: `_PCT', 'MANDATORY_HEDGE_HARD_THRESHOLD_PCT', 'MANDATORY_HEDGE_ON_NEGATIVE_ENABLE`</t>
        </is>
      </c>
      <c r="E373" s="83" t="inlineStr">
        <is>
          <t>AUGMENT, EXIT, GLOBAL_CHECK, REDUCE, STOCKS_EXIT</t>
        </is>
      </c>
      <c r="F373" s="83" t="inlineStr">
        <is>
          <t>AUGMENT, EXIT, GLOBAL_CHECK, REDUCE, STOCKS_EXIT</t>
        </is>
      </c>
      <c r="G373" s="83" t="inlineStr">
        <is>
          <t>NEWBORN_LOSS_KILL_GAIN_THRESHOLD</t>
        </is>
      </c>
      <c r="H373" s="83" t="inlineStr">
        <is>
          <t>GENERAL</t>
        </is>
      </c>
      <c r="I373" s="83" t="inlineStr">
        <is>
          <t>LIVE — wired</t>
        </is>
      </c>
      <c r="J373" s="84"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3" t="n">
        <v>104</v>
      </c>
      <c r="B374" s="83" t="inlineStr">
        <is>
          <t>NEWBORN_LOSS_KILL_GAIN_THRESHOLD_PCT</t>
        </is>
      </c>
      <c r="C374" s="0" t="inlineStr">
        <is>
          <t>0.5</t>
        </is>
      </c>
      <c r="D374" s="83" t="inlineStr">
        <is>
          <t>Threshold/gate: NEWBORN_LOSS_KILL_GAIN_THRESHOLD_PCT — _PCT', 'MANDATORY_HEDGE_HARD_THRESHOLD_PCT', 'MANDATORY_HEDGE_ON_NEGATIVE_ENABLED', 'MIN_TFS_AGREE_EXIT', 'MI_DIV_EXIT_E | ex: `_PCT', 'MANDATORY_HEDGE_HARD_THRESHOLD_PCT', 'MANDATORY_HEDGE_ON_NEGATIVE_ENABLE`</t>
        </is>
      </c>
      <c r="E374" s="83" t="inlineStr">
        <is>
          <t>AUGMENT, EXIT, GLOBAL_CHECK, REDUCE, STOCKS_EXIT</t>
        </is>
      </c>
      <c r="F374" s="83" t="inlineStr">
        <is>
          <t>AUGMENT, EXIT, GLOBAL_CHECK, REDUCE, STOCKS_EXIT</t>
        </is>
      </c>
      <c r="G374" s="83" t="inlineStr">
        <is>
          <t>NEWBORN_LOSS_KILL_GAIN_THRESHOLD</t>
        </is>
      </c>
      <c r="H374" s="83" t="inlineStr">
        <is>
          <t>GENERAL</t>
        </is>
      </c>
      <c r="I374" s="83" t="inlineStr">
        <is>
          <t>LIVE — wired</t>
        </is>
      </c>
      <c r="J374" s="84"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3" t="n">
        <v>105</v>
      </c>
      <c r="B375" s="93" t="inlineStr">
        <is>
          <t>NEWBORN_LOSS_KILL_REQUIRE_VEL_AGAINST</t>
        </is>
      </c>
      <c r="C375" s="0" t="inlineStr">
        <is>
          <t>0.0</t>
        </is>
      </c>
      <c r="D375" s="83" t="inlineStr">
        <is>
          <t>Threshold/gate: NEWBORN_LOSS_KILL_REQUIRE_VEL_AGAINST — CT', 'MANDATORY_HEDGE_ON_NEGATIVE_ENABLED', 'MIN_TFS_AGREE_EXIT', 'MI_DIV_EXIT_ENABLED', 'MI_EXHAUST_EXIT_ENABLED', 'MI_ | ex: `CT', 'MANDATORY_HEDGE_ON_NEGATIVE_ENABLED', 'MIN_TFS_AGREE_EXIT', 'MI_DIV_EXIT_E`</t>
        </is>
      </c>
      <c r="E375" s="83" t="inlineStr">
        <is>
          <t>AUGMENT, EXIT, GLOBAL_CHECK, REDUCE, STOCKS_EXIT</t>
        </is>
      </c>
      <c r="F375" s="83" t="inlineStr">
        <is>
          <t>AUGMENT, EXIT, GLOBAL_CHECK, REDUCE, STOCKS_EXIT</t>
        </is>
      </c>
      <c r="G375" s="83" t="inlineStr">
        <is>
          <t>NEWBORN_LOSS_KILL_REQUIRE_VEL_AG</t>
        </is>
      </c>
      <c r="H375" s="83" t="inlineStr">
        <is>
          <t>GENERAL</t>
        </is>
      </c>
      <c r="I375" s="83" t="inlineStr">
        <is>
          <t>LIVE — wired</t>
        </is>
      </c>
      <c r="J375" s="84"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3" t="n">
        <v>105</v>
      </c>
      <c r="B376" s="83" t="inlineStr">
        <is>
          <t>NEWBORN_LOSS_KILL_REQUIRE_VEL_AGAINST</t>
        </is>
      </c>
      <c r="C376" s="0" t="inlineStr">
        <is>
          <t>0.0_ALT</t>
        </is>
      </c>
      <c r="D376" s="83" t="inlineStr">
        <is>
          <t>Threshold/gate: NEWBORN_LOSS_KILL_REQUIRE_VEL_AGAINST — CT', 'MANDATORY_HEDGE_ON_NEGATIVE_ENABLED', 'MIN_TFS_AGREE_EXIT', 'MI_DIV_EXIT_ENABLED', 'MI_EXHAUST_EXIT_ENABLED', 'MI_ | ex: `CT', 'MANDATORY_HEDGE_ON_NEGATIVE_ENABLED', 'MIN_TFS_AGREE_EXIT', 'MI_DIV_EXIT_E`</t>
        </is>
      </c>
      <c r="E376" s="83" t="inlineStr">
        <is>
          <t>AUGMENT, EXIT, GLOBAL_CHECK, REDUCE, STOCKS_EXIT</t>
        </is>
      </c>
      <c r="F376" s="83" t="inlineStr">
        <is>
          <t>AUGMENT, EXIT, GLOBAL_CHECK, REDUCE, STOCKS_EXIT</t>
        </is>
      </c>
      <c r="G376" s="83" t="inlineStr">
        <is>
          <t>NEWBORN_LOSS_KILL_REQUIRE_VEL_AG</t>
        </is>
      </c>
      <c r="H376" s="83" t="inlineStr">
        <is>
          <t>GENERAL</t>
        </is>
      </c>
      <c r="I376" s="83" t="inlineStr">
        <is>
          <t>LIVE — wired</t>
        </is>
      </c>
      <c r="J376" s="84"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4" t="n">
        <v>106</v>
      </c>
      <c r="B377" s="94"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3" t="n">
        <v>107</v>
      </c>
      <c r="B382" s="93" t="inlineStr">
        <is>
          <t>NEW_POSITION_MAX_LOSS_THRESHOLD</t>
        </is>
      </c>
      <c r="C382" s="0" t="inlineStr">
        <is>
          <t>0</t>
        </is>
      </c>
      <c r="D382" s="83" t="inlineStr">
        <is>
          <t>Threshold/gate: NEW_POSITION_MAX_LOSS_THRESHOLD — _EXHAUSTIVE_REDUCE_LIST_LIVE = ['DC_BREACH_REDUCE_ENABLED', 'DC_BREACH_REDUCE_FILTER_TF', 'DC_BREACH_REDUCE_MIN_TFS', 'D | ex: `_EXHAUSTIVE_REDUCE_LIST_LIVE = ['DC_BREACH_REDUCE_ENABLED', 'DC_BREACH_REDUCE_FI`</t>
        </is>
      </c>
      <c r="E382" s="83" t="inlineStr">
        <is>
          <t>AUGMENT, EXIT, GLOBAL_CHECK, REDUCE, STOCKS_EXIT</t>
        </is>
      </c>
      <c r="F382" s="83" t="inlineStr">
        <is>
          <t>AUGMENT, EXIT, GLOBAL_CHECK, REDUCE, STOCKS_EXIT</t>
        </is>
      </c>
      <c r="G382" s="83" t="inlineStr">
        <is>
          <t>NEW_POSITION_MAX_LOSS_THRESHOLD</t>
        </is>
      </c>
      <c r="H382" s="83" t="inlineStr">
        <is>
          <t>GENERAL</t>
        </is>
      </c>
      <c r="I382" s="83" t="inlineStr">
        <is>
          <t>LIVE — wired</t>
        </is>
      </c>
      <c r="J382" s="84"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3" t="n">
        <v>107</v>
      </c>
      <c r="B383" s="83" t="inlineStr">
        <is>
          <t>NEW_POSITION_MAX_LOSS_THRESHOLD</t>
        </is>
      </c>
      <c r="C383" s="0" t="inlineStr">
        <is>
          <t>2.0</t>
        </is>
      </c>
      <c r="D383" s="83" t="inlineStr">
        <is>
          <t>Threshold/gate: NEW_POSITION_MAX_LOSS_THRESHOLD — _EXHAUSTIVE_REDUCE_LIST_LIVE = ['DC_BREACH_REDUCE_ENABLED', 'DC_BREACH_REDUCE_FILTER_TF', 'DC_BREACH_REDUCE_MIN_TFS', 'D | ex: `_EXHAUSTIVE_REDUCE_LIST_LIVE = ['DC_BREACH_REDUCE_ENABLED', 'DC_BREACH_REDUCE_FI`</t>
        </is>
      </c>
      <c r="E383" s="83" t="inlineStr">
        <is>
          <t>AUGMENT, EXIT, GLOBAL_CHECK, REDUCE, STOCKS_EXIT</t>
        </is>
      </c>
      <c r="F383" s="83" t="inlineStr">
        <is>
          <t>AUGMENT, EXIT, GLOBAL_CHECK, REDUCE, STOCKS_EXIT</t>
        </is>
      </c>
      <c r="G383" s="83" t="inlineStr">
        <is>
          <t>NEW_POSITION_MAX_LOSS_THRESHOLD</t>
        </is>
      </c>
      <c r="H383" s="83" t="inlineStr">
        <is>
          <t>GENERAL</t>
        </is>
      </c>
      <c r="I383" s="83" t="inlineStr">
        <is>
          <t>LIVE — wired</t>
        </is>
      </c>
      <c r="J383" s="84"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3" t="n">
        <v>107</v>
      </c>
      <c r="B384" s="83" t="inlineStr">
        <is>
          <t>NEW_POSITION_MAX_LOSS_THRESHOLD</t>
        </is>
      </c>
      <c r="C384" s="0" t="inlineStr">
        <is>
          <t>1.0</t>
        </is>
      </c>
      <c r="D384" s="83" t="inlineStr">
        <is>
          <t>Threshold/gate: NEW_POSITION_MAX_LOSS_THRESHOLD — _EXHAUSTIVE_REDUCE_LIST_LIVE = ['DC_BREACH_REDUCE_ENABLED', 'DC_BREACH_REDUCE_FILTER_TF', 'DC_BREACH_REDUCE_MIN_TFS', 'D | ex: `_EXHAUSTIVE_REDUCE_LIST_LIVE = ['DC_BREACH_REDUCE_ENABLED', 'DC_BREACH_REDUCE_FI`</t>
        </is>
      </c>
      <c r="E384" s="83" t="inlineStr">
        <is>
          <t>AUGMENT, EXIT, GLOBAL_CHECK, REDUCE, STOCKS_EXIT</t>
        </is>
      </c>
      <c r="F384" s="83" t="inlineStr">
        <is>
          <t>AUGMENT, EXIT, GLOBAL_CHECK, REDUCE, STOCKS_EXIT</t>
        </is>
      </c>
      <c r="G384" s="83" t="inlineStr">
        <is>
          <t>NEW_POSITION_MAX_LOSS_THRESHOLD</t>
        </is>
      </c>
      <c r="H384" s="83" t="inlineStr">
        <is>
          <t>GENERAL</t>
        </is>
      </c>
      <c r="I384" s="83" t="inlineStr">
        <is>
          <t>LIVE — wired</t>
        </is>
      </c>
      <c r="J384" s="84"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3" t="n">
        <v>107</v>
      </c>
      <c r="B385" s="83" t="inlineStr">
        <is>
          <t>NEW_POSITION_MAX_LOSS_THRESHOLD</t>
        </is>
      </c>
      <c r="C385" s="0" t="inlineStr">
        <is>
          <t>0.5</t>
        </is>
      </c>
      <c r="D385" s="83" t="inlineStr">
        <is>
          <t>Threshold/gate: NEW_POSITION_MAX_LOSS_THRESHOLD — _EXHAUSTIVE_REDUCE_LIST_LIVE = ['DC_BREACH_REDUCE_ENABLED', 'DC_BREACH_REDUCE_FILTER_TF', 'DC_BREACH_REDUCE_MIN_TFS', 'D | ex: `_EXHAUSTIVE_REDUCE_LIST_LIVE = ['DC_BREACH_REDUCE_ENABLED', 'DC_BREACH_REDUCE_FI`</t>
        </is>
      </c>
      <c r="E385" s="83" t="inlineStr">
        <is>
          <t>AUGMENT, EXIT, GLOBAL_CHECK, REDUCE, STOCKS_EXIT</t>
        </is>
      </c>
      <c r="F385" s="83" t="inlineStr">
        <is>
          <t>AUGMENT, EXIT, GLOBAL_CHECK, REDUCE, STOCKS_EXIT</t>
        </is>
      </c>
      <c r="G385" s="83" t="inlineStr">
        <is>
          <t>NEW_POSITION_MAX_LOSS_THRESHOLD</t>
        </is>
      </c>
      <c r="H385" s="83" t="inlineStr">
        <is>
          <t>GENERAL</t>
        </is>
      </c>
      <c r="I385" s="83" t="inlineStr">
        <is>
          <t>LIVE — wired</t>
        </is>
      </c>
      <c r="J385" s="84"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4" t="n">
        <v>108</v>
      </c>
      <c r="B386" s="94"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3" t="n">
        <v>109</v>
      </c>
      <c r="B391" s="93" t="inlineStr">
        <is>
          <t>OI_CONFIRM_ENABLED</t>
        </is>
      </c>
      <c r="C391" s="0" t="inlineStr">
        <is>
          <t>False</t>
        </is>
      </c>
      <c r="D391" s="83" t="inlineStr">
        <is>
          <t>Open Interest confirmation enabled. | Live read: `N_GATE', 'LEADERBOARD_FILTER', 'LIVE_ONLY_SIGNALS_BATCH5_FILTER_TF', 'LIVE_VEC_E`</t>
        </is>
      </c>
      <c r="E391" s="83" t="inlineStr">
        <is>
          <t>ENTRY, GLOBAL_CHECK, STOCKS_EXIT</t>
        </is>
      </c>
      <c r="F391" s="83" t="inlineStr">
        <is>
          <t>ENTRY, GLOBAL_CHECK, STOCKS_EXIT</t>
        </is>
      </c>
      <c r="G391" s="83" t="inlineStr">
        <is>
          <t>OI_CONFIRM_ENABLED</t>
        </is>
      </c>
      <c r="H391" s="83" t="inlineStr">
        <is>
          <t>GENERAL</t>
        </is>
      </c>
      <c r="I391" s="83" t="inlineStr">
        <is>
          <t>LIVE — wired</t>
        </is>
      </c>
      <c r="J391" s="84"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3" t="n">
        <v>109</v>
      </c>
      <c r="B392" s="83" t="inlineStr">
        <is>
          <t>OI_CONFIRM_ENABLED</t>
        </is>
      </c>
      <c r="C392" s="0" t="inlineStr">
        <is>
          <t>True</t>
        </is>
      </c>
      <c r="D392" s="83" t="inlineStr">
        <is>
          <t>Open Interest confirmation enabled. | Live read: `N_GATE', 'LEADERBOARD_FILTER', 'LIVE_ONLY_SIGNALS_BATCH5_FILTER_TF', 'LIVE_VEC_E`</t>
        </is>
      </c>
      <c r="E392" s="83" t="inlineStr">
        <is>
          <t>ENTRY, GLOBAL_CHECK, STOCKS_EXIT</t>
        </is>
      </c>
      <c r="F392" s="83" t="inlineStr">
        <is>
          <t>ENTRY, GLOBAL_CHECK, STOCKS_EXIT</t>
        </is>
      </c>
      <c r="G392" s="83" t="inlineStr">
        <is>
          <t>OI_CONFIRM_ENABLED</t>
        </is>
      </c>
      <c r="H392" s="83" t="inlineStr">
        <is>
          <t>GENERAL</t>
        </is>
      </c>
      <c r="I392" s="83" t="inlineStr">
        <is>
          <t>LIVE — wired</t>
        </is>
      </c>
      <c r="J392" s="84"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3" t="n">
        <v>110</v>
      </c>
      <c r="B393" s="93" t="inlineStr">
        <is>
          <t>OI_CONFIRM_MIN_CHANGE_PCT</t>
        </is>
      </c>
      <c r="C393" s="0" t="inlineStr">
        <is>
          <t>0</t>
        </is>
      </c>
      <c r="D393" s="83" t="inlineStr">
        <is>
          <t>Threshold/gate: OI_CONFIRM_MIN_CHANGE_PCT — FILTER', 'LIVE_ONLY_SIGNALS_BATCH5_FILTER_TF', 'LIVE_VEC_EMERGENCY_BRAKE_ENABLED', 'LR_BAND_LADDER_STOCH_EXTREME', 'LR_B | ex: `FILTER', 'LIVE_ONLY_SIGNALS_BATCH5_FILTER_TF', 'LIVE_VEC_EMERGENCY_BRAKE_ENABLED`</t>
        </is>
      </c>
      <c r="E393" s="83" t="inlineStr">
        <is>
          <t>ENTRY, GLOBAL_CHECK, STOCKS_EXIT</t>
        </is>
      </c>
      <c r="F393" s="83" t="inlineStr">
        <is>
          <t>ENTRY, GLOBAL_CHECK, STOCKS_EXIT</t>
        </is>
      </c>
      <c r="G393" s="83" t="inlineStr">
        <is>
          <t>OI_CONFIRM_MIN_CHANGE_PCT</t>
        </is>
      </c>
      <c r="H393" s="83" t="inlineStr">
        <is>
          <t>GENERAL</t>
        </is>
      </c>
      <c r="I393" s="83" t="inlineStr">
        <is>
          <t>LIVE — wired</t>
        </is>
      </c>
      <c r="J393" s="84"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3" t="n">
        <v>110</v>
      </c>
      <c r="B394" s="83" t="inlineStr">
        <is>
          <t>OI_CONFIRM_MIN_CHANGE_PCT</t>
        </is>
      </c>
      <c r="C394" s="0" t="inlineStr">
        <is>
          <t>2.0</t>
        </is>
      </c>
      <c r="D394" s="83" t="inlineStr">
        <is>
          <t>Threshold/gate: OI_CONFIRM_MIN_CHANGE_PCT — FILTER', 'LIVE_ONLY_SIGNALS_BATCH5_FILTER_TF', 'LIVE_VEC_EMERGENCY_BRAKE_ENABLED', 'LR_BAND_LADDER_STOCH_EXTREME', 'LR_B | ex: `FILTER', 'LIVE_ONLY_SIGNALS_BATCH5_FILTER_TF', 'LIVE_VEC_EMERGENCY_BRAKE_ENABLED`</t>
        </is>
      </c>
      <c r="E394" s="83" t="inlineStr">
        <is>
          <t>ENTRY, GLOBAL_CHECK, STOCKS_EXIT</t>
        </is>
      </c>
      <c r="F394" s="83" t="inlineStr">
        <is>
          <t>ENTRY, GLOBAL_CHECK, STOCKS_EXIT</t>
        </is>
      </c>
      <c r="G394" s="83" t="inlineStr">
        <is>
          <t>OI_CONFIRM_MIN_CHANGE_PCT</t>
        </is>
      </c>
      <c r="H394" s="83" t="inlineStr">
        <is>
          <t>GENERAL</t>
        </is>
      </c>
      <c r="I394" s="83" t="inlineStr">
        <is>
          <t>LIVE — wired</t>
        </is>
      </c>
      <c r="J394" s="84"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3" t="n">
        <v>110</v>
      </c>
      <c r="B395" s="83" t="inlineStr">
        <is>
          <t>OI_CONFIRM_MIN_CHANGE_PCT</t>
        </is>
      </c>
      <c r="C395" s="0" t="inlineStr">
        <is>
          <t>1.0</t>
        </is>
      </c>
      <c r="D395" s="83" t="inlineStr">
        <is>
          <t>Threshold/gate: OI_CONFIRM_MIN_CHANGE_PCT — FILTER', 'LIVE_ONLY_SIGNALS_BATCH5_FILTER_TF', 'LIVE_VEC_EMERGENCY_BRAKE_ENABLED', 'LR_BAND_LADDER_STOCH_EXTREME', 'LR_B | ex: `FILTER', 'LIVE_ONLY_SIGNALS_BATCH5_FILTER_TF', 'LIVE_VEC_EMERGENCY_BRAKE_ENABLED`</t>
        </is>
      </c>
      <c r="E395" s="83" t="inlineStr">
        <is>
          <t>ENTRY, GLOBAL_CHECK, STOCKS_EXIT</t>
        </is>
      </c>
      <c r="F395" s="83" t="inlineStr">
        <is>
          <t>ENTRY, GLOBAL_CHECK, STOCKS_EXIT</t>
        </is>
      </c>
      <c r="G395" s="83" t="inlineStr">
        <is>
          <t>OI_CONFIRM_MIN_CHANGE_PCT</t>
        </is>
      </c>
      <c r="H395" s="83" t="inlineStr">
        <is>
          <t>GENERAL</t>
        </is>
      </c>
      <c r="I395" s="83" t="inlineStr">
        <is>
          <t>LIVE — wired</t>
        </is>
      </c>
      <c r="J395" s="84"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3" t="n">
        <v>110</v>
      </c>
      <c r="B396" s="83" t="inlineStr">
        <is>
          <t>OI_CONFIRM_MIN_CHANGE_PCT</t>
        </is>
      </c>
      <c r="C396" s="0" t="inlineStr">
        <is>
          <t>0.5</t>
        </is>
      </c>
      <c r="D396" s="83" t="inlineStr">
        <is>
          <t>Threshold/gate: OI_CONFIRM_MIN_CHANGE_PCT — FILTER', 'LIVE_ONLY_SIGNALS_BATCH5_FILTER_TF', 'LIVE_VEC_EMERGENCY_BRAKE_ENABLED', 'LR_BAND_LADDER_STOCH_EXTREME', 'LR_B | ex: `FILTER', 'LIVE_ONLY_SIGNALS_BATCH5_FILTER_TF', 'LIVE_VEC_EMERGENCY_BRAKE_ENABLED`</t>
        </is>
      </c>
      <c r="E396" s="83" t="inlineStr">
        <is>
          <t>ENTRY, GLOBAL_CHECK, STOCKS_EXIT</t>
        </is>
      </c>
      <c r="F396" s="83" t="inlineStr">
        <is>
          <t>ENTRY, GLOBAL_CHECK, STOCKS_EXIT</t>
        </is>
      </c>
      <c r="G396" s="83" t="inlineStr">
        <is>
          <t>OI_CONFIRM_MIN_CHANGE_PCT</t>
        </is>
      </c>
      <c r="H396" s="83" t="inlineStr">
        <is>
          <t>GENERAL</t>
        </is>
      </c>
      <c r="I396" s="83" t="inlineStr">
        <is>
          <t>LIVE — wired</t>
        </is>
      </c>
      <c r="J396" s="84"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3" t="n">
        <v>111</v>
      </c>
      <c r="B397" s="93" t="inlineStr">
        <is>
          <t>OI_CONFIRM_MIN_PRICE_PCT</t>
        </is>
      </c>
      <c r="C397" s="0" t="inlineStr">
        <is>
          <t>0</t>
        </is>
      </c>
      <c r="D397" s="83" t="inlineStr">
        <is>
          <t>Threshold/gate: OI_CONFIRM_MIN_PRICE_PCT — ATCH5_FILTER_TF', 'LIVE_VEC_EMERGENCY_BRAKE_ENABLED', 'LR_BAND_LADDER_STOCH_EXTREME', 'LR_BAND_LADDER_TF_BOTTOM', 'LR_BA | ex: `ATCH5_FILTER_TF', 'LIVE_VEC_EMERGENCY_BRAKE_ENABLED', 'LR_BAND_LADDER_STOCH_EXTR`</t>
        </is>
      </c>
      <c r="E397" s="83" t="inlineStr">
        <is>
          <t>ENTRY, GLOBAL_CHECK, STOCKS_EXIT</t>
        </is>
      </c>
      <c r="F397" s="83" t="inlineStr">
        <is>
          <t>ENTRY, GLOBAL_CHECK, STOCKS_EXIT</t>
        </is>
      </c>
      <c r="G397" s="83" t="inlineStr">
        <is>
          <t>OI_CONFIRM_MIN_PRICE_PCT</t>
        </is>
      </c>
      <c r="H397" s="83" t="inlineStr">
        <is>
          <t>GENERAL</t>
        </is>
      </c>
      <c r="I397" s="83" t="inlineStr">
        <is>
          <t>LIVE — wired</t>
        </is>
      </c>
      <c r="J397" s="84"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3" t="n">
        <v>111</v>
      </c>
      <c r="B398" s="83" t="inlineStr">
        <is>
          <t>OI_CONFIRM_MIN_PRICE_PCT</t>
        </is>
      </c>
      <c r="C398" s="0" t="inlineStr">
        <is>
          <t>2.0</t>
        </is>
      </c>
      <c r="D398" s="83" t="inlineStr">
        <is>
          <t>Threshold/gate: OI_CONFIRM_MIN_PRICE_PCT — ATCH5_FILTER_TF', 'LIVE_VEC_EMERGENCY_BRAKE_ENABLED', 'LR_BAND_LADDER_STOCH_EXTREME', 'LR_BAND_LADDER_TF_BOTTOM', 'LR_BA | ex: `ATCH5_FILTER_TF', 'LIVE_VEC_EMERGENCY_BRAKE_ENABLED', 'LR_BAND_LADDER_STOCH_EXTR`</t>
        </is>
      </c>
      <c r="E398" s="83" t="inlineStr">
        <is>
          <t>ENTRY, GLOBAL_CHECK, STOCKS_EXIT</t>
        </is>
      </c>
      <c r="F398" s="83" t="inlineStr">
        <is>
          <t>ENTRY, GLOBAL_CHECK, STOCKS_EXIT</t>
        </is>
      </c>
      <c r="G398" s="83" t="inlineStr">
        <is>
          <t>OI_CONFIRM_MIN_PRICE_PCT</t>
        </is>
      </c>
      <c r="H398" s="83" t="inlineStr">
        <is>
          <t>GENERAL</t>
        </is>
      </c>
      <c r="I398" s="83" t="inlineStr">
        <is>
          <t>LIVE — wired</t>
        </is>
      </c>
      <c r="J398" s="84"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3" t="n">
        <v>111</v>
      </c>
      <c r="B399" s="83" t="inlineStr">
        <is>
          <t>OI_CONFIRM_MIN_PRICE_PCT</t>
        </is>
      </c>
      <c r="C399" s="0" t="inlineStr">
        <is>
          <t>1.0</t>
        </is>
      </c>
      <c r="D399" s="83" t="inlineStr">
        <is>
          <t>Threshold/gate: OI_CONFIRM_MIN_PRICE_PCT — ATCH5_FILTER_TF', 'LIVE_VEC_EMERGENCY_BRAKE_ENABLED', 'LR_BAND_LADDER_STOCH_EXTREME', 'LR_BAND_LADDER_TF_BOTTOM', 'LR_BA | ex: `ATCH5_FILTER_TF', 'LIVE_VEC_EMERGENCY_BRAKE_ENABLED', 'LR_BAND_LADDER_STOCH_EXTR`</t>
        </is>
      </c>
      <c r="E399" s="83" t="inlineStr">
        <is>
          <t>ENTRY, GLOBAL_CHECK, STOCKS_EXIT</t>
        </is>
      </c>
      <c r="F399" s="83" t="inlineStr">
        <is>
          <t>ENTRY, GLOBAL_CHECK, STOCKS_EXIT</t>
        </is>
      </c>
      <c r="G399" s="83" t="inlineStr">
        <is>
          <t>OI_CONFIRM_MIN_PRICE_PCT</t>
        </is>
      </c>
      <c r="H399" s="83" t="inlineStr">
        <is>
          <t>GENERAL</t>
        </is>
      </c>
      <c r="I399" s="83" t="inlineStr">
        <is>
          <t>LIVE — wired</t>
        </is>
      </c>
      <c r="J399" s="84"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3" t="n">
        <v>111</v>
      </c>
      <c r="B400" s="83" t="inlineStr">
        <is>
          <t>OI_CONFIRM_MIN_PRICE_PCT</t>
        </is>
      </c>
      <c r="C400" s="0" t="inlineStr">
        <is>
          <t>0.5</t>
        </is>
      </c>
      <c r="D400" s="83" t="inlineStr">
        <is>
          <t>Threshold/gate: OI_CONFIRM_MIN_PRICE_PCT — ATCH5_FILTER_TF', 'LIVE_VEC_EMERGENCY_BRAKE_ENABLED', 'LR_BAND_LADDER_STOCH_EXTREME', 'LR_BAND_LADDER_TF_BOTTOM', 'LR_BA | ex: `ATCH5_FILTER_TF', 'LIVE_VEC_EMERGENCY_BRAKE_ENABLED', 'LR_BAND_LADDER_STOCH_EXTR`</t>
        </is>
      </c>
      <c r="E400" s="83" t="inlineStr">
        <is>
          <t>ENTRY, GLOBAL_CHECK, STOCKS_EXIT</t>
        </is>
      </c>
      <c r="F400" s="83" t="inlineStr">
        <is>
          <t>ENTRY, GLOBAL_CHECK, STOCKS_EXIT</t>
        </is>
      </c>
      <c r="G400" s="83" t="inlineStr">
        <is>
          <t>OI_CONFIRM_MIN_PRICE_PCT</t>
        </is>
      </c>
      <c r="H400" s="83" t="inlineStr">
        <is>
          <t>GENERAL</t>
        </is>
      </c>
      <c r="I400" s="83" t="inlineStr">
        <is>
          <t>LIVE — wired</t>
        </is>
      </c>
      <c r="J400" s="84"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4" t="n">
        <v>112</v>
      </c>
      <c r="B401" s="94"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4" t="n">
        <v>113</v>
      </c>
      <c r="B406" s="94"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4" t="n">
        <v>114</v>
      </c>
      <c r="B411" s="94"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1" t="n">
        <v>421</v>
      </c>
      <c r="B416" s="91"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1" t="n">
        <v>422</v>
      </c>
      <c r="B417" s="91"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1" t="n">
        <v>423</v>
      </c>
      <c r="B418" s="91"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1" t="n">
        <v>424</v>
      </c>
      <c r="B419" s="91"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1" t="n">
        <v>425</v>
      </c>
      <c r="B420" s="91"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1" t="n">
        <v>426</v>
      </c>
      <c r="B421" s="91"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1" t="n">
        <v>427</v>
      </c>
      <c r="B422" s="91"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1" t="n">
        <v>428</v>
      </c>
      <c r="B423" s="91"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1" t="n">
        <v>429</v>
      </c>
      <c r="B424" s="91"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1" t="n">
        <v>430</v>
      </c>
      <c r="B425" s="91"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1" t="n">
        <v>431</v>
      </c>
      <c r="B426" s="91"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1" t="n">
        <v>432</v>
      </c>
      <c r="B427" s="91"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1" t="inlineStr">
        <is>
          <t>STDEV_SLOPE_SIZING_ENABLED</t>
        </is>
      </c>
      <c r="B428" s="91" t="inlineStr">
        <is>
          <t>STDEV_SLOPE_SIZING</t>
        </is>
      </c>
      <c r="C428" s="0" t="inlineStr">
        <is>
          <t>STDEV_DAILY_6MO</t>
        </is>
      </c>
      <c r="D428" s="0" t="inlineStr">
        <is>
          <t>STDEV_LADDER</t>
        </is>
      </c>
      <c r="E428" s="0" t="inlineStr">
        <is>
          <t>1x top -&gt; 10x slope/bottom D, 4x 4h, 2x 1h stdev 2.5</t>
        </is>
      </c>
    </row>
    <row r="429" ht="15.75" customHeight="1" s="67">
      <c r="A429" s="91" t="inlineStr">
        <is>
          <t>STDEV_BAND_MULTIPLIER</t>
        </is>
      </c>
      <c r="B429" s="91" t="inlineStr">
        <is>
          <t>STDEV_SLOPE_SIZING</t>
        </is>
      </c>
      <c r="C429" s="0" t="inlineStr">
        <is>
          <t>STDEV_DAILY_6MO</t>
        </is>
      </c>
      <c r="D429" s="0" t="inlineStr">
        <is>
          <t>STDEV_LADDER</t>
        </is>
      </c>
      <c r="E429" s="0" t="inlineStr">
        <is>
          <t>1x top -&gt; 10x slope/bottom D, 4x 4h, 2x 1h stdev 2.5</t>
        </is>
      </c>
    </row>
    <row r="430" ht="15.75" customHeight="1" s="67">
      <c r="A430" s="91" t="inlineStr">
        <is>
          <t>STDEV_SLOPE_SIZING_D_MAX</t>
        </is>
      </c>
      <c r="B430" s="91" t="inlineStr">
        <is>
          <t>STDEV_SLOPE_SIZING</t>
        </is>
      </c>
      <c r="C430" s="0" t="inlineStr">
        <is>
          <t>STDEV_DAILY_6MO</t>
        </is>
      </c>
      <c r="D430" s="0" t="inlineStr">
        <is>
          <t>STDEV_LADDER</t>
        </is>
      </c>
      <c r="E430" s="0" t="inlineStr">
        <is>
          <t>1x top -&gt; 10x slope/bottom D, 4x 4h, 2x 1h stdev 2.5</t>
        </is>
      </c>
    </row>
    <row r="431" ht="15.75" customHeight="1" s="67">
      <c r="A431" s="91" t="inlineStr">
        <is>
          <t>STDEV_SLOPE_SIZING_4H_MAX</t>
        </is>
      </c>
      <c r="B431" s="91" t="inlineStr">
        <is>
          <t>STDEV_SLOPE_SIZING</t>
        </is>
      </c>
      <c r="C431" s="0" t="inlineStr">
        <is>
          <t>STDEV_DAILY_6MO</t>
        </is>
      </c>
      <c r="D431" s="0" t="inlineStr">
        <is>
          <t>STDEV_LADDER</t>
        </is>
      </c>
      <c r="E431" s="0" t="inlineStr">
        <is>
          <t>1x top -&gt; 10x slope/bottom D, 4x 4h, 2x 1h stdev 2.5</t>
        </is>
      </c>
    </row>
    <row r="432" ht="15.75" customHeight="1" s="67">
      <c r="A432" s="91" t="inlineStr">
        <is>
          <t>STDEV_SLOPE_SIZING_1H_MAX</t>
        </is>
      </c>
      <c r="B432" s="91" t="inlineStr">
        <is>
          <t>STDEV_SLOPE_SIZING</t>
        </is>
      </c>
      <c r="C432" s="0" t="inlineStr">
        <is>
          <t>STDEV_DAILY_6MO</t>
        </is>
      </c>
      <c r="D432" s="0" t="inlineStr">
        <is>
          <t>STDEV_LADDER</t>
        </is>
      </c>
      <c r="E432" s="0" t="inlineStr">
        <is>
          <t>1x top -&gt; 10x slope/bottom D, 4x 4h, 2x 1h stdev 2.5</t>
        </is>
      </c>
    </row>
    <row r="433" ht="15.75" customHeight="1" s="67">
      <c r="A433" s="91" t="inlineStr">
        <is>
          <t>STDEV_SLOPE_SIZING_15M_MAX</t>
        </is>
      </c>
      <c r="B433" s="91" t="inlineStr">
        <is>
          <t>STDEV_SLOPE_SIZING</t>
        </is>
      </c>
      <c r="C433" s="0" t="inlineStr">
        <is>
          <t>STDEV_DAILY_6MO</t>
        </is>
      </c>
      <c r="D433" s="0" t="inlineStr">
        <is>
          <t>STDEV_LADDER</t>
        </is>
      </c>
      <c r="E433" s="0" t="inlineStr">
        <is>
          <t>1x top -&gt; 10x slope/bottom D, 4x 4h, 2x 1h stdev 2.5</t>
        </is>
      </c>
    </row>
    <row r="434" ht="15.75" customHeight="1" s="67">
      <c r="A434" s="91" t="inlineStr">
        <is>
          <t>STDEV_SLOPE_LOOKBACK_D</t>
        </is>
      </c>
      <c r="B434" s="91" t="inlineStr">
        <is>
          <t>STDEV_SLOPE_SIZING</t>
        </is>
      </c>
      <c r="C434" s="0" t="inlineStr">
        <is>
          <t>STDEV_DAILY_6MO</t>
        </is>
      </c>
      <c r="D434" s="0" t="inlineStr">
        <is>
          <t>STDEV_LADDER</t>
        </is>
      </c>
      <c r="E434" s="0" t="inlineStr">
        <is>
          <t>1x top -&gt; 10x slope/bottom D, 4x 4h, 2x 1h stdev 2.5</t>
        </is>
      </c>
    </row>
    <row r="435" ht="15.75" customHeight="1" s="67">
      <c r="A435" s="91" t="inlineStr">
        <is>
          <t>STDEV_SLOPE_LOOKBACK_4H</t>
        </is>
      </c>
      <c r="B435" s="91" t="inlineStr">
        <is>
          <t>STDEV_SLOPE_SIZING</t>
        </is>
      </c>
      <c r="C435" s="0" t="inlineStr">
        <is>
          <t>STDEV_DAILY_6MO</t>
        </is>
      </c>
      <c r="D435" s="0" t="inlineStr">
        <is>
          <t>STDEV_LADDER</t>
        </is>
      </c>
      <c r="E435" s="0" t="inlineStr">
        <is>
          <t>1x top -&gt; 10x slope/bottom D, 4x 4h, 2x 1h stdev 2.5</t>
        </is>
      </c>
    </row>
    <row r="436" ht="15.75" customHeight="1" s="67">
      <c r="A436" s="91" t="inlineStr">
        <is>
          <t>STDEV_SLOPE_LOOKBACK_1H</t>
        </is>
      </c>
      <c r="B436" s="91" t="inlineStr">
        <is>
          <t>STDEV_SLOPE_SIZING</t>
        </is>
      </c>
      <c r="C436" s="0" t="inlineStr">
        <is>
          <t>STDEV_DAILY_6MO</t>
        </is>
      </c>
      <c r="D436" s="0" t="inlineStr">
        <is>
          <t>STDEV_LADDER</t>
        </is>
      </c>
      <c r="E436" s="0" t="inlineStr">
        <is>
          <t>1x top -&gt; 10x slope/bottom D, 4x 4h, 2x 1h stdev 2.5</t>
        </is>
      </c>
    </row>
    <row r="437" ht="15.75" customHeight="1" s="67">
      <c r="A437" s="91" t="inlineStr">
        <is>
          <t>STDEV_SLOPE_LOOKBACK_15M</t>
        </is>
      </c>
      <c r="B437" s="91" t="inlineStr">
        <is>
          <t>STDEV_SLOPE_SIZING</t>
        </is>
      </c>
      <c r="C437" s="0" t="inlineStr">
        <is>
          <t>STDEV_DAILY_6MO</t>
        </is>
      </c>
      <c r="D437" s="0" t="inlineStr">
        <is>
          <t>STDEV_LADDER</t>
        </is>
      </c>
      <c r="E437" s="0" t="inlineStr">
        <is>
          <t>1x top -&gt; 10x slope/bottom D, 4x 4h, 2x 1h stdev 2.5</t>
        </is>
      </c>
    </row>
    <row r="438" ht="15.75" customHeight="1" s="67">
      <c r="A438" s="91" t="inlineStr">
        <is>
          <t>BAND_SLOPE_SIZING_V2_ENABLED</t>
        </is>
      </c>
      <c r="B438" s="91" t="inlineStr">
        <is>
          <t>STDEV_SLOPE_SIZING</t>
        </is>
      </c>
      <c r="C438" s="0" t="inlineStr">
        <is>
          <t>STDEV_DAILY_6MO</t>
        </is>
      </c>
      <c r="D438" s="0" t="inlineStr">
        <is>
          <t>STDEV_LADDER</t>
        </is>
      </c>
      <c r="E438" s="0" t="inlineStr">
        <is>
          <t>1x top -&gt; 10x slope/bottom D, 4x 4h, 2x 1h stdev 2.5</t>
        </is>
      </c>
    </row>
    <row r="439" ht="15.75" customHeight="1" s="67">
      <c r="A439" s="91" t="inlineStr">
        <is>
          <t>BAND_SLOPE_SIZING_V2_TF</t>
        </is>
      </c>
      <c r="B439" s="91" t="inlineStr">
        <is>
          <t>STDEV_SLOPE_SIZING</t>
        </is>
      </c>
      <c r="C439" s="0" t="inlineStr">
        <is>
          <t>STDEV_DAILY_6MO</t>
        </is>
      </c>
      <c r="D439" s="0" t="inlineStr">
        <is>
          <t>STDEV_LADDER</t>
        </is>
      </c>
      <c r="E439" s="0" t="inlineStr">
        <is>
          <t>1x top -&gt; 10x slope/bottom D, 4x 4h, 2x 1h stdev 2.5</t>
        </is>
      </c>
    </row>
    <row r="440" ht="15.75" customHeight="1" s="67">
      <c r="A440" s="91" t="inlineStr">
        <is>
          <t>BAND_SLOPE_SIZING_V2_DEPTH_GAIN</t>
        </is>
      </c>
      <c r="B440" s="91" t="inlineStr">
        <is>
          <t>STDEV_SLOPE_SIZING</t>
        </is>
      </c>
      <c r="C440" s="0" t="inlineStr">
        <is>
          <t>STDEV_DAILY_6MO</t>
        </is>
      </c>
      <c r="D440" s="0" t="inlineStr">
        <is>
          <t>STDEV_LADDER</t>
        </is>
      </c>
      <c r="E440" s="0" t="inlineStr">
        <is>
          <t>1x top -&gt; 10x slope/bottom D, 4x 4h, 2x 1h stdev 2.5</t>
        </is>
      </c>
    </row>
    <row r="441" ht="15.75" customHeight="1" s="67">
      <c r="A441" s="91" t="inlineStr">
        <is>
          <t>BAND_SLOPE_SIZING_V2_MIN</t>
        </is>
      </c>
      <c r="B441" s="91" t="inlineStr">
        <is>
          <t>STDEV_SLOPE_SIZING</t>
        </is>
      </c>
      <c r="C441" s="0" t="inlineStr">
        <is>
          <t>STDEV_DAILY_6MO</t>
        </is>
      </c>
      <c r="D441" s="0" t="inlineStr">
        <is>
          <t>STDEV_LADDER</t>
        </is>
      </c>
      <c r="E441" s="0" t="inlineStr">
        <is>
          <t>1x top -&gt; 10x slope/bottom D, 4x 4h, 2x 1h stdev 2.5</t>
        </is>
      </c>
    </row>
    <row r="442" ht="15.75" customHeight="1" s="67">
      <c r="A442" s="91" t="inlineStr">
        <is>
          <t>BAND_SLOPE_SIZING_V2_MAX</t>
        </is>
      </c>
      <c r="B442" s="91"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1" t="inlineStr">
        <is>
          <t>AAPL_LONG</t>
        </is>
      </c>
      <c r="B3" s="91" t="inlineStr">
        <is>
          <t>OK</t>
        </is>
      </c>
      <c r="C3" s="0" t="n">
        <v>-6.6311</v>
      </c>
      <c r="D3" s="0" t="n">
        <v>-0.2557</v>
      </c>
      <c r="E3" s="0" t="n">
        <v>41</v>
      </c>
      <c r="F3" s="0">
        <f>IFERROR(VLOOKUP($A3,Results_30d_Deltas!$A$2:$H$5000,8,FALSE)-E2,"")</f>
        <v/>
      </c>
      <c r="G3" s="0">
        <f>IFERROR(VLOOKUP($A3,Results_30d_Deltas!$A$2:$H$5000,7,FALSE)-E2,"")</f>
        <v/>
      </c>
      <c r="K3" s="0">
        <f>IF(B3=C3,"YES","NO")</f>
        <v/>
      </c>
    </row>
    <row r="4">
      <c r="A4" s="91" t="inlineStr">
        <is>
          <t>AAPL_SHORT</t>
        </is>
      </c>
      <c r="B4" s="91" t="inlineStr">
        <is>
          <t>OK</t>
        </is>
      </c>
      <c r="C4" s="0" t="n">
        <v>1.3858</v>
      </c>
      <c r="D4" s="0" t="n">
        <v>0.0498</v>
      </c>
      <c r="E4" s="0" t="n">
        <v>43</v>
      </c>
      <c r="F4" s="0">
        <f>IFERROR(VLOOKUP($A4,Results_30d_Deltas!$A$2:$H$5000,8,FALSE)-E3,"")</f>
        <v/>
      </c>
      <c r="G4" s="0">
        <f>IFERROR(VLOOKUP($A4,Results_30d_Deltas!$A$2:$H$5000,7,FALSE)-E3,"")</f>
        <v/>
      </c>
      <c r="K4" s="0">
        <f>IF(B4=C4,"YES","NO")</f>
        <v/>
      </c>
    </row>
    <row r="5">
      <c r="A5" s="91" t="inlineStr">
        <is>
          <t>MU_LONG</t>
        </is>
      </c>
      <c r="B5" s="91" t="inlineStr">
        <is>
          <t>OK</t>
        </is>
      </c>
      <c r="C5" s="0" t="n">
        <v>-0.3971</v>
      </c>
      <c r="D5" s="0" t="n">
        <v>-0.0038</v>
      </c>
      <c r="E5" s="0" t="n">
        <v>123</v>
      </c>
      <c r="F5" s="0">
        <f>IFERROR(VLOOKUP($A5,Results_30d_Deltas!$A$2:$H$5000,8,FALSE)-E4,"")</f>
        <v/>
      </c>
      <c r="G5" s="0">
        <f>IFERROR(VLOOKUP($A5,Results_30d_Deltas!$A$2:$H$5000,7,FALSE)-E4,"")</f>
        <v/>
      </c>
      <c r="K5" s="0">
        <f>IF(B5=C5,"YES","NO")</f>
        <v/>
      </c>
    </row>
    <row r="6">
      <c r="A6" s="91" t="inlineStr">
        <is>
          <t>MU_SHORT</t>
        </is>
      </c>
      <c r="B6" s="91" t="inlineStr">
        <is>
          <t>OK</t>
        </is>
      </c>
      <c r="C6" s="0" t="n">
        <v>10.1335</v>
      </c>
      <c r="D6" s="0" t="n">
        <v>0.0824</v>
      </c>
      <c r="E6" s="0" t="n">
        <v>121</v>
      </c>
      <c r="F6" s="0">
        <f>IFERROR(VLOOKUP($A6,Results_30d_Deltas!$A$2:$H$5000,8,FALSE)-E5,"")</f>
        <v/>
      </c>
      <c r="G6" s="0">
        <f>IFERROR(VLOOKUP($A6,Results_30d_Deltas!$A$2:$H$5000,7,FALSE)-E5,"")</f>
        <v/>
      </c>
      <c r="K6" s="0">
        <f>IF(B6=C6,"YES","NO")</f>
        <v/>
      </c>
    </row>
    <row r="7">
      <c r="A7" s="91" t="inlineStr">
        <is>
          <t>MSFT_LONG</t>
        </is>
      </c>
      <c r="B7" s="91" t="inlineStr">
        <is>
          <t>NO_NPZ</t>
        </is>
      </c>
      <c r="F7" s="0">
        <f>IFERROR(VLOOKUP($A7,Results_30d_Deltas!$A$2:$H$5000,8,FALSE)-E6,"")</f>
        <v/>
      </c>
      <c r="G7" s="0">
        <f>IFERROR(VLOOKUP($A7,Results_30d_Deltas!$A$2:$H$5000,7,FALSE)-E6,"")</f>
        <v/>
      </c>
      <c r="K7" s="0">
        <f>IF(B7=C7,"YES","NO")</f>
        <v/>
      </c>
    </row>
    <row r="8">
      <c r="A8" s="91" t="inlineStr">
        <is>
          <t>MSFT_SHORT</t>
        </is>
      </c>
      <c r="B8" s="91" t="inlineStr">
        <is>
          <t>NO_NPZ</t>
        </is>
      </c>
      <c r="F8" s="0">
        <f>IFERROR(VLOOKUP($A8,Results_30d_Deltas!$A$2:$H$5000,8,FALSE)-E7,"")</f>
        <v/>
      </c>
      <c r="G8" s="0">
        <f>IFERROR(VLOOKUP($A8,Results_30d_Deltas!$A$2:$H$5000,7,FALSE)-E7,"")</f>
        <v/>
      </c>
      <c r="K8" s="0">
        <f>IF(B8=C8,"YES","NO")</f>
        <v/>
      </c>
    </row>
    <row r="9">
      <c r="A9" s="91" t="inlineStr">
        <is>
          <t>TSLA_LONG</t>
        </is>
      </c>
      <c r="B9" s="91" t="inlineStr">
        <is>
          <t>NO_NPZ</t>
        </is>
      </c>
      <c r="F9" s="0">
        <f>IFERROR(VLOOKUP($A9,Results_30d_Deltas!$A$2:$H$5000,8,FALSE)-E8,"")</f>
        <v/>
      </c>
      <c r="G9" s="0">
        <f>IFERROR(VLOOKUP($A9,Results_30d_Deltas!$A$2:$H$5000,7,FALSE)-E8,"")</f>
        <v/>
      </c>
      <c r="K9" s="0">
        <f>IF(B9=C9,"YES","NO")</f>
        <v/>
      </c>
    </row>
    <row r="10">
      <c r="A10" s="91" t="inlineStr">
        <is>
          <t>TSLA_SHORT</t>
        </is>
      </c>
      <c r="B10" s="91" t="inlineStr">
        <is>
          <t>NO_NPZ</t>
        </is>
      </c>
      <c r="F10" s="0">
        <f>IFERROR(VLOOKUP($A10,Results_30d_Deltas!$A$2:$H$5000,8,FALSE)-E9,"")</f>
        <v/>
      </c>
      <c r="G10" s="0">
        <f>IFERROR(VLOOKUP($A10,Results_30d_Deltas!$A$2:$H$5000,7,FALSE)-E9,"")</f>
        <v/>
      </c>
      <c r="K10" s="0">
        <f>IF(B10=C10,"YES","NO")</f>
        <v/>
      </c>
    </row>
    <row r="11">
      <c r="A11" s="91" t="inlineStr">
        <is>
          <t>BTC_LONG</t>
        </is>
      </c>
      <c r="B11" s="91" t="inlineStr">
        <is>
          <t>NO_NPZ</t>
        </is>
      </c>
      <c r="F11" s="0">
        <f>IFERROR(VLOOKUP($A11,Results_30d_Deltas!$A$2:$H$5000,8,FALSE)-E10,"")</f>
        <v/>
      </c>
      <c r="G11" s="0">
        <f>IFERROR(VLOOKUP($A11,Results_30d_Deltas!$A$2:$H$5000,7,FALSE)-E10,"")</f>
        <v/>
      </c>
      <c r="K11" s="0">
        <f>IF(B11=C11,"YES","NO")</f>
        <v/>
      </c>
    </row>
    <row r="12">
      <c r="A12" s="91" t="inlineStr">
        <is>
          <t>BTC_SHORT</t>
        </is>
      </c>
      <c r="B12" s="91" t="inlineStr">
        <is>
          <t>NO_NPZ</t>
        </is>
      </c>
      <c r="F12" s="0">
        <f>IFERROR(VLOOKUP($A12,Results_30d_Deltas!$A$2:$H$5000,8,FALSE)-E11,"")</f>
        <v/>
      </c>
      <c r="G12" s="0">
        <f>IFERROR(VLOOKUP($A12,Results_30d_Deltas!$A$2:$H$5000,7,FALSE)-E11,"")</f>
        <v/>
      </c>
      <c r="K12" s="0">
        <f>IF(B12=C12,"YES","NO")</f>
        <v/>
      </c>
    </row>
    <row r="13">
      <c r="A13" s="91" t="inlineStr">
        <is>
          <t>ETH_LONG</t>
        </is>
      </c>
      <c r="B13" s="91" t="inlineStr">
        <is>
          <t>NO_NPZ</t>
        </is>
      </c>
      <c r="F13" s="0">
        <f>IFERROR(VLOOKUP($A13,Results_30d_Deltas!$A$2:$H$5000,8,FALSE)-E12,"")</f>
        <v/>
      </c>
      <c r="G13" s="0">
        <f>IFERROR(VLOOKUP($A13,Results_30d_Deltas!$A$2:$H$5000,7,FALSE)-E12,"")</f>
        <v/>
      </c>
      <c r="K13" s="0">
        <f>IF(B13=C13,"YES","NO")</f>
        <v/>
      </c>
    </row>
    <row r="14">
      <c r="A14" s="91" t="inlineStr">
        <is>
          <t>ETH_SHORT</t>
        </is>
      </c>
      <c r="B14" s="91"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1" t="inlineStr">
        <is>
          <t>TRADIER_DC_DAYTRADE_MAX_HOLD_MINUTES</t>
        </is>
      </c>
      <c r="B3" s="91" t="inlineStr">
        <is>
          <t>0</t>
        </is>
      </c>
      <c r="D3" s="0" t="inlineStr">
        <is>
          <t>DAYTRADE</t>
        </is>
      </c>
      <c r="E3" s="0">
        <f>IF(G3="",E2,IF(G3&gt;0,E2+G3,E2))</f>
        <v/>
      </c>
      <c r="F3" s="0">
        <f>IFERROR(VLOOKUP($A3&amp;"_"&amp;$B3,Results_Deltas!$A$2:$P$15000,5,FALSE),"")</f>
        <v/>
      </c>
      <c r="G3" s="0">
        <f>IFERROR(VLOOKUP($A3&amp;"_"&amp;$B3,Results_Deltas!$A$2:$P$15000,5,FALSE),"")</f>
        <v/>
      </c>
    </row>
    <row r="4">
      <c r="A4" s="91" t="inlineStr">
        <is>
          <t>TRADIER_DC_DAYTRADE_REQUIRE_1H_EXPANSION</t>
        </is>
      </c>
      <c r="B4" s="91" t="inlineStr">
        <is>
          <t>True</t>
        </is>
      </c>
      <c r="D4" s="0" t="inlineStr">
        <is>
          <t>DAYTRADE</t>
        </is>
      </c>
      <c r="E4" s="0">
        <f>IF(G4="",E3,IF(G4&gt;0,E3+G4,E3))</f>
        <v/>
      </c>
      <c r="F4" s="0">
        <f>IFERROR(VLOOKUP($A4&amp;"_"&amp;$B4,Results_Deltas!$A$2:$P$15000,5,FALSE),"")</f>
        <v/>
      </c>
      <c r="G4" s="0">
        <f>IFERROR(VLOOKUP($A4&amp;"_"&amp;$B4,Results_Deltas!$A$2:$P$15000,5,FALSE),"")</f>
        <v/>
      </c>
    </row>
    <row r="5">
      <c r="A5" s="91" t="inlineStr">
        <is>
          <t>TRADIER_DC_DAYTRADE_STOP_PCT</t>
        </is>
      </c>
      <c r="B5" s="91" t="inlineStr">
        <is>
          <t>0.005</t>
        </is>
      </c>
      <c r="D5" s="0" t="inlineStr">
        <is>
          <t>DAYTRADE</t>
        </is>
      </c>
      <c r="E5" s="0">
        <f>IF(G5="",E4,IF(G5&gt;0,E4+G5,E4))</f>
        <v/>
      </c>
      <c r="F5" s="0">
        <f>IFERROR(VLOOKUP($A5&amp;"_"&amp;$B5,Results_Deltas!$A$2:$P$15000,5,FALSE),"")</f>
        <v/>
      </c>
      <c r="G5" s="0">
        <f>IFERROR(VLOOKUP($A5&amp;"_"&amp;$B5,Results_Deltas!$A$2:$P$15000,5,FALSE),"")</f>
        <v/>
      </c>
    </row>
    <row r="6">
      <c r="A6" s="91" t="inlineStr">
        <is>
          <t>DC_DAYTRADE_ENABLED</t>
        </is>
      </c>
      <c r="B6" s="91" t="inlineStr">
        <is>
          <t>False</t>
        </is>
      </c>
      <c r="D6" s="0" t="inlineStr">
        <is>
          <t>DAYTRADE</t>
        </is>
      </c>
      <c r="E6" s="0">
        <f>IF(G6="",E5,IF(G6&gt;0,E5+G6,E5))</f>
        <v/>
      </c>
      <c r="F6" s="0">
        <f>IFERROR(VLOOKUP($A6&amp;"_"&amp;$B6,Results_Deltas!$A$2:$P$15000,5,FALSE),"")</f>
        <v/>
      </c>
      <c r="G6" s="0">
        <f>IFERROR(VLOOKUP($A6&amp;"_"&amp;$B6,Results_Deltas!$A$2:$P$15000,5,FALSE),"")</f>
        <v/>
      </c>
    </row>
    <row r="7">
      <c r="A7" s="91" t="inlineStr">
        <is>
          <t>DC_DAYTRADE_MAX_HOLD_MINUTES</t>
        </is>
      </c>
      <c r="B7" s="91" t="inlineStr">
        <is>
          <t>0</t>
        </is>
      </c>
      <c r="D7" s="0" t="inlineStr">
        <is>
          <t>DAYTRADE</t>
        </is>
      </c>
      <c r="E7" s="0">
        <f>IF(G7="",E6,IF(G7&gt;0,E6+G7,E6))</f>
        <v/>
      </c>
      <c r="F7" s="0">
        <f>IFERROR(VLOOKUP($A7&amp;"_"&amp;$B7,Results_Deltas!$A$2:$P$15000,5,FALSE),"")</f>
        <v/>
      </c>
      <c r="G7" s="0">
        <f>IFERROR(VLOOKUP($A7&amp;"_"&amp;$B7,Results_Deltas!$A$2:$P$15000,5,FALSE),"")</f>
        <v/>
      </c>
    </row>
    <row r="8">
      <c r="A8" s="91" t="inlineStr">
        <is>
          <t>DC_DAYTRADE_STOP_PCT</t>
        </is>
      </c>
      <c r="B8" s="91" t="inlineStr">
        <is>
          <t>0.015</t>
        </is>
      </c>
      <c r="D8" s="0" t="inlineStr">
        <is>
          <t>DAYTRADE</t>
        </is>
      </c>
      <c r="E8" s="0">
        <f>IF(G8="",E7,IF(G8&gt;0,E7+G8,E7))</f>
        <v/>
      </c>
      <c r="F8" s="0">
        <f>IFERROR(VLOOKUP($A8&amp;"_"&amp;$B8,Results_Deltas!$A$2:$P$15000,5,FALSE),"")</f>
        <v/>
      </c>
      <c r="G8" s="0">
        <f>IFERROR(VLOOKUP($A8&amp;"_"&amp;$B8,Results_Deltas!$A$2:$P$15000,5,FALSE),"")</f>
        <v/>
      </c>
    </row>
    <row r="9">
      <c r="A9" s="91" t="inlineStr">
        <is>
          <t>WT_TECHNICAL_WAIT_LOWER_HIGH_ONLY</t>
        </is>
      </c>
      <c r="B9" s="91"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0" t="inlineStr">
        <is>
          <t>Toxic disabled</t>
        </is>
      </c>
    </row>
    <row r="2">
      <c r="A2" s="0" t="inlineStr">
        <is>
          <t>FUNDING_GATE_FILTER_TF=4h</t>
        </is>
      </c>
      <c r="B2" s="0" t="inlineStr">
        <is>
          <t>crypto-only FUNDING_GATE avg&lt;-5 pos0%</t>
        </is>
      </c>
    </row>
    <row r="3">
      <c r="A3" s="91" t="inlineStr">
        <is>
          <t>FUNDING_GATE_FILTER_TF=D</t>
        </is>
      </c>
      <c r="B3" s="91" t="inlineStr">
        <is>
          <t>crypto-only FUNDING_GATE avg&lt;-5 pos0%</t>
        </is>
      </c>
    </row>
    <row r="4">
      <c r="A4" s="91" t="inlineStr">
        <is>
          <t>FUNDING_GATE_FILTER_TF=1h</t>
        </is>
      </c>
      <c r="B4" s="91" t="inlineStr">
        <is>
          <t>crypto-only FUNDING_GATE avg&lt;-5 pos0%</t>
        </is>
      </c>
    </row>
    <row r="5">
      <c r="A5" s="91" t="inlineStr">
        <is>
          <t>FUNDING_GATE_FILTER_TF=OFF</t>
        </is>
      </c>
      <c r="B5" s="91" t="inlineStr">
        <is>
          <t>crypto-only FUNDING_GATE avg&lt;-5 pos0%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2026-09-15T21:33:03Z</dcterms:created>
  <dcterms:modified xsi:type="dcterms:W3CDTF">2026-09-19T00:09:50Z</dcterms:modified>
</cp:coreProperties>
</file>