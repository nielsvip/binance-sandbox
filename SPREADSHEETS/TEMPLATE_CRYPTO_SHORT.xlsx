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0.25</t>
        </is>
      </c>
      <c r="E3" s="0">
        <f>IF(G17="",E16,IF(G17&gt;0,E16+G17,E16))</f>
        <v/>
      </c>
      <c r="G3" s="0">
        <f>IFERROR(VLOOKUP($A192&amp;"_"&amp;$B192,Results_Deltas!$A$2:$P$15000,5,FALSE),"")</f>
        <v/>
      </c>
      <c r="H3" s="0">
        <f>IFERROR(VLOOKUP($A192,Results_30d_Deltas!$A$2:$H$5000,7,FALSE)-E16,"")</f>
        <v/>
      </c>
      <c r="I3" s="0">
        <f>IFERROR(VLOOKUP($A192,Results_30d_Deltas!$A$2:$H$5000,6,FALSE),"")</f>
        <v/>
      </c>
      <c r="L3" s="0" t="inlineStr">
        <is>
          <t>NO</t>
        </is>
      </c>
      <c r="M3" s="0" t="n">
        <v>28</v>
      </c>
      <c r="N3" s="0" t="n">
        <v>0</v>
      </c>
    </row>
    <row r="4" ht="15.75" customHeight="1" s="67">
      <c r="A4" s="0" t="inlineStr">
        <is>
          <t>BB_PULLBACK_GATE_TF</t>
        </is>
      </c>
      <c r="B4" s="0" t="inlineStr">
        <is>
          <t>OFF</t>
        </is>
      </c>
      <c r="E4" s="0">
        <f>IF(G7="",E5,IF(G7&gt;0,E5+G7,E5))</f>
        <v/>
      </c>
      <c r="G4" s="0">
        <f>IFERROR(VLOOKUP($A182&amp;"_"&amp;$B182,Results_Deltas!$A$2:$P$15000,5,FALSE),"")</f>
        <v/>
      </c>
      <c r="H4" s="0">
        <f>IFERROR(VLOOKUP($A182,Results_30d_Deltas!$A$2:$H$5000,7,FALSE)-E5,"")</f>
        <v/>
      </c>
      <c r="I4" s="0">
        <f>IFERROR(VLOOKUP($A182,Results_30d_Deltas!$A$2:$H$5000,6,FALSE),"")</f>
        <v/>
      </c>
      <c r="L4" s="35" t="inlineStr">
        <is>
          <t>NO</t>
        </is>
      </c>
      <c r="M4" s="0" t="n">
        <v>28</v>
      </c>
      <c r="N4" s="0" t="n">
        <v>0</v>
      </c>
    </row>
    <row r="5" ht="15.75" customHeight="1" s="67">
      <c r="A5" s="37" t="inlineStr">
        <is>
          <t>DUP_GUARD_FILTER_TF</t>
        </is>
      </c>
      <c r="B5" s="38" t="inlineStr">
        <is>
          <t>4h</t>
        </is>
      </c>
      <c r="C5" s="38" t="n"/>
      <c r="D5" s="38" t="inlineStr">
        <is>
          <t>GLOBAL_CHECK</t>
        </is>
      </c>
      <c r="E5" s="38">
        <f>IF(G42="",E41,IF(G42&gt;0,E41+G42,E41))</f>
        <v/>
      </c>
      <c r="F5" s="26" t="n"/>
      <c r="G5" s="38">
        <f>IFERROR(VLOOKUP($A61&amp;"_"&amp;$B61,Results_Deltas!$A$2:$P$15000,5,FALSE),"")</f>
        <v/>
      </c>
      <c r="H5" s="38" t="inlineStr">
        <is>
          <t>Blanket (page end)</t>
        </is>
      </c>
      <c r="I5" s="26" t="n"/>
      <c r="J5" s="26" t="n"/>
      <c r="K5" s="26" t="n"/>
      <c r="L5" s="26" t="inlineStr">
        <is>
          <t>NO</t>
        </is>
      </c>
      <c r="M5" s="73" t="n">
        <v>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COOLDOWN_LOCKS_FILTER_TF</t>
        </is>
      </c>
      <c r="B6" s="38" t="inlineStr">
        <is>
          <t>1h</t>
        </is>
      </c>
      <c r="C6" s="38" t="n"/>
      <c r="D6" s="38" t="inlineStr">
        <is>
          <t>GLOBAL_CHECK</t>
        </is>
      </c>
      <c r="E6" s="38">
        <f>IF(G26="",E25,IF(G26&gt;0,E25+G26,E25))</f>
        <v/>
      </c>
      <c r="F6" s="26" t="n"/>
      <c r="G6" s="38">
        <f>IFERROR(VLOOKUP($A45&amp;"_"&amp;$B45,Results_Deltas!$A$2:$P$15000,5,FALSE),"")</f>
        <v/>
      </c>
      <c r="H6" s="38" t="inlineStr">
        <is>
          <t>Blanket (page end)</t>
        </is>
      </c>
      <c r="I6" s="26" t="n"/>
      <c r="J6" s="26" t="n"/>
      <c r="K6" s="26" t="n"/>
      <c r="L6" s="26" t="inlineStr">
        <is>
          <t>NO</t>
        </is>
      </c>
      <c r="M6" s="73" t="n">
        <v>3</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EMA_9_21_FILTER_MIN_TFS</t>
        </is>
      </c>
      <c r="B7" s="38" t="inlineStr">
        <is>
          <t>0</t>
        </is>
      </c>
      <c r="C7" s="38" t="n"/>
      <c r="D7" s="38" t="inlineStr">
        <is>
          <t>GLOBAL_CHECK</t>
        </is>
      </c>
      <c r="E7" s="38">
        <f>IF(G45="",E44,IF(G45&gt;0,E44+G45,E44))</f>
        <v/>
      </c>
      <c r="F7" s="26" t="n"/>
      <c r="G7" s="38">
        <f>IFERROR(VLOOKUP($A64&amp;"_"&amp;$B64,Results_Deltas!$A$2:$P$15000,5,FALSE),"")</f>
        <v/>
      </c>
      <c r="H7" s="38" t="inlineStr">
        <is>
          <t>Blanket (page end)</t>
        </is>
      </c>
      <c r="I7" s="26" t="n"/>
      <c r="J7" s="26" t="n"/>
      <c r="K7" s="26" t="n"/>
      <c r="L7" s="26" t="inlineStr">
        <is>
          <t>NO</t>
        </is>
      </c>
      <c r="M7" s="73"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BANDAID_OFF_LOSER_RECOVER_PCT</t>
        </is>
      </c>
      <c r="B8" s="38" t="inlineStr">
        <is>
          <t>2.0</t>
        </is>
      </c>
      <c r="C8" s="38" t="n"/>
      <c r="D8" s="38" t="inlineStr">
        <is>
          <t>AUGMENT, ENTRY, EXIT, GLOBAL_CHECK, REDUCE, STOCKS_EXIT</t>
        </is>
      </c>
      <c r="E8" s="38">
        <f>IF(G12="",E11,IF(G12&gt;0,E11+G12,E11))</f>
        <v/>
      </c>
      <c r="F8" s="26" t="n"/>
      <c r="G8" s="38">
        <f>IFERROR(VLOOKUP($A31&amp;"_"&amp;$B31,Results_Deltas!$A$2:$P$15000,5,FALSE),"")</f>
        <v/>
      </c>
      <c r="H8" s="38" t="inlineStr">
        <is>
          <t>Blanket (page end)</t>
        </is>
      </c>
      <c r="I8" s="26" t="n"/>
      <c r="J8" s="26" t="n"/>
      <c r="K8" s="26" t="n"/>
      <c r="L8" s="26" t="inlineStr">
        <is>
          <t>NO</t>
        </is>
      </c>
      <c r="M8" s="73"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FG_GREED_THRESHOLD</t>
        </is>
      </c>
      <c r="B9" s="38" t="inlineStr">
        <is>
          <t>37.5</t>
        </is>
      </c>
      <c r="C9" s="38" t="n"/>
      <c r="D9" s="38" t="inlineStr">
        <is>
          <t>GLOBAL_CHECK, STOCKS_EXIT</t>
        </is>
      </c>
      <c r="E9" s="38">
        <f>IF(G64="",E63,IF(G64&gt;0,E63+G64,E63))</f>
        <v/>
      </c>
      <c r="F9" s="26" t="n"/>
      <c r="G9" s="38">
        <f>IFERROR(VLOOKUP($A83&amp;"_"&amp;$B83,Results_Deltas!$A$2:$P$15000,5,FALSE),"")</f>
        <v/>
      </c>
      <c r="H9" s="38" t="inlineStr">
        <is>
          <t>Blanket (page end)</t>
        </is>
      </c>
      <c r="I9" s="26" t="n"/>
      <c r="J9" s="26" t="n"/>
      <c r="K9" s="26" t="n"/>
      <c r="L9" s="26" t="inlineStr">
        <is>
          <t>NO</t>
        </is>
      </c>
      <c r="M9" s="26"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DELTA_REENTRY_FILTER_ENABLED</t>
        </is>
      </c>
      <c r="B10" s="38" t="inlineStr">
        <is>
          <t>True</t>
        </is>
      </c>
      <c r="C10" s="38" t="n"/>
      <c r="D10" s="38" t="inlineStr">
        <is>
          <t>ENTRY, GLOBAL_CHECK, STOCKS_EXIT</t>
        </is>
      </c>
      <c r="E10" s="38">
        <f>IF(G39="",E38,IF(G39&gt;0,E38+G39,E38))</f>
        <v/>
      </c>
      <c r="F10" s="26" t="n"/>
      <c r="G10" s="38">
        <f>IFERROR(VLOOKUP($A58&amp;"_"&amp;$B58,Results_Deltas!$A$2:$P$15000,5,FALSE),"")</f>
        <v/>
      </c>
      <c r="H10" s="38" t="inlineStr">
        <is>
          <t>Blanket (page end)</t>
        </is>
      </c>
      <c r="I10" s="26" t="n"/>
      <c r="J10" s="26" t="n"/>
      <c r="K10" s="26" t="n"/>
      <c r="L10" s="26" t="inlineStr">
        <is>
          <t>NO</t>
        </is>
      </c>
      <c r="M10" s="73"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9" t="inlineStr">
        <is>
          <t>DELTA_REENTRY_FILTER_ENABLED</t>
        </is>
      </c>
      <c r="B11" s="40" t="inlineStr">
        <is>
          <t>False</t>
        </is>
      </c>
      <c r="C11" s="38" t="n"/>
      <c r="D11" s="38" t="inlineStr">
        <is>
          <t>ENTRY, GLOBAL_CHECK, STOCKS_EXIT</t>
        </is>
      </c>
      <c r="E11" s="38">
        <f>IF(G38="",E37,IF(G38&gt;0,E37+G38,E37))</f>
        <v/>
      </c>
      <c r="F11" s="26" t="n"/>
      <c r="G11" s="38">
        <f>IFERROR(VLOOKUP($A57&amp;"_"&amp;$B57,Results_Deltas!$A$2:$P$15000,5,FALSE),"")</f>
        <v/>
      </c>
      <c r="H11" s="38" t="inlineStr">
        <is>
          <t>Blanket (page end)</t>
        </is>
      </c>
      <c r="I11" s="26" t="n"/>
      <c r="J11" s="26" t="n"/>
      <c r="K11" s="26" t="n"/>
      <c r="L11" s="26" t="inlineStr">
        <is>
          <t>YES</t>
        </is>
      </c>
      <c r="M11" s="73"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0" t="inlineStr">
        <is>
          <t>BB_PULLBACK_GATE_TF</t>
        </is>
      </c>
      <c r="B12" s="0" t="inlineStr">
        <is>
          <t>1h</t>
        </is>
      </c>
      <c r="E12" s="0">
        <f>IF(G10="",E9,IF(G10&gt;0,E9+G10,E9))</f>
        <v/>
      </c>
      <c r="G12" s="0">
        <f>IFERROR(VLOOKUP($A185&amp;"_"&amp;$B185,Results_Deltas!$A$2:$P$15000,5,FALSE),"")</f>
        <v/>
      </c>
      <c r="H12" s="0">
        <f>IFERROR(VLOOKUP($A185,Results_30d_Deltas!$A$2:$H$5000,7,FALSE)-E9,"")</f>
        <v/>
      </c>
      <c r="I12" s="0">
        <f>IFERROR(VLOOKUP($A185,Results_30d_Deltas!$A$2:$H$5000,6,FALSE),"")</f>
        <v/>
      </c>
      <c r="L12" s="0" t="inlineStr">
        <is>
          <t>NO</t>
        </is>
      </c>
      <c r="M12" s="0" t="n">
        <v>28</v>
      </c>
      <c r="N12" s="0" t="n">
        <v>0</v>
      </c>
    </row>
    <row r="13" ht="15.75" customHeight="1" s="67">
      <c r="A13" s="26" t="inlineStr">
        <is>
          <t>WT_15M_BOUNCE_OPEN_ENABLED</t>
        </is>
      </c>
      <c r="B13" s="26" t="inlineStr">
        <is>
          <t>True</t>
        </is>
      </c>
      <c r="C13" s="26" t="n"/>
      <c r="D13" s="26" t="n"/>
      <c r="E13" s="26">
        <f>IF(G6="",E5,IF(G6&gt;0,E5+G6,E5))</f>
        <v/>
      </c>
      <c r="F13" s="26" t="n"/>
      <c r="G13" s="26">
        <f>IFERROR(VLOOKUP($A4&amp;"_"&amp;$B4,Results_Deltas!$A$2:$P$15000,5,FALSE),"")</f>
        <v/>
      </c>
      <c r="H13" s="26">
        <f>IFERROR(VLOOKUP($A4,Results_30d_Deltas!$A$2:$H$5000,7,FALSE)-E3,"")</f>
        <v/>
      </c>
      <c r="I13" s="26">
        <f>IFERROR(VLOOKUP($A4,Results_30d_Deltas!$A$2:$H$5000,6,FALSE),"")</f>
        <v/>
      </c>
      <c r="J13" s="26" t="n"/>
      <c r="K13" s="26" t="n"/>
      <c r="L13" s="26" t="inlineStr">
        <is>
          <t>NO</t>
        </is>
      </c>
      <c r="M13" s="70" t="n">
        <v>28</v>
      </c>
      <c r="N13" s="71" t="n">
        <v>27.79463291762478</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6" t="inlineStr">
        <is>
          <t>FIRST_OPEN_THROTTLE_FILTER_TF=OFF</t>
        </is>
      </c>
      <c r="EA13" s="36" t="inlineStr">
        <is>
          <t>FIRST_OPEN_THROTTLE_FILTER_TF=D</t>
        </is>
      </c>
      <c r="EB13" s="36" t="inlineStr">
        <is>
          <t>FIRST_OPEN_THROTTLE_FILTER_TF=4h</t>
        </is>
      </c>
      <c r="EC13" s="36" t="inlineStr">
        <is>
          <t>FIRST_OPEN_THROTTLE_FILTER_TF=1h</t>
        </is>
      </c>
      <c r="ED13" s="36" t="inlineStr">
        <is>
          <t>FIRST_OPEN_THROTTLE_FILTER_TF=15m</t>
        </is>
      </c>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6" t="inlineStr">
        <is>
          <t>OPEN_INTENT_SIZE_GATES_FILTER_TF=OFF</t>
        </is>
      </c>
      <c r="HL13" s="36" t="inlineStr">
        <is>
          <t>OPEN_INTENT_SIZE_GATES_FILTER_TF=D</t>
        </is>
      </c>
      <c r="HM13" s="36" t="inlineStr">
        <is>
          <t>OPEN_INTENT_SIZE_GATES_FILTER_TF=4h</t>
        </is>
      </c>
      <c r="HN13" s="36" t="inlineStr">
        <is>
          <t>OPEN_INTENT_SIZE_GATES_FILTER_TF=1h</t>
        </is>
      </c>
      <c r="HO13" s="36" t="inlineStr">
        <is>
          <t>OPEN_INTENT_SIZE_GATES_FILTER_TF=15m</t>
        </is>
      </c>
      <c r="HP13" s="33" t="n"/>
      <c r="HQ13" s="33" t="n"/>
      <c r="HR13" s="33" t="n"/>
      <c r="HS13" s="33" t="n"/>
      <c r="HT13" s="33" t="n"/>
      <c r="HU13" s="33" t="n"/>
      <c r="HV13" s="33" t="n"/>
      <c r="HW13" s="33" t="n"/>
      <c r="HX13" s="33" t="n"/>
      <c r="HY13" s="33" t="n"/>
      <c r="HZ13" s="36" t="inlineStr">
        <is>
          <t>WT_15M_BOUNCE_BB_MAX=0.95</t>
        </is>
      </c>
      <c r="IA13" s="36" t="inlineStr">
        <is>
          <t>WT_15M_BOUNCE_BB_MAX=0.9</t>
        </is>
      </c>
      <c r="IB13" s="36" t="inlineStr">
        <is>
          <t>WT_15M_BOUNCE_BB_MAX=0.8</t>
        </is>
      </c>
      <c r="IC13" s="36" t="inlineStr">
        <is>
          <t>WT_15M_BOUNCE_BB_MIN=0.05</t>
        </is>
      </c>
      <c r="ID13" s="36" t="inlineStr">
        <is>
          <t>WT_15M_BOUNCE_BB_MIN=0.1</t>
        </is>
      </c>
      <c r="IE13" s="36" t="inlineStr">
        <is>
          <t>WT_15M_BOUNCE_BB_MIN=0.2</t>
        </is>
      </c>
      <c r="IF13" s="36" t="inlineStr">
        <is>
          <t>WT_15M_BOUNCE_HIGH_1H_GT_PREV=True</t>
        </is>
      </c>
      <c r="IG13" s="36" t="inlineStr">
        <is>
          <t>WT_15M_BOUNCE_HIGH_1H_GT_PREV=False</t>
        </is>
      </c>
      <c r="IH13" s="36" t="inlineStr">
        <is>
          <t>WT_15M_BOUNCE_LOW_1H_GT_PREV=True</t>
        </is>
      </c>
      <c r="II13" s="36" t="inlineStr">
        <is>
          <t>WT_15M_BOUNCE_LOW_1H_GT_PREV=False</t>
        </is>
      </c>
      <c r="IJ13" s="36" t="inlineStr">
        <is>
          <t>WT_15M_BOUNCE_REL_VOL_GT_1=True</t>
        </is>
      </c>
      <c r="IK13" s="36" t="inlineStr">
        <is>
          <t>WT_15M_BOUNCE_REL_VOL_GT_1=False</t>
        </is>
      </c>
      <c r="IL13" s="26" t="n"/>
      <c r="IM13" s="26" t="inlineStr">
        <is>
          <t>ez_manage.py:6076 top()</t>
        </is>
      </c>
      <c r="IN13" s="26" t="inlineStr">
        <is>
          <t>v12_quick_engine.py:4288 x7</t>
        </is>
      </c>
      <c r="IO13" s="26" t="n"/>
    </row>
    <row r="14" ht="15.75" customHeight="1" s="67">
      <c r="A14" s="26" t="inlineStr">
        <is>
          <t>BB_SQUEEZE_ENTRY_ENABLED</t>
        </is>
      </c>
      <c r="B14" s="26" t="inlineStr">
        <is>
          <t>False</t>
        </is>
      </c>
      <c r="C14" s="26" t="n"/>
      <c r="D14" s="26" t="n"/>
      <c r="E14" s="26">
        <f>IF(G5="",E4,IF(G5&gt;0,E4+G5,E4))</f>
        <v/>
      </c>
      <c r="F14" s="26" t="n"/>
      <c r="G14" s="26">
        <f>IFERROR(VLOOKUP($A6&amp;"_"&amp;$B6,Results_Deltas!$A$2:$P$15000,5,FALSE),"")</f>
        <v/>
      </c>
      <c r="H14" s="26">
        <f>IFERROR(VLOOKUP(#REF!,Results_30d_Deltas!$A$2:$H$5000,7,FALSE)-E4,"")</f>
        <v/>
      </c>
      <c r="I14" s="26">
        <f>IFERROR(VLOOKUP(#REF!,Results_30d_Deltas!$A$2:$H$5000,6,FALSE),"")</f>
        <v/>
      </c>
      <c r="J14" s="26" t="n"/>
      <c r="K14" s="26" t="n"/>
      <c r="L14" s="26" t="inlineStr">
        <is>
          <t>NO</t>
        </is>
      </c>
      <c r="M14" s="70" t="n">
        <v>0</v>
      </c>
      <c r="N14" s="71" t="n">
        <v>0</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4" t="inlineStr">
        <is>
          <t>LIVE_ENTRY_ENGINE_FILTER_TF=OFF</t>
        </is>
      </c>
      <c r="FL14" s="34" t="inlineStr">
        <is>
          <t>LIVE_ENTRY_ENGINE_FILTER_TF=D</t>
        </is>
      </c>
      <c r="FM14" s="34" t="inlineStr">
        <is>
          <t>LIVE_ENTRY_ENGINE_FILTER_TF=4h</t>
        </is>
      </c>
      <c r="FN14" s="34" t="inlineStr">
        <is>
          <t>LIVE_ENTRY_ENGINE_FILTER_TF=1h</t>
        </is>
      </c>
      <c r="FO14" s="34" t="inlineStr">
        <is>
          <t>LIVE_ENTRY_ENGINE_FILTER_TF=15m</t>
        </is>
      </c>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4" t="inlineStr">
        <is>
          <t>WT_15M_BOUNCE_BB_MAX=0.95</t>
        </is>
      </c>
      <c r="IA14" s="34" t="inlineStr">
        <is>
          <t>WT_15M_BOUNCE_BB_MAX=0.9</t>
        </is>
      </c>
      <c r="IB14" s="34" t="inlineStr">
        <is>
          <t>WT_15M_BOUNCE_BB_MAX=0.8</t>
        </is>
      </c>
      <c r="IC14" s="34" t="inlineStr">
        <is>
          <t>WT_15M_BOUNCE_BB_MIN=0.05</t>
        </is>
      </c>
      <c r="ID14" s="34" t="inlineStr">
        <is>
          <t>WT_15M_BOUNCE_BB_MIN=0.1</t>
        </is>
      </c>
      <c r="IE14" s="34" t="inlineStr">
        <is>
          <t>WT_15M_BOUNCE_BB_MIN=0.2</t>
        </is>
      </c>
      <c r="IF14" s="34" t="inlineStr">
        <is>
          <t>WT_15M_BOUNCE_HIGH_1H_GT_PREV=True</t>
        </is>
      </c>
      <c r="IG14" s="34" t="inlineStr">
        <is>
          <t>WT_15M_BOUNCE_HIGH_1H_GT_PREV=False</t>
        </is>
      </c>
      <c r="IH14" s="34" t="inlineStr">
        <is>
          <t>WT_15M_BOUNCE_LOW_1H_GT_PREV=True</t>
        </is>
      </c>
      <c r="II14" s="34" t="inlineStr">
        <is>
          <t>WT_15M_BOUNCE_LOW_1H_GT_PREV=False</t>
        </is>
      </c>
      <c r="IJ14" s="34" t="inlineStr">
        <is>
          <t>WT_15M_BOUNCE_REL_VOL_GT_1=True</t>
        </is>
      </c>
      <c r="IK14" s="34" t="inlineStr">
        <is>
          <t>WT_15M_BOUNCE_REL_VOL_GT_1=False</t>
        </is>
      </c>
      <c r="IL14" s="26" t="n"/>
      <c r="IM14" s="26" t="inlineStr">
        <is>
          <t>ez_manage.py:4371 top()</t>
        </is>
      </c>
      <c r="IN14" s="26" t="inlineStr">
        <is>
          <t>v12_quick_engine.py:889 x9</t>
        </is>
      </c>
      <c r="IO14" s="26" t="n"/>
    </row>
    <row r="15" ht="15.75" customHeight="1" s="67">
      <c r="A15" s="0" t="inlineStr">
        <is>
          <t>BB_PULLBACK_GATE_TF</t>
        </is>
      </c>
      <c r="B15" s="0" t="inlineStr">
        <is>
          <t>D</t>
        </is>
      </c>
      <c r="E15" s="0">
        <f>IF(G8="",E7,IF(G8&gt;0,E7+G8,E7))</f>
        <v/>
      </c>
      <c r="G15" s="0">
        <f>IFERROR(VLOOKUP($A183&amp;"_"&amp;$B183,Results_Deltas!$A$2:$P$15000,5,FALSE),"")</f>
        <v/>
      </c>
      <c r="H15" s="0">
        <f>IFERROR(VLOOKUP($A183,Results_30d_Deltas!$A$2:$H$5000,7,FALSE)-E7,"")</f>
        <v/>
      </c>
      <c r="I15" s="0">
        <f>IFERROR(VLOOKUP($A183,Results_30d_Deltas!$A$2:$H$5000,6,FALSE),"")</f>
        <v/>
      </c>
      <c r="L15" s="0" t="inlineStr">
        <is>
          <t>NO</t>
        </is>
      </c>
      <c r="M15" s="0" t="n">
        <v>28</v>
      </c>
      <c r="N15" s="0" t="n">
        <v>1.40342086460794</v>
      </c>
    </row>
    <row r="16" ht="10.5" customHeight="1" s="67">
      <c r="A16" s="27" t="inlineStr">
        <is>
          <t>WT_15M_BOUNCE_OPEN_ENABLED</t>
        </is>
      </c>
      <c r="B16" s="27" t="inlineStr">
        <is>
          <t>False</t>
        </is>
      </c>
      <c r="C16" s="26" t="n"/>
      <c r="D16" s="26" t="n"/>
      <c r="E16" s="26">
        <f>TEMPLATE_BASELINE_METRICS!B2</f>
        <v/>
      </c>
      <c r="F16" s="26" t="n"/>
      <c r="G16" s="26">
        <f>IFERROR(VLOOKUP($A3&amp;"="&amp;$B3,Results_Deltas!$A$2:$P$15000,5,FALSE),"")</f>
        <v/>
      </c>
      <c r="H16" s="26">
        <f>IFERROR(VLOOKUP($A3,Results_30d_Deltas!$A$2:$H$5000,7,FALSE)-E3,"")</f>
        <v/>
      </c>
      <c r="I16" s="26">
        <f>IFERROR(VLOOKUP($A3,Results_30d_Deltas!$A$2:$H$5000,6,FALSE),"")</f>
        <v/>
      </c>
      <c r="J16" s="26" t="n"/>
      <c r="K16" s="26" t="n"/>
      <c r="L16" s="26" t="inlineStr">
        <is>
          <t>YES</t>
        </is>
      </c>
      <c r="M16" s="70" t="n">
        <v>13</v>
      </c>
      <c r="N16" s="71" t="n">
        <v>13.01499742642773</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4" t="inlineStr">
        <is>
          <t>FIRST_OPEN_THROTTLE_FILTER_TF=OFF</t>
        </is>
      </c>
      <c r="EA16" s="34" t="inlineStr">
        <is>
          <t>FIRST_OPEN_THROTTLE_FILTER_TF=D</t>
        </is>
      </c>
      <c r="EB16" s="34" t="inlineStr">
        <is>
          <t>FIRST_OPEN_THROTTLE_FILTER_TF=4h</t>
        </is>
      </c>
      <c r="EC16" s="34" t="inlineStr">
        <is>
          <t>FIRST_OPEN_THROTTLE_FILTER_TF=1h</t>
        </is>
      </c>
      <c r="ED16" s="34" t="inlineStr">
        <is>
          <t>FIRST_OPEN_THROTTLE_FILTER_TF=15m</t>
        </is>
      </c>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4" t="inlineStr">
        <is>
          <t>OPEN_INTENT_SIZE_GATES_FILTER_TF=OFF</t>
        </is>
      </c>
      <c r="HL16" s="34" t="inlineStr">
        <is>
          <t>OPEN_INTENT_SIZE_GATES_FILTER_TF=D</t>
        </is>
      </c>
      <c r="HM16" s="34" t="inlineStr">
        <is>
          <t>OPEN_INTENT_SIZE_GATES_FILTER_TF=4h</t>
        </is>
      </c>
      <c r="HN16" s="34" t="inlineStr">
        <is>
          <t>OPEN_INTENT_SIZE_GATES_FILTER_TF=1h</t>
        </is>
      </c>
      <c r="HO16" s="34" t="inlineStr">
        <is>
          <t>OPEN_INTENT_SIZE_GATES_FILTER_TF=15m</t>
        </is>
      </c>
      <c r="HP16" s="33" t="n"/>
      <c r="HQ16" s="33" t="n"/>
      <c r="HR16" s="33" t="n"/>
      <c r="HS16" s="33" t="n"/>
      <c r="HT16" s="33" t="n"/>
      <c r="HU16" s="33" t="n"/>
      <c r="HV16" s="33" t="n"/>
      <c r="HW16" s="33" t="n"/>
      <c r="HX16" s="33" t="n"/>
      <c r="HY16" s="33" t="n"/>
      <c r="HZ16" s="34" t="inlineStr">
        <is>
          <t>WT_15M_BOUNCE_BB_MAX=0.95</t>
        </is>
      </c>
      <c r="IA16" s="34" t="inlineStr">
        <is>
          <t>WT_15M_BOUNCE_BB_MAX=0.9</t>
        </is>
      </c>
      <c r="IB16" s="34" t="inlineStr">
        <is>
          <t>WT_15M_BOUNCE_BB_MAX=0.8</t>
        </is>
      </c>
      <c r="IC16" s="34" t="inlineStr">
        <is>
          <t>WT_15M_BOUNCE_BB_MIN=0.05</t>
        </is>
      </c>
      <c r="ID16" s="34" t="inlineStr">
        <is>
          <t>WT_15M_BOUNCE_BB_MIN=0.1</t>
        </is>
      </c>
      <c r="IE16" s="34" t="inlineStr">
        <is>
          <t>WT_15M_BOUNCE_BB_MIN=0.2</t>
        </is>
      </c>
      <c r="IF16" s="34" t="inlineStr">
        <is>
          <t>WT_15M_BOUNCE_HIGH_1H_GT_PREV=True</t>
        </is>
      </c>
      <c r="IG16" s="34" t="inlineStr">
        <is>
          <t>WT_15M_BOUNCE_HIGH_1H_GT_PREV=False</t>
        </is>
      </c>
      <c r="IH16" s="34" t="inlineStr">
        <is>
          <t>WT_15M_BOUNCE_LOW_1H_GT_PREV=True</t>
        </is>
      </c>
      <c r="II16" s="34" t="inlineStr">
        <is>
          <t>WT_15M_BOUNCE_LOW_1H_GT_PREV=False</t>
        </is>
      </c>
      <c r="IJ16" s="34" t="inlineStr">
        <is>
          <t>WT_15M_BOUNCE_REL_VOL_GT_1=True</t>
        </is>
      </c>
      <c r="IK16" s="34" t="inlineStr">
        <is>
          <t>WT_15M_BOUNCE_REL_VOL_GT_1=False</t>
        </is>
      </c>
      <c r="IL16" s="26" t="n"/>
      <c r="IM16" s="26" t="inlineStr">
        <is>
          <t>ez_manage.py:6076 top()</t>
        </is>
      </c>
      <c r="IN16" s="26" t="inlineStr">
        <is>
          <t>v12_quick_engine.py:4288 x7</t>
        </is>
      </c>
      <c r="IO16" s="26" t="n"/>
    </row>
    <row r="17" ht="15.75" customHeight="1" s="67">
      <c r="A17" s="0" t="inlineStr">
        <is>
          <t>BB_PULLBACK_GATE_TF</t>
        </is>
      </c>
      <c r="B17" s="0" t="inlineStr">
        <is>
          <t>4h</t>
        </is>
      </c>
      <c r="E17" s="0">
        <f>IF(G9="",E8,IF(G9&gt;0,E8+G9,E8))</f>
        <v/>
      </c>
      <c r="G17" s="0">
        <f>IFERROR(VLOOKUP($A184&amp;"_"&amp;$B184,Results_Deltas!$A$2:$P$15000,5,FALSE),"")</f>
        <v/>
      </c>
      <c r="H17" s="0">
        <f>IFERROR(VLOOKUP($A184,Results_30d_Deltas!$A$2:$H$5000,7,FALSE)-E8,"")</f>
        <v/>
      </c>
      <c r="I17" s="0">
        <f>IFERROR(VLOOKUP($A184,Results_30d_Deltas!$A$2:$H$5000,6,FALSE),"")</f>
        <v/>
      </c>
      <c r="L17" s="0" t="inlineStr">
        <is>
          <t>NO</t>
        </is>
      </c>
      <c r="M17" s="0" t="n">
        <v>28</v>
      </c>
      <c r="N17" s="0" t="n">
        <v>0</v>
      </c>
    </row>
    <row r="18" ht="10.5" customHeight="1" s="67">
      <c r="A18" s="27" t="inlineStr">
        <is>
          <t>BB_SQUEEZE_ENTRY_ENABLED</t>
        </is>
      </c>
      <c r="B18" s="27" t="inlineStr">
        <is>
          <t>True</t>
        </is>
      </c>
      <c r="C18" s="26" t="n"/>
      <c r="D18" s="26" t="n"/>
      <c r="E18" s="26">
        <f>IF(G4="",E3,IF(G4&gt;0,E3+G4,E3))</f>
        <v/>
      </c>
      <c r="F18" s="26" t="n"/>
      <c r="G18" s="26">
        <f>IFERROR(VLOOKUP($A5&amp;"_"&amp;$B5,Results_Deltas!$A$2:$P$15000,5,FALSE),"")</f>
        <v/>
      </c>
      <c r="H18" s="26">
        <f>IFERROR(VLOOKUP($A5,Results_30d_Deltas!$A$2:$H$5000,7,FALSE)-E4,"")</f>
        <v/>
      </c>
      <c r="I18" s="26">
        <f>IFERROR(VLOOKUP($A5,Results_30d_Deltas!$A$2:$H$5000,6,FALSE),"")</f>
        <v/>
      </c>
      <c r="J18" s="26" t="n"/>
      <c r="K18" s="26" t="n"/>
      <c r="L18" s="26" t="inlineStr">
        <is>
          <t>YES</t>
        </is>
      </c>
      <c r="M18" s="70" t="n">
        <v>28</v>
      </c>
      <c r="N18" s="71" t="n">
        <v>0.3405356141858173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72" t="n"/>
      <c r="EA18" s="72" t="n"/>
      <c r="EB18" s="72" t="n"/>
      <c r="EC18" s="72" t="n"/>
      <c r="ED18" s="72"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6" t="inlineStr">
        <is>
          <t>LIVE_ENTRY_ENGINE_FILTER_TF=OFF</t>
        </is>
      </c>
      <c r="FL18" s="36" t="inlineStr">
        <is>
          <t>LIVE_ENTRY_ENGINE_FILTER_TF=D</t>
        </is>
      </c>
      <c r="FM18" s="36" t="inlineStr">
        <is>
          <t>LIVE_ENTRY_ENGINE_FILTER_TF=4h</t>
        </is>
      </c>
      <c r="FN18" s="36" t="inlineStr">
        <is>
          <t>LIVE_ENTRY_ENGINE_FILTER_TF=1h</t>
        </is>
      </c>
      <c r="FO18" s="36" t="inlineStr">
        <is>
          <t>LIVE_ENTRY_ENGINE_FILTER_TF=15m</t>
        </is>
      </c>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72" t="n"/>
      <c r="HL18" s="72" t="n"/>
      <c r="HM18" s="72" t="n"/>
      <c r="HN18" s="72" t="n"/>
      <c r="HO18" s="72" t="n"/>
      <c r="HP18" s="33" t="n"/>
      <c r="HQ18" s="33" t="n"/>
      <c r="HR18" s="33" t="n"/>
      <c r="HS18" s="33" t="n"/>
      <c r="HT18" s="33" t="n"/>
      <c r="HU18" s="33" t="n"/>
      <c r="HV18" s="33" t="n"/>
      <c r="HW18" s="33" t="n"/>
      <c r="HX18" s="33" t="n"/>
      <c r="HY18" s="33" t="n"/>
      <c r="HZ18" s="34" t="inlineStr">
        <is>
          <t>WT_15M_BOUNCE_BB_MAX=0.95</t>
        </is>
      </c>
      <c r="IA18" s="34" t="inlineStr">
        <is>
          <t>WT_15M_BOUNCE_BB_MAX=0.9</t>
        </is>
      </c>
      <c r="IB18" s="34" t="inlineStr">
        <is>
          <t>WT_15M_BOUNCE_BB_MAX=0.8</t>
        </is>
      </c>
      <c r="IC18" s="34" t="inlineStr">
        <is>
          <t>WT_15M_BOUNCE_BB_MIN=0.05</t>
        </is>
      </c>
      <c r="ID18" s="34" t="inlineStr">
        <is>
          <t>WT_15M_BOUNCE_BB_MIN=0.1</t>
        </is>
      </c>
      <c r="IE18" s="34" t="inlineStr">
        <is>
          <t>WT_15M_BOUNCE_BB_MIN=0.2</t>
        </is>
      </c>
      <c r="IF18" s="34" t="inlineStr">
        <is>
          <t>WT_15M_BOUNCE_HIGH_1H_GT_PREV=True</t>
        </is>
      </c>
      <c r="IG18" s="34" t="inlineStr">
        <is>
          <t>WT_15M_BOUNCE_HIGH_1H_GT_PREV=False</t>
        </is>
      </c>
      <c r="IH18" s="34" t="inlineStr">
        <is>
          <t>WT_15M_BOUNCE_LOW_1H_GT_PREV=True</t>
        </is>
      </c>
      <c r="II18" s="34" t="inlineStr">
        <is>
          <t>WT_15M_BOUNCE_LOW_1H_GT_PREV=False</t>
        </is>
      </c>
      <c r="IJ18" s="34" t="inlineStr">
        <is>
          <t>WT_15M_BOUNCE_REL_VOL_GT_1=True</t>
        </is>
      </c>
      <c r="IK18" s="34" t="inlineStr">
        <is>
          <t>WT_15M_BOUNCE_REL_VOL_GT_1=False</t>
        </is>
      </c>
      <c r="IL18" s="26" t="n"/>
      <c r="IM18" s="26" t="inlineStr">
        <is>
          <t>ez_manage.py:4371 top()</t>
        </is>
      </c>
      <c r="IN18" s="26" t="inlineStr">
        <is>
          <t>v12_quick_engine.py:889 x9</t>
        </is>
      </c>
      <c r="IO18" s="26" t="n"/>
    </row>
    <row r="19" ht="15.75" customHeight="1" s="67">
      <c r="A19" s="0" t="inlineStr">
        <is>
          <t>DELTA_GATE_BB_SQUEEZE</t>
        </is>
      </c>
      <c r="B19" s="0" t="inlineStr">
        <is>
          <t>True</t>
        </is>
      </c>
      <c r="E19" s="0">
        <f>IF(G12="",E11,IF(G12&gt;0,E11+G12,E11))</f>
        <v/>
      </c>
      <c r="G19" s="0">
        <f>IFERROR(VLOOKUP($A187&amp;"_"&amp;$B187,Results_Deltas!$A$2:$P$15000,5,FALSE),"")</f>
        <v/>
      </c>
      <c r="H19" s="0">
        <f>IFERROR(VLOOKUP($A187,Results_30d_Deltas!$A$2:$H$5000,7,FALSE)-E11,"")</f>
        <v/>
      </c>
      <c r="I19" s="0">
        <f>IFERROR(VLOOKUP($A187,Results_30d_Deltas!$A$2:$H$5000,6,FALSE),"")</f>
        <v/>
      </c>
      <c r="L19" s="0" t="inlineStr">
        <is>
          <t>YES</t>
        </is>
      </c>
      <c r="M19" s="0" t="n">
        <v>13</v>
      </c>
      <c r="N19" s="0" t="n">
        <v>0</v>
      </c>
    </row>
    <row r="20" ht="15.75" customHeight="1" s="67"/>
    <row r="21" ht="10.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0.5" customHeight="1" s="67"/>
    <row r="32" ht="15.75" customHeight="1" s="67"/>
    <row r="33" ht="15.75" customHeight="1" s="67"/>
    <row r="34" ht="15.75" customHeight="1" s="67"/>
    <row r="35" ht="15.75" customHeight="1" s="67"/>
    <row r="36" ht="15.75" customHeight="1" s="67"/>
    <row r="37" ht="10.5" customHeight="1" s="67"/>
    <row r="38" ht="10.5" customHeight="1" s="67"/>
    <row r="39" ht="15.75" customHeight="1" s="67"/>
    <row r="40" ht="15.75" customHeight="1" s="67"/>
    <row r="41" ht="10.5" customHeight="1" s="67"/>
    <row r="42" ht="15.75" customHeight="1" s="67"/>
    <row r="43" ht="15.75" customHeight="1" s="67"/>
    <row r="44" ht="15.75" customHeight="1" s="67"/>
    <row r="45" ht="15.75" customHeight="1" s="67"/>
    <row r="46" ht="15.75" customHeight="1" s="67"/>
    <row r="47" ht="10.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0.5" customHeight="1" s="67"/>
    <row r="77" ht="15.75" customHeight="1" s="67"/>
    <row r="78" ht="15.75" customHeight="1" s="67"/>
    <row r="79" ht="15.75" customHeight="1" s="67"/>
    <row r="80" ht="15.75" customHeight="1" s="67"/>
    <row r="81" ht="10.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0.5" customHeight="1" s="67"/>
    <row r="116" ht="10.5" customHeight="1" s="67"/>
    <row r="117" ht="15.75" customHeight="1" s="67"/>
    <row r="118" ht="10.5" customHeight="1" s="67"/>
    <row r="119" ht="10.5" customHeight="1" s="67"/>
    <row r="120" ht="10.5" customHeight="1" s="67"/>
    <row r="121" ht="10.5" customHeight="1" s="67"/>
    <row r="122" ht="15.75" customHeight="1" s="67"/>
    <row r="123" ht="15.75" customHeight="1" s="67"/>
    <row r="124" ht="10.5" customHeight="1" s="67"/>
    <row r="125" ht="15.75" customHeight="1" s="67"/>
    <row r="126" ht="15.75" customHeight="1" s="67"/>
    <row r="127" ht="15.75" customHeight="1" s="67"/>
    <row r="128" ht="15.75" customHeight="1" s="67"/>
    <row r="129" ht="15.75" customHeight="1" s="67"/>
    <row r="130" ht="15.75" customHeight="1" s="67"/>
    <row r="131" ht="15.75" customHeight="1" s="67"/>
    <row r="132" ht="10.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0.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0.5" customHeight="1" s="67"/>
    <row r="186" ht="15.75" customHeight="1" s="67"/>
    <row r="187" ht="15.75" customHeight="1" s="67"/>
    <row r="188" ht="10.5" customHeight="1" s="67"/>
    <row r="189" ht="15.75" customHeight="1" s="67"/>
    <row r="190" ht="10.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IF(G6="",E5,IF(G6&gt;0,E5+G6,E5))</f>
        <v/>
      </c>
      <c r="F3" s="35">
        <f>IFERROR(VLOOKUP($A21&amp;"="&amp;$B21,Results_Deltas!$A$2:$P$15000,5,FALSE),"")</f>
        <v/>
      </c>
      <c r="G3" s="35">
        <f>IFERROR(VLOOKUP($A21,Results_30d_Deltas!$A$2:$H$5000,7,FALSE)-E21,"")</f>
        <v/>
      </c>
      <c r="H3" s="35">
        <f>IFERROR(VLOOKUP($A21,Results_30d_Deltas!$A$2:$H$5000,6,FALSE),"")</f>
        <v/>
      </c>
      <c r="L3" s="35" t="inlineStr">
        <is>
          <t>NO</t>
        </is>
      </c>
      <c r="M3" s="74" t="n">
        <v>0</v>
      </c>
      <c r="N3" s="71" t="n">
        <v>0</v>
      </c>
    </row>
    <row r="4" s="67">
      <c r="A4" s="35" t="inlineStr">
        <is>
          <t>STDEV_SLOPE_SIZING_4H_MAX</t>
        </is>
      </c>
      <c r="B4" s="35" t="n">
        <v>1</v>
      </c>
      <c r="D4" s="35" t="inlineStr">
        <is>
          <t>STDEV_LADDER</t>
        </is>
      </c>
      <c r="E4" s="35">
        <f>IF(G7="",E6,IF(G7&gt;0,E6+G7,E6))</f>
        <v/>
      </c>
      <c r="F4" s="35">
        <f>IFERROR(VLOOKUP($A22&amp;"="&amp;$B22,Results_Deltas!$A$2:$P$15000,5,FALSE),"")</f>
        <v/>
      </c>
      <c r="G4" s="35">
        <f>IFERROR(VLOOKUP($A22,Results_30d_Deltas!$A$2:$H$5000,7,FALSE)-E22,"")</f>
        <v/>
      </c>
      <c r="H4" s="35">
        <f>IFERROR(VLOOKUP($A22,Results_30d_Deltas!$A$2:$H$5000,6,FALSE),"")</f>
        <v/>
      </c>
      <c r="L4" s="35" t="inlineStr">
        <is>
          <t>NO</t>
        </is>
      </c>
      <c r="M4" s="74" t="n">
        <v>0</v>
      </c>
      <c r="N4" s="71" t="n">
        <v>0</v>
      </c>
    </row>
    <row r="5" s="67"/>
    <row r="6" s="67"/>
    <row r="7" s="67"/>
    <row r="8"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5.75" customHeight="1" s="67"/>
    <row r="185" ht="15.75" customHeight="1" s="67"/>
    <row r="186" ht="15.75" customHeight="1" s="67"/>
    <row r="187" ht="15.75" customHeight="1" s="67"/>
    <row r="188" ht="15.75" customHeight="1" s="67"/>
    <row r="189" ht="15.75" customHeight="1" s="67"/>
    <row r="190" ht="15.75" customHeight="1" s="67"/>
    <row r="191" ht="10.5" customHeight="1" s="67"/>
    <row r="192" ht="15.75" customHeight="1" s="67"/>
    <row r="193" ht="15.75" customHeight="1" s="67"/>
    <row r="194" ht="10.5" customHeight="1" s="67"/>
    <row r="195" ht="10.5" customHeight="1" s="67"/>
    <row r="196" ht="15.75" customHeight="1" s="67"/>
    <row r="197" ht="10.5" customHeight="1" s="67"/>
    <row r="198" ht="10.5" customHeight="1" s="67"/>
    <row r="199" ht="10.5" customHeight="1" s="67"/>
    <row r="200" ht="15.75" customHeight="1" s="67"/>
    <row r="201" ht="15.75" customHeight="1" s="67"/>
    <row r="202" ht="15.75" customHeight="1" s="67"/>
    <row r="203" ht="10.5" customHeight="1" s="67"/>
    <row r="204" ht="10.5" customHeight="1" s="67"/>
    <row r="205" ht="10.5" customHeight="1" s="67"/>
    <row r="206" ht="10.5" customHeight="1" s="67"/>
    <row r="207" ht="10.5" customHeight="1" s="67"/>
    <row r="208" ht="10.5" customHeight="1" s="67"/>
    <row r="209" ht="10.5" customHeight="1" s="67"/>
    <row r="210" ht="15.75" customHeight="1" s="67"/>
    <row r="211" ht="15.75" customHeight="1" s="67"/>
    <row r="212" ht="10.5" customHeight="1" s="67"/>
    <row r="213" ht="10.5" customHeight="1" s="67"/>
    <row r="214" ht="10.5" customHeight="1" s="67"/>
    <row r="215" ht="15.75" customHeight="1" s="67"/>
    <row r="216" ht="10.5" customHeight="1" s="67"/>
    <row r="217" ht="15.75" customHeight="1" s="67"/>
    <row r="218" ht="15.75" customHeight="1" s="67"/>
    <row r="219" ht="15.75" customHeight="1" s="67"/>
    <row r="220" ht="15.75" customHeight="1" s="67"/>
    <row r="221" ht="10.5" customHeight="1" s="67"/>
    <row r="222" ht="10.5" customHeight="1" s="67"/>
    <row r="223" ht="15.75" customHeight="1" s="67"/>
    <row r="224" ht="10.5" customHeight="1" s="67"/>
    <row r="225" ht="10.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0.5" customHeight="1" s="67"/>
    <row r="238" ht="15.75" customHeight="1" s="67"/>
    <row r="239" ht="15.75" customHeight="1" s="67"/>
    <row r="240" ht="15.75" customHeight="1" s="67"/>
    <row r="241" ht="10.5" customHeight="1" s="67"/>
    <row r="242" ht="10.5" customHeight="1" s="67"/>
    <row r="243" ht="10.5" customHeight="1" s="67"/>
    <row r="244" ht="10.5" customHeight="1" s="67"/>
    <row r="245" ht="10.5" customHeight="1" s="67"/>
    <row r="246" ht="10.5" customHeight="1" s="67"/>
    <row r="247" ht="15.75" customHeight="1" s="67"/>
    <row r="248" ht="10.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row r="4" ht="15.75" customHeight="1" s="67"/>
    <row r="5" ht="15.75" customHeight="1" s="67"/>
    <row r="6" ht="15.75" customHeight="1" s="67"/>
    <row r="7" ht="15.75" customHeight="1" s="67"/>
    <row r="8" ht="15.75" customHeight="1" s="67"/>
    <row r="9" ht="15.75" customHeight="1" s="67"/>
    <row r="10" ht="15.75" customHeight="1" s="67"/>
    <row r="11" ht="15.75" customHeight="1" s="67"/>
    <row r="12" s="67"/>
    <row r="13" ht="15.75" customHeight="1" s="67"/>
    <row r="14" ht="15.75" customHeight="1" s="67"/>
    <row r="15" ht="15.75" customHeight="1" s="67"/>
    <row r="16" ht="15.75" customHeight="1" s="67"/>
    <row r="17"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0.5" customHeight="1" s="67"/>
    <row r="28" ht="15.75" customHeight="1" s="67"/>
    <row r="29" ht="15.75" customHeight="1" s="67"/>
    <row r="30" ht="15.75" customHeight="1" s="67"/>
    <row r="31" ht="15.75" customHeight="1" s="67"/>
    <row r="32" ht="15.75" customHeight="1" s="67"/>
    <row r="33" ht="10.5" customHeight="1" s="67"/>
    <row r="34" ht="10.5" customHeight="1" s="67"/>
    <row r="35" ht="15.75" customHeight="1" s="67"/>
    <row r="36" ht="15.75" customHeight="1" s="67"/>
    <row r="37" ht="10.5" customHeight="1" s="67"/>
    <row r="38" ht="15.7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5.75" customHeight="1" s="67"/>
    <row r="75" ht="15.75" customHeight="1" s="67"/>
    <row r="76" ht="15.75" customHeight="1" s="67"/>
    <row r="77" ht="10.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0.5" customHeight="1" s="67"/>
    <row r="112" s="67"/>
    <row r="113" ht="15.75" customHeight="1" s="67"/>
    <row r="114" s="67"/>
    <row r="115" s="67"/>
    <row r="116" s="67"/>
    <row r="117" s="67"/>
    <row r="118" ht="15.75" customHeight="1" s="67"/>
    <row r="119" ht="15.75" customHeight="1" s="67"/>
    <row r="120" ht="10.5" customHeight="1" s="67"/>
    <row r="121" ht="15.75" customHeight="1" s="67"/>
    <row r="122" ht="15.75" customHeight="1" s="67"/>
    <row r="123" ht="15.75" customHeight="1" s="67"/>
    <row r="124" ht="15.75" customHeight="1" s="67"/>
    <row r="125" ht="15.75" customHeight="1" s="67"/>
    <row r="126" ht="15.75" customHeight="1" s="67"/>
    <row r="127" ht="15.75" customHeight="1" s="67"/>
    <row r="128" ht="10.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0.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s="67"/>
    <row r="179" ht="15.75" customHeight="1" s="67"/>
    <row r="180" s="67"/>
    <row r="181" s="67"/>
    <row r="182" s="67"/>
    <row r="183"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row r="4" ht="15.75" customHeight="1" s="67"/>
    <row r="5" ht="15.75" customHeight="1" s="67"/>
    <row r="6" ht="15.75" customHeight="1" s="67"/>
    <row r="7" ht="15.75" customHeight="1" s="67"/>
    <row r="8" ht="15.75" customHeight="1" s="67"/>
    <row r="9" ht="15.75" customHeight="1" s="67"/>
    <row r="10" ht="15.75" customHeight="1" s="67"/>
    <row r="11" ht="15.75" customHeight="1" s="67"/>
    <row r="12" s="67"/>
    <row r="13" ht="15.75" customHeight="1" s="67"/>
    <row r="14" ht="15.75" customHeight="1" s="67"/>
    <row r="15" ht="15.75" customHeight="1" s="67"/>
    <row r="16" ht="15.75" customHeight="1" s="67"/>
    <row r="17"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s="67"/>
    <row r="28" ht="15.75" customHeight="1" s="67"/>
    <row r="29" ht="15.75" customHeight="1" s="67"/>
    <row r="30" ht="15.75" customHeight="1" s="67"/>
    <row r="31" ht="15.75" customHeight="1" s="67"/>
    <row r="32" ht="15.75" customHeight="1" s="67"/>
    <row r="33" ht="10.5" customHeight="1" s="67"/>
    <row r="34" ht="10.5" customHeight="1" s="67"/>
    <row r="35" ht="15.75" customHeight="1" s="67"/>
    <row r="36" ht="15.75" customHeight="1" s="67"/>
    <row r="37" s="67"/>
    <row r="38" ht="15.75" customHeight="1" s="67"/>
    <row r="39" ht="15.75" customHeight="1" s="67"/>
    <row r="40" ht="15.75" customHeight="1" s="67"/>
    <row r="41" ht="15.75" customHeight="1" s="67"/>
    <row r="42" ht="15.75" customHeight="1" s="67"/>
    <row r="43"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5.75" customHeight="1" s="67"/>
    <row r="75" ht="15.75" customHeight="1" s="67"/>
    <row r="76" ht="15.75" customHeight="1" s="67"/>
    <row r="77" ht="10.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s="67"/>
    <row r="112" s="67"/>
    <row r="113" ht="15.75" customHeight="1" s="67"/>
    <row r="114" s="67"/>
    <row r="115" s="67"/>
    <row r="116" s="67"/>
    <row r="117" s="67"/>
    <row r="118" ht="15.75" customHeight="1" s="67"/>
    <row r="119" ht="15.75" customHeight="1" s="67"/>
    <row r="120" ht="10.5" customHeight="1" s="67"/>
    <row r="121" ht="15.75" customHeight="1" s="67"/>
    <row r="122" ht="15.75" customHeight="1" s="67"/>
    <row r="123" ht="15.75" customHeight="1" s="67"/>
    <row r="124" ht="15.75" customHeight="1" s="67"/>
    <row r="125" ht="15.75" customHeight="1" s="67"/>
    <row r="126" ht="15.75" customHeight="1" s="67"/>
    <row r="127" ht="15.75" customHeight="1" s="67"/>
    <row r="128" ht="10.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MOVER_THRESHOLD</t>
        </is>
      </c>
      <c r="B3" s="40" t="inlineStr">
        <is>
          <t>5</t>
        </is>
      </c>
      <c r="C3" s="38" t="n"/>
      <c r="D3" s="38" t="inlineStr">
        <is>
          <t>ENTRY, GLOBAL_CHECK, STOCKS_EXIT</t>
        </is>
      </c>
      <c r="E3" s="38" t="n"/>
      <c r="F3" s="26" t="n"/>
      <c r="G3" s="38">
        <f>IFERROR(VLOOKUP($A220&amp;"_"&amp;$B220,Results_Deltas!$A$2:$P$15000,5,FALSE),"")</f>
        <v/>
      </c>
      <c r="H3" s="38" t="inlineStr">
        <is>
          <t>Blanket (page end)</t>
        </is>
      </c>
      <c r="I3" s="26" t="n"/>
      <c r="J3" s="26" t="n"/>
      <c r="K3" s="26" t="n"/>
      <c r="L3" s="26" t="inlineStr">
        <is>
          <t>NO</t>
        </is>
      </c>
      <c r="M3" s="0" t="n">
        <v>26</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row r="5" ht="15.75" customHeight="1" s="67"/>
    <row r="6" ht="15.75" customHeight="1" s="67"/>
    <row r="7" ht="10.5" customHeight="1" s="67"/>
    <row r="8" ht="10.5" customHeight="1" s="67"/>
    <row r="9" ht="10.5" customHeight="1" s="67"/>
    <row r="10" ht="10.5" customHeight="1" s="67"/>
    <row r="11" ht="15.7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0.5" customHeight="1" s="67"/>
    <row r="22" ht="15.75" customHeight="1" s="67"/>
    <row r="23" ht="10.5" customHeight="1" s="67"/>
    <row r="24" ht="15.75" customHeight="1" s="67"/>
    <row r="25" ht="15.75" customHeight="1" s="67"/>
    <row r="26" ht="15.75" customHeight="1" s="67"/>
    <row r="27" ht="10.5" customHeight="1" s="67"/>
    <row r="28" ht="10.5" customHeight="1" s="67"/>
    <row r="29" ht="15.75" customHeight="1" s="67"/>
    <row r="30" ht="15.75" customHeight="1" s="67"/>
    <row r="31" ht="15.75" customHeight="1" s="67"/>
    <row r="32" ht="10.5" customHeight="1" s="67"/>
    <row r="33" ht="10.5" customHeight="1" s="67"/>
    <row r="34" ht="10.5" customHeight="1" s="67"/>
    <row r="35" ht="15.75" customHeight="1" s="67"/>
    <row r="36" ht="10.5" customHeight="1" s="67"/>
    <row r="37" ht="10.5" customHeight="1" s="67"/>
    <row r="38" ht="10.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0.5" customHeight="1" s="67"/>
    <row r="51" ht="15.75" customHeight="1" s="67"/>
    <row r="52" ht="15.75" customHeight="1" s="67"/>
    <row r="53" ht="10.5" customHeight="1" s="67"/>
    <row r="54" ht="10.5" customHeight="1" s="67"/>
    <row r="55" ht="15.75" customHeight="1" s="67"/>
    <row r="56" ht="15.75" customHeight="1" s="67"/>
    <row r="57" ht="10.5" customHeight="1" s="67"/>
    <row r="58" ht="10.5" customHeight="1" s="67"/>
    <row r="59" ht="10.5" customHeight="1" s="67"/>
    <row r="60" ht="10.5" customHeight="1" s="67"/>
    <row r="61" ht="15.75" customHeight="1" s="67"/>
    <row r="62" ht="15.75" customHeight="1" s="67"/>
    <row r="63" ht="10.5" customHeight="1" s="67"/>
    <row r="64" ht="10.5" customHeight="1" s="67"/>
    <row r="65" ht="15.75" customHeight="1" s="67"/>
    <row r="66" ht="15.75" customHeight="1" s="67"/>
    <row r="67" ht="15.75" customHeight="1" s="67"/>
    <row r="68" ht="15.75" customHeight="1" s="67"/>
    <row r="69" ht="10.5" customHeight="1" s="67"/>
    <row r="70" ht="15.75" customHeight="1" s="67"/>
    <row r="71" ht="15.75" customHeight="1" s="67"/>
    <row r="72" ht="10.5" customHeight="1" s="67"/>
    <row r="73" ht="15.75" customHeight="1" s="67"/>
    <row r="74" ht="10.5" customHeight="1" s="67"/>
    <row r="75" ht="15.75" customHeight="1" s="67"/>
    <row r="76" ht="15.75" customHeight="1" s="67"/>
    <row r="77" ht="10.5" customHeight="1" s="67"/>
    <row r="78" ht="15.75" customHeight="1" s="67"/>
    <row r="79" ht="15.75" customHeight="1" s="67"/>
    <row r="80" ht="10.5" customHeight="1" s="67"/>
    <row r="81" ht="15.75" customHeight="1" s="67"/>
    <row r="82" ht="10.5" customHeight="1" s="67"/>
    <row r="83" ht="15.75" customHeight="1" s="67"/>
    <row r="84" ht="15.75" customHeight="1" s="67"/>
    <row r="85" ht="10.5" customHeight="1" s="67"/>
    <row r="86" ht="10.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0.5" customHeight="1" s="67"/>
    <row r="97" ht="15.75" customHeight="1" s="67"/>
    <row r="98" ht="10.5" customHeight="1" s="67"/>
    <row r="99" ht="15.75" customHeight="1" s="67"/>
    <row r="100" ht="10.5" customHeight="1" s="67"/>
    <row r="101" ht="15.75" customHeight="1" s="67"/>
    <row r="102" ht="10.5" customHeight="1" s="67"/>
    <row r="103" ht="15.75" customHeight="1" s="67"/>
    <row r="104" ht="10.5" customHeight="1" s="67"/>
    <row r="105" ht="10.5" customHeight="1" s="67"/>
    <row r="106" ht="15.75" customHeight="1" s="67"/>
    <row r="107" ht="15.75" customHeight="1" s="67"/>
    <row r="108" ht="15.75" customHeight="1" s="67"/>
    <row r="109" ht="15.75" customHeight="1" s="67"/>
    <row r="110" ht="15.75" customHeight="1" s="67"/>
    <row r="111" ht="10.5" customHeight="1" s="67"/>
    <row r="112" ht="10.5" customHeight="1" s="67"/>
    <row r="113" ht="15.75" customHeight="1" s="67"/>
    <row r="114" ht="10.5" customHeight="1" s="67"/>
    <row r="115" ht="10.5" customHeight="1" s="67"/>
    <row r="116" ht="10.5" customHeight="1" s="67"/>
    <row r="117" ht="10.5" customHeight="1" s="67"/>
    <row r="118" ht="15.75" customHeight="1" s="67"/>
    <row r="119" ht="10.5" customHeight="1" s="67"/>
    <row r="120" ht="10.5" customHeight="1" s="67"/>
    <row r="121" ht="15.7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5.75" customHeight="1" s="67"/>
    <row r="131" ht="15.75" customHeight="1" s="67"/>
    <row r="132" ht="15.75" customHeight="1" s="67"/>
    <row r="133" ht="10.5" customHeight="1" s="67"/>
    <row r="134" ht="10.5" customHeight="1" s="67"/>
    <row r="135" ht="10.5" customHeight="1" s="67"/>
    <row r="136" ht="10.5" customHeight="1" s="67"/>
    <row r="137" ht="10.5" customHeight="1" s="67"/>
    <row r="138" ht="15.75" customHeight="1" s="67"/>
    <row r="139" ht="15.75" customHeight="1" s="67"/>
    <row r="140" ht="15.75" customHeight="1" s="67"/>
    <row r="141" ht="10.5" customHeight="1" s="67"/>
    <row r="142" ht="10.5" customHeight="1" s="67"/>
    <row r="143" ht="15.75" customHeight="1" s="67"/>
    <row r="144" ht="10.5" customHeight="1" s="67"/>
    <row r="145" ht="15.75" customHeight="1" s="67"/>
    <row r="146" ht="15.75" customHeight="1" s="67"/>
    <row r="147" ht="15.75" customHeight="1" s="67"/>
    <row r="148" ht="15.75" customHeight="1" s="67"/>
    <row r="149" ht="10.5" customHeight="1" s="67"/>
    <row r="150" ht="10.5" customHeight="1" s="67"/>
    <row r="151" ht="15.75" customHeight="1" s="67"/>
    <row r="152" ht="10.5" customHeight="1" s="67"/>
    <row r="153" ht="15.75" customHeight="1" s="67"/>
    <row r="154" ht="10.5" customHeight="1" s="67"/>
    <row r="155" ht="10.5" customHeight="1" s="67"/>
    <row r="156" ht="10.5" customHeight="1" s="67"/>
    <row r="157" ht="15.75" customHeight="1" s="67"/>
    <row r="158" ht="15.75" customHeight="1" s="67"/>
    <row r="159" ht="10.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NEW_POSITION_MAX_LOSS_THRESHOLD</t>
        </is>
      </c>
      <c r="B3" s="38" t="inlineStr">
        <is>
          <t>0.5</t>
        </is>
      </c>
      <c r="C3" s="38" t="n"/>
      <c r="D3" s="38" t="inlineStr">
        <is>
          <t>AUGMENT, EXIT, GLOBAL_CHECK, REDUCE, STOCKS_EXIT</t>
        </is>
      </c>
      <c r="E3" s="38" t="n"/>
      <c r="F3" s="26" t="n"/>
      <c r="G3" s="38">
        <f>IFERROR(VLOOKUP($A416&amp;"_"&amp;$B416,Results_Deltas!$A$2:$P$15000,5,FALSE),"")</f>
        <v/>
      </c>
      <c r="H3" s="38" t="inlineStr">
        <is>
          <t>Blanket (page end)</t>
        </is>
      </c>
      <c r="I3" s="26" t="n"/>
      <c r="J3" s="26" t="n"/>
      <c r="K3" s="26" t="n"/>
      <c r="L3" s="26" t="inlineStr">
        <is>
          <t>NO</t>
        </is>
      </c>
      <c r="M3" s="0" t="n">
        <v>26</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row r="4" ht="10.5" customHeight="1" s="67"/>
    <row r="5" ht="15.75" customHeight="1" s="67"/>
    <row r="6" ht="15.75" customHeight="1" s="67"/>
    <row r="7" ht="15.75" customHeight="1" s="67"/>
    <row r="8" ht="15.75" customHeight="1" s="67"/>
    <row r="9" ht="15.75" customHeight="1" s="67"/>
    <row r="10" ht="15.75" customHeight="1" s="67"/>
    <row r="11" ht="15.75" customHeight="1" s="67"/>
    <row r="12" ht="10.5" customHeight="1" s="67"/>
    <row r="13" ht="15.75" customHeight="1" s="67"/>
    <row r="14" ht="10.5" customHeight="1" s="67"/>
    <row r="15" ht="15.75" customHeight="1" s="67"/>
    <row r="16" ht="15.75" customHeight="1" s="67"/>
    <row r="17" ht="10.5" customHeight="1" s="67"/>
    <row r="18" ht="15.75" customHeight="1" s="67"/>
    <row r="19" ht="10.5" customHeight="1" s="67"/>
    <row r="20" ht="15.75" customHeight="1" s="67"/>
    <row r="21" ht="10.5" customHeight="1" s="67"/>
    <row r="22" ht="15.75" customHeight="1" s="67"/>
    <row r="23" ht="10.5" customHeight="1" s="67"/>
    <row r="24" ht="15.75" customHeight="1" s="67"/>
    <row r="25" ht="15.75" customHeight="1" s="67"/>
    <row r="26" ht="15.75" customHeight="1" s="67"/>
    <row r="27" ht="10.5" customHeight="1" s="67"/>
    <row r="28" ht="10.5" customHeight="1" s="67"/>
    <row r="29" ht="15.75" customHeight="1" s="67"/>
    <row r="30" ht="15.75" customHeight="1" s="67"/>
    <row r="31" ht="15.75" customHeight="1" s="67"/>
    <row r="32" ht="10.5" customHeight="1" s="67"/>
    <row r="33" ht="10.5" customHeight="1" s="67"/>
    <row r="34" ht="10.5" customHeight="1" s="67"/>
    <row r="35" ht="15.75" customHeight="1" s="67"/>
    <row r="36" ht="15.75" customHeight="1" s="67"/>
    <row r="37" ht="10.5" customHeight="1" s="67"/>
    <row r="38" ht="10.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5.75" customHeight="1" s="67"/>
    <row r="75" ht="15.75" customHeight="1" s="67"/>
    <row r="76" ht="15.75" customHeight="1" s="67"/>
    <row r="77" ht="10.5" customHeight="1" s="67"/>
    <row r="78" ht="15.75" customHeight="1" s="67"/>
    <row r="79" ht="15.75" customHeight="1" s="67"/>
    <row r="80" ht="10.5" customHeight="1" s="67"/>
    <row r="81" ht="15.75" customHeight="1" s="67"/>
    <row r="82" ht="10.5" customHeight="1" s="67"/>
    <row r="83" ht="15.75" customHeight="1" s="67"/>
    <row r="84" ht="15.75" customHeight="1" s="67"/>
    <row r="85" ht="10.5" customHeight="1" s="67"/>
    <row r="86" ht="10.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0.5" customHeight="1" s="67"/>
    <row r="97" ht="15.75" customHeight="1" s="67"/>
    <row r="98" ht="15.75" customHeight="1" s="67"/>
    <row r="99" ht="15.75" customHeight="1" s="67"/>
    <row r="100" ht="15.75" customHeight="1" s="67"/>
    <row r="101" ht="15.75" customHeight="1" s="67"/>
    <row r="102" ht="10.5" customHeight="1" s="67"/>
    <row r="103" ht="15.75" customHeight="1" s="67"/>
    <row r="104" ht="10.5" customHeight="1" s="67"/>
    <row r="105" ht="15.75" customHeight="1" s="67"/>
    <row r="106" ht="15.75" customHeight="1" s="67"/>
    <row r="107" ht="15.75" customHeight="1" s="67"/>
    <row r="108" ht="15.75" customHeight="1" s="67"/>
    <row r="109" ht="15.75" customHeight="1" s="67"/>
    <row r="110" ht="15.75" customHeight="1" s="67"/>
    <row r="111" ht="10.5" customHeight="1" s="67"/>
    <row r="112" ht="10.5" customHeight="1" s="67"/>
    <row r="113" ht="15.75" customHeight="1" s="67"/>
    <row r="114" ht="10.5" customHeight="1" s="67"/>
    <row r="115" ht="10.5" customHeight="1" s="67"/>
    <row r="116" ht="10.5" customHeight="1" s="67"/>
    <row r="117" ht="10.5" customHeight="1" s="67"/>
    <row r="118" ht="15.75" customHeight="1" s="67"/>
    <row r="119" ht="15.75" customHeight="1" s="67"/>
    <row r="120" ht="10.5" customHeight="1" s="67"/>
    <row r="121" ht="15.75" customHeight="1" s="67"/>
    <row r="122" ht="15.75" customHeight="1" s="67"/>
    <row r="123" ht="15.75" customHeight="1" s="67"/>
    <row r="124" ht="15.75" customHeight="1" s="67"/>
    <row r="125" ht="15.75" customHeight="1" s="67"/>
    <row r="126" ht="15.75" customHeight="1" s="67"/>
    <row r="127" ht="15.75" customHeight="1" s="67"/>
    <row r="128" ht="10.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0.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0.5" customHeight="1" s="67"/>
    <row r="153" ht="15.75" customHeight="1" s="67"/>
    <row r="154" ht="15.75" customHeight="1" s="67"/>
    <row r="155" ht="15.75" customHeight="1" s="67"/>
    <row r="156" ht="10.5" customHeight="1" s="67"/>
    <row r="157" ht="15.75" customHeight="1" s="67"/>
    <row r="158" ht="15.75" customHeight="1" s="67"/>
    <row r="159" ht="10.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row r="4" ht="15.75" customHeight="1" s="67"/>
    <row r="5" ht="15.75" customHeight="1" s="67"/>
    <row r="6" ht="15.75" customHeight="1" s="67"/>
    <row r="7" ht="15.75" customHeight="1" s="67"/>
    <row r="8" ht="15.75" customHeight="1" s="67"/>
    <row r="9" ht="15.75" customHeight="1" s="67"/>
    <row r="10" ht="15.75" customHeight="1" s="67"/>
    <row r="11" ht="15.75" customHeight="1" s="67"/>
    <row r="12" ht="10.5" customHeight="1" s="67"/>
    <row r="13" ht="15.75" customHeight="1" s="67"/>
    <row r="14" ht="10.5" customHeight="1" s="67"/>
    <row r="15" ht="15.75" customHeight="1" s="67"/>
    <row r="16" ht="15.75" customHeight="1" s="67"/>
    <row r="17" ht="10.5" customHeight="1" s="67"/>
    <row r="18" ht="15.75" customHeight="1" s="67"/>
    <row r="19" ht="10.5" customHeight="1" s="67"/>
    <row r="20" ht="15.75" customHeight="1" s="67"/>
    <row r="21" ht="15.75" customHeight="1" s="67"/>
    <row r="22" ht="15.75" customHeight="1" s="67"/>
    <row r="23" ht="15.75" customHeight="1" s="67"/>
    <row r="24" ht="15.75" customHeight="1" s="67"/>
    <row r="25" ht="15.75" customHeight="1" s="67"/>
    <row r="26" ht="15.75" customHeight="1" s="67"/>
    <row r="27" ht="10.5" customHeight="1" s="67"/>
    <row r="28" ht="10.5" customHeight="1" s="67"/>
    <row r="29" ht="15.75" customHeight="1" s="67"/>
    <row r="30" ht="15.75" customHeight="1" s="67"/>
    <row r="31" ht="15.75" customHeight="1" s="67"/>
    <row r="32" ht="10.5" customHeight="1" s="67"/>
    <row r="33" ht="10.5" customHeight="1" s="67"/>
    <row r="34" ht="10.5" customHeight="1" s="67"/>
    <row r="35" ht="15.75" customHeight="1" s="67"/>
    <row r="36" ht="15.75" customHeight="1" s="67"/>
    <row r="37" ht="10.5" customHeight="1" s="67"/>
    <row r="38" ht="15.7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5.75" customHeight="1" s="67"/>
    <row r="75" ht="15.75" customHeight="1" s="67"/>
    <row r="76" ht="15.75" customHeight="1" s="67"/>
    <row r="77" ht="10.5" customHeight="1" s="67"/>
    <row r="78" ht="15.75" customHeight="1" s="67"/>
    <row r="79" ht="15.75" customHeight="1" s="67"/>
    <row r="80" ht="15.75" customHeight="1" s="67"/>
    <row r="81" ht="15.75" customHeight="1" s="67"/>
    <row r="82" ht="10.5" customHeight="1" s="67"/>
    <row r="83" ht="15.75" customHeight="1" s="67"/>
    <row r="84" ht="15.75" customHeight="1" s="67"/>
    <row r="85" ht="10.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0.5" customHeight="1" s="67"/>
    <row r="97" ht="15.75" customHeight="1" s="67"/>
    <row r="98" ht="15.75" customHeight="1" s="67"/>
    <row r="99" ht="15.75" customHeight="1" s="67"/>
    <row r="100" ht="15.75" customHeight="1" s="67"/>
    <row r="101" ht="15.75" customHeight="1" s="67"/>
    <row r="102" ht="10.5" customHeight="1" s="67"/>
    <row r="103" ht="15.75" customHeight="1" s="67"/>
    <row r="104" ht="10.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0.5" customHeight="1" s="67"/>
    <row r="115" ht="15.75" customHeight="1" s="67"/>
    <row r="116" ht="15.75" customHeight="1" s="67"/>
    <row r="117" ht="15.75" customHeight="1" s="67"/>
    <row r="118" ht="15.75" customHeight="1" s="67"/>
    <row r="119" ht="15.75" customHeight="1" s="67"/>
    <row r="120" ht="15.75" customHeight="1" s="67"/>
    <row r="121" ht="15.75" customHeight="1" s="67"/>
    <row r="122" ht="10.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0.5" customHeight="1" s="67"/>
    <row r="147" ht="15.75" customHeight="1" s="67"/>
    <row r="148" ht="15.75" customHeight="1" s="67"/>
    <row r="149" ht="15.75" customHeight="1" s="67"/>
    <row r="150" ht="10.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row r="4" ht="10.5" customHeight="1" s="67"/>
    <row r="5" ht="15.75" customHeight="1" s="67"/>
    <row r="6" ht="15.75" customHeight="1" s="67"/>
    <row r="7" ht="10.5" customHeight="1" s="67"/>
    <row r="8" ht="10.5" customHeight="1" s="67"/>
    <row r="9" ht="10.5" customHeight="1" s="67"/>
    <row r="10" ht="10.5" customHeight="1" s="67"/>
    <row r="11" ht="15.7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0.5" customHeight="1" s="67"/>
    <row r="22" ht="15.75" customHeight="1" s="67"/>
    <row r="23" ht="10.5" customHeight="1" s="67"/>
    <row r="24" ht="15.75" customHeight="1" s="67"/>
    <row r="25" ht="15.75" customHeight="1" s="67"/>
    <row r="26" ht="15.75" customHeight="1" s="67"/>
    <row r="27" ht="10.5" customHeight="1" s="67"/>
    <row r="28" ht="10.5" customHeight="1" s="67"/>
    <row r="29" ht="15.75" customHeight="1" s="67"/>
    <row r="30" ht="15.75" customHeight="1" s="67"/>
    <row r="31" ht="15.75" customHeight="1" s="67"/>
    <row r="32" ht="10.5" customHeight="1" s="67"/>
    <row r="33" ht="10.5" customHeight="1" s="67"/>
    <row r="34" ht="10.5" customHeight="1" s="67"/>
    <row r="35" ht="15.75" customHeight="1" s="67"/>
    <row r="36" ht="10.5" customHeight="1" s="67"/>
    <row r="37" ht="10.5" customHeight="1" s="67"/>
    <row r="38" ht="10.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0.5" customHeight="1" s="67"/>
    <row r="51" ht="15.75" customHeight="1" s="67"/>
    <row r="52" ht="15.75" customHeight="1" s="67"/>
    <row r="53" ht="10.5" customHeight="1" s="67"/>
    <row r="54" ht="10.5" customHeight="1" s="67"/>
    <row r="55" ht="15.75" customHeight="1" s="67"/>
    <row r="56" ht="15.75" customHeight="1" s="67"/>
    <row r="57" ht="10.5" customHeight="1" s="67"/>
    <row r="58" ht="15.75" customHeight="1" s="67"/>
    <row r="59" ht="10.5" customHeight="1" s="67"/>
    <row r="60" ht="10.5" customHeight="1" s="67"/>
    <row r="61" ht="15.75" customHeight="1" s="67"/>
    <row r="62" ht="15.75" customHeight="1" s="67"/>
    <row r="63" ht="10.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0.5" customHeight="1" s="67"/>
    <row r="75" ht="15.75" customHeight="1" s="67"/>
    <row r="76" ht="15.75" customHeight="1" s="67"/>
    <row r="77" ht="10.5" customHeight="1" s="67"/>
    <row r="78" ht="15.75" customHeight="1" s="67"/>
    <row r="79" ht="15.75" customHeight="1" s="67"/>
    <row r="80" ht="10.5" customHeight="1" s="67"/>
    <row r="81" ht="15.75" customHeight="1" s="67"/>
    <row r="82" ht="10.5" customHeight="1" s="67"/>
    <row r="83" ht="15.75" customHeight="1" s="67"/>
    <row r="84" ht="15.75" customHeight="1" s="67"/>
    <row r="85" ht="10.5" customHeight="1" s="67"/>
    <row r="86" ht="10.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0.5" customHeight="1" s="67"/>
    <row r="97" ht="15.75" customHeight="1" s="67"/>
    <row r="98" ht="15.75" customHeight="1" s="67"/>
    <row r="99" ht="15.75" customHeight="1" s="67"/>
    <row r="100" ht="10.5" customHeight="1" s="67"/>
    <row r="101" ht="15.75" customHeight="1" s="67"/>
    <row r="102" ht="10.5" customHeight="1" s="67"/>
    <row r="103" ht="15.75" customHeight="1" s="67"/>
    <row r="104" ht="10.5" customHeight="1" s="67"/>
    <row r="105" ht="10.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0.5" customHeight="1" s="67"/>
    <row r="115" ht="15.75" customHeight="1" s="67"/>
    <row r="116" ht="15.75" customHeight="1" s="67"/>
    <row r="117" ht="15.75" customHeight="1" s="67"/>
    <row r="118" ht="15.75" customHeight="1" s="67"/>
    <row r="119" ht="15.75" customHeight="1" s="67"/>
    <row r="120" ht="15.75" customHeight="1" s="67"/>
    <row r="121" ht="15.75" customHeight="1" s="67"/>
    <row r="122" ht="10.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0.5" customHeight="1" s="67"/>
    <row r="137" ht="15.75" customHeight="1" s="67"/>
    <row r="138" ht="10.5" customHeight="1" s="67"/>
    <row r="139" ht="15.75" customHeight="1" s="67"/>
    <row r="140" ht="15.75" customHeight="1" s="67"/>
    <row r="141" ht="15.75" customHeight="1" s="67"/>
    <row r="142" ht="15.75" customHeight="1" s="67"/>
    <row r="143" ht="10.5" customHeight="1" s="67"/>
    <row r="144" ht="10.5" customHeight="1" s="67"/>
    <row r="145" ht="15.75" customHeight="1" s="67"/>
    <row r="146" ht="10.5" customHeight="1" s="67"/>
    <row r="147" ht="15.75" customHeight="1" s="67"/>
    <row r="148" ht="10.5" customHeight="1" s="67"/>
    <row r="149" ht="10.5" customHeight="1" s="67"/>
    <row r="150" ht="10.5" customHeight="1" s="67"/>
    <row r="151" ht="15.75" customHeight="1" s="67"/>
    <row r="152" ht="15.75" customHeight="1" s="67"/>
    <row r="153" ht="10.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IFERROR(VLOOKUP($A101&amp;"_"&amp;$B101,Results_Deltas!$A$2:$P$15000,5,FALSE),"")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FG_FEAR_THRESHOLD</t>
        </is>
      </c>
      <c r="B4" s="38" t="inlineStr">
        <is>
          <t>18.75</t>
        </is>
      </c>
      <c r="C4" s="38" t="n"/>
      <c r="D4" s="38" t="inlineStr">
        <is>
          <t>GLOBAL_CHECK, STOCKS_EXIT</t>
        </is>
      </c>
      <c r="E4" s="38" t="n"/>
      <c r="F4" s="26" t="n"/>
      <c r="G4" s="38">
        <f>IFERROR(VLOOKUP($A102&amp;"_"&amp;$B102,Results_Deltas!$A$2:$P$15000,5,FALSE),"")</f>
        <v/>
      </c>
      <c r="H4" s="38" t="inlineStr">
        <is>
          <t>Blanket (page end)</t>
        </is>
      </c>
      <c r="I4" s="26" t="n"/>
      <c r="J4" s="26" t="n"/>
      <c r="K4" s="26" t="n"/>
      <c r="L4" s="26" t="inlineStr">
        <is>
          <t>YES</t>
        </is>
      </c>
      <c r="M4" s="0"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GR_FILTER_VEC_MIN_TFS</t>
        </is>
      </c>
      <c r="B5" s="40" t="inlineStr">
        <is>
          <t>2</t>
        </is>
      </c>
      <c r="C5" s="38" t="n"/>
      <c r="D5" s="38" t="inlineStr">
        <is>
          <t>GLOBAL_CHECK</t>
        </is>
      </c>
      <c r="E5" s="38" t="n"/>
      <c r="F5" s="26" t="n"/>
      <c r="G5" s="38">
        <f>IFERROR(VLOOKUP($A126&amp;"_"&amp;$B126,Results_Deltas!$A$2:$P$15000,5,FALSE),"")</f>
        <v/>
      </c>
      <c r="H5" s="38" t="inlineStr">
        <is>
          <t>Blanket (page end)</t>
        </is>
      </c>
      <c r="I5" s="26" t="n"/>
      <c r="J5" s="26" t="n"/>
      <c r="K5" s="26" t="n"/>
      <c r="L5" s="26" t="inlineStr">
        <is>
          <t>NO</t>
        </is>
      </c>
      <c r="M5" s="0" t="n">
        <v>3</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EMA_BLANKET_FILTER_MIN_TFS</t>
        </is>
      </c>
      <c r="B6" s="38" t="inlineStr">
        <is>
          <t>1</t>
        </is>
      </c>
      <c r="C6" s="38" t="n"/>
      <c r="D6" s="38" t="inlineStr">
        <is>
          <t>GLOBAL_CHECK</t>
        </is>
      </c>
      <c r="E6" s="38" t="n"/>
      <c r="F6" s="26" t="n"/>
      <c r="G6" s="38">
        <f>IFERROR(VLOOKUP($A95&amp;"_"&amp;$B95,Results_Deltas!$A$2:$P$15000,5,FALSE),"")</f>
        <v/>
      </c>
      <c r="H6" s="38" t="inlineStr">
        <is>
          <t>Blanket (page end)</t>
        </is>
      </c>
      <c r="I6" s="26" t="n"/>
      <c r="J6" s="26" t="n"/>
      <c r="K6" s="26" t="n"/>
      <c r="L6" s="26" t="inlineStr">
        <is>
          <t>NO</t>
        </is>
      </c>
      <c r="M6" s="74" t="n">
        <v>3</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row r="8" ht="10.5" customHeight="1" s="67"/>
    <row r="9" ht="15.75" customHeight="1" s="67"/>
    <row r="10" ht="10.5" customHeight="1" s="67"/>
    <row r="11" ht="15.75" customHeight="1" s="67"/>
    <row r="12" ht="10.5" customHeight="1" s="67"/>
    <row r="13" ht="10.5" customHeight="1" s="67"/>
    <row r="14" ht="10.5" customHeight="1" s="67"/>
    <row r="15" ht="10.5" customHeight="1" s="67"/>
    <row r="16" ht="15.75" customHeight="1" s="67"/>
    <row r="17" ht="10.5" customHeight="1" s="67"/>
    <row r="18" ht="10.5" customHeight="1" s="67"/>
    <row r="19" ht="10.5" customHeight="1" s="67"/>
    <row r="20" ht="15.75" customHeight="1" s="67"/>
    <row r="21" ht="10.5" customHeight="1" s="67"/>
    <row r="22" ht="15.75" customHeight="1" s="67"/>
    <row r="23" ht="10.5" customHeight="1" s="67"/>
    <row r="24" ht="15.75" customHeight="1" s="67"/>
    <row r="25" ht="15.75" customHeight="1" s="67"/>
    <row r="26" ht="15.75" customHeight="1" s="67"/>
    <row r="27" ht="10.5" customHeight="1" s="67"/>
    <row r="28" ht="10.5" customHeight="1" s="67"/>
    <row r="29" ht="15.75" customHeight="1" s="67"/>
    <row r="30" ht="15.75" customHeight="1" s="67"/>
    <row r="31" ht="15.75" customHeight="1" s="67"/>
    <row r="32" ht="10.5" customHeight="1" s="67"/>
    <row r="33" ht="10.5" customHeight="1" s="67"/>
    <row r="34" ht="10.5" customHeight="1" s="67"/>
    <row r="35" ht="15.75" customHeight="1" s="67"/>
    <row r="36" ht="10.5" customHeight="1" s="67"/>
    <row r="37" ht="10.5" customHeight="1" s="67"/>
    <row r="38" ht="10.5" customHeight="1" s="67"/>
    <row r="39" ht="15.75" customHeight="1" s="67"/>
    <row r="40" ht="15.75" customHeight="1" s="67"/>
    <row r="41" ht="15.75" customHeight="1" s="67"/>
    <row r="42" ht="15.75" customHeight="1" s="67"/>
    <row r="43" ht="10.5" customHeight="1" s="67"/>
    <row r="44" ht="15.75" customHeight="1" s="67"/>
    <row r="45" ht="15.75" customHeight="1" s="67"/>
    <row r="46" ht="15.75" customHeight="1" s="67"/>
    <row r="47" ht="15.75" customHeight="1" s="67"/>
    <row r="48" ht="15.75" customHeight="1" s="67"/>
    <row r="49" ht="15.75" customHeight="1" s="67"/>
    <row r="50" ht="10.5" customHeight="1" s="67"/>
    <row r="51" ht="15.75" customHeight="1" s="67"/>
    <row r="52" ht="15.75" customHeight="1" s="67"/>
    <row r="53" ht="10.5" customHeight="1" s="67"/>
    <row r="54" ht="10.5" customHeight="1" s="67"/>
    <row r="55" ht="15.75" customHeight="1" s="67"/>
    <row r="56" ht="15.75" customHeight="1" s="67"/>
    <row r="57" ht="10.5" customHeight="1" s="67"/>
    <row r="58" ht="15.75" customHeight="1" s="67"/>
    <row r="59" ht="10.5" customHeight="1" s="67"/>
    <row r="60" ht="10.5" customHeight="1" s="67"/>
    <row r="61" ht="15.75" customHeight="1" s="67"/>
    <row r="62" ht="15.75" customHeight="1" s="67"/>
    <row r="63" ht="10.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0.5" customHeight="1" s="67"/>
    <row r="73" ht="15.75" customHeight="1" s="67"/>
    <row r="74" ht="10.5" customHeight="1" s="67"/>
    <row r="75" ht="15.75" customHeight="1" s="67"/>
    <row r="76" ht="15.75" customHeight="1" s="67"/>
    <row r="77" ht="10.5" customHeight="1" s="67"/>
    <row r="78" ht="15.75" customHeight="1" s="67"/>
    <row r="79" ht="15.75" customHeight="1" s="67"/>
    <row r="80" ht="10.5" customHeight="1" s="67"/>
    <row r="81" ht="15.75" customHeight="1" s="67"/>
    <row r="82" ht="10.5" customHeight="1" s="67"/>
    <row r="83" ht="15.75" customHeight="1" s="67"/>
    <row r="84" ht="15.75" customHeight="1" s="67"/>
    <row r="85" ht="10.5" customHeight="1" s="67"/>
    <row r="86" ht="10.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0.5" customHeight="1" s="67"/>
    <row r="97" ht="15.75" customHeight="1" s="67"/>
    <row r="98" ht="15.75" customHeight="1" s="67"/>
    <row r="99" ht="15.75" customHeight="1" s="67"/>
    <row r="100" ht="10.5" customHeight="1" s="67"/>
    <row r="101" ht="15.75" customHeight="1" s="67"/>
    <row r="102" ht="10.5" customHeight="1" s="67"/>
    <row r="103" ht="15.75" customHeight="1" s="67"/>
    <row r="104" ht="10.5" customHeight="1" s="67"/>
    <row r="105" ht="10.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0.5" customHeight="1" s="67"/>
    <row r="115" ht="15.75" customHeight="1" s="67"/>
    <row r="116" ht="15.75" customHeight="1" s="67"/>
    <row r="117" ht="15.75" customHeight="1" s="67"/>
    <row r="118" ht="15.75" customHeight="1" s="67"/>
    <row r="119" ht="15.75" customHeight="1" s="67"/>
    <row r="120" ht="15.75" customHeight="1" s="67"/>
    <row r="121" ht="15.75" customHeight="1" s="67"/>
    <row r="122" ht="10.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0.5" customHeight="1" s="67"/>
    <row r="137" ht="15.75" customHeight="1" s="67"/>
    <row r="138" ht="10.5" customHeight="1" s="67"/>
    <row r="139" ht="15.75" customHeight="1" s="67"/>
    <row r="140" ht="15.75" customHeight="1" s="67"/>
    <row r="141" ht="15.75" customHeight="1" s="67"/>
    <row r="142" ht="15.75" customHeight="1" s="67"/>
    <row r="143" ht="10.5" customHeight="1" s="67"/>
    <row r="144" ht="10.5" customHeight="1" s="67"/>
    <row r="145" ht="15.75" customHeight="1" s="67"/>
    <row r="146" ht="10.5" customHeight="1" s="67"/>
    <row r="147" ht="15.75" customHeight="1" s="67"/>
    <row r="148" ht="10.5" customHeight="1" s="67"/>
    <row r="149" ht="10.5" customHeight="1" s="67"/>
    <row r="150" ht="10.5" customHeight="1" s="67"/>
    <row r="151" ht="15.75" customHeight="1" s="67"/>
    <row r="152" ht="15.75" customHeight="1" s="67"/>
    <row r="153" ht="10.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IFERROR(VLOOKUP($A146&amp;"_"&amp;$B146,Results_Deltas!$A$2:$P$15000,5,FALSE),"")</f>
        <v/>
      </c>
      <c r="H3" s="38" t="inlineStr">
        <is>
          <t>Blanket (page end)</t>
        </is>
      </c>
      <c r="I3" s="26" t="n"/>
      <c r="J3" s="26" t="n"/>
      <c r="K3" s="26" t="n"/>
      <c r="L3" s="26" t="inlineStr">
        <is>
          <t>NO</t>
        </is>
      </c>
      <c r="M3" s="74" t="n">
        <v>24</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row r="5" ht="15.75" customHeight="1" s="67"/>
    <row r="6" ht="15.75" customHeight="1" s="67"/>
    <row r="7" ht="10.5" customHeight="1" s="67"/>
    <row r="8" ht="10.5" customHeight="1" s="67"/>
    <row r="9" ht="10.5" customHeight="1" s="67"/>
    <row r="10" ht="10.5" customHeight="1" s="67"/>
    <row r="11" ht="15.7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0.5" customHeight="1" s="67"/>
    <row r="22" ht="10.5" customHeight="1" s="67"/>
    <row r="23" ht="10.5" customHeight="1" s="67"/>
    <row r="24" ht="15.75" customHeight="1" s="67"/>
    <row r="25" ht="15.7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5.75" customHeight="1" s="67"/>
    <row r="50" ht="10.5" customHeight="1" s="67"/>
    <row r="51" ht="10.5" customHeight="1" s="67"/>
    <row r="52" ht="15.7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5.75" customHeight="1" s="67"/>
    <row r="62" ht="15.75" customHeight="1" s="67"/>
    <row r="63" ht="10.5" customHeight="1" s="67"/>
    <row r="64" ht="10.5" customHeight="1" s="67"/>
    <row r="65" ht="10.5" customHeight="1" s="67"/>
    <row r="66" ht="10.5" customHeight="1" s="67"/>
    <row r="67" ht="15.75" customHeight="1" s="67"/>
    <row r="68" ht="10.5" customHeight="1" s="67"/>
    <row r="69" ht="10.5" customHeight="1" s="67"/>
    <row r="70" ht="15.75" customHeight="1" s="67"/>
    <row r="71" ht="10.5" customHeight="1" s="67"/>
    <row r="72" ht="10.5" customHeight="1" s="67"/>
    <row r="73" ht="10.5" customHeight="1" s="67"/>
    <row r="74" ht="10.5" customHeight="1" s="67"/>
    <row r="75" ht="15.7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5.75" customHeight="1" s="67"/>
    <row r="93" ht="10.5" customHeight="1" s="67"/>
    <row r="94" ht="15.75" customHeight="1" s="67"/>
    <row r="95" ht="10.5" customHeight="1" s="67"/>
    <row r="96" ht="10.5" customHeight="1" s="67"/>
    <row r="97" ht="10.5" customHeight="1" s="67"/>
    <row r="98" ht="10.5" customHeight="1" s="67"/>
    <row r="99" ht="15.75" customHeight="1" s="67"/>
    <row r="100" ht="10.5" customHeight="1" s="67"/>
    <row r="101" ht="15.75" customHeight="1" s="67"/>
    <row r="102" ht="10.5" customHeight="1" s="67"/>
    <row r="103" ht="15.75" customHeight="1" s="67"/>
    <row r="104" ht="10.5" customHeight="1" s="67"/>
    <row r="105" ht="10.5" customHeight="1" s="67"/>
    <row r="106" ht="15.75" customHeight="1" s="67"/>
    <row r="107" ht="10.5" customHeight="1" s="67"/>
    <row r="108" ht="15.7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5.75" customHeight="1" s="67"/>
    <row r="138" ht="10.5" customHeight="1" s="67"/>
    <row r="139" ht="15.7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5.7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5.75" customHeight="1" s="67"/>
    <row r="163" ht="15.75" customHeight="1" s="67"/>
    <row r="164" ht="10.5" customHeight="1" s="67"/>
    <row r="165" ht="10.5" customHeight="1" s="67"/>
    <row r="166" ht="10.5" customHeight="1" s="67"/>
    <row r="167" ht="15.75" customHeight="1" s="67"/>
    <row r="168" ht="10.5" customHeight="1" s="67"/>
    <row r="169" ht="10.5" customHeight="1" s="67"/>
    <row r="170" ht="10.5" customHeight="1" s="67"/>
    <row r="171" ht="10.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9" t="inlineStr">
        <is>
          <t>LH_HL_FILTER_MODE</t>
        </is>
      </c>
      <c r="B6" s="40" t="inlineStr">
        <is>
          <t>STRICT_2BAR</t>
        </is>
      </c>
      <c r="C6" s="38" t="n"/>
      <c r="D6" s="38" t="inlineStr">
        <is>
          <t>ENTRY, GLOBAL_CHECK, STOCKS_EXIT</t>
        </is>
      </c>
      <c r="E6" s="38" t="n"/>
      <c r="F6" s="26" t="n"/>
      <c r="G6" s="38">
        <f>IFERROR(VLOOKUP($A150&amp;"_"&amp;$B150,Results_Deltas!$A$2:$P$15000,5,FALSE),"")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EMA_BLANKET_FILTER_MIN_TFS</t>
        </is>
      </c>
      <c r="B7" s="38" t="inlineStr">
        <is>
          <t>2</t>
        </is>
      </c>
      <c r="C7" s="38" t="n"/>
      <c r="D7" s="38" t="inlineStr">
        <is>
          <t>GLOBAL_CHECK</t>
        </is>
      </c>
      <c r="E7" s="38" t="n"/>
      <c r="F7" s="26" t="n"/>
      <c r="G7" s="38">
        <f>IFERROR(VLOOKUP($A82&amp;"_"&amp;$B82,Results_Deltas!$A$2:$P$15000,5,FALSE),"")</f>
        <v/>
      </c>
      <c r="H7" s="38" t="inlineStr">
        <is>
          <t>Blanket (page end)</t>
        </is>
      </c>
      <c r="I7" s="26" t="n"/>
      <c r="J7" s="26" t="n"/>
      <c r="K7" s="26" t="n"/>
      <c r="L7" s="26" t="inlineStr">
        <is>
          <t>NO</t>
        </is>
      </c>
      <c r="M7" s="74"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OI_CONFIRM_MIN_CHANGE_PCT</t>
        </is>
      </c>
      <c r="B8" s="38" t="inlineStr">
        <is>
          <t>1.0</t>
        </is>
      </c>
      <c r="C8" s="38" t="n"/>
      <c r="D8" s="38" t="inlineStr">
        <is>
          <t>ENTRY, GLOBAL_CHECK, STOCKS_EXIT</t>
        </is>
      </c>
      <c r="E8" s="38" t="n"/>
      <c r="F8" s="26" t="n"/>
      <c r="G8" s="38">
        <f>IFERROR(VLOOKUP($A207&amp;"_"&amp;$B207,Results_Deltas!$A$2:$P$15000,5,FALSE),"")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HA_WICK_QUALITY_ENABLED</t>
        </is>
      </c>
      <c r="B9" s="38" t="inlineStr">
        <is>
          <t>True</t>
        </is>
      </c>
      <c r="C9" s="38" t="n"/>
      <c r="D9" s="38" t="inlineStr">
        <is>
          <t>ENTRY, GLOBAL_CHECK, STOCKS_EXIT</t>
        </is>
      </c>
      <c r="E9" s="38" t="n"/>
      <c r="F9" s="26" t="n"/>
      <c r="G9" s="38">
        <f>IFERROR(VLOOKUP($A117&amp;"_"&amp;$B117,Results_Deltas!$A$2:$P$15000,5,FALSE),"")</f>
        <v/>
      </c>
      <c r="H9" s="38" t="inlineStr">
        <is>
          <t>Blanket (page end)</t>
        </is>
      </c>
      <c r="I9" s="26" t="n"/>
      <c r="J9" s="26" t="n"/>
      <c r="K9" s="26" t="n"/>
      <c r="L9" s="26" t="inlineStr">
        <is>
          <t>NO</t>
        </is>
      </c>
      <c r="M9" s="0"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DELTA_REENTRY_FILTER_ENABLED</t>
        </is>
      </c>
      <c r="B10" s="38" t="inlineStr">
        <is>
          <t>True</t>
        </is>
      </c>
      <c r="C10" s="38" t="n"/>
      <c r="D10" s="38" t="inlineStr">
        <is>
          <t>ENTRY, GLOBAL_CHECK, STOCKS_EXIT</t>
        </is>
      </c>
      <c r="E10" s="38" t="n"/>
      <c r="F10" s="26" t="n"/>
      <c r="G10" s="38">
        <f>IFERROR(VLOOKUP($A70&amp;"_"&amp;$B70,Results_Deltas!$A$2:$P$15000,5,FALSE),"")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9" t="inlineStr">
        <is>
          <t>MANDATORY_REENTRY_WT_FILTER_MIN_TFS</t>
        </is>
      </c>
      <c r="B11" s="40" t="inlineStr">
        <is>
          <t>1</t>
        </is>
      </c>
      <c r="C11" s="38" t="n"/>
      <c r="D11" s="38" t="inlineStr">
        <is>
          <t>GLOBAL_CHECK, STOCKS_EXIT</t>
        </is>
      </c>
      <c r="E11" s="38" t="n"/>
      <c r="F11" s="26" t="n"/>
      <c r="G11" s="38">
        <f>IFERROR(VLOOKUP($A162&amp;"_"&amp;$B162,Results_Deltas!$A$2:$P$15000,5,FALSE),"")</f>
        <v/>
      </c>
      <c r="H11" s="38" t="inlineStr">
        <is>
          <t>Blanket (page end)</t>
        </is>
      </c>
      <c r="I11" s="26" t="n"/>
      <c r="J11" s="26" t="n"/>
      <c r="K11" s="26" t="n"/>
      <c r="L11" s="26" t="inlineStr">
        <is>
          <t>NO</t>
        </is>
      </c>
      <c r="M11" s="0" t="n">
        <v>26</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GR_FILTER_VEC_MIN_TFS</t>
        </is>
      </c>
      <c r="B12" s="40" t="inlineStr">
        <is>
          <t>2</t>
        </is>
      </c>
      <c r="C12" s="38" t="n"/>
      <c r="D12" s="38" t="inlineStr">
        <is>
          <t>GLOBAL_CHECK</t>
        </is>
      </c>
      <c r="E12" s="38" t="n"/>
      <c r="F12" s="26" t="n"/>
      <c r="G12" s="38">
        <f>IFERROR(VLOOKUP($A114&amp;"_"&amp;$B114,Results_Deltas!$A$2:$P$15000,5,FALSE),"")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EMA_9_21_FILTER_MIN_TFS</t>
        </is>
      </c>
      <c r="B13" s="38" t="inlineStr">
        <is>
          <t>1</t>
        </is>
      </c>
      <c r="C13" s="38" t="n"/>
      <c r="D13" s="38" t="inlineStr">
        <is>
          <t>GLOBAL_CHECK</t>
        </is>
      </c>
      <c r="E13" s="38" t="n"/>
      <c r="F13" s="26" t="n"/>
      <c r="G13" s="38">
        <f>IFERROR(VLOOKUP($A78&amp;"_"&amp;$B78,Results_Deltas!$A$2:$P$15000,5,FALSE),"")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9" t="inlineStr">
        <is>
          <t>OI_CONFIRM_MIN_CHANGE_PCT</t>
        </is>
      </c>
      <c r="B14" s="40" t="inlineStr">
        <is>
          <t>0.5</t>
        </is>
      </c>
      <c r="C14" s="38" t="n"/>
      <c r="D14" s="38" t="inlineStr">
        <is>
          <t>ENTRY, GLOBAL_CHECK, STOCKS_EXIT</t>
        </is>
      </c>
      <c r="E14" s="38" t="n"/>
      <c r="F14" s="26" t="n"/>
      <c r="G14" s="38">
        <f>IFERROR(VLOOKUP($A208&amp;"_"&amp;$B208,Results_Deltas!$A$2:$P$15000,5,FALSE),"")</f>
        <v/>
      </c>
      <c r="H14" s="38" t="inlineStr">
        <is>
          <t>Blanket (page end)</t>
        </is>
      </c>
      <c r="I14" s="26" t="n"/>
      <c r="J14" s="26" t="n"/>
      <c r="K14" s="26" t="n"/>
      <c r="L14" s="26" t="inlineStr">
        <is>
          <t>YES</t>
        </is>
      </c>
      <c r="M14" s="0" t="n">
        <v>26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LR_BAND_LADDER_TF_TOP</t>
        </is>
      </c>
      <c r="B15" s="38" t="inlineStr">
        <is>
          <t>0</t>
        </is>
      </c>
      <c r="C15" s="38" t="n"/>
      <c r="D15" s="38" t="inlineStr">
        <is>
          <t>GLOBAL_CHECK, STOCKS_EXIT</t>
        </is>
      </c>
      <c r="E15" s="38" t="n"/>
      <c r="F15" s="26" t="n"/>
      <c r="G15" s="38">
        <f>IFERROR(VLOOKUP($A160&amp;"_"&amp;$B160,Results_Deltas!$A$2:$P$15000,5,FALSE),"")</f>
        <v/>
      </c>
      <c r="H15" s="38" t="inlineStr">
        <is>
          <t>Blanket (page end)</t>
        </is>
      </c>
      <c r="I15" s="26" t="n"/>
      <c r="J15" s="26" t="n"/>
      <c r="K15" s="26" t="n"/>
      <c r="L15" s="26" t="inlineStr">
        <is>
          <t>YES</t>
        </is>
      </c>
      <c r="M15" s="0" t="n">
        <v>23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9" t="inlineStr">
        <is>
          <t>HTF_TREND_VETO_BYPASS_ENABLED</t>
        </is>
      </c>
      <c r="B16" s="40" t="inlineStr">
        <is>
          <t>True</t>
        </is>
      </c>
      <c r="C16" s="38" t="n"/>
      <c r="D16" s="38" t="inlineStr">
        <is>
          <t>GLOBAL_CHECK, STOCKS_EXIT</t>
        </is>
      </c>
      <c r="E16" s="38" t="n"/>
      <c r="F16" s="26" t="n"/>
      <c r="G16" s="38">
        <f>IFERROR(VLOOKUP($A143&amp;"_"&amp;$B143,Results_Deltas!$A$2:$P$15000,5,FALSE),"")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GOLDEN_RULE_BASE_USD</t>
        </is>
      </c>
      <c r="B17" s="38" t="inlineStr">
        <is>
          <t>0.0</t>
        </is>
      </c>
      <c r="C17" s="38" t="n"/>
      <c r="D17" s="38" t="inlineStr">
        <is>
          <t>GLOBAL_CHECK, STOCKS_EXIT</t>
        </is>
      </c>
      <c r="E17" s="38" t="n"/>
      <c r="F17" s="26" t="n"/>
      <c r="G17" s="38">
        <f>IFERROR(VLOOKUP($A107&amp;"_"&amp;$B107,Results_Deltas!$A$2:$P$15000,5,FALSE),"")</f>
        <v/>
      </c>
      <c r="H17" s="38" t="inlineStr">
        <is>
          <t>Blanket (page end)</t>
        </is>
      </c>
      <c r="I17" s="26" t="n"/>
      <c r="J17" s="26" t="n"/>
      <c r="K17" s="26" t="n"/>
      <c r="L17" s="26" t="inlineStr">
        <is>
          <t>NO</t>
        </is>
      </c>
      <c r="M17" s="0"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row r="19" ht="15.75" customHeight="1" s="67"/>
    <row r="20" ht="10.5" customHeight="1" s="67"/>
    <row r="21" ht="15.75" customHeight="1" s="67"/>
    <row r="22" ht="10.5" customHeight="1" s="67"/>
    <row r="23" ht="15.75" customHeight="1" s="67"/>
    <row r="24" ht="10.5" customHeight="1" s="67"/>
    <row r="25" ht="15.75" customHeight="1" s="67"/>
    <row r="26" ht="10.5" customHeight="1" s="67"/>
    <row r="27" ht="15.75" customHeight="1" s="67"/>
    <row r="28" ht="15.75" customHeight="1" s="67"/>
    <row r="29" ht="15.75" customHeight="1" s="67"/>
    <row r="30" ht="10.5" customHeight="1" s="67"/>
    <row r="31" ht="10.5" customHeight="1" s="67"/>
    <row r="32" ht="15.75" customHeight="1" s="67"/>
    <row r="33" ht="15.75" customHeight="1" s="67"/>
    <row r="34" ht="15.75" customHeight="1" s="67"/>
    <row r="35" ht="10.5" customHeight="1" s="67"/>
    <row r="36" ht="10.5" customHeight="1" s="67"/>
    <row r="37" ht="10.5" customHeight="1" s="67"/>
    <row r="38" ht="15.75" customHeight="1" s="67"/>
    <row r="39" ht="15.75" customHeight="1" s="67"/>
    <row r="40" ht="10.5" customHeight="1" s="67"/>
    <row r="41" ht="10.5" customHeight="1" s="67"/>
    <row r="42" ht="15.75" customHeight="1" s="67"/>
    <row r="43" ht="15.75" customHeight="1" s="67"/>
    <row r="44" ht="15.75" customHeight="1" s="67"/>
    <row r="45" ht="15.75" customHeight="1" s="67"/>
    <row r="46" ht="10.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0.5" customHeight="1" s="67"/>
    <row r="57" ht="10.5" customHeight="1" s="67"/>
    <row r="58" ht="15.75" customHeight="1" s="67"/>
    <row r="59" ht="15.75" customHeight="1" s="67"/>
    <row r="60" ht="10.5" customHeight="1" s="67"/>
    <row r="61" ht="15.75" customHeight="1" s="67"/>
    <row r="62" ht="15.75" customHeight="1" s="67"/>
    <row r="63" ht="10.5" customHeight="1" s="67"/>
    <row r="64" ht="15.75" customHeight="1" s="67"/>
    <row r="65" ht="15.75" customHeight="1" s="67"/>
    <row r="66" ht="10.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0.5" customHeight="1" s="67"/>
    <row r="76" ht="15.75" customHeight="1" s="67"/>
    <row r="77" ht="15.75" customHeight="1" s="67"/>
    <row r="78" ht="15.75" customHeight="1" s="67"/>
    <row r="79" ht="15.75" customHeight="1" s="67"/>
    <row r="80" ht="10.5" customHeight="1" s="67"/>
    <row r="81" ht="15.75" customHeight="1" s="67"/>
    <row r="82" ht="15.75" customHeight="1" s="67"/>
    <row r="83" ht="10.5" customHeight="1" s="67"/>
    <row r="84" ht="15.75" customHeight="1" s="67"/>
    <row r="85" ht="10.5" customHeight="1" s="67"/>
    <row r="86" ht="15.75" customHeight="1" s="67"/>
    <row r="87" ht="15.75" customHeight="1" s="67"/>
    <row r="88" ht="10.5" customHeight="1" s="67"/>
    <row r="89" ht="10.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0.5" customHeight="1" s="67"/>
    <row r="100" ht="15.75" customHeight="1" s="67"/>
    <row r="101" ht="15.75" customHeight="1" s="67"/>
    <row r="102" ht="15.75" customHeight="1" s="67"/>
    <row r="103" ht="10.5" customHeight="1" s="67"/>
    <row r="104" ht="15.75" customHeight="1" s="67"/>
    <row r="105" ht="10.5" customHeight="1" s="67"/>
    <row r="106" ht="15.75" customHeight="1" s="67"/>
    <row r="107" ht="10.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0.5" customHeight="1" s="67"/>
    <row r="118" ht="15.75" customHeight="1" s="67"/>
    <row r="119" ht="15.75" customHeight="1" s="67"/>
    <row r="120" ht="15.75" customHeight="1" s="67"/>
    <row r="121" ht="15.75" customHeight="1" s="67"/>
    <row r="122" ht="15.75" customHeight="1" s="67"/>
    <row r="123" ht="15.75" customHeight="1" s="67"/>
    <row r="124" ht="15.75" customHeight="1" s="67"/>
    <row r="125" ht="10.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0.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0.5" customHeight="1" s="67"/>
    <row r="150" ht="15.75" customHeight="1" s="67"/>
    <row r="151" ht="15.75" customHeight="1" s="67"/>
    <row r="152" ht="15.75" customHeight="1" s="67"/>
    <row r="153" ht="10.5" customHeight="1" s="67"/>
    <row r="154" ht="15.75" customHeight="1" s="67"/>
    <row r="155" ht="15.75" customHeight="1" s="67"/>
    <row r="156" ht="10.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15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54" t="n">
        <v>6</v>
      </c>
      <c r="B2" s="55" t="inlineStr">
        <is>
          <t>BB_PULLBACK_GATE_FILTER_TF</t>
        </is>
      </c>
      <c r="C2" s="53" t="inlineStr">
        <is>
          <t>OFF</t>
        </is>
      </c>
      <c r="D2" s="56" t="inlineStr">
        <is>
          <t>Pullback filter — blocks pullback entries unless BB position confirms oversold/bounce on FILTER_TF. | Live read: `_EXHAUSTIVE_FILTER_LIST_LIVE = ['ADAPTIVE_REGIME_DC_BREAKDOWN_THRESHOLD', 'ADAPT`</t>
        </is>
      </c>
      <c r="E2" s="56" t="inlineStr">
        <is>
          <t>GLOBAL_CHECK</t>
        </is>
      </c>
      <c r="F2" s="54" t="inlineStr">
        <is>
          <t>GLOBAL_CHECK</t>
        </is>
      </c>
      <c r="G2" s="56" t="inlineStr">
        <is>
          <t>BB pullback entries</t>
        </is>
      </c>
      <c r="H2" s="54" t="inlineStr">
        <is>
          <t>SPECIFIC — only gated switches</t>
        </is>
      </c>
      <c r="I2" s="54" t="inlineStr">
        <is>
          <t>LIVE — wired</t>
        </is>
      </c>
      <c r="J2" s="54" t="n"/>
      <c r="K2" s="51" t="inlineStr">
        <is>
          <t>1/4</t>
        </is>
      </c>
      <c r="L2" s="51" t="inlineStr">
        <is>
          <t>OFF, 15m, 1h, 4h, D (5 options)</t>
        </is>
      </c>
      <c r="M2" s="51" t="inlineStr">
        <is>
          <t>15m</t>
        </is>
      </c>
      <c r="N2" s="51" t="inlineStr">
        <is>
          <t>TF selector</t>
        </is>
      </c>
      <c r="O2" s="51" t="inlineStr">
        <is>
          <t>BB_PULLBACK_GATE_FILTER_TF</t>
        </is>
      </c>
      <c r="P2" s="51" t="inlineStr">
        <is>
          <t>getattr(cfg,"BB_PULLBACK_GATE_FILTER_TF")</t>
        </is>
      </c>
      <c r="Q2" s="35" t="inlineStr">
        <is>
          <t>NO</t>
        </is>
      </c>
    </row>
    <row r="3">
      <c r="A3" s="54" t="n">
        <v>6</v>
      </c>
      <c r="B3" s="55" t="inlineStr">
        <is>
          <t>BB_PULLBACK_GATE_FILTER_TF</t>
        </is>
      </c>
      <c r="C3" s="53" t="inlineStr">
        <is>
          <t>D</t>
        </is>
      </c>
      <c r="D3" s="56" t="inlineStr">
        <is>
          <t>Pullback filter — blocks pullback entries unless BB position confirms oversold/bounce on FILTER_TF. | Live read: `_EXHAUSTIVE_FILTER_LIST_LIVE = ['ADAPTIVE_REGIME_DC_BREAKDOWN_THRESHOLD', 'ADAPT`</t>
        </is>
      </c>
      <c r="E3" s="56" t="inlineStr">
        <is>
          <t>GLOBAL_CHECK</t>
        </is>
      </c>
      <c r="F3" s="54" t="inlineStr">
        <is>
          <t>GLOBAL_CHECK</t>
        </is>
      </c>
      <c r="G3" s="56" t="inlineStr">
        <is>
          <t>BB pullback entries</t>
        </is>
      </c>
      <c r="H3" s="54" t="inlineStr">
        <is>
          <t>SPECIFIC — only gated switches</t>
        </is>
      </c>
      <c r="I3" s="54" t="inlineStr">
        <is>
          <t>LIVE — wired</t>
        </is>
      </c>
      <c r="J3" s="54" t="n"/>
      <c r="K3" s="51" t="inlineStr">
        <is>
          <t>1/4</t>
        </is>
      </c>
      <c r="L3" s="51" t="inlineStr">
        <is>
          <t>OFF, 15m, 1h, 4h, D (5 options)</t>
        </is>
      </c>
      <c r="M3" s="51" t="inlineStr">
        <is>
          <t>15m</t>
        </is>
      </c>
      <c r="N3" s="51" t="inlineStr">
        <is>
          <t>TF selector</t>
        </is>
      </c>
      <c r="O3" s="51" t="inlineStr">
        <is>
          <t>BB_PULLBACK_GATE_FILTER_TF</t>
        </is>
      </c>
      <c r="P3" s="51" t="inlineStr">
        <is>
          <t>getattr(cfg,"BB_PULLBACK_GATE_FILTER_TF")</t>
        </is>
      </c>
      <c r="Q3" s="35" t="inlineStr">
        <is>
          <t>NO</t>
        </is>
      </c>
    </row>
    <row r="4">
      <c r="A4" s="54" t="n">
        <v>6</v>
      </c>
      <c r="B4" s="55" t="inlineStr">
        <is>
          <t>BB_PULLBACK_GATE_FILTER_TF</t>
        </is>
      </c>
      <c r="C4" s="53" t="inlineStr">
        <is>
          <t>4h</t>
        </is>
      </c>
      <c r="D4" s="56" t="inlineStr">
        <is>
          <t>Pullback filter — blocks pullback entries unless BB position confirms oversold/bounce on FILTER_TF. | Live read: `_EXHAUSTIVE_FILTER_LIST_LIVE = ['ADAPTIVE_REGIME_DC_BREAKDOWN_THRESHOLD', 'ADAPT`</t>
        </is>
      </c>
      <c r="E4" s="56" t="inlineStr">
        <is>
          <t>GLOBAL_CHECK</t>
        </is>
      </c>
      <c r="F4" s="54" t="inlineStr">
        <is>
          <t>GLOBAL_CHECK</t>
        </is>
      </c>
      <c r="G4" s="56" t="inlineStr">
        <is>
          <t>BB pullback entries</t>
        </is>
      </c>
      <c r="H4" s="54" t="inlineStr">
        <is>
          <t>SPECIFIC — only gated switches</t>
        </is>
      </c>
      <c r="I4" s="54" t="inlineStr">
        <is>
          <t>LIVE — wired</t>
        </is>
      </c>
      <c r="J4" s="54" t="n"/>
      <c r="K4" s="51" t="inlineStr">
        <is>
          <t>1/4</t>
        </is>
      </c>
      <c r="L4" s="51" t="inlineStr">
        <is>
          <t>OFF, 15m, 1h, 4h, D (5 options)</t>
        </is>
      </c>
      <c r="M4" s="51" t="inlineStr">
        <is>
          <t>15m</t>
        </is>
      </c>
      <c r="N4" s="51" t="inlineStr">
        <is>
          <t>TF selector</t>
        </is>
      </c>
      <c r="O4" s="51" t="inlineStr">
        <is>
          <t>BB_PULLBACK_GATE_FILTER_TF</t>
        </is>
      </c>
      <c r="P4" s="51" t="inlineStr">
        <is>
          <t>getattr(cfg,"BB_PULLBACK_GATE_FILTER_TF")</t>
        </is>
      </c>
      <c r="Q4" s="35" t="inlineStr">
        <is>
          <t>NO</t>
        </is>
      </c>
    </row>
    <row r="5">
      <c r="A5" s="54" t="n">
        <v>6</v>
      </c>
      <c r="B5" s="55" t="inlineStr">
        <is>
          <t>BB_PULLBACK_GATE_FILTER_TF</t>
        </is>
      </c>
      <c r="C5" s="53" t="inlineStr">
        <is>
          <t>1h</t>
        </is>
      </c>
      <c r="D5" s="56" t="inlineStr">
        <is>
          <t>Pullback filter — blocks pullback entries unless BB position confirms oversold/bounce on FILTER_TF. | Live read: `_EXHAUSTIVE_FILTER_LIST_LIVE = ['ADAPTIVE_REGIME_DC_BREAKDOWN_THRESHOLD', 'ADAPT`</t>
        </is>
      </c>
      <c r="E5" s="56" t="inlineStr">
        <is>
          <t>GLOBAL_CHECK</t>
        </is>
      </c>
      <c r="F5" s="54" t="inlineStr">
        <is>
          <t>GLOBAL_CHECK</t>
        </is>
      </c>
      <c r="G5" s="56" t="inlineStr">
        <is>
          <t>BB pullback entries</t>
        </is>
      </c>
      <c r="H5" s="54" t="inlineStr">
        <is>
          <t>SPECIFIC — only gated switches</t>
        </is>
      </c>
      <c r="I5" s="54" t="inlineStr">
        <is>
          <t>LIVE — wired</t>
        </is>
      </c>
      <c r="J5" s="54" t="n"/>
      <c r="K5" s="51" t="inlineStr">
        <is>
          <t>1/4</t>
        </is>
      </c>
      <c r="L5" s="51" t="inlineStr">
        <is>
          <t>OFF, 15m, 1h, 4h, D (5 options)</t>
        </is>
      </c>
      <c r="M5" s="51" t="inlineStr">
        <is>
          <t>15m</t>
        </is>
      </c>
      <c r="N5" s="51" t="inlineStr">
        <is>
          <t>TF selector</t>
        </is>
      </c>
      <c r="O5" s="51" t="inlineStr">
        <is>
          <t>BB_PULLBACK_GATE_FILTER_TF</t>
        </is>
      </c>
      <c r="P5" s="51" t="inlineStr">
        <is>
          <t>getattr(cfg,"BB_PULLBACK_GATE_FILTER_TF")</t>
        </is>
      </c>
      <c r="Q5" s="35" t="inlineStr">
        <is>
          <t>NO</t>
        </is>
      </c>
    </row>
    <row r="6">
      <c r="A6" s="54" t="n">
        <v>6</v>
      </c>
      <c r="B6" s="57" t="inlineStr">
        <is>
          <t>BB_PULLBACK_GATE_FILTER_TF</t>
        </is>
      </c>
      <c r="C6" s="49" t="inlineStr">
        <is>
          <t>15m</t>
        </is>
      </c>
      <c r="D6" s="56" t="inlineStr">
        <is>
          <t>Pullback filter — blocks pullback entries unless BB position confirms oversold/bounce on FILTER_TF. | Live read: `_EXHAUSTIVE_FILTER_LIST_LIVE = ['ADAPTIVE_REGIME_DC_BREAKDOWN_THRESHOLD', 'ADAPT`</t>
        </is>
      </c>
      <c r="E6" s="56" t="inlineStr">
        <is>
          <t>GLOBAL_CHECK</t>
        </is>
      </c>
      <c r="F6" s="54" t="inlineStr">
        <is>
          <t>GLOBAL_CHECK</t>
        </is>
      </c>
      <c r="G6" s="56" t="inlineStr">
        <is>
          <t>BB pullback entries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BB_PULLBACK_GATE_FILTER_TF</t>
        </is>
      </c>
      <c r="P6" s="51" t="inlineStr">
        <is>
          <t>getattr(cfg,"BB_PULLBACK_GATE_FILTER_TF")</t>
        </is>
      </c>
      <c r="Q6" s="35" t="inlineStr">
        <is>
          <t>YES</t>
        </is>
      </c>
    </row>
    <row r="7">
      <c r="A7" s="54" t="n">
        <v>9</v>
      </c>
      <c r="B7" s="55" t="inlineStr">
        <is>
          <t>BREAKEVEN_GAIN_EROSION_FILTER_TF</t>
        </is>
      </c>
      <c r="C7" s="53" t="inlineStr">
        <is>
          <t>OFF</t>
        </is>
      </c>
      <c r="D7" s="56" t="inlineStr">
        <is>
          <t>Exit gate: when peak gain erodes toward breakeven, requires FILTER_TF confirmation before closing at breakeven. | Live read: `LOPE_DEADBAND', 'BB4H_BREAKOUT_LADDER_TARGET_USD', 'BB_FROZEN_STOP_FIELD', 'BB_F`</t>
        </is>
      </c>
      <c r="E7" s="56" t="inlineStr">
        <is>
          <t>GLOBAL_CHECK</t>
        </is>
      </c>
      <c r="F7" s="54" t="inlineStr">
        <is>
          <t>GLOBAL_CHECK</t>
        </is>
      </c>
      <c r="G7" s="56" t="inlineStr">
        <is>
          <t>BREAKEVEN_GAIN_EROSION</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BREAKEVEN_GAIN_EROSION_FILTER_TF</t>
        </is>
      </c>
      <c r="P7" s="51" t="inlineStr">
        <is>
          <t>getattr(cfg,"BREAKEVEN_GAIN_EROSION_FILTER_TF")</t>
        </is>
      </c>
      <c r="Q7" s="35" t="inlineStr">
        <is>
          <t>NO</t>
        </is>
      </c>
    </row>
    <row r="8">
      <c r="A8" s="54" t="n">
        <v>9</v>
      </c>
      <c r="B8" s="55" t="inlineStr">
        <is>
          <t>BREAKEVEN_GAIN_EROSION_FILTER_TF</t>
        </is>
      </c>
      <c r="C8" s="53" t="inlineStr">
        <is>
          <t>D</t>
        </is>
      </c>
      <c r="D8" s="56" t="inlineStr">
        <is>
          <t>Exit gate: when peak gain erodes toward breakeven, requires FILTER_TF confirmation before closing at breakeven. | Live read: `LOPE_DEADBAND', 'BB4H_BREAKOUT_LADDER_TARGET_USD', 'BB_FROZEN_STOP_FIELD', 'BB_F`</t>
        </is>
      </c>
      <c r="E8" s="56" t="inlineStr">
        <is>
          <t>GLOBAL_CHECK</t>
        </is>
      </c>
      <c r="F8" s="54" t="inlineStr">
        <is>
          <t>GLOBAL_CHECK</t>
        </is>
      </c>
      <c r="G8" s="56" t="inlineStr">
        <is>
          <t>BREAKEVEN_GAIN_EROSION</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BREAKEVEN_GAIN_EROSION_FILTER_TF</t>
        </is>
      </c>
      <c r="P8" s="51" t="inlineStr">
        <is>
          <t>getattr(cfg,"BREAKEVEN_GAIN_EROSION_FILTER_TF")</t>
        </is>
      </c>
      <c r="Q8" s="35" t="inlineStr">
        <is>
          <t>NO</t>
        </is>
      </c>
    </row>
    <row r="9">
      <c r="A9" s="54" t="n">
        <v>9</v>
      </c>
      <c r="B9" s="55" t="inlineStr">
        <is>
          <t>BREAKEVEN_GAIN_EROSION_FILTER_TF</t>
        </is>
      </c>
      <c r="C9" s="53" t="inlineStr">
        <is>
          <t>4h</t>
        </is>
      </c>
      <c r="D9" s="56" t="inlineStr">
        <is>
          <t>Exit gate: when peak gain erodes toward breakeven, requires FILTER_TF confirmation before closing at breakeven. | Live read: `LOPE_DEADBAND', 'BB4H_BREAKOUT_LADDER_TARGET_USD', 'BB_FROZEN_STOP_FIELD', 'BB_F`</t>
        </is>
      </c>
      <c r="E9" s="56" t="inlineStr">
        <is>
          <t>GLOBAL_CHECK</t>
        </is>
      </c>
      <c r="F9" s="54" t="inlineStr">
        <is>
          <t>GLOBAL_CHECK</t>
        </is>
      </c>
      <c r="G9" s="56" t="inlineStr">
        <is>
          <t>BREAKEVEN_GAIN_EROSION</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BREAKEVEN_GAIN_EROSION_FILTER_TF</t>
        </is>
      </c>
      <c r="P9" s="51" t="inlineStr">
        <is>
          <t>getattr(cfg,"BREAKEVEN_GAIN_EROSION_FILTER_TF")</t>
        </is>
      </c>
      <c r="Q9" s="35" t="inlineStr">
        <is>
          <t>NO</t>
        </is>
      </c>
    </row>
    <row r="10">
      <c r="A10" s="54" t="n">
        <v>9</v>
      </c>
      <c r="B10" s="55" t="inlineStr">
        <is>
          <t>BREAKEVEN_GAIN_EROSION_FILTER_TF</t>
        </is>
      </c>
      <c r="C10" s="53" t="inlineStr">
        <is>
          <t>1h</t>
        </is>
      </c>
      <c r="D10" s="56" t="inlineStr">
        <is>
          <t>Exit gate: when peak gain erodes toward breakeven, requires FILTER_TF confirmation before closing at breakeven. | Live read: `LOPE_DEADBAND', 'BB4H_BREAKOUT_LADDER_TARGET_USD', 'BB_FROZEN_STOP_FIELD', 'BB_F`</t>
        </is>
      </c>
      <c r="E10" s="56" t="inlineStr">
        <is>
          <t>GLOBAL_CHECK</t>
        </is>
      </c>
      <c r="F10" s="54" t="inlineStr">
        <is>
          <t>GLOBAL_CHECK</t>
        </is>
      </c>
      <c r="G10" s="56" t="inlineStr">
        <is>
          <t>BREAKEVEN_GAIN_EROSION</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BREAKEVEN_GAIN_EROSION_FILTER_TF</t>
        </is>
      </c>
      <c r="P10" s="51" t="inlineStr">
        <is>
          <t>getattr(cfg,"BREAKEVEN_GAIN_EROSION_FILTER_TF")</t>
        </is>
      </c>
      <c r="Q10" s="35" t="inlineStr">
        <is>
          <t>NO</t>
        </is>
      </c>
    </row>
    <row r="11">
      <c r="A11" s="54" t="n">
        <v>9</v>
      </c>
      <c r="B11" s="57" t="inlineStr">
        <is>
          <t>BREAKEVEN_GAIN_EROSION_FILTER_TF</t>
        </is>
      </c>
      <c r="C11" s="49" t="inlineStr">
        <is>
          <t>15m</t>
        </is>
      </c>
      <c r="D11" s="56" t="inlineStr">
        <is>
          <t>Exit gate: when peak gain erodes toward breakeven, requires FILTER_TF confirmation before closing at breakeven. | Live read: `LOPE_DEADBAND', 'BB4H_BREAKOUT_LADDER_TARGET_USD', 'BB_FROZEN_STOP_FIELD', 'BB_F`</t>
        </is>
      </c>
      <c r="E11" s="56" t="inlineStr">
        <is>
          <t>GLOBAL_CHECK</t>
        </is>
      </c>
      <c r="F11" s="54" t="inlineStr">
        <is>
          <t>GLOBAL_CHECK</t>
        </is>
      </c>
      <c r="G11" s="56" t="inlineStr">
        <is>
          <t>BREAKEVEN_GAIN_EROSION</t>
        </is>
      </c>
      <c r="H11" s="54" t="inlineStr">
        <is>
          <t>SPECIFIC — only gated switches</t>
        </is>
      </c>
      <c r="I11" s="54" t="inlineStr">
        <is>
          <t>LIVE — wired</t>
        </is>
      </c>
      <c r="J11" s="54" t="n"/>
      <c r="K11" s="51" t="inlineStr">
        <is>
          <t>1/4</t>
        </is>
      </c>
      <c r="L11" s="51" t="inlineStr">
        <is>
          <t>OFF, 15m, 1h, 4h, D (5 options)</t>
        </is>
      </c>
      <c r="M11" s="51" t="inlineStr">
        <is>
          <t>15m</t>
        </is>
      </c>
      <c r="N11" s="51" t="inlineStr">
        <is>
          <t>TF selector</t>
        </is>
      </c>
      <c r="O11" s="51" t="inlineStr">
        <is>
          <t>BREAKEVEN_GAIN_EROSION_FILTER_TF</t>
        </is>
      </c>
      <c r="P11" s="51" t="inlineStr">
        <is>
          <t>getattr(cfg,"BREAKEVEN_GAIN_EROSION_FILTER_TF")</t>
        </is>
      </c>
      <c r="Q11" s="35" t="inlineStr">
        <is>
          <t>YES</t>
        </is>
      </c>
    </row>
    <row r="12">
      <c r="A12" s="54" t="n">
        <v>10</v>
      </c>
      <c r="B12" s="55" t="inlineStr">
        <is>
          <t>BREAKOUT_RETEST_FILTER_TF</t>
        </is>
      </c>
      <c r="C12" s="53" t="inlineStr">
        <is>
          <t>OFF</t>
        </is>
      </c>
      <c r="D12" s="56" t="inlineStr">
        <is>
          <t>Breakout filter: after DC/BB breakout, requires retest hold on FILTER_TF before entry. | Live read: `UM_CHECK_ENABLED', 'BREAKOUT_HTF_MIN_ALIGNED', 'BREAKOUT_INJECT_LIVE', 'BREAKOUT`</t>
        </is>
      </c>
      <c r="E12" s="56" t="inlineStr">
        <is>
          <t>GLOBAL_CHECK</t>
        </is>
      </c>
      <c r="F12" s="54" t="inlineStr">
        <is>
          <t>GLOBAL_CHECK</t>
        </is>
      </c>
      <c r="G12" s="56" t="inlineStr">
        <is>
          <t>Breakout retest</t>
        </is>
      </c>
      <c r="H12" s="54" t="inlineStr">
        <is>
          <t>SPECIFIC — only gated switches</t>
        </is>
      </c>
      <c r="I12" s="54" t="inlineStr">
        <is>
          <t>LIVE — wired</t>
        </is>
      </c>
      <c r="J12" s="54" t="n"/>
      <c r="K12" s="51" t="inlineStr">
        <is>
          <t>1/4</t>
        </is>
      </c>
      <c r="L12" s="51" t="inlineStr">
        <is>
          <t>OFF, 15m, 1h, 4h, D (5 options)</t>
        </is>
      </c>
      <c r="M12" s="51" t="inlineStr">
        <is>
          <t>15m</t>
        </is>
      </c>
      <c r="N12" s="51" t="inlineStr">
        <is>
          <t>TF selector</t>
        </is>
      </c>
      <c r="O12" s="51" t="inlineStr">
        <is>
          <t>BREAKOUT_RETEST_FILTER_TF</t>
        </is>
      </c>
      <c r="P12" s="51" t="inlineStr">
        <is>
          <t>getattr(cfg,"BREAKOUT_RETEST_FILTER_TF")</t>
        </is>
      </c>
      <c r="Q12" s="35" t="inlineStr">
        <is>
          <t>NO</t>
        </is>
      </c>
    </row>
    <row r="13">
      <c r="A13" s="54" t="n">
        <v>10</v>
      </c>
      <c r="B13" s="55" t="inlineStr">
        <is>
          <t>BREAKOUT_RETEST_FILTER_TF</t>
        </is>
      </c>
      <c r="C13" s="53" t="inlineStr">
        <is>
          <t>D</t>
        </is>
      </c>
      <c r="D13" s="56" t="inlineStr">
        <is>
          <t>Breakout filter: after DC/BB breakout, requires retest hold on FILTER_TF before entry. | Live read: `UM_CHECK_ENABLED', 'BREAKOUT_HTF_MIN_ALIGNED', 'BREAKOUT_INJECT_LIVE', 'BREAKOUT`</t>
        </is>
      </c>
      <c r="E13" s="56" t="inlineStr">
        <is>
          <t>GLOBAL_CHECK</t>
        </is>
      </c>
      <c r="F13" s="54" t="inlineStr">
        <is>
          <t>GLOBAL_CHECK</t>
        </is>
      </c>
      <c r="G13" s="56" t="inlineStr">
        <is>
          <t>Breakout retest</t>
        </is>
      </c>
      <c r="H13" s="54" t="inlineStr">
        <is>
          <t>SPECIFIC — only gated switches</t>
        </is>
      </c>
      <c r="I13" s="54" t="inlineStr">
        <is>
          <t>LIVE — wired</t>
        </is>
      </c>
      <c r="J13" s="54" t="n"/>
      <c r="K13" s="51" t="inlineStr">
        <is>
          <t>1/4</t>
        </is>
      </c>
      <c r="L13" s="51" t="inlineStr">
        <is>
          <t>OFF, 15m, 1h, 4h, D (5 options)</t>
        </is>
      </c>
      <c r="M13" s="51" t="inlineStr">
        <is>
          <t>15m</t>
        </is>
      </c>
      <c r="N13" s="51" t="inlineStr">
        <is>
          <t>TF selector</t>
        </is>
      </c>
      <c r="O13" s="51" t="inlineStr">
        <is>
          <t>BREAKOUT_RETEST_FILTER_TF</t>
        </is>
      </c>
      <c r="P13" s="51" t="inlineStr">
        <is>
          <t>getattr(cfg,"BREAKOUT_RETEST_FILTER_TF")</t>
        </is>
      </c>
      <c r="Q13" s="35" t="inlineStr">
        <is>
          <t>NO</t>
        </is>
      </c>
    </row>
    <row r="14">
      <c r="A14" s="54" t="n">
        <v>10</v>
      </c>
      <c r="B14" s="55" t="inlineStr">
        <is>
          <t>BREAKOUT_RETEST_FILTER_TF</t>
        </is>
      </c>
      <c r="C14" s="53" t="inlineStr">
        <is>
          <t>4h</t>
        </is>
      </c>
      <c r="D14" s="56" t="inlineStr">
        <is>
          <t>Breakout filter: after DC/BB breakout, requires retest hold on FILTER_TF before entry. | Live read: `UM_CHECK_ENABLED', 'BREAKOUT_HTF_MIN_ALIGNED', 'BREAKOUT_INJECT_LIVE', 'BREAKOUT`</t>
        </is>
      </c>
      <c r="E14" s="56" t="inlineStr">
        <is>
          <t>GLOBAL_CHECK</t>
        </is>
      </c>
      <c r="F14" s="54" t="inlineStr">
        <is>
          <t>GLOBAL_CHECK</t>
        </is>
      </c>
      <c r="G14" s="56" t="inlineStr">
        <is>
          <t>Breakout retest</t>
        </is>
      </c>
      <c r="H14" s="54" t="inlineStr">
        <is>
          <t>SPECIFIC — only gated switches</t>
        </is>
      </c>
      <c r="I14" s="54" t="inlineStr">
        <is>
          <t>LIVE — wired</t>
        </is>
      </c>
      <c r="J14" s="54" t="n"/>
      <c r="K14" s="51" t="inlineStr">
        <is>
          <t>1/4</t>
        </is>
      </c>
      <c r="L14" s="51" t="inlineStr">
        <is>
          <t>OFF, 15m, 1h, 4h, D (5 options)</t>
        </is>
      </c>
      <c r="M14" s="51" t="inlineStr">
        <is>
          <t>15m</t>
        </is>
      </c>
      <c r="N14" s="51" t="inlineStr">
        <is>
          <t>TF selector</t>
        </is>
      </c>
      <c r="O14" s="51" t="inlineStr">
        <is>
          <t>BREAKOUT_RETEST_FILTER_TF</t>
        </is>
      </c>
      <c r="P14" s="51" t="inlineStr">
        <is>
          <t>getattr(cfg,"BREAKOUT_RETEST_FILTER_TF")</t>
        </is>
      </c>
      <c r="Q14" s="35" t="inlineStr">
        <is>
          <t>NO</t>
        </is>
      </c>
    </row>
    <row r="15">
      <c r="A15" s="54" t="n">
        <v>10</v>
      </c>
      <c r="B15" s="55" t="inlineStr">
        <is>
          <t>BREAKOUT_RETEST_FILTER_TF</t>
        </is>
      </c>
      <c r="C15" s="53" t="inlineStr">
        <is>
          <t>1h</t>
        </is>
      </c>
      <c r="D15" s="56" t="inlineStr">
        <is>
          <t>Breakout filter: after DC/BB breakout, requires retest hold on FILTER_TF before entry. | Live read: `UM_CHECK_ENABLED', 'BREAKOUT_HTF_MIN_ALIGNED', 'BREAKOUT_INJECT_LIVE', 'BREAKOUT`</t>
        </is>
      </c>
      <c r="E15" s="56" t="inlineStr">
        <is>
          <t>GLOBAL_CHECK</t>
        </is>
      </c>
      <c r="F15" s="54" t="inlineStr">
        <is>
          <t>GLOBAL_CHECK</t>
        </is>
      </c>
      <c r="G15" s="56" t="inlineStr">
        <is>
          <t>Breakout retest</t>
        </is>
      </c>
      <c r="H15" s="54" t="inlineStr">
        <is>
          <t>SPECIFIC — only gated switches</t>
        </is>
      </c>
      <c r="I15" s="54" t="inlineStr">
        <is>
          <t>LIVE — wired</t>
        </is>
      </c>
      <c r="J15" s="54" t="n"/>
      <c r="K15" s="51" t="inlineStr">
        <is>
          <t>1/4</t>
        </is>
      </c>
      <c r="L15" s="51" t="inlineStr">
        <is>
          <t>OFF, 15m, 1h, 4h, D (5 options)</t>
        </is>
      </c>
      <c r="M15" s="51" t="inlineStr">
        <is>
          <t>15m</t>
        </is>
      </c>
      <c r="N15" s="51" t="inlineStr">
        <is>
          <t>TF selector</t>
        </is>
      </c>
      <c r="O15" s="51" t="inlineStr">
        <is>
          <t>BREAKOUT_RETEST_FILTER_TF</t>
        </is>
      </c>
      <c r="P15" s="51" t="inlineStr">
        <is>
          <t>getattr(cfg,"BREAKOUT_RETEST_FILTER_TF")</t>
        </is>
      </c>
      <c r="Q15" s="35" t="inlineStr">
        <is>
          <t>NO</t>
        </is>
      </c>
    </row>
    <row r="16">
      <c r="A16" s="54" t="n">
        <v>10</v>
      </c>
      <c r="B16" s="57" t="inlineStr">
        <is>
          <t>BREAKOUT_RETEST_FILTER_TF</t>
        </is>
      </c>
      <c r="C16" s="49" t="inlineStr">
        <is>
          <t>15m</t>
        </is>
      </c>
      <c r="D16" s="56" t="inlineStr">
        <is>
          <t>Breakout filter: after DC/BB breakout, requires retest hold on FILTER_TF before entry. | Live read: `UM_CHECK_ENABLED', 'BREAKOUT_HTF_MIN_ALIGNED', 'BREAKOUT_INJECT_LIVE', 'BREAKOUT`</t>
        </is>
      </c>
      <c r="E16" s="56" t="inlineStr">
        <is>
          <t>GLOBAL_CHECK</t>
        </is>
      </c>
      <c r="F16" s="54" t="inlineStr">
        <is>
          <t>GLOBAL_CHECK</t>
        </is>
      </c>
      <c r="G16" s="56" t="inlineStr">
        <is>
          <t>Breakout retest</t>
        </is>
      </c>
      <c r="H16" s="54" t="inlineStr">
        <is>
          <t>SPECIFIC — only gated switches</t>
        </is>
      </c>
      <c r="I16" s="54" t="inlineStr">
        <is>
          <t>LIVE — wired</t>
        </is>
      </c>
      <c r="J16" s="54" t="n"/>
      <c r="K16" s="51" t="inlineStr">
        <is>
          <t>1/4</t>
        </is>
      </c>
      <c r="L16" s="51" t="inlineStr">
        <is>
          <t>OFF, 15m, 1h, 4h, D (5 options)</t>
        </is>
      </c>
      <c r="M16" s="51" t="inlineStr">
        <is>
          <t>15m</t>
        </is>
      </c>
      <c r="N16" s="51" t="inlineStr">
        <is>
          <t>TF selector</t>
        </is>
      </c>
      <c r="O16" s="51" t="inlineStr">
        <is>
          <t>BREAKOUT_RETEST_FILTER_TF</t>
        </is>
      </c>
      <c r="P16" s="51" t="inlineStr">
        <is>
          <t>getattr(cfg,"BREAKOUT_RETEST_FILTER_TF")</t>
        </is>
      </c>
      <c r="Q16" s="35" t="inlineStr">
        <is>
          <t>YES</t>
        </is>
      </c>
    </row>
    <row r="17">
      <c r="A17" s="54" t="n">
        <v>15</v>
      </c>
      <c r="B17" s="55" t="inlineStr">
        <is>
          <t>BT_WT_CROSS_LADDER_FILTER_TF</t>
        </is>
      </c>
      <c r="C17" s="53" t="inlineStr">
        <is>
          <t>OFF</t>
        </is>
      </c>
      <c r="D17" s="56" t="inlineStr">
        <is>
          <t>WT cross ladder confirmation on FILTER_TF. | Live read: `_EXHAUSTIVE_FILTER_LIST_LIVE = ['ADAPTIVE_REGIME_DC_BREAKDOWN_THRESHOLD', 'ADAPT`</t>
        </is>
      </c>
      <c r="E17" s="56" t="inlineStr">
        <is>
          <t>GLOBAL_CHECK</t>
        </is>
      </c>
      <c r="F17" s="54" t="inlineStr">
        <is>
          <t>GLOBAL_CHECK</t>
        </is>
      </c>
      <c r="G17" s="56" t="inlineStr">
        <is>
          <t>BT_WT_CROSS_LADDER</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BT_WT_CROSS_LADDER_FILTER_TF</t>
        </is>
      </c>
      <c r="P17" s="51" t="inlineStr">
        <is>
          <t>getattr(cfg,"BT_WT_CROSS_LADDER_FILTER_TF")</t>
        </is>
      </c>
      <c r="Q17" s="35" t="inlineStr">
        <is>
          <t>NO</t>
        </is>
      </c>
    </row>
    <row r="18">
      <c r="A18" s="54" t="n">
        <v>15</v>
      </c>
      <c r="B18" s="55" t="inlineStr">
        <is>
          <t>BT_WT_CROSS_LADDER_FILTER_TF</t>
        </is>
      </c>
      <c r="C18" s="53" t="inlineStr">
        <is>
          <t>D</t>
        </is>
      </c>
      <c r="D18" s="56" t="inlineStr">
        <is>
          <t>WT cross ladder confirmation on FILTER_TF. | Live read: `_EXHAUSTIVE_FILTER_LIST_LIVE = ['ADAPTIVE_REGIME_DC_BREAKDOWN_THRESHOLD', 'ADAPT`</t>
        </is>
      </c>
      <c r="E18" s="56" t="inlineStr">
        <is>
          <t>GLOBAL_CHECK</t>
        </is>
      </c>
      <c r="F18" s="54" t="inlineStr">
        <is>
          <t>GLOBAL_CHECK</t>
        </is>
      </c>
      <c r="G18" s="56" t="inlineStr">
        <is>
          <t>BT_WT_CROSS_LADDER</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BT_WT_CROSS_LADDER_FILTER_TF</t>
        </is>
      </c>
      <c r="P18" s="51" t="inlineStr">
        <is>
          <t>getattr(cfg,"BT_WT_CROSS_LADDER_FILTER_TF")</t>
        </is>
      </c>
      <c r="Q18" s="35" t="inlineStr">
        <is>
          <t>NO</t>
        </is>
      </c>
    </row>
    <row r="19">
      <c r="A19" s="54" t="n">
        <v>15</v>
      </c>
      <c r="B19" s="55" t="inlineStr">
        <is>
          <t>BT_WT_CROSS_LADDER_FILTER_TF</t>
        </is>
      </c>
      <c r="C19" s="53" t="inlineStr">
        <is>
          <t>4h</t>
        </is>
      </c>
      <c r="D19" s="56" t="inlineStr">
        <is>
          <t>WT cross ladder confirmation on FILTER_TF. | Live read: `_EXHAUSTIVE_FILTER_LIST_LIVE = ['ADAPTIVE_REGIME_DC_BREAKDOWN_THRESHOLD', 'ADAPT`</t>
        </is>
      </c>
      <c r="E19" s="56" t="inlineStr">
        <is>
          <t>GLOBAL_CHECK</t>
        </is>
      </c>
      <c r="F19" s="54" t="inlineStr">
        <is>
          <t>GLOBAL_CHECK</t>
        </is>
      </c>
      <c r="G19" s="56" t="inlineStr">
        <is>
          <t>BT_WT_CROSS_LADDER</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BT_WT_CROSS_LADDER_FILTER_TF</t>
        </is>
      </c>
      <c r="P19" s="51" t="inlineStr">
        <is>
          <t>getattr(cfg,"BT_WT_CROSS_LADDER_FILTER_TF")</t>
        </is>
      </c>
      <c r="Q19" s="35" t="inlineStr">
        <is>
          <t>NO</t>
        </is>
      </c>
    </row>
    <row r="20">
      <c r="A20" s="54" t="n">
        <v>15</v>
      </c>
      <c r="B20" s="55" t="inlineStr">
        <is>
          <t>BT_WT_CROSS_LADDER_FILTER_TF</t>
        </is>
      </c>
      <c r="C20" s="53" t="inlineStr">
        <is>
          <t>1h</t>
        </is>
      </c>
      <c r="D20" s="56" t="inlineStr">
        <is>
          <t>WT cross ladder confirmation on FILTER_TF. | Live read: `_EXHAUSTIVE_FILTER_LIST_LIVE = ['ADAPTIVE_REGIME_DC_BREAKDOWN_THRESHOLD', 'ADAPT`</t>
        </is>
      </c>
      <c r="E20" s="56" t="inlineStr">
        <is>
          <t>GLOBAL_CHECK</t>
        </is>
      </c>
      <c r="F20" s="54" t="inlineStr">
        <is>
          <t>GLOBAL_CHECK</t>
        </is>
      </c>
      <c r="G20" s="56" t="inlineStr">
        <is>
          <t>BT_WT_CROSS_LADDER</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BT_WT_CROSS_LADDER_FILTER_TF</t>
        </is>
      </c>
      <c r="P20" s="51" t="inlineStr">
        <is>
          <t>getattr(cfg,"BT_WT_CROSS_LADDER_FILTER_TF")</t>
        </is>
      </c>
      <c r="Q20" s="35" t="inlineStr">
        <is>
          <t>NO</t>
        </is>
      </c>
    </row>
    <row r="21" ht="15.75" customHeight="1" s="67">
      <c r="A21" s="54" t="n">
        <v>15</v>
      </c>
      <c r="B21" s="57" t="inlineStr">
        <is>
          <t>BT_WT_CROSS_LADDER_FILTER_TF</t>
        </is>
      </c>
      <c r="C21" s="49" t="inlineStr">
        <is>
          <t>15m</t>
        </is>
      </c>
      <c r="D21" s="56" t="inlineStr">
        <is>
          <t>WT cross ladder confirmation on FILTER_TF. | Live read: `_EXHAUSTIVE_FILTER_LIST_LIVE = ['ADAPTIVE_REGIME_DC_BREAKDOWN_THRESHOLD', 'ADAPT`</t>
        </is>
      </c>
      <c r="E21" s="56" t="inlineStr">
        <is>
          <t>GLOBAL_CHECK</t>
        </is>
      </c>
      <c r="F21" s="54" t="inlineStr">
        <is>
          <t>GLOBAL_CHECK</t>
        </is>
      </c>
      <c r="G21" s="56" t="inlineStr">
        <is>
          <t>BT_WT_CROSS_LADDER</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BT_WT_CROSS_LADDER_FILTER_TF</t>
        </is>
      </c>
      <c r="P21" s="51" t="inlineStr">
        <is>
          <t>getattr(cfg,"BT_WT_CROSS_LADDER_FILTER_TF")</t>
        </is>
      </c>
      <c r="Q21" s="35" t="inlineStr">
        <is>
          <t>YES</t>
        </is>
      </c>
    </row>
    <row r="22" ht="15.75" customHeight="1" s="67">
      <c r="A22" s="54" t="n">
        <v>20</v>
      </c>
      <c r="B22" s="55" t="inlineStr">
        <is>
          <t>DC_BREACH_REDUCE_FILTER_TF</t>
        </is>
      </c>
      <c r="C22" s="53" t="inlineStr">
        <is>
          <t>D</t>
        </is>
      </c>
      <c r="D22" s="56" t="inlineStr">
        <is>
          <t>Reduce: when DC channel is breached against position, requires FILTER_TF confirm before partial reduce. | Live read: `_EXHAUSTIVE_REDUCE_LIST_LIVE = ['DC_BREACH_REDUCE_ENABLED', 'DC_BREACH_REDUCE_FI`</t>
        </is>
      </c>
      <c r="E22" s="56" t="inlineStr">
        <is>
          <t>GLOBAL_CHECK</t>
        </is>
      </c>
      <c r="F22" s="54" t="inlineStr">
        <is>
          <t>GLOBAL_CHECK</t>
        </is>
      </c>
      <c r="G22" s="56" t="inlineStr">
        <is>
          <t>DC breach reduce</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DC_BREACH_REDUCE_FILTER_TF</t>
        </is>
      </c>
      <c r="P22" s="51" t="inlineStr">
        <is>
          <t>getattr(cfg,"DC_BREACH_REDUCE_FILTER_TF")</t>
        </is>
      </c>
      <c r="Q22" s="35" t="inlineStr">
        <is>
          <t>NO</t>
        </is>
      </c>
    </row>
    <row r="23" ht="15.75" customHeight="1" s="67">
      <c r="A23" s="54" t="n">
        <v>20</v>
      </c>
      <c r="B23" s="55" t="inlineStr">
        <is>
          <t>DC_BREACH_REDUCE_FILTER_TF</t>
        </is>
      </c>
      <c r="C23" s="53" t="inlineStr">
        <is>
          <t>4h</t>
        </is>
      </c>
      <c r="D23" s="56" t="inlineStr">
        <is>
          <t>Reduce: when DC channel is breached against position, requires FILTER_TF confirm before partial reduce. | Live read: `_EXHAUSTIVE_REDUCE_LIST_LIVE = ['DC_BREACH_REDUCE_ENABLED', 'DC_BREACH_REDUCE_FI`</t>
        </is>
      </c>
      <c r="E23" s="56" t="inlineStr">
        <is>
          <t>GLOBAL_CHECK</t>
        </is>
      </c>
      <c r="F23" s="54" t="inlineStr">
        <is>
          <t>GLOBAL_CHECK</t>
        </is>
      </c>
      <c r="G23" s="56" t="inlineStr">
        <is>
          <t>DC breach reduce</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DC_BREACH_REDUCE_FILTER_TF</t>
        </is>
      </c>
      <c r="P23" s="51" t="inlineStr">
        <is>
          <t>getattr(cfg,"DC_BREACH_REDUCE_FILTER_TF")</t>
        </is>
      </c>
      <c r="Q23" s="35" t="inlineStr">
        <is>
          <t>NO</t>
        </is>
      </c>
    </row>
    <row r="24" ht="15.75" customHeight="1" s="67">
      <c r="A24" s="54" t="n">
        <v>20</v>
      </c>
      <c r="B24" s="55" t="inlineStr">
        <is>
          <t>DC_BREACH_REDUCE_FILTER_TF</t>
        </is>
      </c>
      <c r="C24" s="53" t="inlineStr">
        <is>
          <t>1h</t>
        </is>
      </c>
      <c r="D24" s="56" t="inlineStr">
        <is>
          <t>Reduce: when DC channel is breached against position, requires FILTER_TF confirm before partial reduce. | Live read: `_EXHAUSTIVE_REDUCE_LIST_LIVE = ['DC_BREACH_REDUCE_ENABLED', 'DC_BREACH_REDUCE_FI`</t>
        </is>
      </c>
      <c r="E24" s="56" t="inlineStr">
        <is>
          <t>GLOBAL_CHECK</t>
        </is>
      </c>
      <c r="F24" s="54" t="inlineStr">
        <is>
          <t>GLOBAL_CHECK</t>
        </is>
      </c>
      <c r="G24" s="56" t="inlineStr">
        <is>
          <t>DC breach reduce</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DC_BREACH_REDUCE_FILTER_TF</t>
        </is>
      </c>
      <c r="P24" s="51" t="inlineStr">
        <is>
          <t>getattr(cfg,"DC_BREACH_REDUCE_FILTER_TF")</t>
        </is>
      </c>
      <c r="Q24" s="35" t="inlineStr">
        <is>
          <t>NO</t>
        </is>
      </c>
    </row>
    <row r="25" ht="15.75" customHeight="1" s="67">
      <c r="A25" s="54" t="n">
        <v>20</v>
      </c>
      <c r="B25" s="57" t="inlineStr">
        <is>
          <t>DC_BREACH_REDUCE_FILTER_TF</t>
        </is>
      </c>
      <c r="C25" s="49" t="inlineStr">
        <is>
          <t>15m</t>
        </is>
      </c>
      <c r="D25" s="56" t="inlineStr">
        <is>
          <t>Reduce: when DC channel is breached against position, requires FILTER_TF confirm before partial reduce. | Live read: `_EXHAUSTIVE_REDUCE_LIST_LIVE = ['DC_BREACH_REDUCE_ENABLED', 'DC_BREACH_REDUCE_FI`</t>
        </is>
      </c>
      <c r="E25" s="56" t="inlineStr">
        <is>
          <t>GLOBAL_CHECK</t>
        </is>
      </c>
      <c r="F25" s="54" t="inlineStr">
        <is>
          <t>GLOBAL_CHECK</t>
        </is>
      </c>
      <c r="G25" s="56" t="inlineStr">
        <is>
          <t>DC breach reduce</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DC_BREACH_REDUCE_FILTER_TF</t>
        </is>
      </c>
      <c r="P25" s="51" t="inlineStr">
        <is>
          <t>getattr(cfg,"DC_BREACH_REDUCE_FILTER_TF")</t>
        </is>
      </c>
      <c r="Q25" s="35" t="inlineStr">
        <is>
          <t>YES</t>
        </is>
      </c>
    </row>
    <row r="26" ht="15.75" customHeight="1" s="67">
      <c r="A26" s="54" t="n">
        <v>21</v>
      </c>
      <c r="B26" s="55" t="inlineStr">
        <is>
          <t>DC_BREAK_FILTER_TF</t>
        </is>
      </c>
      <c r="C26" s="53" t="inlineStr">
        <is>
          <t>OFF</t>
        </is>
      </c>
      <c r="D26" s="56" t="inlineStr">
        <is>
          <t>Donchian break confirmation on FILTER_TF before breakout entry. | Live read: `RY_REENTRY_K15_HIGH_SIZE_FRAC', 'OBLIGATORY_REENTRY_LONG_ENABLED', 'OBLIGATORY_R`</t>
        </is>
      </c>
      <c r="E26" s="56" t="inlineStr">
        <is>
          <t>ENTRY, GLOBAL_CHECK, REENTRY, STOCKS_EXIT</t>
        </is>
      </c>
      <c r="F26" s="54" t="inlineStr">
        <is>
          <t>ENTRY, GLOBAL_CHECK, REENTRY, STOCKS_EXIT</t>
        </is>
      </c>
      <c r="G26" s="56" t="inlineStr">
        <is>
          <t>Donchian breakout</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DC_BREAK_FILTER_TF</t>
        </is>
      </c>
      <c r="P26" s="51" t="inlineStr">
        <is>
          <t>getattr(cfg,"DC_BREAK_FILTER_TF")</t>
        </is>
      </c>
      <c r="Q26" s="35" t="inlineStr">
        <is>
          <t>NO</t>
        </is>
      </c>
    </row>
    <row r="27" ht="15.75" customHeight="1" s="67">
      <c r="A27" s="54" t="n">
        <v>21</v>
      </c>
      <c r="B27" s="55" t="inlineStr">
        <is>
          <t>DC_BREAK_FILTER_TF</t>
        </is>
      </c>
      <c r="C27" s="53" t="inlineStr">
        <is>
          <t>D</t>
        </is>
      </c>
      <c r="D27" s="56" t="inlineStr">
        <is>
          <t>Donchian break confirmation on FILTER_TF before breakout entry. | Live read: `RY_REENTRY_K15_HIGH_SIZE_FRAC', 'OBLIGATORY_REENTRY_LONG_ENABLED', 'OBLIGATORY_R`</t>
        </is>
      </c>
      <c r="E27" s="56" t="inlineStr">
        <is>
          <t>ENTRY, GLOBAL_CHECK, REENTRY, STOCKS_EXIT</t>
        </is>
      </c>
      <c r="F27" s="54" t="inlineStr">
        <is>
          <t>ENTRY, GLOBAL_CHECK, REENTRY, STOCKS_EXIT</t>
        </is>
      </c>
      <c r="G27" s="56" t="inlineStr">
        <is>
          <t>Donchian breakout</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DC_BREAK_FILTER_TF</t>
        </is>
      </c>
      <c r="P27" s="51" t="inlineStr">
        <is>
          <t>getattr(cfg,"DC_BREAK_FILTER_TF")</t>
        </is>
      </c>
      <c r="Q27" s="35" t="inlineStr">
        <is>
          <t>NO</t>
        </is>
      </c>
    </row>
    <row r="28" ht="15.75" customHeight="1" s="67">
      <c r="A28" s="54" t="n">
        <v>21</v>
      </c>
      <c r="B28" s="55" t="inlineStr">
        <is>
          <t>DC_BREAK_FILTER_TF</t>
        </is>
      </c>
      <c r="C28" s="53" t="inlineStr">
        <is>
          <t>4h</t>
        </is>
      </c>
      <c r="D28" s="56" t="inlineStr">
        <is>
          <t>Donchian break confirmation on FILTER_TF before breakout entry. | Live read: `RY_REENTRY_K15_HIGH_SIZE_FRAC', 'OBLIGATORY_REENTRY_LONG_ENABLED', 'OBLIGATORY_R`</t>
        </is>
      </c>
      <c r="E28" s="56" t="inlineStr">
        <is>
          <t>ENTRY, GLOBAL_CHECK, REENTRY, STOCKS_EXIT</t>
        </is>
      </c>
      <c r="F28" s="54" t="inlineStr">
        <is>
          <t>ENTRY, GLOBAL_CHECK, REENTRY, STOCKS_EXIT</t>
        </is>
      </c>
      <c r="G28" s="56" t="inlineStr">
        <is>
          <t>Donchian breakout</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DC_BREAK_FILTER_TF</t>
        </is>
      </c>
      <c r="P28" s="51" t="inlineStr">
        <is>
          <t>getattr(cfg,"DC_BREAK_FILTER_TF")</t>
        </is>
      </c>
      <c r="Q28" s="35" t="inlineStr">
        <is>
          <t>NO</t>
        </is>
      </c>
    </row>
    <row r="29" ht="15.75" customHeight="1" s="67">
      <c r="A29" s="54" t="n">
        <v>21</v>
      </c>
      <c r="B29" s="55" t="inlineStr">
        <is>
          <t>DC_BREAK_FILTER_TF</t>
        </is>
      </c>
      <c r="C29" s="53" t="inlineStr">
        <is>
          <t>1h</t>
        </is>
      </c>
      <c r="D29" s="56" t="inlineStr">
        <is>
          <t>Donchian break confirmation on FILTER_TF before breakout entry. | Live read: `RY_REENTRY_K15_HIGH_SIZE_FRAC', 'OBLIGATORY_REENTRY_LONG_ENABLED', 'OBLIGATORY_R`</t>
        </is>
      </c>
      <c r="E29" s="56" t="inlineStr">
        <is>
          <t>ENTRY, GLOBAL_CHECK, REENTRY, STOCKS_EXIT</t>
        </is>
      </c>
      <c r="F29" s="54" t="inlineStr">
        <is>
          <t>ENTRY, GLOBAL_CHECK, REENTRY, STOCKS_EXIT</t>
        </is>
      </c>
      <c r="G29" s="56" t="inlineStr">
        <is>
          <t>Donchian breakout</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DC_BREAK_FILTER_TF</t>
        </is>
      </c>
      <c r="P29" s="51" t="inlineStr">
        <is>
          <t>getattr(cfg,"DC_BREAK_FILTER_TF")</t>
        </is>
      </c>
      <c r="Q29" s="35" t="inlineStr">
        <is>
          <t>NO</t>
        </is>
      </c>
    </row>
    <row r="30" ht="15.75" customHeight="1" s="67">
      <c r="A30" s="54" t="n">
        <v>21</v>
      </c>
      <c r="B30" s="57" t="inlineStr">
        <is>
          <t>DC_BREAK_FILTER_TF</t>
        </is>
      </c>
      <c r="C30" s="49" t="inlineStr">
        <is>
          <t>15m</t>
        </is>
      </c>
      <c r="D30" s="56" t="inlineStr">
        <is>
          <t>Donchian break confirmation on FILTER_TF before breakout entry. | Live read: `RY_REENTRY_K15_HIGH_SIZE_FRAC', 'OBLIGATORY_REENTRY_LONG_ENABLED', 'OBLIGATORY_R`</t>
        </is>
      </c>
      <c r="E30" s="56" t="inlineStr">
        <is>
          <t>ENTRY, GLOBAL_CHECK, REENTRY, STOCKS_EXIT</t>
        </is>
      </c>
      <c r="F30" s="54" t="inlineStr">
        <is>
          <t>ENTRY, GLOBAL_CHECK, REENTRY, STOCKS_EXIT</t>
        </is>
      </c>
      <c r="G30" s="56" t="inlineStr">
        <is>
          <t>Donchian breakout</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DC_BREAK_FILTER_TF</t>
        </is>
      </c>
      <c r="P30" s="51" t="inlineStr">
        <is>
          <t>getattr(cfg,"DC_BREAK_FILTER_TF")</t>
        </is>
      </c>
      <c r="Q30" s="35" t="inlineStr">
        <is>
          <t>YES</t>
        </is>
      </c>
    </row>
    <row r="31" ht="15.75" customHeight="1" s="67">
      <c r="A31" s="54" t="n">
        <v>22</v>
      </c>
      <c r="B31" s="55" t="inlineStr">
        <is>
          <t>DC_MOMENTUM_BOTA_SCORER_FILTER_TF</t>
        </is>
      </c>
      <c r="C31" s="53" t="inlineStr">
        <is>
          <t>OFF</t>
        </is>
      </c>
      <c r="D31" s="56" t="inlineStr">
        <is>
          <t>BOTA momentum scorer confirmation on FILTER_TF. | Live read: `APTIVE_REGIME_SHARPE_FLOOR', 'BAND_ARROW_ENABLED', 'BAR_PATTERNS_FILTER_TF', 'BB`</t>
        </is>
      </c>
      <c r="E31" s="56" t="inlineStr">
        <is>
          <t>GLOBAL_CHECK</t>
        </is>
      </c>
      <c r="F31" s="54" t="inlineStr">
        <is>
          <t>GLOBAL_CHECK</t>
        </is>
      </c>
      <c r="G31" s="56" t="inlineStr">
        <is>
          <t>DC_MOMENTUM_BOTA_SCORER</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DC_MOMENTUM_BOTA_SCORER_FILTER_TF</t>
        </is>
      </c>
      <c r="P31" s="51" t="inlineStr">
        <is>
          <t>getattr(cfg,"DC_MOMENTUM_BOTA_SCORER_FILTER_TF")</t>
        </is>
      </c>
      <c r="Q31" s="35" t="inlineStr">
        <is>
          <t>NO</t>
        </is>
      </c>
    </row>
    <row r="32" ht="15.75" customHeight="1" s="67">
      <c r="A32" s="54" t="n">
        <v>22</v>
      </c>
      <c r="B32" s="55" t="inlineStr">
        <is>
          <t>DC_MOMENTUM_BOTA_SCORER_FILTER_TF</t>
        </is>
      </c>
      <c r="C32" s="53" t="inlineStr">
        <is>
          <t>D</t>
        </is>
      </c>
      <c r="D32" s="56" t="inlineStr">
        <is>
          <t>BOTA momentum scorer confirmation on FILTER_TF. | Live read: `APTIVE_REGIME_SHARPE_FLOOR', 'BAND_ARROW_ENABLED', 'BAR_PATTERNS_FILTER_TF', 'BB`</t>
        </is>
      </c>
      <c r="E32" s="56" t="inlineStr">
        <is>
          <t>GLOBAL_CHECK</t>
        </is>
      </c>
      <c r="F32" s="54" t="inlineStr">
        <is>
          <t>GLOBAL_CHECK</t>
        </is>
      </c>
      <c r="G32" s="56" t="inlineStr">
        <is>
          <t>DC_MOMENTUM_BOTA_SCORER</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DC_MOMENTUM_BOTA_SCORER_FILTER_TF</t>
        </is>
      </c>
      <c r="P32" s="51" t="inlineStr">
        <is>
          <t>getattr(cfg,"DC_MOMENTUM_BOTA_SCORER_FILTER_TF")</t>
        </is>
      </c>
      <c r="Q32" s="35" t="inlineStr">
        <is>
          <t>NO</t>
        </is>
      </c>
    </row>
    <row r="33" ht="15.75" customHeight="1" s="67">
      <c r="A33" s="54" t="n">
        <v>22</v>
      </c>
      <c r="B33" s="55" t="inlineStr">
        <is>
          <t>DC_MOMENTUM_BOTA_SCORER_FILTER_TF</t>
        </is>
      </c>
      <c r="C33" s="53" t="inlineStr">
        <is>
          <t>4h</t>
        </is>
      </c>
      <c r="D33" s="56" t="inlineStr">
        <is>
          <t>BOTA momentum scorer confirmation on FILTER_TF. | Live read: `APTIVE_REGIME_SHARPE_FLOOR', 'BAND_ARROW_ENABLED', 'BAR_PATTERNS_FILTER_TF', 'BB`</t>
        </is>
      </c>
      <c r="E33" s="56" t="inlineStr">
        <is>
          <t>GLOBAL_CHECK</t>
        </is>
      </c>
      <c r="F33" s="54" t="inlineStr">
        <is>
          <t>GLOBAL_CHECK</t>
        </is>
      </c>
      <c r="G33" s="56" t="inlineStr">
        <is>
          <t>DC_MOMENTUM_BOTA_SCORER</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DC_MOMENTUM_BOTA_SCORER_FILTER_TF</t>
        </is>
      </c>
      <c r="P33" s="51" t="inlineStr">
        <is>
          <t>getattr(cfg,"DC_MOMENTUM_BOTA_SCORER_FILTER_TF")</t>
        </is>
      </c>
      <c r="Q33" s="35" t="inlineStr">
        <is>
          <t>NO</t>
        </is>
      </c>
    </row>
    <row r="34" ht="15.75" customHeight="1" s="67">
      <c r="A34" s="54" t="n">
        <v>22</v>
      </c>
      <c r="B34" s="55" t="inlineStr">
        <is>
          <t>DC_MOMENTUM_BOTA_SCORER_FILTER_TF</t>
        </is>
      </c>
      <c r="C34" s="53" t="inlineStr">
        <is>
          <t>1h</t>
        </is>
      </c>
      <c r="D34" s="56" t="inlineStr">
        <is>
          <t>BOTA momentum scorer confirmation on FILTER_TF. | Live read: `APTIVE_REGIME_SHARPE_FLOOR', 'BAND_ARROW_ENABLED', 'BAR_PATTERNS_FILTER_TF', 'BB`</t>
        </is>
      </c>
      <c r="E34" s="56" t="inlineStr">
        <is>
          <t>GLOBAL_CHECK</t>
        </is>
      </c>
      <c r="F34" s="54" t="inlineStr">
        <is>
          <t>GLOBAL_CHECK</t>
        </is>
      </c>
      <c r="G34" s="56" t="inlineStr">
        <is>
          <t>DC_MOMENTUM_BOTA_SCORER</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DC_MOMENTUM_BOTA_SCORER_FILTER_TF</t>
        </is>
      </c>
      <c r="P34" s="51" t="inlineStr">
        <is>
          <t>getattr(cfg,"DC_MOMENTUM_BOTA_SCORER_FILTER_TF")</t>
        </is>
      </c>
      <c r="Q34" s="35" t="inlineStr">
        <is>
          <t>NO</t>
        </is>
      </c>
    </row>
    <row r="35" ht="15.75" customHeight="1" s="67">
      <c r="A35" s="54" t="n">
        <v>22</v>
      </c>
      <c r="B35" s="57" t="inlineStr">
        <is>
          <t>DC_MOMENTUM_BOTA_SCORER_FILTER_TF</t>
        </is>
      </c>
      <c r="C35" s="49" t="inlineStr">
        <is>
          <t>15m</t>
        </is>
      </c>
      <c r="D35" s="56" t="inlineStr">
        <is>
          <t>BOTA momentum scorer confirmation on FILTER_TF. | Live read: `APTIVE_REGIME_SHARPE_FLOOR', 'BAND_ARROW_ENABLED', 'BAR_PATTERNS_FILTER_TF', 'BB`</t>
        </is>
      </c>
      <c r="E35" s="56" t="inlineStr">
        <is>
          <t>GLOBAL_CHECK</t>
        </is>
      </c>
      <c r="F35" s="54" t="inlineStr">
        <is>
          <t>GLOBAL_CHECK</t>
        </is>
      </c>
      <c r="G35" s="56" t="inlineStr">
        <is>
          <t>DC_MOMENTUM_BOTA_SCORER</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DC_MOMENTUM_BOTA_SCORER_FILTER_TF</t>
        </is>
      </c>
      <c r="P35" s="51" t="inlineStr">
        <is>
          <t>getattr(cfg,"DC_MOMENTUM_BOTA_SCORER_FILTER_TF")</t>
        </is>
      </c>
      <c r="Q35" s="35" t="inlineStr">
        <is>
          <t>YES</t>
        </is>
      </c>
    </row>
    <row r="36" ht="15.75" customHeight="1" s="67">
      <c r="A36" s="54" t="n">
        <v>24</v>
      </c>
      <c r="B36" s="55" t="inlineStr">
        <is>
          <t>DELTA_ENGINE_FILTER_TF</t>
        </is>
      </c>
      <c r="C36" s="53" t="inlineStr">
        <is>
          <t>OFF</t>
        </is>
      </c>
      <c r="D36" s="56" t="inlineStr">
        <is>
          <t>Delta (order-flow) engine confirmation TF. | Live read: `LTER_TF', 'BB_PULLBACK_GATE_FILTER_TF', 'BB_PULLBACK_GATE_MIN_TFS', 'BB_RECOVERY`</t>
        </is>
      </c>
      <c r="E36" s="56" t="inlineStr">
        <is>
          <t>GLOBAL_CHECK</t>
        </is>
      </c>
      <c r="F36" s="54" t="inlineStr">
        <is>
          <t>GLOBAL_CHECK</t>
        </is>
      </c>
      <c r="G36" s="56" t="inlineStr">
        <is>
          <t>DELTA_ENGINE</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DELTA_ENGINE_FILTER_TF</t>
        </is>
      </c>
      <c r="P36" s="51" t="inlineStr">
        <is>
          <t>getattr(cfg,"DELTA_ENGINE_FILTER_TF")</t>
        </is>
      </c>
      <c r="Q36" s="35" t="inlineStr">
        <is>
          <t>NO</t>
        </is>
      </c>
    </row>
    <row r="37" ht="15.75" customHeight="1" s="67">
      <c r="A37" s="54" t="n">
        <v>24</v>
      </c>
      <c r="B37" s="55" t="inlineStr">
        <is>
          <t>DELTA_ENGINE_FILTER_TF</t>
        </is>
      </c>
      <c r="C37" s="53" t="inlineStr">
        <is>
          <t>D</t>
        </is>
      </c>
      <c r="D37" s="56" t="inlineStr">
        <is>
          <t>Delta (order-flow) engine confirmation TF. | Live read: `LTER_TF', 'BB_PULLBACK_GATE_FILTER_TF', 'BB_PULLBACK_GATE_MIN_TFS', 'BB_RECOVERY`</t>
        </is>
      </c>
      <c r="E37" s="56" t="inlineStr">
        <is>
          <t>GLOBAL_CHECK</t>
        </is>
      </c>
      <c r="F37" s="54" t="inlineStr">
        <is>
          <t>GLOBAL_CHECK</t>
        </is>
      </c>
      <c r="G37" s="56" t="inlineStr">
        <is>
          <t>DELTA_ENGINE</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DELTA_ENGINE_FILTER_TF</t>
        </is>
      </c>
      <c r="P37" s="51" t="inlineStr">
        <is>
          <t>getattr(cfg,"DELTA_ENGINE_FILTER_TF")</t>
        </is>
      </c>
      <c r="Q37" s="35" t="inlineStr">
        <is>
          <t>NO</t>
        </is>
      </c>
    </row>
    <row r="38" ht="15.75" customHeight="1" s="67">
      <c r="A38" s="54" t="n">
        <v>24</v>
      </c>
      <c r="B38" s="55" t="inlineStr">
        <is>
          <t>DELTA_ENGINE_FILTER_TF</t>
        </is>
      </c>
      <c r="C38" s="53" t="inlineStr">
        <is>
          <t>4h</t>
        </is>
      </c>
      <c r="D38" s="56" t="inlineStr">
        <is>
          <t>Delta (order-flow) engine confirmation TF. | Live read: `LTER_TF', 'BB_PULLBACK_GATE_FILTER_TF', 'BB_PULLBACK_GATE_MIN_TFS', 'BB_RECOVERY`</t>
        </is>
      </c>
      <c r="E38" s="56" t="inlineStr">
        <is>
          <t>GLOBAL_CHECK</t>
        </is>
      </c>
      <c r="F38" s="54" t="inlineStr">
        <is>
          <t>GLOBAL_CHECK</t>
        </is>
      </c>
      <c r="G38" s="56" t="inlineStr">
        <is>
          <t>DELTA_ENGINE</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DELTA_ENGINE_FILTER_TF</t>
        </is>
      </c>
      <c r="P38" s="51" t="inlineStr">
        <is>
          <t>getattr(cfg,"DELTA_ENGINE_FILTER_TF")</t>
        </is>
      </c>
      <c r="Q38" s="35" t="inlineStr">
        <is>
          <t>NO</t>
        </is>
      </c>
    </row>
    <row r="39" ht="15.75" customHeight="1" s="67">
      <c r="A39" s="54" t="n">
        <v>24</v>
      </c>
      <c r="B39" s="55" t="inlineStr">
        <is>
          <t>DELTA_ENGINE_FILTER_TF</t>
        </is>
      </c>
      <c r="C39" s="53" t="inlineStr">
        <is>
          <t>1h</t>
        </is>
      </c>
      <c r="D39" s="56" t="inlineStr">
        <is>
          <t>Delta (order-flow) engine confirmation TF. | Live read: `LTER_TF', 'BB_PULLBACK_GATE_FILTER_TF', 'BB_PULLBACK_GATE_MIN_TFS', 'BB_RECOVERY`</t>
        </is>
      </c>
      <c r="E39" s="56" t="inlineStr">
        <is>
          <t>GLOBAL_CHECK</t>
        </is>
      </c>
      <c r="F39" s="54" t="inlineStr">
        <is>
          <t>GLOBAL_CHECK</t>
        </is>
      </c>
      <c r="G39" s="56" t="inlineStr">
        <is>
          <t>DELTA_ENGINE</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DELTA_ENGINE_FILTER_TF</t>
        </is>
      </c>
      <c r="P39" s="51" t="inlineStr">
        <is>
          <t>getattr(cfg,"DELTA_ENGINE_FILTER_TF")</t>
        </is>
      </c>
      <c r="Q39" s="35" t="inlineStr">
        <is>
          <t>NO</t>
        </is>
      </c>
    </row>
    <row r="40" ht="15.75" customHeight="1" s="67">
      <c r="A40" s="54" t="n">
        <v>24</v>
      </c>
      <c r="B40" s="57" t="inlineStr">
        <is>
          <t>DELTA_ENGINE_FILTER_TF</t>
        </is>
      </c>
      <c r="C40" s="49" t="inlineStr">
        <is>
          <t>15m</t>
        </is>
      </c>
      <c r="D40" s="56" t="inlineStr">
        <is>
          <t>Delta (order-flow) engine confirmation TF. | Live read: `LTER_TF', 'BB_PULLBACK_GATE_FILTER_TF', 'BB_PULLBACK_GATE_MIN_TFS', 'BB_RECOVERY`</t>
        </is>
      </c>
      <c r="E40" s="56" t="inlineStr">
        <is>
          <t>GLOBAL_CHECK</t>
        </is>
      </c>
      <c r="F40" s="54" t="inlineStr">
        <is>
          <t>GLOBAL_CHECK</t>
        </is>
      </c>
      <c r="G40" s="56" t="inlineStr">
        <is>
          <t>DELTA_ENGINE</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DELTA_ENGINE_FILTER_TF</t>
        </is>
      </c>
      <c r="P40" s="51" t="inlineStr">
        <is>
          <t>getattr(cfg,"DELTA_ENGINE_FILTER_TF")</t>
        </is>
      </c>
      <c r="Q40" s="35" t="inlineStr">
        <is>
          <t>YES</t>
        </is>
      </c>
    </row>
    <row r="41" ht="15.75" customHeight="1" s="67">
      <c r="A41" s="54" t="n">
        <v>29</v>
      </c>
      <c r="B41" s="55" t="inlineStr">
        <is>
          <t>EMA_9_21_FILTER_FILTER_TF</t>
        </is>
      </c>
      <c r="C41" s="53" t="inlineStr">
        <is>
          <t>OFF</t>
        </is>
      </c>
      <c r="D41" s="56" t="inlineStr">
        <is>
          <t>EMA 9/21 cross filter on FILTER_TF. | Live read: `NFIRM_BARS', 'BTC_HARD_BLOCK_OTHER_ACCOUNTS', 'BTC_REGIME_PAUSE_ENABLED', 'BTC_R`</t>
        </is>
      </c>
      <c r="E41" s="56" t="inlineStr">
        <is>
          <t>GLOBAL_CHECK</t>
        </is>
      </c>
      <c r="F41" s="54" t="inlineStr">
        <is>
          <t>GLOBAL_CHECK</t>
        </is>
      </c>
      <c r="G41" s="56" t="inlineStr">
        <is>
          <t>EMA_9_21_FILTER</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EMA_9_21_FILTER_FILTER_TF</t>
        </is>
      </c>
      <c r="P41" s="51" t="inlineStr">
        <is>
          <t>getattr(cfg,"EMA_9_21_FILTER_FILTER_TF")</t>
        </is>
      </c>
      <c r="Q41" s="35" t="inlineStr">
        <is>
          <t>NO</t>
        </is>
      </c>
    </row>
    <row r="42" ht="15.75" customHeight="1" s="67">
      <c r="A42" s="54" t="n">
        <v>29</v>
      </c>
      <c r="B42" s="55" t="inlineStr">
        <is>
          <t>EMA_9_21_FILTER_FILTER_TF</t>
        </is>
      </c>
      <c r="C42" s="53" t="inlineStr">
        <is>
          <t>D</t>
        </is>
      </c>
      <c r="D42" s="56" t="inlineStr">
        <is>
          <t>EMA 9/21 cross filter on FILTER_TF. | Live read: `NFIRM_BARS', 'BTC_HARD_BLOCK_OTHER_ACCOUNTS', 'BTC_REGIME_PAUSE_ENABLED', 'BTC_R`</t>
        </is>
      </c>
      <c r="E42" s="56" t="inlineStr">
        <is>
          <t>GLOBAL_CHECK</t>
        </is>
      </c>
      <c r="F42" s="54" t="inlineStr">
        <is>
          <t>GLOBAL_CHECK</t>
        </is>
      </c>
      <c r="G42" s="56" t="inlineStr">
        <is>
          <t>EMA_9_21_FILTER</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EMA_9_21_FILTER_FILTER_TF</t>
        </is>
      </c>
      <c r="P42" s="51" t="inlineStr">
        <is>
          <t>getattr(cfg,"EMA_9_21_FILTER_FILTER_TF")</t>
        </is>
      </c>
      <c r="Q42" s="35" t="inlineStr">
        <is>
          <t>NO</t>
        </is>
      </c>
    </row>
    <row r="43" ht="15.75" customHeight="1" s="67">
      <c r="A43" s="54" t="n">
        <v>29</v>
      </c>
      <c r="B43" s="55" t="inlineStr">
        <is>
          <t>EMA_9_21_FILTER_FILTER_TF</t>
        </is>
      </c>
      <c r="C43" s="53" t="inlineStr">
        <is>
          <t>4h</t>
        </is>
      </c>
      <c r="D43" s="56" t="inlineStr">
        <is>
          <t>EMA 9/21 cross filter on FILTER_TF. | Live read: `NFIRM_BARS', 'BTC_HARD_BLOCK_OTHER_ACCOUNTS', 'BTC_REGIME_PAUSE_ENABLED', 'BTC_R`</t>
        </is>
      </c>
      <c r="E43" s="56" t="inlineStr">
        <is>
          <t>GLOBAL_CHECK</t>
        </is>
      </c>
      <c r="F43" s="54" t="inlineStr">
        <is>
          <t>GLOBAL_CHECK</t>
        </is>
      </c>
      <c r="G43" s="56" t="inlineStr">
        <is>
          <t>EMA_9_21_FILTER</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EMA_9_21_FILTER_FILTER_TF</t>
        </is>
      </c>
      <c r="P43" s="51" t="inlineStr">
        <is>
          <t>getattr(cfg,"EMA_9_21_FILTER_FILTER_TF")</t>
        </is>
      </c>
      <c r="Q43" s="35" t="inlineStr">
        <is>
          <t>NO</t>
        </is>
      </c>
    </row>
    <row r="44" ht="15.75" customHeight="1" s="67">
      <c r="A44" s="54" t="n">
        <v>29</v>
      </c>
      <c r="B44" s="55" t="inlineStr">
        <is>
          <t>EMA_9_21_FILTER_FILTER_TF</t>
        </is>
      </c>
      <c r="C44" s="53" t="inlineStr">
        <is>
          <t>1h</t>
        </is>
      </c>
      <c r="D44" s="56" t="inlineStr">
        <is>
          <t>EMA 9/21 cross filter on FILTER_TF. | Live read: `NFIRM_BARS', 'BTC_HARD_BLOCK_OTHER_ACCOUNTS', 'BTC_REGIME_PAUSE_ENABLED', 'BTC_R`</t>
        </is>
      </c>
      <c r="E44" s="56" t="inlineStr">
        <is>
          <t>GLOBAL_CHECK</t>
        </is>
      </c>
      <c r="F44" s="54" t="inlineStr">
        <is>
          <t>GLOBAL_CHECK</t>
        </is>
      </c>
      <c r="G44" s="56" t="inlineStr">
        <is>
          <t>EMA_9_21_FILTER</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EMA_9_21_FILTER_FILTER_TF</t>
        </is>
      </c>
      <c r="P44" s="51" t="inlineStr">
        <is>
          <t>getattr(cfg,"EMA_9_21_FILTER_FILTER_TF")</t>
        </is>
      </c>
      <c r="Q44" s="35" t="inlineStr">
        <is>
          <t>NO</t>
        </is>
      </c>
    </row>
    <row r="45" ht="15.75" customHeight="1" s="67">
      <c r="A45" s="54" t="n">
        <v>29</v>
      </c>
      <c r="B45" s="57" t="inlineStr">
        <is>
          <t>EMA_9_21_FILTER_FILTER_TF</t>
        </is>
      </c>
      <c r="C45" s="49" t="inlineStr">
        <is>
          <t>15m</t>
        </is>
      </c>
      <c r="D45" s="56" t="inlineStr">
        <is>
          <t>EMA 9/21 cross filter on FILTER_TF. | Live read: `NFIRM_BARS', 'BTC_HARD_BLOCK_OTHER_ACCOUNTS', 'BTC_REGIME_PAUSE_ENABLED', 'BTC_R`</t>
        </is>
      </c>
      <c r="E45" s="56" t="inlineStr">
        <is>
          <t>GLOBAL_CHECK</t>
        </is>
      </c>
      <c r="F45" s="54" t="inlineStr">
        <is>
          <t>GLOBAL_CHECK</t>
        </is>
      </c>
      <c r="G45" s="56" t="inlineStr">
        <is>
          <t>EMA_9_21_FILTER</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EMA_9_21_FILTER_FILTER_TF</t>
        </is>
      </c>
      <c r="P45" s="51" t="inlineStr">
        <is>
          <t>getattr(cfg,"EMA_9_21_FILTER_FILTER_TF")</t>
        </is>
      </c>
      <c r="Q45" s="35" t="inlineStr">
        <is>
          <t>YES</t>
        </is>
      </c>
    </row>
    <row r="46" ht="15.75" customHeight="1" s="67">
      <c r="A46" s="54" t="n">
        <v>32</v>
      </c>
      <c r="B46" s="55" t="inlineStr">
        <is>
          <t>EMA_BLANKET_FILTER_FILTER_TF</t>
        </is>
      </c>
      <c r="C46" s="53" t="inlineStr">
        <is>
          <t>OFF</t>
        </is>
      </c>
      <c r="D46"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6" s="56" t="inlineStr">
        <is>
          <t>GLOBAL_CHECK</t>
        </is>
      </c>
      <c r="F46" s="54" t="inlineStr">
        <is>
          <t>GLOBAL_CHECK</t>
        </is>
      </c>
      <c r="G46" s="56" t="inlineStr">
        <is>
          <t>EMA_BLANKET_FILTER</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EMA_BLANKET_FILTER_FILTER_TF</t>
        </is>
      </c>
      <c r="P46" s="51" t="inlineStr">
        <is>
          <t>getattr(cfg,"EMA_BLANKET_FILTER_FILTER_TF")</t>
        </is>
      </c>
      <c r="Q46" s="35" t="inlineStr">
        <is>
          <t>NO</t>
        </is>
      </c>
    </row>
    <row r="47" ht="15.75" customHeight="1" s="67">
      <c r="A47" s="54" t="n">
        <v>32</v>
      </c>
      <c r="B47" s="55" t="inlineStr">
        <is>
          <t>EMA_BLANKET_FILTER_FILTER_TF</t>
        </is>
      </c>
      <c r="C47" s="53" t="inlineStr">
        <is>
          <t>D</t>
        </is>
      </c>
      <c r="D47"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7" s="56" t="inlineStr">
        <is>
          <t>GLOBAL_CHECK</t>
        </is>
      </c>
      <c r="F47" s="54" t="inlineStr">
        <is>
          <t>GLOBAL_CHECK</t>
        </is>
      </c>
      <c r="G47" s="56" t="inlineStr">
        <is>
          <t>EMA_BLANKET_FILTER</t>
        </is>
      </c>
      <c r="H47" s="54" t="inlineStr">
        <is>
          <t>SPECIFIC — only gated switches</t>
        </is>
      </c>
      <c r="I47" s="54" t="inlineStr">
        <is>
          <t>LIVE — wired</t>
        </is>
      </c>
      <c r="J47" s="54" t="n"/>
      <c r="K47" s="51" t="inlineStr">
        <is>
          <t>1/4</t>
        </is>
      </c>
      <c r="L47" s="51" t="inlineStr">
        <is>
          <t>OFF, 15m, 1h, 4h, D (5 options)</t>
        </is>
      </c>
      <c r="M47" s="51" t="inlineStr">
        <is>
          <t>15m</t>
        </is>
      </c>
      <c r="N47" s="51" t="inlineStr">
        <is>
          <t>TF selector</t>
        </is>
      </c>
      <c r="O47" s="51" t="inlineStr">
        <is>
          <t>EMA_BLANKET_FILTER_FILTER_TF</t>
        </is>
      </c>
      <c r="P47" s="51" t="inlineStr">
        <is>
          <t>getattr(cfg,"EMA_BLANKET_FILTER_FILTER_TF")</t>
        </is>
      </c>
      <c r="Q47" s="35" t="inlineStr">
        <is>
          <t>NO</t>
        </is>
      </c>
    </row>
    <row r="48" ht="15.75" customHeight="1" s="67">
      <c r="A48" s="54" t="n">
        <v>32</v>
      </c>
      <c r="B48" s="55" t="inlineStr">
        <is>
          <t>EMA_BLANKET_FILTER_FILTER_TF</t>
        </is>
      </c>
      <c r="C48" s="53" t="inlineStr">
        <is>
          <t>4h</t>
        </is>
      </c>
      <c r="D48"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8" s="56" t="inlineStr">
        <is>
          <t>GLOBAL_CHECK</t>
        </is>
      </c>
      <c r="F48" s="54" t="inlineStr">
        <is>
          <t>GLOBAL_CHECK</t>
        </is>
      </c>
      <c r="G48" s="56" t="inlineStr">
        <is>
          <t>EMA_BLANKET_FILTER</t>
        </is>
      </c>
      <c r="H48" s="54" t="inlineStr">
        <is>
          <t>SPECIFIC — only gated switches</t>
        </is>
      </c>
      <c r="I48" s="54" t="inlineStr">
        <is>
          <t>LIVE — wired</t>
        </is>
      </c>
      <c r="J48" s="54" t="n"/>
      <c r="K48" s="51" t="inlineStr">
        <is>
          <t>1/4</t>
        </is>
      </c>
      <c r="L48" s="51" t="inlineStr">
        <is>
          <t>OFF, 15m, 1h, 4h, D (5 options)</t>
        </is>
      </c>
      <c r="M48" s="51" t="inlineStr">
        <is>
          <t>15m</t>
        </is>
      </c>
      <c r="N48" s="51" t="inlineStr">
        <is>
          <t>TF selector</t>
        </is>
      </c>
      <c r="O48" s="51" t="inlineStr">
        <is>
          <t>EMA_BLANKET_FILTER_FILTER_TF</t>
        </is>
      </c>
      <c r="P48" s="51" t="inlineStr">
        <is>
          <t>getattr(cfg,"EMA_BLANKET_FILTER_FILTER_TF")</t>
        </is>
      </c>
      <c r="Q48" s="35" t="inlineStr">
        <is>
          <t>NO</t>
        </is>
      </c>
    </row>
    <row r="49" ht="15.75" customHeight="1" s="67">
      <c r="A49" s="54" t="n">
        <v>32</v>
      </c>
      <c r="B49" s="55" t="inlineStr">
        <is>
          <t>EMA_BLANKET_FILTER_FILTER_TF</t>
        </is>
      </c>
      <c r="C49" s="53" t="inlineStr">
        <is>
          <t>1h</t>
        </is>
      </c>
      <c r="D49"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49" s="56" t="inlineStr">
        <is>
          <t>GLOBAL_CHECK</t>
        </is>
      </c>
      <c r="F49" s="54" t="inlineStr">
        <is>
          <t>GLOBAL_CHECK</t>
        </is>
      </c>
      <c r="G49" s="56" t="inlineStr">
        <is>
          <t>EMA_BLANKET_FILTER</t>
        </is>
      </c>
      <c r="H49" s="54" t="inlineStr">
        <is>
          <t>SPECIFIC — only gated switches</t>
        </is>
      </c>
      <c r="I49" s="54" t="inlineStr">
        <is>
          <t>LIVE — wired</t>
        </is>
      </c>
      <c r="J49" s="54" t="n"/>
      <c r="K49" s="51" t="inlineStr">
        <is>
          <t>1/4</t>
        </is>
      </c>
      <c r="L49" s="51" t="inlineStr">
        <is>
          <t>OFF, 15m, 1h, 4h, D (5 options)</t>
        </is>
      </c>
      <c r="M49" s="51" t="inlineStr">
        <is>
          <t>15m</t>
        </is>
      </c>
      <c r="N49" s="51" t="inlineStr">
        <is>
          <t>TF selector</t>
        </is>
      </c>
      <c r="O49" s="51" t="inlineStr">
        <is>
          <t>EMA_BLANKET_FILTER_FILTER_TF</t>
        </is>
      </c>
      <c r="P49" s="51" t="inlineStr">
        <is>
          <t>getattr(cfg,"EMA_BLANKET_FILTER_FILTER_TF")</t>
        </is>
      </c>
      <c r="Q49" s="35" t="inlineStr">
        <is>
          <t>NO</t>
        </is>
      </c>
    </row>
    <row r="50" ht="15.75" customHeight="1" s="67">
      <c r="A50" s="54" t="n">
        <v>32</v>
      </c>
      <c r="B50" s="57" t="inlineStr">
        <is>
          <t>EMA_BLANKET_FILTER_FILTER_TF</t>
        </is>
      </c>
      <c r="C50" s="49" t="inlineStr">
        <is>
          <t>15m</t>
        </is>
      </c>
      <c r="D5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50" s="56" t="inlineStr">
        <is>
          <t>GLOBAL_CHECK</t>
        </is>
      </c>
      <c r="F50" s="54" t="inlineStr">
        <is>
          <t>GLOBAL_CHECK</t>
        </is>
      </c>
      <c r="G50" s="56" t="inlineStr">
        <is>
          <t>EMA_BLANKET_FILTER</t>
        </is>
      </c>
      <c r="H50" s="54" t="inlineStr">
        <is>
          <t>SPECIFIC — only gated switches</t>
        </is>
      </c>
      <c r="I50" s="54" t="inlineStr">
        <is>
          <t>LIVE — wired</t>
        </is>
      </c>
      <c r="J50" s="54" t="n"/>
      <c r="K50" s="51" t="inlineStr">
        <is>
          <t>1/4</t>
        </is>
      </c>
      <c r="L50" s="51" t="inlineStr">
        <is>
          <t>OFF, 15m, 1h, 4h, D (5 options)</t>
        </is>
      </c>
      <c r="M50" s="51" t="inlineStr">
        <is>
          <t>15m</t>
        </is>
      </c>
      <c r="N50" s="51" t="inlineStr">
        <is>
          <t>TF selector</t>
        </is>
      </c>
      <c r="O50" s="51" t="inlineStr">
        <is>
          <t>EMA_BLANKET_FILTER_FILTER_TF</t>
        </is>
      </c>
      <c r="P50" s="51" t="inlineStr">
        <is>
          <t>getattr(cfg,"EMA_BLANKET_FILTER_FILTER_TF")</t>
        </is>
      </c>
      <c r="Q50" s="35" t="inlineStr">
        <is>
          <t>YES</t>
        </is>
      </c>
    </row>
    <row r="51" ht="15.75" customHeight="1" s="67">
      <c r="A51" s="54" t="n">
        <v>34</v>
      </c>
      <c r="B51" s="55" t="inlineStr">
        <is>
          <t>EMERGENCY_BRAKE_FILTER_TF</t>
        </is>
      </c>
      <c r="C51" s="53" t="inlineStr">
        <is>
          <t>OFF</t>
        </is>
      </c>
      <c r="D51" s="56" t="inlineStr">
        <is>
          <t>Emergency brake (kill switch) confirmation TF. | Live read: `SS_LADDER_FILTER_TF', 'CIRCUIT_SHARPE_GATES_ENABLED', 'CIRCUIT_SHARPE_GATES_FILT`</t>
        </is>
      </c>
      <c r="E51" s="56" t="inlineStr">
        <is>
          <t>GLOBAL_CHECK</t>
        </is>
      </c>
      <c r="F51" s="54" t="inlineStr">
        <is>
          <t>GLOBAL_CHECK</t>
        </is>
      </c>
      <c r="G51" s="56" t="inlineStr">
        <is>
          <t>EMERGENCY_BRAKE</t>
        </is>
      </c>
      <c r="H51" s="54" t="inlineStr">
        <is>
          <t>SPECIFIC — only gated switches</t>
        </is>
      </c>
      <c r="I51" s="54" t="inlineStr">
        <is>
          <t>LIVE — wired</t>
        </is>
      </c>
      <c r="J51" s="54" t="n"/>
      <c r="K51" s="51" t="inlineStr">
        <is>
          <t>1/4</t>
        </is>
      </c>
      <c r="L51" s="51" t="inlineStr">
        <is>
          <t>OFF, 15m, 1h, 4h, D (5 options)</t>
        </is>
      </c>
      <c r="M51" s="51" t="inlineStr">
        <is>
          <t>15m</t>
        </is>
      </c>
      <c r="N51" s="51" t="inlineStr">
        <is>
          <t>TF selector</t>
        </is>
      </c>
      <c r="O51" s="51" t="inlineStr">
        <is>
          <t>EMERGENCY_BRAKE_FILTER_TF</t>
        </is>
      </c>
      <c r="P51" s="51" t="inlineStr">
        <is>
          <t>getattr(cfg,"EMERGENCY_BRAKE_FILTER_TF")</t>
        </is>
      </c>
      <c r="Q51" s="35" t="inlineStr">
        <is>
          <t>NO</t>
        </is>
      </c>
    </row>
    <row r="52" ht="15.75" customHeight="1" s="67">
      <c r="A52" s="54" t="n">
        <v>34</v>
      </c>
      <c r="B52" s="55" t="inlineStr">
        <is>
          <t>EMERGENCY_BRAKE_FILTER_TF</t>
        </is>
      </c>
      <c r="C52" s="53" t="inlineStr">
        <is>
          <t>D</t>
        </is>
      </c>
      <c r="D52" s="56" t="inlineStr">
        <is>
          <t>Emergency brake (kill switch) confirmation TF. | Live read: `SS_LADDER_FILTER_TF', 'CIRCUIT_SHARPE_GATES_ENABLED', 'CIRCUIT_SHARPE_GATES_FILT`</t>
        </is>
      </c>
      <c r="E52" s="56" t="inlineStr">
        <is>
          <t>GLOBAL_CHECK</t>
        </is>
      </c>
      <c r="F52" s="54" t="inlineStr">
        <is>
          <t>GLOBAL_CHECK</t>
        </is>
      </c>
      <c r="G52" s="56" t="inlineStr">
        <is>
          <t>EMERGENCY_BRAKE</t>
        </is>
      </c>
      <c r="H52" s="54" t="inlineStr">
        <is>
          <t>SPECIFIC — only gated switches</t>
        </is>
      </c>
      <c r="I52" s="54" t="inlineStr">
        <is>
          <t>LIVE — wired</t>
        </is>
      </c>
      <c r="J52" s="54" t="n"/>
      <c r="K52" s="51" t="inlineStr">
        <is>
          <t>1/4</t>
        </is>
      </c>
      <c r="L52" s="51" t="inlineStr">
        <is>
          <t>OFF, 15m, 1h, 4h, D (5 options)</t>
        </is>
      </c>
      <c r="M52" s="51" t="inlineStr">
        <is>
          <t>15m</t>
        </is>
      </c>
      <c r="N52" s="51" t="inlineStr">
        <is>
          <t>TF selector</t>
        </is>
      </c>
      <c r="O52" s="51" t="inlineStr">
        <is>
          <t>EMERGENCY_BRAKE_FILTER_TF</t>
        </is>
      </c>
      <c r="P52" s="51" t="inlineStr">
        <is>
          <t>getattr(cfg,"EMERGENCY_BRAKE_FILTER_TF")</t>
        </is>
      </c>
      <c r="Q52" s="35" t="inlineStr">
        <is>
          <t>NO</t>
        </is>
      </c>
    </row>
    <row r="53" ht="15.75" customHeight="1" s="67">
      <c r="A53" s="54" t="n">
        <v>34</v>
      </c>
      <c r="B53" s="55" t="inlineStr">
        <is>
          <t>EMERGENCY_BRAKE_FILTER_TF</t>
        </is>
      </c>
      <c r="C53" s="53" t="inlineStr">
        <is>
          <t>4h</t>
        </is>
      </c>
      <c r="D53" s="56" t="inlineStr">
        <is>
          <t>Emergency brake (kill switch) confirmation TF. | Live read: `SS_LADDER_FILTER_TF', 'CIRCUIT_SHARPE_GATES_ENABLED', 'CIRCUIT_SHARPE_GATES_FILT`</t>
        </is>
      </c>
      <c r="E53" s="56" t="inlineStr">
        <is>
          <t>GLOBAL_CHECK</t>
        </is>
      </c>
      <c r="F53" s="54" t="inlineStr">
        <is>
          <t>GLOBAL_CHECK</t>
        </is>
      </c>
      <c r="G53" s="56" t="inlineStr">
        <is>
          <t>EMERGENCY_BRAKE</t>
        </is>
      </c>
      <c r="H53" s="54" t="inlineStr">
        <is>
          <t>SPECIFIC — only gated switches</t>
        </is>
      </c>
      <c r="I53" s="54" t="inlineStr">
        <is>
          <t>LIVE — wired</t>
        </is>
      </c>
      <c r="J53" s="54" t="n"/>
      <c r="K53" s="51" t="inlineStr">
        <is>
          <t>1/4</t>
        </is>
      </c>
      <c r="L53" s="51" t="inlineStr">
        <is>
          <t>OFF, 15m, 1h, 4h, D (5 options)</t>
        </is>
      </c>
      <c r="M53" s="51" t="inlineStr">
        <is>
          <t>15m</t>
        </is>
      </c>
      <c r="N53" s="51" t="inlineStr">
        <is>
          <t>TF selector</t>
        </is>
      </c>
      <c r="O53" s="51" t="inlineStr">
        <is>
          <t>EMERGENCY_BRAKE_FILTER_TF</t>
        </is>
      </c>
      <c r="P53" s="51" t="inlineStr">
        <is>
          <t>getattr(cfg,"EMERGENCY_BRAKE_FILTER_TF")</t>
        </is>
      </c>
      <c r="Q53" s="35" t="inlineStr">
        <is>
          <t>NO</t>
        </is>
      </c>
    </row>
    <row r="54" ht="15.75" customHeight="1" s="67">
      <c r="A54" s="54" t="n">
        <v>34</v>
      </c>
      <c r="B54" s="57" t="inlineStr">
        <is>
          <t>EMERGENCY_BRAKE_FILTER_TF</t>
        </is>
      </c>
      <c r="C54" s="49" t="inlineStr">
        <is>
          <t>15m</t>
        </is>
      </c>
      <c r="D54" s="56" t="inlineStr">
        <is>
          <t>Emergency brake (kill switch) confirmation TF. | Live read: `SS_LADDER_FILTER_TF', 'CIRCUIT_SHARPE_GATES_ENABLED', 'CIRCUIT_SHARPE_GATES_FILT`</t>
        </is>
      </c>
      <c r="E54" s="56" t="inlineStr">
        <is>
          <t>GLOBAL_CHECK</t>
        </is>
      </c>
      <c r="F54" s="54" t="inlineStr">
        <is>
          <t>GLOBAL_CHECK</t>
        </is>
      </c>
      <c r="G54" s="56" t="inlineStr">
        <is>
          <t>EMERGENCY_BRAKE</t>
        </is>
      </c>
      <c r="H54" s="54" t="inlineStr">
        <is>
          <t>SPECIFIC — only gated switches</t>
        </is>
      </c>
      <c r="I54" s="54" t="inlineStr">
        <is>
          <t>LIVE — wired</t>
        </is>
      </c>
      <c r="J54" s="54" t="n"/>
      <c r="K54" s="51" t="inlineStr">
        <is>
          <t>1/4</t>
        </is>
      </c>
      <c r="L54" s="51" t="inlineStr">
        <is>
          <t>OFF, 15m, 1h, 4h, D (5 options)</t>
        </is>
      </c>
      <c r="M54" s="51" t="inlineStr">
        <is>
          <t>15m</t>
        </is>
      </c>
      <c r="N54" s="51" t="inlineStr">
        <is>
          <t>TF selector</t>
        </is>
      </c>
      <c r="O54" s="51" t="inlineStr">
        <is>
          <t>EMERGENCY_BRAKE_FILTER_TF</t>
        </is>
      </c>
      <c r="P54" s="51" t="inlineStr">
        <is>
          <t>getattr(cfg,"EMERGENCY_BRAKE_FILTER_TF")</t>
        </is>
      </c>
      <c r="Q54" s="35" t="inlineStr">
        <is>
          <t>YES</t>
        </is>
      </c>
    </row>
    <row r="55" ht="15.75" customHeight="1" s="67">
      <c r="A55" s="54" t="n">
        <v>37</v>
      </c>
      <c r="B55" s="55" t="inlineStr">
        <is>
          <t>EXIT_R1_R2_FILTER_TF</t>
        </is>
      </c>
      <c r="C55" s="53" t="inlineStr">
        <is>
          <t>OFF</t>
        </is>
      </c>
      <c r="D55" s="56" t="inlineStr">
        <is>
          <t>Exit R1/R2 level confirmation TF. | Live read: `LESS_EXIT_ENABLED', 'DC_HOPELESS_EXIT_MIN_AGE_S', 'DC_LOW_FROZEN_STOP_TF', 'DC_R`</t>
        </is>
      </c>
      <c r="E55" s="56" t="inlineStr">
        <is>
          <t>GLOBAL_CHECK</t>
        </is>
      </c>
      <c r="F55" s="54" t="inlineStr">
        <is>
          <t>GLOBAL_CHECK</t>
        </is>
      </c>
      <c r="G55" s="56" t="inlineStr">
        <is>
          <t>EXIT_R1_R2</t>
        </is>
      </c>
      <c r="H55" s="54" t="inlineStr">
        <is>
          <t>SPECIFIC — only gated switches</t>
        </is>
      </c>
      <c r="I55" s="54" t="inlineStr">
        <is>
          <t>LIVE — wired</t>
        </is>
      </c>
      <c r="J55" s="54" t="n"/>
      <c r="K55" s="51" t="inlineStr">
        <is>
          <t>1/4</t>
        </is>
      </c>
      <c r="L55" s="51" t="inlineStr">
        <is>
          <t>OFF, 15m, 1h, 4h, D (5 options)</t>
        </is>
      </c>
      <c r="M55" s="51" t="inlineStr">
        <is>
          <t>15m</t>
        </is>
      </c>
      <c r="N55" s="51" t="inlineStr">
        <is>
          <t>TF selector</t>
        </is>
      </c>
      <c r="O55" s="51" t="inlineStr">
        <is>
          <t>EXIT_R1_R2_FILTER_TF</t>
        </is>
      </c>
      <c r="P55" s="51" t="inlineStr">
        <is>
          <t>getattr(cfg,"EXIT_R1_R2_FILTER_TF")</t>
        </is>
      </c>
      <c r="Q55" s="35" t="inlineStr">
        <is>
          <t>NO</t>
        </is>
      </c>
    </row>
    <row r="56" ht="15.75" customHeight="1" s="67">
      <c r="A56" s="54" t="n">
        <v>37</v>
      </c>
      <c r="B56" s="55" t="inlineStr">
        <is>
          <t>EXIT_R1_R2_FILTER_TF</t>
        </is>
      </c>
      <c r="C56" s="53" t="inlineStr">
        <is>
          <t>D</t>
        </is>
      </c>
      <c r="D56" s="56" t="inlineStr">
        <is>
          <t>Exit R1/R2 level confirmation TF. | Live read: `LESS_EXIT_ENABLED', 'DC_HOPELESS_EXIT_MIN_AGE_S', 'DC_LOW_FROZEN_STOP_TF', 'DC_R`</t>
        </is>
      </c>
      <c r="E56" s="56" t="inlineStr">
        <is>
          <t>GLOBAL_CHECK</t>
        </is>
      </c>
      <c r="F56" s="54" t="inlineStr">
        <is>
          <t>GLOBAL_CHECK</t>
        </is>
      </c>
      <c r="G56" s="56" t="inlineStr">
        <is>
          <t>EXIT_R1_R2</t>
        </is>
      </c>
      <c r="H56" s="54" t="inlineStr">
        <is>
          <t>SPECIFIC — only gated switches</t>
        </is>
      </c>
      <c r="I56" s="54" t="inlineStr">
        <is>
          <t>LIVE — wired</t>
        </is>
      </c>
      <c r="J56" s="54" t="n"/>
      <c r="K56" s="51" t="inlineStr">
        <is>
          <t>1/4</t>
        </is>
      </c>
      <c r="L56" s="51" t="inlineStr">
        <is>
          <t>OFF, 15m, 1h, 4h, D (5 options)</t>
        </is>
      </c>
      <c r="M56" s="51" t="inlineStr">
        <is>
          <t>15m</t>
        </is>
      </c>
      <c r="N56" s="51" t="inlineStr">
        <is>
          <t>TF selector</t>
        </is>
      </c>
      <c r="O56" s="51" t="inlineStr">
        <is>
          <t>EXIT_R1_R2_FILTER_TF</t>
        </is>
      </c>
      <c r="P56" s="51" t="inlineStr">
        <is>
          <t>getattr(cfg,"EXIT_R1_R2_FILTER_TF")</t>
        </is>
      </c>
      <c r="Q56" s="35" t="inlineStr">
        <is>
          <t>NO</t>
        </is>
      </c>
    </row>
    <row r="57" ht="15.75" customHeight="1" s="67">
      <c r="A57" s="54" t="n">
        <v>37</v>
      </c>
      <c r="B57" s="55" t="inlineStr">
        <is>
          <t>EXIT_R1_R2_FILTER_TF</t>
        </is>
      </c>
      <c r="C57" s="53" t="inlineStr">
        <is>
          <t>4h</t>
        </is>
      </c>
      <c r="D57" s="56" t="inlineStr">
        <is>
          <t>Exit R1/R2 level confirmation TF. | Live read: `LESS_EXIT_ENABLED', 'DC_HOPELESS_EXIT_MIN_AGE_S', 'DC_LOW_FROZEN_STOP_TF', 'DC_R`</t>
        </is>
      </c>
      <c r="E57" s="56" t="inlineStr">
        <is>
          <t>GLOBAL_CHECK</t>
        </is>
      </c>
      <c r="F57" s="54" t="inlineStr">
        <is>
          <t>GLOBAL_CHECK</t>
        </is>
      </c>
      <c r="G57" s="56" t="inlineStr">
        <is>
          <t>EXIT_R1_R2</t>
        </is>
      </c>
      <c r="H57" s="54" t="inlineStr">
        <is>
          <t>SPECIFIC — only gated switches</t>
        </is>
      </c>
      <c r="I57" s="54" t="inlineStr">
        <is>
          <t>LIVE — wired</t>
        </is>
      </c>
      <c r="J57" s="54" t="n"/>
      <c r="K57" s="51" t="inlineStr">
        <is>
          <t>1/4</t>
        </is>
      </c>
      <c r="L57" s="51" t="inlineStr">
        <is>
          <t>OFF, 15m, 1h, 4h, D (5 options)</t>
        </is>
      </c>
      <c r="M57" s="51" t="inlineStr">
        <is>
          <t>15m</t>
        </is>
      </c>
      <c r="N57" s="51" t="inlineStr">
        <is>
          <t>TF selector</t>
        </is>
      </c>
      <c r="O57" s="51" t="inlineStr">
        <is>
          <t>EXIT_R1_R2_FILTER_TF</t>
        </is>
      </c>
      <c r="P57" s="51" t="inlineStr">
        <is>
          <t>getattr(cfg,"EXIT_R1_R2_FILTER_TF")</t>
        </is>
      </c>
      <c r="Q57" s="35" t="inlineStr">
        <is>
          <t>NO</t>
        </is>
      </c>
    </row>
    <row r="58" ht="15.75" customHeight="1" s="67">
      <c r="A58" s="54" t="n">
        <v>37</v>
      </c>
      <c r="B58" s="55" t="inlineStr">
        <is>
          <t>EXIT_R1_R2_FILTER_TF</t>
        </is>
      </c>
      <c r="C58" s="53" t="inlineStr">
        <is>
          <t>1h</t>
        </is>
      </c>
      <c r="D58" s="56" t="inlineStr">
        <is>
          <t>Exit R1/R2 level confirmation TF. | Live read: `LESS_EXIT_ENABLED', 'DC_HOPELESS_EXIT_MIN_AGE_S', 'DC_LOW_FROZEN_STOP_TF', 'DC_R`</t>
        </is>
      </c>
      <c r="E58" s="56" t="inlineStr">
        <is>
          <t>GLOBAL_CHECK</t>
        </is>
      </c>
      <c r="F58" s="54" t="inlineStr">
        <is>
          <t>GLOBAL_CHECK</t>
        </is>
      </c>
      <c r="G58" s="56" t="inlineStr">
        <is>
          <t>EXIT_R1_R2</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EXIT_R1_R2_FILTER_TF</t>
        </is>
      </c>
      <c r="P58" s="51" t="inlineStr">
        <is>
          <t>getattr(cfg,"EXIT_R1_R2_FILTER_TF")</t>
        </is>
      </c>
      <c r="Q58" s="35" t="inlineStr">
        <is>
          <t>NO</t>
        </is>
      </c>
    </row>
    <row r="59" ht="15.75" customHeight="1" s="67">
      <c r="A59" s="54" t="n">
        <v>37</v>
      </c>
      <c r="B59" s="57" t="inlineStr">
        <is>
          <t>EXIT_R1_R2_FILTER_TF</t>
        </is>
      </c>
      <c r="C59" s="49" t="inlineStr">
        <is>
          <t>15m</t>
        </is>
      </c>
      <c r="D59" s="56" t="inlineStr">
        <is>
          <t>Exit R1/R2 level confirmation TF. | Live read: `LESS_EXIT_ENABLED', 'DC_HOPELESS_EXIT_MIN_AGE_S', 'DC_LOW_FROZEN_STOP_TF', 'DC_R`</t>
        </is>
      </c>
      <c r="E59" s="56" t="inlineStr">
        <is>
          <t>GLOBAL_CHECK</t>
        </is>
      </c>
      <c r="F59" s="54" t="inlineStr">
        <is>
          <t>GLOBAL_CHECK</t>
        </is>
      </c>
      <c r="G59" s="56" t="inlineStr">
        <is>
          <t>EXIT_R1_R2</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EXIT_R1_R2_FILTER_TF</t>
        </is>
      </c>
      <c r="P59" s="51" t="inlineStr">
        <is>
          <t>getattr(cfg,"EXIT_R1_R2_FILTER_TF")</t>
        </is>
      </c>
      <c r="Q59" s="35" t="inlineStr">
        <is>
          <t>YES</t>
        </is>
      </c>
    </row>
    <row r="60" ht="15.75" customHeight="1" s="67">
      <c r="A60" s="54" t="n">
        <v>38</v>
      </c>
      <c r="B60" s="55" t="inlineStr">
        <is>
          <t>EXIT_TIGHT_BREAKOUT_SCORER_FILTER_TF</t>
        </is>
      </c>
      <c r="C60" s="53" t="inlineStr">
        <is>
          <t>OFF</t>
        </is>
      </c>
      <c r="D60" s="56" t="inlineStr">
        <is>
          <t>Tight breakout scorer exit confirmation TF. | Live read: `T_SCORE_BONUS', 'DELTA_EXIT_SPEED_DECAY_MIN_GAIN', 'DELTA_EXIT_SPEED_DECAY_MIN_T`</t>
        </is>
      </c>
      <c r="E60" s="56" t="inlineStr">
        <is>
          <t>GLOBAL_CHECK</t>
        </is>
      </c>
      <c r="F60" s="54" t="inlineStr">
        <is>
          <t>GLOBAL_CHECK</t>
        </is>
      </c>
      <c r="G60" s="56" t="inlineStr">
        <is>
          <t>EXIT_TIGHT_BREAKOUT_SCORER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EXIT_TIGHT_BREAKOUT_SCORER_FILTER_TF</t>
        </is>
      </c>
      <c r="P60" s="51" t="inlineStr">
        <is>
          <t>getattr(cfg,"EXIT_TIGHT_BREAKOUT_SCORER_FILTER_TF")</t>
        </is>
      </c>
      <c r="Q60" s="35" t="inlineStr">
        <is>
          <t>NO</t>
        </is>
      </c>
    </row>
    <row r="61" ht="15.75" customHeight="1" s="67">
      <c r="A61" s="54" t="n">
        <v>38</v>
      </c>
      <c r="B61" s="55" t="inlineStr">
        <is>
          <t>EXIT_TIGHT_BREAKOUT_SCORER_FILTER_TF</t>
        </is>
      </c>
      <c r="C61" s="53" t="inlineStr">
        <is>
          <t>D</t>
        </is>
      </c>
      <c r="D61" s="56" t="inlineStr">
        <is>
          <t>Tight breakout scorer exit confirmation TF. | Live read: `T_SCORE_BONUS', 'DELTA_EXIT_SPEED_DECAY_MIN_GAIN', 'DELTA_EXIT_SPEED_DECAY_MIN_T`</t>
        </is>
      </c>
      <c r="E61" s="56" t="inlineStr">
        <is>
          <t>GLOBAL_CHECK</t>
        </is>
      </c>
      <c r="F61" s="54" t="inlineStr">
        <is>
          <t>GLOBAL_CHECK</t>
        </is>
      </c>
      <c r="G61" s="56" t="inlineStr">
        <is>
          <t>EXIT_TIGHT_BREAKOUT_SCORER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EXIT_TIGHT_BREAKOUT_SCORER_FILTER_TF</t>
        </is>
      </c>
      <c r="P61" s="51" t="inlineStr">
        <is>
          <t>getattr(cfg,"EXIT_TIGHT_BREAKOUT_SCORER_FILTER_TF")</t>
        </is>
      </c>
      <c r="Q61" s="35" t="inlineStr">
        <is>
          <t>NO</t>
        </is>
      </c>
    </row>
    <row r="62" ht="15.75" customHeight="1" s="67">
      <c r="A62" s="54" t="n">
        <v>38</v>
      </c>
      <c r="B62" s="55" t="inlineStr">
        <is>
          <t>EXIT_TIGHT_BREAKOUT_SCORER_FILTER_TF</t>
        </is>
      </c>
      <c r="C62" s="53" t="inlineStr">
        <is>
          <t>4h</t>
        </is>
      </c>
      <c r="D62" s="56" t="inlineStr">
        <is>
          <t>Tight breakout scorer exit confirmation TF. | Live read: `T_SCORE_BONUS', 'DELTA_EXIT_SPEED_DECAY_MIN_GAIN', 'DELTA_EXIT_SPEED_DECAY_MIN_T`</t>
        </is>
      </c>
      <c r="E62" s="56" t="inlineStr">
        <is>
          <t>GLOBAL_CHECK</t>
        </is>
      </c>
      <c r="F62" s="54" t="inlineStr">
        <is>
          <t>GLOBAL_CHECK</t>
        </is>
      </c>
      <c r="G62" s="56" t="inlineStr">
        <is>
          <t>EXIT_TIGHT_BREAKOUT_SCORER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EXIT_TIGHT_BREAKOUT_SCORER_FILTER_TF</t>
        </is>
      </c>
      <c r="P62" s="51" t="inlineStr">
        <is>
          <t>getattr(cfg,"EXIT_TIGHT_BREAKOUT_SCORER_FILTER_TF")</t>
        </is>
      </c>
      <c r="Q62" s="35" t="inlineStr">
        <is>
          <t>NO</t>
        </is>
      </c>
    </row>
    <row r="63" ht="15.75" customHeight="1" s="67">
      <c r="A63" s="54" t="n">
        <v>38</v>
      </c>
      <c r="B63" s="55" t="inlineStr">
        <is>
          <t>EXIT_TIGHT_BREAKOUT_SCORER_FILTER_TF</t>
        </is>
      </c>
      <c r="C63" s="53" t="inlineStr">
        <is>
          <t>1h</t>
        </is>
      </c>
      <c r="D63" s="56" t="inlineStr">
        <is>
          <t>Tight breakout scorer exit confirmation TF. | Live read: `T_SCORE_BONUS', 'DELTA_EXIT_SPEED_DECAY_MIN_GAIN', 'DELTA_EXIT_SPEED_DECAY_MIN_T`</t>
        </is>
      </c>
      <c r="E63" s="56" t="inlineStr">
        <is>
          <t>GLOBAL_CHECK</t>
        </is>
      </c>
      <c r="F63" s="54" t="inlineStr">
        <is>
          <t>GLOBAL_CHECK</t>
        </is>
      </c>
      <c r="G63" s="56" t="inlineStr">
        <is>
          <t>EXIT_TIGHT_BREAKOUT_SCORER</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EXIT_TIGHT_BREAKOUT_SCORER_FILTER_TF</t>
        </is>
      </c>
      <c r="P63" s="51" t="inlineStr">
        <is>
          <t>getattr(cfg,"EXIT_TIGHT_BREAKOUT_SCORER_FILTER_TF")</t>
        </is>
      </c>
      <c r="Q63" s="35" t="inlineStr">
        <is>
          <t>NO</t>
        </is>
      </c>
    </row>
    <row r="64" ht="15.75" customHeight="1" s="67">
      <c r="A64" s="54" t="n">
        <v>38</v>
      </c>
      <c r="B64" s="57" t="inlineStr">
        <is>
          <t>EXIT_TIGHT_BREAKOUT_SCORER_FILTER_TF</t>
        </is>
      </c>
      <c r="C64" s="49" t="inlineStr">
        <is>
          <t>15m</t>
        </is>
      </c>
      <c r="D64" s="56" t="inlineStr">
        <is>
          <t>Tight breakout scorer exit confirmation TF. | Live read: `T_SCORE_BONUS', 'DELTA_EXIT_SPEED_DECAY_MIN_GAIN', 'DELTA_EXIT_SPEED_DECAY_MIN_T`</t>
        </is>
      </c>
      <c r="E64" s="56" t="inlineStr">
        <is>
          <t>GLOBAL_CHECK</t>
        </is>
      </c>
      <c r="F64" s="54" t="inlineStr">
        <is>
          <t>GLOBAL_CHECK</t>
        </is>
      </c>
      <c r="G64" s="56" t="inlineStr">
        <is>
          <t>EXIT_TIGHT_BREAKOUT_SCORER</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EXIT_TIGHT_BREAKOUT_SCORER_FILTER_TF</t>
        </is>
      </c>
      <c r="P64" s="51" t="inlineStr">
        <is>
          <t>getattr(cfg,"EXIT_TIGHT_BREAKOUT_SCORER_FILTER_TF")</t>
        </is>
      </c>
      <c r="Q64" s="35" t="inlineStr">
        <is>
          <t>YES</t>
        </is>
      </c>
    </row>
    <row r="65" ht="15.75" customHeight="1" s="67">
      <c r="A65" s="54" t="n">
        <v>39</v>
      </c>
      <c r="B65" s="55" t="inlineStr">
        <is>
          <t>EXIT_TOP_FADE_FILTER_TF</t>
        </is>
      </c>
      <c r="C65" s="53" t="inlineStr">
        <is>
          <t>OFF</t>
        </is>
      </c>
      <c r="D65" s="56" t="inlineStr">
        <is>
          <t>Top-fade exit confirmation TF. | Live read: `DECAY_VEC_ENABLED', 'DELTA_EXIT_TF', 'DELTA_LT_EXIT_SPEED_PCT', 'DELTA_LT_EXIT_T`</t>
        </is>
      </c>
      <c r="E65" s="56" t="inlineStr">
        <is>
          <t>GLOBAL_CHECK</t>
        </is>
      </c>
      <c r="F65" s="54" t="inlineStr">
        <is>
          <t>GLOBAL_CHECK</t>
        </is>
      </c>
      <c r="G65" s="56" t="inlineStr">
        <is>
          <t>EXIT_TOP_FADE</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EXIT_TOP_FADE_FILTER_TF</t>
        </is>
      </c>
      <c r="P65" s="51" t="inlineStr">
        <is>
          <t>getattr(cfg,"EXIT_TOP_FADE_FILTER_TF")</t>
        </is>
      </c>
      <c r="Q65" s="35" t="inlineStr">
        <is>
          <t>NO</t>
        </is>
      </c>
    </row>
    <row r="66" ht="15.75" customHeight="1" s="67">
      <c r="A66" s="54" t="n">
        <v>39</v>
      </c>
      <c r="B66" s="55" t="inlineStr">
        <is>
          <t>EXIT_TOP_FADE_FILTER_TF</t>
        </is>
      </c>
      <c r="C66" s="53" t="inlineStr">
        <is>
          <t>D</t>
        </is>
      </c>
      <c r="D66" s="56" t="inlineStr">
        <is>
          <t>Top-fade exit confirmation TF. | Live read: `DECAY_VEC_ENABLED', 'DELTA_EXIT_TF', 'DELTA_LT_EXIT_SPEED_PCT', 'DELTA_LT_EXIT_T`</t>
        </is>
      </c>
      <c r="E66" s="56" t="inlineStr">
        <is>
          <t>GLOBAL_CHECK</t>
        </is>
      </c>
      <c r="F66" s="54" t="inlineStr">
        <is>
          <t>GLOBAL_CHECK</t>
        </is>
      </c>
      <c r="G66" s="56" t="inlineStr">
        <is>
          <t>EXIT_TOP_FADE</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EXIT_TOP_FADE_FILTER_TF</t>
        </is>
      </c>
      <c r="P66" s="51" t="inlineStr">
        <is>
          <t>getattr(cfg,"EXIT_TOP_FADE_FILTER_TF")</t>
        </is>
      </c>
      <c r="Q66" s="35" t="inlineStr">
        <is>
          <t>NO</t>
        </is>
      </c>
    </row>
    <row r="67" ht="15.75" customHeight="1" s="67">
      <c r="A67" s="54" t="n">
        <v>39</v>
      </c>
      <c r="B67" s="55" t="inlineStr">
        <is>
          <t>EXIT_TOP_FADE_FILTER_TF</t>
        </is>
      </c>
      <c r="C67" s="53" t="inlineStr">
        <is>
          <t>4h</t>
        </is>
      </c>
      <c r="D67" s="56" t="inlineStr">
        <is>
          <t>Top-fade exit confirmation TF. | Live read: `DECAY_VEC_ENABLED', 'DELTA_EXIT_TF', 'DELTA_LT_EXIT_SPEED_PCT', 'DELTA_LT_EXIT_T`</t>
        </is>
      </c>
      <c r="E67" s="56" t="inlineStr">
        <is>
          <t>GLOBAL_CHECK</t>
        </is>
      </c>
      <c r="F67" s="54" t="inlineStr">
        <is>
          <t>GLOBAL_CHECK</t>
        </is>
      </c>
      <c r="G67" s="56" t="inlineStr">
        <is>
          <t>EXIT_TOP_FADE</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EXIT_TOP_FADE_FILTER_TF</t>
        </is>
      </c>
      <c r="P67" s="51" t="inlineStr">
        <is>
          <t>getattr(cfg,"EXIT_TOP_FADE_FILTER_TF")</t>
        </is>
      </c>
      <c r="Q67" s="35" t="inlineStr">
        <is>
          <t>NO</t>
        </is>
      </c>
    </row>
    <row r="68" ht="15.75" customHeight="1" s="67">
      <c r="A68" s="54" t="n">
        <v>39</v>
      </c>
      <c r="B68" s="55" t="inlineStr">
        <is>
          <t>EXIT_TOP_FADE_FILTER_TF</t>
        </is>
      </c>
      <c r="C68" s="53" t="inlineStr">
        <is>
          <t>1h</t>
        </is>
      </c>
      <c r="D68" s="56" t="inlineStr">
        <is>
          <t>Top-fade exit confirmation TF. | Live read: `DECAY_VEC_ENABLED', 'DELTA_EXIT_TF', 'DELTA_LT_EXIT_SPEED_PCT', 'DELTA_LT_EXIT_T`</t>
        </is>
      </c>
      <c r="E68" s="56" t="inlineStr">
        <is>
          <t>GLOBAL_CHECK</t>
        </is>
      </c>
      <c r="F68" s="54" t="inlineStr">
        <is>
          <t>GLOBAL_CHECK</t>
        </is>
      </c>
      <c r="G68" s="56" t="inlineStr">
        <is>
          <t>EXIT_TOP_FADE</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EXIT_TOP_FADE_FILTER_TF</t>
        </is>
      </c>
      <c r="P68" s="51" t="inlineStr">
        <is>
          <t>getattr(cfg,"EXIT_TOP_FADE_FILTER_TF")</t>
        </is>
      </c>
      <c r="Q68" s="35" t="inlineStr">
        <is>
          <t>NO</t>
        </is>
      </c>
    </row>
    <row r="69" ht="15.75" customHeight="1" s="67">
      <c r="A69" s="54" t="n">
        <v>39</v>
      </c>
      <c r="B69" s="57" t="inlineStr">
        <is>
          <t>EXIT_TOP_FADE_FILTER_TF</t>
        </is>
      </c>
      <c r="C69" s="49" t="inlineStr">
        <is>
          <t>15m</t>
        </is>
      </c>
      <c r="D69" s="56" t="inlineStr">
        <is>
          <t>Top-fade exit confirmation TF. | Live read: `DECAY_VEC_ENABLED', 'DELTA_EXIT_TF', 'DELTA_LT_EXIT_SPEED_PCT', 'DELTA_LT_EXIT_T`</t>
        </is>
      </c>
      <c r="E69" s="56" t="inlineStr">
        <is>
          <t>GLOBAL_CHECK</t>
        </is>
      </c>
      <c r="F69" s="54" t="inlineStr">
        <is>
          <t>GLOBAL_CHECK</t>
        </is>
      </c>
      <c r="G69" s="56" t="inlineStr">
        <is>
          <t>EXIT_TOP_FADE</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EXIT_TOP_FADE_FILTER_TF</t>
        </is>
      </c>
      <c r="P69" s="51" t="inlineStr">
        <is>
          <t>getattr(cfg,"EXIT_TOP_FADE_FILTER_TF")</t>
        </is>
      </c>
      <c r="Q69" s="35" t="inlineStr">
        <is>
          <t>YES</t>
        </is>
      </c>
    </row>
    <row r="70" ht="15.75" customHeight="1" s="67">
      <c r="A70" s="54" t="n">
        <v>40</v>
      </c>
      <c r="B70" s="55" t="inlineStr">
        <is>
          <t>EXIT_TO_REDUCE_ADAPTER_FILTER_TF</t>
        </is>
      </c>
      <c r="C70" s="53" t="inlineStr">
        <is>
          <t>OFF</t>
        </is>
      </c>
      <c r="D70" s="56" t="inlineStr">
        <is>
          <t>Adapts exit signal into reduce (partial) on FILTER_TF. | Live read: `ELTA_LT_EXIT_TYPE', 'DELTA_OPTIONS_EXIT_TYPE', 'DYN_STRUCT_TRAIL_ENABLED', 'EMER`</t>
        </is>
      </c>
      <c r="E70" s="56" t="inlineStr">
        <is>
          <t>GLOBAL_CHECK</t>
        </is>
      </c>
      <c r="F70" s="54" t="inlineStr">
        <is>
          <t>GLOBAL_CHECK</t>
        </is>
      </c>
      <c r="G70" s="56" t="inlineStr">
        <is>
          <t>EXIT_TO_REDUCE_ADAPTER</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EXIT_TO_REDUCE_ADAPTER_FILTER_TF</t>
        </is>
      </c>
      <c r="P70" s="51" t="inlineStr">
        <is>
          <t>getattr(cfg,"EXIT_TO_REDUCE_ADAPTER_FILTER_TF")</t>
        </is>
      </c>
      <c r="Q70" s="35" t="inlineStr">
        <is>
          <t>NO</t>
        </is>
      </c>
    </row>
    <row r="71" ht="15.75" customHeight="1" s="67">
      <c r="A71" s="54" t="n">
        <v>40</v>
      </c>
      <c r="B71" s="55" t="inlineStr">
        <is>
          <t>EXIT_TO_REDUCE_ADAPTER_FILTER_TF</t>
        </is>
      </c>
      <c r="C71" s="53" t="inlineStr">
        <is>
          <t>D</t>
        </is>
      </c>
      <c r="D71" s="56" t="inlineStr">
        <is>
          <t>Adapts exit signal into reduce (partial) on FILTER_TF. | Live read: `ELTA_LT_EXIT_TYPE', 'DELTA_OPTIONS_EXIT_TYPE', 'DYN_STRUCT_TRAIL_ENABLED', 'EMER`</t>
        </is>
      </c>
      <c r="E71" s="56" t="inlineStr">
        <is>
          <t>GLOBAL_CHECK</t>
        </is>
      </c>
      <c r="F71" s="54" t="inlineStr">
        <is>
          <t>GLOBAL_CHECK</t>
        </is>
      </c>
      <c r="G71" s="56" t="inlineStr">
        <is>
          <t>EXIT_TO_REDUCE_ADAPTER</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EXIT_TO_REDUCE_ADAPTER_FILTER_TF</t>
        </is>
      </c>
      <c r="P71" s="51" t="inlineStr">
        <is>
          <t>getattr(cfg,"EXIT_TO_REDUCE_ADAPTER_FILTER_TF")</t>
        </is>
      </c>
      <c r="Q71" s="35" t="inlineStr">
        <is>
          <t>NO</t>
        </is>
      </c>
    </row>
    <row r="72" ht="15.75" customHeight="1" s="67">
      <c r="A72" s="54" t="n">
        <v>40</v>
      </c>
      <c r="B72" s="55" t="inlineStr">
        <is>
          <t>EXIT_TO_REDUCE_ADAPTER_FILTER_TF</t>
        </is>
      </c>
      <c r="C72" s="53" t="inlineStr">
        <is>
          <t>4h</t>
        </is>
      </c>
      <c r="D72" s="56" t="inlineStr">
        <is>
          <t>Adapts exit signal into reduce (partial) on FILTER_TF. | Live read: `ELTA_LT_EXIT_TYPE', 'DELTA_OPTIONS_EXIT_TYPE', 'DYN_STRUCT_TRAIL_ENABLED', 'EMER`</t>
        </is>
      </c>
      <c r="E72" s="56" t="inlineStr">
        <is>
          <t>GLOBAL_CHECK</t>
        </is>
      </c>
      <c r="F72" s="54" t="inlineStr">
        <is>
          <t>GLOBAL_CHECK</t>
        </is>
      </c>
      <c r="G72" s="56" t="inlineStr">
        <is>
          <t>EXIT_TO_REDUCE_ADAPTER</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EXIT_TO_REDUCE_ADAPTER_FILTER_TF</t>
        </is>
      </c>
      <c r="P72" s="51" t="inlineStr">
        <is>
          <t>getattr(cfg,"EXIT_TO_REDUCE_ADAPTER_FILTER_TF")</t>
        </is>
      </c>
      <c r="Q72" s="35" t="inlineStr">
        <is>
          <t>NO</t>
        </is>
      </c>
    </row>
    <row r="73" ht="15.75" customHeight="1" s="67">
      <c r="A73" s="54" t="n">
        <v>40</v>
      </c>
      <c r="B73" s="55" t="inlineStr">
        <is>
          <t>EXIT_TO_REDUCE_ADAPTER_FILTER_TF</t>
        </is>
      </c>
      <c r="C73" s="53" t="inlineStr">
        <is>
          <t>1h</t>
        </is>
      </c>
      <c r="D73" s="56" t="inlineStr">
        <is>
          <t>Adapts exit signal into reduce (partial) on FILTER_TF. | Live read: `ELTA_LT_EXIT_TYPE', 'DELTA_OPTIONS_EXIT_TYPE', 'DYN_STRUCT_TRAIL_ENABLED', 'EMER`</t>
        </is>
      </c>
      <c r="E73" s="56" t="inlineStr">
        <is>
          <t>GLOBAL_CHECK</t>
        </is>
      </c>
      <c r="F73" s="54" t="inlineStr">
        <is>
          <t>GLOBAL_CHECK</t>
        </is>
      </c>
      <c r="G73" s="56" t="inlineStr">
        <is>
          <t>EXIT_TO_REDUCE_ADAPTER</t>
        </is>
      </c>
      <c r="H73" s="54" t="inlineStr">
        <is>
          <t>SPECIFIC — only gated switches</t>
        </is>
      </c>
      <c r="I73" s="54" t="inlineStr">
        <is>
          <t>LIVE — wired</t>
        </is>
      </c>
      <c r="J73" s="54" t="n"/>
      <c r="K73" s="51" t="inlineStr">
        <is>
          <t>1/4</t>
        </is>
      </c>
      <c r="L73" s="51" t="inlineStr">
        <is>
          <t>OFF, 15m, 1h, 4h, D (5 options)</t>
        </is>
      </c>
      <c r="M73" s="51" t="inlineStr">
        <is>
          <t>15m</t>
        </is>
      </c>
      <c r="N73" s="51" t="inlineStr">
        <is>
          <t>TF selector</t>
        </is>
      </c>
      <c r="O73" s="51" t="inlineStr">
        <is>
          <t>EXIT_TO_REDUCE_ADAPTER_FILTER_TF</t>
        </is>
      </c>
      <c r="P73" s="51" t="inlineStr">
        <is>
          <t>getattr(cfg,"EXIT_TO_REDUCE_ADAPTER_FILTER_TF")</t>
        </is>
      </c>
      <c r="Q73" s="35" t="inlineStr">
        <is>
          <t>NO</t>
        </is>
      </c>
    </row>
    <row r="74" ht="15.75" customHeight="1" s="67">
      <c r="A74" s="54" t="n">
        <v>40</v>
      </c>
      <c r="B74" s="57" t="inlineStr">
        <is>
          <t>EXIT_TO_REDUCE_ADAPTER_FILTER_TF</t>
        </is>
      </c>
      <c r="C74" s="49" t="inlineStr">
        <is>
          <t>15m</t>
        </is>
      </c>
      <c r="D74" s="56" t="inlineStr">
        <is>
          <t>Adapts exit signal into reduce (partial) on FILTER_TF. | Live read: `ELTA_LT_EXIT_TYPE', 'DELTA_OPTIONS_EXIT_TYPE', 'DYN_STRUCT_TRAIL_ENABLED', 'EMER`</t>
        </is>
      </c>
      <c r="E74" s="56" t="inlineStr">
        <is>
          <t>GLOBAL_CHECK</t>
        </is>
      </c>
      <c r="F74" s="54" t="inlineStr">
        <is>
          <t>GLOBAL_CHECK</t>
        </is>
      </c>
      <c r="G74" s="56" t="inlineStr">
        <is>
          <t>EXIT_TO_REDUCE_ADAPTER</t>
        </is>
      </c>
      <c r="H74" s="54" t="inlineStr">
        <is>
          <t>SPECIFIC — only gated switches</t>
        </is>
      </c>
      <c r="I74" s="54" t="inlineStr">
        <is>
          <t>LIVE — wired</t>
        </is>
      </c>
      <c r="J74" s="54" t="n"/>
      <c r="K74" s="51" t="inlineStr">
        <is>
          <t>1/4</t>
        </is>
      </c>
      <c r="L74" s="51" t="inlineStr">
        <is>
          <t>OFF, 15m, 1h, 4h, D (5 options)</t>
        </is>
      </c>
      <c r="M74" s="51" t="inlineStr">
        <is>
          <t>15m</t>
        </is>
      </c>
      <c r="N74" s="51" t="inlineStr">
        <is>
          <t>TF selector</t>
        </is>
      </c>
      <c r="O74" s="51" t="inlineStr">
        <is>
          <t>EXIT_TO_REDUCE_ADAPTER_FILTER_TF</t>
        </is>
      </c>
      <c r="P74" s="51" t="inlineStr">
        <is>
          <t>getattr(cfg,"EXIT_TO_REDUCE_ADAPTER_FILTER_TF")</t>
        </is>
      </c>
      <c r="Q74" s="35" t="inlineStr">
        <is>
          <t>YES</t>
        </is>
      </c>
    </row>
    <row r="75" ht="15.75" customHeight="1" s="67">
      <c r="A75" s="54" t="n">
        <v>45</v>
      </c>
      <c r="B75" s="55" t="inlineStr">
        <is>
          <t>FH_MOMENTUM_FILTER_TF</t>
        </is>
      </c>
      <c r="C75" s="53" t="inlineStr">
        <is>
          <t>OFF</t>
        </is>
      </c>
      <c r="D75" s="56" t="inlineStr">
        <is>
          <t>FH momentum confirmation TF. | Live read: `_SHARPE_GATES_MIN_TFS', 'COOLDOWN_LOCKS_FILTER_TF', 'CRYPTO_SPIKE_FADE_THRESHOLD`</t>
        </is>
      </c>
      <c r="E75" s="56" t="inlineStr">
        <is>
          <t>GLOBAL_CHECK</t>
        </is>
      </c>
      <c r="F75" s="54" t="inlineStr">
        <is>
          <t>GLOBAL_CHECK</t>
        </is>
      </c>
      <c r="G75" s="56" t="inlineStr">
        <is>
          <t>FH_MOMENTUM</t>
        </is>
      </c>
      <c r="H75" s="54" t="inlineStr">
        <is>
          <t>SPECIFIC — only gated switches</t>
        </is>
      </c>
      <c r="I75" s="54" t="inlineStr">
        <is>
          <t>LIVE — wired</t>
        </is>
      </c>
      <c r="J75" s="54" t="n"/>
      <c r="K75" s="51" t="inlineStr">
        <is>
          <t>1/4</t>
        </is>
      </c>
      <c r="L75" s="51" t="inlineStr">
        <is>
          <t>OFF, 15m, 1h, 4h, D (5 options)</t>
        </is>
      </c>
      <c r="M75" s="51" t="inlineStr">
        <is>
          <t>15m</t>
        </is>
      </c>
      <c r="N75" s="51" t="inlineStr">
        <is>
          <t>TF selector</t>
        </is>
      </c>
      <c r="O75" s="51" t="inlineStr">
        <is>
          <t>FH_MOMENTUM_FILTER_TF</t>
        </is>
      </c>
      <c r="P75" s="51" t="inlineStr">
        <is>
          <t>getattr(cfg,"FH_MOMENTUM_FILTER_TF")</t>
        </is>
      </c>
      <c r="Q75" s="35" t="inlineStr">
        <is>
          <t>NO</t>
        </is>
      </c>
    </row>
    <row r="76" ht="15.75" customHeight="1" s="67">
      <c r="A76" s="54" t="n">
        <v>45</v>
      </c>
      <c r="B76" s="55" t="inlineStr">
        <is>
          <t>FH_MOMENTUM_FILTER_TF</t>
        </is>
      </c>
      <c r="C76" s="53" t="inlineStr">
        <is>
          <t>D</t>
        </is>
      </c>
      <c r="D76" s="56" t="inlineStr">
        <is>
          <t>FH momentum confirmation TF. | Live read: `_SHARPE_GATES_MIN_TFS', 'COOLDOWN_LOCKS_FILTER_TF', 'CRYPTO_SPIKE_FADE_THRESHOLD`</t>
        </is>
      </c>
      <c r="E76" s="56" t="inlineStr">
        <is>
          <t>GLOBAL_CHECK</t>
        </is>
      </c>
      <c r="F76" s="54" t="inlineStr">
        <is>
          <t>GLOBAL_CHECK</t>
        </is>
      </c>
      <c r="G76" s="56" t="inlineStr">
        <is>
          <t>FH_MOMENTUM</t>
        </is>
      </c>
      <c r="H76" s="54" t="inlineStr">
        <is>
          <t>SPECIFIC — only gated switches</t>
        </is>
      </c>
      <c r="I76" s="54" t="inlineStr">
        <is>
          <t>LIVE — wired</t>
        </is>
      </c>
      <c r="J76" s="54" t="n"/>
      <c r="K76" s="51" t="inlineStr">
        <is>
          <t>1/4</t>
        </is>
      </c>
      <c r="L76" s="51" t="inlineStr">
        <is>
          <t>OFF, 15m, 1h, 4h, D (5 options)</t>
        </is>
      </c>
      <c r="M76" s="51" t="inlineStr">
        <is>
          <t>15m</t>
        </is>
      </c>
      <c r="N76" s="51" t="inlineStr">
        <is>
          <t>TF selector</t>
        </is>
      </c>
      <c r="O76" s="51" t="inlineStr">
        <is>
          <t>FH_MOMENTUM_FILTER_TF</t>
        </is>
      </c>
      <c r="P76" s="51" t="inlineStr">
        <is>
          <t>getattr(cfg,"FH_MOMENTUM_FILTER_TF")</t>
        </is>
      </c>
      <c r="Q76" s="35" t="inlineStr">
        <is>
          <t>NO</t>
        </is>
      </c>
    </row>
    <row r="77" ht="15.75" customHeight="1" s="67">
      <c r="A77" s="54" t="n">
        <v>45</v>
      </c>
      <c r="B77" s="55" t="inlineStr">
        <is>
          <t>FH_MOMENTUM_FILTER_TF</t>
        </is>
      </c>
      <c r="C77" s="53" t="inlineStr">
        <is>
          <t>4h</t>
        </is>
      </c>
      <c r="D77" s="56" t="inlineStr">
        <is>
          <t>FH momentum confirmation TF. | Live read: `_SHARPE_GATES_MIN_TFS', 'COOLDOWN_LOCKS_FILTER_TF', 'CRYPTO_SPIKE_FADE_THRESHOLD`</t>
        </is>
      </c>
      <c r="E77" s="56" t="inlineStr">
        <is>
          <t>GLOBAL_CHECK</t>
        </is>
      </c>
      <c r="F77" s="54" t="inlineStr">
        <is>
          <t>GLOBAL_CHECK</t>
        </is>
      </c>
      <c r="G77" s="56" t="inlineStr">
        <is>
          <t>FH_MOMENTUM</t>
        </is>
      </c>
      <c r="H77" s="54" t="inlineStr">
        <is>
          <t>SPECIFIC — only gated switches</t>
        </is>
      </c>
      <c r="I77" s="54" t="inlineStr">
        <is>
          <t>LIVE — wired</t>
        </is>
      </c>
      <c r="J77" s="54" t="n"/>
      <c r="K77" s="51" t="inlineStr">
        <is>
          <t>1/4</t>
        </is>
      </c>
      <c r="L77" s="51" t="inlineStr">
        <is>
          <t>OFF, 15m, 1h, 4h, D (5 options)</t>
        </is>
      </c>
      <c r="M77" s="51" t="inlineStr">
        <is>
          <t>15m</t>
        </is>
      </c>
      <c r="N77" s="51" t="inlineStr">
        <is>
          <t>TF selector</t>
        </is>
      </c>
      <c r="O77" s="51" t="inlineStr">
        <is>
          <t>FH_MOMENTUM_FILTER_TF</t>
        </is>
      </c>
      <c r="P77" s="51" t="inlineStr">
        <is>
          <t>getattr(cfg,"FH_MOMENTUM_FILTER_TF")</t>
        </is>
      </c>
      <c r="Q77" s="35" t="inlineStr">
        <is>
          <t>NO</t>
        </is>
      </c>
    </row>
    <row r="78" ht="15.75" customHeight="1" s="67">
      <c r="A78" s="54" t="n">
        <v>45</v>
      </c>
      <c r="B78" s="55" t="inlineStr">
        <is>
          <t>FH_MOMENTUM_FILTER_TF</t>
        </is>
      </c>
      <c r="C78" s="53" t="inlineStr">
        <is>
          <t>1h</t>
        </is>
      </c>
      <c r="D78" s="56" t="inlineStr">
        <is>
          <t>FH momentum confirmation TF. | Live read: `_SHARPE_GATES_MIN_TFS', 'COOLDOWN_LOCKS_FILTER_TF', 'CRYPTO_SPIKE_FADE_THRESHOLD`</t>
        </is>
      </c>
      <c r="E78" s="56" t="inlineStr">
        <is>
          <t>GLOBAL_CHECK</t>
        </is>
      </c>
      <c r="F78" s="54" t="inlineStr">
        <is>
          <t>GLOBAL_CHECK</t>
        </is>
      </c>
      <c r="G78" s="56" t="inlineStr">
        <is>
          <t>FH_MOMENTUM</t>
        </is>
      </c>
      <c r="H78" s="54" t="inlineStr">
        <is>
          <t>SPECIFIC — only gated switches</t>
        </is>
      </c>
      <c r="I78" s="54" t="inlineStr">
        <is>
          <t>LIVE — wired</t>
        </is>
      </c>
      <c r="J78" s="54" t="n"/>
      <c r="K78" s="51" t="inlineStr">
        <is>
          <t>1/4</t>
        </is>
      </c>
      <c r="L78" s="51" t="inlineStr">
        <is>
          <t>OFF, 15m, 1h, 4h, D (5 options)</t>
        </is>
      </c>
      <c r="M78" s="51" t="inlineStr">
        <is>
          <t>15m</t>
        </is>
      </c>
      <c r="N78" s="51" t="inlineStr">
        <is>
          <t>TF selector</t>
        </is>
      </c>
      <c r="O78" s="51" t="inlineStr">
        <is>
          <t>FH_MOMENTUM_FILTER_TF</t>
        </is>
      </c>
      <c r="P78" s="51" t="inlineStr">
        <is>
          <t>getattr(cfg,"FH_MOMENTUM_FILTER_TF")</t>
        </is>
      </c>
      <c r="Q78" s="35" t="inlineStr">
        <is>
          <t>NO</t>
        </is>
      </c>
    </row>
    <row r="79" ht="15.75" customHeight="1" s="67">
      <c r="A79" s="54" t="n">
        <v>45</v>
      </c>
      <c r="B79" s="57" t="inlineStr">
        <is>
          <t>FH_MOMENTUM_FILTER_TF</t>
        </is>
      </c>
      <c r="C79" s="49" t="inlineStr">
        <is>
          <t>15m</t>
        </is>
      </c>
      <c r="D79" s="56" t="inlineStr">
        <is>
          <t>FH momentum confirmation TF. | Live read: `_SHARPE_GATES_MIN_TFS', 'COOLDOWN_LOCKS_FILTER_TF', 'CRYPTO_SPIKE_FADE_THRESHOLD`</t>
        </is>
      </c>
      <c r="E79" s="56" t="inlineStr">
        <is>
          <t>GLOBAL_CHECK</t>
        </is>
      </c>
      <c r="F79" s="54" t="inlineStr">
        <is>
          <t>GLOBAL_CHECK</t>
        </is>
      </c>
      <c r="G79" s="56" t="inlineStr">
        <is>
          <t>FH_MOMENTUM</t>
        </is>
      </c>
      <c r="H79" s="54" t="inlineStr">
        <is>
          <t>SPECIFIC — only gated switches</t>
        </is>
      </c>
      <c r="I79" s="54" t="inlineStr">
        <is>
          <t>LIVE — wired</t>
        </is>
      </c>
      <c r="J79" s="54" t="n"/>
      <c r="K79" s="51" t="inlineStr">
        <is>
          <t>1/4</t>
        </is>
      </c>
      <c r="L79" s="51" t="inlineStr">
        <is>
          <t>OFF, 15m, 1h, 4h, D (5 options)</t>
        </is>
      </c>
      <c r="M79" s="51" t="inlineStr">
        <is>
          <t>15m</t>
        </is>
      </c>
      <c r="N79" s="51" t="inlineStr">
        <is>
          <t>TF selector</t>
        </is>
      </c>
      <c r="O79" s="51" t="inlineStr">
        <is>
          <t>FH_MOMENTUM_FILTER_TF</t>
        </is>
      </c>
      <c r="P79" s="51" t="inlineStr">
        <is>
          <t>getattr(cfg,"FH_MOMENTUM_FILTER_TF")</t>
        </is>
      </c>
      <c r="Q79" s="35" t="inlineStr">
        <is>
          <t>YES</t>
        </is>
      </c>
    </row>
    <row r="80" ht="15.75" customHeight="1" s="67">
      <c r="A80" s="54" t="n">
        <v>46</v>
      </c>
      <c r="B80" s="55" t="inlineStr">
        <is>
          <t>FIRST_OPEN_THROTTLE_FILTER_TF</t>
        </is>
      </c>
      <c r="C80" s="53" t="inlineStr">
        <is>
          <t>OFF</t>
        </is>
      </c>
      <c r="D80" s="56" t="inlineStr">
        <is>
          <t>Throttles first open after cooldown on FILTER_TF. | Live read: `SHOLD', 'ENTRY_BB_SQUEEZE_LOOKBACK', 'ENTRY_BB_SQUEEZE_RATIO', 'ENTRY_BB_SQUEEZE`</t>
        </is>
      </c>
      <c r="E80" s="56" t="inlineStr">
        <is>
          <t>GLOBAL_CHECK</t>
        </is>
      </c>
      <c r="F80" s="54" t="inlineStr">
        <is>
          <t>GLOBAL_CHECK</t>
        </is>
      </c>
      <c r="G80" s="56" t="inlineStr">
        <is>
          <t>FIRST_OPEN_THROTTLE</t>
        </is>
      </c>
      <c r="H80" s="54" t="inlineStr">
        <is>
          <t>SPECIFIC — only gated switches</t>
        </is>
      </c>
      <c r="I80" s="54" t="inlineStr">
        <is>
          <t>LIVE — wired</t>
        </is>
      </c>
      <c r="J80" s="54" t="n"/>
      <c r="K80" s="51" t="inlineStr">
        <is>
          <t>1/4</t>
        </is>
      </c>
      <c r="L80" s="51" t="inlineStr">
        <is>
          <t>OFF, 15m, 1h, 4h, D (5 options)</t>
        </is>
      </c>
      <c r="M80" s="51" t="inlineStr">
        <is>
          <t>15m</t>
        </is>
      </c>
      <c r="N80" s="51" t="inlineStr">
        <is>
          <t>TF selector</t>
        </is>
      </c>
      <c r="O80" s="51" t="inlineStr">
        <is>
          <t>FIRST_OPEN_THROTTLE_FILTER_TF</t>
        </is>
      </c>
      <c r="P80" s="51" t="inlineStr">
        <is>
          <t>getattr(cfg,"FIRST_OPEN_THROTTLE_FILTER_TF")</t>
        </is>
      </c>
      <c r="Q80" s="35" t="inlineStr">
        <is>
          <t>NO</t>
        </is>
      </c>
    </row>
    <row r="81" ht="15.75" customHeight="1" s="67">
      <c r="A81" s="54" t="n">
        <v>46</v>
      </c>
      <c r="B81" s="55" t="inlineStr">
        <is>
          <t>FIRST_OPEN_THROTTLE_FILTER_TF</t>
        </is>
      </c>
      <c r="C81" s="53" t="inlineStr">
        <is>
          <t>D</t>
        </is>
      </c>
      <c r="D81" s="56" t="inlineStr">
        <is>
          <t>Throttles first open after cooldown on FILTER_TF. | Live read: `SHOLD', 'ENTRY_BB_SQUEEZE_LOOKBACK', 'ENTRY_BB_SQUEEZE_RATIO', 'ENTRY_BB_SQUEEZE`</t>
        </is>
      </c>
      <c r="E81" s="56" t="inlineStr">
        <is>
          <t>GLOBAL_CHECK</t>
        </is>
      </c>
      <c r="F81" s="54" t="inlineStr">
        <is>
          <t>GLOBAL_CHECK</t>
        </is>
      </c>
      <c r="G81" s="56" t="inlineStr">
        <is>
          <t>FIRST_OPEN_THROTTLE</t>
        </is>
      </c>
      <c r="H81" s="54" t="inlineStr">
        <is>
          <t>SPECIFIC — only gated switches</t>
        </is>
      </c>
      <c r="I81" s="54" t="inlineStr">
        <is>
          <t>LIVE — wired</t>
        </is>
      </c>
      <c r="J81" s="54" t="n"/>
      <c r="K81" s="51" t="inlineStr">
        <is>
          <t>1/4</t>
        </is>
      </c>
      <c r="L81" s="51" t="inlineStr">
        <is>
          <t>OFF, 15m, 1h, 4h, D (5 options)</t>
        </is>
      </c>
      <c r="M81" s="51" t="inlineStr">
        <is>
          <t>15m</t>
        </is>
      </c>
      <c r="N81" s="51" t="inlineStr">
        <is>
          <t>TF selector</t>
        </is>
      </c>
      <c r="O81" s="51" t="inlineStr">
        <is>
          <t>FIRST_OPEN_THROTTLE_FILTER_TF</t>
        </is>
      </c>
      <c r="P81" s="51" t="inlineStr">
        <is>
          <t>getattr(cfg,"FIRST_OPEN_THROTTLE_FILTER_TF")</t>
        </is>
      </c>
      <c r="Q81" s="35" t="inlineStr">
        <is>
          <t>NO</t>
        </is>
      </c>
    </row>
    <row r="82" ht="15.75" customHeight="1" s="67">
      <c r="A82" s="54" t="n">
        <v>46</v>
      </c>
      <c r="B82" s="55" t="inlineStr">
        <is>
          <t>FIRST_OPEN_THROTTLE_FILTER_TF</t>
        </is>
      </c>
      <c r="C82" s="53" t="inlineStr">
        <is>
          <t>4h</t>
        </is>
      </c>
      <c r="D82" s="56" t="inlineStr">
        <is>
          <t>Throttles first open after cooldown on FILTER_TF. | Live read: `SHOLD', 'ENTRY_BB_SQUEEZE_LOOKBACK', 'ENTRY_BB_SQUEEZE_RATIO', 'ENTRY_BB_SQUEEZE`</t>
        </is>
      </c>
      <c r="E82" s="56" t="inlineStr">
        <is>
          <t>GLOBAL_CHECK</t>
        </is>
      </c>
      <c r="F82" s="54" t="inlineStr">
        <is>
          <t>GLOBAL_CHECK</t>
        </is>
      </c>
      <c r="G82" s="56" t="inlineStr">
        <is>
          <t>FIRST_OPEN_THROTTLE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FIRST_OPEN_THROTTLE_FILTER_TF</t>
        </is>
      </c>
      <c r="P82" s="51" t="inlineStr">
        <is>
          <t>getattr(cfg,"FIRST_OPEN_THROTTLE_FILTER_TF")</t>
        </is>
      </c>
      <c r="Q82" s="35" t="inlineStr">
        <is>
          <t>NO</t>
        </is>
      </c>
    </row>
    <row r="83" ht="15.75" customHeight="1" s="67">
      <c r="A83" s="54" t="n">
        <v>46</v>
      </c>
      <c r="B83" s="55" t="inlineStr">
        <is>
          <t>FIRST_OPEN_THROTTLE_FILTER_TF</t>
        </is>
      </c>
      <c r="C83" s="53" t="inlineStr">
        <is>
          <t>1h</t>
        </is>
      </c>
      <c r="D83" s="56" t="inlineStr">
        <is>
          <t>Throttles first open after cooldown on FILTER_TF. | Live read: `SHOLD', 'ENTRY_BB_SQUEEZE_LOOKBACK', 'ENTRY_BB_SQUEEZE_RATIO', 'ENTRY_BB_SQUEEZE`</t>
        </is>
      </c>
      <c r="E83" s="56" t="inlineStr">
        <is>
          <t>GLOBAL_CHECK</t>
        </is>
      </c>
      <c r="F83" s="54" t="inlineStr">
        <is>
          <t>GLOBAL_CHECK</t>
        </is>
      </c>
      <c r="G83" s="56" t="inlineStr">
        <is>
          <t>FIRST_OPEN_THROTTLE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FIRST_OPEN_THROTTLE_FILTER_TF</t>
        </is>
      </c>
      <c r="P83" s="51" t="inlineStr">
        <is>
          <t>getattr(cfg,"FIRST_OPEN_THROTTLE_FILTER_TF")</t>
        </is>
      </c>
      <c r="Q83" s="35" t="inlineStr">
        <is>
          <t>NO</t>
        </is>
      </c>
    </row>
    <row r="84" ht="15.75" customHeight="1" s="67">
      <c r="A84" s="54" t="n">
        <v>46</v>
      </c>
      <c r="B84" s="57" t="inlineStr">
        <is>
          <t>FIRST_OPEN_THROTTLE_FILTER_TF</t>
        </is>
      </c>
      <c r="C84" s="49" t="inlineStr">
        <is>
          <t>15m</t>
        </is>
      </c>
      <c r="D84" s="56" t="inlineStr">
        <is>
          <t>Throttles first open after cooldown on FILTER_TF. | Live read: `SHOLD', 'ENTRY_BB_SQUEEZE_LOOKBACK', 'ENTRY_BB_SQUEEZE_RATIO', 'ENTRY_BB_SQUEEZE`</t>
        </is>
      </c>
      <c r="E84" s="56" t="inlineStr">
        <is>
          <t>GLOBAL_CHECK</t>
        </is>
      </c>
      <c r="F84" s="54" t="inlineStr">
        <is>
          <t>GLOBAL_CHECK</t>
        </is>
      </c>
      <c r="G84" s="56" t="inlineStr">
        <is>
          <t>FIRST_OPEN_THROTTLE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FIRST_OPEN_THROTTLE_FILTER_TF</t>
        </is>
      </c>
      <c r="P84" s="51" t="inlineStr">
        <is>
          <t>getattr(cfg,"FIRST_OPEN_THROTTLE_FILTER_TF")</t>
        </is>
      </c>
      <c r="Q84" s="35" t="inlineStr">
        <is>
          <t>YES</t>
        </is>
      </c>
    </row>
    <row r="85" ht="15.75" customHeight="1" s="67">
      <c r="A85" s="54" t="n">
        <v>47</v>
      </c>
      <c r="B85" s="55" t="inlineStr">
        <is>
          <t>FROZEN_STOP_FILTER_TF</t>
        </is>
      </c>
      <c r="C85" s="53" t="inlineStr">
        <is>
          <t>OFF</t>
        </is>
      </c>
      <c r="D85" s="56" t="inlineStr">
        <is>
          <t>Frozen (stale) stop — avoids stop triggered on stale DC/BB. | Live read: `TIGHT_BREAKOUT_SCORER_FILTER_TF', 'EXIT_TIGHT_BREAKOUT_SCORER_MIN_TFS', 'EXIT_TO`</t>
        </is>
      </c>
      <c r="E85" s="56" t="inlineStr">
        <is>
          <t>GLOBAL_CHECK</t>
        </is>
      </c>
      <c r="F85" s="54" t="inlineStr">
        <is>
          <t>GLOBAL_CHECK</t>
        </is>
      </c>
      <c r="G85" s="56" t="inlineStr">
        <is>
          <t>FROZEN_STOP</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FROZEN_STOP_FILTER_TF</t>
        </is>
      </c>
      <c r="P85" s="51" t="inlineStr">
        <is>
          <t>getattr(cfg,"FROZEN_STOP_FILTER_TF")</t>
        </is>
      </c>
      <c r="Q85" s="35" t="inlineStr">
        <is>
          <t>NO</t>
        </is>
      </c>
    </row>
    <row r="86" ht="15.75" customHeight="1" s="67">
      <c r="A86" s="54" t="n">
        <v>47</v>
      </c>
      <c r="B86" s="55" t="inlineStr">
        <is>
          <t>FROZEN_STOP_FILTER_TF</t>
        </is>
      </c>
      <c r="C86" s="53" t="inlineStr">
        <is>
          <t>D</t>
        </is>
      </c>
      <c r="D86" s="56" t="inlineStr">
        <is>
          <t>Frozen (stale) stop — avoids stop triggered on stale DC/BB. | Live read: `TIGHT_BREAKOUT_SCORER_FILTER_TF', 'EXIT_TIGHT_BREAKOUT_SCORER_MIN_TFS', 'EXIT_TO`</t>
        </is>
      </c>
      <c r="E86" s="56" t="inlineStr">
        <is>
          <t>GLOBAL_CHECK</t>
        </is>
      </c>
      <c r="F86" s="54" t="inlineStr">
        <is>
          <t>GLOBAL_CHECK</t>
        </is>
      </c>
      <c r="G86" s="56" t="inlineStr">
        <is>
          <t>FROZEN_STOP</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FROZEN_STOP_FILTER_TF</t>
        </is>
      </c>
      <c r="P86" s="51" t="inlineStr">
        <is>
          <t>getattr(cfg,"FROZEN_STOP_FILTER_TF")</t>
        </is>
      </c>
      <c r="Q86" s="35" t="inlineStr">
        <is>
          <t>NO</t>
        </is>
      </c>
    </row>
    <row r="87" ht="15.75" customHeight="1" s="67">
      <c r="A87" s="54" t="n">
        <v>47</v>
      </c>
      <c r="B87" s="55" t="inlineStr">
        <is>
          <t>FROZEN_STOP_FILTER_TF</t>
        </is>
      </c>
      <c r="C87" s="53" t="inlineStr">
        <is>
          <t>4h</t>
        </is>
      </c>
      <c r="D87" s="56" t="inlineStr">
        <is>
          <t>Frozen (stale) stop — avoids stop triggered on stale DC/BB. | Live read: `TIGHT_BREAKOUT_SCORER_FILTER_TF', 'EXIT_TIGHT_BREAKOUT_SCORER_MIN_TFS', 'EXIT_TO`</t>
        </is>
      </c>
      <c r="E87" s="56" t="inlineStr">
        <is>
          <t>GLOBAL_CHECK</t>
        </is>
      </c>
      <c r="F87" s="54" t="inlineStr">
        <is>
          <t>GLOBAL_CHECK</t>
        </is>
      </c>
      <c r="G87" s="56" t="inlineStr">
        <is>
          <t>FROZEN_STOP</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FROZEN_STOP_FILTER_TF</t>
        </is>
      </c>
      <c r="P87" s="51" t="inlineStr">
        <is>
          <t>getattr(cfg,"FROZEN_STOP_FILTER_TF")</t>
        </is>
      </c>
      <c r="Q87" s="35" t="inlineStr">
        <is>
          <t>NO</t>
        </is>
      </c>
    </row>
    <row r="88" ht="15.75" customHeight="1" s="67">
      <c r="A88" s="54" t="n">
        <v>47</v>
      </c>
      <c r="B88" s="55" t="inlineStr">
        <is>
          <t>FROZEN_STOP_FILTER_TF</t>
        </is>
      </c>
      <c r="C88" s="53" t="inlineStr">
        <is>
          <t>1h</t>
        </is>
      </c>
      <c r="D88" s="56" t="inlineStr">
        <is>
          <t>Frozen (stale) stop — avoids stop triggered on stale DC/BB. | Live read: `TIGHT_BREAKOUT_SCORER_FILTER_TF', 'EXIT_TIGHT_BREAKOUT_SCORER_MIN_TFS', 'EXIT_TO`</t>
        </is>
      </c>
      <c r="E88" s="56" t="inlineStr">
        <is>
          <t>GLOBAL_CHECK</t>
        </is>
      </c>
      <c r="F88" s="54" t="inlineStr">
        <is>
          <t>GLOBAL_CHECK</t>
        </is>
      </c>
      <c r="G88" s="56" t="inlineStr">
        <is>
          <t>FROZEN_STOP</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FROZEN_STOP_FILTER_TF</t>
        </is>
      </c>
      <c r="P88" s="51" t="inlineStr">
        <is>
          <t>getattr(cfg,"FROZEN_STOP_FILTER_TF")</t>
        </is>
      </c>
      <c r="Q88" s="35" t="inlineStr">
        <is>
          <t>NO</t>
        </is>
      </c>
    </row>
    <row r="89" ht="15.75" customHeight="1" s="67">
      <c r="A89" s="54" t="n">
        <v>53</v>
      </c>
      <c r="B89" s="55" t="inlineStr">
        <is>
          <t>GOLDEN_RULE_ENFORCE_FILTER_TF</t>
        </is>
      </c>
      <c r="C89" s="53" t="inlineStr">
        <is>
          <t>OFF</t>
        </is>
      </c>
      <c r="D89" s="56" t="inlineStr">
        <is>
          <t>Golden Rule enforcement TF. | Live read: `SHOLD_PCT', 'DC_BREAK_FILTER_TF', 'DC_LOW4_BYPASS_USE_STANDARD', 'DC_MOMENTUM_BO`</t>
        </is>
      </c>
      <c r="E89" s="56" t="inlineStr">
        <is>
          <t>GLOBAL_CHECK</t>
        </is>
      </c>
      <c r="F89" s="54" t="inlineStr">
        <is>
          <t>GLOBAL_CHECK</t>
        </is>
      </c>
      <c r="G89" s="56" t="inlineStr">
        <is>
          <t>GOLDEN_RULE_ENFORCE</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GOLDEN_RULE_ENFORCE_FILTER_TF</t>
        </is>
      </c>
      <c r="P89" s="51" t="inlineStr">
        <is>
          <t>getattr(cfg,"GOLDEN_RULE_ENFORCE_FILTER_TF")</t>
        </is>
      </c>
      <c r="Q89" s="35" t="inlineStr">
        <is>
          <t>NO</t>
        </is>
      </c>
    </row>
    <row r="90" ht="15.75" customHeight="1" s="67">
      <c r="A90" s="54" t="n">
        <v>53</v>
      </c>
      <c r="B90" s="55" t="inlineStr">
        <is>
          <t>GOLDEN_RULE_ENFORCE_FILTER_TF</t>
        </is>
      </c>
      <c r="C90" s="53" t="inlineStr">
        <is>
          <t>D</t>
        </is>
      </c>
      <c r="D90" s="56" t="inlineStr">
        <is>
          <t>Golden Rule enforcement TF. | Live read: `SHOLD_PCT', 'DC_BREAK_FILTER_TF', 'DC_LOW4_BYPASS_USE_STANDARD', 'DC_MOMENTUM_BO`</t>
        </is>
      </c>
      <c r="E90" s="56" t="inlineStr">
        <is>
          <t>GLOBAL_CHECK</t>
        </is>
      </c>
      <c r="F90" s="54" t="inlineStr">
        <is>
          <t>GLOBAL_CHECK</t>
        </is>
      </c>
      <c r="G90" s="56" t="inlineStr">
        <is>
          <t>GOLDEN_RULE_ENFORCE</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GOLDEN_RULE_ENFORCE_FILTER_TF</t>
        </is>
      </c>
      <c r="P90" s="51" t="inlineStr">
        <is>
          <t>getattr(cfg,"GOLDEN_RULE_ENFORCE_FILTER_TF")</t>
        </is>
      </c>
      <c r="Q90" s="35" t="inlineStr">
        <is>
          <t>NO</t>
        </is>
      </c>
    </row>
    <row r="91" ht="15.75" customHeight="1" s="67">
      <c r="A91" s="54" t="n">
        <v>53</v>
      </c>
      <c r="B91" s="55" t="inlineStr">
        <is>
          <t>GOLDEN_RULE_ENFORCE_FILTER_TF</t>
        </is>
      </c>
      <c r="C91" s="53" t="inlineStr">
        <is>
          <t>4h</t>
        </is>
      </c>
      <c r="D91" s="56" t="inlineStr">
        <is>
          <t>Golden Rule enforcement TF. | Live read: `SHOLD_PCT', 'DC_BREAK_FILTER_TF', 'DC_LOW4_BYPASS_USE_STANDARD', 'DC_MOMENTUM_BO`</t>
        </is>
      </c>
      <c r="E91" s="56" t="inlineStr">
        <is>
          <t>GLOBAL_CHECK</t>
        </is>
      </c>
      <c r="F91" s="54" t="inlineStr">
        <is>
          <t>GLOBAL_CHECK</t>
        </is>
      </c>
      <c r="G91" s="56" t="inlineStr">
        <is>
          <t>GOLDEN_RULE_ENFORCE</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GOLDEN_RULE_ENFORCE_FILTER_TF</t>
        </is>
      </c>
      <c r="P91" s="51" t="inlineStr">
        <is>
          <t>getattr(cfg,"GOLDEN_RULE_ENFORCE_FILTER_TF")</t>
        </is>
      </c>
      <c r="Q91" s="35" t="inlineStr">
        <is>
          <t>NO</t>
        </is>
      </c>
    </row>
    <row r="92" ht="15.75" customHeight="1" s="67">
      <c r="A92" s="54" t="n">
        <v>53</v>
      </c>
      <c r="B92" s="55" t="inlineStr">
        <is>
          <t>GOLDEN_RULE_ENFORCE_FILTER_TF</t>
        </is>
      </c>
      <c r="C92" s="53" t="inlineStr">
        <is>
          <t>1h</t>
        </is>
      </c>
      <c r="D92" s="56" t="inlineStr">
        <is>
          <t>Golden Rule enforcement TF. | Live read: `SHOLD_PCT', 'DC_BREAK_FILTER_TF', 'DC_LOW4_BYPASS_USE_STANDARD', 'DC_MOMENTUM_BO`</t>
        </is>
      </c>
      <c r="E92" s="56" t="inlineStr">
        <is>
          <t>GLOBAL_CHECK</t>
        </is>
      </c>
      <c r="F92" s="54" t="inlineStr">
        <is>
          <t>GLOBAL_CHECK</t>
        </is>
      </c>
      <c r="G92" s="56" t="inlineStr">
        <is>
          <t>GOLDEN_RULE_ENFORCE</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GOLDEN_RULE_ENFORCE_FILTER_TF</t>
        </is>
      </c>
      <c r="P92" s="51" t="inlineStr">
        <is>
          <t>getattr(cfg,"GOLDEN_RULE_ENFORCE_FILTER_TF")</t>
        </is>
      </c>
      <c r="Q92" s="35" t="inlineStr">
        <is>
          <t>NO</t>
        </is>
      </c>
    </row>
    <row r="93" ht="15.75" customHeight="1" s="67">
      <c r="A93" s="54" t="n">
        <v>54</v>
      </c>
      <c r="B93" s="55" t="inlineStr">
        <is>
          <t>GOLDEN_RULE_HTF_VOTE_FILTER_TF</t>
        </is>
      </c>
      <c r="C93" s="53" t="inlineStr">
        <is>
          <t>OFF</t>
        </is>
      </c>
      <c r="D93" s="56" t="inlineStr">
        <is>
          <t>Golden Rule HTF vote TF. | Live read: `'DC_LOW4_BYPASS_USE_STANDARD', 'DC_MOMENTUM_BOTA_SCORER_FILTER_TF', 'DC_MOMENT_S`</t>
        </is>
      </c>
      <c r="E93" s="56" t="inlineStr">
        <is>
          <t>GLOBAL_CHECK</t>
        </is>
      </c>
      <c r="F93" s="54" t="inlineStr">
        <is>
          <t>GLOBAL_CHECK</t>
        </is>
      </c>
      <c r="G93" s="56" t="inlineStr">
        <is>
          <t>GOLDEN_RULE_HTF_VOTE</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GOLDEN_RULE_HTF_VOTE_FILTER_TF</t>
        </is>
      </c>
      <c r="P93" s="51" t="inlineStr">
        <is>
          <t>getattr(cfg,"GOLDEN_RULE_HTF_VOTE_FILTER_TF")</t>
        </is>
      </c>
      <c r="Q93" s="35" t="inlineStr">
        <is>
          <t>NO</t>
        </is>
      </c>
    </row>
    <row r="94" ht="15.75" customHeight="1" s="67">
      <c r="A94" s="54" t="n">
        <v>54</v>
      </c>
      <c r="B94" s="55" t="inlineStr">
        <is>
          <t>GOLDEN_RULE_HTF_VOTE_FILTER_TF</t>
        </is>
      </c>
      <c r="C94" s="53" t="inlineStr">
        <is>
          <t>D</t>
        </is>
      </c>
      <c r="D94" s="56" t="inlineStr">
        <is>
          <t>Golden Rule HTF vote TF. | Live read: `'DC_LOW4_BYPASS_USE_STANDARD', 'DC_MOMENTUM_BOTA_SCORER_FILTER_TF', 'DC_MOMENT_S`</t>
        </is>
      </c>
      <c r="E94" s="56" t="inlineStr">
        <is>
          <t>GLOBAL_CHECK</t>
        </is>
      </c>
      <c r="F94" s="54" t="inlineStr">
        <is>
          <t>GLOBAL_CHECK</t>
        </is>
      </c>
      <c r="G94" s="56" t="inlineStr">
        <is>
          <t>GOLDEN_RULE_HTF_VOTE</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GOLDEN_RULE_HTF_VOTE_FILTER_TF</t>
        </is>
      </c>
      <c r="P94" s="51" t="inlineStr">
        <is>
          <t>getattr(cfg,"GOLDEN_RULE_HTF_VOTE_FILTER_TF")</t>
        </is>
      </c>
      <c r="Q94" s="35" t="inlineStr">
        <is>
          <t>NO</t>
        </is>
      </c>
    </row>
    <row r="95" ht="15.75" customHeight="1" s="67">
      <c r="A95" s="54" t="n">
        <v>54</v>
      </c>
      <c r="B95" s="55" t="inlineStr">
        <is>
          <t>GOLDEN_RULE_HTF_VOTE_FILTER_TF</t>
        </is>
      </c>
      <c r="C95" s="53" t="inlineStr">
        <is>
          <t>4h</t>
        </is>
      </c>
      <c r="D95" s="56" t="inlineStr">
        <is>
          <t>Golden Rule HTF vote TF. | Live read: `'DC_LOW4_BYPASS_USE_STANDARD', 'DC_MOMENTUM_BOTA_SCORER_FILTER_TF', 'DC_MOMENT_S`</t>
        </is>
      </c>
      <c r="E95" s="56" t="inlineStr">
        <is>
          <t>GLOBAL_CHECK</t>
        </is>
      </c>
      <c r="F95" s="54" t="inlineStr">
        <is>
          <t>GLOBAL_CHECK</t>
        </is>
      </c>
      <c r="G95" s="56" t="inlineStr">
        <is>
          <t>GOLDEN_RULE_HTF_VOTE</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GOLDEN_RULE_HTF_VOTE_FILTER_TF</t>
        </is>
      </c>
      <c r="P95" s="51" t="inlineStr">
        <is>
          <t>getattr(cfg,"GOLDEN_RULE_HTF_VOTE_FILTER_TF")</t>
        </is>
      </c>
      <c r="Q95" s="35" t="inlineStr">
        <is>
          <t>NO</t>
        </is>
      </c>
    </row>
    <row r="96" ht="15.75" customHeight="1" s="67">
      <c r="A96" s="54" t="n">
        <v>54</v>
      </c>
      <c r="B96" s="55" t="inlineStr">
        <is>
          <t>GOLDEN_RULE_HTF_VOTE_FILTER_TF</t>
        </is>
      </c>
      <c r="C96" s="53" t="inlineStr">
        <is>
          <t>1h</t>
        </is>
      </c>
      <c r="D96" s="56" t="inlineStr">
        <is>
          <t>Golden Rule HTF vote TF. | Live read: `'DC_LOW4_BYPASS_USE_STANDARD', 'DC_MOMENTUM_BOTA_SCORER_FILTER_TF', 'DC_MOMENT_S`</t>
        </is>
      </c>
      <c r="E96" s="56" t="inlineStr">
        <is>
          <t>GLOBAL_CHECK</t>
        </is>
      </c>
      <c r="F96" s="54" t="inlineStr">
        <is>
          <t>GLOBAL_CHECK</t>
        </is>
      </c>
      <c r="G96" s="56" t="inlineStr">
        <is>
          <t>GOLDEN_RULE_HTF_VOTE</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GOLDEN_RULE_HTF_VOTE_FILTER_TF</t>
        </is>
      </c>
      <c r="P96" s="51" t="inlineStr">
        <is>
          <t>getattr(cfg,"GOLDEN_RULE_HTF_VOTE_FILTER_TF")</t>
        </is>
      </c>
      <c r="Q96" s="35" t="inlineStr">
        <is>
          <t>NO</t>
        </is>
      </c>
    </row>
    <row r="97" ht="15.75" customHeight="1" s="67">
      <c r="A97" s="54" t="n">
        <v>57</v>
      </c>
      <c r="B97" s="55" t="inlineStr">
        <is>
          <t>GR_FILTER_VEC_FILTER_TF</t>
        </is>
      </c>
      <c r="C97" s="53" t="inlineStr">
        <is>
          <t>OFF</t>
        </is>
      </c>
      <c r="D9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7" s="56" t="inlineStr">
        <is>
          <t>GLOBAL_CHECK</t>
        </is>
      </c>
      <c r="F97" s="54" t="inlineStr">
        <is>
          <t>GLOBAL_CHECK</t>
        </is>
      </c>
      <c r="G97" s="56" t="inlineStr">
        <is>
          <t>GR_FILTER_VEC</t>
        </is>
      </c>
      <c r="H97" s="54" t="inlineStr">
        <is>
          <t>SPECIFIC — only gated switches</t>
        </is>
      </c>
      <c r="I97" s="54" t="inlineStr">
        <is>
          <t>LIVE — wired</t>
        </is>
      </c>
      <c r="J97" s="54" t="n"/>
      <c r="K97" s="51" t="inlineStr">
        <is>
          <t>1/4</t>
        </is>
      </c>
      <c r="L97" s="51" t="inlineStr">
        <is>
          <t>OFF, 15m, 1h, 4h, D (5 options)</t>
        </is>
      </c>
      <c r="M97" s="51" t="inlineStr">
        <is>
          <t>15m</t>
        </is>
      </c>
      <c r="N97" s="51" t="inlineStr">
        <is>
          <t>TF selector</t>
        </is>
      </c>
      <c r="O97" s="51" t="inlineStr">
        <is>
          <t>GR_FILTER_VEC_FILTER_TF</t>
        </is>
      </c>
      <c r="P97" s="51" t="inlineStr">
        <is>
          <t>getattr(cfg,"GR_FILTER_VEC_FILTER_TF")</t>
        </is>
      </c>
      <c r="Q97" s="35" t="inlineStr">
        <is>
          <t>NO</t>
        </is>
      </c>
    </row>
    <row r="98" ht="15.75" customHeight="1" s="67">
      <c r="A98" s="54" t="n">
        <v>57</v>
      </c>
      <c r="B98" s="55" t="inlineStr">
        <is>
          <t>GR_FILTER_VEC_FILTER_TF</t>
        </is>
      </c>
      <c r="C98" s="53" t="inlineStr">
        <is>
          <t>D</t>
        </is>
      </c>
      <c r="D9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8" s="56" t="inlineStr">
        <is>
          <t>GLOBAL_CHECK</t>
        </is>
      </c>
      <c r="F98" s="54" t="inlineStr">
        <is>
          <t>GLOBAL_CHECK</t>
        </is>
      </c>
      <c r="G98" s="56" t="inlineStr">
        <is>
          <t>GR_FILTER_VEC</t>
        </is>
      </c>
      <c r="H98" s="54" t="inlineStr">
        <is>
          <t>SPECIFIC — only gated switches</t>
        </is>
      </c>
      <c r="I98" s="54" t="inlineStr">
        <is>
          <t>LIVE — wired</t>
        </is>
      </c>
      <c r="J98" s="54" t="n"/>
      <c r="K98" s="51" t="inlineStr">
        <is>
          <t>1/4</t>
        </is>
      </c>
      <c r="L98" s="51" t="inlineStr">
        <is>
          <t>OFF, 15m, 1h, 4h, D (5 options)</t>
        </is>
      </c>
      <c r="M98" s="51" t="inlineStr">
        <is>
          <t>15m</t>
        </is>
      </c>
      <c r="N98" s="51" t="inlineStr">
        <is>
          <t>TF selector</t>
        </is>
      </c>
      <c r="O98" s="51" t="inlineStr">
        <is>
          <t>GR_FILTER_VEC_FILTER_TF</t>
        </is>
      </c>
      <c r="P98" s="51" t="inlineStr">
        <is>
          <t>getattr(cfg,"GR_FILTER_VEC_FILTER_TF")</t>
        </is>
      </c>
      <c r="Q98" s="35" t="inlineStr">
        <is>
          <t>NO</t>
        </is>
      </c>
    </row>
    <row r="99" ht="15.75" customHeight="1" s="67">
      <c r="A99" s="54" t="n">
        <v>57</v>
      </c>
      <c r="B99" s="55" t="inlineStr">
        <is>
          <t>GR_FILTER_VEC_FILTER_TF</t>
        </is>
      </c>
      <c r="C99" s="53" t="inlineStr">
        <is>
          <t>4h</t>
        </is>
      </c>
      <c r="D9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99" s="56" t="inlineStr">
        <is>
          <t>GLOBAL_CHECK</t>
        </is>
      </c>
      <c r="F99" s="54" t="inlineStr">
        <is>
          <t>GLOBAL_CHECK</t>
        </is>
      </c>
      <c r="G99" s="56" t="inlineStr">
        <is>
          <t>GR_FILTER_VEC</t>
        </is>
      </c>
      <c r="H99" s="54" t="inlineStr">
        <is>
          <t>SPECIFIC — only gated switches</t>
        </is>
      </c>
      <c r="I99" s="54" t="inlineStr">
        <is>
          <t>LIVE — wired</t>
        </is>
      </c>
      <c r="J99" s="54" t="n"/>
      <c r="K99" s="51" t="inlineStr">
        <is>
          <t>1/4</t>
        </is>
      </c>
      <c r="L99" s="51" t="inlineStr">
        <is>
          <t>OFF, 15m, 1h, 4h, D (5 options)</t>
        </is>
      </c>
      <c r="M99" s="51" t="inlineStr">
        <is>
          <t>15m</t>
        </is>
      </c>
      <c r="N99" s="51" t="inlineStr">
        <is>
          <t>TF selector</t>
        </is>
      </c>
      <c r="O99" s="51" t="inlineStr">
        <is>
          <t>GR_FILTER_VEC_FILTER_TF</t>
        </is>
      </c>
      <c r="P99" s="51" t="inlineStr">
        <is>
          <t>getattr(cfg,"GR_FILTER_VEC_FILTER_TF")</t>
        </is>
      </c>
      <c r="Q99" s="35" t="inlineStr">
        <is>
          <t>NO</t>
        </is>
      </c>
    </row>
    <row r="100" ht="15.75" customHeight="1" s="67">
      <c r="A100" s="54" t="n">
        <v>57</v>
      </c>
      <c r="B100" s="55" t="inlineStr">
        <is>
          <t>GR_FILTER_VEC_FILTER_TF</t>
        </is>
      </c>
      <c r="C100" s="53" t="inlineStr">
        <is>
          <t>1h</t>
        </is>
      </c>
      <c r="D10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100" s="56" t="inlineStr">
        <is>
          <t>GLOBAL_CHECK</t>
        </is>
      </c>
      <c r="F100" s="54" t="inlineStr">
        <is>
          <t>GLOBAL_CHECK</t>
        </is>
      </c>
      <c r="G100" s="56" t="inlineStr">
        <is>
          <t>GR_FILTER_VEC</t>
        </is>
      </c>
      <c r="H100" s="54" t="inlineStr">
        <is>
          <t>SPECIFIC — only gated switches</t>
        </is>
      </c>
      <c r="I100" s="54" t="inlineStr">
        <is>
          <t>LIVE — wired</t>
        </is>
      </c>
      <c r="J100" s="54" t="n"/>
      <c r="K100" s="51" t="inlineStr">
        <is>
          <t>1/4</t>
        </is>
      </c>
      <c r="L100" s="51" t="inlineStr">
        <is>
          <t>OFF, 15m, 1h, 4h, D (5 options)</t>
        </is>
      </c>
      <c r="M100" s="51" t="inlineStr">
        <is>
          <t>15m</t>
        </is>
      </c>
      <c r="N100" s="51" t="inlineStr">
        <is>
          <t>TF selector</t>
        </is>
      </c>
      <c r="O100" s="51" t="inlineStr">
        <is>
          <t>GR_FILTER_VEC_FILTER_TF</t>
        </is>
      </c>
      <c r="P100" s="51" t="inlineStr">
        <is>
          <t>getattr(cfg,"GR_FILTER_VEC_FILTER_TF")</t>
        </is>
      </c>
      <c r="Q100" s="35" t="inlineStr">
        <is>
          <t>NO</t>
        </is>
      </c>
    </row>
    <row r="101" ht="15.75" customHeight="1" s="67">
      <c r="A101" s="54" t="n">
        <v>57</v>
      </c>
      <c r="B101" s="57" t="inlineStr">
        <is>
          <t>GR_FILTER_VEC_FILTER_TF</t>
        </is>
      </c>
      <c r="C101" s="49" t="inlineStr">
        <is>
          <t>15m</t>
        </is>
      </c>
      <c r="D10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101" s="56" t="inlineStr">
        <is>
          <t>GLOBAL_CHECK</t>
        </is>
      </c>
      <c r="F101" s="54" t="inlineStr">
        <is>
          <t>GLOBAL_CHECK</t>
        </is>
      </c>
      <c r="G101" s="56" t="inlineStr">
        <is>
          <t>GR_FILTER_VEC</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GR_FILTER_VEC_FILTER_TF</t>
        </is>
      </c>
      <c r="P101" s="51" t="inlineStr">
        <is>
          <t>getattr(cfg,"GR_FILTER_VEC_FILTER_TF")</t>
        </is>
      </c>
      <c r="Q101" s="35" t="inlineStr">
        <is>
          <t>YES</t>
        </is>
      </c>
    </row>
    <row r="102" ht="15.75" customHeight="1" s="67">
      <c r="A102" s="54" t="n">
        <v>79</v>
      </c>
      <c r="B102" s="55" t="inlineStr">
        <is>
          <t>LIVE_ENTRY_ENGINE_FILTER_TF</t>
        </is>
      </c>
      <c r="C102" s="53" t="inlineStr">
        <is>
          <t>OFF</t>
        </is>
      </c>
      <c r="D102" s="56" t="inlineStr">
        <is>
          <t>Live entry engine confirmation TF. | Live read: `_W', 'GR_FILTER_ALL_ENTRIES', 'GR_OPEN_COOLDOWN_S', 'GR_TOTAL_VOTE_SCORE_MIN', '`</t>
        </is>
      </c>
      <c r="E102" s="56" t="inlineStr">
        <is>
          <t>GLOBAL_CHECK</t>
        </is>
      </c>
      <c r="F102" s="54" t="inlineStr">
        <is>
          <t>GLOBAL_CHECK</t>
        </is>
      </c>
      <c r="G102" s="56" t="inlineStr">
        <is>
          <t>LIVE_ENTRY_ENGINE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LIVE_ENTRY_ENGINE_FILTER_TF</t>
        </is>
      </c>
      <c r="P102" s="51" t="inlineStr">
        <is>
          <t>getattr(cfg,"LIVE_ENTRY_ENGINE_FILTER_TF")</t>
        </is>
      </c>
      <c r="Q102" s="35" t="inlineStr">
        <is>
          <t>NO</t>
        </is>
      </c>
    </row>
    <row r="103" ht="15.75" customHeight="1" s="67">
      <c r="A103" s="54" t="n">
        <v>79</v>
      </c>
      <c r="B103" s="55" t="inlineStr">
        <is>
          <t>LIVE_ENTRY_ENGINE_FILTER_TF</t>
        </is>
      </c>
      <c r="C103" s="53" t="inlineStr">
        <is>
          <t>D</t>
        </is>
      </c>
      <c r="D103" s="56" t="inlineStr">
        <is>
          <t>Live entry engine confirmation TF. | Live read: `_W', 'GR_FILTER_ALL_ENTRIES', 'GR_OPEN_COOLDOWN_S', 'GR_TOTAL_VOTE_SCORE_MIN', '`</t>
        </is>
      </c>
      <c r="E103" s="56" t="inlineStr">
        <is>
          <t>GLOBAL_CHECK</t>
        </is>
      </c>
      <c r="F103" s="54" t="inlineStr">
        <is>
          <t>GLOBAL_CHECK</t>
        </is>
      </c>
      <c r="G103" s="56" t="inlineStr">
        <is>
          <t>LIVE_ENTRY_ENGINE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LIVE_ENTRY_ENGINE_FILTER_TF</t>
        </is>
      </c>
      <c r="P103" s="51" t="inlineStr">
        <is>
          <t>getattr(cfg,"LIVE_ENTRY_ENGINE_FILTER_TF")</t>
        </is>
      </c>
      <c r="Q103" s="35" t="inlineStr">
        <is>
          <t>NO</t>
        </is>
      </c>
    </row>
    <row r="104" ht="15.75" customHeight="1" s="67">
      <c r="A104" s="54" t="n">
        <v>79</v>
      </c>
      <c r="B104" s="55" t="inlineStr">
        <is>
          <t>LIVE_ENTRY_ENGINE_FILTER_TF</t>
        </is>
      </c>
      <c r="C104" s="53" t="inlineStr">
        <is>
          <t>4h</t>
        </is>
      </c>
      <c r="D104" s="56" t="inlineStr">
        <is>
          <t>Live entry engine confirmation TF. | Live read: `_W', 'GR_FILTER_ALL_ENTRIES', 'GR_OPEN_COOLDOWN_S', 'GR_TOTAL_VOTE_SCORE_MIN', '`</t>
        </is>
      </c>
      <c r="E104" s="56" t="inlineStr">
        <is>
          <t>GLOBAL_CHECK</t>
        </is>
      </c>
      <c r="F104" s="54" t="inlineStr">
        <is>
          <t>GLOBAL_CHECK</t>
        </is>
      </c>
      <c r="G104" s="56" t="inlineStr">
        <is>
          <t>LIVE_ENTRY_ENGINE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LIVE_ENTRY_ENGINE_FILTER_TF</t>
        </is>
      </c>
      <c r="P104" s="51" t="inlineStr">
        <is>
          <t>getattr(cfg,"LIVE_ENTRY_ENGINE_FILTER_TF")</t>
        </is>
      </c>
      <c r="Q104" s="35" t="inlineStr">
        <is>
          <t>NO</t>
        </is>
      </c>
    </row>
    <row r="105" ht="15.75" customHeight="1" s="67">
      <c r="A105" s="54" t="n">
        <v>79</v>
      </c>
      <c r="B105" s="55" t="inlineStr">
        <is>
          <t>LIVE_ENTRY_ENGINE_FILTER_TF</t>
        </is>
      </c>
      <c r="C105" s="53" t="inlineStr">
        <is>
          <t>1h</t>
        </is>
      </c>
      <c r="D105" s="56" t="inlineStr">
        <is>
          <t>Live entry engine confirmation TF. | Live read: `_W', 'GR_FILTER_ALL_ENTRIES', 'GR_OPEN_COOLDOWN_S', 'GR_TOTAL_VOTE_SCORE_MIN', '`</t>
        </is>
      </c>
      <c r="E105" s="56" t="inlineStr">
        <is>
          <t>GLOBAL_CHECK</t>
        </is>
      </c>
      <c r="F105" s="54" t="inlineStr">
        <is>
          <t>GLOBAL_CHECK</t>
        </is>
      </c>
      <c r="G105" s="56" t="inlineStr">
        <is>
          <t>LIVE_ENTRY_ENGINE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LIVE_ENTRY_ENGINE_FILTER_TF</t>
        </is>
      </c>
      <c r="P105" s="51" t="inlineStr">
        <is>
          <t>getattr(cfg,"LIVE_ENTRY_ENGINE_FILTER_TF")</t>
        </is>
      </c>
      <c r="Q105" s="35" t="inlineStr">
        <is>
          <t>NO</t>
        </is>
      </c>
    </row>
    <row r="106" ht="15.75" customHeight="1" s="67">
      <c r="A106" s="54" t="n">
        <v>79</v>
      </c>
      <c r="B106" s="57" t="inlineStr">
        <is>
          <t>LIVE_ENTRY_ENGINE_FILTER_TF</t>
        </is>
      </c>
      <c r="C106" s="49" t="inlineStr">
        <is>
          <t>15m</t>
        </is>
      </c>
      <c r="D106" s="56" t="inlineStr">
        <is>
          <t>Live entry engine confirmation TF. | Live read: `_W', 'GR_FILTER_ALL_ENTRIES', 'GR_OPEN_COOLDOWN_S', 'GR_TOTAL_VOTE_SCORE_MIN', '`</t>
        </is>
      </c>
      <c r="E106" s="56" t="inlineStr">
        <is>
          <t>GLOBAL_CHECK</t>
        </is>
      </c>
      <c r="F106" s="54" t="inlineStr">
        <is>
          <t>GLOBAL_CHECK</t>
        </is>
      </c>
      <c r="G106" s="56" t="inlineStr">
        <is>
          <t>LIVE_ENTRY_ENGINE</t>
        </is>
      </c>
      <c r="H106" s="54" t="inlineStr">
        <is>
          <t>SPECIFIC — only gated switches</t>
        </is>
      </c>
      <c r="I106" s="54" t="inlineStr">
        <is>
          <t>LIVE — wired</t>
        </is>
      </c>
      <c r="J106" s="54" t="n"/>
      <c r="K106" s="51" t="inlineStr">
        <is>
          <t>1/4</t>
        </is>
      </c>
      <c r="L106" s="51" t="inlineStr">
        <is>
          <t>OFF, 15m, 1h, 4h, D (5 options)</t>
        </is>
      </c>
      <c r="M106" s="51" t="inlineStr">
        <is>
          <t>15m</t>
        </is>
      </c>
      <c r="N106" s="51" t="inlineStr">
        <is>
          <t>TF selector</t>
        </is>
      </c>
      <c r="O106" s="51" t="inlineStr">
        <is>
          <t>LIVE_ENTRY_ENGINE_FILTER_TF</t>
        </is>
      </c>
      <c r="P106" s="51" t="inlineStr">
        <is>
          <t>getattr(cfg,"LIVE_ENTRY_ENGINE_FILTER_TF")</t>
        </is>
      </c>
      <c r="Q106" s="35" t="inlineStr">
        <is>
          <t>YES</t>
        </is>
      </c>
    </row>
    <row r="107" ht="15.75" customHeight="1" s="67">
      <c r="A107" s="54" t="n">
        <v>80</v>
      </c>
      <c r="B107" s="55" t="inlineStr">
        <is>
          <t>LIVE_ONLY_SIGNALS_BATCH5_FILTER_TF</t>
        </is>
      </c>
      <c r="C107" s="53" t="inlineStr">
        <is>
          <t>OFF</t>
        </is>
      </c>
      <c r="D107" s="56" t="inlineStr">
        <is>
          <t>Batch-5 live-only signals filter TF. | Live read: `TE_MIN_TFS', 'GOLDEN_RULE_ENFORCE_FILTER_TF', 'GOLDEN_RULE_HTF_VOTE_FILTER_TF', `</t>
        </is>
      </c>
      <c r="E107" s="56" t="inlineStr">
        <is>
          <t>GLOBAL_CHECK</t>
        </is>
      </c>
      <c r="F107" s="54" t="inlineStr">
        <is>
          <t>GLOBAL_CHECK</t>
        </is>
      </c>
      <c r="G107" s="56" t="inlineStr">
        <is>
          <t>LIVE_ONLY_SIGNALS_BATCH5</t>
        </is>
      </c>
      <c r="H107" s="54" t="inlineStr">
        <is>
          <t>SPECIFIC — only gated switches</t>
        </is>
      </c>
      <c r="I107" s="54" t="inlineStr">
        <is>
          <t>LIVE — wired</t>
        </is>
      </c>
      <c r="J107" s="54" t="n"/>
      <c r="K107" s="51" t="inlineStr">
        <is>
          <t>1/4</t>
        </is>
      </c>
      <c r="L107" s="51" t="inlineStr">
        <is>
          <t>OFF, 15m, 1h, 4h, D (5 options)</t>
        </is>
      </c>
      <c r="M107" s="51" t="inlineStr">
        <is>
          <t>15m</t>
        </is>
      </c>
      <c r="N107" s="51" t="inlineStr">
        <is>
          <t>TF selector</t>
        </is>
      </c>
      <c r="O107" s="51" t="inlineStr">
        <is>
          <t>LIVE_ONLY_SIGNALS_BATCH5_FILTER_TF</t>
        </is>
      </c>
      <c r="P107" s="51" t="inlineStr">
        <is>
          <t>getattr(cfg,"LIVE_ONLY_SIGNALS_BATCH5_FILTER_TF")</t>
        </is>
      </c>
      <c r="Q107" s="35" t="inlineStr">
        <is>
          <t>NO</t>
        </is>
      </c>
    </row>
    <row r="108" ht="15.75" customHeight="1" s="67">
      <c r="A108" s="54" t="n">
        <v>80</v>
      </c>
      <c r="B108" s="55" t="inlineStr">
        <is>
          <t>LIVE_ONLY_SIGNALS_BATCH5_FILTER_TF</t>
        </is>
      </c>
      <c r="C108" s="53" t="inlineStr">
        <is>
          <t>D</t>
        </is>
      </c>
      <c r="D108" s="56" t="inlineStr">
        <is>
          <t>Batch-5 live-only signals filter TF. | Live read: `TE_MIN_TFS', 'GOLDEN_RULE_ENFORCE_FILTER_TF', 'GOLDEN_RULE_HTF_VOTE_FILTER_TF', `</t>
        </is>
      </c>
      <c r="E108" s="56" t="inlineStr">
        <is>
          <t>GLOBAL_CHECK</t>
        </is>
      </c>
      <c r="F108" s="54" t="inlineStr">
        <is>
          <t>GLOBAL_CHECK</t>
        </is>
      </c>
      <c r="G108" s="56" t="inlineStr">
        <is>
          <t>LIVE_ONLY_SIGNALS_BATCH5</t>
        </is>
      </c>
      <c r="H108" s="54" t="inlineStr">
        <is>
          <t>SPECIFIC — only gated switches</t>
        </is>
      </c>
      <c r="I108" s="54" t="inlineStr">
        <is>
          <t>LIVE — wired</t>
        </is>
      </c>
      <c r="J108" s="54" t="n"/>
      <c r="K108" s="51" t="inlineStr">
        <is>
          <t>1/4</t>
        </is>
      </c>
      <c r="L108" s="51" t="inlineStr">
        <is>
          <t>OFF, 15m, 1h, 4h, D (5 options)</t>
        </is>
      </c>
      <c r="M108" s="51" t="inlineStr">
        <is>
          <t>15m</t>
        </is>
      </c>
      <c r="N108" s="51" t="inlineStr">
        <is>
          <t>TF selector</t>
        </is>
      </c>
      <c r="O108" s="51" t="inlineStr">
        <is>
          <t>LIVE_ONLY_SIGNALS_BATCH5_FILTER_TF</t>
        </is>
      </c>
      <c r="P108" s="51" t="inlineStr">
        <is>
          <t>getattr(cfg,"LIVE_ONLY_SIGNALS_BATCH5_FILTER_TF")</t>
        </is>
      </c>
      <c r="Q108" s="35" t="inlineStr">
        <is>
          <t>NO</t>
        </is>
      </c>
    </row>
    <row r="109" ht="15.75" customHeight="1" s="67">
      <c r="A109" s="54" t="n">
        <v>80</v>
      </c>
      <c r="B109" s="55" t="inlineStr">
        <is>
          <t>LIVE_ONLY_SIGNALS_BATCH5_FILTER_TF</t>
        </is>
      </c>
      <c r="C109" s="53" t="inlineStr">
        <is>
          <t>1h</t>
        </is>
      </c>
      <c r="D109" s="56" t="inlineStr">
        <is>
          <t>Batch-5 live-only signals filter TF. | Live read: `TE_MIN_TFS', 'GOLDEN_RULE_ENFORCE_FILTER_TF', 'GOLDEN_RULE_HTF_VOTE_FILTER_TF', `</t>
        </is>
      </c>
      <c r="E109" s="56" t="inlineStr">
        <is>
          <t>GLOBAL_CHECK</t>
        </is>
      </c>
      <c r="F109" s="54" t="inlineStr">
        <is>
          <t>GLOBAL_CHECK</t>
        </is>
      </c>
      <c r="G109" s="56" t="inlineStr">
        <is>
          <t>LIVE_ONLY_SIGNALS_BATCH5</t>
        </is>
      </c>
      <c r="H109" s="54" t="inlineStr">
        <is>
          <t>SPECIFIC — only gated switches</t>
        </is>
      </c>
      <c r="I109" s="54" t="inlineStr">
        <is>
          <t>LIVE — wired</t>
        </is>
      </c>
      <c r="J109" s="54" t="n"/>
      <c r="K109" s="51" t="inlineStr">
        <is>
          <t>1/4</t>
        </is>
      </c>
      <c r="L109" s="51" t="inlineStr">
        <is>
          <t>OFF, 15m, 1h, 4h, D (5 options)</t>
        </is>
      </c>
      <c r="M109" s="51" t="inlineStr">
        <is>
          <t>15m</t>
        </is>
      </c>
      <c r="N109" s="51" t="inlineStr">
        <is>
          <t>TF selector</t>
        </is>
      </c>
      <c r="O109" s="51" t="inlineStr">
        <is>
          <t>LIVE_ONLY_SIGNALS_BATCH5_FILTER_TF</t>
        </is>
      </c>
      <c r="P109" s="51" t="inlineStr">
        <is>
          <t>getattr(cfg,"LIVE_ONLY_SIGNALS_BATCH5_FILTER_TF")</t>
        </is>
      </c>
      <c r="Q109" s="35" t="inlineStr">
        <is>
          <t>NO</t>
        </is>
      </c>
    </row>
    <row r="110" ht="15.75" customHeight="1" s="67">
      <c r="A110" s="54" t="n">
        <v>80</v>
      </c>
      <c r="B110" s="57" t="inlineStr">
        <is>
          <t>LIVE_ONLY_SIGNALS_BATCH5_FILTER_TF</t>
        </is>
      </c>
      <c r="C110" s="49" t="inlineStr">
        <is>
          <t>15m</t>
        </is>
      </c>
      <c r="D110" s="56" t="inlineStr">
        <is>
          <t>Batch-5 live-only signals filter TF. | Live read: `TE_MIN_TFS', 'GOLDEN_RULE_ENFORCE_FILTER_TF', 'GOLDEN_RULE_HTF_VOTE_FILTER_TF', `</t>
        </is>
      </c>
      <c r="E110" s="56" t="inlineStr">
        <is>
          <t>GLOBAL_CHECK</t>
        </is>
      </c>
      <c r="F110" s="54" t="inlineStr">
        <is>
          <t>GLOBAL_CHECK</t>
        </is>
      </c>
      <c r="G110" s="56" t="inlineStr">
        <is>
          <t>LIVE_ONLY_SIGNALS_BATCH5</t>
        </is>
      </c>
      <c r="H110" s="54" t="inlineStr">
        <is>
          <t>SPECIFIC — only gated switches</t>
        </is>
      </c>
      <c r="I110" s="54" t="inlineStr">
        <is>
          <t>LIVE — wired</t>
        </is>
      </c>
      <c r="J110" s="54" t="n"/>
      <c r="K110" s="51" t="inlineStr">
        <is>
          <t>1/4</t>
        </is>
      </c>
      <c r="L110" s="51" t="inlineStr">
        <is>
          <t>OFF, 15m, 1h, 4h, D (5 options)</t>
        </is>
      </c>
      <c r="M110" s="51" t="inlineStr">
        <is>
          <t>15m</t>
        </is>
      </c>
      <c r="N110" s="51" t="inlineStr">
        <is>
          <t>TF selector</t>
        </is>
      </c>
      <c r="O110" s="51" t="inlineStr">
        <is>
          <t>LIVE_ONLY_SIGNALS_BATCH5_FILTER_TF</t>
        </is>
      </c>
      <c r="P110" s="51" t="inlineStr">
        <is>
          <t>getattr(cfg,"LIVE_ONLY_SIGNALS_BATCH5_FILTER_TF")</t>
        </is>
      </c>
      <c r="Q110" s="35" t="inlineStr">
        <is>
          <t>YES</t>
        </is>
      </c>
    </row>
    <row r="111" ht="15.75" customHeight="1" s="67">
      <c r="A111" s="54" t="n">
        <v>88</v>
      </c>
      <c r="B111" s="57" t="inlineStr">
        <is>
          <t>MANDATORY_REENTRY_WT_FILTER_TF_MODE</t>
        </is>
      </c>
      <c r="C111" s="49" t="inlineStr">
        <is>
          <t>15m_only</t>
        </is>
      </c>
      <c r="D111" s="56" t="inlineStr">
        <is>
          <t>WT filter mode for mandatory reentry (e.g. 5m_or_15m). | Live read: `RANTEED_REENTRY_K_FAVORABLE_LOW', 'GUARANTEED_REENTRY_K_HIGH_BLOCK', 'GUARANTEED`</t>
        </is>
      </c>
      <c r="E111" s="56" t="inlineStr">
        <is>
          <t>GLOBAL_CHECK, STOCKS_EXIT</t>
        </is>
      </c>
      <c r="F111" s="54" t="inlineStr">
        <is>
          <t>GLOBAL_CHECK, STOCKS_EXIT</t>
        </is>
      </c>
      <c r="G111" s="56" t="inlineStr">
        <is>
          <t>MANDATORY_REENTRY_WT_MODE</t>
        </is>
      </c>
      <c r="H111" s="54" t="inlineStr">
        <is>
          <t>SPECIFIC — only gated switches</t>
        </is>
      </c>
      <c r="I111" s="54" t="inlineStr">
        <is>
          <t>LIVE — wired</t>
        </is>
      </c>
      <c r="J111" s="54" t="n"/>
      <c r="K111" s="51" t="inlineStr">
        <is>
          <t>—</t>
        </is>
      </c>
      <c r="L111" s="51" t="inlineStr">
        <is>
          <t>15m_only, alt</t>
        </is>
      </c>
      <c r="M111" s="51" t="inlineStr">
        <is>
          <t>15m_only</t>
        </is>
      </c>
      <c r="N111" s="51" t="inlineStr">
        <is>
          <t>param</t>
        </is>
      </c>
      <c r="O111" s="51" t="inlineStr">
        <is>
          <t>MANDATORY_REENTRY_WT_FILTER_TF_MODE</t>
        </is>
      </c>
      <c r="P111" s="51" t="inlineStr">
        <is>
          <t>getattr(cfg,"MANDATORY_REENTRY_WT_FILTER_TF_MODE")</t>
        </is>
      </c>
      <c r="Q111" s="35" t="inlineStr">
        <is>
          <t>YES</t>
        </is>
      </c>
    </row>
    <row r="112" ht="15.75" customHeight="1" s="67">
      <c r="A112" s="54" t="n">
        <v>88</v>
      </c>
      <c r="B112" s="55" t="inlineStr">
        <is>
          <t>MANDATORY_REENTRY_WT_FILTER_TF_MODE</t>
        </is>
      </c>
      <c r="C112" s="53" t="inlineStr">
        <is>
          <t>15m_only_ALT</t>
        </is>
      </c>
      <c r="D112" s="56" t="inlineStr">
        <is>
          <t>WT filter mode for mandatory reentry (e.g. 5m_or_15m). | Live read: `RANTEED_REENTRY_K_FAVORABLE_LOW', 'GUARANTEED_REENTRY_K_HIGH_BLOCK', 'GUARANTEED`</t>
        </is>
      </c>
      <c r="E112" s="56" t="inlineStr">
        <is>
          <t>GLOBAL_CHECK, STOCKS_EXIT</t>
        </is>
      </c>
      <c r="F112" s="54" t="inlineStr">
        <is>
          <t>GLOBAL_CHECK, STOCKS_EXIT</t>
        </is>
      </c>
      <c r="G112" s="56" t="inlineStr">
        <is>
          <t>MANDATORY_REENTRY_WT_MODE</t>
        </is>
      </c>
      <c r="H112" s="54" t="inlineStr">
        <is>
          <t>SPECIFIC — only gated switches</t>
        </is>
      </c>
      <c r="I112" s="54" t="inlineStr">
        <is>
          <t>LIVE — wired</t>
        </is>
      </c>
      <c r="J112" s="54" t="n"/>
      <c r="K112" s="51" t="inlineStr">
        <is>
          <t>—</t>
        </is>
      </c>
      <c r="L112" s="51" t="inlineStr">
        <is>
          <t>15m_only, alt</t>
        </is>
      </c>
      <c r="M112" s="51" t="inlineStr">
        <is>
          <t>15m_only</t>
        </is>
      </c>
      <c r="N112" s="51" t="inlineStr">
        <is>
          <t>param</t>
        </is>
      </c>
      <c r="O112" s="51" t="inlineStr">
        <is>
          <t>MANDATORY_REENTRY_WT_FILTER_TF_MODE</t>
        </is>
      </c>
      <c r="P112" s="51" t="inlineStr">
        <is>
          <t>getattr(cfg,"MANDATORY_REENTRY_WT_FILTER_TF_MODE")</t>
        </is>
      </c>
      <c r="Q112" s="35" t="inlineStr">
        <is>
          <t>NO</t>
        </is>
      </c>
    </row>
    <row r="113" ht="15.75" customHeight="1" s="67">
      <c r="A113" s="54" t="n">
        <v>93</v>
      </c>
      <c r="B113" s="55" t="inlineStr">
        <is>
          <t>MOMENTUM_BREAKOUT_FILTER_TF</t>
        </is>
      </c>
      <c r="C113" s="53" t="inlineStr">
        <is>
          <t>OFF</t>
        </is>
      </c>
      <c r="D113" s="56" t="inlineStr">
        <is>
          <t>Momentum breakout confirmation TF. | Live read: `PLY_TO_OPEN', 'HTF_GATE_BYPASS_RZ', 'HTF_GATE_D_MANDATORY', 'HTF_GATE_MIN_CONFIR`</t>
        </is>
      </c>
      <c r="E113" s="56" t="inlineStr">
        <is>
          <t>GLOBAL_CHECK</t>
        </is>
      </c>
      <c r="F113" s="54" t="inlineStr">
        <is>
          <t>GLOBAL_CHECK</t>
        </is>
      </c>
      <c r="G113" s="56" t="inlineStr">
        <is>
          <t>MOMENTUM_BREAKOUT</t>
        </is>
      </c>
      <c r="H113" s="54" t="inlineStr">
        <is>
          <t>SPECIFIC — only gated switches</t>
        </is>
      </c>
      <c r="I113" s="54" t="inlineStr">
        <is>
          <t>LIVE — wired</t>
        </is>
      </c>
      <c r="J113" s="54" t="n"/>
      <c r="K113" s="51" t="inlineStr">
        <is>
          <t>1/4</t>
        </is>
      </c>
      <c r="L113" s="51" t="inlineStr">
        <is>
          <t>OFF, 15m, 1h, 4h, D (5 options)</t>
        </is>
      </c>
      <c r="M113" s="51" t="inlineStr">
        <is>
          <t>15m</t>
        </is>
      </c>
      <c r="N113" s="51" t="inlineStr">
        <is>
          <t>TF selector</t>
        </is>
      </c>
      <c r="O113" s="51" t="inlineStr">
        <is>
          <t>MOMENTUM_BREAKOUT_FILTER_TF</t>
        </is>
      </c>
      <c r="P113" s="51" t="inlineStr">
        <is>
          <t>getattr(cfg,"MOMENTUM_BREAKOUT_FILTER_TF")</t>
        </is>
      </c>
      <c r="Q113" s="35" t="inlineStr">
        <is>
          <t>NO</t>
        </is>
      </c>
    </row>
    <row r="114" ht="15.75" customHeight="1" s="67">
      <c r="A114" s="54" t="n">
        <v>93</v>
      </c>
      <c r="B114" s="55" t="inlineStr">
        <is>
          <t>MOMENTUM_BREAKOUT_FILTER_TF</t>
        </is>
      </c>
      <c r="C114" s="53" t="inlineStr">
        <is>
          <t>D</t>
        </is>
      </c>
      <c r="D114" s="56" t="inlineStr">
        <is>
          <t>Momentum breakout confirmation TF. | Live read: `PLY_TO_OPEN', 'HTF_GATE_BYPASS_RZ', 'HTF_GATE_D_MANDATORY', 'HTF_GATE_MIN_CONFIR`</t>
        </is>
      </c>
      <c r="E114" s="56" t="inlineStr">
        <is>
          <t>GLOBAL_CHECK</t>
        </is>
      </c>
      <c r="F114" s="54" t="inlineStr">
        <is>
          <t>GLOBAL_CHECK</t>
        </is>
      </c>
      <c r="G114" s="56" t="inlineStr">
        <is>
          <t>MOMENTUM_BREAKOUT</t>
        </is>
      </c>
      <c r="H114" s="54" t="inlineStr">
        <is>
          <t>SPECIFIC — only gated switches</t>
        </is>
      </c>
      <c r="I114" s="54" t="inlineStr">
        <is>
          <t>LIVE — wired</t>
        </is>
      </c>
      <c r="J114" s="54" t="n"/>
      <c r="K114" s="51" t="inlineStr">
        <is>
          <t>1/4</t>
        </is>
      </c>
      <c r="L114" s="51" t="inlineStr">
        <is>
          <t>OFF, 15m, 1h, 4h, D (5 options)</t>
        </is>
      </c>
      <c r="M114" s="51" t="inlineStr">
        <is>
          <t>15m</t>
        </is>
      </c>
      <c r="N114" s="51" t="inlineStr">
        <is>
          <t>TF selector</t>
        </is>
      </c>
      <c r="O114" s="51" t="inlineStr">
        <is>
          <t>MOMENTUM_BREAKOUT_FILTER_TF</t>
        </is>
      </c>
      <c r="P114" s="51" t="inlineStr">
        <is>
          <t>getattr(cfg,"MOMENTUM_BREAKOUT_FILTER_TF")</t>
        </is>
      </c>
      <c r="Q114" s="35" t="inlineStr">
        <is>
          <t>NO</t>
        </is>
      </c>
    </row>
    <row r="115" ht="15.75" customHeight="1" s="67">
      <c r="A115" s="54" t="n">
        <v>93</v>
      </c>
      <c r="B115" s="55" t="inlineStr">
        <is>
          <t>MOMENTUM_BREAKOUT_FILTER_TF</t>
        </is>
      </c>
      <c r="C115" s="53" t="inlineStr">
        <is>
          <t>4h</t>
        </is>
      </c>
      <c r="D115" s="56" t="inlineStr">
        <is>
          <t>Momentum breakout confirmation TF. | Live read: `PLY_TO_OPEN', 'HTF_GATE_BYPASS_RZ', 'HTF_GATE_D_MANDATORY', 'HTF_GATE_MIN_CONFIR`</t>
        </is>
      </c>
      <c r="E115" s="56" t="inlineStr">
        <is>
          <t>GLOBAL_CHECK</t>
        </is>
      </c>
      <c r="F115" s="54" t="inlineStr">
        <is>
          <t>GLOBAL_CHECK</t>
        </is>
      </c>
      <c r="G115" s="56" t="inlineStr">
        <is>
          <t>MOMENTUM_BREAKOUT</t>
        </is>
      </c>
      <c r="H115" s="54" t="inlineStr">
        <is>
          <t>SPECIFIC — only gated switches</t>
        </is>
      </c>
      <c r="I115" s="54" t="inlineStr">
        <is>
          <t>LIVE — wired</t>
        </is>
      </c>
      <c r="J115" s="54" t="n"/>
      <c r="K115" s="51" t="inlineStr">
        <is>
          <t>1/4</t>
        </is>
      </c>
      <c r="L115" s="51" t="inlineStr">
        <is>
          <t>OFF, 15m, 1h, 4h, D (5 options)</t>
        </is>
      </c>
      <c r="M115" s="51" t="inlineStr">
        <is>
          <t>15m</t>
        </is>
      </c>
      <c r="N115" s="51" t="inlineStr">
        <is>
          <t>TF selector</t>
        </is>
      </c>
      <c r="O115" s="51" t="inlineStr">
        <is>
          <t>MOMENTUM_BREAKOUT_FILTER_TF</t>
        </is>
      </c>
      <c r="P115" s="51" t="inlineStr">
        <is>
          <t>getattr(cfg,"MOMENTUM_BREAKOUT_FILTER_TF")</t>
        </is>
      </c>
      <c r="Q115" s="35" t="inlineStr">
        <is>
          <t>NO</t>
        </is>
      </c>
    </row>
    <row r="116" ht="15.75" customHeight="1" s="67">
      <c r="A116" s="54" t="n">
        <v>93</v>
      </c>
      <c r="B116" s="55" t="inlineStr">
        <is>
          <t>MOMENTUM_BREAKOUT_FILTER_TF</t>
        </is>
      </c>
      <c r="C116" s="53" t="inlineStr">
        <is>
          <t>1h</t>
        </is>
      </c>
      <c r="D116" s="56" t="inlineStr">
        <is>
          <t>Momentum breakout confirmation TF. | Live read: `PLY_TO_OPEN', 'HTF_GATE_BYPASS_RZ', 'HTF_GATE_D_MANDATORY', 'HTF_GATE_MIN_CONFIR`</t>
        </is>
      </c>
      <c r="E116" s="56" t="inlineStr">
        <is>
          <t>GLOBAL_CHECK</t>
        </is>
      </c>
      <c r="F116" s="54" t="inlineStr">
        <is>
          <t>GLOBAL_CHECK</t>
        </is>
      </c>
      <c r="G116" s="56" t="inlineStr">
        <is>
          <t>MOMENTUM_BREAKOUT</t>
        </is>
      </c>
      <c r="H116" s="54" t="inlineStr">
        <is>
          <t>SPECIFIC — only gated switches</t>
        </is>
      </c>
      <c r="I116" s="54" t="inlineStr">
        <is>
          <t>LIVE — wired</t>
        </is>
      </c>
      <c r="J116" s="54" t="n"/>
      <c r="K116" s="51" t="inlineStr">
        <is>
          <t>1/4</t>
        </is>
      </c>
      <c r="L116" s="51" t="inlineStr">
        <is>
          <t>OFF, 15m, 1h, 4h, D (5 options)</t>
        </is>
      </c>
      <c r="M116" s="51" t="inlineStr">
        <is>
          <t>15m</t>
        </is>
      </c>
      <c r="N116" s="51" t="inlineStr">
        <is>
          <t>TF selector</t>
        </is>
      </c>
      <c r="O116" s="51" t="inlineStr">
        <is>
          <t>MOMENTUM_BREAKOUT_FILTER_TF</t>
        </is>
      </c>
      <c r="P116" s="51" t="inlineStr">
        <is>
          <t>getattr(cfg,"MOMENTUM_BREAKOUT_FILTER_TF")</t>
        </is>
      </c>
      <c r="Q116" s="35" t="inlineStr">
        <is>
          <t>NO</t>
        </is>
      </c>
    </row>
    <row r="117" ht="15.75" customHeight="1" s="67">
      <c r="A117" s="54" t="n">
        <v>93</v>
      </c>
      <c r="B117" s="57" t="inlineStr">
        <is>
          <t>MOMENTUM_BREAKOUT_FILTER_TF</t>
        </is>
      </c>
      <c r="C117" s="49" t="inlineStr">
        <is>
          <t>15m</t>
        </is>
      </c>
      <c r="D117" s="56" t="inlineStr">
        <is>
          <t>Momentum breakout confirmation TF. | Live read: `PLY_TO_OPEN', 'HTF_GATE_BYPASS_RZ', 'HTF_GATE_D_MANDATORY', 'HTF_GATE_MIN_CONFIR`</t>
        </is>
      </c>
      <c r="E117" s="56" t="inlineStr">
        <is>
          <t>GLOBAL_CHECK</t>
        </is>
      </c>
      <c r="F117" s="54" t="inlineStr">
        <is>
          <t>GLOBAL_CHECK</t>
        </is>
      </c>
      <c r="G117" s="56" t="inlineStr">
        <is>
          <t>MOMENTUM_BREAKOUT</t>
        </is>
      </c>
      <c r="H117" s="54" t="inlineStr">
        <is>
          <t>SPECIFIC — only gated switches</t>
        </is>
      </c>
      <c r="I117" s="54" t="inlineStr">
        <is>
          <t>LIVE — wired</t>
        </is>
      </c>
      <c r="J117" s="54" t="n"/>
      <c r="K117" s="51" t="inlineStr">
        <is>
          <t>1/4</t>
        </is>
      </c>
      <c r="L117" s="51" t="inlineStr">
        <is>
          <t>OFF, 15m, 1h, 4h, D (5 options)</t>
        </is>
      </c>
      <c r="M117" s="51" t="inlineStr">
        <is>
          <t>15m</t>
        </is>
      </c>
      <c r="N117" s="51" t="inlineStr">
        <is>
          <t>TF selector</t>
        </is>
      </c>
      <c r="O117" s="51" t="inlineStr">
        <is>
          <t>MOMENTUM_BREAKOUT_FILTER_TF</t>
        </is>
      </c>
      <c r="P117" s="51" t="inlineStr">
        <is>
          <t>getattr(cfg,"MOMENTUM_BREAKOUT_FILTER_TF")</t>
        </is>
      </c>
      <c r="Q117" s="35" t="inlineStr">
        <is>
          <t>YES</t>
        </is>
      </c>
    </row>
    <row r="118" ht="15.75" customHeight="1" s="67">
      <c r="A118" s="54" t="n">
        <v>97</v>
      </c>
      <c r="B118" s="55" t="inlineStr">
        <is>
          <t>MTF_DC_REJECT_FILTER_TF</t>
        </is>
      </c>
      <c r="C118" s="53" t="inlineStr">
        <is>
          <t>OFF</t>
        </is>
      </c>
      <c r="D118" s="56" t="inlineStr">
        <is>
          <t>Rejects DC breaks that fail MTF confirmation. | Live read: `TF_REGIME_LEDGER_PATH', 'HTF_REGIME_SIZE_CAP', 'HTF_REGIME_TF', 'HTF_REGIME_VOL_`</t>
        </is>
      </c>
      <c r="E118" s="56" t="inlineStr">
        <is>
          <t>GLOBAL_CHECK</t>
        </is>
      </c>
      <c r="F118" s="54" t="inlineStr">
        <is>
          <t>GLOBAL_CHECK</t>
        </is>
      </c>
      <c r="G118" s="56" t="inlineStr">
        <is>
          <t>MTF_DC_REJECT</t>
        </is>
      </c>
      <c r="H118" s="54" t="inlineStr">
        <is>
          <t>SPECIFIC — only gated switches</t>
        </is>
      </c>
      <c r="I118" s="54" t="inlineStr">
        <is>
          <t>LIVE — wired</t>
        </is>
      </c>
      <c r="J118" s="54" t="n"/>
      <c r="K118" s="51" t="inlineStr">
        <is>
          <t>1/4</t>
        </is>
      </c>
      <c r="L118" s="51" t="inlineStr">
        <is>
          <t>OFF, 15m, 1h, 4h, D (5 options)</t>
        </is>
      </c>
      <c r="M118" s="51" t="inlineStr">
        <is>
          <t>15m</t>
        </is>
      </c>
      <c r="N118" s="51" t="inlineStr">
        <is>
          <t>TF selector</t>
        </is>
      </c>
      <c r="O118" s="51" t="inlineStr">
        <is>
          <t>MTF_DC_REJECT_FILTER_TF</t>
        </is>
      </c>
      <c r="P118" s="51" t="inlineStr">
        <is>
          <t>getattr(cfg,"MTF_DC_REJECT_FILTER_TF")</t>
        </is>
      </c>
      <c r="Q118" s="35" t="inlineStr">
        <is>
          <t>NO</t>
        </is>
      </c>
    </row>
    <row r="119" ht="15.75" customHeight="1" s="67">
      <c r="A119" s="54" t="n">
        <v>97</v>
      </c>
      <c r="B119" s="57" t="inlineStr">
        <is>
          <t>MTF_DC_REJECT_FILTER_TF</t>
        </is>
      </c>
      <c r="C119" s="49" t="inlineStr">
        <is>
          <t>15m</t>
        </is>
      </c>
      <c r="D119" s="56" t="inlineStr">
        <is>
          <t>Rejects DC breaks that fail MTF confirmation. | Live read: `TF_REGIME_LEDGER_PATH', 'HTF_REGIME_SIZE_CAP', 'HTF_REGIME_TF', 'HTF_REGIME_VOL_`</t>
        </is>
      </c>
      <c r="E119" s="56" t="inlineStr">
        <is>
          <t>GLOBAL_CHECK</t>
        </is>
      </c>
      <c r="F119" s="54" t="inlineStr">
        <is>
          <t>GLOBAL_CHECK</t>
        </is>
      </c>
      <c r="G119" s="56" t="inlineStr">
        <is>
          <t>MTF_DC_REJECT</t>
        </is>
      </c>
      <c r="H119" s="54" t="inlineStr">
        <is>
          <t>SPECIFIC — only gated switches</t>
        </is>
      </c>
      <c r="I119" s="54" t="inlineStr">
        <is>
          <t>LIVE — wired</t>
        </is>
      </c>
      <c r="J119" s="54" t="n"/>
      <c r="K119" s="51" t="inlineStr">
        <is>
          <t>1/4</t>
        </is>
      </c>
      <c r="L119" s="51" t="inlineStr">
        <is>
          <t>OFF, 15m, 1h, 4h, D (5 options)</t>
        </is>
      </c>
      <c r="M119" s="51" t="inlineStr">
        <is>
          <t>15m</t>
        </is>
      </c>
      <c r="N119" s="51" t="inlineStr">
        <is>
          <t>TF selector</t>
        </is>
      </c>
      <c r="O119" s="51" t="inlineStr">
        <is>
          <t>MTF_DC_REJECT_FILTER_TF</t>
        </is>
      </c>
      <c r="P119" s="51" t="inlineStr">
        <is>
          <t>getattr(cfg,"MTF_DC_REJECT_FILTER_TF")</t>
        </is>
      </c>
      <c r="Q119" s="35" t="inlineStr">
        <is>
          <t>YES</t>
        </is>
      </c>
    </row>
    <row r="120" ht="15.75" customHeight="1" s="67">
      <c r="A120" s="54" t="n">
        <v>103</v>
      </c>
      <c r="B120" s="55" t="inlineStr">
        <is>
          <t>NEWBORN_LOSS_KILL_FILTER_TF</t>
        </is>
      </c>
      <c r="C120" s="53" t="inlineStr">
        <is>
          <t>OFF</t>
        </is>
      </c>
      <c r="D120" s="56" t="inlineStr">
        <is>
          <t>Kills newborn losers when velocity confirms against on FILTER_TF. | Live read: `ASS_ENABLED', 'HTF_TREND_VETO_BYPASS_REASONS', 'HTF_W_M_ALIGN_GATE', 'LEADERBOAR`</t>
        </is>
      </c>
      <c r="E120" s="56" t="inlineStr">
        <is>
          <t>GLOBAL_CHECK</t>
        </is>
      </c>
      <c r="F120" s="54" t="inlineStr">
        <is>
          <t>GLOBAL_CHECK</t>
        </is>
      </c>
      <c r="G120" s="56" t="inlineStr">
        <is>
          <t>NEWBORN_LOSS_KILL</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NEWBORN_LOSS_KILL_FILTER_TF</t>
        </is>
      </c>
      <c r="P120" s="51" t="inlineStr">
        <is>
          <t>getattr(cfg,"NEWBORN_LOSS_KILL_FILTER_TF")</t>
        </is>
      </c>
      <c r="Q120" s="35" t="inlineStr">
        <is>
          <t>NO</t>
        </is>
      </c>
    </row>
    <row r="121" ht="15.75" customHeight="1" s="67">
      <c r="A121" s="54" t="n">
        <v>103</v>
      </c>
      <c r="B121" s="55" t="inlineStr">
        <is>
          <t>NEWBORN_LOSS_KILL_FILTER_TF</t>
        </is>
      </c>
      <c r="C121" s="53" t="inlineStr">
        <is>
          <t>D</t>
        </is>
      </c>
      <c r="D121" s="56" t="inlineStr">
        <is>
          <t>Kills newborn losers when velocity confirms against on FILTER_TF. | Live read: `ASS_ENABLED', 'HTF_TREND_VETO_BYPASS_REASONS', 'HTF_W_M_ALIGN_GATE', 'LEADERBOAR`</t>
        </is>
      </c>
      <c r="E121" s="56" t="inlineStr">
        <is>
          <t>GLOBAL_CHECK</t>
        </is>
      </c>
      <c r="F121" s="54" t="inlineStr">
        <is>
          <t>GLOBAL_CHECK</t>
        </is>
      </c>
      <c r="G121" s="56" t="inlineStr">
        <is>
          <t>NEWBORN_LOSS_KILL</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NEWBORN_LOSS_KILL_FILTER_TF</t>
        </is>
      </c>
      <c r="P121" s="51" t="inlineStr">
        <is>
          <t>getattr(cfg,"NEWBORN_LOSS_KILL_FILTER_TF")</t>
        </is>
      </c>
      <c r="Q121" s="35" t="inlineStr">
        <is>
          <t>NO</t>
        </is>
      </c>
    </row>
    <row r="122" ht="15.75" customHeight="1" s="67">
      <c r="A122" s="54" t="n">
        <v>103</v>
      </c>
      <c r="B122" s="55" t="inlineStr">
        <is>
          <t>NEWBORN_LOSS_KILL_FILTER_TF</t>
        </is>
      </c>
      <c r="C122" s="53" t="inlineStr">
        <is>
          <t>4h</t>
        </is>
      </c>
      <c r="D122" s="56" t="inlineStr">
        <is>
          <t>Kills newborn losers when velocity confirms against on FILTER_TF. | Live read: `ASS_ENABLED', 'HTF_TREND_VETO_BYPASS_REASONS', 'HTF_W_M_ALIGN_GATE', 'LEADERBOAR`</t>
        </is>
      </c>
      <c r="E122" s="56" t="inlineStr">
        <is>
          <t>GLOBAL_CHECK</t>
        </is>
      </c>
      <c r="F122" s="54" t="inlineStr">
        <is>
          <t>GLOBAL_CHECK</t>
        </is>
      </c>
      <c r="G122" s="56" t="inlineStr">
        <is>
          <t>NEWBORN_LOSS_KILL</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NEWBORN_LOSS_KILL_FILTER_TF</t>
        </is>
      </c>
      <c r="P122" s="51" t="inlineStr">
        <is>
          <t>getattr(cfg,"NEWBORN_LOSS_KILL_FILTER_TF")</t>
        </is>
      </c>
      <c r="Q122" s="35" t="inlineStr">
        <is>
          <t>NO</t>
        </is>
      </c>
    </row>
    <row r="123" ht="15.75" customHeight="1" s="67">
      <c r="A123" s="54" t="n">
        <v>103</v>
      </c>
      <c r="B123" s="55" t="inlineStr">
        <is>
          <t>NEWBORN_LOSS_KILL_FILTER_TF</t>
        </is>
      </c>
      <c r="C123" s="53" t="inlineStr">
        <is>
          <t>1h</t>
        </is>
      </c>
      <c r="D123" s="56" t="inlineStr">
        <is>
          <t>Kills newborn losers when velocity confirms against on FILTER_TF. | Live read: `ASS_ENABLED', 'HTF_TREND_VETO_BYPASS_REASONS', 'HTF_W_M_ALIGN_GATE', 'LEADERBOAR`</t>
        </is>
      </c>
      <c r="E123" s="56" t="inlineStr">
        <is>
          <t>GLOBAL_CHECK</t>
        </is>
      </c>
      <c r="F123" s="54" t="inlineStr">
        <is>
          <t>GLOBAL_CHECK</t>
        </is>
      </c>
      <c r="G123" s="56" t="inlineStr">
        <is>
          <t>NEWBORN_LOSS_KILL</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NEWBORN_LOSS_KILL_FILTER_TF</t>
        </is>
      </c>
      <c r="P123" s="51" t="inlineStr">
        <is>
          <t>getattr(cfg,"NEWBORN_LOSS_KILL_FILTER_TF")</t>
        </is>
      </c>
      <c r="Q123" s="35" t="inlineStr">
        <is>
          <t>NO</t>
        </is>
      </c>
    </row>
    <row r="124" ht="15.75" customHeight="1" s="67">
      <c r="A124" s="54" t="n">
        <v>103</v>
      </c>
      <c r="B124" s="57" t="inlineStr">
        <is>
          <t>NEWBORN_LOSS_KILL_FILTER_TF</t>
        </is>
      </c>
      <c r="C124" s="49" t="inlineStr">
        <is>
          <t>15m</t>
        </is>
      </c>
      <c r="D124" s="56" t="inlineStr">
        <is>
          <t>Kills newborn losers when velocity confirms against on FILTER_TF. | Live read: `ASS_ENABLED', 'HTF_TREND_VETO_BYPASS_REASONS', 'HTF_W_M_ALIGN_GATE', 'LEADERBOAR`</t>
        </is>
      </c>
      <c r="E124" s="56" t="inlineStr">
        <is>
          <t>GLOBAL_CHECK</t>
        </is>
      </c>
      <c r="F124" s="54" t="inlineStr">
        <is>
          <t>GLOBAL_CHECK</t>
        </is>
      </c>
      <c r="G124" s="56" t="inlineStr">
        <is>
          <t>NEWBORN_LOSS_KILL</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NEWBORN_LOSS_KILL_FILTER_TF</t>
        </is>
      </c>
      <c r="P124" s="51" t="inlineStr">
        <is>
          <t>getattr(cfg,"NEWBORN_LOSS_KILL_FILTER_TF")</t>
        </is>
      </c>
      <c r="Q124" s="35" t="inlineStr">
        <is>
          <t>YES</t>
        </is>
      </c>
    </row>
    <row r="125" ht="15.75" customHeight="1" s="67">
      <c r="A125" s="54" t="n">
        <v>106</v>
      </c>
      <c r="B125" s="55" t="inlineStr">
        <is>
          <t>NEWBORN_PROTECT_FILTER_TF</t>
        </is>
      </c>
      <c r="C125" s="53" t="inlineStr">
        <is>
          <t>4h</t>
        </is>
      </c>
      <c r="D125"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5" s="56" t="inlineStr">
        <is>
          <t>GLOBAL_CHECK</t>
        </is>
      </c>
      <c r="F125" s="54" t="inlineStr">
        <is>
          <t>GLOBAL_CHECK</t>
        </is>
      </c>
      <c r="G125" s="56" t="inlineStr">
        <is>
          <t>NEWBORN_PROTECT</t>
        </is>
      </c>
      <c r="H125" s="54" t="inlineStr">
        <is>
          <t>SPECIFIC — only gated switches</t>
        </is>
      </c>
      <c r="I125" s="54" t="inlineStr">
        <is>
          <t>LIVE — wired</t>
        </is>
      </c>
      <c r="J125" s="54" t="n"/>
      <c r="K125" s="51" t="inlineStr">
        <is>
          <t>1/4</t>
        </is>
      </c>
      <c r="L125" s="51" t="inlineStr">
        <is>
          <t>OFF, 15m, 1h, 4h, D (5 options)</t>
        </is>
      </c>
      <c r="M125" s="51" t="inlineStr">
        <is>
          <t>15m</t>
        </is>
      </c>
      <c r="N125" s="51" t="inlineStr">
        <is>
          <t>TF selector</t>
        </is>
      </c>
      <c r="O125" s="51" t="inlineStr">
        <is>
          <t>NEWBORN_PROTECT_FILTER_TF</t>
        </is>
      </c>
      <c r="P125" s="51" t="inlineStr">
        <is>
          <t>getattr(cfg,"NEWBORN_PROTECT_FILTER_TF")</t>
        </is>
      </c>
      <c r="Q125" s="35" t="inlineStr">
        <is>
          <t>NO</t>
        </is>
      </c>
    </row>
    <row r="126" ht="15.75" customHeight="1" s="67">
      <c r="A126" s="54" t="n">
        <v>106</v>
      </c>
      <c r="B126" s="55" t="inlineStr">
        <is>
          <t>NEWBORN_PROTECT_FILTER_TF</t>
        </is>
      </c>
      <c r="C126" s="53" t="inlineStr">
        <is>
          <t>1h</t>
        </is>
      </c>
      <c r="D126"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6" s="56" t="inlineStr">
        <is>
          <t>GLOBAL_CHECK</t>
        </is>
      </c>
      <c r="F126" s="54" t="inlineStr">
        <is>
          <t>GLOBAL_CHECK</t>
        </is>
      </c>
      <c r="G126" s="56" t="inlineStr">
        <is>
          <t>NEWBORN_PROTECT</t>
        </is>
      </c>
      <c r="H126" s="54" t="inlineStr">
        <is>
          <t>SPECIFIC — only gated switches</t>
        </is>
      </c>
      <c r="I126" s="54" t="inlineStr">
        <is>
          <t>LIVE — wired</t>
        </is>
      </c>
      <c r="J126" s="54" t="n"/>
      <c r="K126" s="51" t="inlineStr">
        <is>
          <t>1/4</t>
        </is>
      </c>
      <c r="L126" s="51" t="inlineStr">
        <is>
          <t>OFF, 15m, 1h, 4h, D (5 options)</t>
        </is>
      </c>
      <c r="M126" s="51" t="inlineStr">
        <is>
          <t>15m</t>
        </is>
      </c>
      <c r="N126" s="51" t="inlineStr">
        <is>
          <t>TF selector</t>
        </is>
      </c>
      <c r="O126" s="51" t="inlineStr">
        <is>
          <t>NEWBORN_PROTECT_FILTER_TF</t>
        </is>
      </c>
      <c r="P126" s="51" t="inlineStr">
        <is>
          <t>getattr(cfg,"NEWBORN_PROTECT_FILTER_TF")</t>
        </is>
      </c>
      <c r="Q126" s="35" t="inlineStr">
        <is>
          <t>NO</t>
        </is>
      </c>
    </row>
    <row r="127" ht="15.75" customHeight="1" s="67">
      <c r="A127" s="54" t="n">
        <v>106</v>
      </c>
      <c r="B127" s="57" t="inlineStr">
        <is>
          <t>NEWBORN_PROTECT_FILTER_TF</t>
        </is>
      </c>
      <c r="C127" s="49" t="inlineStr">
        <is>
          <t>15m</t>
        </is>
      </c>
      <c r="D12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127" s="56" t="inlineStr">
        <is>
          <t>GLOBAL_CHECK</t>
        </is>
      </c>
      <c r="F127" s="54" t="inlineStr">
        <is>
          <t>GLOBAL_CHECK</t>
        </is>
      </c>
      <c r="G127" s="56" t="inlineStr">
        <is>
          <t>NEWBORN_PROTECT</t>
        </is>
      </c>
      <c r="H127" s="54" t="inlineStr">
        <is>
          <t>SPECIFIC — only gated switches</t>
        </is>
      </c>
      <c r="I127" s="54" t="inlineStr">
        <is>
          <t>LIVE — wired</t>
        </is>
      </c>
      <c r="J127" s="54" t="n"/>
      <c r="K127" s="51" t="inlineStr">
        <is>
          <t>1/4</t>
        </is>
      </c>
      <c r="L127" s="51" t="inlineStr">
        <is>
          <t>OFF, 15m, 1h, 4h, D (5 options)</t>
        </is>
      </c>
      <c r="M127" s="51" t="inlineStr">
        <is>
          <t>15m</t>
        </is>
      </c>
      <c r="N127" s="51" t="inlineStr">
        <is>
          <t>TF selector</t>
        </is>
      </c>
      <c r="O127" s="51" t="inlineStr">
        <is>
          <t>NEWBORN_PROTECT_FILTER_TF</t>
        </is>
      </c>
      <c r="P127" s="51" t="inlineStr">
        <is>
          <t>getattr(cfg,"NEWBORN_PROTECT_FILTER_TF")</t>
        </is>
      </c>
      <c r="Q127" s="35" t="inlineStr">
        <is>
          <t>YES</t>
        </is>
      </c>
    </row>
    <row r="128" ht="15.75" customHeight="1" s="67">
      <c r="A128" s="54" t="n">
        <v>108</v>
      </c>
      <c r="B128" s="55" t="inlineStr">
        <is>
          <t>NOLOSS_BYPASS_WT5OF5_FILTER_TF</t>
        </is>
      </c>
      <c r="C128" s="53" t="inlineStr">
        <is>
          <t>OFF</t>
        </is>
      </c>
      <c r="D128" s="56" t="inlineStr">
        <is>
          <t>Bypasses no-loss gate when WT 5of5 confirms (all WT TFs). | Live read: `', 'MI_STRUCT_EXIT_ENABLED', 'MI_VELOCITY_EXIT_ENABLED', 'MI_WAVE_EXIT_ENABLED',`</t>
        </is>
      </c>
      <c r="E128" s="56" t="inlineStr">
        <is>
          <t>GLOBAL_CHECK</t>
        </is>
      </c>
      <c r="F128" s="54" t="inlineStr">
        <is>
          <t>GLOBAL_CHECK</t>
        </is>
      </c>
      <c r="G128" s="56" t="inlineStr">
        <is>
          <t>NOLOSS_BYPASS_WT5OF5</t>
        </is>
      </c>
      <c r="H128" s="54" t="inlineStr">
        <is>
          <t>SPECIFIC — only gated switches</t>
        </is>
      </c>
      <c r="I128" s="54" t="inlineStr">
        <is>
          <t>LIVE — wired</t>
        </is>
      </c>
      <c r="J128" s="54" t="n"/>
      <c r="K128" s="51" t="inlineStr">
        <is>
          <t>1/4</t>
        </is>
      </c>
      <c r="L128" s="51" t="inlineStr">
        <is>
          <t>OFF, 15m, 1h, 4h, D (5 options)</t>
        </is>
      </c>
      <c r="M128" s="51" t="inlineStr">
        <is>
          <t>15m</t>
        </is>
      </c>
      <c r="N128" s="51" t="inlineStr">
        <is>
          <t>TF selector</t>
        </is>
      </c>
      <c r="O128" s="51" t="inlineStr">
        <is>
          <t>NOLOSS_BYPASS_WT5OF5_FILTER_TF</t>
        </is>
      </c>
      <c r="P128" s="51" t="inlineStr">
        <is>
          <t>getattr(cfg,"NOLOSS_BYPASS_WT5OF5_FILTER_TF")</t>
        </is>
      </c>
      <c r="Q128" s="35" t="inlineStr">
        <is>
          <t>NO</t>
        </is>
      </c>
    </row>
    <row r="129" ht="15.75" customHeight="1" s="67">
      <c r="A129" s="54" t="n">
        <v>108</v>
      </c>
      <c r="B129" s="55" t="inlineStr">
        <is>
          <t>NOLOSS_BYPASS_WT5OF5_FILTER_TF</t>
        </is>
      </c>
      <c r="C129" s="53" t="inlineStr">
        <is>
          <t>D</t>
        </is>
      </c>
      <c r="D129" s="56" t="inlineStr">
        <is>
          <t>Bypasses no-loss gate when WT 5of5 confirms (all WT TFs). | Live read: `', 'MI_STRUCT_EXIT_ENABLED', 'MI_VELOCITY_EXIT_ENABLED', 'MI_WAVE_EXIT_ENABLED',`</t>
        </is>
      </c>
      <c r="E129" s="56" t="inlineStr">
        <is>
          <t>GLOBAL_CHECK</t>
        </is>
      </c>
      <c r="F129" s="54" t="inlineStr">
        <is>
          <t>GLOBAL_CHECK</t>
        </is>
      </c>
      <c r="G129" s="56" t="inlineStr">
        <is>
          <t>NOLOSS_BYPASS_WT5OF5</t>
        </is>
      </c>
      <c r="H129" s="54" t="inlineStr">
        <is>
          <t>SPECIFIC — only gated switches</t>
        </is>
      </c>
      <c r="I129" s="54" t="inlineStr">
        <is>
          <t>LIVE — wired</t>
        </is>
      </c>
      <c r="J129" s="54" t="n"/>
      <c r="K129" s="51" t="inlineStr">
        <is>
          <t>1/4</t>
        </is>
      </c>
      <c r="L129" s="51" t="inlineStr">
        <is>
          <t>OFF, 15m, 1h, 4h, D (5 options)</t>
        </is>
      </c>
      <c r="M129" s="51" t="inlineStr">
        <is>
          <t>15m</t>
        </is>
      </c>
      <c r="N129" s="51" t="inlineStr">
        <is>
          <t>TF selector</t>
        </is>
      </c>
      <c r="O129" s="51" t="inlineStr">
        <is>
          <t>NOLOSS_BYPASS_WT5OF5_FILTER_TF</t>
        </is>
      </c>
      <c r="P129" s="51" t="inlineStr">
        <is>
          <t>getattr(cfg,"NOLOSS_BYPASS_WT5OF5_FILTER_TF")</t>
        </is>
      </c>
      <c r="Q129" s="35" t="inlineStr">
        <is>
          <t>NO</t>
        </is>
      </c>
    </row>
    <row r="130" ht="15.75" customHeight="1" s="67">
      <c r="A130" s="54" t="n">
        <v>108</v>
      </c>
      <c r="B130" s="55" t="inlineStr">
        <is>
          <t>NOLOSS_BYPASS_WT5OF5_FILTER_TF</t>
        </is>
      </c>
      <c r="C130" s="53" t="inlineStr">
        <is>
          <t>4h</t>
        </is>
      </c>
      <c r="D130" s="56" t="inlineStr">
        <is>
          <t>Bypasses no-loss gate when WT 5of5 confirms (all WT TFs). | Live read: `', 'MI_STRUCT_EXIT_ENABLED', 'MI_VELOCITY_EXIT_ENABLED', 'MI_WAVE_EXIT_ENABLED',`</t>
        </is>
      </c>
      <c r="E130" s="56" t="inlineStr">
        <is>
          <t>GLOBAL_CHECK</t>
        </is>
      </c>
      <c r="F130" s="54" t="inlineStr">
        <is>
          <t>GLOBAL_CHECK</t>
        </is>
      </c>
      <c r="G130" s="56" t="inlineStr">
        <is>
          <t>NOLOSS_BYPASS_WT5OF5</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NOLOSS_BYPASS_WT5OF5_FILTER_TF</t>
        </is>
      </c>
      <c r="P130" s="51" t="inlineStr">
        <is>
          <t>getattr(cfg,"NOLOSS_BYPASS_WT5OF5_FILTER_TF")</t>
        </is>
      </c>
      <c r="Q130" s="35" t="inlineStr">
        <is>
          <t>NO</t>
        </is>
      </c>
    </row>
    <row r="131" ht="15.75" customHeight="1" s="67">
      <c r="A131" s="54" t="n">
        <v>108</v>
      </c>
      <c r="B131" s="55" t="inlineStr">
        <is>
          <t>NOLOSS_BYPASS_WT5OF5_FILTER_TF</t>
        </is>
      </c>
      <c r="C131" s="53" t="inlineStr">
        <is>
          <t>1h</t>
        </is>
      </c>
      <c r="D131" s="56" t="inlineStr">
        <is>
          <t>Bypasses no-loss gate when WT 5of5 confirms (all WT TFs). | Live read: `', 'MI_STRUCT_EXIT_ENABLED', 'MI_VELOCITY_EXIT_ENABLED', 'MI_WAVE_EXIT_ENABLED',`</t>
        </is>
      </c>
      <c r="E131" s="56" t="inlineStr">
        <is>
          <t>GLOBAL_CHECK</t>
        </is>
      </c>
      <c r="F131" s="54" t="inlineStr">
        <is>
          <t>GLOBAL_CHECK</t>
        </is>
      </c>
      <c r="G131" s="56" t="inlineStr">
        <is>
          <t>NOLOSS_BYPASS_WT5OF5</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NOLOSS_BYPASS_WT5OF5_FILTER_TF</t>
        </is>
      </c>
      <c r="P131" s="51" t="inlineStr">
        <is>
          <t>getattr(cfg,"NOLOSS_BYPASS_WT5OF5_FILTER_TF")</t>
        </is>
      </c>
      <c r="Q131" s="35" t="inlineStr">
        <is>
          <t>NO</t>
        </is>
      </c>
    </row>
    <row r="132" ht="15.75" customHeight="1" s="67">
      <c r="A132" s="54" t="n">
        <v>108</v>
      </c>
      <c r="B132" s="57" t="inlineStr">
        <is>
          <t>NOLOSS_BYPASS_WT5OF5_FILTER_TF</t>
        </is>
      </c>
      <c r="C132" s="49" t="inlineStr">
        <is>
          <t>15m</t>
        </is>
      </c>
      <c r="D132" s="56" t="inlineStr">
        <is>
          <t>Bypasses no-loss gate when WT 5of5 confirms (all WT TFs). | Live read: `', 'MI_STRUCT_EXIT_ENABLED', 'MI_VELOCITY_EXIT_ENABLED', 'MI_WAVE_EXIT_ENABLED',`</t>
        </is>
      </c>
      <c r="E132" s="56" t="inlineStr">
        <is>
          <t>GLOBAL_CHECK</t>
        </is>
      </c>
      <c r="F132" s="54" t="inlineStr">
        <is>
          <t>GLOBAL_CHECK</t>
        </is>
      </c>
      <c r="G132" s="56" t="inlineStr">
        <is>
          <t>NOLOSS_BYPASS_WT5OF5</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NOLOSS_BYPASS_WT5OF5_FILTER_TF</t>
        </is>
      </c>
      <c r="P132" s="51" t="inlineStr">
        <is>
          <t>getattr(cfg,"NOLOSS_BYPASS_WT5OF5_FILTER_TF")</t>
        </is>
      </c>
      <c r="Q132" s="35" t="inlineStr">
        <is>
          <t>YES</t>
        </is>
      </c>
    </row>
    <row r="133" ht="15.75" customHeight="1" s="67">
      <c r="A133" s="54" t="n">
        <v>112</v>
      </c>
      <c r="B133" s="55" t="inlineStr">
        <is>
          <t>OPEN_INTENT_SIZE_GATES_FILTER_TF</t>
        </is>
      </c>
      <c r="C133" s="53" t="inlineStr">
        <is>
          <t>OFF</t>
        </is>
      </c>
      <c r="D133" s="56" t="inlineStr">
        <is>
          <t>Size gates for open intent on FILTER_TF. | Live read: `MOMENTUM_BREAKOUT_FILTER_TF', 'MOMENTUM_BREAKOUT_MIN_TFS', 'MTF_ARMED_BANDTYPES'`</t>
        </is>
      </c>
      <c r="E133" s="56" t="inlineStr">
        <is>
          <t>GLOBAL_CHECK</t>
        </is>
      </c>
      <c r="F133" s="54" t="inlineStr">
        <is>
          <t>GLOBAL_CHECK</t>
        </is>
      </c>
      <c r="G133" s="56" t="inlineStr">
        <is>
          <t>OPEN_INTENT_SIZE_GATES</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OPEN_INTENT_SIZE_GATES_FILTER_TF</t>
        </is>
      </c>
      <c r="P133" s="51" t="inlineStr">
        <is>
          <t>getattr(cfg,"OPEN_INTENT_SIZE_GATES_FILTER_TF")</t>
        </is>
      </c>
      <c r="Q133" s="35" t="inlineStr">
        <is>
          <t>NO</t>
        </is>
      </c>
    </row>
    <row r="134" ht="15.75" customHeight="1" s="67">
      <c r="A134" s="54" t="n">
        <v>112</v>
      </c>
      <c r="B134" s="55" t="inlineStr">
        <is>
          <t>OPEN_INTENT_SIZE_GATES_FILTER_TF</t>
        </is>
      </c>
      <c r="C134" s="53" t="inlineStr">
        <is>
          <t>D</t>
        </is>
      </c>
      <c r="D134" s="56" t="inlineStr">
        <is>
          <t>Size gates for open intent on FILTER_TF. | Live read: `MOMENTUM_BREAKOUT_FILTER_TF', 'MOMENTUM_BREAKOUT_MIN_TFS', 'MTF_ARMED_BANDTYPES'`</t>
        </is>
      </c>
      <c r="E134" s="56" t="inlineStr">
        <is>
          <t>GLOBAL_CHECK</t>
        </is>
      </c>
      <c r="F134" s="54" t="inlineStr">
        <is>
          <t>GLOBAL_CHECK</t>
        </is>
      </c>
      <c r="G134" s="56" t="inlineStr">
        <is>
          <t>OPEN_INTENT_SIZE_GATES</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OPEN_INTENT_SIZE_GATES_FILTER_TF</t>
        </is>
      </c>
      <c r="P134" s="51" t="inlineStr">
        <is>
          <t>getattr(cfg,"OPEN_INTENT_SIZE_GATES_FILTER_TF")</t>
        </is>
      </c>
      <c r="Q134" s="35" t="inlineStr">
        <is>
          <t>NO</t>
        </is>
      </c>
    </row>
    <row r="135" ht="15.75" customHeight="1" s="67">
      <c r="A135" s="54" t="n">
        <v>112</v>
      </c>
      <c r="B135" s="55" t="inlineStr">
        <is>
          <t>OPEN_INTENT_SIZE_GATES_FILTER_TF</t>
        </is>
      </c>
      <c r="C135" s="53" t="inlineStr">
        <is>
          <t>4h</t>
        </is>
      </c>
      <c r="D135" s="56" t="inlineStr">
        <is>
          <t>Size gates for open intent on FILTER_TF. | Live read: `MOMENTUM_BREAKOUT_FILTER_TF', 'MOMENTUM_BREAKOUT_MIN_TFS', 'MTF_ARMED_BANDTYPES'`</t>
        </is>
      </c>
      <c r="E135" s="56" t="inlineStr">
        <is>
          <t>GLOBAL_CHECK</t>
        </is>
      </c>
      <c r="F135" s="54" t="inlineStr">
        <is>
          <t>GLOBAL_CHECK</t>
        </is>
      </c>
      <c r="G135" s="56" t="inlineStr">
        <is>
          <t>OPEN_INTENT_SIZE_GATES</t>
        </is>
      </c>
      <c r="H135" s="54" t="inlineStr">
        <is>
          <t>SPECIFIC — only gated switches</t>
        </is>
      </c>
      <c r="I135" s="54" t="inlineStr">
        <is>
          <t>LIVE — wired</t>
        </is>
      </c>
      <c r="J135" s="54" t="n"/>
      <c r="K135" s="51" t="inlineStr">
        <is>
          <t>1/4</t>
        </is>
      </c>
      <c r="L135" s="51" t="inlineStr">
        <is>
          <t>OFF, 15m, 1h, 4h, D (5 options)</t>
        </is>
      </c>
      <c r="M135" s="51" t="inlineStr">
        <is>
          <t>15m</t>
        </is>
      </c>
      <c r="N135" s="51" t="inlineStr">
        <is>
          <t>TF selector</t>
        </is>
      </c>
      <c r="O135" s="51" t="inlineStr">
        <is>
          <t>OPEN_INTENT_SIZE_GATES_FILTER_TF</t>
        </is>
      </c>
      <c r="P135" s="51" t="inlineStr">
        <is>
          <t>getattr(cfg,"OPEN_INTENT_SIZE_GATES_FILTER_TF")</t>
        </is>
      </c>
      <c r="Q135" s="35" t="inlineStr">
        <is>
          <t>NO</t>
        </is>
      </c>
    </row>
    <row r="136" ht="15.75" customHeight="1" s="67">
      <c r="A136" s="54" t="n">
        <v>112</v>
      </c>
      <c r="B136" s="55" t="inlineStr">
        <is>
          <t>OPEN_INTENT_SIZE_GATES_FILTER_TF</t>
        </is>
      </c>
      <c r="C136" s="53" t="inlineStr">
        <is>
          <t>1h</t>
        </is>
      </c>
      <c r="D136" s="56" t="inlineStr">
        <is>
          <t>Size gates for open intent on FILTER_TF. | Live read: `MOMENTUM_BREAKOUT_FILTER_TF', 'MOMENTUM_BREAKOUT_MIN_TFS', 'MTF_ARMED_BANDTYPES'`</t>
        </is>
      </c>
      <c r="E136" s="56" t="inlineStr">
        <is>
          <t>GLOBAL_CHECK</t>
        </is>
      </c>
      <c r="F136" s="54" t="inlineStr">
        <is>
          <t>GLOBAL_CHECK</t>
        </is>
      </c>
      <c r="G136" s="56" t="inlineStr">
        <is>
          <t>OPEN_INTENT_SIZE_GATES</t>
        </is>
      </c>
      <c r="H136" s="54" t="inlineStr">
        <is>
          <t>SPECIFIC — only gated switches</t>
        </is>
      </c>
      <c r="I136" s="54" t="inlineStr">
        <is>
          <t>LIVE — wired</t>
        </is>
      </c>
      <c r="J136" s="54" t="n"/>
      <c r="K136" s="51" t="inlineStr">
        <is>
          <t>1/4</t>
        </is>
      </c>
      <c r="L136" s="51" t="inlineStr">
        <is>
          <t>OFF, 15m, 1h, 4h, D (5 options)</t>
        </is>
      </c>
      <c r="M136" s="51" t="inlineStr">
        <is>
          <t>15m</t>
        </is>
      </c>
      <c r="N136" s="51" t="inlineStr">
        <is>
          <t>TF selector</t>
        </is>
      </c>
      <c r="O136" s="51" t="inlineStr">
        <is>
          <t>OPEN_INTENT_SIZE_GATES_FILTER_TF</t>
        </is>
      </c>
      <c r="P136" s="51" t="inlineStr">
        <is>
          <t>getattr(cfg,"OPEN_INTENT_SIZE_GATES_FILTER_TF")</t>
        </is>
      </c>
      <c r="Q136" s="35" t="inlineStr">
        <is>
          <t>NO</t>
        </is>
      </c>
    </row>
    <row r="137" ht="15.75" customHeight="1" s="67">
      <c r="A137" s="54" t="n">
        <v>112</v>
      </c>
      <c r="B137" s="57" t="inlineStr">
        <is>
          <t>OPEN_INTENT_SIZE_GATES_FILTER_TF</t>
        </is>
      </c>
      <c r="C137" s="49" t="inlineStr">
        <is>
          <t>15m</t>
        </is>
      </c>
      <c r="D137" s="56" t="inlineStr">
        <is>
          <t>Size gates for open intent on FILTER_TF. | Live read: `MOMENTUM_BREAKOUT_FILTER_TF', 'MOMENTUM_BREAKOUT_MIN_TFS', 'MTF_ARMED_BANDTYPES'`</t>
        </is>
      </c>
      <c r="E137" s="56" t="inlineStr">
        <is>
          <t>GLOBAL_CHECK</t>
        </is>
      </c>
      <c r="F137" s="54" t="inlineStr">
        <is>
          <t>GLOBAL_CHECK</t>
        </is>
      </c>
      <c r="G137" s="56" t="inlineStr">
        <is>
          <t>OPEN_INTENT_SIZE_GATES</t>
        </is>
      </c>
      <c r="H137" s="54" t="inlineStr">
        <is>
          <t>SPECIFIC — only gated switches</t>
        </is>
      </c>
      <c r="I137" s="54" t="inlineStr">
        <is>
          <t>LIVE — wired</t>
        </is>
      </c>
      <c r="J137" s="54" t="n"/>
      <c r="K137" s="51" t="inlineStr">
        <is>
          <t>1/4</t>
        </is>
      </c>
      <c r="L137" s="51" t="inlineStr">
        <is>
          <t>OFF, 15m, 1h, 4h, D (5 options)</t>
        </is>
      </c>
      <c r="M137" s="51" t="inlineStr">
        <is>
          <t>15m</t>
        </is>
      </c>
      <c r="N137" s="51" t="inlineStr">
        <is>
          <t>TF selector</t>
        </is>
      </c>
      <c r="O137" s="51" t="inlineStr">
        <is>
          <t>OPEN_INTENT_SIZE_GATES_FILTER_TF</t>
        </is>
      </c>
      <c r="P137" s="51" t="inlineStr">
        <is>
          <t>getattr(cfg,"OPEN_INTENT_SIZE_GATES_FILTER_TF")</t>
        </is>
      </c>
      <c r="Q137" s="35" t="inlineStr">
        <is>
          <t>YES</t>
        </is>
      </c>
    </row>
    <row r="138" ht="15.75" customHeight="1" s="67">
      <c r="A138" s="54" t="n">
        <v>113</v>
      </c>
      <c r="B138" s="55" t="inlineStr">
        <is>
          <t>PARTIAL_PROFIT_LOCK_V2_FILTER_TF</t>
        </is>
      </c>
      <c r="C138" s="53" t="inlineStr">
        <is>
          <t>OFF</t>
        </is>
      </c>
      <c r="D138" s="56" t="inlineStr">
        <is>
          <t>Partial profit lock v2 confirmation TF. | Live read: `OUNCE_ENABLED', 'ENABLE_FAST_RISER_REDUCE', 'HAIKU_AUGMENT_FRACTION', 'HAIKU_AUG`</t>
        </is>
      </c>
      <c r="E138" s="56" t="inlineStr">
        <is>
          <t>GLOBAL_CHECK</t>
        </is>
      </c>
      <c r="F138" s="54" t="inlineStr">
        <is>
          <t>GLOBAL_CHECK</t>
        </is>
      </c>
      <c r="G138" s="56" t="inlineStr">
        <is>
          <t>PARTIAL_PROFIT_LOCK_V2</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PARTIAL_PROFIT_LOCK_V2_FILTER_TF</t>
        </is>
      </c>
      <c r="P138" s="51" t="inlineStr">
        <is>
          <t>getattr(cfg,"PARTIAL_PROFIT_LOCK_V2_FILTER_TF")</t>
        </is>
      </c>
      <c r="Q138" s="35" t="inlineStr">
        <is>
          <t>NO</t>
        </is>
      </c>
    </row>
    <row r="139" ht="15.75" customHeight="1" s="67">
      <c r="A139" s="54" t="n">
        <v>113</v>
      </c>
      <c r="B139" s="55" t="inlineStr">
        <is>
          <t>PARTIAL_PROFIT_LOCK_V2_FILTER_TF</t>
        </is>
      </c>
      <c r="C139" s="53" t="inlineStr">
        <is>
          <t>1h</t>
        </is>
      </c>
      <c r="D139" s="56" t="inlineStr">
        <is>
          <t>Partial profit lock v2 confirmation TF. | Live read: `OUNCE_ENABLED', 'ENABLE_FAST_RISER_REDUCE', 'HAIKU_AUGMENT_FRACTION', 'HAIKU_AUG`</t>
        </is>
      </c>
      <c r="E139" s="56" t="inlineStr">
        <is>
          <t>GLOBAL_CHECK</t>
        </is>
      </c>
      <c r="F139" s="54" t="inlineStr">
        <is>
          <t>GLOBAL_CHECK</t>
        </is>
      </c>
      <c r="G139" s="56" t="inlineStr">
        <is>
          <t>PARTIAL_PROFIT_LOCK_V2</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PARTIAL_PROFIT_LOCK_V2_FILTER_TF</t>
        </is>
      </c>
      <c r="P139" s="51" t="inlineStr">
        <is>
          <t>getattr(cfg,"PARTIAL_PROFIT_LOCK_V2_FILTER_TF")</t>
        </is>
      </c>
      <c r="Q139" s="35" t="inlineStr">
        <is>
          <t>NO</t>
        </is>
      </c>
    </row>
    <row r="140" ht="15.75" customHeight="1" s="67">
      <c r="A140" s="54" t="n">
        <v>114</v>
      </c>
      <c r="B140" s="55" t="inlineStr">
        <is>
          <t>PEAK_GIVEBACK_BE_EROSION_FILTER_TF</t>
        </is>
      </c>
      <c r="C140" s="53" t="inlineStr">
        <is>
          <t>1h</t>
        </is>
      </c>
      <c r="D140" s="56" t="inlineStr">
        <is>
          <t>Peak giveback / breakeven erosion filter TF. | Live read: `OCH_EXTREME', 'LR_BAND_LADDER_TF_BOTTOM', 'LR_BAND_LADDER_TF_TOP', 'LTF_ALIGN_GA`</t>
        </is>
      </c>
      <c r="E140" s="56" t="inlineStr">
        <is>
          <t>GLOBAL_CHECK</t>
        </is>
      </c>
      <c r="F140" s="54" t="inlineStr">
        <is>
          <t>GLOBAL_CHECK</t>
        </is>
      </c>
      <c r="G140" s="56" t="inlineStr">
        <is>
          <t>PEAK_GIVEBACK_BE_EROSION</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PEAK_GIVEBACK_BE_EROSION_FILTER_TF</t>
        </is>
      </c>
      <c r="P140" s="51" t="inlineStr">
        <is>
          <t>getattr(cfg,"PEAK_GIVEBACK_BE_EROSION_FILTER_TF")</t>
        </is>
      </c>
      <c r="Q140" s="35" t="inlineStr">
        <is>
          <t>NO</t>
        </is>
      </c>
    </row>
    <row r="141" ht="15.75" customHeight="1" s="67">
      <c r="A141" s="54" t="n">
        <v>114</v>
      </c>
      <c r="B141" s="57" t="inlineStr">
        <is>
          <t>PEAK_GIVEBACK_BE_EROSION_FILTER_TF</t>
        </is>
      </c>
      <c r="C141" s="49" t="inlineStr">
        <is>
          <t>15m</t>
        </is>
      </c>
      <c r="D141" s="56" t="inlineStr">
        <is>
          <t>Peak giveback / breakeven erosion filter TF. | Live read: `OCH_EXTREME', 'LR_BAND_LADDER_TF_BOTTOM', 'LR_BAND_LADDER_TF_TOP', 'LTF_ALIGN_GA`</t>
        </is>
      </c>
      <c r="E141" s="56" t="inlineStr">
        <is>
          <t>GLOBAL_CHECK</t>
        </is>
      </c>
      <c r="F141" s="54" t="inlineStr">
        <is>
          <t>GLOBAL_CHECK</t>
        </is>
      </c>
      <c r="G141" s="56" t="inlineStr">
        <is>
          <t>PEAK_GIVEBACK_BE_EROSION</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PEAK_GIVEBACK_BE_EROSION_FILTER_TF</t>
        </is>
      </c>
      <c r="P141" s="51" t="inlineStr">
        <is>
          <t>getattr(cfg,"PEAK_GIVEBACK_BE_EROSION_FILTER_TF")</t>
        </is>
      </c>
      <c r="Q141" s="35" t="inlineStr">
        <is>
          <t>YES</t>
        </is>
      </c>
    </row>
    <row r="142" ht="15.75" customHeight="1" s="67">
      <c r="A142" s="35" t="n">
        <v>421</v>
      </c>
      <c r="B142" s="35" t="inlineStr">
        <is>
          <t>WT_15M_BOUNCE_BB_MIN</t>
        </is>
      </c>
      <c r="C142" s="35" t="n">
        <v>0.05</v>
      </c>
      <c r="D142" s="35" t="inlineStr">
        <is>
          <t>Sub-filter for WT_15M_BOUNCE_OPEN_ENABLED TRUE - WT_15M_BOUNCE_BB_MIN=0.05 (moved from switch rows to filter dictionary to prevent premature discard of WT True neg delta)</t>
        </is>
      </c>
      <c r="E142" s="35" t="inlineStr">
        <is>
          <t>ENTRY_PULLBACK_BOUNCE</t>
        </is>
      </c>
      <c r="F142" s="35" t="inlineStr">
        <is>
          <t>ENTRY_REVERSAL_BOUNCE</t>
        </is>
      </c>
      <c r="G142" s="35" t="inlineStr">
        <is>
          <t>WT_15M_BOUNCE_OPEN_ENABLED</t>
        </is>
      </c>
      <c r="H142" s="35" t="inlineStr">
        <is>
          <t>SPECIFIC — only gated switches</t>
        </is>
      </c>
      <c r="I142" s="35" t="inlineStr">
        <is>
          <t>LIVE — wired (QuickConfig)</t>
        </is>
      </c>
    </row>
    <row r="143" ht="15.75" customHeight="1" s="67">
      <c r="A143" s="35" t="n">
        <v>422</v>
      </c>
      <c r="B143" s="35" t="inlineStr">
        <is>
          <t>WT_15M_BOUNCE_BB_MIN</t>
        </is>
      </c>
      <c r="C143" s="35" t="n">
        <v>0.1</v>
      </c>
      <c r="D143" s="35" t="inlineStr">
        <is>
          <t>Sub-filter for WT_15M_BOUNCE_OPEN_ENABLED TRUE - WT_15M_BOUNCE_BB_MIN=0.1 (moved from switch rows to filter dictionary to prevent premature discard of WT True neg delta)</t>
        </is>
      </c>
      <c r="E143" s="35" t="inlineStr">
        <is>
          <t>ENTRY_PULLBACK_BOUNCE</t>
        </is>
      </c>
      <c r="F143" s="35" t="inlineStr">
        <is>
          <t>ENTRY_REVERSAL_BOUNCE</t>
        </is>
      </c>
      <c r="G143" s="35" t="inlineStr">
        <is>
          <t>WT_15M_BOUNCE_OPEN_ENABLED</t>
        </is>
      </c>
      <c r="H143" s="35" t="inlineStr">
        <is>
          <t>SPECIFIC — only gated switches</t>
        </is>
      </c>
      <c r="I143" s="35" t="inlineStr">
        <is>
          <t>LIVE — wired (QuickConfig)</t>
        </is>
      </c>
    </row>
    <row r="144" ht="15.75" customHeight="1" s="67">
      <c r="A144" s="35" t="n">
        <v>423</v>
      </c>
      <c r="B144" s="35" t="inlineStr">
        <is>
          <t>WT_15M_BOUNCE_BB_MIN</t>
        </is>
      </c>
      <c r="C144" s="35" t="n">
        <v>0.2</v>
      </c>
      <c r="D144" s="35" t="inlineStr">
        <is>
          <t>Sub-filter for WT_15M_BOUNCE_OPEN_ENABLED TRUE - WT_15M_BOUNCE_BB_MIN=0.2 (moved from switch rows to filter dictionary to prevent premature discard of WT True neg delta)</t>
        </is>
      </c>
      <c r="E144" s="35" t="inlineStr">
        <is>
          <t>ENTRY_PULLBACK_BOUNCE</t>
        </is>
      </c>
      <c r="F144" s="35" t="inlineStr">
        <is>
          <t>ENTRY_REVERSAL_BOUNCE</t>
        </is>
      </c>
      <c r="G144" s="35" t="inlineStr">
        <is>
          <t>WT_15M_BOUNCE_OPEN_ENABLED</t>
        </is>
      </c>
      <c r="H144" s="35" t="inlineStr">
        <is>
          <t>SPECIFIC — only gated switches</t>
        </is>
      </c>
      <c r="I144" s="35" t="inlineStr">
        <is>
          <t>LIVE — wired (QuickConfig)</t>
        </is>
      </c>
    </row>
    <row r="145" ht="15.75" customHeight="1" s="67">
      <c r="A145" s="35" t="n">
        <v>424</v>
      </c>
      <c r="B145" s="35" t="inlineStr">
        <is>
          <t>WT_15M_BOUNCE_BB_MAX</t>
        </is>
      </c>
      <c r="C145" s="35" t="n">
        <v>0.95</v>
      </c>
      <c r="D145" s="35" t="inlineStr">
        <is>
          <t>Sub-filter for WT_15M_BOUNCE_OPEN_ENABLED TRUE - WT_15M_BOUNCE_BB_MAX=0.95 (moved from switch rows to filter dictionary to prevent premature discard of WT True neg delta)</t>
        </is>
      </c>
      <c r="E145" s="35" t="inlineStr">
        <is>
          <t>ENTRY_PULLBACK_BOUNCE</t>
        </is>
      </c>
      <c r="F145" s="35" t="inlineStr">
        <is>
          <t>ENTRY_REVERSAL_BOUNCE</t>
        </is>
      </c>
      <c r="G145" s="35" t="inlineStr">
        <is>
          <t>WT_15M_BOUNCE_OPEN_ENABLED</t>
        </is>
      </c>
      <c r="H145" s="35" t="inlineStr">
        <is>
          <t>SPECIFIC — only gated switches</t>
        </is>
      </c>
      <c r="I145" s="35" t="inlineStr">
        <is>
          <t>LIVE — wired (QuickConfig)</t>
        </is>
      </c>
    </row>
    <row r="146" ht="15.75" customHeight="1" s="67">
      <c r="A146" s="35" t="n">
        <v>425</v>
      </c>
      <c r="B146" s="35" t="inlineStr">
        <is>
          <t>WT_15M_BOUNCE_BB_MAX</t>
        </is>
      </c>
      <c r="C146" s="35" t="n">
        <v>0.9</v>
      </c>
      <c r="D146" s="35" t="inlineStr">
        <is>
          <t>Sub-filter for WT_15M_BOUNCE_OPEN_ENABLED TRUE - WT_15M_BOUNCE_BB_MAX=0.9 (moved from switch rows to filter dictionary to prevent premature discard of WT True neg delta)</t>
        </is>
      </c>
      <c r="E146" s="35" t="inlineStr">
        <is>
          <t>ENTRY_PULLBACK_BOUNCE</t>
        </is>
      </c>
      <c r="F146" s="35" t="inlineStr">
        <is>
          <t>ENTRY_REVERSAL_BOUNCE</t>
        </is>
      </c>
      <c r="G146" s="35" t="inlineStr">
        <is>
          <t>WT_15M_BOUNCE_OPEN_ENABLED</t>
        </is>
      </c>
      <c r="H146" s="35" t="inlineStr">
        <is>
          <t>SPECIFIC — only gated switches</t>
        </is>
      </c>
      <c r="I146" s="35" t="inlineStr">
        <is>
          <t>LIVE — wired (QuickConfig)</t>
        </is>
      </c>
    </row>
    <row r="147" ht="15.75" customHeight="1" s="67">
      <c r="A147" s="35" t="n">
        <v>426</v>
      </c>
      <c r="B147" s="35" t="inlineStr">
        <is>
          <t>WT_15M_BOUNCE_BB_MAX</t>
        </is>
      </c>
      <c r="C147" s="35" t="n">
        <v>0.8</v>
      </c>
      <c r="D147" s="35" t="inlineStr">
        <is>
          <t>Sub-filter for WT_15M_BOUNCE_OPEN_ENABLED TRUE - WT_15M_BOUNCE_BB_MAX=0.8 (moved from switch rows to filter dictionary to prevent premature discard of WT True neg delta)</t>
        </is>
      </c>
      <c r="E147" s="35" t="inlineStr">
        <is>
          <t>ENTRY_PULLBACK_BOUNCE</t>
        </is>
      </c>
      <c r="F147" s="35" t="inlineStr">
        <is>
          <t>ENTRY_REVERSAL_BOUNCE</t>
        </is>
      </c>
      <c r="G147" s="35" t="inlineStr">
        <is>
          <t>WT_15M_BOUNCE_OPEN_ENABLED</t>
        </is>
      </c>
      <c r="H147" s="35" t="inlineStr">
        <is>
          <t>SPECIFIC — only gated switches</t>
        </is>
      </c>
      <c r="I147" s="35" t="inlineStr">
        <is>
          <t>LIVE — wired (QuickConfig)</t>
        </is>
      </c>
    </row>
    <row r="148" ht="15.75" customHeight="1" s="67">
      <c r="A148" s="35" t="n">
        <v>427</v>
      </c>
      <c r="B148" s="35" t="inlineStr">
        <is>
          <t>WT_15M_BOUNCE_LOW_1H_GT_PREV</t>
        </is>
      </c>
      <c r="C148" s="35" t="b">
        <v>1</v>
      </c>
      <c r="D148" s="35" t="inlineStr">
        <is>
          <t>Sub-filter for WT_15M_BOUNCE_OPEN_ENABLED TRUE - WT_15M_BOUNCE_LOW_1H_GT_PREV=True (moved from switch rows to filter dictionary to prevent premature discard of WT True neg delta)</t>
        </is>
      </c>
      <c r="E148" s="35" t="inlineStr">
        <is>
          <t>ENTRY_PULLBACK_BOUNCE</t>
        </is>
      </c>
      <c r="F148" s="35" t="inlineStr">
        <is>
          <t>ENTRY_REVERSAL_BOUNCE</t>
        </is>
      </c>
      <c r="G148" s="35" t="inlineStr">
        <is>
          <t>WT_15M_BOUNCE_OPEN_ENABLED</t>
        </is>
      </c>
      <c r="H148" s="35" t="inlineStr">
        <is>
          <t>SPECIFIC — only gated switches</t>
        </is>
      </c>
      <c r="I148" s="35" t="inlineStr">
        <is>
          <t>LIVE — wired (QuickConfig)</t>
        </is>
      </c>
    </row>
    <row r="149" ht="15.75" customHeight="1" s="67">
      <c r="A149" s="35" t="n">
        <v>428</v>
      </c>
      <c r="B149" s="35" t="inlineStr">
        <is>
          <t>WT_15M_BOUNCE_LOW_1H_GT_PREV</t>
        </is>
      </c>
      <c r="C149" s="35" t="b">
        <v>0</v>
      </c>
      <c r="D149" s="35" t="inlineStr">
        <is>
          <t>Sub-filter for WT_15M_BOUNCE_OPEN_ENABLED TRUE - WT_15M_BOUNCE_LOW_1H_GT_PREV=False (moved from switch rows to filter dictionary to prevent premature discard of WT True neg delta)</t>
        </is>
      </c>
      <c r="E149" s="35" t="inlineStr">
        <is>
          <t>ENTRY_PULLBACK_BOUNCE</t>
        </is>
      </c>
      <c r="F149" s="35" t="inlineStr">
        <is>
          <t>ENTRY_REVERSAL_BOUNCE</t>
        </is>
      </c>
      <c r="G149" s="35" t="inlineStr">
        <is>
          <t>WT_15M_BOUNCE_OPEN_ENABLED</t>
        </is>
      </c>
      <c r="H149" s="35" t="inlineStr">
        <is>
          <t>SPECIFIC — only gated switches</t>
        </is>
      </c>
      <c r="I149" s="35" t="inlineStr">
        <is>
          <t>LIVE — wired (QuickConfig)</t>
        </is>
      </c>
    </row>
    <row r="150" ht="15.75" customHeight="1" s="67">
      <c r="A150" s="35" t="n">
        <v>429</v>
      </c>
      <c r="B150" s="35" t="inlineStr">
        <is>
          <t>WT_15M_BOUNCE_HIGH_1H_GT_PREV</t>
        </is>
      </c>
      <c r="C150" s="35" t="b">
        <v>1</v>
      </c>
      <c r="D150" s="35" t="inlineStr">
        <is>
          <t>Sub-filter for WT_15M_BOUNCE_OPEN_ENABLED TRUE - WT_15M_BOUNCE_HIGH_1H_GT_PREV=True (moved from switch rows to filter dictionary to prevent premature discard of WT True neg delta)</t>
        </is>
      </c>
      <c r="E150" s="35" t="inlineStr">
        <is>
          <t>ENTRY_PULLBACK_BOUNCE</t>
        </is>
      </c>
      <c r="F150" s="35" t="inlineStr">
        <is>
          <t>ENTRY_REVERSAL_BOUNCE</t>
        </is>
      </c>
      <c r="G150" s="35" t="inlineStr">
        <is>
          <t>WT_15M_BOUNCE_OPEN_ENABLED</t>
        </is>
      </c>
      <c r="H150" s="35" t="inlineStr">
        <is>
          <t>SPECIFIC — only gated switches</t>
        </is>
      </c>
      <c r="I150" s="35" t="inlineStr">
        <is>
          <t>LIVE — wired (QuickConfig)</t>
        </is>
      </c>
    </row>
    <row r="151" ht="15.75" customHeight="1" s="67">
      <c r="A151" s="35" t="n">
        <v>430</v>
      </c>
      <c r="B151" s="35" t="inlineStr">
        <is>
          <t>WT_15M_BOUNCE_HIGH_1H_GT_PREV</t>
        </is>
      </c>
      <c r="C151" s="35" t="b">
        <v>0</v>
      </c>
      <c r="D151" s="35" t="inlineStr">
        <is>
          <t>Sub-filter for WT_15M_BOUNCE_OPEN_ENABLED TRUE - WT_15M_BOUNCE_HIGH_1H_GT_PREV=False (moved from switch rows to filter dictionary to prevent premature discard of WT True neg delta)</t>
        </is>
      </c>
      <c r="E151" s="35" t="inlineStr">
        <is>
          <t>ENTRY_PULLBACK_BOUNCE</t>
        </is>
      </c>
      <c r="F151" s="35" t="inlineStr">
        <is>
          <t>ENTRY_REVERSAL_BOUNCE</t>
        </is>
      </c>
      <c r="G151" s="35" t="inlineStr">
        <is>
          <t>WT_15M_BOUNCE_OPEN_ENABLED</t>
        </is>
      </c>
      <c r="H151" s="35" t="inlineStr">
        <is>
          <t>SPECIFIC — only gated switches</t>
        </is>
      </c>
      <c r="I151" s="35" t="inlineStr">
        <is>
          <t>LIVE — wired (QuickConfig)</t>
        </is>
      </c>
    </row>
    <row r="152" ht="15.75" customHeight="1" s="67">
      <c r="A152" s="35" t="n">
        <v>431</v>
      </c>
      <c r="B152" s="35" t="inlineStr">
        <is>
          <t>WT_15M_BOUNCE_REL_VOL_GT_1</t>
        </is>
      </c>
      <c r="C152" s="35" t="b">
        <v>1</v>
      </c>
      <c r="D152" s="35" t="inlineStr">
        <is>
          <t>Sub-filter for WT_15M_BOUNCE_OPEN_ENABLED TRUE - WT_15M_BOUNCE_REL_VOL_GT_1=True (moved from switch rows to filter dictionary to prevent premature discard of WT True neg delta)</t>
        </is>
      </c>
      <c r="E152" s="35" t="inlineStr">
        <is>
          <t>ENTRY_PULLBACK_BOUNCE</t>
        </is>
      </c>
      <c r="F152" s="35" t="inlineStr">
        <is>
          <t>ENTRY_REVERSAL_BOUNCE</t>
        </is>
      </c>
      <c r="G152" s="35" t="inlineStr">
        <is>
          <t>WT_15M_BOUNCE_OPEN_ENABLED</t>
        </is>
      </c>
      <c r="H152" s="35" t="inlineStr">
        <is>
          <t>SPECIFIC — only gated switches</t>
        </is>
      </c>
      <c r="I152" s="35" t="inlineStr">
        <is>
          <t>LIVE — wired (QuickConfig)</t>
        </is>
      </c>
    </row>
    <row r="153" ht="15.75" customHeight="1" s="67">
      <c r="A153" s="35" t="n">
        <v>432</v>
      </c>
      <c r="B153" s="35" t="inlineStr">
        <is>
          <t>WT_15M_BOUNCE_REL_VOL_GT_1</t>
        </is>
      </c>
      <c r="C153" s="35" t="b">
        <v>0</v>
      </c>
      <c r="D153" s="35" t="inlineStr">
        <is>
          <t>Sub-filter for WT_15M_BOUNCE_OPEN_ENABLED TRUE - WT_15M_BOUNCE_REL_VOL_GT_1=False (moved from switch rows to filter dictionary to prevent premature discard of WT True neg delta)</t>
        </is>
      </c>
      <c r="E153" s="35" t="inlineStr">
        <is>
          <t>ENTRY_PULLBACK_BOUNCE</t>
        </is>
      </c>
      <c r="F153" s="35" t="inlineStr">
        <is>
          <t>ENTRY_REVERSAL_BOUNCE</t>
        </is>
      </c>
      <c r="G153" s="35" t="inlineStr">
        <is>
          <t>WT_15M_BOUNCE_OPEN_ENABLED</t>
        </is>
      </c>
      <c r="H153" s="35" t="inlineStr">
        <is>
          <t>SPECIFIC — only gated switches</t>
        </is>
      </c>
      <c r="I153" s="35" t="inlineStr">
        <is>
          <t>LIVE — wired (QuickConfig)</t>
        </is>
      </c>
    </row>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2026-09-22T14:55:51Z</dcterms:modified>
</cp:coreProperties>
</file>