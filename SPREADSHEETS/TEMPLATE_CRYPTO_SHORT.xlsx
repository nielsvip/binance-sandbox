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BB_SQUEEZE_WIDTH_PERCENTILE</t>
        </is>
      </c>
      <c r="B3" t="inlineStr">
        <is>
          <t>0.3</t>
        </is>
      </c>
      <c r="E3">
        <f>IF(G18="",E17,IF(G18&gt;0,E17+G18,E17))</f>
        <v/>
      </c>
      <c r="G3">
        <f>IFERROR(VLOOKUP($A193&amp;"_"&amp;$B193,Results_Deltas!$A$2:$P$15000,5,FALSE),"")</f>
        <v/>
      </c>
      <c r="H3">
        <f>IFERROR(VLOOKUP($A193,Results_30d_Deltas!$A$2:$H$5000,7,FALSE)-E17,"")</f>
        <v/>
      </c>
      <c r="I3">
        <f>IFERROR(VLOOKUP($A193,Results_30d_Deltas!$A$2:$H$5000,6,FALSE),"")</f>
        <v/>
      </c>
      <c r="L3" t="inlineStr">
        <is>
          <t>NO</t>
        </is>
      </c>
      <c r="M3" t="n">
        <v>28</v>
      </c>
      <c r="N3" t="n">
        <v>0</v>
      </c>
    </row>
    <row r="4" ht="15.75" customHeight="1" s="67">
      <c r="A4" t="inlineStr">
        <is>
          <t>BB_SQUEEZE_WIDTH_PERCENTILE</t>
        </is>
      </c>
      <c r="B4" t="inlineStr">
        <is>
          <t>0.1</t>
        </is>
      </c>
      <c r="E4">
        <f>IF(G14="",E12,IF(G14&gt;0,E12+G14,E12))</f>
        <v/>
      </c>
      <c r="G4">
        <f>IFERROR(VLOOKUP($A189&amp;"_"&amp;$B189,Results_Deltas!$A$2:$P$15000,5,FALSE),"")</f>
        <v/>
      </c>
      <c r="H4">
        <f>IFERROR(VLOOKUP($A189,Results_30d_Deltas!$A$2:$H$5000,7,FALSE)-E12,"")</f>
        <v/>
      </c>
      <c r="I4">
        <f>IFERROR(VLOOKUP($A189,Results_30d_Deltas!$A$2:$H$5000,6,FALSE),"")</f>
        <v/>
      </c>
      <c r="L4" t="inlineStr">
        <is>
          <t>NO</t>
        </is>
      </c>
      <c r="M4" t="n">
        <v>28</v>
      </c>
      <c r="N4" t="n">
        <v>0</v>
      </c>
    </row>
    <row r="5" ht="15.75" customHeight="1" s="67">
      <c r="A5" t="inlineStr">
        <is>
          <t>BB_SQUEEZE_WIDTH_PERCENTILE</t>
        </is>
      </c>
      <c r="B5" t="inlineStr">
        <is>
          <t>0.25</t>
        </is>
      </c>
      <c r="E5">
        <f>IF(G17="",E16,IF(G17&gt;0,E16+G17,E16))</f>
        <v/>
      </c>
      <c r="G5">
        <f>IFERROR(VLOOKUP($A192&amp;"_"&amp;$B192,Results_Deltas!$A$2:$P$15000,5,FALSE),"")</f>
        <v/>
      </c>
      <c r="H5">
        <f>IFERROR(VLOOKUP($A192,Results_30d_Deltas!$A$2:$H$5000,7,FALSE)-E16,"")</f>
        <v/>
      </c>
      <c r="I5">
        <f>IFERROR(VLOOKUP($A192,Results_30d_Deltas!$A$2:$H$5000,6,FALSE),"")</f>
        <v/>
      </c>
      <c r="L5" t="inlineStr">
        <is>
          <t>NO</t>
        </is>
      </c>
      <c r="M5" t="n">
        <v>28</v>
      </c>
      <c r="N5" t="n">
        <v>0</v>
      </c>
    </row>
    <row r="6" ht="15.75" customHeight="1" s="67">
      <c r="A6" t="inlineStr">
        <is>
          <t>BB_PULLBACK_GATE_TF</t>
        </is>
      </c>
      <c r="B6" t="inlineStr">
        <is>
          <t>OFF</t>
        </is>
      </c>
      <c r="E6">
        <f>IF(G7="",E5,IF(G7&gt;0,E5+G7,E5))</f>
        <v/>
      </c>
      <c r="G6">
        <f>IFERROR(VLOOKUP($A182&amp;"_"&amp;$B182,Results_Deltas!$A$2:$P$15000,5,FALSE),"")</f>
        <v/>
      </c>
      <c r="H6">
        <f>IFERROR(VLOOKUP($A182,Results_30d_Deltas!$A$2:$H$5000,7,FALSE)-E5,"")</f>
        <v/>
      </c>
      <c r="I6">
        <f>IFERROR(VLOOKUP($A182,Results_30d_Deltas!$A$2:$H$5000,6,FALSE),"")</f>
        <v/>
      </c>
      <c r="L6" t="inlineStr">
        <is>
          <t>NO</t>
        </is>
      </c>
      <c r="M6" t="n">
        <v>28</v>
      </c>
      <c r="N6" t="n">
        <v>0</v>
      </c>
    </row>
    <row r="7" ht="15.75" customHeight="1" s="67">
      <c r="A7" t="inlineStr">
        <is>
          <t>FG_FEAR_THRESHOLD</t>
        </is>
      </c>
      <c r="B7" t="inlineStr">
        <is>
          <t>31.25</t>
        </is>
      </c>
      <c r="D7" t="inlineStr">
        <is>
          <t>GLOBAL_CHECK, STOCKS_EXIT</t>
        </is>
      </c>
      <c r="E7">
        <f>IF(G58="",E57,IF(G58&gt;0,E57+G58,E57))</f>
        <v/>
      </c>
      <c r="G7">
        <f>IFERROR(VLOOKUP($A77&amp;"_"&amp;$B77,Results_Deltas!$A$2:$P$15000,5,FALSE),"")</f>
        <v/>
      </c>
      <c r="H7" t="inlineStr">
        <is>
          <t>Blanket (page end)</t>
        </is>
      </c>
      <c r="L7" t="inlineStr">
        <is>
          <t>NO</t>
        </is>
      </c>
      <c r="M7" t="n">
        <v>27</v>
      </c>
      <c r="N7" t="n">
        <v>0</v>
      </c>
    </row>
    <row r="8" ht="15.75" customHeight="1" s="67">
      <c r="A8" t="inlineStr">
        <is>
          <t>DUP_GUARD_FILTER_TF</t>
        </is>
      </c>
      <c r="B8" t="inlineStr">
        <is>
          <t>4h</t>
        </is>
      </c>
      <c r="D8" t="inlineStr">
        <is>
          <t>GLOBAL_CHECK</t>
        </is>
      </c>
      <c r="E8">
        <f>IF(G42="",E41,IF(G42&gt;0,E41+G42,E41))</f>
        <v/>
      </c>
      <c r="G8">
        <f>IFERROR(VLOOKUP($A61&amp;"_"&amp;$B61,Results_Deltas!$A$2:$P$15000,5,FALSE),"")</f>
        <v/>
      </c>
      <c r="H8" t="inlineStr">
        <is>
          <t>Blanket (page end)</t>
        </is>
      </c>
      <c r="L8" t="inlineStr">
        <is>
          <t>NO</t>
        </is>
      </c>
      <c r="M8" t="n">
        <v>6</v>
      </c>
      <c r="N8" t="n">
        <v>0</v>
      </c>
    </row>
    <row r="9" ht="15.75" customHeight="1" s="67">
      <c r="A9" t="inlineStr">
        <is>
          <t>MTS_BOTTOM_STRONG_THRESHOLD</t>
        </is>
      </c>
      <c r="B9" t="inlineStr">
        <is>
          <t>50</t>
        </is>
      </c>
      <c r="D9" t="inlineStr">
        <is>
          <t>ENTRY, GLOBAL_CHECK, STOCKS_EXIT</t>
        </is>
      </c>
      <c r="E9">
        <f>IF(G157="",E156,IF(G157&gt;0,E156+G157,E156))</f>
        <v/>
      </c>
      <c r="G9">
        <f>IFERROR(VLOOKUP($A176&amp;"_"&amp;$B176,Results_Deltas!$A$2:$P$15000,5,FALSE),"")</f>
        <v/>
      </c>
      <c r="H9" t="inlineStr">
        <is>
          <t>Blanket (page end)</t>
        </is>
      </c>
      <c r="L9" t="inlineStr">
        <is>
          <t>NO</t>
        </is>
      </c>
      <c r="M9" t="n">
        <v>26</v>
      </c>
      <c r="N9" t="n">
        <v>0</v>
      </c>
    </row>
    <row r="10" ht="15.75" customHeight="1" s="67">
      <c r="A10" t="inlineStr">
        <is>
          <t>MTS_BOTTOM_STRONG_THRESHOLD</t>
        </is>
      </c>
      <c r="B10" t="inlineStr">
        <is>
          <t>30</t>
        </is>
      </c>
      <c r="D10" t="inlineStr">
        <is>
          <t>ENTRY, GLOBAL_CHECK, STOCKS_EXIT</t>
        </is>
      </c>
      <c r="E10">
        <f>IF(G158="",E157,IF(G158&gt;0,E157+G158,E157))</f>
        <v/>
      </c>
      <c r="G10">
        <f>IFERROR(VLOOKUP($A177&amp;"_"&amp;$B177,Results_Deltas!$A$2:$P$15000,5,FALSE),"")</f>
        <v/>
      </c>
      <c r="H10" t="inlineStr">
        <is>
          <t>Blanket (page end)</t>
        </is>
      </c>
      <c r="L10" t="inlineStr">
        <is>
          <t>NO</t>
        </is>
      </c>
      <c r="M10" t="n">
        <v>26</v>
      </c>
      <c r="N10" t="n">
        <v>0</v>
      </c>
    </row>
    <row r="11" ht="15.75" customHeight="1" s="67">
      <c r="A11" t="inlineStr">
        <is>
          <t>FUNDING_GATE_FILTER_TF</t>
        </is>
      </c>
      <c r="B11" t="inlineStr">
        <is>
          <t>4h</t>
        </is>
      </c>
      <c r="D11" t="inlineStr">
        <is>
          <t>GLOBAL_CHECK</t>
        </is>
      </c>
      <c r="E11">
        <f>IF(G67="",E66,IF(G67&gt;0,E66+G67,E66))</f>
        <v/>
      </c>
      <c r="G11">
        <f>IFERROR(VLOOKUP($A86&amp;"_"&amp;$B86,Results_Deltas!$A$2:$P$15000,5,FALSE),"")</f>
        <v/>
      </c>
      <c r="H11" t="inlineStr">
        <is>
          <t>Blanket (page end)</t>
        </is>
      </c>
      <c r="L11" t="inlineStr">
        <is>
          <t>NO</t>
        </is>
      </c>
      <c r="M11" t="n">
        <v>3</v>
      </c>
      <c r="N11" t="n">
        <v>0</v>
      </c>
    </row>
    <row r="12" ht="15.75" customHeight="1" s="67">
      <c r="A12" t="inlineStr">
        <is>
          <t>FUNDING_GATE_FILTER_TF</t>
        </is>
      </c>
      <c r="B12" t="inlineStr">
        <is>
          <t>OFF</t>
        </is>
      </c>
      <c r="D12" t="inlineStr">
        <is>
          <t>GLOBAL_CHECK</t>
        </is>
      </c>
      <c r="E12">
        <f>IF(G65="",E64,IF(G65&gt;0,E64+G65,E64))</f>
        <v/>
      </c>
      <c r="G12">
        <f>IFERROR(VLOOKUP($A84&amp;"_"&amp;$B84,Results_Deltas!$A$2:$P$15000,5,FALSE),"")</f>
        <v/>
      </c>
      <c r="H12" t="inlineStr">
        <is>
          <t>Blanket (page end)</t>
        </is>
      </c>
      <c r="L12" t="inlineStr">
        <is>
          <t>NO</t>
        </is>
      </c>
      <c r="M12" t="n">
        <v>3</v>
      </c>
      <c r="N12" t="n">
        <v>0</v>
      </c>
    </row>
    <row r="13" ht="15.75" customHeight="1" s="67">
      <c r="A13" t="inlineStr">
        <is>
          <t>FUNDING_GATE_FILTER_TF</t>
        </is>
      </c>
      <c r="B13" t="inlineStr">
        <is>
          <t>1h</t>
        </is>
      </c>
      <c r="D13" t="inlineStr">
        <is>
          <t>GLOBAL_CHECK</t>
        </is>
      </c>
      <c r="E13">
        <f>IF(G68="",E67,IF(G68&gt;0,E67+G68,E67))</f>
        <v/>
      </c>
      <c r="G13">
        <f>IFERROR(VLOOKUP($A87&amp;"_"&amp;$B87,Results_Deltas!$A$2:$P$15000,5,FALSE),"")</f>
        <v/>
      </c>
      <c r="H13" t="inlineStr">
        <is>
          <t>Blanket (page end)</t>
        </is>
      </c>
      <c r="L13" t="inlineStr">
        <is>
          <t>NO</t>
        </is>
      </c>
      <c r="M13" t="n">
        <v>3</v>
      </c>
      <c r="N13" t="n">
        <v>0</v>
      </c>
    </row>
    <row r="14" ht="15.75" customHeight="1" s="67">
      <c r="A14" t="inlineStr">
        <is>
          <t>FG_GREED_THRESHOLD</t>
        </is>
      </c>
      <c r="B14" t="inlineStr">
        <is>
          <t>93.75</t>
        </is>
      </c>
      <c r="D14" t="inlineStr">
        <is>
          <t>GLOBAL_CHECK, STOCKS_EXIT</t>
        </is>
      </c>
      <c r="E14">
        <f>IF(G62="",E61,IF(G62&gt;0,E61+G62,E61))</f>
        <v/>
      </c>
      <c r="G14">
        <f>IFERROR(VLOOKUP($A81&amp;"_"&amp;$B81,Results_Deltas!$A$2:$P$15000,5,FALSE),"")</f>
        <v/>
      </c>
      <c r="H14" t="inlineStr">
        <is>
          <t>Blanket (page end)</t>
        </is>
      </c>
      <c r="L14" t="inlineStr">
        <is>
          <t>NO</t>
        </is>
      </c>
      <c r="M14" t="n">
        <v>27</v>
      </c>
      <c r="N14" t="n">
        <v>0</v>
      </c>
    </row>
    <row r="15" ht="15.75" customHeight="1" s="67">
      <c r="A15" t="inlineStr">
        <is>
          <t>OI_CONFIRM_MIN_CHANGE_PCT</t>
        </is>
      </c>
      <c r="B15" t="inlineStr">
        <is>
          <t>2.0</t>
        </is>
      </c>
      <c r="D15" t="inlineStr">
        <is>
          <t>ENTRY, GLOBAL_CHECK, STOCKS_EXIT</t>
        </is>
      </c>
      <c r="E15">
        <f>IF(G175="",E174,IF(G175&gt;0,E174+G175,E174))</f>
        <v/>
      </c>
      <c r="G15">
        <f>IFERROR(VLOOKUP($A194&amp;"_"&amp;$B194,Results_Deltas!$A$2:$P$15000,5,FALSE),"")</f>
        <v/>
      </c>
      <c r="H15" t="inlineStr">
        <is>
          <t>Blanket (page end)</t>
        </is>
      </c>
      <c r="L15" t="inlineStr">
        <is>
          <t>NO</t>
        </is>
      </c>
      <c r="M15" t="n">
        <v>22</v>
      </c>
      <c r="N15" t="n">
        <v>0</v>
      </c>
    </row>
    <row r="16" ht="10.5" customHeight="1" s="67">
      <c r="A16" t="inlineStr">
        <is>
          <t>COOLDOWN_LOCKS_FILTER_TF</t>
        </is>
      </c>
      <c r="B16" t="inlineStr">
        <is>
          <t>D</t>
        </is>
      </c>
      <c r="D16" t="inlineStr">
        <is>
          <t>GLOBAL_CHECK</t>
        </is>
      </c>
      <c r="E16">
        <f>IF(G24="",E23,IF(G24&gt;0,E23+G24,E23))</f>
        <v/>
      </c>
      <c r="G16">
        <f>IFERROR(VLOOKUP($A43&amp;"_"&amp;$B43,Results_Deltas!$A$2:$P$15000,5,FALSE),"")</f>
        <v/>
      </c>
      <c r="H16" t="inlineStr">
        <is>
          <t>Blanket (page end)</t>
        </is>
      </c>
      <c r="L16" t="inlineStr">
        <is>
          <t>NO</t>
        </is>
      </c>
      <c r="M16" t="n">
        <v>6</v>
      </c>
      <c r="N16" t="n">
        <v>0</v>
      </c>
    </row>
    <row r="17" ht="15.75" customHeight="1" s="67">
      <c r="A17" t="inlineStr">
        <is>
          <t>FG_GREED_THRESHOLD</t>
        </is>
      </c>
      <c r="B17" t="inlineStr">
        <is>
          <t>56.25</t>
        </is>
      </c>
      <c r="D17" t="inlineStr">
        <is>
          <t>GLOBAL_CHECK, STOCKS_EXIT</t>
        </is>
      </c>
      <c r="E17">
        <f>IF(G63="",E62,IF(G63&gt;0,E62+G63,E62))</f>
        <v/>
      </c>
      <c r="G17">
        <f>IFERROR(VLOOKUP($A82&amp;"_"&amp;$B82,Results_Deltas!$A$2:$P$15000,5,FALSE),"")</f>
        <v/>
      </c>
      <c r="H17" t="inlineStr">
        <is>
          <t>Blanket (page end)</t>
        </is>
      </c>
      <c r="L17" t="inlineStr">
        <is>
          <t>NO</t>
        </is>
      </c>
      <c r="M17" t="n">
        <v>27</v>
      </c>
      <c r="N17" t="n">
        <v>0</v>
      </c>
    </row>
    <row r="18" ht="10.5" customHeight="1" s="67">
      <c r="A18" t="inlineStr">
        <is>
          <t>COOLDOWN_LOCKS_FILTER_TF</t>
        </is>
      </c>
      <c r="B18" t="inlineStr">
        <is>
          <t>4h</t>
        </is>
      </c>
      <c r="D18" t="inlineStr">
        <is>
          <t>GLOBAL_CHECK</t>
        </is>
      </c>
      <c r="E18">
        <f>IF(G25="",E24,IF(G25&gt;0,E24+G25,E24))</f>
        <v/>
      </c>
      <c r="G18">
        <f>IFERROR(VLOOKUP($A44&amp;"_"&amp;$B44,Results_Deltas!$A$2:$P$15000,5,FALSE),"")</f>
        <v/>
      </c>
      <c r="H18" t="inlineStr">
        <is>
          <t>Blanket (page end)</t>
        </is>
      </c>
      <c r="L18" t="inlineStr">
        <is>
          <t>NO</t>
        </is>
      </c>
      <c r="M18" t="n">
        <v>3</v>
      </c>
      <c r="N18" t="n">
        <v>0</v>
      </c>
    </row>
    <row r="19" ht="15.75" customHeight="1" s="67">
      <c r="A19" t="inlineStr">
        <is>
          <t>FG_GREED_THRESHOLD</t>
        </is>
      </c>
      <c r="B19" t="inlineStr">
        <is>
          <t>75</t>
        </is>
      </c>
      <c r="D19" t="inlineStr">
        <is>
          <t>GLOBAL_CHECK, STOCKS_EXIT</t>
        </is>
      </c>
      <c r="E19">
        <f>IF(G61="",E60,IF(G61&gt;0,E60+G61,E60))</f>
        <v/>
      </c>
      <c r="G19">
        <f>IFERROR(VLOOKUP($A80&amp;"_"&amp;$B80,Results_Deltas!$A$2:$P$15000,5,FALSE),"")</f>
        <v/>
      </c>
      <c r="H19" t="inlineStr">
        <is>
          <t>Blanket (page end)</t>
        </is>
      </c>
      <c r="L19" t="inlineStr">
        <is>
          <t>YES</t>
        </is>
      </c>
      <c r="M19" t="n">
        <v>25</v>
      </c>
      <c r="N19" t="n">
        <v>0</v>
      </c>
    </row>
    <row r="20" ht="15.75" customHeight="1" s="67">
      <c r="A20" t="inlineStr">
        <is>
          <t>FUNDING_GATE_FILTER_TF</t>
        </is>
      </c>
      <c r="B20" t="inlineStr">
        <is>
          <t>D</t>
        </is>
      </c>
      <c r="D20" t="inlineStr">
        <is>
          <t>GLOBAL_CHECK</t>
        </is>
      </c>
      <c r="E20">
        <f>IF(G66="",E65,IF(G66&gt;0,E65+G66,E65))</f>
        <v/>
      </c>
      <c r="G20">
        <f>IFERROR(VLOOKUP($A85&amp;"_"&amp;$B85,Results_Deltas!$A$2:$P$15000,5,FALSE),"")</f>
        <v/>
      </c>
      <c r="H20" t="inlineStr">
        <is>
          <t>Blanket (page end)</t>
        </is>
      </c>
      <c r="L20" t="inlineStr">
        <is>
          <t>NO</t>
        </is>
      </c>
      <c r="M20" t="n">
        <v>3</v>
      </c>
      <c r="N20" t="n">
        <v>0</v>
      </c>
    </row>
    <row r="21" ht="10.5" customHeight="1" s="67">
      <c r="A21" t="inlineStr">
        <is>
          <t>COOLDOWN_LOCKS_FILTER_TF</t>
        </is>
      </c>
      <c r="B21" t="inlineStr">
        <is>
          <t>OFF</t>
        </is>
      </c>
      <c r="D21" t="inlineStr">
        <is>
          <t>GLOBAL_CHECK</t>
        </is>
      </c>
      <c r="E21">
        <f>IF(G23="",E22,IF(G23&gt;0,E22+G23,E22))</f>
        <v/>
      </c>
      <c r="G21">
        <f>IFERROR(VLOOKUP($A42&amp;"_"&amp;$B42,Results_Deltas!$A$2:$P$15000,5,FALSE),"")</f>
        <v/>
      </c>
      <c r="H21" t="inlineStr">
        <is>
          <t>Blanket (page end)</t>
        </is>
      </c>
      <c r="L21" t="inlineStr">
        <is>
          <t>NO</t>
        </is>
      </c>
      <c r="M21" t="n">
        <v>3</v>
      </c>
      <c r="N21" t="n">
        <v>0</v>
      </c>
    </row>
    <row r="22" ht="15.75" customHeight="1" s="67">
      <c r="A22" t="inlineStr">
        <is>
          <t>FG_FEAR_THRESHOLD</t>
        </is>
      </c>
      <c r="B22" t="inlineStr">
        <is>
          <t>18.75</t>
        </is>
      </c>
      <c r="D22" t="inlineStr">
        <is>
          <t>GLOBAL_CHECK, STOCKS_EXIT</t>
        </is>
      </c>
      <c r="E22">
        <f>IF(G59="",E58,IF(G59&gt;0,E58+G59,E58))</f>
        <v/>
      </c>
      <c r="G22">
        <f>IFERROR(VLOOKUP($A78&amp;"_"&amp;$B78,Results_Deltas!$A$2:$P$15000,5,FALSE),"")</f>
        <v/>
      </c>
      <c r="H22" t="inlineStr">
        <is>
          <t>Blanket (page end)</t>
        </is>
      </c>
      <c r="L22" t="inlineStr">
        <is>
          <t>NO</t>
        </is>
      </c>
      <c r="M22" t="n">
        <v>27</v>
      </c>
      <c r="N22" t="n">
        <v>0</v>
      </c>
    </row>
    <row r="23" ht="15.75" customHeight="1" s="67">
      <c r="A23" t="inlineStr">
        <is>
          <t>DC_MOMENT_STRONG_THRESHOLD</t>
        </is>
      </c>
      <c r="B23" t="inlineStr">
        <is>
          <t>50</t>
        </is>
      </c>
      <c r="D23" t="inlineStr">
        <is>
          <t>ENTRY, GLOBAL_CHECK, STOCKS_EXIT</t>
        </is>
      </c>
      <c r="E23">
        <f>IF(G33="",E32,IF(G33&gt;0,E32+G33,E32))</f>
        <v/>
      </c>
      <c r="G23">
        <f>IFERROR(VLOOKUP($A52&amp;"_"&amp;$B52,Results_Deltas!$A$2:$P$15000,5,FALSE),"")</f>
        <v/>
      </c>
      <c r="H23" t="inlineStr">
        <is>
          <t>Blanket (page end)</t>
        </is>
      </c>
      <c r="L23" t="inlineStr">
        <is>
          <t>NO</t>
        </is>
      </c>
      <c r="M23" t="n">
        <v>27</v>
      </c>
      <c r="N23" t="n">
        <v>0</v>
      </c>
    </row>
    <row r="24" ht="15.75" customHeight="1" s="67">
      <c r="A24" t="inlineStr">
        <is>
          <t>OI_CONFIRM_MIN_PRICE_PCT</t>
        </is>
      </c>
      <c r="B24" t="inlineStr">
        <is>
          <t>1.0</t>
        </is>
      </c>
      <c r="D24" t="inlineStr">
        <is>
          <t>ENTRY, GLOBAL_CHECK, STOCKS_EXIT</t>
        </is>
      </c>
      <c r="E24">
        <f>IF(G180="",E179,IF(G180&gt;0,E179+G180,E179))</f>
        <v/>
      </c>
      <c r="G24">
        <f>IFERROR(VLOOKUP($A199&amp;"_"&amp;$B199,Results_Deltas!$A$2:$P$15000,5,FALSE),"")</f>
        <v/>
      </c>
      <c r="H24" t="inlineStr">
        <is>
          <t>Blanket (page end)</t>
        </is>
      </c>
      <c r="L24" t="inlineStr">
        <is>
          <t>NO</t>
        </is>
      </c>
      <c r="M24" t="n">
        <v>22</v>
      </c>
      <c r="N24" t="n">
        <v>0</v>
      </c>
    </row>
    <row r="25" ht="15.75" customHeight="1" s="67">
      <c r="A25" t="inlineStr">
        <is>
          <t>DUP_GUARD_FILTER_TF</t>
        </is>
      </c>
      <c r="B25" t="inlineStr">
        <is>
          <t>OFF</t>
        </is>
      </c>
      <c r="D25" t="inlineStr">
        <is>
          <t>GLOBAL_CHECK</t>
        </is>
      </c>
      <c r="E25">
        <f>IF(G40="",E39,IF(G40&gt;0,E39+G40,E39))</f>
        <v/>
      </c>
      <c r="G25">
        <f>IFERROR(VLOOKUP($A59&amp;"_"&amp;$B59,Results_Deltas!$A$2:$P$15000,5,FALSE),"")</f>
        <v/>
      </c>
      <c r="H25" t="inlineStr">
        <is>
          <t>Blanket (page end)</t>
        </is>
      </c>
      <c r="L25" t="inlineStr">
        <is>
          <t>NO</t>
        </is>
      </c>
      <c r="M25" t="n">
        <v>3</v>
      </c>
      <c r="N25" t="n">
        <v>0</v>
      </c>
    </row>
    <row r="26" ht="15.75" customHeight="1" s="67">
      <c r="A26" t="inlineStr">
        <is>
          <t>HLR_TOP_MIN_TFS</t>
        </is>
      </c>
      <c r="B26" t="inlineStr">
        <is>
          <t>2</t>
        </is>
      </c>
      <c r="D26" t="inlineStr">
        <is>
          <t>GLOBAL_CHECK, REENTRY, STOCKS_EXIT</t>
        </is>
      </c>
      <c r="E26">
        <f>IF(G99="",E98,IF(G99&gt;0,E98+G99,E98))</f>
        <v/>
      </c>
      <c r="G26">
        <f>IFERROR(VLOOKUP($A118&amp;"_"&amp;$B118,Results_Deltas!$A$2:$P$15000,5,FALSE),"")</f>
        <v/>
      </c>
      <c r="H26" t="inlineStr">
        <is>
          <t>Blanket (page end)</t>
        </is>
      </c>
      <c r="L26" t="inlineStr">
        <is>
          <t>YES</t>
        </is>
      </c>
      <c r="M26" t="n">
        <v>27</v>
      </c>
      <c r="N26" t="n">
        <v>0</v>
      </c>
    </row>
    <row r="27" ht="15.75" customHeight="1" s="67">
      <c r="A27" t="inlineStr">
        <is>
          <t>DUP_GUARD_FILTER_TF</t>
        </is>
      </c>
      <c r="B27" t="inlineStr">
        <is>
          <t>1h</t>
        </is>
      </c>
      <c r="D27" t="inlineStr">
        <is>
          <t>GLOBAL_CHECK</t>
        </is>
      </c>
      <c r="E27">
        <f>IF(G43="",E42,IF(G43&gt;0,E42+G43,E42))</f>
        <v/>
      </c>
      <c r="G27">
        <f>IFERROR(VLOOKUP($A62&amp;"_"&amp;$B62,Results_Deltas!$A$2:$P$15000,5,FALSE),"")</f>
        <v/>
      </c>
      <c r="H27" t="inlineStr">
        <is>
          <t>Blanket (page end)</t>
        </is>
      </c>
      <c r="L27" t="inlineStr">
        <is>
          <t>NO</t>
        </is>
      </c>
      <c r="M27" t="n">
        <v>3</v>
      </c>
      <c r="N27" t="n">
        <v>0</v>
      </c>
    </row>
    <row r="28" ht="15.75" customHeight="1" s="67">
      <c r="A28" t="inlineStr">
        <is>
          <t>OI_CONFIRM_ENABLED</t>
        </is>
      </c>
      <c r="B28" t="inlineStr">
        <is>
          <t>True</t>
        </is>
      </c>
      <c r="D28" t="inlineStr">
        <is>
          <t>ENTRY, GLOBAL_CHECK, STOCKS_EXIT</t>
        </is>
      </c>
      <c r="E28">
        <f>IF(G173="",E172,IF(G173&gt;0,E172+G173,E172))</f>
        <v/>
      </c>
      <c r="G28">
        <f>IFERROR(VLOOKUP($A192&amp;"_"&amp;$B192,Results_Deltas!$A$2:$P$15000,5,FALSE),"")</f>
        <v/>
      </c>
      <c r="H28" t="inlineStr">
        <is>
          <t>Blanket (page end)</t>
        </is>
      </c>
      <c r="L28" t="inlineStr">
        <is>
          <t>YES</t>
        </is>
      </c>
      <c r="M28" t="n">
        <v>26</v>
      </c>
      <c r="N28" t="n">
        <v>0</v>
      </c>
    </row>
    <row r="29" ht="15.75" customHeight="1" s="67">
      <c r="A29" t="inlineStr">
        <is>
          <t>OI_CONFIRM_MIN_PRICE_PCT</t>
        </is>
      </c>
      <c r="B29" t="inlineStr">
        <is>
          <t>0.5</t>
        </is>
      </c>
      <c r="D29" t="inlineStr">
        <is>
          <t>ENTRY, GLOBAL_CHECK, STOCKS_EXIT</t>
        </is>
      </c>
      <c r="E29">
        <f>IF(G181="",E180,IF(G181&gt;0,E180+G181,E180))</f>
        <v/>
      </c>
      <c r="G29">
        <f>IFERROR(VLOOKUP($A200&amp;"_"&amp;$B200,Results_Deltas!$A$2:$P$15000,5,FALSE),"")</f>
        <v/>
      </c>
      <c r="H29" t="inlineStr">
        <is>
          <t>Blanket (page end)</t>
        </is>
      </c>
      <c r="L29" t="inlineStr">
        <is>
          <t>NO</t>
        </is>
      </c>
      <c r="M29" t="n">
        <v>26</v>
      </c>
      <c r="N29" t="n">
        <v>0</v>
      </c>
    </row>
    <row r="30" ht="15.75" customHeight="1" s="67">
      <c r="A30" t="inlineStr">
        <is>
          <t>HLR_SMA_BAND_PCT</t>
        </is>
      </c>
      <c r="B30" t="inlineStr">
        <is>
          <t>1.0</t>
        </is>
      </c>
      <c r="D30" t="inlineStr">
        <is>
          <t>ENTRY, GLOBAL_CHECK, STOCKS_EXIT</t>
        </is>
      </c>
      <c r="E30">
        <f>IF(G96="",E95,IF(G96&gt;0,E95+G96,E95))</f>
        <v/>
      </c>
      <c r="G30">
        <f>IFERROR(VLOOKUP($A115&amp;"_"&amp;$B115,Results_Deltas!$A$2:$P$15000,5,FALSE),"")</f>
        <v/>
      </c>
      <c r="H30" t="inlineStr">
        <is>
          <t>Blanket (page end)</t>
        </is>
      </c>
      <c r="L30" t="inlineStr">
        <is>
          <t>NO</t>
        </is>
      </c>
      <c r="M30" t="n">
        <v>27</v>
      </c>
      <c r="N30" t="n">
        <v>0</v>
      </c>
    </row>
    <row r="31" ht="10.5" customHeight="1" s="67">
      <c r="A31" t="inlineStr">
        <is>
          <t>BANDAID_OFF_LOSER_RECOVER_PCT</t>
        </is>
      </c>
      <c r="B31" t="inlineStr">
        <is>
          <t>0.5</t>
        </is>
      </c>
      <c r="D31" t="inlineStr">
        <is>
          <t>AUGMENT, ENTRY, EXIT, GLOBAL_CHECK, REDUCE, STOCKS_EXIT</t>
        </is>
      </c>
      <c r="E31">
        <f>IF(G14="",E13,IF(G14&gt;0,E13+G14,E13))</f>
        <v/>
      </c>
      <c r="G31">
        <f>IFERROR(VLOOKUP($A33&amp;"_"&amp;$B33,Results_Deltas!$A$2:$P$15000,5,FALSE),"")</f>
        <v/>
      </c>
      <c r="H31" t="inlineStr">
        <is>
          <t>Blanket (page end)</t>
        </is>
      </c>
      <c r="L31" t="inlineStr">
        <is>
          <t>NO</t>
        </is>
      </c>
      <c r="M31" t="n">
        <v>27</v>
      </c>
      <c r="N31" t="n">
        <v>0</v>
      </c>
    </row>
    <row r="32" ht="15.75" customHeight="1" s="67">
      <c r="A32" t="inlineStr">
        <is>
          <t>COOLDOWN_LOCKS_FILTER_TF</t>
        </is>
      </c>
      <c r="B32" t="inlineStr">
        <is>
          <t>1h</t>
        </is>
      </c>
      <c r="D32" t="inlineStr">
        <is>
          <t>GLOBAL_CHECK</t>
        </is>
      </c>
      <c r="E32">
        <f>IF(G26="",E25,IF(G26&gt;0,E25+G26,E25))</f>
        <v/>
      </c>
      <c r="G32">
        <f>IFERROR(VLOOKUP($A45&amp;"_"&amp;$B45,Results_Deltas!$A$2:$P$15000,5,FALSE),"")</f>
        <v/>
      </c>
      <c r="H32" t="inlineStr">
        <is>
          <t>Blanket (page end)</t>
        </is>
      </c>
      <c r="L32" t="inlineStr">
        <is>
          <t>NO</t>
        </is>
      </c>
      <c r="M32" t="n">
        <v>3</v>
      </c>
      <c r="N32" t="n">
        <v>0</v>
      </c>
    </row>
    <row r="33" ht="15.75" customHeight="1" s="67">
      <c r="A33" t="inlineStr">
        <is>
          <t>MTS_BOTTOM_BONUS_THRESHOLD</t>
        </is>
      </c>
      <c r="B33" t="inlineStr">
        <is>
          <t>31.25</t>
        </is>
      </c>
      <c r="D33" t="inlineStr">
        <is>
          <t>ENTRY, GLOBAL_CHECK, STOCKS_EXIT</t>
        </is>
      </c>
      <c r="E33">
        <f>IF(G153="",E152,IF(G153&gt;0,E152+G153,E152))</f>
        <v/>
      </c>
      <c r="G33">
        <f>IFERROR(VLOOKUP($A172&amp;"_"&amp;$B172,Results_Deltas!$A$2:$P$15000,5,FALSE),"")</f>
        <v/>
      </c>
      <c r="H33" t="inlineStr">
        <is>
          <t>Blanket (page end)</t>
        </is>
      </c>
      <c r="L33" t="inlineStr">
        <is>
          <t>NO</t>
        </is>
      </c>
      <c r="M33" t="n">
        <v>26</v>
      </c>
      <c r="N33" t="n">
        <v>0</v>
      </c>
    </row>
    <row r="34" ht="15.75" customHeight="1" s="67">
      <c r="A34" t="inlineStr">
        <is>
          <t>MTS_BOTTOM_BONUS_THRESHOLD</t>
        </is>
      </c>
      <c r="B34" t="inlineStr">
        <is>
          <t>25</t>
        </is>
      </c>
      <c r="D34" t="inlineStr">
        <is>
          <t>ENTRY, GLOBAL_CHECK, STOCKS_EXIT</t>
        </is>
      </c>
      <c r="E34">
        <f>IF(G152="",E151,IF(G152&gt;0,E151+G152,E151))</f>
        <v/>
      </c>
      <c r="G34">
        <f>IFERROR(VLOOKUP($A171&amp;"_"&amp;$B171,Results_Deltas!$A$2:$P$15000,5,FALSE),"")</f>
        <v/>
      </c>
      <c r="H34" t="inlineStr">
        <is>
          <t>Blanket (page end)</t>
        </is>
      </c>
      <c r="L34" t="inlineStr">
        <is>
          <t>YES</t>
        </is>
      </c>
      <c r="M34" t="n">
        <v>26</v>
      </c>
      <c r="N34" t="n">
        <v>0</v>
      </c>
    </row>
    <row r="35" ht="15.75" customHeight="1" s="67">
      <c r="A35" t="inlineStr">
        <is>
          <t>HA_WICK_QUALITY_TF</t>
        </is>
      </c>
      <c r="B35" t="inlineStr">
        <is>
          <t>D</t>
        </is>
      </c>
      <c r="D35" t="inlineStr">
        <is>
          <t>ENTRY, GLOBAL_CHECK, STOCKS_EXIT</t>
        </is>
      </c>
      <c r="E35">
        <f>IF(G90="",E89,IF(G90&gt;0,E89+G90,E89))</f>
        <v/>
      </c>
      <c r="G35">
        <f>IFERROR(VLOOKUP($A109&amp;"_"&amp;$B109,Results_Deltas!$A$2:$P$15000,5,FALSE),"")</f>
        <v/>
      </c>
      <c r="H35" t="inlineStr">
        <is>
          <t>Blanket (page end)</t>
        </is>
      </c>
      <c r="L35" t="inlineStr">
        <is>
          <t>NO</t>
        </is>
      </c>
      <c r="M35" t="n">
        <v>27</v>
      </c>
      <c r="N35" t="n">
        <v>0</v>
      </c>
    </row>
    <row r="36" ht="15.75" customHeight="1" s="67">
      <c r="A36" t="inlineStr">
        <is>
          <t>DC_MOMENT_STRONG_THRESHOLD</t>
        </is>
      </c>
      <c r="B36" t="inlineStr">
        <is>
          <t>30</t>
        </is>
      </c>
      <c r="D36" t="inlineStr">
        <is>
          <t>ENTRY, GLOBAL_CHECK, STOCKS_EXIT</t>
        </is>
      </c>
      <c r="E36">
        <f>IF(G34="",E33,IF(G34&gt;0,E33+G34,E33))</f>
        <v/>
      </c>
      <c r="G36">
        <f>IFERROR(VLOOKUP($A53&amp;"_"&amp;$B53,Results_Deltas!$A$2:$P$15000,5,FALSE),"")</f>
        <v/>
      </c>
      <c r="H36" t="inlineStr">
        <is>
          <t>Blanket (page end)</t>
        </is>
      </c>
      <c r="L36" t="inlineStr">
        <is>
          <t>NO</t>
        </is>
      </c>
      <c r="M36" t="n">
        <v>23</v>
      </c>
      <c r="N36" t="n">
        <v>0</v>
      </c>
    </row>
    <row r="37" ht="10.5" customHeight="1" s="67">
      <c r="A37" t="inlineStr">
        <is>
          <t>ADX_RANGING_THRESHOLD</t>
        </is>
      </c>
      <c r="B37" t="inlineStr">
        <is>
          <t>25</t>
        </is>
      </c>
      <c r="D37" t="inlineStr">
        <is>
          <t>ENTRY, GLOBAL_CHECK, STOCKS_EXIT</t>
        </is>
      </c>
      <c r="E37">
        <f>IF(G8="",E7,IF(G8&gt;0,E7+G8,E7))</f>
        <v/>
      </c>
      <c r="G37">
        <f>IFERROR(VLOOKUP($A27&amp;"_"&amp;$B27,Results_Deltas!$A$2:$P$15000,5,FALSE),"")</f>
        <v/>
      </c>
      <c r="H37" t="inlineStr">
        <is>
          <t>Blanket (page end)</t>
        </is>
      </c>
      <c r="L37" t="inlineStr">
        <is>
          <t>NO</t>
        </is>
      </c>
      <c r="M37" t="n">
        <v>27</v>
      </c>
      <c r="N37" t="n">
        <v>0</v>
      </c>
    </row>
    <row r="38" ht="10.5" customHeight="1" s="67">
      <c r="A38" t="inlineStr">
        <is>
          <t>ADX_RANGING_THRESHOLD</t>
        </is>
      </c>
      <c r="B38" t="inlineStr">
        <is>
          <t>10</t>
        </is>
      </c>
      <c r="D38" t="inlineStr">
        <is>
          <t>ENTRY, GLOBAL_CHECK, STOCKS_EXIT</t>
        </is>
      </c>
      <c r="E38">
        <f>IF(G10="",E9,IF(G10&gt;0,E9+G10,E9))</f>
        <v/>
      </c>
      <c r="G38">
        <f>IFERROR(VLOOKUP($A29&amp;"_"&amp;$B29,Results_Deltas!$A$2:$P$15000,5,FALSE),"")</f>
        <v/>
      </c>
      <c r="H38" t="inlineStr">
        <is>
          <t>Blanket (page end)</t>
        </is>
      </c>
      <c r="L38" t="inlineStr">
        <is>
          <t>YES</t>
        </is>
      </c>
      <c r="M38" t="n">
        <v>27</v>
      </c>
      <c r="N38" t="n">
        <v>0</v>
      </c>
    </row>
    <row r="39" ht="15.75" customHeight="1" s="67">
      <c r="A39" t="inlineStr">
        <is>
          <t>MTS_BOTTOM_BONUS_THRESHOLD</t>
        </is>
      </c>
      <c r="B39" t="inlineStr">
        <is>
          <t>18.75</t>
        </is>
      </c>
      <c r="D39" t="inlineStr">
        <is>
          <t>ENTRY, GLOBAL_CHECK, STOCKS_EXIT</t>
        </is>
      </c>
      <c r="E39">
        <f>IF(G154="",E153,IF(G154&gt;0,E153+G154,E153))</f>
        <v/>
      </c>
      <c r="G39">
        <f>IFERROR(VLOOKUP($A173&amp;"_"&amp;$B173,Results_Deltas!$A$2:$P$15000,5,FALSE),"")</f>
        <v/>
      </c>
      <c r="H39" t="inlineStr">
        <is>
          <t>Blanket (page end)</t>
        </is>
      </c>
      <c r="L39" t="inlineStr">
        <is>
          <t>NO</t>
        </is>
      </c>
      <c r="M39" t="n">
        <v>26</v>
      </c>
      <c r="N39" t="n">
        <v>0</v>
      </c>
    </row>
    <row r="40" ht="15.75" customHeight="1" s="67">
      <c r="A40" t="inlineStr">
        <is>
          <t>FG_FEAR_THRESHOLD</t>
        </is>
      </c>
      <c r="B40" t="inlineStr">
        <is>
          <t>25</t>
        </is>
      </c>
      <c r="D40" t="inlineStr">
        <is>
          <t>GLOBAL_CHECK, STOCKS_EXIT</t>
        </is>
      </c>
      <c r="E40">
        <f>IF(G57="",E56,IF(G57&gt;0,E56+G57,E56))</f>
        <v/>
      </c>
      <c r="G40">
        <f>IFERROR(VLOOKUP($A76&amp;"_"&amp;$B76,Results_Deltas!$A$2:$P$15000,5,FALSE),"")</f>
        <v/>
      </c>
      <c r="H40" t="inlineStr">
        <is>
          <t>Blanket (page end)</t>
        </is>
      </c>
      <c r="L40" t="inlineStr">
        <is>
          <t>YES</t>
        </is>
      </c>
      <c r="M40" t="n">
        <v>27</v>
      </c>
      <c r="N40" t="n">
        <v>0</v>
      </c>
    </row>
    <row r="41" ht="10.5" customHeight="1" s="67">
      <c r="A41" t="inlineStr">
        <is>
          <t>BAND_ARROW_ENABLED</t>
        </is>
      </c>
      <c r="B41" t="inlineStr">
        <is>
          <t>True</t>
        </is>
      </c>
      <c r="D41" t="inlineStr">
        <is>
          <t>GLOBAL_CHECK, STOCKS_EXIT</t>
        </is>
      </c>
      <c r="E41">
        <f>IF(G16="",E15,IF(G16&gt;0,E15+G16,E15))</f>
        <v/>
      </c>
      <c r="G41">
        <f>IFERROR(VLOOKUP($A35&amp;"_"&amp;$B35,Results_Deltas!$A$2:$P$15000,5,FALSE),"")</f>
        <v/>
      </c>
      <c r="H41" t="inlineStr">
        <is>
          <t>Blanket (page end)</t>
        </is>
      </c>
      <c r="L41" t="inlineStr">
        <is>
          <t>NO</t>
        </is>
      </c>
      <c r="M41" t="n">
        <v>27</v>
      </c>
      <c r="N41" t="n">
        <v>0</v>
      </c>
    </row>
    <row r="42" ht="15.75" customHeight="1" s="67">
      <c r="A42" t="inlineStr">
        <is>
          <t>DUP_GUARD_FILTER_TF</t>
        </is>
      </c>
      <c r="B42" t="inlineStr">
        <is>
          <t>D</t>
        </is>
      </c>
      <c r="D42" t="inlineStr">
        <is>
          <t>GLOBAL_CHECK</t>
        </is>
      </c>
      <c r="E42">
        <f>IF(G41="",E40,IF(G41&gt;0,E40+G41,E40))</f>
        <v/>
      </c>
      <c r="G42">
        <f>IFERROR(VLOOKUP($A60&amp;"_"&amp;$B60,Results_Deltas!$A$2:$P$15000,5,FALSE),"")</f>
        <v/>
      </c>
      <c r="H42" t="inlineStr">
        <is>
          <t>Blanket (page end)</t>
        </is>
      </c>
      <c r="L42" t="inlineStr">
        <is>
          <t>NO</t>
        </is>
      </c>
      <c r="M42" t="n">
        <v>3</v>
      </c>
      <c r="N42" t="n">
        <v>0</v>
      </c>
    </row>
    <row r="43" ht="15.75" customHeight="1" s="67">
      <c r="A43" t="inlineStr">
        <is>
          <t>HA_WICK_QUALITY_TF</t>
        </is>
      </c>
      <c r="B43" t="inlineStr">
        <is>
          <t>4h</t>
        </is>
      </c>
      <c r="D43" t="inlineStr">
        <is>
          <t>ENTRY, GLOBAL_CHECK, STOCKS_EXIT</t>
        </is>
      </c>
      <c r="E43">
        <f>IF(G91="",E90,IF(G91&gt;0,E90+G91,E90))</f>
        <v/>
      </c>
      <c r="G43">
        <f>IFERROR(VLOOKUP($A110&amp;"_"&amp;$B110,Results_Deltas!$A$2:$P$15000,5,FALSE),"")</f>
        <v/>
      </c>
      <c r="H43" t="inlineStr">
        <is>
          <t>Blanket (page end)</t>
        </is>
      </c>
      <c r="L43" t="inlineStr">
        <is>
          <t>NO</t>
        </is>
      </c>
      <c r="M43" t="n">
        <v>27</v>
      </c>
      <c r="N43" t="n">
        <v>0</v>
      </c>
    </row>
    <row r="44" ht="15.75" customHeight="1" s="67">
      <c r="A44" t="inlineStr">
        <is>
          <t>HLR_SMA_BAND_PCT</t>
        </is>
      </c>
      <c r="B44" t="inlineStr">
        <is>
          <t>0.5</t>
        </is>
      </c>
      <c r="D44" t="inlineStr">
        <is>
          <t>ENTRY, GLOBAL_CHECK, STOCKS_EXIT</t>
        </is>
      </c>
      <c r="E44">
        <f>IF(G97="",E96,IF(G97&gt;0,E96+G97,E96))</f>
        <v/>
      </c>
      <c r="G44">
        <f>IFERROR(VLOOKUP($A116&amp;"_"&amp;$B116,Results_Deltas!$A$2:$P$15000,5,FALSE),"")</f>
        <v/>
      </c>
      <c r="H44" t="inlineStr">
        <is>
          <t>Blanket (page end)</t>
        </is>
      </c>
      <c r="L44" t="inlineStr">
        <is>
          <t>NO</t>
        </is>
      </c>
      <c r="M44" t="n">
        <v>27</v>
      </c>
      <c r="N44" t="n">
        <v>0</v>
      </c>
    </row>
    <row r="45" ht="15.75" customHeight="1" s="67">
      <c r="A45" t="inlineStr">
        <is>
          <t>MTF_GR_MIN_IND</t>
        </is>
      </c>
      <c r="B45" t="inlineStr">
        <is>
          <t>5</t>
        </is>
      </c>
      <c r="D45" t="inlineStr">
        <is>
          <t>GLOBAL_CHECK, STOCKS_EXIT</t>
        </is>
      </c>
      <c r="E45">
        <f>IF(G150="",E149,IF(G150&gt;0,E149+G150,E149))</f>
        <v/>
      </c>
      <c r="G45">
        <f>IFERROR(VLOOKUP($A169&amp;"_"&amp;$B169,Results_Deltas!$A$2:$P$15000,5,FALSE),"")</f>
        <v/>
      </c>
      <c r="H45" t="inlineStr">
        <is>
          <t>Blanket (page end)</t>
        </is>
      </c>
      <c r="L45" t="inlineStr">
        <is>
          <t>NO</t>
        </is>
      </c>
      <c r="M45" t="n">
        <v>26</v>
      </c>
      <c r="N45" t="n">
        <v>0</v>
      </c>
    </row>
    <row r="46" ht="15.75" customHeight="1" s="67">
      <c r="A46" t="inlineStr">
        <is>
          <t>MTF_GR_MIN_IND</t>
        </is>
      </c>
      <c r="B46" t="inlineStr">
        <is>
          <t>5_ALT</t>
        </is>
      </c>
      <c r="D46" t="inlineStr">
        <is>
          <t>GLOBAL_CHECK, STOCKS_EXIT</t>
        </is>
      </c>
      <c r="E46">
        <f>IF(G151="",E150,IF(G151&gt;0,E150+G151,E150))</f>
        <v/>
      </c>
      <c r="G46">
        <f>IFERROR(VLOOKUP($A170&amp;"_"&amp;$B170,Results_Deltas!$A$2:$P$15000,5,FALSE),"")</f>
        <v/>
      </c>
      <c r="H46" t="inlineStr">
        <is>
          <t>Blanket (page end)</t>
        </is>
      </c>
      <c r="L46" t="inlineStr">
        <is>
          <t>NO</t>
        </is>
      </c>
      <c r="M46" t="n">
        <v>26</v>
      </c>
      <c r="N46" t="n">
        <v>0</v>
      </c>
    </row>
    <row r="47" ht="10.5" customHeight="1" s="67">
      <c r="A47" t="inlineStr">
        <is>
          <t>BANDAID_OFF_LOSER_RECOVER_PCT</t>
        </is>
      </c>
      <c r="B47" t="inlineStr">
        <is>
          <t>1.0</t>
        </is>
      </c>
      <c r="D47" t="inlineStr">
        <is>
          <t>AUGMENT, ENTRY, EXIT, GLOBAL_CHECK, REDUCE, STOCKS_EXIT</t>
        </is>
      </c>
      <c r="E47">
        <f>IF(G13="",E12,IF(G13&gt;0,E12+G13,E12))</f>
        <v/>
      </c>
      <c r="G47">
        <f>IFERROR(VLOOKUP($A32&amp;"_"&amp;$B32,Results_Deltas!$A$2:$P$15000,5,FALSE),"")</f>
        <v/>
      </c>
      <c r="H47" t="inlineStr">
        <is>
          <t>Blanket (page end)</t>
        </is>
      </c>
      <c r="L47" t="inlineStr">
        <is>
          <t>NO</t>
        </is>
      </c>
      <c r="M47" t="n">
        <v>27</v>
      </c>
      <c r="N47" t="n">
        <v>0</v>
      </c>
    </row>
    <row r="48" ht="15.75" customHeight="1" s="67">
      <c r="A48" t="inlineStr">
        <is>
          <t>LH_HL_FILTER_MODE</t>
        </is>
      </c>
      <c r="B48" t="inlineStr">
        <is>
          <t>STRICT_2BAR_ALT</t>
        </is>
      </c>
      <c r="D48" t="inlineStr">
        <is>
          <t>ENTRY, GLOBAL_CHECK, STOCKS_EXIT</t>
        </is>
      </c>
      <c r="E48">
        <f>IF(G120="",E119,IF(G120&gt;0,E119+G120,E119))</f>
        <v/>
      </c>
      <c r="G48">
        <f>IFERROR(VLOOKUP($A139&amp;"_"&amp;$B139,Results_Deltas!$A$2:$P$15000,5,FALSE),"")</f>
        <v/>
      </c>
      <c r="H48" t="inlineStr">
        <is>
          <t>Blanket (page end)</t>
        </is>
      </c>
      <c r="L48" t="inlineStr">
        <is>
          <t>NO</t>
        </is>
      </c>
      <c r="M48" t="n">
        <v>27</v>
      </c>
      <c r="N48" t="n">
        <v>0</v>
      </c>
    </row>
    <row r="49" ht="15.75" customHeight="1" s="67">
      <c r="A49" t="inlineStr">
        <is>
          <t>LH_HL_FILTER_MODE</t>
        </is>
      </c>
      <c r="B49" t="inlineStr">
        <is>
          <t>STRICT_2BAR</t>
        </is>
      </c>
      <c r="D49" t="inlineStr">
        <is>
          <t>ENTRY, GLOBAL_CHECK, STOCKS_EXIT</t>
        </is>
      </c>
      <c r="E49">
        <f>IF(G119="",E118,IF(G119&gt;0,E118+G119,E118))</f>
        <v/>
      </c>
      <c r="G49">
        <f>IFERROR(VLOOKUP($A138&amp;"_"&amp;$B138,Results_Deltas!$A$2:$P$15000,5,FALSE),"")</f>
        <v/>
      </c>
      <c r="H49" t="inlineStr">
        <is>
          <t>Blanket (page end)</t>
        </is>
      </c>
      <c r="L49" t="inlineStr">
        <is>
          <t>YES</t>
        </is>
      </c>
      <c r="M49" t="n">
        <v>27</v>
      </c>
      <c r="N49" t="n">
        <v>0</v>
      </c>
    </row>
    <row r="50" ht="15.75" customHeight="1" s="67">
      <c r="A50" t="inlineStr">
        <is>
          <t>HA_WICK_QUALITY_SCORE</t>
        </is>
      </c>
      <c r="B50" t="inlineStr">
        <is>
          <t>15_ALT</t>
        </is>
      </c>
      <c r="D50" t="inlineStr">
        <is>
          <t>ENTRY, GLOBAL_CHECK, STOCKS_EXIT</t>
        </is>
      </c>
      <c r="E50">
        <f>IF(G88="",E87,IF(G88&gt;0,E87+G88,E87))</f>
        <v/>
      </c>
      <c r="G50">
        <f>IFERROR(VLOOKUP($A107&amp;"_"&amp;$B107,Results_Deltas!$A$2:$P$15000,5,FALSE),"")</f>
        <v/>
      </c>
      <c r="H50" t="inlineStr">
        <is>
          <t>Blanket (page end)</t>
        </is>
      </c>
      <c r="L50" t="inlineStr">
        <is>
          <t>NO</t>
        </is>
      </c>
      <c r="M50" t="n">
        <v>27</v>
      </c>
      <c r="N50" t="n">
        <v>0</v>
      </c>
    </row>
    <row r="51" ht="15.75" customHeight="1" s="67">
      <c r="A51" t="inlineStr">
        <is>
          <t>MARKET_QUALITY_SCORE_ENABLED</t>
        </is>
      </c>
      <c r="B51" t="inlineStr">
        <is>
          <t>True</t>
        </is>
      </c>
      <c r="D51" t="inlineStr">
        <is>
          <t>ENTRY, GLOBAL_CHECK, STOCKS_EXIT</t>
        </is>
      </c>
      <c r="E51">
        <f>IF(G141="",E140,IF(G141&gt;0,E140+G141,E140))</f>
        <v/>
      </c>
      <c r="G51">
        <f>IFERROR(VLOOKUP($A160&amp;"_"&amp;$B160,Results_Deltas!$A$2:$P$15000,5,FALSE),"")</f>
        <v/>
      </c>
      <c r="H51" t="inlineStr">
        <is>
          <t>Blanket (page end)</t>
        </is>
      </c>
      <c r="L51" t="inlineStr">
        <is>
          <t>NO</t>
        </is>
      </c>
      <c r="M51" t="n">
        <v>26</v>
      </c>
      <c r="N51" t="n">
        <v>0</v>
      </c>
    </row>
    <row r="52" ht="15.75" customHeight="1" s="67">
      <c r="A52" t="inlineStr">
        <is>
          <t>HA_WICK_QUALITY_SCORE</t>
        </is>
      </c>
      <c r="B52" t="inlineStr">
        <is>
          <t>15</t>
        </is>
      </c>
      <c r="D52" t="inlineStr">
        <is>
          <t>ENTRY, GLOBAL_CHECK, STOCKS_EXIT</t>
        </is>
      </c>
      <c r="E52">
        <f>IF(G87="",E86,IF(G87&gt;0,E86+G87,E86))</f>
        <v/>
      </c>
      <c r="G52">
        <f>IFERROR(VLOOKUP($A106&amp;"_"&amp;$B106,Results_Deltas!$A$2:$P$15000,5,FALSE),"")</f>
        <v/>
      </c>
      <c r="H52" t="inlineStr">
        <is>
          <t>Blanket (page end)</t>
        </is>
      </c>
      <c r="L52" t="inlineStr">
        <is>
          <t>YES</t>
        </is>
      </c>
      <c r="M52" t="n">
        <v>27</v>
      </c>
      <c r="N52" t="n">
        <v>0</v>
      </c>
    </row>
    <row r="53" ht="15.75" customHeight="1" s="67">
      <c r="A53" t="inlineStr">
        <is>
          <t>OI_CONFIRM_MIN_CHANGE_PCT</t>
        </is>
      </c>
      <c r="B53" t="inlineStr">
        <is>
          <t>0</t>
        </is>
      </c>
      <c r="D53" t="inlineStr">
        <is>
          <t>ENTRY, GLOBAL_CHECK, STOCKS_EXIT</t>
        </is>
      </c>
      <c r="E53">
        <f>IF(G174="",E173,IF(G174&gt;0,E173+G174,E173))</f>
        <v/>
      </c>
      <c r="G53">
        <f>IFERROR(VLOOKUP($A193&amp;"_"&amp;$B193,Results_Deltas!$A$2:$P$15000,5,FALSE),"")</f>
        <v/>
      </c>
      <c r="H53" t="inlineStr">
        <is>
          <t>Blanket (page end)</t>
        </is>
      </c>
      <c r="L53" t="inlineStr">
        <is>
          <t>NO</t>
        </is>
      </c>
      <c r="M53" t="n">
        <v>24</v>
      </c>
      <c r="N53" t="n">
        <v>0</v>
      </c>
    </row>
    <row r="54" ht="15.75" customHeight="1" s="67">
      <c r="A54" t="inlineStr">
        <is>
          <t>EMA_BLANKET_FILTER_MIN_TFS</t>
        </is>
      </c>
      <c r="B54" t="inlineStr">
        <is>
          <t>2</t>
        </is>
      </c>
      <c r="D54" t="inlineStr">
        <is>
          <t>GLOBAL_CHECK</t>
        </is>
      </c>
      <c r="E54">
        <f>IF(G51="",E50,IF(G51&gt;0,E50+G51,E50))</f>
        <v/>
      </c>
      <c r="G54">
        <f>IFERROR(VLOOKUP($A70&amp;"_"&amp;$B70,Results_Deltas!$A$2:$P$15000,5,FALSE),"")</f>
        <v/>
      </c>
      <c r="H54" t="inlineStr">
        <is>
          <t>Blanket (page end)</t>
        </is>
      </c>
      <c r="L54" t="inlineStr">
        <is>
          <t>NO</t>
        </is>
      </c>
      <c r="M54" t="n">
        <v>3</v>
      </c>
      <c r="N54" t="n">
        <v>0</v>
      </c>
    </row>
    <row r="55" ht="15.75" customHeight="1" s="67">
      <c r="A55" t="inlineStr">
        <is>
          <t>MTS_BOTTOM_BONUS_THRESHOLD</t>
        </is>
      </c>
      <c r="B55" t="inlineStr">
        <is>
          <t>12.5</t>
        </is>
      </c>
      <c r="D55" t="inlineStr">
        <is>
          <t>ENTRY, GLOBAL_CHECK, STOCKS_EXIT</t>
        </is>
      </c>
      <c r="E55">
        <f>IF(G155="",E154,IF(G155&gt;0,E154+G155,E154))</f>
        <v/>
      </c>
      <c r="G55">
        <f>IFERROR(VLOOKUP($A174&amp;"_"&amp;$B174,Results_Deltas!$A$2:$P$15000,5,FALSE),"")</f>
        <v/>
      </c>
      <c r="H55" t="inlineStr">
        <is>
          <t>Blanket (page end)</t>
        </is>
      </c>
      <c r="L55" t="inlineStr">
        <is>
          <t>NO</t>
        </is>
      </c>
      <c r="M55" t="n">
        <v>26</v>
      </c>
      <c r="N55" t="n">
        <v>0</v>
      </c>
    </row>
    <row r="56" ht="15.75" customHeight="1" s="67">
      <c r="A56" t="inlineStr">
        <is>
          <t>MTS_BOTTOM_STRONG_THRESHOLD</t>
        </is>
      </c>
      <c r="B56" t="inlineStr">
        <is>
          <t>40</t>
        </is>
      </c>
      <c r="D56" t="inlineStr">
        <is>
          <t>ENTRY, GLOBAL_CHECK, STOCKS_EXIT</t>
        </is>
      </c>
      <c r="E56">
        <f>IF(G156="",E155,IF(G156&gt;0,E155+G156,E155))</f>
        <v/>
      </c>
      <c r="G56">
        <f>IFERROR(VLOOKUP($A175&amp;"_"&amp;$B175,Results_Deltas!$A$2:$P$15000,5,FALSE),"")</f>
        <v/>
      </c>
      <c r="H56" t="inlineStr">
        <is>
          <t>Blanket (page end)</t>
        </is>
      </c>
      <c r="L56" t="inlineStr">
        <is>
          <t>YES</t>
        </is>
      </c>
      <c r="M56" t="n">
        <v>26</v>
      </c>
      <c r="N56" t="n">
        <v>0</v>
      </c>
    </row>
    <row r="57" ht="15.75" customHeight="1" s="67">
      <c r="A57" t="inlineStr">
        <is>
          <t>CRYPTO_SPIKE_FADE_THRESHOLD_PCT</t>
        </is>
      </c>
      <c r="B57" t="inlineStr">
        <is>
          <t>12.5</t>
        </is>
      </c>
      <c r="D57" t="inlineStr">
        <is>
          <t>GLOBAL_CHECK, STOCKS_EXIT</t>
        </is>
      </c>
      <c r="E57">
        <f>IF(G29="",E28,IF(G29&gt;0,E28+G29,E28))</f>
        <v/>
      </c>
      <c r="G57">
        <f>IFERROR(VLOOKUP($A48&amp;"_"&amp;$B48,Results_Deltas!$A$2:$P$15000,5,FALSE),"")</f>
        <v/>
      </c>
      <c r="H57" t="inlineStr">
        <is>
          <t>Blanket (page end)</t>
        </is>
      </c>
      <c r="L57" t="inlineStr">
        <is>
          <t>NO</t>
        </is>
      </c>
      <c r="M57" t="n">
        <v>27</v>
      </c>
      <c r="N57" t="n">
        <v>0</v>
      </c>
    </row>
    <row r="58" ht="15.75" customHeight="1" s="67">
      <c r="A58" t="inlineStr">
        <is>
          <t>CRYPTO_SPIKE_FADE_THRESHOLD_PCT</t>
        </is>
      </c>
      <c r="B58" t="inlineStr">
        <is>
          <t>7.5</t>
        </is>
      </c>
      <c r="D58" t="inlineStr">
        <is>
          <t>GLOBAL_CHECK, STOCKS_EXIT</t>
        </is>
      </c>
      <c r="E58">
        <f>IF(G30="",E29,IF(G30&gt;0,E29+G30,E29))</f>
        <v/>
      </c>
      <c r="G58">
        <f>IFERROR(VLOOKUP($A49&amp;"_"&amp;$B49,Results_Deltas!$A$2:$P$15000,5,FALSE),"")</f>
        <v/>
      </c>
      <c r="H58" t="inlineStr">
        <is>
          <t>Blanket (page end)</t>
        </is>
      </c>
      <c r="L58" t="inlineStr">
        <is>
          <t>NO</t>
        </is>
      </c>
      <c r="M58" t="n">
        <v>27</v>
      </c>
      <c r="N58" t="n">
        <v>0</v>
      </c>
    </row>
    <row r="59" ht="15.75" customHeight="1" s="67">
      <c r="A59" t="inlineStr">
        <is>
          <t>MANDATORY_REENTRY_WT_FILTER_VELOCITY_RATIO</t>
        </is>
      </c>
      <c r="B59" t="inlineStr">
        <is>
          <t>0.90</t>
        </is>
      </c>
      <c r="D59" t="inlineStr">
        <is>
          <t>GLOBAL_CHECK, STOCKS_EXIT</t>
        </is>
      </c>
      <c r="E59">
        <f>IF(G138="",E137,IF(G138&gt;0,E137+G138,E137))</f>
        <v/>
      </c>
      <c r="G59">
        <f>IFERROR(VLOOKUP($A157&amp;"_"&amp;$B157,Results_Deltas!$A$2:$P$15000,5,FALSE),"")</f>
        <v/>
      </c>
      <c r="H59" t="inlineStr">
        <is>
          <t>Blanket (page end)</t>
        </is>
      </c>
      <c r="L59" t="inlineStr">
        <is>
          <t>YES</t>
        </is>
      </c>
      <c r="M59" t="n">
        <v>26</v>
      </c>
      <c r="N59" t="n">
        <v>0</v>
      </c>
    </row>
    <row r="60" ht="15.75" customHeight="1" s="67">
      <c r="A60" t="inlineStr">
        <is>
          <t>MANDATORY_REENTRY_WT_FILTER_VELOCITY_RATIO</t>
        </is>
      </c>
      <c r="B60" t="inlineStr">
        <is>
          <t>0.90_ALT</t>
        </is>
      </c>
      <c r="D60" t="inlineStr">
        <is>
          <t>GLOBAL_CHECK, STOCKS_EXIT</t>
        </is>
      </c>
      <c r="E60">
        <f>IF(G139="",E138,IF(G139&gt;0,E138+G139,E138))</f>
        <v/>
      </c>
      <c r="G60">
        <f>IFERROR(VLOOKUP($A158&amp;"_"&amp;$B158,Results_Deltas!$A$2:$P$15000,5,FALSE),"")</f>
        <v/>
      </c>
      <c r="H60" t="inlineStr">
        <is>
          <t>Blanket (page end)</t>
        </is>
      </c>
      <c r="L60" t="inlineStr">
        <is>
          <t>NO</t>
        </is>
      </c>
      <c r="M60" t="n">
        <v>26</v>
      </c>
      <c r="N60" t="n">
        <v>0</v>
      </c>
    </row>
    <row r="61" ht="15.75" customHeight="1" s="67">
      <c r="A61" t="inlineStr">
        <is>
          <t>EMA_9_21_FILTER_MIN_TFS</t>
        </is>
      </c>
      <c r="B61" t="inlineStr">
        <is>
          <t>0</t>
        </is>
      </c>
      <c r="D61" t="inlineStr">
        <is>
          <t>GLOBAL_CHECK</t>
        </is>
      </c>
      <c r="E61">
        <f>IF(G45="",E44,IF(G45&gt;0,E44+G45,E44))</f>
        <v/>
      </c>
      <c r="G61">
        <f>IFERROR(VLOOKUP($A64&amp;"_"&amp;$B64,Results_Deltas!$A$2:$P$15000,5,FALSE),"")</f>
        <v/>
      </c>
      <c r="H61" t="inlineStr">
        <is>
          <t>Blanket (page end)</t>
        </is>
      </c>
      <c r="L61" t="inlineStr">
        <is>
          <t>NO</t>
        </is>
      </c>
      <c r="M61" t="n">
        <v>3</v>
      </c>
      <c r="N61" t="n">
        <v>0</v>
      </c>
    </row>
    <row r="62" ht="15.75" customHeight="1" s="67">
      <c r="A62" t="inlineStr">
        <is>
          <t>GR_FILTER_VEC_ENABLED</t>
        </is>
      </c>
      <c r="B62" t="inlineStr">
        <is>
          <t>True</t>
        </is>
      </c>
      <c r="D62" t="inlineStr">
        <is>
          <t>GLOBAL_CHECK</t>
        </is>
      </c>
      <c r="E62">
        <f>IF(G81="",E80,IF(G81&gt;0,E80+G81,E80))</f>
        <v/>
      </c>
      <c r="G62">
        <f>IFERROR(VLOOKUP($A100&amp;"_"&amp;$B100,Results_Deltas!$A$2:$P$15000,5,FALSE),"")</f>
        <v/>
      </c>
      <c r="H62" t="inlineStr">
        <is>
          <t>Blanket (page end)</t>
        </is>
      </c>
      <c r="L62" t="inlineStr">
        <is>
          <t>NO</t>
        </is>
      </c>
      <c r="M62" t="n">
        <v>3</v>
      </c>
      <c r="N62" t="n">
        <v>0</v>
      </c>
    </row>
    <row r="63" ht="15.75" customHeight="1" s="67">
      <c r="A63" t="inlineStr">
        <is>
          <t>EMA_BLANKET_FILTER_MIN_TFS</t>
        </is>
      </c>
      <c r="B63" t="inlineStr">
        <is>
          <t>0</t>
        </is>
      </c>
      <c r="D63" t="inlineStr">
        <is>
          <t>GLOBAL_CHECK</t>
        </is>
      </c>
      <c r="E63">
        <f>IF(G50="",E49,IF(G50&gt;0,E49+G50,E49))</f>
        <v/>
      </c>
      <c r="G63">
        <f>IFERROR(VLOOKUP($A69&amp;"_"&amp;$B69,Results_Deltas!$A$2:$P$15000,5,FALSE),"")</f>
        <v/>
      </c>
      <c r="H63" t="inlineStr">
        <is>
          <t>Blanket (page end)</t>
        </is>
      </c>
      <c r="L63" t="inlineStr">
        <is>
          <t>NO</t>
        </is>
      </c>
      <c r="M63" t="n">
        <v>3</v>
      </c>
      <c r="N63" t="n">
        <v>0</v>
      </c>
    </row>
    <row r="64" ht="15.75" customHeight="1" s="67">
      <c r="A64" t="inlineStr">
        <is>
          <t>EMA_9_21_FILTER_MIN_TFS</t>
        </is>
      </c>
      <c r="B64" t="inlineStr">
        <is>
          <t>2</t>
        </is>
      </c>
      <c r="D64" t="inlineStr">
        <is>
          <t>GLOBAL_CHECK</t>
        </is>
      </c>
      <c r="E64">
        <f>IF(G46="",E45,IF(G46&gt;0,E45+G46,E45))</f>
        <v/>
      </c>
      <c r="G64">
        <f>IFERROR(VLOOKUP($A65&amp;"_"&amp;$B65,Results_Deltas!$A$2:$P$15000,5,FALSE),"")</f>
        <v/>
      </c>
      <c r="H64" t="inlineStr">
        <is>
          <t>Blanket (page end)</t>
        </is>
      </c>
      <c r="L64" t="inlineStr">
        <is>
          <t>NO</t>
        </is>
      </c>
      <c r="M64" t="n">
        <v>3</v>
      </c>
      <c r="N64" t="n">
        <v>0</v>
      </c>
    </row>
    <row r="65" ht="15.75" customHeight="1" s="67">
      <c r="A65" t="inlineStr">
        <is>
          <t>OI_CONFIRM_MIN_CHANGE_PCT</t>
        </is>
      </c>
      <c r="B65" t="inlineStr">
        <is>
          <t>1.0</t>
        </is>
      </c>
      <c r="D65" t="inlineStr">
        <is>
          <t>ENTRY, GLOBAL_CHECK, STOCKS_EXIT</t>
        </is>
      </c>
      <c r="E65">
        <f>IF(G176="",E175,IF(G176&gt;0,E175+G176,E175))</f>
        <v/>
      </c>
      <c r="G65">
        <f>IFERROR(VLOOKUP($A195&amp;"_"&amp;$B195,Results_Deltas!$A$2:$P$15000,5,FALSE),"")</f>
        <v/>
      </c>
      <c r="H65" t="inlineStr">
        <is>
          <t>Blanket (page end)</t>
        </is>
      </c>
      <c r="L65" t="inlineStr">
        <is>
          <t>NO</t>
        </is>
      </c>
      <c r="M65" t="n">
        <v>26</v>
      </c>
      <c r="N65" t="n">
        <v>0</v>
      </c>
    </row>
    <row r="66" ht="15.75" customHeight="1" s="67">
      <c r="A66" t="inlineStr">
        <is>
          <t>MTS_BOTTOM_STRONG_THRESHOLD</t>
        </is>
      </c>
      <c r="B66" t="inlineStr">
        <is>
          <t>20</t>
        </is>
      </c>
      <c r="D66" t="inlineStr">
        <is>
          <t>ENTRY, GLOBAL_CHECK, STOCKS_EXIT</t>
        </is>
      </c>
      <c r="E66">
        <f>IF(G159="",E158,IF(G159&gt;0,E158+G159,E158))</f>
        <v/>
      </c>
      <c r="G66">
        <f>IFERROR(VLOOKUP($A178&amp;"_"&amp;$B178,Results_Deltas!$A$2:$P$15000,5,FALSE),"")</f>
        <v/>
      </c>
      <c r="H66" t="inlineStr">
        <is>
          <t>Blanket (page end)</t>
        </is>
      </c>
      <c r="L66" t="inlineStr">
        <is>
          <t>NO</t>
        </is>
      </c>
      <c r="M66" t="n">
        <v>26</v>
      </c>
      <c r="N66" t="n">
        <v>0</v>
      </c>
    </row>
    <row r="67" ht="15.75" customHeight="1" s="67">
      <c r="A67" t="inlineStr">
        <is>
          <t>EMA_BLANKET_FILTER_ENABLED</t>
        </is>
      </c>
      <c r="B67" t="inlineStr">
        <is>
          <t>False</t>
        </is>
      </c>
      <c r="D67" t="inlineStr">
        <is>
          <t>GLOBAL_CHECK</t>
        </is>
      </c>
      <c r="E67">
        <f>IF(G48="",E47,IF(G48&gt;0,E47+G48,E47))</f>
        <v/>
      </c>
      <c r="G67">
        <f>IFERROR(VLOOKUP($A67&amp;"_"&amp;$B67,Results_Deltas!$A$2:$P$15000,5,FALSE),"")</f>
        <v/>
      </c>
      <c r="H67" t="inlineStr">
        <is>
          <t>Blanket (page end)</t>
        </is>
      </c>
      <c r="L67" t="inlineStr">
        <is>
          <t>NO</t>
        </is>
      </c>
      <c r="M67" t="n">
        <v>3</v>
      </c>
      <c r="N67" t="n">
        <v>0</v>
      </c>
    </row>
    <row r="68" ht="15.75" customHeight="1" s="67">
      <c r="A68" t="inlineStr">
        <is>
          <t>GR_FILTER_VEC_MIN_TFS</t>
        </is>
      </c>
      <c r="B68" t="inlineStr">
        <is>
          <t>1</t>
        </is>
      </c>
      <c r="D68" t="inlineStr">
        <is>
          <t>GLOBAL_CHECK</t>
        </is>
      </c>
      <c r="E68">
        <f>IF(G84="",E83,IF(G84&gt;0,E83+G84,E83))</f>
        <v/>
      </c>
      <c r="G68">
        <f>IFERROR(VLOOKUP($A103&amp;"_"&amp;$B103,Results_Deltas!$A$2:$P$15000,5,FALSE),"")</f>
        <v/>
      </c>
      <c r="H68" t="inlineStr">
        <is>
          <t>Blanket (page end)</t>
        </is>
      </c>
      <c r="L68" t="inlineStr">
        <is>
          <t>NO</t>
        </is>
      </c>
      <c r="M68" t="n">
        <v>3</v>
      </c>
      <c r="N68" t="n">
        <v>0</v>
      </c>
    </row>
    <row r="69" ht="15.75" customHeight="1" s="67">
      <c r="A69" t="inlineStr">
        <is>
          <t>MOVER_THRESHOLD</t>
        </is>
      </c>
      <c r="B69" t="inlineStr">
        <is>
          <t>3.75</t>
        </is>
      </c>
      <c r="D69" t="inlineStr">
        <is>
          <t>ENTRY, GLOBAL_CHECK, STOCKS_EXIT</t>
        </is>
      </c>
      <c r="E69">
        <f>IF(G146="",E145,IF(G146&gt;0,E145+G146,E145))</f>
        <v/>
      </c>
      <c r="G69">
        <f>IFERROR(VLOOKUP($A165&amp;"_"&amp;$B165,Results_Deltas!$A$2:$P$15000,5,FALSE),"")</f>
        <v/>
      </c>
      <c r="H69" t="inlineStr">
        <is>
          <t>Blanket (page end)</t>
        </is>
      </c>
      <c r="L69" t="inlineStr">
        <is>
          <t>NO</t>
        </is>
      </c>
      <c r="M69" t="n">
        <v>26</v>
      </c>
      <c r="N69" t="n">
        <v>0</v>
      </c>
    </row>
    <row r="70" ht="15.75" customHeight="1" s="67">
      <c r="A70" t="inlineStr">
        <is>
          <t>HTF_DIRECTION_GATE_ENABLED</t>
        </is>
      </c>
      <c r="B70" t="inlineStr">
        <is>
          <t>True</t>
        </is>
      </c>
      <c r="D70" t="inlineStr">
        <is>
          <t>ENTRY, GLOBAL_CHECK, STOCKS_EXIT</t>
        </is>
      </c>
      <c r="E70">
        <f>IF(G104="",E103,IF(G104&gt;0,E103+G104,E103))</f>
        <v/>
      </c>
      <c r="G70">
        <f>IFERROR(VLOOKUP($A123&amp;"_"&amp;$B123,Results_Deltas!$A$2:$P$15000,5,FALSE),"")</f>
        <v/>
      </c>
      <c r="H70" t="inlineStr">
        <is>
          <t>Blanket (page end)</t>
        </is>
      </c>
      <c r="L70" t="inlineStr">
        <is>
          <t>NO</t>
        </is>
      </c>
      <c r="M70" t="n">
        <v>27</v>
      </c>
      <c r="N70" t="n">
        <v>0</v>
      </c>
    </row>
    <row r="71" ht="15.75" customHeight="1" s="67">
      <c r="A71" t="inlineStr">
        <is>
          <t>MTS_GATE_ENABLED</t>
        </is>
      </c>
      <c r="B71" t="inlineStr">
        <is>
          <t>True</t>
        </is>
      </c>
      <c r="D71" t="inlineStr">
        <is>
          <t>ENTRY, GLOBAL_CHECK, STOCKS_EXIT</t>
        </is>
      </c>
      <c r="E71">
        <f>IF(G161="",E160,IF(G161&gt;0,E160+G161,E160))</f>
        <v/>
      </c>
      <c r="G71">
        <f>IFERROR(VLOOKUP($A180&amp;"_"&amp;$B180,Results_Deltas!$A$2:$P$15000,5,FALSE),"")</f>
        <v/>
      </c>
      <c r="H71" t="inlineStr">
        <is>
          <t>Blanket (page end)</t>
        </is>
      </c>
      <c r="L71" t="inlineStr">
        <is>
          <t>YES</t>
        </is>
      </c>
      <c r="M71" t="n">
        <v>26</v>
      </c>
      <c r="N71" t="n">
        <v>0</v>
      </c>
    </row>
    <row r="72" ht="15.75" customHeight="1" s="67">
      <c r="A72" t="inlineStr">
        <is>
          <t>MANDATORY_REENTRY_WT_FILTER_MIN_TFS</t>
        </is>
      </c>
      <c r="B72" t="inlineStr">
        <is>
          <t>2</t>
        </is>
      </c>
      <c r="D72" t="inlineStr">
        <is>
          <t>GLOBAL_CHECK, STOCKS_EXIT</t>
        </is>
      </c>
      <c r="E72">
        <f>IF(G133="",E132,IF(G133&gt;0,E132+G133,E132))</f>
        <v/>
      </c>
      <c r="G72">
        <f>IFERROR(VLOOKUP($A152&amp;"_"&amp;$B152,Results_Deltas!$A$2:$P$15000,5,FALSE),"")</f>
        <v/>
      </c>
      <c r="H72" t="inlineStr">
        <is>
          <t>Blanket (page end)</t>
        </is>
      </c>
      <c r="L72" t="inlineStr">
        <is>
          <t>NO</t>
        </is>
      </c>
      <c r="M72" t="n">
        <v>26</v>
      </c>
      <c r="N72" t="n">
        <v>0</v>
      </c>
    </row>
    <row r="73" ht="15.75" customHeight="1" s="67">
      <c r="A73" t="inlineStr">
        <is>
          <t>HA_WICK_QUALITY_ENABLED</t>
        </is>
      </c>
      <c r="B73" t="inlineStr">
        <is>
          <t>True</t>
        </is>
      </c>
      <c r="D73" t="inlineStr">
        <is>
          <t>ENTRY, GLOBAL_CHECK, STOCKS_EXIT</t>
        </is>
      </c>
      <c r="E73">
        <f>IF(G86="",E85,IF(G86&gt;0,E85+G86,E85))</f>
        <v/>
      </c>
      <c r="G73">
        <f>IFERROR(VLOOKUP($A105&amp;"_"&amp;$B105,Results_Deltas!$A$2:$P$15000,5,FALSE),"")</f>
        <v/>
      </c>
      <c r="H73" t="inlineStr">
        <is>
          <t>Blanket (page end)</t>
        </is>
      </c>
      <c r="L73" t="inlineStr">
        <is>
          <t>NO</t>
        </is>
      </c>
      <c r="M73" t="n">
        <v>27</v>
      </c>
      <c r="N73" t="n">
        <v>0</v>
      </c>
    </row>
    <row r="74" ht="15.75" customHeight="1" s="67">
      <c r="A74" t="inlineStr">
        <is>
          <t>NEW_POSITION_MAX_LOSS_THRESHOLD</t>
        </is>
      </c>
      <c r="B74" t="inlineStr">
        <is>
          <t>2.0</t>
        </is>
      </c>
      <c r="D74" t="inlineStr">
        <is>
          <t>AUGMENT, EXIT, GLOBAL_CHECK, REDUCE, STOCKS_EXIT</t>
        </is>
      </c>
      <c r="E74">
        <f>IF(G169="",E168,IF(G169&gt;0,E168+G169,E168))</f>
        <v/>
      </c>
      <c r="G74">
        <f>IFERROR(VLOOKUP($A188&amp;"_"&amp;$B188,Results_Deltas!$A$2:$P$15000,5,FALSE),"")</f>
        <v/>
      </c>
      <c r="H74" t="inlineStr">
        <is>
          <t>Blanket (page end)</t>
        </is>
      </c>
      <c r="L74" t="inlineStr">
        <is>
          <t>NO</t>
        </is>
      </c>
      <c r="M74" t="n">
        <v>22</v>
      </c>
      <c r="N74" t="n">
        <v>0</v>
      </c>
    </row>
    <row r="75" ht="15.75" customHeight="1" s="67">
      <c r="A75" t="inlineStr">
        <is>
          <t>LH_HL_FILTER_ENABLED</t>
        </is>
      </c>
      <c r="B75" t="inlineStr">
        <is>
          <t>True</t>
        </is>
      </c>
      <c r="D75" t="inlineStr">
        <is>
          <t>ENTRY, GLOBAL_CHECK, STOCKS_EXIT</t>
        </is>
      </c>
      <c r="E75">
        <f>IF(G118="",E117,IF(G118&gt;0,E117+G118,E117))</f>
        <v/>
      </c>
      <c r="G75">
        <f>IFERROR(VLOOKUP($A137&amp;"_"&amp;$B137,Results_Deltas!$A$2:$P$15000,5,FALSE),"")</f>
        <v/>
      </c>
      <c r="H75" t="inlineStr">
        <is>
          <t>Blanket (page end)</t>
        </is>
      </c>
      <c r="L75" t="inlineStr">
        <is>
          <t>NO</t>
        </is>
      </c>
      <c r="M75" t="n">
        <v>27</v>
      </c>
      <c r="N75" t="n">
        <v>0</v>
      </c>
    </row>
    <row r="76" ht="10.5" customHeight="1" s="67">
      <c r="A76" t="inlineStr">
        <is>
          <t>BANDAID_OFF_LOSER_RECOVER_PCT</t>
        </is>
      </c>
      <c r="B76" t="inlineStr">
        <is>
          <t>2.0</t>
        </is>
      </c>
      <c r="D76" t="inlineStr">
        <is>
          <t>AUGMENT, ENTRY, EXIT, GLOBAL_CHECK, REDUCE, STOCKS_EXIT</t>
        </is>
      </c>
      <c r="E76">
        <f>IF(G12="",E11,IF(G12&gt;0,E11+G12,E11))</f>
        <v/>
      </c>
      <c r="G76">
        <f>IFERROR(VLOOKUP($A31&amp;"_"&amp;$B31,Results_Deltas!$A$2:$P$15000,5,FALSE),"")</f>
        <v/>
      </c>
      <c r="H76" t="inlineStr">
        <is>
          <t>Blanket (page end)</t>
        </is>
      </c>
      <c r="L76" t="inlineStr">
        <is>
          <t>NO</t>
        </is>
      </c>
      <c r="M76" t="n">
        <v>24</v>
      </c>
      <c r="N76" t="n">
        <v>0</v>
      </c>
    </row>
    <row r="77" ht="15.75" customHeight="1" s="67">
      <c r="A77" t="inlineStr">
        <is>
          <t>HLR_TOP_MIN_TFS</t>
        </is>
      </c>
      <c r="B77" t="inlineStr">
        <is>
          <t>1</t>
        </is>
      </c>
      <c r="D77" t="inlineStr">
        <is>
          <t>GLOBAL_CHECK, REENTRY, STOCKS_EXIT</t>
        </is>
      </c>
      <c r="E77">
        <f>IF(G100="",E99,IF(G100&gt;0,E99+G100,E99))</f>
        <v/>
      </c>
      <c r="G77">
        <f>IFERROR(VLOOKUP($A119&amp;"_"&amp;$B119,Results_Deltas!$A$2:$P$15000,5,FALSE),"")</f>
        <v/>
      </c>
      <c r="H77" t="inlineStr">
        <is>
          <t>Blanket (page end)</t>
        </is>
      </c>
      <c r="L77" t="inlineStr">
        <is>
          <t>NO</t>
        </is>
      </c>
      <c r="M77" t="n">
        <v>27</v>
      </c>
      <c r="N77" t="n">
        <v>0</v>
      </c>
    </row>
    <row r="78" ht="15.75" customHeight="1" s="67">
      <c r="A78" t="inlineStr">
        <is>
          <t>FG_GREED_THRESHOLD</t>
        </is>
      </c>
      <c r="B78" t="inlineStr">
        <is>
          <t>37.5</t>
        </is>
      </c>
      <c r="D78" t="inlineStr">
        <is>
          <t>GLOBAL_CHECK, STOCKS_EXIT</t>
        </is>
      </c>
      <c r="E78">
        <f>IF(G64="",E63,IF(G64&gt;0,E63+G64,E63))</f>
        <v/>
      </c>
      <c r="G78">
        <f>IFERROR(VLOOKUP($A83&amp;"_"&amp;$B83,Results_Deltas!$A$2:$P$15000,5,FALSE),"")</f>
        <v/>
      </c>
      <c r="H78" t="inlineStr">
        <is>
          <t>Blanket (page end)</t>
        </is>
      </c>
      <c r="L78" t="inlineStr">
        <is>
          <t>NO</t>
        </is>
      </c>
      <c r="M78" t="n">
        <v>27</v>
      </c>
      <c r="N78" t="n">
        <v>0</v>
      </c>
    </row>
    <row r="79" ht="15.75" customHeight="1" s="67">
      <c r="A79" t="inlineStr">
        <is>
          <t>OI_CONFIRM_MIN_PRICE_PCT</t>
        </is>
      </c>
      <c r="B79" t="inlineStr">
        <is>
          <t>2.0</t>
        </is>
      </c>
      <c r="D79" t="inlineStr">
        <is>
          <t>ENTRY, GLOBAL_CHECK, STOCKS_EXIT</t>
        </is>
      </c>
      <c r="E79">
        <f>IF(G179="",E178,IF(G179&gt;0,E178+G179,E178))</f>
        <v/>
      </c>
      <c r="G79">
        <f>IFERROR(VLOOKUP($A198&amp;"_"&amp;$B198,Results_Deltas!$A$2:$P$15000,5,FALSE),"")</f>
        <v/>
      </c>
      <c r="H79" t="inlineStr">
        <is>
          <t>Blanket (page end)</t>
        </is>
      </c>
      <c r="L79" t="inlineStr">
        <is>
          <t>NO</t>
        </is>
      </c>
      <c r="M79" t="n">
        <v>26</v>
      </c>
      <c r="N79" t="n">
        <v>0</v>
      </c>
    </row>
    <row r="80" ht="15.75" customHeight="1" s="67">
      <c r="A80" t="inlineStr">
        <is>
          <t>MOVER_THRESHOLD</t>
        </is>
      </c>
      <c r="B80" t="inlineStr">
        <is>
          <t>2.5</t>
        </is>
      </c>
      <c r="D80" t="inlineStr">
        <is>
          <t>ENTRY, GLOBAL_CHECK, STOCKS_EXIT</t>
        </is>
      </c>
      <c r="E80">
        <f>IF(G147="",E146,IF(G147&gt;0,E146+G147,E146))</f>
        <v/>
      </c>
      <c r="G80">
        <f>IFERROR(VLOOKUP($A166&amp;"_"&amp;$B166,Results_Deltas!$A$2:$P$15000,5,FALSE),"")</f>
        <v/>
      </c>
      <c r="H80" t="inlineStr">
        <is>
          <t>Blanket (page end)</t>
        </is>
      </c>
      <c r="L80" t="inlineStr">
        <is>
          <t>NO</t>
        </is>
      </c>
      <c r="M80" t="n">
        <v>26</v>
      </c>
      <c r="N80" t="n">
        <v>0</v>
      </c>
    </row>
    <row r="81" ht="10.5" customHeight="1" s="67">
      <c r="A81" t="inlineStr">
        <is>
          <t>ADX_RANGING_THRESHOLD</t>
        </is>
      </c>
      <c r="B81" t="inlineStr">
        <is>
          <t>15</t>
        </is>
      </c>
      <c r="D81" t="inlineStr">
        <is>
          <t>ENTRY, GLOBAL_CHECK, STOCKS_EXIT</t>
        </is>
      </c>
      <c r="E81">
        <f>IF(G9="",E8,IF(G9&gt;0,E8+G9,E8))</f>
        <v/>
      </c>
      <c r="G81">
        <f>IFERROR(VLOOKUP($A28&amp;"_"&amp;$B28,Results_Deltas!$A$2:$P$15000,5,FALSE),"")</f>
        <v/>
      </c>
      <c r="H81" t="inlineStr">
        <is>
          <t>Blanket (page end)</t>
        </is>
      </c>
      <c r="L81" t="inlineStr">
        <is>
          <t>NO</t>
        </is>
      </c>
      <c r="M81" t="n">
        <v>27</v>
      </c>
      <c r="N81" t="n">
        <v>0</v>
      </c>
    </row>
    <row r="82" ht="15.75" customHeight="1" s="67">
      <c r="A82" t="inlineStr">
        <is>
          <t>HA_WICK_QUALITY_TF</t>
        </is>
      </c>
      <c r="B82" t="inlineStr">
        <is>
          <t>1h</t>
        </is>
      </c>
      <c r="D82" t="inlineStr">
        <is>
          <t>ENTRY, GLOBAL_CHECK, STOCKS_EXIT</t>
        </is>
      </c>
      <c r="E82">
        <f>IF(G92="",E91,IF(G92&gt;0,E91+G92,E91))</f>
        <v/>
      </c>
      <c r="G82">
        <f>IFERROR(VLOOKUP($A111&amp;"_"&amp;$B111,Results_Deltas!$A$2:$P$15000,5,FALSE),"")</f>
        <v/>
      </c>
      <c r="H82" t="inlineStr">
        <is>
          <t>Blanket (page end)</t>
        </is>
      </c>
      <c r="L82" t="inlineStr">
        <is>
          <t>YES</t>
        </is>
      </c>
      <c r="M82" t="n">
        <v>27</v>
      </c>
      <c r="N82" t="n">
        <v>0</v>
      </c>
    </row>
    <row r="83" ht="15.75" customHeight="1" s="67">
      <c r="A83" t="inlineStr">
        <is>
          <t>LR_BAND_LADDER_TF_TOP</t>
        </is>
      </c>
      <c r="B83" t="inlineStr">
        <is>
          <t>1</t>
        </is>
      </c>
      <c r="D83" t="inlineStr">
        <is>
          <t>GLOBAL_CHECK, STOCKS_EXIT</t>
        </is>
      </c>
      <c r="E83">
        <f>IF(G130="",E129,IF(G130&gt;0,E129+G130,E129))</f>
        <v/>
      </c>
      <c r="G83">
        <f>IFERROR(VLOOKUP($A149&amp;"_"&amp;$B149,Results_Deltas!$A$2:$P$15000,5,FALSE),"")</f>
        <v/>
      </c>
      <c r="H83" t="inlineStr">
        <is>
          <t>Blanket (page end)</t>
        </is>
      </c>
      <c r="L83" t="inlineStr">
        <is>
          <t>NO</t>
        </is>
      </c>
      <c r="M83" t="n">
        <v>24</v>
      </c>
      <c r="N83" t="n">
        <v>0</v>
      </c>
    </row>
    <row r="84" ht="15.75" customHeight="1" s="67">
      <c r="A84" t="inlineStr">
        <is>
          <t>DELTA_HTF_GATE</t>
        </is>
      </c>
      <c r="B84" t="inlineStr">
        <is>
          <t>4h_ALT</t>
        </is>
      </c>
      <c r="D84" t="inlineStr">
        <is>
          <t>ENTRY, GLOBAL_CHECK, STOCKS_EXIT</t>
        </is>
      </c>
      <c r="E84">
        <f>IF(G37="",E36,IF(G37&gt;0,E36+G37,E36))</f>
        <v/>
      </c>
      <c r="G84">
        <f>IFERROR(VLOOKUP($A56&amp;"_"&amp;$B56,Results_Deltas!$A$2:$P$15000,5,FALSE),"")</f>
        <v/>
      </c>
      <c r="H84" t="inlineStr">
        <is>
          <t>Blanket (page end)</t>
        </is>
      </c>
      <c r="L84" t="inlineStr">
        <is>
          <t>NO</t>
        </is>
      </c>
      <c r="M84" t="n">
        <v>27</v>
      </c>
      <c r="N84" t="n">
        <v>0</v>
      </c>
    </row>
    <row r="85" ht="15.75" customHeight="1" s="67">
      <c r="A85" t="inlineStr">
        <is>
          <t>HA_WICK_QUALITY_TF</t>
        </is>
      </c>
      <c r="B85" t="inlineStr">
        <is>
          <t>OFF</t>
        </is>
      </c>
      <c r="D85" t="inlineStr">
        <is>
          <t>ENTRY, GLOBAL_CHECK, STOCKS_EXIT</t>
        </is>
      </c>
      <c r="E85">
        <f>IF(G89="",E88,IF(G89&gt;0,E88+G89,E88))</f>
        <v/>
      </c>
      <c r="G85">
        <f>IFERROR(VLOOKUP($A108&amp;"_"&amp;$B108,Results_Deltas!$A$2:$P$15000,5,FALSE),"")</f>
        <v/>
      </c>
      <c r="H85" t="inlineStr">
        <is>
          <t>Blanket (page end)</t>
        </is>
      </c>
      <c r="L85" t="inlineStr">
        <is>
          <t>NO</t>
        </is>
      </c>
      <c r="M85" t="n">
        <v>27</v>
      </c>
      <c r="N85" t="n">
        <v>0</v>
      </c>
    </row>
    <row r="86" ht="15.75" customHeight="1" s="67">
      <c r="A86" t="inlineStr">
        <is>
          <t>DELTA_HTF_GATE</t>
        </is>
      </c>
      <c r="B86" t="inlineStr">
        <is>
          <t>4h</t>
        </is>
      </c>
      <c r="D86" t="inlineStr">
        <is>
          <t>ENTRY, GLOBAL_CHECK, STOCKS_EXIT</t>
        </is>
      </c>
      <c r="E86">
        <f>IF(G36="",E35,IF(G36&gt;0,E35+G36,E35))</f>
        <v/>
      </c>
      <c r="G86">
        <f>IFERROR(VLOOKUP($A55&amp;"_"&amp;$B55,Results_Deltas!$A$2:$P$15000,5,FALSE),"")</f>
        <v/>
      </c>
      <c r="H86" t="inlineStr">
        <is>
          <t>Blanket (page end)</t>
        </is>
      </c>
      <c r="L86" t="inlineStr">
        <is>
          <t>NO</t>
        </is>
      </c>
      <c r="M86" t="n">
        <v>27</v>
      </c>
      <c r="N86" t="n">
        <v>0</v>
      </c>
    </row>
    <row r="87" ht="15.75" customHeight="1" s="67">
      <c r="A87" t="inlineStr">
        <is>
          <t>LR_BAND_LADDER_TF_BOTTOM</t>
        </is>
      </c>
      <c r="B87" t="inlineStr">
        <is>
          <t>1</t>
        </is>
      </c>
      <c r="D87" t="inlineStr">
        <is>
          <t>GLOBAL_CHECK, STOCKS_EXIT</t>
        </is>
      </c>
      <c r="E87">
        <f>IF(G128="",E127,IF(G128&gt;0,E127+G128,E127))</f>
        <v/>
      </c>
      <c r="G87">
        <f>IFERROR(VLOOKUP($A147&amp;"_"&amp;$B147,Results_Deltas!$A$2:$P$15000,5,FALSE),"")</f>
        <v/>
      </c>
      <c r="H87" t="inlineStr">
        <is>
          <t>Blanket (page end)</t>
        </is>
      </c>
      <c r="L87" t="inlineStr">
        <is>
          <t>NO</t>
        </is>
      </c>
      <c r="M87" t="n">
        <v>26</v>
      </c>
      <c r="N87" t="n">
        <v>0</v>
      </c>
    </row>
    <row r="88" ht="15.75" customHeight="1" s="67">
      <c r="A88" t="inlineStr">
        <is>
          <t>MOVER_THRESHOLD</t>
        </is>
      </c>
      <c r="B88" t="inlineStr">
        <is>
          <t>5</t>
        </is>
      </c>
      <c r="D88" t="inlineStr">
        <is>
          <t>ENTRY, GLOBAL_CHECK, STOCKS_EXIT</t>
        </is>
      </c>
      <c r="E88">
        <f>IF(G144="",E143,IF(G144&gt;0,E143+G144,E143))</f>
        <v/>
      </c>
      <c r="G88">
        <f>IFERROR(VLOOKUP($A163&amp;"_"&amp;$B163,Results_Deltas!$A$2:$P$15000,5,FALSE),"")</f>
        <v/>
      </c>
      <c r="H88" t="inlineStr">
        <is>
          <t>Blanket (page end)</t>
        </is>
      </c>
      <c r="L88" t="inlineStr">
        <is>
          <t>YES</t>
        </is>
      </c>
      <c r="M88" t="n">
        <v>26</v>
      </c>
      <c r="N88" t="n">
        <v>0</v>
      </c>
    </row>
    <row r="89" ht="15.75" customHeight="1" s="67">
      <c r="A89" t="inlineStr">
        <is>
          <t>DC_MOMENT_STRONG_THRESHOLD</t>
        </is>
      </c>
      <c r="B89" t="inlineStr">
        <is>
          <t>40</t>
        </is>
      </c>
      <c r="D89" t="inlineStr">
        <is>
          <t>ENTRY, GLOBAL_CHECK, STOCKS_EXIT</t>
        </is>
      </c>
      <c r="E89">
        <f>IF(G32="",E31,IF(G32&gt;0,E31+G32,E31))</f>
        <v/>
      </c>
      <c r="G89">
        <f>IFERROR(VLOOKUP($A51&amp;"_"&amp;$B51,Results_Deltas!$A$2:$P$15000,5,FALSE),"")</f>
        <v/>
      </c>
      <c r="H89" t="inlineStr">
        <is>
          <t>Blanket (page end)</t>
        </is>
      </c>
      <c r="L89" t="inlineStr">
        <is>
          <t>YES</t>
        </is>
      </c>
      <c r="M89" t="n">
        <v>27</v>
      </c>
      <c r="N89" t="n">
        <v>0</v>
      </c>
    </row>
    <row r="90" ht="15.75" customHeight="1" s="67">
      <c r="A90" t="inlineStr">
        <is>
          <t>DELTA_REENTRY_FILTER_ENABLED</t>
        </is>
      </c>
      <c r="B90" t="inlineStr">
        <is>
          <t>True</t>
        </is>
      </c>
      <c r="D90" t="inlineStr">
        <is>
          <t>ENTRY, GLOBAL_CHECK, STOCKS_EXIT</t>
        </is>
      </c>
      <c r="E90">
        <f>IF(G39="",E38,IF(G39&gt;0,E38+G39,E38))</f>
        <v/>
      </c>
      <c r="G90">
        <f>IFERROR(VLOOKUP($A58&amp;"_"&amp;$B58,Results_Deltas!$A$2:$P$15000,5,FALSE),"")</f>
        <v/>
      </c>
      <c r="H90" t="inlineStr">
        <is>
          <t>Blanket (page end)</t>
        </is>
      </c>
      <c r="L90" t="inlineStr">
        <is>
          <t>NO</t>
        </is>
      </c>
      <c r="M90" t="n">
        <v>27</v>
      </c>
      <c r="N90" t="n">
        <v>0</v>
      </c>
    </row>
    <row r="91" ht="15.75" customHeight="1" s="67">
      <c r="A91" t="inlineStr">
        <is>
          <t>HLR_SMA_BAND_PCT</t>
        </is>
      </c>
      <c r="B91" t="inlineStr">
        <is>
          <t>2.0</t>
        </is>
      </c>
      <c r="D91" t="inlineStr">
        <is>
          <t>ENTRY, GLOBAL_CHECK, STOCKS_EXIT</t>
        </is>
      </c>
      <c r="E91">
        <f>IF(G95="",E94,IF(G95&gt;0,E94+G95,E94))</f>
        <v/>
      </c>
      <c r="G91">
        <f>IFERROR(VLOOKUP($A114&amp;"_"&amp;$B114,Results_Deltas!$A$2:$P$15000,5,FALSE),"")</f>
        <v/>
      </c>
      <c r="H91" t="inlineStr">
        <is>
          <t>Blanket (page end)</t>
        </is>
      </c>
      <c r="L91" t="inlineStr">
        <is>
          <t>NO</t>
        </is>
      </c>
      <c r="M91" t="n">
        <v>27</v>
      </c>
      <c r="N91" t="n">
        <v>0</v>
      </c>
    </row>
    <row r="92" ht="15.75" customHeight="1" s="67">
      <c r="A92" t="inlineStr">
        <is>
          <t>MANDATORY_REENTRY_WT_FILTER_MIN_TFS</t>
        </is>
      </c>
      <c r="B92" t="inlineStr">
        <is>
          <t>1</t>
        </is>
      </c>
      <c r="D92" t="inlineStr">
        <is>
          <t>GLOBAL_CHECK, STOCKS_EXIT</t>
        </is>
      </c>
      <c r="E92">
        <f>IF(G131="",E130,IF(G131&gt;0,E130+G131,E130))</f>
        <v/>
      </c>
      <c r="G92">
        <f>IFERROR(VLOOKUP($A150&amp;"_"&amp;$B150,Results_Deltas!$A$2:$P$15000,5,FALSE),"")</f>
        <v/>
      </c>
      <c r="H92" t="inlineStr">
        <is>
          <t>Blanket (page end)</t>
        </is>
      </c>
      <c r="L92" t="inlineStr">
        <is>
          <t>YES</t>
        </is>
      </c>
      <c r="M92" t="n">
        <v>26</v>
      </c>
      <c r="N92" t="n">
        <v>0</v>
      </c>
    </row>
    <row r="93" ht="15.75" customHeight="1" s="67">
      <c r="A93" t="inlineStr">
        <is>
          <t>LR_BAND_LADDER_STOCH_EXTREME</t>
        </is>
      </c>
      <c r="B93" t="inlineStr">
        <is>
          <t>30.0_ALT</t>
        </is>
      </c>
      <c r="D93" t="inlineStr">
        <is>
          <t>GLOBAL_CHECK, STOCKS_EXIT</t>
        </is>
      </c>
      <c r="E93">
        <f>IF(G126="",E125,IF(G126&gt;0,E125+G126,E125))</f>
        <v/>
      </c>
      <c r="G93">
        <f>IFERROR(VLOOKUP($A145&amp;"_"&amp;$B145,Results_Deltas!$A$2:$P$15000,5,FALSE),"")</f>
        <v/>
      </c>
      <c r="H93" t="inlineStr">
        <is>
          <t>Blanket (page end)</t>
        </is>
      </c>
      <c r="L93" t="inlineStr">
        <is>
          <t>NO</t>
        </is>
      </c>
      <c r="M93" t="n">
        <v>26</v>
      </c>
      <c r="N93" t="n">
        <v>0</v>
      </c>
    </row>
    <row r="94" ht="15.75" customHeight="1" s="67">
      <c r="A94" t="inlineStr">
        <is>
          <t>LR_BAND_LADDER_STOCH_EXTREME</t>
        </is>
      </c>
      <c r="B94" t="inlineStr">
        <is>
          <t>30.0</t>
        </is>
      </c>
      <c r="D94" t="inlineStr">
        <is>
          <t>GLOBAL_CHECK, STOCKS_EXIT</t>
        </is>
      </c>
      <c r="E94">
        <f>IF(G125="",E124,IF(G125&gt;0,E124+G125,E124))</f>
        <v/>
      </c>
      <c r="G94">
        <f>IFERROR(VLOOKUP($A144&amp;"_"&amp;$B144,Results_Deltas!$A$2:$P$15000,5,FALSE),"")</f>
        <v/>
      </c>
      <c r="H94" t="inlineStr">
        <is>
          <t>Blanket (page end)</t>
        </is>
      </c>
      <c r="L94" t="inlineStr">
        <is>
          <t>YES</t>
        </is>
      </c>
      <c r="M94" t="n">
        <v>27</v>
      </c>
      <c r="N94" t="n">
        <v>0</v>
      </c>
    </row>
    <row r="95" ht="15.75" customHeight="1" s="67">
      <c r="A95" t="inlineStr">
        <is>
          <t>MOVER_THRESHOLD</t>
        </is>
      </c>
      <c r="B95" t="inlineStr">
        <is>
          <t>6.25</t>
        </is>
      </c>
      <c r="D95" t="inlineStr">
        <is>
          <t>ENTRY, GLOBAL_CHECK, STOCKS_EXIT</t>
        </is>
      </c>
      <c r="E95">
        <f>IF(G145="",E144,IF(G145&gt;0,E144+G145,E144))</f>
        <v/>
      </c>
      <c r="G95">
        <f>IFERROR(VLOOKUP($A164&amp;"_"&amp;$B164,Results_Deltas!$A$2:$P$15000,5,FALSE),"")</f>
        <v/>
      </c>
      <c r="H95" t="inlineStr">
        <is>
          <t>Blanket (page end)</t>
        </is>
      </c>
      <c r="L95" t="inlineStr">
        <is>
          <t>NO</t>
        </is>
      </c>
      <c r="M95" t="n">
        <v>26</v>
      </c>
      <c r="N95" t="n">
        <v>0</v>
      </c>
    </row>
    <row r="96" ht="15.75" customHeight="1" s="67">
      <c r="A96" t="inlineStr">
        <is>
          <t>NEWBORN_LOSS_KILL_GAIN_THRESHOLD_PCT</t>
        </is>
      </c>
      <c r="B96" t="inlineStr">
        <is>
          <t>1.0</t>
        </is>
      </c>
      <c r="D96" t="inlineStr">
        <is>
          <t>AUGMENT, EXIT, GLOBAL_CHECK, REDUCE, STOCKS_EXIT</t>
        </is>
      </c>
      <c r="E96">
        <f>IF(G164="",E163,IF(G164&gt;0,E163+G164,E163))</f>
        <v/>
      </c>
      <c r="G96">
        <f>IFERROR(VLOOKUP($A183&amp;"_"&amp;$B183,Results_Deltas!$A$2:$P$15000,5,FALSE),"")</f>
        <v/>
      </c>
      <c r="H96" t="inlineStr">
        <is>
          <t>Blanket (page end)</t>
        </is>
      </c>
      <c r="L96" t="inlineStr">
        <is>
          <t>NO</t>
        </is>
      </c>
      <c r="M96" t="n">
        <v>22</v>
      </c>
      <c r="N96" t="n">
        <v>0</v>
      </c>
    </row>
    <row r="97" ht="15.75" customHeight="1" s="67">
      <c r="A97" t="inlineStr">
        <is>
          <t>FG_FEAR_THRESHOLD</t>
        </is>
      </c>
      <c r="B97" t="inlineStr">
        <is>
          <t>12.5</t>
        </is>
      </c>
      <c r="D97" t="inlineStr">
        <is>
          <t>GLOBAL_CHECK, STOCKS_EXIT</t>
        </is>
      </c>
      <c r="E97">
        <f>IF(G60="",E59,IF(G60&gt;0,E59+G60,E59))</f>
        <v/>
      </c>
      <c r="G97">
        <f>IFERROR(VLOOKUP($A79&amp;"_"&amp;$B79,Results_Deltas!$A$2:$P$15000,5,FALSE),"")</f>
        <v/>
      </c>
      <c r="H97" t="inlineStr">
        <is>
          <t>Blanket (page end)</t>
        </is>
      </c>
      <c r="L97" t="inlineStr">
        <is>
          <t>NO</t>
        </is>
      </c>
      <c r="M97" t="n">
        <v>27</v>
      </c>
      <c r="N97" t="n">
        <v>0</v>
      </c>
    </row>
    <row r="98" ht="15.75" customHeight="1" s="67">
      <c r="A98" t="inlineStr">
        <is>
          <t>NEWBORN_LOSS_KILL_GAIN_THRESHOLD_PCT</t>
        </is>
      </c>
      <c r="B98" t="inlineStr">
        <is>
          <t>0.5</t>
        </is>
      </c>
      <c r="D98" t="inlineStr">
        <is>
          <t>AUGMENT, EXIT, GLOBAL_CHECK, REDUCE, STOCKS_EXIT</t>
        </is>
      </c>
      <c r="E98">
        <f>IF(G165="",E164,IF(G165&gt;0,E164+G165,E164))</f>
        <v/>
      </c>
      <c r="G98">
        <f>IFERROR(VLOOKUP($A184&amp;"_"&amp;$B184,Results_Deltas!$A$2:$P$15000,5,FALSE),"")</f>
        <v/>
      </c>
      <c r="H98" t="inlineStr">
        <is>
          <t>Blanket (page end)</t>
        </is>
      </c>
      <c r="L98" t="inlineStr">
        <is>
          <t>NO</t>
        </is>
      </c>
      <c r="M98" t="n">
        <v>22</v>
      </c>
      <c r="N98" t="n">
        <v>0</v>
      </c>
    </row>
    <row r="99" ht="15.75" customHeight="1" s="67">
      <c r="A99" t="inlineStr">
        <is>
          <t>LIVE_VEC_EMERGENCY_BRAKE_ENABLED</t>
        </is>
      </c>
      <c r="B99" t="inlineStr">
        <is>
          <t>True</t>
        </is>
      </c>
      <c r="D99" t="inlineStr">
        <is>
          <t>GLOBAL_CHECK, STOCKS_EXIT</t>
        </is>
      </c>
      <c r="E99">
        <f>IF(G124="",E123,IF(G124&gt;0,E123+G124,E123))</f>
        <v/>
      </c>
      <c r="G99">
        <f>IFERROR(VLOOKUP($A143&amp;"_"&amp;$B143,Results_Deltas!$A$2:$P$15000,5,FALSE),"")</f>
        <v/>
      </c>
      <c r="H99" t="inlineStr">
        <is>
          <t>Blanket (page end)</t>
        </is>
      </c>
      <c r="L99" t="inlineStr">
        <is>
          <t>NO</t>
        </is>
      </c>
      <c r="M99" t="n">
        <v>23</v>
      </c>
      <c r="N99" t="n">
        <v>0</v>
      </c>
    </row>
    <row r="100" ht="15.75" customHeight="1" s="67">
      <c r="A100" t="inlineStr">
        <is>
          <t>DC_MOMENT_STRONG_THRESHOLD</t>
        </is>
      </c>
      <c r="B100" t="inlineStr">
        <is>
          <t>20</t>
        </is>
      </c>
      <c r="D100" t="inlineStr">
        <is>
          <t>ENTRY, GLOBAL_CHECK, STOCKS_EXIT</t>
        </is>
      </c>
      <c r="E100">
        <f>IF(G35="",E34,IF(G35&gt;0,E34+G35,E34))</f>
        <v/>
      </c>
      <c r="G100">
        <f>IFERROR(VLOOKUP($A54&amp;"_"&amp;$B54,Results_Deltas!$A$2:$P$15000,5,FALSE),"")</f>
        <v/>
      </c>
      <c r="H100" t="inlineStr">
        <is>
          <t>Blanket (page end)</t>
        </is>
      </c>
      <c r="L100" t="inlineStr">
        <is>
          <t>NO</t>
        </is>
      </c>
      <c r="M100" t="n">
        <v>27</v>
      </c>
      <c r="N100" t="n">
        <v>0</v>
      </c>
    </row>
    <row r="101" ht="15.75" customHeight="1" s="67">
      <c r="A101" t="inlineStr">
        <is>
          <t>MANDATORY_REENTRY_WT_FILTER_MIN_TFS</t>
        </is>
      </c>
      <c r="B101" t="inlineStr">
        <is>
          <t>3</t>
        </is>
      </c>
      <c r="D101" t="inlineStr">
        <is>
          <t>GLOBAL_CHECK, STOCKS_EXIT</t>
        </is>
      </c>
      <c r="E101">
        <f>IF(G132="",E131,IF(G132&gt;0,E131+G132,E131))</f>
        <v/>
      </c>
      <c r="G101">
        <f>IFERROR(VLOOKUP($A151&amp;"_"&amp;$B151,Results_Deltas!$A$2:$P$15000,5,FALSE),"")</f>
        <v/>
      </c>
      <c r="H101" t="inlineStr">
        <is>
          <t>Blanket (page end)</t>
        </is>
      </c>
      <c r="L101" t="inlineStr">
        <is>
          <t>NO</t>
        </is>
      </c>
      <c r="M101" t="n">
        <v>26</v>
      </c>
      <c r="N101" t="n">
        <v>0</v>
      </c>
    </row>
    <row r="102" ht="15.75" customHeight="1" s="67">
      <c r="A102" t="inlineStr">
        <is>
          <t>GR_FILTER_VEC_MIN_TFS</t>
        </is>
      </c>
      <c r="B102" t="inlineStr">
        <is>
          <t>2</t>
        </is>
      </c>
      <c r="D102" t="inlineStr">
        <is>
          <t>GLOBAL_CHECK</t>
        </is>
      </c>
      <c r="E102">
        <f>IF(G83="",E82,IF(G83&gt;0,E82+G83,E82))</f>
        <v/>
      </c>
      <c r="G102">
        <f>IFERROR(VLOOKUP($A102&amp;"_"&amp;$B102,Results_Deltas!$A$2:$P$15000,5,FALSE),"")</f>
        <v/>
      </c>
      <c r="H102" t="inlineStr">
        <is>
          <t>Blanket (page end)</t>
        </is>
      </c>
      <c r="L102" t="inlineStr">
        <is>
          <t>YES</t>
        </is>
      </c>
      <c r="M102" t="n">
        <v>3</v>
      </c>
      <c r="N102" t="n">
        <v>0</v>
      </c>
    </row>
    <row r="103" ht="15.75" customHeight="1" s="67">
      <c r="A103" t="inlineStr">
        <is>
          <t>NEW_POSITION_MAX_LOSS_THRESHOLD</t>
        </is>
      </c>
      <c r="B103" t="inlineStr">
        <is>
          <t>1.0</t>
        </is>
      </c>
      <c r="D103" t="inlineStr">
        <is>
          <t>AUGMENT, EXIT, GLOBAL_CHECK, REDUCE, STOCKS_EXIT</t>
        </is>
      </c>
      <c r="E103">
        <f>IF(G170="",E169,IF(G170&gt;0,E169+G170,E169))</f>
        <v/>
      </c>
      <c r="G103">
        <f>IFERROR(VLOOKUP($A189&amp;"_"&amp;$B189,Results_Deltas!$A$2:$P$15000,5,FALSE),"")</f>
        <v/>
      </c>
      <c r="H103" t="inlineStr">
        <is>
          <t>Blanket (page end)</t>
        </is>
      </c>
      <c r="L103" t="inlineStr">
        <is>
          <t>NO</t>
        </is>
      </c>
      <c r="M103" t="n">
        <v>26</v>
      </c>
      <c r="N103" t="n">
        <v>0</v>
      </c>
    </row>
    <row r="104" ht="15.75" customHeight="1" s="67">
      <c r="A104" t="inlineStr">
        <is>
          <t>EMA_9_21_FILTER_MIN_TFS</t>
        </is>
      </c>
      <c r="B104" t="inlineStr">
        <is>
          <t>1</t>
        </is>
      </c>
      <c r="D104" t="inlineStr">
        <is>
          <t>GLOBAL_CHECK</t>
        </is>
      </c>
      <c r="E104">
        <f>IF(G47="",E46,IF(G47&gt;0,E46+G47,E46))</f>
        <v/>
      </c>
      <c r="G104">
        <f>IFERROR(VLOOKUP($A66&amp;"_"&amp;$B66,Results_Deltas!$A$2:$P$15000,5,FALSE),"")</f>
        <v/>
      </c>
      <c r="H104" t="inlineStr">
        <is>
          <t>Blanket (page end)</t>
        </is>
      </c>
      <c r="L104" t="inlineStr">
        <is>
          <t>NO</t>
        </is>
      </c>
      <c r="M104" t="n">
        <v>3</v>
      </c>
      <c r="N104" t="n">
        <v>0</v>
      </c>
    </row>
    <row r="105" ht="15.75" customHeight="1" s="67">
      <c r="A105" t="inlineStr">
        <is>
          <t>OI_CONFIRM_MIN_PRICE_PCT</t>
        </is>
      </c>
      <c r="B105" t="inlineStr">
        <is>
          <t>0</t>
        </is>
      </c>
      <c r="D105" t="inlineStr">
        <is>
          <t>ENTRY, GLOBAL_CHECK, STOCKS_EXIT</t>
        </is>
      </c>
      <c r="E105">
        <f>IF(G178="",E177,IF(G178&gt;0,E177+G178,E177))</f>
        <v/>
      </c>
      <c r="G105">
        <f>IFERROR(VLOOKUP($A197&amp;"_"&amp;$B197,Results_Deltas!$A$2:$P$15000,5,FALSE),"")</f>
        <v/>
      </c>
      <c r="H105" t="inlineStr">
        <is>
          <t>Blanket (page end)</t>
        </is>
      </c>
      <c r="L105" t="inlineStr">
        <is>
          <t>NO</t>
        </is>
      </c>
      <c r="M105" t="n">
        <v>24</v>
      </c>
      <c r="N105" t="n">
        <v>0</v>
      </c>
    </row>
    <row r="106" ht="15.75" customHeight="1" s="67">
      <c r="A106" t="inlineStr">
        <is>
          <t>CRYPTO_SPIKE_FADE_THRESHOLD_PCT</t>
        </is>
      </c>
      <c r="B106" t="inlineStr">
        <is>
          <t>10</t>
        </is>
      </c>
      <c r="D106" t="inlineStr">
        <is>
          <t>GLOBAL_CHECK, STOCKS_EXIT</t>
        </is>
      </c>
      <c r="E106">
        <f>IF(G28="",E27,IF(G28&gt;0,E27+G28,E27))</f>
        <v/>
      </c>
      <c r="G106">
        <f>IFERROR(VLOOKUP($A47&amp;"_"&amp;$B47,Results_Deltas!$A$2:$P$15000,5,FALSE),"")</f>
        <v/>
      </c>
      <c r="H106" t="inlineStr">
        <is>
          <t>Blanket (page end)</t>
        </is>
      </c>
      <c r="L106" t="inlineStr">
        <is>
          <t>YES</t>
        </is>
      </c>
      <c r="M106" t="n">
        <v>23</v>
      </c>
      <c r="N106" t="n">
        <v>0</v>
      </c>
    </row>
    <row r="107" ht="15.75" customHeight="1" s="67">
      <c r="A107" t="inlineStr">
        <is>
          <t>OI_CONFIRM_MIN_CHANGE_PCT</t>
        </is>
      </c>
      <c r="B107" t="inlineStr">
        <is>
          <t>0.5</t>
        </is>
      </c>
      <c r="D107" t="inlineStr">
        <is>
          <t>ENTRY, GLOBAL_CHECK, STOCKS_EXIT</t>
        </is>
      </c>
      <c r="E107">
        <f>IF(G177="",E176,IF(G177&gt;0,E176+G177,E176))</f>
        <v/>
      </c>
      <c r="G107">
        <f>IFERROR(VLOOKUP($A196&amp;"_"&amp;$B196,Results_Deltas!$A$2:$P$15000,5,FALSE),"")</f>
        <v/>
      </c>
      <c r="H107" t="inlineStr">
        <is>
          <t>Blanket (page end)</t>
        </is>
      </c>
      <c r="L107" t="inlineStr">
        <is>
          <t>YES</t>
        </is>
      </c>
      <c r="M107" t="n">
        <v>26</v>
      </c>
      <c r="N107" t="n">
        <v>0</v>
      </c>
    </row>
    <row r="108" ht="15.75" customHeight="1" s="67">
      <c r="A108" t="inlineStr">
        <is>
          <t>CRYPTO_SPIKE_FADE_THRESHOLD_PCT</t>
        </is>
      </c>
      <c r="B108" t="inlineStr">
        <is>
          <t>5</t>
        </is>
      </c>
      <c r="D108" t="inlineStr">
        <is>
          <t>GLOBAL_CHECK, STOCKS_EXIT</t>
        </is>
      </c>
      <c r="E108">
        <f>IF(G31="",E30,IF(G31&gt;0,E30+G31,E30))</f>
        <v/>
      </c>
      <c r="G108">
        <f>IFERROR(VLOOKUP($A50&amp;"_"&amp;$B50,Results_Deltas!$A$2:$P$15000,5,FALSE),"")</f>
        <v/>
      </c>
      <c r="H108" t="inlineStr">
        <is>
          <t>Blanket (page end)</t>
        </is>
      </c>
      <c r="L108" t="inlineStr">
        <is>
          <t>NO</t>
        </is>
      </c>
      <c r="M108" t="n">
        <v>27</v>
      </c>
      <c r="N108" t="n">
        <v>0</v>
      </c>
    </row>
    <row r="109" ht="15.75" customHeight="1" s="67">
      <c r="A109" t="inlineStr">
        <is>
          <t>EMA_BLANKET_FILTER_MIN_TFS</t>
        </is>
      </c>
      <c r="B109" t="inlineStr">
        <is>
          <t>1</t>
        </is>
      </c>
      <c r="D109" t="inlineStr">
        <is>
          <t>GLOBAL_CHECK</t>
        </is>
      </c>
      <c r="E109">
        <f>IF(G52="",E51,IF(G52&gt;0,E51+G52,E51))</f>
        <v/>
      </c>
      <c r="G109">
        <f>IFERROR(VLOOKUP($A71&amp;"_"&amp;$B71,Results_Deltas!$A$2:$P$15000,5,FALSE),"")</f>
        <v/>
      </c>
      <c r="H109" t="inlineStr">
        <is>
          <t>Blanket (page end)</t>
        </is>
      </c>
      <c r="L109" t="inlineStr">
        <is>
          <t>NO</t>
        </is>
      </c>
      <c r="M109" t="n">
        <v>3</v>
      </c>
      <c r="N109" t="n">
        <v>0</v>
      </c>
    </row>
    <row r="110" ht="15.75" customHeight="1" s="67">
      <c r="A110" t="inlineStr">
        <is>
          <t>NEW_POSITION_MAX_LOSS_THRESHOLD</t>
        </is>
      </c>
      <c r="B110" t="inlineStr">
        <is>
          <t>0.5</t>
        </is>
      </c>
      <c r="D110" t="inlineStr">
        <is>
          <t>AUGMENT, EXIT, GLOBAL_CHECK, REDUCE, STOCKS_EXIT</t>
        </is>
      </c>
      <c r="E110">
        <f>IF(G171="",E170,IF(G171&gt;0,E170+G171,E170))</f>
        <v/>
      </c>
      <c r="G110">
        <f>IFERROR(VLOOKUP($A190&amp;"_"&amp;$B190,Results_Deltas!$A$2:$P$15000,5,FALSE),"")</f>
        <v/>
      </c>
      <c r="H110" t="inlineStr">
        <is>
          <t>Blanket (page end)</t>
        </is>
      </c>
      <c r="L110" t="inlineStr">
        <is>
          <t>NO</t>
        </is>
      </c>
      <c r="M110" t="n">
        <v>26</v>
      </c>
      <c r="N110" t="n">
        <v>0</v>
      </c>
    </row>
    <row r="111" ht="15.75" customHeight="1" s="67">
      <c r="A111" t="inlineStr">
        <is>
          <t>LR_BAND_LADDER_TF_TOP</t>
        </is>
      </c>
      <c r="B111" t="inlineStr">
        <is>
          <t>0</t>
        </is>
      </c>
      <c r="D111" t="inlineStr">
        <is>
          <t>GLOBAL_CHECK, STOCKS_EXIT</t>
        </is>
      </c>
      <c r="E111">
        <f>IF(G129="",E128,IF(G129&gt;0,E128+G129,E128))</f>
        <v/>
      </c>
      <c r="G111">
        <f>IFERROR(VLOOKUP($A148&amp;"_"&amp;$B148,Results_Deltas!$A$2:$P$15000,5,FALSE),"")</f>
        <v/>
      </c>
      <c r="H111" t="inlineStr">
        <is>
          <t>Blanket (page end)</t>
        </is>
      </c>
      <c r="L111" t="inlineStr">
        <is>
          <t>NO</t>
        </is>
      </c>
      <c r="M111" t="n">
        <v>23</v>
      </c>
      <c r="N111" t="n">
        <v>0</v>
      </c>
    </row>
    <row r="112" ht="15.75" customHeight="1" s="67">
      <c r="A112" t="inlineStr">
        <is>
          <t>NEWBORN_LOSS_KILL_GAIN_THRESHOLD_PCT</t>
        </is>
      </c>
      <c r="B112" t="inlineStr">
        <is>
          <t>2.0</t>
        </is>
      </c>
      <c r="D112" t="inlineStr">
        <is>
          <t>AUGMENT, EXIT, GLOBAL_CHECK, REDUCE, STOCKS_EXIT</t>
        </is>
      </c>
      <c r="E112">
        <f>IF(G163="",E162,IF(G163&gt;0,E162+G163,E162))</f>
        <v/>
      </c>
      <c r="G112">
        <f>IFERROR(VLOOKUP($A182&amp;"_"&amp;$B182,Results_Deltas!$A$2:$P$15000,5,FALSE),"")</f>
        <v/>
      </c>
      <c r="H112" t="inlineStr">
        <is>
          <t>Blanket (page end)</t>
        </is>
      </c>
      <c r="L112" t="inlineStr">
        <is>
          <t>NO</t>
        </is>
      </c>
      <c r="M112" t="n">
        <v>24</v>
      </c>
      <c r="N112" t="n">
        <v>0</v>
      </c>
    </row>
    <row r="113" ht="15.75" customHeight="1" s="67">
      <c r="A113" t="inlineStr">
        <is>
          <t>HTF_TREND_VETO_BYPASS_ENABLED</t>
        </is>
      </c>
      <c r="B113" t="inlineStr">
        <is>
          <t>True</t>
        </is>
      </c>
      <c r="D113" t="inlineStr">
        <is>
          <t>GLOBAL_CHECK, STOCKS_EXIT</t>
        </is>
      </c>
      <c r="E113">
        <f>IF(G112="",E111,IF(G112&gt;0,E111+G112,E111))</f>
        <v/>
      </c>
      <c r="G113">
        <f>IFERROR(VLOOKUP($A131&amp;"_"&amp;$B131,Results_Deltas!$A$2:$P$15000,5,FALSE),"")</f>
        <v/>
      </c>
      <c r="H113" t="inlineStr">
        <is>
          <t>Blanket (page end)</t>
        </is>
      </c>
      <c r="L113" t="inlineStr">
        <is>
          <t>YES</t>
        </is>
      </c>
      <c r="M113" t="n">
        <v>27</v>
      </c>
      <c r="N113" t="n">
        <v>0</v>
      </c>
    </row>
    <row r="114" ht="15.75" customHeight="1" s="67">
      <c r="A114" t="inlineStr">
        <is>
          <t>LR_BAND_LADDER_TF_BOTTOM</t>
        </is>
      </c>
      <c r="B114" t="inlineStr">
        <is>
          <t>0</t>
        </is>
      </c>
      <c r="D114" t="inlineStr">
        <is>
          <t>GLOBAL_CHECK, STOCKS_EXIT</t>
        </is>
      </c>
      <c r="E114">
        <f>IF(G127="",E126,IF(G127&gt;0,E126+G127,E126))</f>
        <v/>
      </c>
      <c r="G114">
        <f>IFERROR(VLOOKUP($A146&amp;"_"&amp;$B146,Results_Deltas!$A$2:$P$15000,5,FALSE),"")</f>
        <v/>
      </c>
      <c r="H114" t="inlineStr">
        <is>
          <t>Blanket (page end)</t>
        </is>
      </c>
      <c r="L114" t="inlineStr">
        <is>
          <t>NO</t>
        </is>
      </c>
      <c r="M114" t="n">
        <v>26</v>
      </c>
      <c r="N114" t="n">
        <v>0</v>
      </c>
    </row>
    <row r="115" ht="10.5" customHeight="1" s="67">
      <c r="A115" t="inlineStr">
        <is>
          <t>BTC_ACCEL_RAMP_REQUIRE_POSITIVE</t>
        </is>
      </c>
      <c r="B115" t="inlineStr">
        <is>
          <t>0.0</t>
        </is>
      </c>
      <c r="D115" t="inlineStr">
        <is>
          <t>UNIVERSAL (ex-BTC) — ENTRY/EXIT/REENTRY</t>
        </is>
      </c>
      <c r="E115">
        <f>IF(G17="",E16,IF(G17&gt;0,E16+G17,E16))</f>
        <v/>
      </c>
      <c r="G115">
        <f>IFERROR(VLOOKUP($A36&amp;"_"&amp;$B36,Results_Deltas!$A$2:$P$15000,5,FALSE),"")</f>
        <v/>
      </c>
      <c r="H115" t="inlineStr">
        <is>
          <t>Blanket (page end)</t>
        </is>
      </c>
      <c r="L115" t="inlineStr">
        <is>
          <t>NO</t>
        </is>
      </c>
      <c r="M115" t="n">
        <v>24</v>
      </c>
      <c r="N115" t="n">
        <v>0</v>
      </c>
    </row>
    <row r="116" ht="10.5" customHeight="1" s="67">
      <c r="A116" t="inlineStr">
        <is>
          <t>BTC_ACCEL_RAMP_REQUIRE_POSITIVE</t>
        </is>
      </c>
      <c r="B116" t="inlineStr">
        <is>
          <t>0.0_ALT</t>
        </is>
      </c>
      <c r="D116" t="inlineStr">
        <is>
          <t>UNIVERSAL (ex-BTC) — ENTRY/EXIT/REENTRY</t>
        </is>
      </c>
      <c r="E116">
        <f>IF(G18="",E17,IF(G18&gt;0,E17+G18,E17))</f>
        <v/>
      </c>
      <c r="G116">
        <f>IFERROR(VLOOKUP($A37&amp;"_"&amp;$B37,Results_Deltas!$A$2:$P$15000,5,FALSE),"")</f>
        <v/>
      </c>
      <c r="H116" t="inlineStr">
        <is>
          <t>Blanket (page end)</t>
        </is>
      </c>
      <c r="L116" t="inlineStr">
        <is>
          <t>NO</t>
        </is>
      </c>
      <c r="M116" t="n">
        <v>24</v>
      </c>
      <c r="N116" t="n">
        <v>0</v>
      </c>
    </row>
    <row r="117" ht="15.75" customHeight="1" s="67">
      <c r="A117" t="inlineStr">
        <is>
          <t>HTF4_CONF</t>
        </is>
      </c>
      <c r="B117" t="inlineStr">
        <is>
          <t>False_ALT</t>
        </is>
      </c>
      <c r="D117" t="inlineStr">
        <is>
          <t>GLOBAL_CHECK, STOCKS_EXIT</t>
        </is>
      </c>
      <c r="E117">
        <f>IF(G102="",E101,IF(G102&gt;0,E101+G102,E101))</f>
        <v/>
      </c>
      <c r="G117">
        <f>IFERROR(VLOOKUP($A121&amp;"_"&amp;$B121,Results_Deltas!$A$2:$P$15000,5,FALSE),"")</f>
        <v/>
      </c>
      <c r="H117" t="inlineStr">
        <is>
          <t>Blanket (page end)</t>
        </is>
      </c>
      <c r="L117" t="inlineStr">
        <is>
          <t>NO</t>
        </is>
      </c>
      <c r="M117" t="n">
        <v>24</v>
      </c>
      <c r="N117" t="n">
        <v>0</v>
      </c>
    </row>
    <row r="118" ht="10.5" customHeight="1" s="67">
      <c r="A118" t="inlineStr">
        <is>
          <t>BTC_HARD_BLOCK_OTHER_ACCOUNTS</t>
        </is>
      </c>
      <c r="B118" t="inlineStr">
        <is>
          <t>0.0</t>
        </is>
      </c>
      <c r="D118" t="inlineStr">
        <is>
          <t>UNIVERSAL (ex-BTC) — ENTRY/EXIT/REENTRY</t>
        </is>
      </c>
      <c r="E118">
        <f>IF(G19="",E18,IF(G19&gt;0,E18+G19,E18))</f>
        <v/>
      </c>
      <c r="G118">
        <f>IFERROR(VLOOKUP($A38&amp;"_"&amp;$B38,Results_Deltas!$A$2:$P$15000,5,FALSE),"")</f>
        <v/>
      </c>
      <c r="H118" t="inlineStr">
        <is>
          <t>Blanket (page end)</t>
        </is>
      </c>
      <c r="L118" t="inlineStr">
        <is>
          <t>NO</t>
        </is>
      </c>
      <c r="M118" t="n">
        <v>24</v>
      </c>
      <c r="N118" t="n">
        <v>0</v>
      </c>
    </row>
    <row r="119" ht="10.5" customHeight="1" s="67">
      <c r="A119" t="inlineStr">
        <is>
          <t>BTC_HARD_BLOCK_OTHER_ACCOUNTS</t>
        </is>
      </c>
      <c r="B119" t="inlineStr">
        <is>
          <t>0.0_ALT</t>
        </is>
      </c>
      <c r="D119" t="inlineStr">
        <is>
          <t>UNIVERSAL (ex-BTC) — ENTRY/EXIT/REENTRY</t>
        </is>
      </c>
      <c r="E119">
        <f>IF(G20="",E19,IF(G20&gt;0,E19+G20,E19))</f>
        <v/>
      </c>
      <c r="G119">
        <f>IFERROR(VLOOKUP($A39&amp;"_"&amp;$B39,Results_Deltas!$A$2:$P$15000,5,FALSE),"")</f>
        <v/>
      </c>
      <c r="H119" t="inlineStr">
        <is>
          <t>Blanket (page end)</t>
        </is>
      </c>
      <c r="L119" t="inlineStr">
        <is>
          <t>NO</t>
        </is>
      </c>
      <c r="M119" t="n">
        <v>24</v>
      </c>
      <c r="N119" t="n">
        <v>0</v>
      </c>
    </row>
    <row r="120" ht="10.5" customHeight="1" s="67">
      <c r="A120" t="inlineStr">
        <is>
          <t>BTC_ROUND_BANDS_EACH_SIDE</t>
        </is>
      </c>
      <c r="B120" t="inlineStr">
        <is>
          <t>0.0</t>
        </is>
      </c>
      <c r="D120" t="inlineStr">
        <is>
          <t>UNIVERSAL (ex-BTC) — ENTRY/EXIT/REENTRY</t>
        </is>
      </c>
      <c r="E120">
        <f>IF(G21="",E20,IF(G21&gt;0,E20+G21,E20))</f>
        <v/>
      </c>
      <c r="G120">
        <f>IFERROR(VLOOKUP($A40&amp;"_"&amp;$B40,Results_Deltas!$A$2:$P$15000,5,FALSE),"")</f>
        <v/>
      </c>
      <c r="H120" t="inlineStr">
        <is>
          <t>Blanket (page end)</t>
        </is>
      </c>
      <c r="L120" t="inlineStr">
        <is>
          <t>NO</t>
        </is>
      </c>
      <c r="M120" t="n">
        <v>24</v>
      </c>
      <c r="N120" t="n">
        <v>0</v>
      </c>
    </row>
    <row r="121" ht="10.5" customHeight="1" s="67">
      <c r="A121" t="inlineStr">
        <is>
          <t>BTC_ROUND_BANDS_EACH_SIDE</t>
        </is>
      </c>
      <c r="B121" t="inlineStr">
        <is>
          <t>0.0_ALT</t>
        </is>
      </c>
      <c r="D121" t="inlineStr">
        <is>
          <t>UNIVERSAL (ex-BTC) — ENTRY/EXIT/REENTRY</t>
        </is>
      </c>
      <c r="E121">
        <f>IF(G22="",E21,IF(G22&gt;0,E21+G22,E21))</f>
        <v/>
      </c>
      <c r="G121">
        <f>IFERROR(VLOOKUP($A41&amp;"_"&amp;$B41,Results_Deltas!$A$2:$P$15000,5,FALSE),"")</f>
        <v/>
      </c>
      <c r="H121" t="inlineStr">
        <is>
          <t>Blanket (page end)</t>
        </is>
      </c>
      <c r="L121" t="inlineStr">
        <is>
          <t>NO</t>
        </is>
      </c>
      <c r="M121" t="n">
        <v>24</v>
      </c>
      <c r="N121" t="n">
        <v>0</v>
      </c>
    </row>
    <row r="122" ht="15.75" customHeight="1" s="67">
      <c r="A122" t="inlineStr">
        <is>
          <t>LH_HL_FILTER_REQUIRE_BOTH</t>
        </is>
      </c>
      <c r="B122" t="inlineStr">
        <is>
          <t>False_ALT</t>
        </is>
      </c>
      <c r="D122" t="inlineStr">
        <is>
          <t>ENTRY, GLOBAL_CHECK, STOCKS_EXIT</t>
        </is>
      </c>
      <c r="E122">
        <f>IF(G122="",E121,IF(G122&gt;0,E121+G122,E121))</f>
        <v/>
      </c>
      <c r="G122">
        <f>IFERROR(VLOOKUP($A141&amp;"_"&amp;$B141,Results_Deltas!$A$2:$P$15000,5,FALSE),"")</f>
        <v/>
      </c>
      <c r="H122" t="inlineStr">
        <is>
          <t>Blanket (page end)</t>
        </is>
      </c>
      <c r="L122" t="inlineStr">
        <is>
          <t>NO</t>
        </is>
      </c>
      <c r="M122" t="n">
        <v>24</v>
      </c>
      <c r="N122" t="n">
        <v>0</v>
      </c>
    </row>
    <row r="123" ht="15.75" customHeight="1" s="67">
      <c r="A123" t="inlineStr">
        <is>
          <t>GR_FILTER_VEC_MIN_TFS</t>
        </is>
      </c>
      <c r="B123" t="inlineStr">
        <is>
          <t>0</t>
        </is>
      </c>
      <c r="D123" t="inlineStr">
        <is>
          <t>GLOBAL_CHECK</t>
        </is>
      </c>
      <c r="E123">
        <f>IF(G82="",E81,IF(G82&gt;0,E81+G82,E81))</f>
        <v/>
      </c>
      <c r="G123">
        <f>IFERROR(VLOOKUP($A101&amp;"_"&amp;$B101,Results_Deltas!$A$2:$P$15000,5,FALSE),"")</f>
        <v/>
      </c>
      <c r="H123" t="inlineStr">
        <is>
          <t>Blanket (page end)</t>
        </is>
      </c>
      <c r="L123" t="inlineStr">
        <is>
          <t>NO</t>
        </is>
      </c>
      <c r="M123" t="n">
        <v>3</v>
      </c>
      <c r="N123" t="n">
        <v>0</v>
      </c>
    </row>
    <row r="124" ht="10.5" customHeight="1" s="67">
      <c r="A124" t="inlineStr">
        <is>
          <t>BANDAID_OFF_LOSER_RECOVER_PCT</t>
        </is>
      </c>
      <c r="B124" t="inlineStr">
        <is>
          <t>0</t>
        </is>
      </c>
      <c r="D124" t="inlineStr">
        <is>
          <t>AUGMENT, ENTRY, EXIT, GLOBAL_CHECK, REDUCE, STOCKS_EXIT</t>
        </is>
      </c>
      <c r="E124">
        <f>IF(G11="",E10,IF(G11&gt;0,E10+G11,E10))</f>
        <v/>
      </c>
      <c r="G124">
        <f>IFERROR(VLOOKUP($A30&amp;"_"&amp;$B30,Results_Deltas!$A$2:$P$15000,5,FALSE),"")</f>
        <v/>
      </c>
      <c r="H124" t="inlineStr">
        <is>
          <t>Blanket (page end)</t>
        </is>
      </c>
      <c r="L124" t="inlineStr">
        <is>
          <t>NO</t>
        </is>
      </c>
      <c r="M124" t="n">
        <v>24</v>
      </c>
      <c r="N124" t="n">
        <v>0</v>
      </c>
    </row>
    <row r="125" ht="15.75" customHeight="1" s="67">
      <c r="A125" t="inlineStr">
        <is>
          <t>LEADERBOARD_FILTER</t>
        </is>
      </c>
      <c r="B125" t="inlineStr">
        <is>
          <t>False_ALT</t>
        </is>
      </c>
      <c r="D125" t="inlineStr">
        <is>
          <t>AUGMENT, ENTRY, EXIT, GLOBAL_CHECK, REDUCE, STOCKS_EXIT</t>
        </is>
      </c>
      <c r="E125">
        <f>IF(G116="",E115,IF(G116&gt;0,E115+G116,E115))</f>
        <v/>
      </c>
      <c r="G125">
        <f>IFERROR(VLOOKUP($A135&amp;"_"&amp;$B135,Results_Deltas!$A$2:$P$15000,5,FALSE),"")</f>
        <v/>
      </c>
      <c r="H125" t="inlineStr">
        <is>
          <t>Blanket (page end)</t>
        </is>
      </c>
      <c r="L125" t="inlineStr">
        <is>
          <t>NO</t>
        </is>
      </c>
      <c r="M125" t="n">
        <v>24</v>
      </c>
      <c r="N125" t="n">
        <v>0</v>
      </c>
    </row>
    <row r="126" ht="15.75" customHeight="1" s="67">
      <c r="A126" t="inlineStr">
        <is>
          <t>FUNDING_GATE_LONG_MAX</t>
        </is>
      </c>
      <c r="B126" t="inlineStr">
        <is>
          <t>0.0</t>
        </is>
      </c>
      <c r="D126" t="inlineStr">
        <is>
          <t>ENTRY, GLOBAL_CHECK, STOCKS_EXIT</t>
        </is>
      </c>
      <c r="E126">
        <f>IF(G70="",E69,IF(G70&gt;0,E69+G70,E69))</f>
        <v/>
      </c>
      <c r="G126">
        <f>IFERROR(VLOOKUP($A89&amp;"_"&amp;$B89,Results_Deltas!$A$2:$P$15000,5,FALSE),"")</f>
        <v/>
      </c>
      <c r="H126" t="inlineStr">
        <is>
          <t>Blanket (page end)</t>
        </is>
      </c>
      <c r="L126" t="inlineStr">
        <is>
          <t>NO</t>
        </is>
      </c>
      <c r="M126" t="n">
        <v>24</v>
      </c>
      <c r="N126" t="n">
        <v>0</v>
      </c>
    </row>
    <row r="127" ht="15.75" customHeight="1" s="67">
      <c r="A127" t="inlineStr">
        <is>
          <t>FUNDING_GATE_LONG_MAX</t>
        </is>
      </c>
      <c r="B127" t="inlineStr">
        <is>
          <t>0.0_ALT</t>
        </is>
      </c>
      <c r="D127" t="inlineStr">
        <is>
          <t>ENTRY, GLOBAL_CHECK, STOCKS_EXIT</t>
        </is>
      </c>
      <c r="E127">
        <f>IF(G71="",E70,IF(G71&gt;0,E70+G71,E70))</f>
        <v/>
      </c>
      <c r="G127">
        <f>IFERROR(VLOOKUP($A90&amp;"_"&amp;$B90,Results_Deltas!$A$2:$P$15000,5,FALSE),"")</f>
        <v/>
      </c>
      <c r="H127" t="inlineStr">
        <is>
          <t>Blanket (page end)</t>
        </is>
      </c>
      <c r="L127" t="inlineStr">
        <is>
          <t>NO</t>
        </is>
      </c>
      <c r="M127" t="n">
        <v>24</v>
      </c>
      <c r="N127" t="n">
        <v>0</v>
      </c>
    </row>
    <row r="128" ht="15.75" customHeight="1" s="67">
      <c r="A128" t="inlineStr">
        <is>
          <t>FUNDING_GATE_MTF_REQUIRED</t>
        </is>
      </c>
      <c r="B128" t="inlineStr">
        <is>
          <t>0.0</t>
        </is>
      </c>
      <c r="D128" t="inlineStr">
        <is>
          <t>ENTRY, GLOBAL_CHECK, STOCKS_EXIT</t>
        </is>
      </c>
      <c r="E128">
        <f>IF(G72="",E71,IF(G72&gt;0,E71+G72,E71))</f>
        <v/>
      </c>
      <c r="G128">
        <f>IFERROR(VLOOKUP($A91&amp;"_"&amp;$B91,Results_Deltas!$A$2:$P$15000,5,FALSE),"")</f>
        <v/>
      </c>
      <c r="H128" t="inlineStr">
        <is>
          <t>Blanket (page end)</t>
        </is>
      </c>
      <c r="L128" t="inlineStr">
        <is>
          <t>NO</t>
        </is>
      </c>
      <c r="M128" t="n">
        <v>24</v>
      </c>
      <c r="N128" t="n">
        <v>0</v>
      </c>
    </row>
    <row r="129" ht="15.75" customHeight="1" s="67">
      <c r="A129" t="inlineStr">
        <is>
          <t>FUNDING_GATE_MTF_REQUIRED</t>
        </is>
      </c>
      <c r="B129" t="inlineStr">
        <is>
          <t>0.0_ALT</t>
        </is>
      </c>
      <c r="D129" t="inlineStr">
        <is>
          <t>ENTRY, GLOBAL_CHECK, STOCKS_EXIT</t>
        </is>
      </c>
      <c r="E129">
        <f>IF(G73="",E72,IF(G73&gt;0,E72+G73,E72))</f>
        <v/>
      </c>
      <c r="G129">
        <f>IFERROR(VLOOKUP($A92&amp;"_"&amp;$B92,Results_Deltas!$A$2:$P$15000,5,FALSE),"")</f>
        <v/>
      </c>
      <c r="H129" t="inlineStr">
        <is>
          <t>Blanket (page end)</t>
        </is>
      </c>
      <c r="L129" t="inlineStr">
        <is>
          <t>NO</t>
        </is>
      </c>
      <c r="M129" t="n">
        <v>24</v>
      </c>
      <c r="N129" t="n">
        <v>0</v>
      </c>
    </row>
    <row r="130" ht="15.75" customHeight="1" s="67">
      <c r="A130" t="inlineStr">
        <is>
          <t>FUNDING_GATE_SHORT_MIN</t>
        </is>
      </c>
      <c r="B130" t="inlineStr">
        <is>
          <t>0.0</t>
        </is>
      </c>
      <c r="D130" t="inlineStr">
        <is>
          <t>ENTRY, GLOBAL_CHECK, STOCKS_EXIT</t>
        </is>
      </c>
      <c r="E130">
        <f>IF(G74="",E73,IF(G74&gt;0,E73+G74,E73))</f>
        <v/>
      </c>
      <c r="G130">
        <f>IFERROR(VLOOKUP($A93&amp;"_"&amp;$B93,Results_Deltas!$A$2:$P$15000,5,FALSE),"")</f>
        <v/>
      </c>
      <c r="H130" t="inlineStr">
        <is>
          <t>Blanket (page end)</t>
        </is>
      </c>
      <c r="L130" t="inlineStr">
        <is>
          <t>NO</t>
        </is>
      </c>
      <c r="M130" t="n">
        <v>24</v>
      </c>
      <c r="N130" t="n">
        <v>0</v>
      </c>
    </row>
    <row r="131" ht="15.75" customHeight="1" s="67">
      <c r="A131" t="inlineStr">
        <is>
          <t>FUNDING_GATE_SHORT_MIN</t>
        </is>
      </c>
      <c r="B131" t="inlineStr">
        <is>
          <t>0.0_ALT</t>
        </is>
      </c>
      <c r="D131" t="inlineStr">
        <is>
          <t>ENTRY, GLOBAL_CHECK, STOCKS_EXIT</t>
        </is>
      </c>
      <c r="E131">
        <f>IF(G75="",E74,IF(G75&gt;0,E74+G75,E74))</f>
        <v/>
      </c>
      <c r="G131">
        <f>IFERROR(VLOOKUP($A94&amp;"_"&amp;$B94,Results_Deltas!$A$2:$P$15000,5,FALSE),"")</f>
        <v/>
      </c>
      <c r="H131" t="inlineStr">
        <is>
          <t>Blanket (page end)</t>
        </is>
      </c>
      <c r="L131" t="inlineStr">
        <is>
          <t>NO</t>
        </is>
      </c>
      <c r="M131" t="n">
        <v>24</v>
      </c>
      <c r="N131" t="n">
        <v>0</v>
      </c>
    </row>
    <row r="132" ht="10.5" customHeight="1" s="67">
      <c r="A132" t="inlineStr">
        <is>
          <t>ADX_RANGING_THRESHOLD</t>
        </is>
      </c>
      <c r="B132" t="inlineStr">
        <is>
          <t>20</t>
        </is>
      </c>
      <c r="D132" t="inlineStr">
        <is>
          <t>ENTRY, GLOBAL_CHECK, STOCKS_EXIT</t>
        </is>
      </c>
      <c r="E132">
        <f>IF(G7="",E6,IF(G7&gt;0,E6+G7,E6))</f>
        <v/>
      </c>
      <c r="G132">
        <f>IFERROR(VLOOKUP($A26&amp;"_"&amp;$B26,Results_Deltas!$A$2:$P$15000,5,FALSE),"")</f>
        <v/>
      </c>
      <c r="H132" t="inlineStr">
        <is>
          <t>Blanket (page end)</t>
        </is>
      </c>
      <c r="L132" t="inlineStr">
        <is>
          <t>NO</t>
        </is>
      </c>
      <c r="M132" t="n">
        <v>24</v>
      </c>
      <c r="N132" t="n">
        <v>0</v>
      </c>
    </row>
    <row r="133" ht="15.75" customHeight="1" s="67">
      <c r="A133" t="inlineStr">
        <is>
          <t>FUNDING_GATE_FILTER_TF</t>
        </is>
      </c>
      <c r="B133" t="inlineStr">
        <is>
          <t>15m</t>
        </is>
      </c>
      <c r="D133" t="inlineStr">
        <is>
          <t>GLOBAL_CHECK</t>
        </is>
      </c>
      <c r="E133">
        <f>IF(G69="",E68,IF(G69&gt;0,E68+G69,E68))</f>
        <v/>
      </c>
      <c r="G133">
        <f>IFERROR(VLOOKUP($A88&amp;"_"&amp;$B88,Results_Deltas!$A$2:$P$15000,5,FALSE),"")</f>
        <v/>
      </c>
      <c r="H133" t="inlineStr">
        <is>
          <t>Blanket (page end)</t>
        </is>
      </c>
      <c r="L133" t="inlineStr">
        <is>
          <t>YES</t>
        </is>
      </c>
      <c r="M133" t="n">
        <v>3</v>
      </c>
      <c r="N133" t="n">
        <v>0</v>
      </c>
    </row>
    <row r="134" ht="15.75" customHeight="1" s="67">
      <c r="A134" t="inlineStr">
        <is>
          <t>LH_HL_FILTER_REQUIRE_BOTH</t>
        </is>
      </c>
      <c r="B134" t="inlineStr">
        <is>
          <t>False</t>
        </is>
      </c>
      <c r="D134" t="inlineStr">
        <is>
          <t>ENTRY, GLOBAL_CHECK, STOCKS_EXIT</t>
        </is>
      </c>
      <c r="E134">
        <f>IF(G121="",E120,IF(G121&gt;0,E120+G121,E120))</f>
        <v/>
      </c>
      <c r="G134">
        <f>IFERROR(VLOOKUP($A140&amp;"_"&amp;$B140,Results_Deltas!$A$2:$P$15000,5,FALSE),"")</f>
        <v/>
      </c>
      <c r="H134" t="inlineStr">
        <is>
          <t>Blanket (page end)</t>
        </is>
      </c>
      <c r="L134" t="inlineStr">
        <is>
          <t>YES</t>
        </is>
      </c>
      <c r="M134" t="n">
        <v>9</v>
      </c>
      <c r="N134" t="n">
        <v>0</v>
      </c>
    </row>
    <row r="135" ht="15.75" customHeight="1" s="67">
      <c r="A135" t="inlineStr">
        <is>
          <t>HTF_GATE_MIN_CONFIRMATIONS</t>
        </is>
      </c>
      <c r="B135" t="inlineStr">
        <is>
          <t>0.0</t>
        </is>
      </c>
      <c r="D135" t="inlineStr">
        <is>
          <t>ENTRY, GLOBAL_CHECK, STOCKS_EXIT</t>
        </is>
      </c>
      <c r="E135">
        <f>IF(G109="",E108,IF(G109&gt;0,E108+G109,E108))</f>
        <v/>
      </c>
      <c r="G135">
        <f>IFERROR(VLOOKUP($A128&amp;"_"&amp;$B128,Results_Deltas!$A$2:$P$15000,5,FALSE),"")</f>
        <v/>
      </c>
      <c r="H135" t="inlineStr">
        <is>
          <t>Blanket (page end)</t>
        </is>
      </c>
      <c r="L135" t="inlineStr">
        <is>
          <t>NO</t>
        </is>
      </c>
      <c r="M135" t="n">
        <v>24</v>
      </c>
      <c r="N135" t="n">
        <v>0</v>
      </c>
    </row>
    <row r="136" ht="15.75" customHeight="1" s="67">
      <c r="A136" t="inlineStr">
        <is>
          <t>HTF_GATE_MIN_CONFIRMATIONS</t>
        </is>
      </c>
      <c r="B136" t="inlineStr">
        <is>
          <t>0.0_ALT</t>
        </is>
      </c>
      <c r="D136" t="inlineStr">
        <is>
          <t>ENTRY, GLOBAL_CHECK, STOCKS_EXIT</t>
        </is>
      </c>
      <c r="E136">
        <f>IF(G110="",E109,IF(G110&gt;0,E109+G110,E109))</f>
        <v/>
      </c>
      <c r="G136">
        <f>IFERROR(VLOOKUP($A129&amp;"_"&amp;$B129,Results_Deltas!$A$2:$P$15000,5,FALSE),"")</f>
        <v/>
      </c>
      <c r="H136" t="inlineStr">
        <is>
          <t>Blanket (page end)</t>
        </is>
      </c>
      <c r="L136" t="inlineStr">
        <is>
          <t>NO</t>
        </is>
      </c>
      <c r="M136" t="n">
        <v>24</v>
      </c>
      <c r="N136" t="n">
        <v>0</v>
      </c>
    </row>
    <row r="137" ht="15.75" customHeight="1" s="67">
      <c r="A137" t="inlineStr">
        <is>
          <t>GR_FILTER_ALL_ENTRIES</t>
        </is>
      </c>
      <c r="B137" t="inlineStr">
        <is>
          <t>0.0</t>
        </is>
      </c>
      <c r="D137" t="inlineStr">
        <is>
          <t>GLOBAL_CHECK, STOCKS_EXIT</t>
        </is>
      </c>
      <c r="E137">
        <f>IF(G78="",E77,IF(G78&gt;0,E77+G78,E77))</f>
        <v/>
      </c>
      <c r="G137">
        <f>IFERROR(VLOOKUP($A97&amp;"_"&amp;$B97,Results_Deltas!$A$2:$P$15000,5,FALSE),"")</f>
        <v/>
      </c>
      <c r="H137" t="inlineStr">
        <is>
          <t>Blanket (page end)</t>
        </is>
      </c>
      <c r="L137" t="inlineStr">
        <is>
          <t>NO</t>
        </is>
      </c>
      <c r="M137" t="n">
        <v>24</v>
      </c>
      <c r="N137" t="n">
        <v>0</v>
      </c>
    </row>
    <row r="138" ht="15.75" customHeight="1" s="67">
      <c r="A138" t="inlineStr">
        <is>
          <t>GR_FILTER_ALL_ENTRIES</t>
        </is>
      </c>
      <c r="B138" t="inlineStr">
        <is>
          <t>0.0_ALT</t>
        </is>
      </c>
      <c r="D138" t="inlineStr">
        <is>
          <t>GLOBAL_CHECK, STOCKS_EXIT</t>
        </is>
      </c>
      <c r="E138">
        <f>IF(G79="",E78,IF(G79&gt;0,E78+G79,E78))</f>
        <v/>
      </c>
      <c r="G138">
        <f>IFERROR(VLOOKUP($A98&amp;"_"&amp;$B98,Results_Deltas!$A$2:$P$15000,5,FALSE),"")</f>
        <v/>
      </c>
      <c r="H138" t="inlineStr">
        <is>
          <t>Blanket (page end)</t>
        </is>
      </c>
      <c r="L138" t="inlineStr">
        <is>
          <t>NO</t>
        </is>
      </c>
      <c r="M138" t="n">
        <v>24</v>
      </c>
      <c r="N138" t="n">
        <v>0</v>
      </c>
    </row>
    <row r="139" ht="15.75" customHeight="1" s="67">
      <c r="A139" t="inlineStr">
        <is>
          <t>HA_WICK_QUALITY_ENABLED</t>
        </is>
      </c>
      <c r="B139" t="inlineStr">
        <is>
          <t>False</t>
        </is>
      </c>
      <c r="D139" t="inlineStr">
        <is>
          <t>ENTRY, GLOBAL_CHECK, STOCKS_EXIT</t>
        </is>
      </c>
      <c r="E139">
        <f>IF(G85="",E84,IF(G85&gt;0,E84+G85,E84))</f>
        <v/>
      </c>
      <c r="G139">
        <f>IFERROR(VLOOKUP($A104&amp;"_"&amp;$B104,Results_Deltas!$A$2:$P$15000,5,FALSE),"")</f>
        <v/>
      </c>
      <c r="H139" t="inlineStr">
        <is>
          <t>Blanket (page end)</t>
        </is>
      </c>
      <c r="L139" t="inlineStr">
        <is>
          <t>YES</t>
        </is>
      </c>
      <c r="M139" t="n">
        <v>9</v>
      </c>
      <c r="N139" t="n">
        <v>0</v>
      </c>
    </row>
    <row r="140" ht="15.75" customHeight="1" s="67">
      <c r="A140" t="inlineStr">
        <is>
          <t>GOLDEN_RULE_BASE_USD</t>
        </is>
      </c>
      <c r="B140" t="inlineStr">
        <is>
          <t>0.0_ALT</t>
        </is>
      </c>
      <c r="D140" t="inlineStr">
        <is>
          <t>GLOBAL_CHECK, STOCKS_EXIT</t>
        </is>
      </c>
      <c r="E140">
        <f>IF(G77="",E76,IF(G77&gt;0,E76+G77,E76))</f>
        <v/>
      </c>
      <c r="G140">
        <f>IFERROR(VLOOKUP($A96&amp;"_"&amp;$B96,Results_Deltas!$A$2:$P$15000,5,FALSE),"")</f>
        <v/>
      </c>
      <c r="H140" t="inlineStr">
        <is>
          <t>Blanket (page end)</t>
        </is>
      </c>
      <c r="L140" t="inlineStr">
        <is>
          <t>NO</t>
        </is>
      </c>
      <c r="M140" t="n">
        <v>24</v>
      </c>
      <c r="N140" t="n">
        <v>0</v>
      </c>
    </row>
    <row r="141" ht="15.75" customHeight="1" s="67">
      <c r="A141" t="inlineStr">
        <is>
          <t>GOLDEN_RULE_BASE_USD</t>
        </is>
      </c>
      <c r="B141" t="inlineStr">
        <is>
          <t>0.0</t>
        </is>
      </c>
      <c r="D141" t="inlineStr">
        <is>
          <t>GLOBAL_CHECK, STOCKS_EXIT</t>
        </is>
      </c>
      <c r="E141">
        <f>IF(G76="",E75,IF(G76&gt;0,E75+G76,E75))</f>
        <v/>
      </c>
      <c r="G141">
        <f>IFERROR(VLOOKUP($A95&amp;"_"&amp;$B95,Results_Deltas!$A$2:$P$15000,5,FALSE),"")</f>
        <v/>
      </c>
      <c r="H141" t="inlineStr">
        <is>
          <t>Blanket (page end)</t>
        </is>
      </c>
      <c r="L141" t="inlineStr">
        <is>
          <t>NO</t>
        </is>
      </c>
      <c r="M141" t="n">
        <v>24</v>
      </c>
      <c r="N141" t="n">
        <v>0</v>
      </c>
    </row>
    <row r="142" ht="15.75" customHeight="1" s="67">
      <c r="A142" t="inlineStr">
        <is>
          <t>LEADERBOARD_FILTER</t>
        </is>
      </c>
      <c r="B142" t="inlineStr">
        <is>
          <t>False</t>
        </is>
      </c>
      <c r="D142" t="inlineStr">
        <is>
          <t>AUGMENT, ENTRY, EXIT, GLOBAL_CHECK, REDUCE, STOCKS_EXIT</t>
        </is>
      </c>
      <c r="E142">
        <f>IF(G115="",E114,IF(G115&gt;0,E114+G115,E114))</f>
        <v/>
      </c>
      <c r="G142">
        <f>IFERROR(VLOOKUP($A134&amp;"_"&amp;$B134,Results_Deltas!$A$2:$P$15000,5,FALSE),"")</f>
        <v/>
      </c>
      <c r="H142" t="inlineStr">
        <is>
          <t>Blanket (page end)</t>
        </is>
      </c>
      <c r="L142" t="inlineStr">
        <is>
          <t>NO</t>
        </is>
      </c>
      <c r="M142" t="n">
        <v>9</v>
      </c>
      <c r="N142" t="n">
        <v>0</v>
      </c>
    </row>
    <row r="143" ht="15.75" customHeight="1" s="67">
      <c r="A143" t="inlineStr">
        <is>
          <t>HTF4_CONF</t>
        </is>
      </c>
      <c r="B143" t="inlineStr">
        <is>
          <t>False</t>
        </is>
      </c>
      <c r="D143" t="inlineStr">
        <is>
          <t>GLOBAL_CHECK, STOCKS_EXIT</t>
        </is>
      </c>
      <c r="E143">
        <f>IF(G101="",E100,IF(G101&gt;0,E100+G101,E100))</f>
        <v/>
      </c>
      <c r="G143">
        <f>IFERROR(VLOOKUP($A120&amp;"_"&amp;$B120,Results_Deltas!$A$2:$P$15000,5,FALSE),"")</f>
        <v/>
      </c>
      <c r="H143" t="inlineStr">
        <is>
          <t>Blanket (page end)</t>
        </is>
      </c>
      <c r="L143" t="inlineStr">
        <is>
          <t>NO</t>
        </is>
      </c>
      <c r="M143" t="n">
        <v>9</v>
      </c>
      <c r="N143" t="n">
        <v>0</v>
      </c>
    </row>
    <row r="144" ht="15.75" customHeight="1" s="67">
      <c r="A144" t="inlineStr">
        <is>
          <t>LH_HL_FILTER_ENABLED</t>
        </is>
      </c>
      <c r="B144" t="inlineStr">
        <is>
          <t>False</t>
        </is>
      </c>
      <c r="D144" t="inlineStr">
        <is>
          <t>ENTRY, GLOBAL_CHECK, STOCKS_EXIT</t>
        </is>
      </c>
      <c r="E144">
        <f>IF(G117="",E116,IF(G117&gt;0,E116+G117,E116))</f>
        <v/>
      </c>
      <c r="G144">
        <f>IFERROR(VLOOKUP($A136&amp;"_"&amp;$B136,Results_Deltas!$A$2:$P$15000,5,FALSE),"")</f>
        <v/>
      </c>
      <c r="H144" t="inlineStr">
        <is>
          <t>Blanket (page end)</t>
        </is>
      </c>
      <c r="L144" t="inlineStr">
        <is>
          <t>YES</t>
        </is>
      </c>
      <c r="M144" t="n">
        <v>9</v>
      </c>
      <c r="N144" t="n">
        <v>0</v>
      </c>
    </row>
    <row r="145" ht="15.75" customHeight="1" s="67">
      <c r="A145" t="inlineStr">
        <is>
          <t>GR_FILTER_VEC_ENABLED</t>
        </is>
      </c>
      <c r="B145" t="inlineStr">
        <is>
          <t>False</t>
        </is>
      </c>
      <c r="D145" t="inlineStr">
        <is>
          <t>GLOBAL_CHECK</t>
        </is>
      </c>
      <c r="E145">
        <f>IF(G80="",E79,IF(G80&gt;0,E79+G80,E79))</f>
        <v/>
      </c>
      <c r="G145">
        <f>IFERROR(VLOOKUP($A99&amp;"_"&amp;$B99,Results_Deltas!$A$2:$P$15000,5,FALSE),"")</f>
        <v/>
      </c>
      <c r="H145" t="inlineStr">
        <is>
          <t>Blanket (page end)</t>
        </is>
      </c>
      <c r="L145" t="inlineStr">
        <is>
          <t>YES</t>
        </is>
      </c>
      <c r="M145" t="n">
        <v>3</v>
      </c>
      <c r="N145" t="n">
        <v>0</v>
      </c>
    </row>
    <row r="146" ht="15.75" customHeight="1" s="67">
      <c r="A146" t="inlineStr">
        <is>
          <t>DUP_GUARD_FILTER_TF</t>
        </is>
      </c>
      <c r="B146" t="inlineStr">
        <is>
          <t>15m</t>
        </is>
      </c>
      <c r="D146" t="inlineStr">
        <is>
          <t>GLOBAL_CHECK</t>
        </is>
      </c>
      <c r="E146">
        <f>IF(G44="",E43,IF(G44&gt;0,E43+G44,E43))</f>
        <v/>
      </c>
      <c r="G146">
        <f>IFERROR(VLOOKUP($A63&amp;"_"&amp;$B63,Results_Deltas!$A$2:$P$15000,5,FALSE),"")</f>
        <v/>
      </c>
      <c r="H146" t="inlineStr">
        <is>
          <t>Blanket (page end)</t>
        </is>
      </c>
      <c r="L146" t="inlineStr">
        <is>
          <t>YES</t>
        </is>
      </c>
      <c r="M146" t="n">
        <v>3</v>
      </c>
      <c r="N146" t="n">
        <v>0</v>
      </c>
    </row>
    <row r="147" ht="15.75" customHeight="1" s="67">
      <c r="A147" t="inlineStr">
        <is>
          <t>OI_CONFIRM_ENABLED</t>
        </is>
      </c>
      <c r="B147" t="inlineStr">
        <is>
          <t>False</t>
        </is>
      </c>
      <c r="D147" t="inlineStr">
        <is>
          <t>ENTRY, GLOBAL_CHECK, STOCKS_EXIT</t>
        </is>
      </c>
      <c r="E147">
        <f>IF(G172="",E171,IF(G172&gt;0,E171+G172,E171))</f>
        <v/>
      </c>
      <c r="G147">
        <f>IFERROR(VLOOKUP($A191&amp;"_"&amp;$B191,Results_Deltas!$A$2:$P$15000,5,FALSE),"")</f>
        <v/>
      </c>
      <c r="H147" t="inlineStr">
        <is>
          <t>Blanket (page end)</t>
        </is>
      </c>
      <c r="L147" t="inlineStr">
        <is>
          <t>NO</t>
        </is>
      </c>
      <c r="M147" t="n">
        <v>9</v>
      </c>
      <c r="N147" t="n">
        <v>0</v>
      </c>
    </row>
    <row r="148" ht="15.75" customHeight="1" s="67">
      <c r="A148" t="inlineStr">
        <is>
          <t>EMA_BLANKET_FILTER_ENABLED</t>
        </is>
      </c>
      <c r="B148" t="inlineStr">
        <is>
          <t>True</t>
        </is>
      </c>
      <c r="D148" t="inlineStr">
        <is>
          <t>GLOBAL_CHECK</t>
        </is>
      </c>
      <c r="E148">
        <f>IF(G49="",E48,IF(G49&gt;0,E48+G49,E48))</f>
        <v/>
      </c>
      <c r="G148">
        <f>IFERROR(VLOOKUP($A68&amp;"_"&amp;$B68,Results_Deltas!$A$2:$P$15000,5,FALSE),"")</f>
        <v/>
      </c>
      <c r="H148" t="inlineStr">
        <is>
          <t>Blanket (page end)</t>
        </is>
      </c>
      <c r="L148" t="inlineStr">
        <is>
          <t>YES</t>
        </is>
      </c>
      <c r="M148" t="n">
        <v>3</v>
      </c>
      <c r="N148" t="n">
        <v>0</v>
      </c>
    </row>
    <row r="149" ht="15.75" customHeight="1" s="67">
      <c r="A149" t="inlineStr">
        <is>
          <t>MTS_GATE_ENABLED</t>
        </is>
      </c>
      <c r="B149" t="inlineStr">
        <is>
          <t>False</t>
        </is>
      </c>
      <c r="D149" t="inlineStr">
        <is>
          <t>ENTRY, GLOBAL_CHECK, STOCKS_EXIT</t>
        </is>
      </c>
      <c r="E149">
        <f>IF(G160="",E159,IF(G160&gt;0,E159+G160,E159))</f>
        <v/>
      </c>
      <c r="G149">
        <f>IFERROR(VLOOKUP($A179&amp;"_"&amp;$B179,Results_Deltas!$A$2:$P$15000,5,FALSE),"")</f>
        <v/>
      </c>
      <c r="H149" t="inlineStr">
        <is>
          <t>Blanket (page end)</t>
        </is>
      </c>
      <c r="L149" t="inlineStr">
        <is>
          <t>NO</t>
        </is>
      </c>
      <c r="M149" t="n">
        <v>9</v>
      </c>
      <c r="N149" t="n">
        <v>0</v>
      </c>
    </row>
    <row r="150" ht="15.75" customHeight="1" s="67">
      <c r="A150" t="inlineStr">
        <is>
          <t>MI_TF_AGREE_MIN</t>
        </is>
      </c>
      <c r="B150" t="inlineStr">
        <is>
          <t>0.0</t>
        </is>
      </c>
      <c r="D150" t="inlineStr">
        <is>
          <t>ENTRY, GLOBAL_CHECK, STOCKS_EXIT</t>
        </is>
      </c>
      <c r="E150">
        <f>IF(G142="",E141,IF(G142&gt;0,E141+G142,E141))</f>
        <v/>
      </c>
      <c r="G150">
        <f>IFERROR(VLOOKUP($A161&amp;"_"&amp;$B161,Results_Deltas!$A$2:$P$15000,5,FALSE),"")</f>
        <v/>
      </c>
      <c r="H150" t="inlineStr">
        <is>
          <t>Blanket (page end)</t>
        </is>
      </c>
      <c r="L150" t="inlineStr">
        <is>
          <t>NO</t>
        </is>
      </c>
      <c r="M150" t="n">
        <v>24</v>
      </c>
      <c r="N150" t="n">
        <v>0</v>
      </c>
    </row>
    <row r="151" ht="15.75" customHeight="1" s="67">
      <c r="A151" t="inlineStr">
        <is>
          <t>MI_TF_AGREE_MIN</t>
        </is>
      </c>
      <c r="B151" t="inlineStr">
        <is>
          <t>0.0_ALT</t>
        </is>
      </c>
      <c r="D151" t="inlineStr">
        <is>
          <t>ENTRY, GLOBAL_CHECK, STOCKS_EXIT</t>
        </is>
      </c>
      <c r="E151">
        <f>IF(G143="",E142,IF(G143&gt;0,E142+G143,E142))</f>
        <v/>
      </c>
      <c r="G151">
        <f>IFERROR(VLOOKUP($A162&amp;"_"&amp;$B162,Results_Deltas!$A$2:$P$15000,5,FALSE),"")</f>
        <v/>
      </c>
      <c r="H151" t="inlineStr">
        <is>
          <t>Blanket (page end)</t>
        </is>
      </c>
      <c r="L151" t="inlineStr">
        <is>
          <t>NO</t>
        </is>
      </c>
      <c r="M151" t="n">
        <v>24</v>
      </c>
      <c r="N151" t="n">
        <v>0</v>
      </c>
    </row>
    <row r="152" ht="15.75" customHeight="1" s="67">
      <c r="A152" t="inlineStr">
        <is>
          <t>HLR_SMA_BAND_PCT</t>
        </is>
      </c>
      <c r="B152" t="inlineStr">
        <is>
          <t>0</t>
        </is>
      </c>
      <c r="D152" t="inlineStr">
        <is>
          <t>ENTRY, GLOBAL_CHECK, STOCKS_EXIT</t>
        </is>
      </c>
      <c r="E152">
        <f>IF(G94="",E93,IF(G94&gt;0,E93+G94,E93))</f>
        <v/>
      </c>
      <c r="G152">
        <f>IFERROR(VLOOKUP($A113&amp;"_"&amp;$B113,Results_Deltas!$A$2:$P$15000,5,FALSE),"")</f>
        <v/>
      </c>
      <c r="H152" t="inlineStr">
        <is>
          <t>Blanket (page end)</t>
        </is>
      </c>
      <c r="L152" t="inlineStr">
        <is>
          <t>NO</t>
        </is>
      </c>
      <c r="M152" t="n">
        <v>24</v>
      </c>
      <c r="N152" t="n">
        <v>0</v>
      </c>
    </row>
    <row r="153" ht="15.75" customHeight="1" s="67">
      <c r="A153" t="inlineStr">
        <is>
          <t>EXECUTE_NOW_SINGLE_GATE_ENFORCE</t>
        </is>
      </c>
      <c r="B153" t="inlineStr">
        <is>
          <t>0.0_ALT</t>
        </is>
      </c>
      <c r="D153" t="inlineStr">
        <is>
          <t>ENTRY, GLOBAL_CHECK, STOCKS_EXIT</t>
        </is>
      </c>
      <c r="E153">
        <f>IF(G54="",E53,IF(G54&gt;0,E53+G54,E53))</f>
        <v/>
      </c>
      <c r="G153">
        <f>IFERROR(VLOOKUP($A73&amp;"_"&amp;$B73,Results_Deltas!$A$2:$P$15000,5,FALSE),"")</f>
        <v/>
      </c>
      <c r="H153" t="inlineStr">
        <is>
          <t>Blanket (page end)</t>
        </is>
      </c>
      <c r="L153" t="inlineStr">
        <is>
          <t>NO</t>
        </is>
      </c>
      <c r="M153" t="n">
        <v>24</v>
      </c>
      <c r="N153" t="n">
        <v>0</v>
      </c>
    </row>
    <row r="154" ht="15.75" customHeight="1" s="67">
      <c r="A154" t="inlineStr">
        <is>
          <t>EXECUTE_NOW_SINGLE_GATE_ENFORCE</t>
        </is>
      </c>
      <c r="B154" t="inlineStr">
        <is>
          <t>0.0</t>
        </is>
      </c>
      <c r="D154" t="inlineStr">
        <is>
          <t>ENTRY, GLOBAL_CHECK, STOCKS_EXIT</t>
        </is>
      </c>
      <c r="E154">
        <f>IF(G53="",E52,IF(G53&gt;0,E52+G53,E52))</f>
        <v/>
      </c>
      <c r="G154">
        <f>IFERROR(VLOOKUP($A72&amp;"_"&amp;$B72,Results_Deltas!$A$2:$P$15000,5,FALSE),"")</f>
        <v/>
      </c>
      <c r="H154" t="inlineStr">
        <is>
          <t>Blanket (page end)</t>
        </is>
      </c>
      <c r="L154" t="inlineStr">
        <is>
          <t>NO</t>
        </is>
      </c>
      <c r="M154" t="n">
        <v>24</v>
      </c>
      <c r="N154" t="n">
        <v>0</v>
      </c>
    </row>
    <row r="155" ht="15.75" customHeight="1" s="67">
      <c r="A155" t="inlineStr">
        <is>
          <t>HLR_TOP_MIN_TFS</t>
        </is>
      </c>
      <c r="B155" t="inlineStr">
        <is>
          <t>0</t>
        </is>
      </c>
      <c r="D155" t="inlineStr">
        <is>
          <t>GLOBAL_CHECK, REENTRY, STOCKS_EXIT</t>
        </is>
      </c>
      <c r="E155">
        <f>IF(G98="",E97,IF(G98&gt;0,E97+G98,E97))</f>
        <v/>
      </c>
      <c r="G155">
        <f>IFERROR(VLOOKUP($A117&amp;"_"&amp;$B117,Results_Deltas!$A$2:$P$15000,5,FALSE),"")</f>
        <v/>
      </c>
      <c r="H155" t="inlineStr">
        <is>
          <t>Blanket (page end)</t>
        </is>
      </c>
      <c r="L155" t="inlineStr">
        <is>
          <t>NO</t>
        </is>
      </c>
      <c r="M155" t="n">
        <v>24</v>
      </c>
      <c r="N155" t="n">
        <v>0</v>
      </c>
    </row>
    <row r="156" ht="15.75" customHeight="1" s="67">
      <c r="A156" t="inlineStr">
        <is>
          <t>COOLDOWN_LOCKS_FILTER_TF</t>
        </is>
      </c>
      <c r="B156" t="inlineStr">
        <is>
          <t>15m</t>
        </is>
      </c>
      <c r="D156" t="inlineStr">
        <is>
          <t>GLOBAL_CHECK</t>
        </is>
      </c>
      <c r="E156">
        <f>IF(G27="",E26,IF(G27&gt;0,E26+G27,E26))</f>
        <v/>
      </c>
      <c r="G156">
        <f>IFERROR(VLOOKUP($A46&amp;"_"&amp;$B46,Results_Deltas!$A$2:$P$15000,5,FALSE),"")</f>
        <v/>
      </c>
      <c r="H156" t="inlineStr">
        <is>
          <t>Blanket (page end)</t>
        </is>
      </c>
      <c r="L156" t="inlineStr">
        <is>
          <t>YES</t>
        </is>
      </c>
      <c r="M156" t="n">
        <v>3</v>
      </c>
      <c r="N156" t="n">
        <v>0</v>
      </c>
    </row>
    <row r="157" ht="15.75" customHeight="1" s="67">
      <c r="A157" t="inlineStr">
        <is>
          <t>HA_WICK_QUALITY_TF</t>
        </is>
      </c>
      <c r="B157" t="inlineStr">
        <is>
          <t>15m</t>
        </is>
      </c>
      <c r="D157" t="inlineStr">
        <is>
          <t>ENTRY, GLOBAL_CHECK, STOCKS_EXIT</t>
        </is>
      </c>
      <c r="E157">
        <f>IF(G93="",E92,IF(G93&gt;0,E92+G93,E92))</f>
        <v/>
      </c>
      <c r="G157">
        <f>IFERROR(VLOOKUP($A112&amp;"_"&amp;$B112,Results_Deltas!$A$2:$P$15000,5,FALSE),"")</f>
        <v/>
      </c>
      <c r="H157" t="inlineStr">
        <is>
          <t>Blanket (page end)</t>
        </is>
      </c>
      <c r="L157" t="inlineStr">
        <is>
          <t>NO</t>
        </is>
      </c>
      <c r="M157" t="n">
        <v>9</v>
      </c>
      <c r="N157" t="n">
        <v>0</v>
      </c>
    </row>
    <row r="158" ht="15.75" customHeight="1" s="67">
      <c r="A158" t="inlineStr">
        <is>
          <t>EZ_MANAGE_THROTTLER_RATE</t>
        </is>
      </c>
      <c r="B158" t="inlineStr">
        <is>
          <t>0.0</t>
        </is>
      </c>
      <c r="D158" t="inlineStr">
        <is>
          <t>GLOBAL_CHECK, STOCKS_EXIT</t>
        </is>
      </c>
      <c r="E158">
        <f>IF(G55="",E54,IF(G55&gt;0,E54+G55,E54))</f>
        <v/>
      </c>
      <c r="G158">
        <f>IFERROR(VLOOKUP($A74&amp;"_"&amp;$B74,Results_Deltas!$A$2:$P$15000,5,FALSE),"")</f>
        <v/>
      </c>
      <c r="H158" t="inlineStr">
        <is>
          <t>Blanket (page end)</t>
        </is>
      </c>
      <c r="L158" t="inlineStr">
        <is>
          <t>NO</t>
        </is>
      </c>
      <c r="M158" t="n">
        <v>24</v>
      </c>
      <c r="N158" t="n">
        <v>0</v>
      </c>
    </row>
    <row r="159" ht="15.75" customHeight="1" s="67">
      <c r="A159" t="inlineStr">
        <is>
          <t>EZ_MANAGE_THROTTLER_RATE</t>
        </is>
      </c>
      <c r="B159" t="inlineStr">
        <is>
          <t>0.0_ALT</t>
        </is>
      </c>
      <c r="D159" t="inlineStr">
        <is>
          <t>GLOBAL_CHECK, STOCKS_EXIT</t>
        </is>
      </c>
      <c r="E159">
        <f>IF(G56="",E55,IF(G56&gt;0,E55+G56,E55))</f>
        <v/>
      </c>
      <c r="G159">
        <f>IFERROR(VLOOKUP($A75&amp;"_"&amp;$B75,Results_Deltas!$A$2:$P$15000,5,FALSE),"")</f>
        <v/>
      </c>
      <c r="H159" t="inlineStr">
        <is>
          <t>Blanket (page end)</t>
        </is>
      </c>
      <c r="L159" t="inlineStr">
        <is>
          <t>NO</t>
        </is>
      </c>
      <c r="M159" t="n">
        <v>24</v>
      </c>
      <c r="N159" t="n">
        <v>0</v>
      </c>
    </row>
    <row r="160" ht="10.5" customHeight="1" s="67">
      <c r="A160" t="inlineStr">
        <is>
          <t>BAND_ARROW_ENABLED</t>
        </is>
      </c>
      <c r="B160" t="inlineStr">
        <is>
          <t>False</t>
        </is>
      </c>
      <c r="D160" t="inlineStr">
        <is>
          <t>GLOBAL_CHECK, STOCKS_EXIT</t>
        </is>
      </c>
      <c r="E160">
        <f>IF(G15="",E14,IF(G15&gt;0,E14+G15,E14))</f>
        <v/>
      </c>
      <c r="G160">
        <f>IFERROR(VLOOKUP($A34&amp;"_"&amp;$B34,Results_Deltas!$A$2:$P$15000,5,FALSE),"")</f>
        <v/>
      </c>
      <c r="H160" t="inlineStr">
        <is>
          <t>Blanket (page end)</t>
        </is>
      </c>
      <c r="L160" t="inlineStr">
        <is>
          <t>YES</t>
        </is>
      </c>
      <c r="M160" t="n">
        <v>9</v>
      </c>
      <c r="N160" t="n">
        <v>0</v>
      </c>
    </row>
    <row r="161" ht="15.75" customHeight="1" s="67">
      <c r="A161" t="inlineStr">
        <is>
          <t>NEW_POSITION_MAX_LOSS_THRESHOLD</t>
        </is>
      </c>
      <c r="B161" t="inlineStr">
        <is>
          <t>0</t>
        </is>
      </c>
      <c r="D161" t="inlineStr">
        <is>
          <t>AUGMENT, EXIT, GLOBAL_CHECK, REDUCE, STOCKS_EXIT</t>
        </is>
      </c>
      <c r="E161">
        <f>IF(G168="",E167,IF(G168&gt;0,E167+G168,E167))</f>
        <v/>
      </c>
      <c r="G161">
        <f>IFERROR(VLOOKUP($A187&amp;"_"&amp;$B187,Results_Deltas!$A$2:$P$15000,5,FALSE),"")</f>
        <v/>
      </c>
      <c r="H161" t="inlineStr">
        <is>
          <t>Blanket (page end)</t>
        </is>
      </c>
      <c r="L161" t="inlineStr">
        <is>
          <t>NO</t>
        </is>
      </c>
      <c r="M161" t="n">
        <v>24</v>
      </c>
      <c r="N161" t="n">
        <v>0</v>
      </c>
    </row>
    <row r="162" ht="15.75" customHeight="1" s="67">
      <c r="A162" t="inlineStr">
        <is>
          <t>HTF_GATE_D_MANDATORY</t>
        </is>
      </c>
      <c r="B162" t="inlineStr">
        <is>
          <t>0.0_ALT</t>
        </is>
      </c>
      <c r="D162" t="inlineStr">
        <is>
          <t>ENTRY, GLOBAL_CHECK, STOCKS_EXIT</t>
        </is>
      </c>
      <c r="E162">
        <f>IF(G108="",E107,IF(G108&gt;0,E107+G108,E107))</f>
        <v/>
      </c>
      <c r="G162">
        <f>IFERROR(VLOOKUP($A127&amp;"_"&amp;$B127,Results_Deltas!$A$2:$P$15000,5,FALSE),"")</f>
        <v/>
      </c>
      <c r="H162" t="inlineStr">
        <is>
          <t>Blanket (page end)</t>
        </is>
      </c>
      <c r="L162" t="inlineStr">
        <is>
          <t>NO</t>
        </is>
      </c>
      <c r="M162" t="n">
        <v>24</v>
      </c>
      <c r="N162" t="n">
        <v>0</v>
      </c>
    </row>
    <row r="163" ht="15.75" customHeight="1" s="67">
      <c r="A163" t="inlineStr">
        <is>
          <t>DELTA_REENTRY_FILTER_ENABLED</t>
        </is>
      </c>
      <c r="B163" t="inlineStr">
        <is>
          <t>False</t>
        </is>
      </c>
      <c r="D163" t="inlineStr">
        <is>
          <t>ENTRY, GLOBAL_CHECK, STOCKS_EXIT</t>
        </is>
      </c>
      <c r="E163">
        <f>IF(G38="",E37,IF(G38&gt;0,E37+G38,E37))</f>
        <v/>
      </c>
      <c r="G163">
        <f>IFERROR(VLOOKUP($A57&amp;"_"&amp;$B57,Results_Deltas!$A$2:$P$15000,5,FALSE),"")</f>
        <v/>
      </c>
      <c r="H163" t="inlineStr">
        <is>
          <t>Blanket (page end)</t>
        </is>
      </c>
      <c r="L163" t="inlineStr">
        <is>
          <t>YES</t>
        </is>
      </c>
      <c r="M163" t="n">
        <v>9</v>
      </c>
      <c r="N163" t="n">
        <v>0</v>
      </c>
    </row>
    <row r="164" ht="15.75" customHeight="1" s="67">
      <c r="A164" t="inlineStr">
        <is>
          <t>HTF_GATE_D_MANDATORY</t>
        </is>
      </c>
      <c r="B164" t="inlineStr">
        <is>
          <t>0.0</t>
        </is>
      </c>
      <c r="D164" t="inlineStr">
        <is>
          <t>ENTRY, GLOBAL_CHECK, STOCKS_EXIT</t>
        </is>
      </c>
      <c r="E164">
        <f>IF(G107="",E106,IF(G107&gt;0,E106+G107,E106))</f>
        <v/>
      </c>
      <c r="G164">
        <f>IFERROR(VLOOKUP($A126&amp;"_"&amp;$B126,Results_Deltas!$A$2:$P$15000,5,FALSE),"")</f>
        <v/>
      </c>
      <c r="H164" t="inlineStr">
        <is>
          <t>Blanket (page end)</t>
        </is>
      </c>
      <c r="L164" t="inlineStr">
        <is>
          <t>NO</t>
        </is>
      </c>
      <c r="M164" t="n">
        <v>24</v>
      </c>
      <c r="N164" t="n">
        <v>0</v>
      </c>
    </row>
    <row r="165" ht="15.75" customHeight="1" s="67">
      <c r="A165" t="inlineStr">
        <is>
          <t>MANDATORY_REENTRY_WT_FILTER_REQUIRE_FLIP</t>
        </is>
      </c>
      <c r="B165" t="inlineStr">
        <is>
          <t>False_ALT</t>
        </is>
      </c>
      <c r="D165" t="inlineStr">
        <is>
          <t>GLOBAL_CHECK, STOCKS_EXIT</t>
        </is>
      </c>
      <c r="E165">
        <f>IF(G137="",E136,IF(G137&gt;0,E136+G137,E136))</f>
        <v/>
      </c>
      <c r="G165">
        <f>IFERROR(VLOOKUP($A156&amp;"_"&amp;$B156,Results_Deltas!$A$2:$P$15000,5,FALSE),"")</f>
        <v/>
      </c>
      <c r="H165" t="inlineStr">
        <is>
          <t>Blanket (page end)</t>
        </is>
      </c>
      <c r="L165" t="inlineStr">
        <is>
          <t>NO</t>
        </is>
      </c>
      <c r="M165" t="n">
        <v>24</v>
      </c>
      <c r="N165" t="n">
        <v>0</v>
      </c>
    </row>
    <row r="166" ht="15.75" customHeight="1" s="67">
      <c r="A166" t="inlineStr">
        <is>
          <t>MARKET_QUALITY_SCORE_ENABLED</t>
        </is>
      </c>
      <c r="B166" t="inlineStr">
        <is>
          <t>False</t>
        </is>
      </c>
      <c r="D166" t="inlineStr">
        <is>
          <t>ENTRY, GLOBAL_CHECK, STOCKS_EXIT</t>
        </is>
      </c>
      <c r="E166">
        <f>IF(G140="",E139,IF(G140&gt;0,E139+G140,E139))</f>
        <v/>
      </c>
      <c r="G166">
        <f>IFERROR(VLOOKUP($A159&amp;"_"&amp;$B159,Results_Deltas!$A$2:$P$15000,5,FALSE),"")</f>
        <v/>
      </c>
      <c r="H166" t="inlineStr">
        <is>
          <t>Blanket (page end)</t>
        </is>
      </c>
      <c r="L166" t="inlineStr">
        <is>
          <t>YES</t>
        </is>
      </c>
      <c r="M166" t="n">
        <v>9</v>
      </c>
      <c r="N166" t="n">
        <v>0</v>
      </c>
    </row>
    <row r="167" ht="15.75" customHeight="1" s="67">
      <c r="A167" t="inlineStr">
        <is>
          <t>HTF_GATE_BYPASS_RZ</t>
        </is>
      </c>
      <c r="B167" t="inlineStr">
        <is>
          <t>0.0</t>
        </is>
      </c>
      <c r="D167" t="inlineStr">
        <is>
          <t>ENTRY, GLOBAL_CHECK, STOCKS_EXIT</t>
        </is>
      </c>
      <c r="E167">
        <f>IF(G105="",E104,IF(G105&gt;0,E104+G105,E104))</f>
        <v/>
      </c>
      <c r="G167">
        <f>IFERROR(VLOOKUP($A124&amp;"_"&amp;$B124,Results_Deltas!$A$2:$P$15000,5,FALSE),"")</f>
        <v/>
      </c>
      <c r="H167" t="inlineStr">
        <is>
          <t>Blanket (page end)</t>
        </is>
      </c>
      <c r="L167" t="inlineStr">
        <is>
          <t>NO</t>
        </is>
      </c>
      <c r="M167" t="n">
        <v>24</v>
      </c>
      <c r="N167" t="n">
        <v>0</v>
      </c>
    </row>
    <row r="168" ht="15.75" customHeight="1" s="67">
      <c r="A168" t="inlineStr">
        <is>
          <t>HTF_GATE_BYPASS_RZ</t>
        </is>
      </c>
      <c r="B168" t="inlineStr">
        <is>
          <t>0.0_ALT</t>
        </is>
      </c>
      <c r="D168" t="inlineStr">
        <is>
          <t>ENTRY, GLOBAL_CHECK, STOCKS_EXIT</t>
        </is>
      </c>
      <c r="E168">
        <f>IF(G106="",E105,IF(G106&gt;0,E105+G106,E105))</f>
        <v/>
      </c>
      <c r="G168">
        <f>IFERROR(VLOOKUP($A125&amp;"_"&amp;$B125,Results_Deltas!$A$2:$P$15000,5,FALSE),"")</f>
        <v/>
      </c>
      <c r="H168" t="inlineStr">
        <is>
          <t>Blanket (page end)</t>
        </is>
      </c>
      <c r="L168" t="inlineStr">
        <is>
          <t>NO</t>
        </is>
      </c>
      <c r="M168" t="n">
        <v>24</v>
      </c>
      <c r="N168" t="n">
        <v>0</v>
      </c>
    </row>
    <row r="169" ht="15.75" customHeight="1" s="67">
      <c r="A169" t="inlineStr">
        <is>
          <t>HTF_DIRECTION_GATE_ENABLED</t>
        </is>
      </c>
      <c r="B169" t="inlineStr">
        <is>
          <t>False</t>
        </is>
      </c>
      <c r="D169" t="inlineStr">
        <is>
          <t>ENTRY, GLOBAL_CHECK, STOCKS_EXIT</t>
        </is>
      </c>
      <c r="E169">
        <f>IF(G103="",E102,IF(G103&gt;0,E102+G103,E102))</f>
        <v/>
      </c>
      <c r="G169">
        <f>IFERROR(VLOOKUP($A122&amp;"_"&amp;$B122,Results_Deltas!$A$2:$P$15000,5,FALSE),"")</f>
        <v/>
      </c>
      <c r="H169" t="inlineStr">
        <is>
          <t>Blanket (page end)</t>
        </is>
      </c>
      <c r="L169" t="inlineStr">
        <is>
          <t>YES</t>
        </is>
      </c>
      <c r="M169" t="n">
        <v>9</v>
      </c>
      <c r="N169" t="n">
        <v>0</v>
      </c>
    </row>
    <row r="170" ht="15.75" customHeight="1" s="67">
      <c r="A170" t="inlineStr">
        <is>
          <t>MTF_FILTER_STRONG_BUY_QUICK_BYPASS</t>
        </is>
      </c>
      <c r="B170" t="inlineStr">
        <is>
          <t>0.0</t>
        </is>
      </c>
      <c r="D170" t="inlineStr">
        <is>
          <t>GLOBAL_CHECK, STOCKS_EXIT</t>
        </is>
      </c>
      <c r="E170">
        <f>IF(G148="",E147,IF(G148&gt;0,E147+G148,E147))</f>
        <v/>
      </c>
      <c r="G170">
        <f>IFERROR(VLOOKUP($A167&amp;"_"&amp;$B167,Results_Deltas!$A$2:$P$15000,5,FALSE),"")</f>
        <v/>
      </c>
      <c r="H170" t="inlineStr">
        <is>
          <t>Blanket (page end)</t>
        </is>
      </c>
      <c r="L170" t="inlineStr">
        <is>
          <t>NO</t>
        </is>
      </c>
      <c r="M170" t="n">
        <v>24</v>
      </c>
      <c r="N170" t="n">
        <v>0</v>
      </c>
    </row>
    <row r="171" ht="15.75" customHeight="1" s="67">
      <c r="A171" t="inlineStr">
        <is>
          <t>MTF_FILTER_STRONG_BUY_QUICK_BYPASS</t>
        </is>
      </c>
      <c r="B171" t="inlineStr">
        <is>
          <t>0.0_ALT</t>
        </is>
      </c>
      <c r="D171" t="inlineStr">
        <is>
          <t>GLOBAL_CHECK, STOCKS_EXIT</t>
        </is>
      </c>
      <c r="E171">
        <f>IF(G149="",E148,IF(G149&gt;0,E148+G149,E148))</f>
        <v/>
      </c>
      <c r="G171">
        <f>IFERROR(VLOOKUP($A168&amp;"_"&amp;$B168,Results_Deltas!$A$2:$P$15000,5,FALSE),"")</f>
        <v/>
      </c>
      <c r="H171" t="inlineStr">
        <is>
          <t>Blanket (page end)</t>
        </is>
      </c>
      <c r="L171" t="inlineStr">
        <is>
          <t>NO</t>
        </is>
      </c>
      <c r="M171" t="n">
        <v>24</v>
      </c>
      <c r="N171" t="n">
        <v>0</v>
      </c>
    </row>
    <row r="172" ht="15.75" customHeight="1" s="67">
      <c r="A172" t="inlineStr">
        <is>
          <t>NEWBORN_LOSS_KILL_REQUIRE_VEL_AGAINST</t>
        </is>
      </c>
      <c r="B172" t="inlineStr">
        <is>
          <t>0.0</t>
        </is>
      </c>
      <c r="D172" t="inlineStr">
        <is>
          <t>AUGMENT, EXIT, GLOBAL_CHECK, REDUCE, STOCKS_EXIT</t>
        </is>
      </c>
      <c r="E172">
        <f>IF(G166="",E165,IF(G166&gt;0,E165+G166,E165))</f>
        <v/>
      </c>
      <c r="G172">
        <f>IFERROR(VLOOKUP($A185&amp;"_"&amp;$B185,Results_Deltas!$A$2:$P$15000,5,FALSE),"")</f>
        <v/>
      </c>
      <c r="H172" t="inlineStr">
        <is>
          <t>Blanket (page end)</t>
        </is>
      </c>
      <c r="L172" t="inlineStr">
        <is>
          <t>NO</t>
        </is>
      </c>
      <c r="M172" t="n">
        <v>24</v>
      </c>
      <c r="N172" t="n">
        <v>0</v>
      </c>
    </row>
    <row r="173" ht="15.75" customHeight="1" s="67">
      <c r="A173" t="inlineStr">
        <is>
          <t>NEWBORN_LOSS_KILL_REQUIRE_VEL_AGAINST</t>
        </is>
      </c>
      <c r="B173" t="inlineStr">
        <is>
          <t>0.0_ALT</t>
        </is>
      </c>
      <c r="D173" t="inlineStr">
        <is>
          <t>AUGMENT, EXIT, GLOBAL_CHECK, REDUCE, STOCKS_EXIT</t>
        </is>
      </c>
      <c r="E173">
        <f>IF(G167="",E166,IF(G167&gt;0,E166+G167,E166))</f>
        <v/>
      </c>
      <c r="G173">
        <f>IFERROR(VLOOKUP($A186&amp;"_"&amp;$B186,Results_Deltas!$A$2:$P$15000,5,FALSE),"")</f>
        <v/>
      </c>
      <c r="H173" t="inlineStr">
        <is>
          <t>Blanket (page end)</t>
        </is>
      </c>
      <c r="L173" t="inlineStr">
        <is>
          <t>NO</t>
        </is>
      </c>
      <c r="M173" t="n">
        <v>24</v>
      </c>
      <c r="N173" t="n">
        <v>0</v>
      </c>
    </row>
    <row r="174" ht="15.75" customHeight="1" s="67">
      <c r="A174" t="inlineStr">
        <is>
          <t>MANDATORY_REENTRY_WT_FILTER_MIN_VELOCITY</t>
        </is>
      </c>
      <c r="B174" t="inlineStr">
        <is>
          <t>0.0</t>
        </is>
      </c>
      <c r="D174" t="inlineStr">
        <is>
          <t>GLOBAL_CHECK, STOCKS_EXIT</t>
        </is>
      </c>
      <c r="E174">
        <f>IF(G134="",E133,IF(G134&gt;0,E133+G134,E133))</f>
        <v/>
      </c>
      <c r="G174">
        <f>IFERROR(VLOOKUP($A153&amp;"_"&amp;$B153,Results_Deltas!$A$2:$P$15000,5,FALSE),"")</f>
        <v/>
      </c>
      <c r="H174" t="inlineStr">
        <is>
          <t>Blanket (page end)</t>
        </is>
      </c>
      <c r="L174" t="inlineStr">
        <is>
          <t>YES</t>
        </is>
      </c>
      <c r="M174" t="n">
        <v>24</v>
      </c>
      <c r="N174" t="n">
        <v>0</v>
      </c>
    </row>
    <row r="175" ht="15.75" customHeight="1" s="67">
      <c r="A175" t="inlineStr">
        <is>
          <t>MANDATORY_REENTRY_WT_FILTER_MIN_VELOCITY</t>
        </is>
      </c>
      <c r="B175" t="inlineStr">
        <is>
          <t>0.0_ALT</t>
        </is>
      </c>
      <c r="D175" t="inlineStr">
        <is>
          <t>GLOBAL_CHECK, STOCKS_EXIT</t>
        </is>
      </c>
      <c r="E175">
        <f>IF(G135="",E134,IF(G135&gt;0,E134+G135,E134))</f>
        <v/>
      </c>
      <c r="G175">
        <f>IFERROR(VLOOKUP($A154&amp;"_"&amp;$B154,Results_Deltas!$A$2:$P$15000,5,FALSE),"")</f>
        <v/>
      </c>
      <c r="H175" t="inlineStr">
        <is>
          <t>Blanket (page end)</t>
        </is>
      </c>
      <c r="L175" t="inlineStr">
        <is>
          <t>NO</t>
        </is>
      </c>
      <c r="M175" t="n">
        <v>24</v>
      </c>
      <c r="N175" t="n">
        <v>0</v>
      </c>
    </row>
    <row r="176" ht="15.75" customHeight="1" s="67">
      <c r="A176" t="inlineStr">
        <is>
          <t>HTF_TREND_VETO_BYPASS_REASONS</t>
        </is>
      </c>
      <c r="B176" t="inlineStr">
        <is>
          <t>0.0</t>
        </is>
      </c>
      <c r="D176" t="inlineStr">
        <is>
          <t>GLOBAL_CHECK, STOCKS_EXIT</t>
        </is>
      </c>
      <c r="E176">
        <f>IF(G113="",E112,IF(G113&gt;0,E112+G113,E112))</f>
        <v/>
      </c>
      <c r="G176">
        <f>IFERROR(VLOOKUP($A132&amp;"_"&amp;$B132,Results_Deltas!$A$2:$P$15000,5,FALSE),"")</f>
        <v/>
      </c>
      <c r="H176" t="inlineStr">
        <is>
          <t>Blanket (page end)</t>
        </is>
      </c>
      <c r="L176" t="inlineStr">
        <is>
          <t>NO</t>
        </is>
      </c>
      <c r="M176" t="n">
        <v>24</v>
      </c>
      <c r="N176" t="n">
        <v>0</v>
      </c>
    </row>
    <row r="177" ht="15.75" customHeight="1" s="67">
      <c r="A177" t="inlineStr">
        <is>
          <t>NEWBORN_LOSS_KILL_GAIN_THRESHOLD_PCT</t>
        </is>
      </c>
      <c r="B177" t="inlineStr">
        <is>
          <t>0</t>
        </is>
      </c>
      <c r="D177" t="inlineStr">
        <is>
          <t>AUGMENT, EXIT, GLOBAL_CHECK, REDUCE, STOCKS_EXIT</t>
        </is>
      </c>
      <c r="E177">
        <f>IF(G162="",E161,IF(G162&gt;0,E161+G162,E161))</f>
        <v/>
      </c>
      <c r="G177">
        <f>IFERROR(VLOOKUP($A181&amp;"_"&amp;$B181,Results_Deltas!$A$2:$P$15000,5,FALSE),"")</f>
        <v/>
      </c>
      <c r="H177" t="inlineStr">
        <is>
          <t>Blanket (page end)</t>
        </is>
      </c>
      <c r="L177" t="inlineStr">
        <is>
          <t>YES</t>
        </is>
      </c>
      <c r="M177" t="n">
        <v>24</v>
      </c>
      <c r="N177" t="n">
        <v>0</v>
      </c>
    </row>
    <row r="178" ht="15.75" customHeight="1" s="67">
      <c r="A178" t="inlineStr">
        <is>
          <t>HTF_TREND_VETO_BYPASS_REASONS</t>
        </is>
      </c>
      <c r="B178" t="inlineStr">
        <is>
          <t>0.0_ALT</t>
        </is>
      </c>
      <c r="D178" t="inlineStr">
        <is>
          <t>GLOBAL_CHECK, STOCKS_EXIT</t>
        </is>
      </c>
      <c r="E178">
        <f>IF(G114="",E113,IF(G114&gt;0,E113+G114,E113))</f>
        <v/>
      </c>
      <c r="G178">
        <f>IFERROR(VLOOKUP($A133&amp;"_"&amp;$B133,Results_Deltas!$A$2:$P$15000,5,FALSE),"")</f>
        <v/>
      </c>
      <c r="H178" t="inlineStr">
        <is>
          <t>Blanket (page end)</t>
        </is>
      </c>
      <c r="L178" t="inlineStr">
        <is>
          <t>NO</t>
        </is>
      </c>
      <c r="M178" t="n">
        <v>24</v>
      </c>
      <c r="N178" t="n">
        <v>0</v>
      </c>
    </row>
    <row r="179" ht="15.75" customHeight="1" s="67">
      <c r="A179" t="inlineStr">
        <is>
          <t>MANDATORY_REENTRY_WT_FILTER_REQUIRE_FLIP</t>
        </is>
      </c>
      <c r="B179" t="inlineStr">
        <is>
          <t>False</t>
        </is>
      </c>
      <c r="D179" t="inlineStr">
        <is>
          <t>GLOBAL_CHECK, STOCKS_EXIT</t>
        </is>
      </c>
      <c r="E179">
        <f>IF(G136="",E135,IF(G136&gt;0,E135+G136,E135))</f>
        <v/>
      </c>
      <c r="G179">
        <f>IFERROR(VLOOKUP($A155&amp;"_"&amp;$B155,Results_Deltas!$A$2:$P$15000,5,FALSE),"")</f>
        <v/>
      </c>
      <c r="H179" t="inlineStr">
        <is>
          <t>Blanket (page end)</t>
        </is>
      </c>
      <c r="L179" t="inlineStr">
        <is>
          <t>YES</t>
        </is>
      </c>
      <c r="M179" t="n">
        <v>9</v>
      </c>
      <c r="N179" t="n">
        <v>0</v>
      </c>
    </row>
    <row r="180" ht="15.75" customHeight="1" s="67">
      <c r="A180" t="inlineStr">
        <is>
          <t>HTF_TREND_VETO_BYPASS_ENABLED</t>
        </is>
      </c>
      <c r="B180" t="inlineStr">
        <is>
          <t>False</t>
        </is>
      </c>
      <c r="D180" t="inlineStr">
        <is>
          <t>GLOBAL_CHECK, STOCKS_EXIT</t>
        </is>
      </c>
      <c r="E180">
        <f>IF(G111="",E110,IF(G111&gt;0,E110+G111,E110))</f>
        <v/>
      </c>
      <c r="G180">
        <f>IFERROR(VLOOKUP($A130&amp;"_"&amp;$B130,Results_Deltas!$A$2:$P$15000,5,FALSE),"")</f>
        <v/>
      </c>
      <c r="H180" t="inlineStr">
        <is>
          <t>Blanket (page end)</t>
        </is>
      </c>
      <c r="L180" t="inlineStr">
        <is>
          <t>NO</t>
        </is>
      </c>
      <c r="M180" t="n">
        <v>9</v>
      </c>
      <c r="N180" t="n">
        <v>0</v>
      </c>
    </row>
    <row r="181" ht="15.75" customHeight="1" s="67">
      <c r="A181" t="inlineStr">
        <is>
          <t>LIVE_VEC_EMERGENCY_BRAKE_ENABLED</t>
        </is>
      </c>
      <c r="B181" t="inlineStr">
        <is>
          <t>False</t>
        </is>
      </c>
      <c r="D181" t="inlineStr">
        <is>
          <t>GLOBAL_CHECK, STOCKS_EXIT</t>
        </is>
      </c>
      <c r="E181">
        <f>IF(G123="",E122,IF(G123&gt;0,E122+G123,E122))</f>
        <v/>
      </c>
      <c r="G181">
        <f>IFERROR(VLOOKUP($A142&amp;"_"&amp;$B142,Results_Deltas!$A$2:$P$15000,5,FALSE),"")</f>
        <v/>
      </c>
      <c r="H181" t="inlineStr">
        <is>
          <t>Blanket (page end)</t>
        </is>
      </c>
      <c r="L181" t="inlineStr">
        <is>
          <t>YES</t>
        </is>
      </c>
      <c r="M181" t="n">
        <v>9</v>
      </c>
      <c r="N181" t="n">
        <v>0</v>
      </c>
    </row>
    <row r="182" ht="15.75" customHeight="1" s="67">
      <c r="A182" t="inlineStr">
        <is>
          <t>DELTA_GATE_BB_SQUEEZE</t>
        </is>
      </c>
      <c r="B182" t="inlineStr">
        <is>
          <t>False</t>
        </is>
      </c>
      <c r="L182" t="inlineStr">
        <is>
          <t>NO</t>
        </is>
      </c>
      <c r="M182" t="n">
        <v>0</v>
      </c>
      <c r="N182" t="n">
        <v>0</v>
      </c>
    </row>
    <row r="183" ht="15.75" customHeight="1" s="67">
      <c r="A183" t="inlineStr">
        <is>
          <t>BB_PULLBACK_GATE_TF</t>
        </is>
      </c>
      <c r="B183" t="inlineStr">
        <is>
          <t>1h</t>
        </is>
      </c>
      <c r="E183">
        <f>IF(G10="",E9,IF(G10&gt;0,E9+G10,E9))</f>
        <v/>
      </c>
      <c r="G183">
        <f>IFERROR(VLOOKUP($A185&amp;"_"&amp;$B185,Results_Deltas!$A$2:$P$15000,5,FALSE),"")</f>
        <v/>
      </c>
      <c r="H183">
        <f>IFERROR(VLOOKUP($A185,Results_30d_Deltas!$A$2:$H$5000,7,FALSE)-E9,"")</f>
        <v/>
      </c>
      <c r="I183">
        <f>IFERROR(VLOOKUP($A185,Results_30d_Deltas!$A$2:$H$5000,6,FALSE),"")</f>
        <v/>
      </c>
      <c r="L183" t="inlineStr">
        <is>
          <t>NO</t>
        </is>
      </c>
      <c r="M183" t="n">
        <v>28</v>
      </c>
      <c r="N183" t="n">
        <v>0</v>
      </c>
    </row>
    <row r="184" ht="15.75" customHeight="1" s="67">
      <c r="A184" t="inlineStr">
        <is>
          <t>BB_SQUEEZE_WIDTH_PERCENTILE</t>
        </is>
      </c>
      <c r="B184" t="inlineStr">
        <is>
          <t>0.15</t>
        </is>
      </c>
      <c r="E184">
        <f>IF(G15="",E14,IF(G15&gt;0,E14+G15,E14))</f>
        <v/>
      </c>
      <c r="G184">
        <f>IFERROR(VLOOKUP($A190&amp;"_"&amp;$B190,Results_Deltas!$A$2:$P$15000,5,FALSE),"")</f>
        <v/>
      </c>
      <c r="H184">
        <f>IFERROR(VLOOKUP($A190,Results_30d_Deltas!$A$2:$H$5000,7,FALSE)-E14,"")</f>
        <v/>
      </c>
      <c r="I184">
        <f>IFERROR(VLOOKUP($A190,Results_30d_Deltas!$A$2:$H$5000,6,FALSE),"")</f>
        <v/>
      </c>
      <c r="L184" t="inlineStr">
        <is>
          <t>NO</t>
        </is>
      </c>
      <c r="M184" t="n">
        <v>28</v>
      </c>
      <c r="N184" t="n">
        <v>0</v>
      </c>
    </row>
    <row r="185" ht="10.5" customHeight="1" s="67">
      <c r="A185" t="inlineStr">
        <is>
          <t>WT_15M_BOUNCE_OPEN_ENABLED</t>
        </is>
      </c>
      <c r="B185" t="inlineStr">
        <is>
          <t>True</t>
        </is>
      </c>
      <c r="E185">
        <f>IF(G6="",E5,IF(G6&gt;0,E5+G6,E5))</f>
        <v/>
      </c>
      <c r="G185">
        <f>IFERROR(VLOOKUP($A4&amp;"_"&amp;$B4,Results_Deltas!$A$2:$P$15000,5,FALSE),"")</f>
        <v/>
      </c>
      <c r="H185">
        <f>IFERROR(VLOOKUP($A4,Results_30d_Deltas!$A$2:$H$5000,7,FALSE)-E3,"")</f>
        <v/>
      </c>
      <c r="I185">
        <f>IFERROR(VLOOKUP($A4,Results_30d_Deltas!$A$2:$H$5000,6,FALSE),"")</f>
        <v/>
      </c>
      <c r="L185" t="inlineStr">
        <is>
          <t>NO</t>
        </is>
      </c>
      <c r="M185" t="n">
        <v>28</v>
      </c>
      <c r="N185" t="n">
        <v>27.79463291762478</v>
      </c>
      <c r="DZ185" t="inlineStr">
        <is>
          <t>FIRST_OPEN_THROTTLE_FILTER_TF=OFF</t>
        </is>
      </c>
      <c r="EA185" t="inlineStr">
        <is>
          <t>FIRST_OPEN_THROTTLE_FILTER_TF=D</t>
        </is>
      </c>
      <c r="EB185" t="inlineStr">
        <is>
          <t>FIRST_OPEN_THROTTLE_FILTER_TF=4h</t>
        </is>
      </c>
      <c r="EC185" t="inlineStr">
        <is>
          <t>FIRST_OPEN_THROTTLE_FILTER_TF=1h</t>
        </is>
      </c>
      <c r="ED185" t="inlineStr">
        <is>
          <t>FIRST_OPEN_THROTTLE_FILTER_TF=15m</t>
        </is>
      </c>
      <c r="HK185" t="inlineStr">
        <is>
          <t>OPEN_INTENT_SIZE_GATES_FILTER_TF=OFF</t>
        </is>
      </c>
      <c r="HL185" t="inlineStr">
        <is>
          <t>OPEN_INTENT_SIZE_GATES_FILTER_TF=D</t>
        </is>
      </c>
      <c r="HM185" t="inlineStr">
        <is>
          <t>OPEN_INTENT_SIZE_GATES_FILTER_TF=4h</t>
        </is>
      </c>
      <c r="HN185" t="inlineStr">
        <is>
          <t>OPEN_INTENT_SIZE_GATES_FILTER_TF=1h</t>
        </is>
      </c>
      <c r="HO185" t="inlineStr">
        <is>
          <t>OPEN_INTENT_SIZE_GATES_FILTER_TF=15m</t>
        </is>
      </c>
      <c r="HZ185" t="inlineStr">
        <is>
          <t>WT_15M_BOUNCE_BB_MAX=0.95</t>
        </is>
      </c>
      <c r="IA185" t="inlineStr">
        <is>
          <t>WT_15M_BOUNCE_BB_MAX=0.9</t>
        </is>
      </c>
      <c r="IB185" t="inlineStr">
        <is>
          <t>WT_15M_BOUNCE_BB_MAX=0.8</t>
        </is>
      </c>
      <c r="IC185" t="inlineStr">
        <is>
          <t>WT_15M_BOUNCE_BB_MIN=0.05</t>
        </is>
      </c>
      <c r="ID185" t="inlineStr">
        <is>
          <t>WT_15M_BOUNCE_BB_MIN=0.1</t>
        </is>
      </c>
      <c r="IE185" t="inlineStr">
        <is>
          <t>WT_15M_BOUNCE_BB_MIN=0.2</t>
        </is>
      </c>
      <c r="IF185" t="inlineStr">
        <is>
          <t>WT_15M_BOUNCE_HIGH_1H_GT_PREV=True</t>
        </is>
      </c>
      <c r="IG185" t="inlineStr">
        <is>
          <t>WT_15M_BOUNCE_HIGH_1H_GT_PREV=False</t>
        </is>
      </c>
      <c r="IH185" t="inlineStr">
        <is>
          <t>WT_15M_BOUNCE_LOW_1H_GT_PREV=True</t>
        </is>
      </c>
      <c r="II185" t="inlineStr">
        <is>
          <t>WT_15M_BOUNCE_LOW_1H_GT_PREV=False</t>
        </is>
      </c>
      <c r="IJ185" t="inlineStr">
        <is>
          <t>WT_15M_BOUNCE_REL_VOL_GT_1=True</t>
        </is>
      </c>
      <c r="IK185" t="inlineStr">
        <is>
          <t>WT_15M_BOUNCE_REL_VOL_GT_1=False</t>
        </is>
      </c>
      <c r="IM185" t="inlineStr">
        <is>
          <t>ez_manage.py:6076 top()</t>
        </is>
      </c>
      <c r="IN185" t="inlineStr">
        <is>
          <t>v12_quick_engine.py:4288 x7</t>
        </is>
      </c>
    </row>
    <row r="186" ht="15.75" customHeight="1" s="67">
      <c r="A186" t="inlineStr">
        <is>
          <t>BB_SQUEEZE_ENTRY_ENABLED</t>
        </is>
      </c>
      <c r="B186" t="inlineStr">
        <is>
          <t>False</t>
        </is>
      </c>
      <c r="E186">
        <f>IF(G5="",E4,IF(G5&gt;0,E4+G5,E4))</f>
        <v/>
      </c>
      <c r="G186">
        <f>IFERROR(VLOOKUP($A6&amp;"_"&amp;$B6,Results_Deltas!$A$2:$P$15000,5,FALSE),"")</f>
        <v/>
      </c>
      <c r="H186">
        <f>IFERROR(VLOOKUP(#REF!,Results_30d_Deltas!$A$2:$H$5000,7,FALSE)-E4,"")</f>
        <v/>
      </c>
      <c r="I186">
        <f>IFERROR(VLOOKUP(#REF!,Results_30d_Deltas!$A$2:$H$5000,6,FALSE),"")</f>
        <v/>
      </c>
      <c r="L186" t="inlineStr">
        <is>
          <t>NO</t>
        </is>
      </c>
      <c r="M186" t="n">
        <v>0</v>
      </c>
      <c r="N186" t="n">
        <v>0</v>
      </c>
      <c r="FK186" t="inlineStr">
        <is>
          <t>LIVE_ENTRY_ENGINE_FILTER_TF=OFF</t>
        </is>
      </c>
      <c r="FL186" t="inlineStr">
        <is>
          <t>LIVE_ENTRY_ENGINE_FILTER_TF=D</t>
        </is>
      </c>
      <c r="FM186" t="inlineStr">
        <is>
          <t>LIVE_ENTRY_ENGINE_FILTER_TF=4h</t>
        </is>
      </c>
      <c r="FN186" t="inlineStr">
        <is>
          <t>LIVE_ENTRY_ENGINE_FILTER_TF=1h</t>
        </is>
      </c>
      <c r="FO186" t="inlineStr">
        <is>
          <t>LIVE_ENTRY_ENGINE_FILTER_TF=15m</t>
        </is>
      </c>
      <c r="HZ186" t="inlineStr">
        <is>
          <t>WT_15M_BOUNCE_BB_MAX=0.95</t>
        </is>
      </c>
      <c r="IA186" t="inlineStr">
        <is>
          <t>WT_15M_BOUNCE_BB_MAX=0.9</t>
        </is>
      </c>
      <c r="IB186" t="inlineStr">
        <is>
          <t>WT_15M_BOUNCE_BB_MAX=0.8</t>
        </is>
      </c>
      <c r="IC186" t="inlineStr">
        <is>
          <t>WT_15M_BOUNCE_BB_MIN=0.05</t>
        </is>
      </c>
      <c r="ID186" t="inlineStr">
        <is>
          <t>WT_15M_BOUNCE_BB_MIN=0.1</t>
        </is>
      </c>
      <c r="IE186" t="inlineStr">
        <is>
          <t>WT_15M_BOUNCE_BB_MIN=0.2</t>
        </is>
      </c>
      <c r="IF186" t="inlineStr">
        <is>
          <t>WT_15M_BOUNCE_HIGH_1H_GT_PREV=True</t>
        </is>
      </c>
      <c r="IG186" t="inlineStr">
        <is>
          <t>WT_15M_BOUNCE_HIGH_1H_GT_PREV=False</t>
        </is>
      </c>
      <c r="IH186" t="inlineStr">
        <is>
          <t>WT_15M_BOUNCE_LOW_1H_GT_PREV=True</t>
        </is>
      </c>
      <c r="II186" t="inlineStr">
        <is>
          <t>WT_15M_BOUNCE_LOW_1H_GT_PREV=False</t>
        </is>
      </c>
      <c r="IJ186" t="inlineStr">
        <is>
          <t>WT_15M_BOUNCE_REL_VOL_GT_1=True</t>
        </is>
      </c>
      <c r="IK186" t="inlineStr">
        <is>
          <t>WT_15M_BOUNCE_REL_VOL_GT_1=False</t>
        </is>
      </c>
      <c r="IM186" t="inlineStr">
        <is>
          <t>ez_manage.py:4371 top()</t>
        </is>
      </c>
      <c r="IN186" t="inlineStr">
        <is>
          <t>v12_quick_engine.py:889 x9</t>
        </is>
      </c>
    </row>
    <row r="187" ht="15.75" customHeight="1" s="67">
      <c r="A187" t="inlineStr">
        <is>
          <t>BB_PULLBACK_GATE_TF</t>
        </is>
      </c>
      <c r="B187" t="inlineStr">
        <is>
          <t>D</t>
        </is>
      </c>
      <c r="E187">
        <f>IF(G8="",E7,IF(G8&gt;0,E7+G8,E7))</f>
        <v/>
      </c>
      <c r="G187">
        <f>IFERROR(VLOOKUP($A183&amp;"_"&amp;$B183,Results_Deltas!$A$2:$P$15000,5,FALSE),"")</f>
        <v/>
      </c>
      <c r="H187">
        <f>IFERROR(VLOOKUP($A183,Results_30d_Deltas!$A$2:$H$5000,7,FALSE)-E7,"")</f>
        <v/>
      </c>
      <c r="I187">
        <f>IFERROR(VLOOKUP($A183,Results_30d_Deltas!$A$2:$H$5000,6,FALSE),"")</f>
        <v/>
      </c>
      <c r="L187" t="inlineStr">
        <is>
          <t>NO</t>
        </is>
      </c>
      <c r="M187" t="n">
        <v>28</v>
      </c>
      <c r="N187" t="n">
        <v>1.40342086460794</v>
      </c>
    </row>
    <row r="188" ht="10.5" customHeight="1" s="67">
      <c r="A188" t="inlineStr">
        <is>
          <t>WT_15M_BOUNCE_OPEN_ENABLED</t>
        </is>
      </c>
      <c r="B188" t="inlineStr">
        <is>
          <t>False</t>
        </is>
      </c>
      <c r="E188">
        <f>TEMPLATE_BASELINE_METRICS!B2</f>
        <v/>
      </c>
      <c r="G188">
        <f>IFERROR(VLOOKUP($A3&amp;"="&amp;$B3,Results_Deltas!$A$2:$P$15000,5,FALSE),"")</f>
        <v/>
      </c>
      <c r="H188">
        <f>IFERROR(VLOOKUP($A3,Results_30d_Deltas!$A$2:$H$5000,7,FALSE)-E3,"")</f>
        <v/>
      </c>
      <c r="I188">
        <f>IFERROR(VLOOKUP($A3,Results_30d_Deltas!$A$2:$H$5000,6,FALSE),"")</f>
        <v/>
      </c>
      <c r="L188" t="inlineStr">
        <is>
          <t>YES</t>
        </is>
      </c>
      <c r="M188" t="n">
        <v>13</v>
      </c>
      <c r="N188" t="n">
        <v>13.01499742642773</v>
      </c>
      <c r="DZ188" t="inlineStr">
        <is>
          <t>FIRST_OPEN_THROTTLE_FILTER_TF=OFF</t>
        </is>
      </c>
      <c r="EA188" t="inlineStr">
        <is>
          <t>FIRST_OPEN_THROTTLE_FILTER_TF=D</t>
        </is>
      </c>
      <c r="EB188" t="inlineStr">
        <is>
          <t>FIRST_OPEN_THROTTLE_FILTER_TF=4h</t>
        </is>
      </c>
      <c r="EC188" t="inlineStr">
        <is>
          <t>FIRST_OPEN_THROTTLE_FILTER_TF=1h</t>
        </is>
      </c>
      <c r="ED188" t="inlineStr">
        <is>
          <t>FIRST_OPEN_THROTTLE_FILTER_TF=15m</t>
        </is>
      </c>
      <c r="HK188" t="inlineStr">
        <is>
          <t>OPEN_INTENT_SIZE_GATES_FILTER_TF=OFF</t>
        </is>
      </c>
      <c r="HL188" t="inlineStr">
        <is>
          <t>OPEN_INTENT_SIZE_GATES_FILTER_TF=D</t>
        </is>
      </c>
      <c r="HM188" t="inlineStr">
        <is>
          <t>OPEN_INTENT_SIZE_GATES_FILTER_TF=4h</t>
        </is>
      </c>
      <c r="HN188" t="inlineStr">
        <is>
          <t>OPEN_INTENT_SIZE_GATES_FILTER_TF=1h</t>
        </is>
      </c>
      <c r="HO188" t="inlineStr">
        <is>
          <t>OPEN_INTENT_SIZE_GATES_FILTER_TF=15m</t>
        </is>
      </c>
      <c r="HZ188" t="inlineStr">
        <is>
          <t>WT_15M_BOUNCE_BB_MAX=0.95</t>
        </is>
      </c>
      <c r="IA188" t="inlineStr">
        <is>
          <t>WT_15M_BOUNCE_BB_MAX=0.9</t>
        </is>
      </c>
      <c r="IB188" t="inlineStr">
        <is>
          <t>WT_15M_BOUNCE_BB_MAX=0.8</t>
        </is>
      </c>
      <c r="IC188" t="inlineStr">
        <is>
          <t>WT_15M_BOUNCE_BB_MIN=0.05</t>
        </is>
      </c>
      <c r="ID188" t="inlineStr">
        <is>
          <t>WT_15M_BOUNCE_BB_MIN=0.1</t>
        </is>
      </c>
      <c r="IE188" t="inlineStr">
        <is>
          <t>WT_15M_BOUNCE_BB_MIN=0.2</t>
        </is>
      </c>
      <c r="IF188" t="inlineStr">
        <is>
          <t>WT_15M_BOUNCE_HIGH_1H_GT_PREV=True</t>
        </is>
      </c>
      <c r="IG188" t="inlineStr">
        <is>
          <t>WT_15M_BOUNCE_HIGH_1H_GT_PREV=False</t>
        </is>
      </c>
      <c r="IH188" t="inlineStr">
        <is>
          <t>WT_15M_BOUNCE_LOW_1H_GT_PREV=True</t>
        </is>
      </c>
      <c r="II188" t="inlineStr">
        <is>
          <t>WT_15M_BOUNCE_LOW_1H_GT_PREV=False</t>
        </is>
      </c>
      <c r="IJ188" t="inlineStr">
        <is>
          <t>WT_15M_BOUNCE_REL_VOL_GT_1=True</t>
        </is>
      </c>
      <c r="IK188" t="inlineStr">
        <is>
          <t>WT_15M_BOUNCE_REL_VOL_GT_1=False</t>
        </is>
      </c>
      <c r="IM188" t="inlineStr">
        <is>
          <t>ez_manage.py:6076 top()</t>
        </is>
      </c>
      <c r="IN188" t="inlineStr">
        <is>
          <t>v12_quick_engine.py:4288 x7</t>
        </is>
      </c>
    </row>
    <row r="189" ht="15.75" customHeight="1" s="67">
      <c r="A189" t="inlineStr">
        <is>
          <t>BB_PULLBACK_GATE_TF</t>
        </is>
      </c>
      <c r="B189" t="inlineStr">
        <is>
          <t>4h</t>
        </is>
      </c>
      <c r="E189">
        <f>IF(G9="",E8,IF(G9&gt;0,E8+G9,E8))</f>
        <v/>
      </c>
      <c r="G189">
        <f>IFERROR(VLOOKUP($A184&amp;"_"&amp;$B184,Results_Deltas!$A$2:$P$15000,5,FALSE),"")</f>
        <v/>
      </c>
      <c r="H189">
        <f>IFERROR(VLOOKUP($A184,Results_30d_Deltas!$A$2:$H$5000,7,FALSE)-E8,"")</f>
        <v/>
      </c>
      <c r="I189">
        <f>IFERROR(VLOOKUP($A184,Results_30d_Deltas!$A$2:$H$5000,6,FALSE),"")</f>
        <v/>
      </c>
      <c r="L189" t="inlineStr">
        <is>
          <t>NO</t>
        </is>
      </c>
      <c r="M189" t="n">
        <v>28</v>
      </c>
      <c r="N189" t="n">
        <v>0</v>
      </c>
    </row>
    <row r="190" ht="10.5" customHeight="1" s="67">
      <c r="A190" t="inlineStr">
        <is>
          <t>BB_SQUEEZE_ENTRY_ENABLED</t>
        </is>
      </c>
      <c r="B190" t="inlineStr">
        <is>
          <t>True</t>
        </is>
      </c>
      <c r="E190">
        <f>IF(G4="",E3,IF(G4&gt;0,E3+G4,E3))</f>
        <v/>
      </c>
      <c r="G190">
        <f>IFERROR(VLOOKUP($A5&amp;"_"&amp;$B5,Results_Deltas!$A$2:$P$15000,5,FALSE),"")</f>
        <v/>
      </c>
      <c r="H190">
        <f>IFERROR(VLOOKUP($A5,Results_30d_Deltas!$A$2:$H$5000,7,FALSE)-E4,"")</f>
        <v/>
      </c>
      <c r="I190">
        <f>IFERROR(VLOOKUP($A5,Results_30d_Deltas!$A$2:$H$5000,6,FALSE),"")</f>
        <v/>
      </c>
      <c r="L190" t="inlineStr">
        <is>
          <t>YES</t>
        </is>
      </c>
      <c r="M190" t="n">
        <v>28</v>
      </c>
      <c r="N190" t="n">
        <v>0.3405356141858173</v>
      </c>
      <c r="FK190" t="inlineStr">
        <is>
          <t>LIVE_ENTRY_ENGINE_FILTER_TF=OFF</t>
        </is>
      </c>
      <c r="FL190" t="inlineStr">
        <is>
          <t>LIVE_ENTRY_ENGINE_FILTER_TF=D</t>
        </is>
      </c>
      <c r="FM190" t="inlineStr">
        <is>
          <t>LIVE_ENTRY_ENGINE_FILTER_TF=4h</t>
        </is>
      </c>
      <c r="FN190" t="inlineStr">
        <is>
          <t>LIVE_ENTRY_ENGINE_FILTER_TF=1h</t>
        </is>
      </c>
      <c r="FO190" t="inlineStr">
        <is>
          <t>LIVE_ENTRY_ENGINE_FILTER_TF=15m</t>
        </is>
      </c>
      <c r="HZ190" t="inlineStr">
        <is>
          <t>WT_15M_BOUNCE_BB_MAX=0.95</t>
        </is>
      </c>
      <c r="IA190" t="inlineStr">
        <is>
          <t>WT_15M_BOUNCE_BB_MAX=0.9</t>
        </is>
      </c>
      <c r="IB190" t="inlineStr">
        <is>
          <t>WT_15M_BOUNCE_BB_MAX=0.8</t>
        </is>
      </c>
      <c r="IC190" t="inlineStr">
        <is>
          <t>WT_15M_BOUNCE_BB_MIN=0.05</t>
        </is>
      </c>
      <c r="ID190" t="inlineStr">
        <is>
          <t>WT_15M_BOUNCE_BB_MIN=0.1</t>
        </is>
      </c>
      <c r="IE190" t="inlineStr">
        <is>
          <t>WT_15M_BOUNCE_BB_MIN=0.2</t>
        </is>
      </c>
      <c r="IF190" t="inlineStr">
        <is>
          <t>WT_15M_BOUNCE_HIGH_1H_GT_PREV=True</t>
        </is>
      </c>
      <c r="IG190" t="inlineStr">
        <is>
          <t>WT_15M_BOUNCE_HIGH_1H_GT_PREV=False</t>
        </is>
      </c>
      <c r="IH190" t="inlineStr">
        <is>
          <t>WT_15M_BOUNCE_LOW_1H_GT_PREV=True</t>
        </is>
      </c>
      <c r="II190" t="inlineStr">
        <is>
          <t>WT_15M_BOUNCE_LOW_1H_GT_PREV=False</t>
        </is>
      </c>
      <c r="IJ190" t="inlineStr">
        <is>
          <t>WT_15M_BOUNCE_REL_VOL_GT_1=True</t>
        </is>
      </c>
      <c r="IK190" t="inlineStr">
        <is>
          <t>WT_15M_BOUNCE_REL_VOL_GT_1=False</t>
        </is>
      </c>
      <c r="IM190" t="inlineStr">
        <is>
          <t>ez_manage.py:4371 top()</t>
        </is>
      </c>
      <c r="IN190" t="inlineStr">
        <is>
          <t>v12_quick_engine.py:889 x9</t>
        </is>
      </c>
    </row>
    <row r="191" ht="15.75" customHeight="1" s="67">
      <c r="A191" t="inlineStr">
        <is>
          <t>BB_PULLBACK_GATE_TF</t>
        </is>
      </c>
      <c r="B191" t="inlineStr">
        <is>
          <t>15m</t>
        </is>
      </c>
      <c r="E191">
        <f>IF(G11="",E10,IF(G11&gt;0,E10+G11,E10))</f>
        <v/>
      </c>
      <c r="G191">
        <f>IFERROR(VLOOKUP($A186&amp;"_"&amp;$B186,Results_Deltas!$A$2:$P$15000,5,FALSE),"")</f>
        <v/>
      </c>
      <c r="H191">
        <f>IFERROR(VLOOKUP($A186,Results_30d_Deltas!$A$2:$H$5000,7,FALSE)-E10,"")</f>
        <v/>
      </c>
      <c r="I191">
        <f>IFERROR(VLOOKUP($A186,Results_30d_Deltas!$A$2:$H$5000,6,FALSE),"")</f>
        <v/>
      </c>
      <c r="L191" t="inlineStr">
        <is>
          <t>YES</t>
        </is>
      </c>
      <c r="M191" t="n">
        <v>13</v>
      </c>
      <c r="N191" t="n">
        <v>0</v>
      </c>
    </row>
    <row r="192" ht="15.75" customHeight="1" s="67">
      <c r="A192" t="inlineStr">
        <is>
          <t>BB_SQUEEZE_WIDTH_PERCENTILE</t>
        </is>
      </c>
      <c r="B192" t="inlineStr">
        <is>
          <t>0.2</t>
        </is>
      </c>
      <c r="E192">
        <f>IF(G16="",E15,IF(G16&gt;0,E15+G16,E15))</f>
        <v/>
      </c>
      <c r="G192">
        <f>IFERROR(VLOOKUP($A191&amp;"_"&amp;$B191,Results_Deltas!$A$2:$P$15000,5,FALSE),"")</f>
        <v/>
      </c>
      <c r="H192">
        <f>IFERROR(VLOOKUP($A191,Results_30d_Deltas!$A$2:$H$5000,7,FALSE)-E15,"")</f>
        <v/>
      </c>
      <c r="I192">
        <f>IFERROR(VLOOKUP($A191,Results_30d_Deltas!$A$2:$H$5000,6,FALSE),"")</f>
        <v/>
      </c>
      <c r="L192" t="inlineStr">
        <is>
          <t>YES</t>
        </is>
      </c>
      <c r="M192" t="n">
        <v>28</v>
      </c>
      <c r="N192" t="n">
        <v>0</v>
      </c>
    </row>
    <row r="193" ht="15.75" customHeight="1" s="67">
      <c r="A193" t="inlineStr">
        <is>
          <t>BB_BOUNCE_ENTRY_TF</t>
        </is>
      </c>
      <c r="B193" t="inlineStr">
        <is>
          <t>D</t>
        </is>
      </c>
      <c r="D193" t="inlineStr">
        <is>
          <t>BOUNCE_BB</t>
        </is>
      </c>
      <c r="G193">
        <f>IFERROR(VLOOKUP($A198&amp;"_"&amp;$B198,Results_Deltas!$A$2:$P$15000,5,FALSE),"")</f>
        <v/>
      </c>
      <c r="L193" t="inlineStr">
        <is>
          <t>NO</t>
        </is>
      </c>
      <c r="M193" t="n">
        <v>0</v>
      </c>
      <c r="N193" t="n">
        <v>0</v>
      </c>
    </row>
    <row r="194" ht="15.75" customHeight="1" s="67">
      <c r="A194" t="inlineStr">
        <is>
          <t>BB_BOUNCE_ENTRY_TF</t>
        </is>
      </c>
      <c r="B194" t="inlineStr">
        <is>
          <t>OFF</t>
        </is>
      </c>
      <c r="D194" t="inlineStr">
        <is>
          <t>BOUNCE_BB</t>
        </is>
      </c>
      <c r="G194">
        <f>IFERROR(VLOOKUP($A194&amp;"_"&amp;$B194,Results_Deltas!$A$2:$P$15000,5,FALSE),"")</f>
        <v/>
      </c>
      <c r="L194" t="inlineStr">
        <is>
          <t>YES</t>
        </is>
      </c>
      <c r="M194" t="n">
        <v>0</v>
      </c>
      <c r="N194" t="n">
        <v>0</v>
      </c>
    </row>
    <row r="195" ht="15.75" customHeight="1" s="67">
      <c r="A195" t="inlineStr">
        <is>
          <t>BB_BOUNCE_ENTRY_TF</t>
        </is>
      </c>
      <c r="B195" t="inlineStr">
        <is>
          <t>15m</t>
        </is>
      </c>
      <c r="D195" t="inlineStr">
        <is>
          <t>BOUNCE_BB</t>
        </is>
      </c>
      <c r="G195">
        <f>IFERROR(VLOOKUP($A195&amp;"_"&amp;$B195,Results_Deltas!$A$2:$P$15000,5,FALSE),"")</f>
        <v/>
      </c>
      <c r="L195" t="inlineStr">
        <is>
          <t>NO</t>
        </is>
      </c>
      <c r="M195" t="n">
        <v>0</v>
      </c>
      <c r="N195" t="n">
        <v>0</v>
      </c>
    </row>
    <row r="196" ht="15.75" customHeight="1" s="67">
      <c r="A196" t="inlineStr">
        <is>
          <t>BB_BOUNCE_ENTRY_TF</t>
        </is>
      </c>
      <c r="B196" t="inlineStr">
        <is>
          <t>1h</t>
        </is>
      </c>
      <c r="D196" t="inlineStr">
        <is>
          <t>BOUNCE_BB</t>
        </is>
      </c>
      <c r="G196">
        <f>IFERROR(VLOOKUP($A196&amp;"_"&amp;$B196,Results_Deltas!$A$2:$P$15000,5,FALSE),"")</f>
        <v/>
      </c>
      <c r="L196" t="inlineStr">
        <is>
          <t>NO</t>
        </is>
      </c>
      <c r="M196" t="n">
        <v>0</v>
      </c>
      <c r="N196" t="n">
        <v>0</v>
      </c>
    </row>
    <row r="197" ht="15.75" customHeight="1" s="67">
      <c r="A197" t="inlineStr">
        <is>
          <t>BB_BOUNCE_ENTRY_TF</t>
        </is>
      </c>
      <c r="B197" t="inlineStr">
        <is>
          <t>4h</t>
        </is>
      </c>
      <c r="D197" t="inlineStr">
        <is>
          <t>BOUNCE_BB</t>
        </is>
      </c>
      <c r="G197">
        <f>IFERROR(VLOOKUP($A197&amp;"_"&amp;$B197,Results_Deltas!$A$2:$P$15000,5,FALSE),"")</f>
        <v/>
      </c>
      <c r="L197" t="inlineStr">
        <is>
          <t>NO</t>
        </is>
      </c>
      <c r="M197" t="n">
        <v>0</v>
      </c>
      <c r="N197" t="n">
        <v>0</v>
      </c>
    </row>
    <row r="198" ht="15.75" customHeight="1" s="67">
      <c r="A198" t="inlineStr">
        <is>
          <t>DELTA_GATE_BB_SQUEEZE</t>
        </is>
      </c>
      <c r="B198" t="inlineStr">
        <is>
          <t>True</t>
        </is>
      </c>
      <c r="E198">
        <f>IF(G12="",E11,IF(G12&gt;0,E11+G12,E11))</f>
        <v/>
      </c>
      <c r="G198">
        <f>IFERROR(VLOOKUP($A187&amp;"_"&amp;$B187,Results_Deltas!$A$2:$P$15000,5,FALSE),"")</f>
        <v/>
      </c>
      <c r="H198">
        <f>IFERROR(VLOOKUP($A187,Results_30d_Deltas!$A$2:$H$5000,7,FALSE)-E11,"")</f>
        <v/>
      </c>
      <c r="I198">
        <f>IFERROR(VLOOKUP($A187,Results_30d_Deltas!$A$2:$H$5000,6,FALSE),"")</f>
        <v/>
      </c>
      <c r="L198" t="inlineStr">
        <is>
          <t>YES</t>
        </is>
      </c>
      <c r="M198" t="n">
        <v>13</v>
      </c>
      <c r="N198"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row>
    <row r="3" s="67">
      <c r="A3" t="inlineStr">
        <is>
          <t>STDEV_SLOPE_SIZING_D_MAX</t>
        </is>
      </c>
      <c r="B3" t="n">
        <v>1</v>
      </c>
      <c r="D3" t="inlineStr">
        <is>
          <t>STDEV_LADDER</t>
        </is>
      </c>
      <c r="E3">
        <f>IF(G6="",E5,IF(G6&gt;0,E5+G6,E5))</f>
        <v/>
      </c>
      <c r="F3">
        <f>IFERROR(VLOOKUP($A21&amp;"="&amp;$B21,Results_Deltas!$A$2:$P$15000,5,FALSE),"")</f>
        <v/>
      </c>
      <c r="G3">
        <f>IFERROR(VLOOKUP($A21,Results_30d_Deltas!$A$2:$H$5000,7,FALSE)-E21,"")</f>
        <v/>
      </c>
      <c r="H3">
        <f>IFERROR(VLOOKUP($A21,Results_30d_Deltas!$A$2:$H$5000,6,FALSE),"")</f>
        <v/>
      </c>
      <c r="L3" t="inlineStr">
        <is>
          <t>NO</t>
        </is>
      </c>
      <c r="M3" t="n">
        <v>0</v>
      </c>
      <c r="N3" t="n">
        <v>0</v>
      </c>
    </row>
    <row r="4" s="67">
      <c r="A4" t="inlineStr">
        <is>
          <t>STDEV_SLOPE_SIZING_4H_MAX</t>
        </is>
      </c>
      <c r="B4" t="n">
        <v>1</v>
      </c>
      <c r="D4" t="inlineStr">
        <is>
          <t>STDEV_LADDER</t>
        </is>
      </c>
      <c r="E4">
        <f>IF(G7="",E6,IF(G7&gt;0,E6+G7,E6))</f>
        <v/>
      </c>
      <c r="F4">
        <f>IFERROR(VLOOKUP($A22&amp;"="&amp;$B22,Results_Deltas!$A$2:$P$15000,5,FALSE),"")</f>
        <v/>
      </c>
      <c r="G4">
        <f>IFERROR(VLOOKUP($A22,Results_30d_Deltas!$A$2:$H$5000,7,FALSE)-E22,"")</f>
        <v/>
      </c>
      <c r="H4">
        <f>IFERROR(VLOOKUP($A22,Results_30d_Deltas!$A$2:$H$5000,6,FALSE),"")</f>
        <v/>
      </c>
      <c r="L4" t="inlineStr">
        <is>
          <t>NO</t>
        </is>
      </c>
      <c r="M4" t="n">
        <v>0</v>
      </c>
      <c r="N4" t="n">
        <v>0</v>
      </c>
    </row>
    <row r="5" s="67">
      <c r="A5" t="inlineStr">
        <is>
          <t>STDEV_SLOPE_SIZING_D_MAX</t>
        </is>
      </c>
      <c r="B5" t="n">
        <v>10</v>
      </c>
      <c r="D5" t="inlineStr">
        <is>
          <t>STDEV_LADDER</t>
        </is>
      </c>
      <c r="E5">
        <f>IF(G3="",E2,IF(G3&gt;0,E2+G3,E2))</f>
        <v/>
      </c>
      <c r="G5">
        <f>IFERROR(VLOOKUP($A5&amp;"_"&amp;$B5,Results_Deltas!$A$2:$P$15000,5,FALSE),"")</f>
        <v/>
      </c>
      <c r="H5">
        <f>IFERROR(VLOOKUP($A3,Results_30d_Deltas!$A$2:$H$5000,7,FALSE)-E3,"")</f>
        <v/>
      </c>
      <c r="I5">
        <f>IFERROR(VLOOKUP($A3,Results_30d_Deltas!$A$2:$H$5000,6,FALSE),"")</f>
        <v/>
      </c>
      <c r="L5" t="inlineStr">
        <is>
          <t>YES</t>
        </is>
      </c>
      <c r="M5" t="n">
        <v>6</v>
      </c>
      <c r="N5" t="n">
        <v>0</v>
      </c>
    </row>
    <row r="6" s="67">
      <c r="A6" t="inlineStr">
        <is>
          <t>STDEV_SLOPE_SIZING_1H_MAX</t>
        </is>
      </c>
      <c r="B6" t="n">
        <v>2</v>
      </c>
      <c r="D6" t="inlineStr">
        <is>
          <t>STDEV_LADDER</t>
        </is>
      </c>
      <c r="E6">
        <f>IF(G5="",E4,IF(G5&gt;0,E4+G5,E4))</f>
        <v/>
      </c>
      <c r="G6">
        <f>IFERROR(VLOOKUP($A7&amp;"_"&amp;$B7,Results_Deltas!$A$2:$P$15000,5,FALSE),"")</f>
        <v/>
      </c>
      <c r="H6">
        <f>IFERROR(VLOOKUP($A3,Results_30d_Deltas!$A$2:$H$5000,7,FALSE)-E3,"")</f>
        <v/>
      </c>
      <c r="I6">
        <f>IFERROR(VLOOKUP($A3,Results_30d_Deltas!$A$2:$H$5000,6,FALSE),"")</f>
        <v/>
      </c>
      <c r="L6" t="inlineStr">
        <is>
          <t>YES</t>
        </is>
      </c>
      <c r="M6" t="n">
        <v>6</v>
      </c>
      <c r="N6" t="n">
        <v>0</v>
      </c>
    </row>
    <row r="7" s="67">
      <c r="A7" t="inlineStr">
        <is>
          <t>STDEV_SLOPE_SIZING_4H_MAX</t>
        </is>
      </c>
      <c r="B7" t="n">
        <v>4</v>
      </c>
      <c r="D7" t="inlineStr">
        <is>
          <t>STDEV_LADDER</t>
        </is>
      </c>
      <c r="E7">
        <f>IF(G4="",E3,IF(G4&gt;0,E3+G4,E3))</f>
        <v/>
      </c>
      <c r="G7">
        <f>IFERROR(VLOOKUP($A6&amp;"_"&amp;$B6,Results_Deltas!$A$2:$P$15000,5,FALSE),"")</f>
        <v/>
      </c>
      <c r="H7">
        <f>IFERROR(VLOOKUP($A3,Results_30d_Deltas!$A$2:$H$5000,7,FALSE)-E3,"")</f>
        <v/>
      </c>
      <c r="I7">
        <f>IFERROR(VLOOKUP($A3,Results_30d_Deltas!$A$2:$H$5000,6,FALSE),"")</f>
        <v/>
      </c>
      <c r="L7" t="inlineStr">
        <is>
          <t>YES</t>
        </is>
      </c>
      <c r="M7" t="n">
        <v>6</v>
      </c>
      <c r="N7" t="n">
        <v>0</v>
      </c>
    </row>
    <row r="8" s="67">
      <c r="A8" t="inlineStr">
        <is>
          <t>STDEV_SLOPE_SIZING_1H_MAX</t>
        </is>
      </c>
      <c r="B8" t="n">
        <v>1</v>
      </c>
      <c r="D8" t="inlineStr">
        <is>
          <t>STDEV_LADDER</t>
        </is>
      </c>
      <c r="E8">
        <f>IF(G8="",E7,IF(G8&gt;0,E7+G8,E7))</f>
        <v/>
      </c>
      <c r="F8">
        <f>IFERROR(VLOOKUP($A23&amp;"="&amp;$B23,Results_Deltas!$A$2:$P$15000,5,FALSE),"")</f>
        <v/>
      </c>
      <c r="G8">
        <f>IFERROR(VLOOKUP($A23,Results_30d_Deltas!$A$2:$H$5000,7,FALSE)-E23,"")</f>
        <v/>
      </c>
      <c r="H8">
        <f>IFERROR(VLOOKUP($A23,Results_30d_Deltas!$A$2:$H$5000,6,FALSE),"")</f>
        <v/>
      </c>
      <c r="L8" t="inlineStr">
        <is>
          <t>NO</t>
        </is>
      </c>
      <c r="M8" t="n">
        <v>0</v>
      </c>
      <c r="N8"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IFERROR(VLOOKUP($A264&amp;"_"&amp;$B264,Results_Deltas!$A$2:$P$15000,5,FALSE),"")</f>
        <v/>
      </c>
      <c r="H3" t="inlineStr">
        <is>
          <t>Blanket (page end)</t>
        </is>
      </c>
      <c r="L3" t="inlineStr">
        <is>
          <t>YES</t>
        </is>
      </c>
      <c r="M3" t="n">
        <v>27</v>
      </c>
      <c r="N3" t="n">
        <v>0</v>
      </c>
    </row>
    <row r="4" ht="10.5" customHeight="1" s="67">
      <c r="A4" t="inlineStr">
        <is>
          <t>DUP_GUARD_FILTER_TF</t>
        </is>
      </c>
      <c r="B4" t="inlineStr">
        <is>
          <t>4h</t>
        </is>
      </c>
      <c r="D4" t="inlineStr">
        <is>
          <t>GLOBAL_CHECK</t>
        </is>
      </c>
      <c r="G4">
        <f>IFERROR(VLOOKUP($A248&amp;"_"&amp;$B248,Results_Deltas!$A$2:$P$15000,5,FALSE),"")</f>
        <v/>
      </c>
      <c r="H4" t="inlineStr">
        <is>
          <t>Blanket (page end)</t>
        </is>
      </c>
      <c r="L4" t="inlineStr">
        <is>
          <t>NO</t>
        </is>
      </c>
      <c r="M4" t="n">
        <v>6</v>
      </c>
      <c r="N4" t="n">
        <v>0</v>
      </c>
    </row>
    <row r="5" ht="10.5" customHeight="1" s="67">
      <c r="A5" t="inlineStr">
        <is>
          <t>MTS_BOTTOM_STRONG_THRESHOLD</t>
        </is>
      </c>
      <c r="B5" t="inlineStr">
        <is>
          <t>50</t>
        </is>
      </c>
      <c r="D5" t="inlineStr">
        <is>
          <t>ENTRY, GLOBAL_CHECK, STOCKS_EXIT</t>
        </is>
      </c>
      <c r="G5">
        <f>IFERROR(VLOOKUP($A363&amp;"_"&amp;$B363,Results_Deltas!$A$2:$P$15000,5,FALSE),"")</f>
        <v/>
      </c>
      <c r="H5" t="inlineStr">
        <is>
          <t>Blanket (page end)</t>
        </is>
      </c>
      <c r="L5" t="inlineStr">
        <is>
          <t>NO</t>
        </is>
      </c>
      <c r="M5" t="n">
        <v>26</v>
      </c>
      <c r="N5" t="n">
        <v>0</v>
      </c>
    </row>
    <row r="6" ht="10.5" customHeight="1" s="67">
      <c r="A6" t="inlineStr">
        <is>
          <t>MTS_BOTTOM_STRONG_THRESHOLD</t>
        </is>
      </c>
      <c r="B6" t="inlineStr">
        <is>
          <t>30</t>
        </is>
      </c>
      <c r="D6" t="inlineStr">
        <is>
          <t>ENTRY, GLOBAL_CHECK, STOCKS_EXIT</t>
        </is>
      </c>
      <c r="G6">
        <f>IFERROR(VLOOKUP($A364&amp;"_"&amp;$B364,Results_Deltas!$A$2:$P$15000,5,FALSE),"")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IFERROR(VLOOKUP($A273&amp;"_"&amp;$B273,Results_Deltas!$A$2:$P$15000,5,FALSE),"")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IFERROR(VLOOKUP($A271&amp;"_"&amp;$B271,Results_Deltas!$A$2:$P$15000,5,FALSE),"")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IFERROR(VLOOKUP($A274&amp;"_"&amp;$B274,Results_Deltas!$A$2:$P$15000,5,FALSE),"")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IFERROR(VLOOKUP($A268&amp;"_"&amp;$B268,Results_Deltas!$A$2:$P$15000,5,FALSE),"")</f>
        <v/>
      </c>
      <c r="H10" t="inlineStr">
        <is>
          <t>Blanket (page end)</t>
        </is>
      </c>
      <c r="L10" t="inlineStr">
        <is>
          <t>NO</t>
        </is>
      </c>
      <c r="M10" t="n">
        <v>27</v>
      </c>
      <c r="N10" t="n">
        <v>0</v>
      </c>
    </row>
    <row r="11" ht="10.5" customHeight="1" s="67">
      <c r="A11" t="inlineStr">
        <is>
          <t>OI_CONFIRM_MIN_CHANGE_PCT</t>
        </is>
      </c>
      <c r="B11" t="inlineStr">
        <is>
          <t>2.0</t>
        </is>
      </c>
      <c r="D11" t="inlineStr">
        <is>
          <t>ENTRY, GLOBAL_CHECK, STOCKS_EXIT</t>
        </is>
      </c>
      <c r="G11">
        <f>IFERROR(VLOOKUP($A381&amp;"_"&amp;$B381,Results_Deltas!$A$2:$P$15000,5,FALSE),"")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IFERROR(VLOOKUP($A230&amp;"_"&amp;$B230,Results_Deltas!$A$2:$P$15000,5,FALSE),"")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IFERROR(VLOOKUP($A269&amp;"_"&amp;$B269,Results_Deltas!$A$2:$P$15000,5,FALSE),"")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IFERROR(VLOOKUP($A231&amp;"_"&amp;$B231,Results_Deltas!$A$2:$P$15000,5,FALSE),"")</f>
        <v/>
      </c>
      <c r="H14" t="inlineStr">
        <is>
          <t>Blanket (page end)</t>
        </is>
      </c>
      <c r="L14" t="inlineStr">
        <is>
          <t>YES</t>
        </is>
      </c>
      <c r="M14" t="n">
        <v>3</v>
      </c>
      <c r="N14" t="n">
        <v>0</v>
      </c>
    </row>
    <row r="15" ht="10.5" customHeight="1" s="67">
      <c r="A15" t="inlineStr">
        <is>
          <t>FG_GREED_THRESHOLD</t>
        </is>
      </c>
      <c r="B15" t="inlineStr">
        <is>
          <t>75</t>
        </is>
      </c>
      <c r="D15" t="inlineStr">
        <is>
          <t>GLOBAL_CHECK, STOCKS_EXIT</t>
        </is>
      </c>
      <c r="G15">
        <f>IFERROR(VLOOKUP($A267&amp;"_"&amp;$B267,Results_Deltas!$A$2:$P$15000,5,FALSE),"")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IFERROR(VLOOKUP($A272&amp;"_"&amp;$B272,Results_Deltas!$A$2:$P$15000,5,FALSE),"")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IFERROR(VLOOKUP($A229&amp;"_"&amp;$B229,Results_Deltas!$A$2:$P$15000,5,FALSE),"")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IFERROR(VLOOKUP($A265&amp;"_"&amp;$B265,Results_Deltas!$A$2:$P$15000,5,FALSE),"")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IFERROR(VLOOKUP($A239&amp;"_"&amp;$B239,Results_Deltas!$A$2:$P$15000,5,FALSE),"")</f>
        <v/>
      </c>
      <c r="H19" t="inlineStr">
        <is>
          <t>Blanket (page end)</t>
        </is>
      </c>
      <c r="L19" t="inlineStr">
        <is>
          <t>NO</t>
        </is>
      </c>
      <c r="M19" t="n">
        <v>27</v>
      </c>
      <c r="N19" t="n">
        <v>0</v>
      </c>
    </row>
    <row r="20" ht="10.5" customHeight="1" s="67">
      <c r="A20" t="inlineStr">
        <is>
          <t>OI_CONFIRM_MIN_PRICE_PCT</t>
        </is>
      </c>
      <c r="B20" t="inlineStr">
        <is>
          <t>1.0</t>
        </is>
      </c>
      <c r="D20" t="inlineStr">
        <is>
          <t>ENTRY, GLOBAL_CHECK, STOCKS_EXIT</t>
        </is>
      </c>
      <c r="G20">
        <f>IFERROR(VLOOKUP($A386&amp;"_"&amp;$B386,Results_Deltas!$A$2:$P$15000,5,FALSE),"")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IFERROR(VLOOKUP($A246&amp;"_"&amp;$B246,Results_Deltas!$A$2:$P$15000,5,FALSE),"")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IFERROR(VLOOKUP($A305&amp;"_"&amp;$B305,Results_Deltas!$A$2:$P$15000,5,FALSE),"")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IFERROR(VLOOKUP($A249&amp;"_"&amp;$B249,Results_Deltas!$A$2:$P$15000,5,FALSE),"")</f>
        <v/>
      </c>
      <c r="H23" t="inlineStr">
        <is>
          <t>Blanket (page end)</t>
        </is>
      </c>
      <c r="L23" t="inlineStr">
        <is>
          <t>NO</t>
        </is>
      </c>
      <c r="M23" t="n">
        <v>3</v>
      </c>
      <c r="N23" t="n">
        <v>0</v>
      </c>
    </row>
    <row r="24" ht="10.5" customHeight="1" s="67">
      <c r="A24" t="inlineStr">
        <is>
          <t>OI_CONFIRM_ENABLED</t>
        </is>
      </c>
      <c r="B24" t="inlineStr">
        <is>
          <t>True</t>
        </is>
      </c>
      <c r="D24" t="inlineStr">
        <is>
          <t>ENTRY, GLOBAL_CHECK, STOCKS_EXIT</t>
        </is>
      </c>
      <c r="G24">
        <f>IFERROR(VLOOKUP($A379&amp;"_"&amp;$B379,Results_Deltas!$A$2:$P$15000,5,FALSE),"")</f>
        <v/>
      </c>
      <c r="H24" t="inlineStr">
        <is>
          <t>Blanket (page end)</t>
        </is>
      </c>
      <c r="L24" t="inlineStr">
        <is>
          <t>YES</t>
        </is>
      </c>
      <c r="M24" t="n">
        <v>26</v>
      </c>
      <c r="N24" t="n">
        <v>0</v>
      </c>
    </row>
    <row r="25" ht="10.5" customHeight="1" s="67">
      <c r="A25" t="inlineStr">
        <is>
          <t>OI_CONFIRM_MIN_PRICE_PCT</t>
        </is>
      </c>
      <c r="B25" t="inlineStr">
        <is>
          <t>0.5</t>
        </is>
      </c>
      <c r="D25" t="inlineStr">
        <is>
          <t>ENTRY, GLOBAL_CHECK, STOCKS_EXIT</t>
        </is>
      </c>
      <c r="G25">
        <f>IFERROR(VLOOKUP($A387&amp;"_"&amp;$B387,Results_Deltas!$A$2:$P$15000,5,FALSE),"")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IFERROR(VLOOKUP($A302&amp;"_"&amp;$B302,Results_Deltas!$A$2:$P$15000,5,FALSE),"")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IFERROR(VLOOKUP($A220&amp;"_"&amp;$B220,Results_Deltas!$A$2:$P$15000,5,FALSE),"")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IFERROR(VLOOKUP($A232&amp;"_"&amp;$B232,Results_Deltas!$A$2:$P$15000,5,FALSE),"")</f>
        <v/>
      </c>
      <c r="H28" t="inlineStr">
        <is>
          <t>Blanket (page end)</t>
        </is>
      </c>
      <c r="L28" t="inlineStr">
        <is>
          <t>NO</t>
        </is>
      </c>
      <c r="M28" t="n">
        <v>3</v>
      </c>
      <c r="N28" t="n">
        <v>0</v>
      </c>
    </row>
    <row r="29" ht="10.5" customHeight="1" s="67">
      <c r="A29" t="inlineStr">
        <is>
          <t>MTS_BOTTOM_BONUS_THRESHOLD</t>
        </is>
      </c>
      <c r="B29" t="inlineStr">
        <is>
          <t>31.25</t>
        </is>
      </c>
      <c r="D29" t="inlineStr">
        <is>
          <t>ENTRY, GLOBAL_CHECK, STOCKS_EXIT</t>
        </is>
      </c>
      <c r="G29">
        <f>IFERROR(VLOOKUP($A359&amp;"_"&amp;$B359,Results_Deltas!$A$2:$P$15000,5,FALSE),"")</f>
        <v/>
      </c>
      <c r="H29" t="inlineStr">
        <is>
          <t>Blanket (page end)</t>
        </is>
      </c>
      <c r="L29" t="inlineStr">
        <is>
          <t>NO</t>
        </is>
      </c>
      <c r="M29" t="n">
        <v>26</v>
      </c>
      <c r="N29" t="n">
        <v>0</v>
      </c>
    </row>
    <row r="30" ht="10.5" customHeight="1" s="67">
      <c r="A30" t="inlineStr">
        <is>
          <t>MTS_BOTTOM_BONUS_THRESHOLD</t>
        </is>
      </c>
      <c r="B30" t="inlineStr">
        <is>
          <t>25</t>
        </is>
      </c>
      <c r="D30" t="inlineStr">
        <is>
          <t>ENTRY, GLOBAL_CHECK, STOCKS_EXIT</t>
        </is>
      </c>
      <c r="G30">
        <f>IFERROR(VLOOKUP($A358&amp;"_"&amp;$B358,Results_Deltas!$A$2:$P$15000,5,FALSE),"")</f>
        <v/>
      </c>
      <c r="H30" t="inlineStr">
        <is>
          <t>Blanket (page end)</t>
        </is>
      </c>
      <c r="L30" t="inlineStr">
        <is>
          <t>YES</t>
        </is>
      </c>
      <c r="M30" t="n">
        <v>26</v>
      </c>
      <c r="N30" t="n">
        <v>0</v>
      </c>
    </row>
    <row r="31" ht="10.5" customHeight="1" s="67">
      <c r="A31" t="inlineStr">
        <is>
          <t>HA_WICK_QUALITY_TF</t>
        </is>
      </c>
      <c r="B31" t="inlineStr">
        <is>
          <t>D</t>
        </is>
      </c>
      <c r="D31" t="inlineStr">
        <is>
          <t>ENTRY, GLOBAL_CHECK, STOCKS_EXIT</t>
        </is>
      </c>
      <c r="G31">
        <f>IFERROR(VLOOKUP($A296&amp;"_"&amp;$B296,Results_Deltas!$A$2:$P$15000,5,FALSE),"")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IFERROR(VLOOKUP($A240&amp;"_"&amp;$B240,Results_Deltas!$A$2:$P$15000,5,FALSE),"")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IFERROR(VLOOKUP($A214&amp;"_"&amp;$B214,Results_Deltas!$A$2:$P$15000,5,FALSE),"")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IFERROR(VLOOKUP($A216&amp;"_"&amp;$B216,Results_Deltas!$A$2:$P$15000,5,FALSE),"")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IFERROR(VLOOKUP($A360&amp;"_"&amp;$B360,Results_Deltas!$A$2:$P$15000,5,FALSE),"")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IFERROR(VLOOKUP($A263&amp;"_"&amp;$B263,Results_Deltas!$A$2:$P$15000,5,FALSE),"")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IFERROR(VLOOKUP($A222&amp;"_"&amp;$B222,Results_Deltas!$A$2:$P$15000,5,FALSE),"")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IFERROR(VLOOKUP($A247&amp;"_"&amp;$B247,Results_Deltas!$A$2:$P$15000,5,FALSE),"")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IFERROR(VLOOKUP($A297&amp;"_"&amp;$B297,Results_Deltas!$A$2:$P$15000,5,FALSE),"")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IFERROR(VLOOKUP($A303&amp;"_"&amp;$B303,Results_Deltas!$A$2:$P$15000,5,FALSE),"")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IFERROR(VLOOKUP($A356&amp;"_"&amp;$B356,Results_Deltas!$A$2:$P$15000,5,FALSE),"")</f>
        <v/>
      </c>
      <c r="H41" t="inlineStr">
        <is>
          <t>Blanket (page end)</t>
        </is>
      </c>
      <c r="L41" t="inlineStr">
        <is>
          <t>NO</t>
        </is>
      </c>
      <c r="M41" t="n">
        <v>26</v>
      </c>
      <c r="N41" t="n">
        <v>0</v>
      </c>
    </row>
    <row r="42" ht="10.5" customHeight="1" s="67">
      <c r="A42" t="inlineStr">
        <is>
          <t>MTF_GR_MIN_IND</t>
        </is>
      </c>
      <c r="B42" t="inlineStr">
        <is>
          <t>5_ALT</t>
        </is>
      </c>
      <c r="D42" t="inlineStr">
        <is>
          <t>GLOBAL_CHECK, STOCKS_EXIT</t>
        </is>
      </c>
      <c r="G42">
        <f>IFERROR(VLOOKUP($A357&amp;"_"&amp;$B357,Results_Deltas!$A$2:$P$15000,5,FALSE),"")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IFERROR(VLOOKUP($A219&amp;"_"&amp;$B219,Results_Deltas!$A$2:$P$15000,5,FALSE),"")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IFERROR(VLOOKUP($A326&amp;"_"&amp;$B326,Results_Deltas!$A$2:$P$15000,5,FALSE),"")</f>
        <v/>
      </c>
      <c r="H44" t="inlineStr">
        <is>
          <t>Blanket (page end)</t>
        </is>
      </c>
      <c r="L44" t="inlineStr">
        <is>
          <t>NO</t>
        </is>
      </c>
      <c r="M44" t="n">
        <v>27</v>
      </c>
      <c r="N44" t="n">
        <v>0</v>
      </c>
    </row>
    <row r="45" ht="10.5" customHeight="1" s="67">
      <c r="A45" t="inlineStr">
        <is>
          <t>LH_HL_FILTER_MODE</t>
        </is>
      </c>
      <c r="B45" t="inlineStr">
        <is>
          <t>STRICT_2BAR</t>
        </is>
      </c>
      <c r="D45" t="inlineStr">
        <is>
          <t>ENTRY, GLOBAL_CHECK, STOCKS_EXIT</t>
        </is>
      </c>
      <c r="G45">
        <f>IFERROR(VLOOKUP($A325&amp;"_"&amp;$B325,Results_Deltas!$A$2:$P$15000,5,FALSE),"")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IFERROR(VLOOKUP($A294&amp;"_"&amp;$B294,Results_Deltas!$A$2:$P$15000,5,FALSE),"")</f>
        <v/>
      </c>
      <c r="H46" t="inlineStr">
        <is>
          <t>Blanket (page end)</t>
        </is>
      </c>
      <c r="L46" t="inlineStr">
        <is>
          <t>NO</t>
        </is>
      </c>
      <c r="M46" t="n">
        <v>27</v>
      </c>
      <c r="N46" t="n">
        <v>0</v>
      </c>
    </row>
    <row r="47" ht="10.5" customHeight="1" s="67">
      <c r="A47" t="inlineStr">
        <is>
          <t>MARKET_QUALITY_SCORE_ENABLED</t>
        </is>
      </c>
      <c r="B47" t="inlineStr">
        <is>
          <t>True</t>
        </is>
      </c>
      <c r="D47" t="inlineStr">
        <is>
          <t>ENTRY, GLOBAL_CHECK, STOCKS_EXIT</t>
        </is>
      </c>
      <c r="G47">
        <f>IFERROR(VLOOKUP($A347&amp;"_"&amp;$B347,Results_Deltas!$A$2:$P$15000,5,FALSE),"")</f>
        <v/>
      </c>
      <c r="H47" t="inlineStr">
        <is>
          <t>Blanket (page end)</t>
        </is>
      </c>
      <c r="L47" t="inlineStr">
        <is>
          <t>NO</t>
        </is>
      </c>
      <c r="M47" t="n">
        <v>26</v>
      </c>
      <c r="N47" t="n">
        <v>0</v>
      </c>
    </row>
    <row r="48" ht="10.5" customHeight="1" s="67">
      <c r="A48" t="inlineStr">
        <is>
          <t>HA_WICK_QUALITY_SCORE</t>
        </is>
      </c>
      <c r="B48" t="inlineStr">
        <is>
          <t>15</t>
        </is>
      </c>
      <c r="D48" t="inlineStr">
        <is>
          <t>ENTRY, GLOBAL_CHECK, STOCKS_EXIT</t>
        </is>
      </c>
      <c r="G48">
        <f>IFERROR(VLOOKUP($A293&amp;"_"&amp;$B293,Results_Deltas!$A$2:$P$15000,5,FALSE),"")</f>
        <v/>
      </c>
      <c r="H48" t="inlineStr">
        <is>
          <t>Blanket (page end)</t>
        </is>
      </c>
      <c r="L48" t="inlineStr">
        <is>
          <t>NO</t>
        </is>
      </c>
      <c r="M48" t="n">
        <v>27</v>
      </c>
      <c r="N48" t="n">
        <v>0</v>
      </c>
    </row>
    <row r="49" ht="10.5" customHeight="1" s="67">
      <c r="A49" t="inlineStr">
        <is>
          <t>OI_CONFIRM_MIN_CHANGE_PCT</t>
        </is>
      </c>
      <c r="B49" t="inlineStr">
        <is>
          <t>0</t>
        </is>
      </c>
      <c r="D49" t="inlineStr">
        <is>
          <t>ENTRY, GLOBAL_CHECK, STOCKS_EXIT</t>
        </is>
      </c>
      <c r="G49">
        <f>IFERROR(VLOOKUP($A380&amp;"_"&amp;$B380,Results_Deltas!$A$2:$P$15000,5,FALSE),"")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IFERROR(VLOOKUP($A257&amp;"_"&amp;$B257,Results_Deltas!$A$2:$P$15000,5,FALSE),"")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IFERROR(VLOOKUP($A361&amp;"_"&amp;$B361,Results_Deltas!$A$2:$P$15000,5,FALSE),"")</f>
        <v/>
      </c>
      <c r="H51" t="inlineStr">
        <is>
          <t>Blanket (page end)</t>
        </is>
      </c>
      <c r="L51" t="inlineStr">
        <is>
          <t>NO</t>
        </is>
      </c>
      <c r="M51" t="n">
        <v>26</v>
      </c>
      <c r="N51" t="n">
        <v>0</v>
      </c>
    </row>
    <row r="52" ht="10.5" customHeight="1" s="67">
      <c r="A52" t="inlineStr">
        <is>
          <t>MTS_BOTTOM_STRONG_THRESHOLD</t>
        </is>
      </c>
      <c r="B52" t="inlineStr">
        <is>
          <t>40</t>
        </is>
      </c>
      <c r="D52" t="inlineStr">
        <is>
          <t>ENTRY, GLOBAL_CHECK, STOCKS_EXIT</t>
        </is>
      </c>
      <c r="G52">
        <f>IFERROR(VLOOKUP($A362&amp;"_"&amp;$B362,Results_Deltas!$A$2:$P$15000,5,FALSE),"")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IFERROR(VLOOKUP($A235&amp;"_"&amp;$B235,Results_Deltas!$A$2:$P$15000,5,FALSE),"")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IFERROR(VLOOKUP($A236&amp;"_"&amp;$B236,Results_Deltas!$A$2:$P$15000,5,FALSE),"")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IFERROR(VLOOKUP($A344&amp;"_"&amp;$B344,Results_Deltas!$A$2:$P$15000,5,FALSE),"")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IFERROR(VLOOKUP($A345&amp;"_"&amp;$B345,Results_Deltas!$A$2:$P$15000,5,FALSE),"")</f>
        <v/>
      </c>
      <c r="H56" t="inlineStr">
        <is>
          <t>Blanket (page end)</t>
        </is>
      </c>
      <c r="L56" t="inlineStr">
        <is>
          <t>NO</t>
        </is>
      </c>
      <c r="M56" t="n">
        <v>26</v>
      </c>
      <c r="N56" t="n">
        <v>0</v>
      </c>
    </row>
    <row r="57" ht="10.5" customHeight="1" s="67">
      <c r="A57" t="inlineStr">
        <is>
          <t>EMA_9_21_FILTER_MIN_TFS</t>
        </is>
      </c>
      <c r="B57" t="inlineStr">
        <is>
          <t>0</t>
        </is>
      </c>
      <c r="D57" t="inlineStr">
        <is>
          <t>GLOBAL_CHECK</t>
        </is>
      </c>
      <c r="G57">
        <f>IFERROR(VLOOKUP($A251&amp;"_"&amp;$B251,Results_Deltas!$A$2:$P$15000,5,FALSE),"")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IFERROR(VLOOKUP($A287&amp;"_"&amp;$B287,Results_Deltas!$A$2:$P$15000,5,FALSE),"")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IFERROR(VLOOKUP($A256&amp;"_"&amp;$B256,Results_Deltas!$A$2:$P$15000,5,FALSE),"")</f>
        <v/>
      </c>
      <c r="H59" t="inlineStr">
        <is>
          <t>Blanket (page end)</t>
        </is>
      </c>
      <c r="L59" t="inlineStr">
        <is>
          <t>YES</t>
        </is>
      </c>
      <c r="M59" t="n">
        <v>3</v>
      </c>
      <c r="N59" t="n">
        <v>0</v>
      </c>
    </row>
    <row r="60" ht="10.5" customHeight="1" s="67">
      <c r="A60" t="inlineStr">
        <is>
          <t>EMA_9_21_FILTER_MIN_TFS</t>
        </is>
      </c>
      <c r="B60" t="inlineStr">
        <is>
          <t>2</t>
        </is>
      </c>
      <c r="D60" t="inlineStr">
        <is>
          <t>GLOBAL_CHECK</t>
        </is>
      </c>
      <c r="G60">
        <f>IFERROR(VLOOKUP($A252&amp;"_"&amp;$B252,Results_Deltas!$A$2:$P$15000,5,FALSE),"")</f>
        <v/>
      </c>
      <c r="H60" t="inlineStr">
        <is>
          <t>Blanket (page end)</t>
        </is>
      </c>
      <c r="L60" t="inlineStr">
        <is>
          <t>YES</t>
        </is>
      </c>
      <c r="M60" t="n">
        <v>3</v>
      </c>
      <c r="N60" t="n">
        <v>0</v>
      </c>
    </row>
    <row r="61" ht="10.5" customHeight="1" s="67">
      <c r="A61" t="inlineStr">
        <is>
          <t>OI_CONFIRM_MIN_CHANGE_PCT</t>
        </is>
      </c>
      <c r="B61" t="inlineStr">
        <is>
          <t>1.0</t>
        </is>
      </c>
      <c r="D61" t="inlineStr">
        <is>
          <t>ENTRY, GLOBAL_CHECK, STOCKS_EXIT</t>
        </is>
      </c>
      <c r="G61">
        <f>IFERROR(VLOOKUP($A382&amp;"_"&amp;$B382,Results_Deltas!$A$2:$P$15000,5,FALSE),"")</f>
        <v/>
      </c>
      <c r="H61" t="inlineStr">
        <is>
          <t>Blanket (page end)</t>
        </is>
      </c>
      <c r="L61" t="inlineStr">
        <is>
          <t>NO</t>
        </is>
      </c>
      <c r="M61" t="n">
        <v>26</v>
      </c>
      <c r="N61" t="n">
        <v>0</v>
      </c>
    </row>
    <row r="62" ht="10.5" customHeight="1" s="67">
      <c r="A62" t="inlineStr">
        <is>
          <t>MTS_BOTTOM_STRONG_THRESHOLD</t>
        </is>
      </c>
      <c r="B62" t="inlineStr">
        <is>
          <t>20</t>
        </is>
      </c>
      <c r="D62" t="inlineStr">
        <is>
          <t>ENTRY, GLOBAL_CHECK, STOCKS_EXIT</t>
        </is>
      </c>
      <c r="G62">
        <f>IFERROR(VLOOKUP($A365&amp;"_"&amp;$B365,Results_Deltas!$A$2:$P$15000,5,FALSE),"")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IFERROR(VLOOKUP($A254&amp;"_"&amp;$B254,Results_Deltas!$A$2:$P$15000,5,FALSE),"")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IFERROR(VLOOKUP($A290&amp;"_"&amp;$B290,Results_Deltas!$A$2:$P$15000,5,FALSE),"")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IFERROR(VLOOKUP($A352&amp;"_"&amp;$B352,Results_Deltas!$A$2:$P$15000,5,FALSE),"")</f>
        <v/>
      </c>
      <c r="H65" t="inlineStr">
        <is>
          <t>Blanket (page end)</t>
        </is>
      </c>
      <c r="L65" t="inlineStr">
        <is>
          <t>YES</t>
        </is>
      </c>
      <c r="M65" t="n">
        <v>26</v>
      </c>
      <c r="N65" t="n">
        <v>0</v>
      </c>
    </row>
    <row r="66" ht="10.5" customHeight="1" s="67">
      <c r="A66" t="inlineStr">
        <is>
          <t>HTF_DIRECTION_GATE_ENABLED</t>
        </is>
      </c>
      <c r="B66" t="inlineStr">
        <is>
          <t>True</t>
        </is>
      </c>
      <c r="D66" t="inlineStr">
        <is>
          <t>ENTRY, GLOBAL_CHECK, STOCKS_EXIT</t>
        </is>
      </c>
      <c r="G66">
        <f>IFERROR(VLOOKUP($A310&amp;"_"&amp;$B310,Results_Deltas!$A$2:$P$15000,5,FALSE),"")</f>
        <v/>
      </c>
      <c r="H66" t="inlineStr">
        <is>
          <t>Blanket (page end)</t>
        </is>
      </c>
      <c r="L66" t="inlineStr">
        <is>
          <t>NO</t>
        </is>
      </c>
      <c r="M66" t="n">
        <v>27</v>
      </c>
      <c r="N66" t="n">
        <v>0</v>
      </c>
    </row>
    <row r="67" ht="10.5" customHeight="1" s="67">
      <c r="A67" t="inlineStr">
        <is>
          <t>MTS_GATE_ENABLED</t>
        </is>
      </c>
      <c r="B67" t="inlineStr">
        <is>
          <t>True</t>
        </is>
      </c>
      <c r="D67" t="inlineStr">
        <is>
          <t>ENTRY, GLOBAL_CHECK, STOCKS_EXIT</t>
        </is>
      </c>
      <c r="G67">
        <f>IFERROR(VLOOKUP($A367&amp;"_"&amp;$B367,Results_Deltas!$A$2:$P$15000,5,FALSE),"")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IFERROR(VLOOKUP($A339&amp;"_"&amp;$B339,Results_Deltas!$A$2:$P$15000,5,FALSE),"")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IFERROR(VLOOKUP($A292&amp;"_"&amp;$B292,Results_Deltas!$A$2:$P$15000,5,FALSE),"")</f>
        <v/>
      </c>
      <c r="H69" t="inlineStr">
        <is>
          <t>Blanket (page end)</t>
        </is>
      </c>
      <c r="L69" t="inlineStr">
        <is>
          <t>NO</t>
        </is>
      </c>
      <c r="M69" t="n">
        <v>27</v>
      </c>
      <c r="N69" t="n">
        <v>0</v>
      </c>
    </row>
    <row r="70" ht="10.5" customHeight="1" s="67">
      <c r="A70" t="inlineStr">
        <is>
          <t>NEW_POSITION_MAX_LOSS_THRESHOLD</t>
        </is>
      </c>
      <c r="B70" t="inlineStr">
        <is>
          <t>2.0</t>
        </is>
      </c>
      <c r="D70" t="inlineStr">
        <is>
          <t>AUGMENT, EXIT, GLOBAL_CHECK, REDUCE, STOCKS_EXIT</t>
        </is>
      </c>
      <c r="G70">
        <f>IFERROR(VLOOKUP($A375&amp;"_"&amp;$B375,Results_Deltas!$A$2:$P$15000,5,FALSE),"")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IFERROR(VLOOKUP($A324&amp;"_"&amp;$B324,Results_Deltas!$A$2:$P$15000,5,FALSE),"")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IFERROR(VLOOKUP($A218&amp;"_"&amp;$B218,Results_Deltas!$A$2:$P$15000,5,FALSE),"")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IFERROR(VLOOKUP($A306&amp;"_"&amp;$B306,Results_Deltas!$A$2:$P$15000,5,FALSE),"")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IFERROR(VLOOKUP($A270&amp;"_"&amp;$B270,Results_Deltas!$A$2:$P$15000,5,FALSE),"")</f>
        <v/>
      </c>
      <c r="H74" t="inlineStr">
        <is>
          <t>Blanket (page end)</t>
        </is>
      </c>
      <c r="L74" t="inlineStr">
        <is>
          <t>NO</t>
        </is>
      </c>
      <c r="M74" t="n">
        <v>27</v>
      </c>
      <c r="N74" t="n">
        <v>0</v>
      </c>
    </row>
    <row r="75" ht="10.5" customHeight="1" s="67">
      <c r="A75" t="inlineStr">
        <is>
          <t>OI_CONFIRM_MIN_PRICE_PCT</t>
        </is>
      </c>
      <c r="B75" t="inlineStr">
        <is>
          <t>2.0</t>
        </is>
      </c>
      <c r="D75" t="inlineStr">
        <is>
          <t>ENTRY, GLOBAL_CHECK, STOCKS_EXIT</t>
        </is>
      </c>
      <c r="G75">
        <f>IFERROR(VLOOKUP($A385&amp;"_"&amp;$B385,Results_Deltas!$A$2:$P$15000,5,FALSE),"")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IFERROR(VLOOKUP($A353&amp;"_"&amp;$B353,Results_Deltas!$A$2:$P$15000,5,FALSE),"")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IFERROR(VLOOKUP($A215&amp;"_"&amp;$B215,Results_Deltas!$A$2:$P$15000,5,FALSE),"")</f>
        <v/>
      </c>
      <c r="H77" t="inlineStr">
        <is>
          <t>Blanket (page end)</t>
        </is>
      </c>
      <c r="L77" t="inlineStr">
        <is>
          <t>NO</t>
        </is>
      </c>
      <c r="M77" t="n">
        <v>27</v>
      </c>
      <c r="N77" t="n">
        <v>0</v>
      </c>
    </row>
    <row r="78" ht="10.5" customHeight="1" s="67">
      <c r="A78" t="inlineStr">
        <is>
          <t>HA_WICK_QUALITY_TF</t>
        </is>
      </c>
      <c r="B78" t="inlineStr">
        <is>
          <t>1h</t>
        </is>
      </c>
      <c r="D78" t="inlineStr">
        <is>
          <t>ENTRY, GLOBAL_CHECK, STOCKS_EXIT</t>
        </is>
      </c>
      <c r="G78">
        <f>IFERROR(VLOOKUP($A298&amp;"_"&amp;$B298,Results_Deltas!$A$2:$P$15000,5,FALSE),"")</f>
        <v/>
      </c>
      <c r="H78" t="inlineStr">
        <is>
          <t>Blanket (page end)</t>
        </is>
      </c>
      <c r="L78" t="inlineStr">
        <is>
          <t>NO</t>
        </is>
      </c>
      <c r="M78" t="n">
        <v>27</v>
      </c>
      <c r="N78" t="n">
        <v>0</v>
      </c>
    </row>
    <row r="79" ht="10.5" customHeight="1" s="67">
      <c r="A79" t="inlineStr">
        <is>
          <t>LR_BAND_LADDER_TF_TOP</t>
        </is>
      </c>
      <c r="B79" t="inlineStr">
        <is>
          <t>1</t>
        </is>
      </c>
      <c r="D79" t="inlineStr">
        <is>
          <t>GLOBAL_CHECK, STOCKS_EXIT</t>
        </is>
      </c>
      <c r="G79">
        <f>IFERROR(VLOOKUP($A336&amp;"_"&amp;$B336,Results_Deltas!$A$2:$P$15000,5,FALSE),"")</f>
        <v/>
      </c>
      <c r="H79" t="inlineStr">
        <is>
          <t>Blanket (page end)</t>
        </is>
      </c>
      <c r="L79" t="inlineStr">
        <is>
          <t>YES</t>
        </is>
      </c>
      <c r="M79" t="n">
        <v>24</v>
      </c>
      <c r="N79" t="n">
        <v>0</v>
      </c>
    </row>
    <row r="80" ht="10.5" customHeight="1" s="67">
      <c r="A80" t="inlineStr">
        <is>
          <t>DELTA_HTF_GATE</t>
        </is>
      </c>
      <c r="B80" t="inlineStr">
        <is>
          <t>4h_ALT</t>
        </is>
      </c>
      <c r="D80" t="inlineStr">
        <is>
          <t>ENTRY, GLOBAL_CHECK, STOCKS_EXIT</t>
        </is>
      </c>
      <c r="G80">
        <f>IFERROR(VLOOKUP($A243&amp;"_"&amp;$B243,Results_Deltas!$A$2:$P$15000,5,FALSE),"")</f>
        <v/>
      </c>
      <c r="H80" t="inlineStr">
        <is>
          <t>Blanket (page end)</t>
        </is>
      </c>
      <c r="L80" t="inlineStr">
        <is>
          <t>NO</t>
        </is>
      </c>
      <c r="M80" t="n">
        <v>27</v>
      </c>
      <c r="N80" t="n">
        <v>0</v>
      </c>
    </row>
    <row r="81" ht="10.5" customHeight="1" s="67">
      <c r="A81" t="inlineStr">
        <is>
          <t>HA_WICK_QUALITY_TF</t>
        </is>
      </c>
      <c r="B81" t="inlineStr">
        <is>
          <t>OFF</t>
        </is>
      </c>
      <c r="D81" t="inlineStr">
        <is>
          <t>ENTRY, GLOBAL_CHECK, STOCKS_EXIT</t>
        </is>
      </c>
      <c r="G81">
        <f>IFERROR(VLOOKUP($A295&amp;"_"&amp;$B295,Results_Deltas!$A$2:$P$15000,5,FALSE),"")</f>
        <v/>
      </c>
      <c r="H81" t="inlineStr">
        <is>
          <t>Blanket (page end)</t>
        </is>
      </c>
      <c r="L81" t="inlineStr">
        <is>
          <t>YES</t>
        </is>
      </c>
      <c r="M81" t="n">
        <v>27</v>
      </c>
      <c r="N81" t="n">
        <v>0</v>
      </c>
    </row>
    <row r="82" ht="10.5" customHeight="1" s="67">
      <c r="A82" t="inlineStr">
        <is>
          <t>DELTA_HTF_GATE</t>
        </is>
      </c>
      <c r="B82" t="inlineStr">
        <is>
          <t>4h</t>
        </is>
      </c>
      <c r="D82" t="inlineStr">
        <is>
          <t>ENTRY, GLOBAL_CHECK, STOCKS_EXIT</t>
        </is>
      </c>
      <c r="G82">
        <f>IFERROR(VLOOKUP($A242&amp;"_"&amp;$B242,Results_Deltas!$A$2:$P$15000,5,FALSE),"")</f>
        <v/>
      </c>
      <c r="H82" t="inlineStr">
        <is>
          <t>Blanket (page end)</t>
        </is>
      </c>
      <c r="L82" t="inlineStr">
        <is>
          <t>YES</t>
        </is>
      </c>
      <c r="M82" t="n">
        <v>27</v>
      </c>
      <c r="N82" t="n">
        <v>0</v>
      </c>
    </row>
    <row r="83" ht="10.5" customHeight="1" s="67">
      <c r="A83" t="inlineStr">
        <is>
          <t>LR_BAND_LADDER_TF_BOTTOM</t>
        </is>
      </c>
      <c r="B83" t="inlineStr">
        <is>
          <t>1</t>
        </is>
      </c>
      <c r="D83" t="inlineStr">
        <is>
          <t>GLOBAL_CHECK, STOCKS_EXIT</t>
        </is>
      </c>
      <c r="G83">
        <f>IFERROR(VLOOKUP($A334&amp;"_"&amp;$B334,Results_Deltas!$A$2:$P$15000,5,FALSE),"")</f>
        <v/>
      </c>
      <c r="H83" t="inlineStr">
        <is>
          <t>Blanket (page end)</t>
        </is>
      </c>
      <c r="L83" t="inlineStr">
        <is>
          <t>YES</t>
        </is>
      </c>
      <c r="M83" t="n">
        <v>26</v>
      </c>
      <c r="N83" t="n">
        <v>0</v>
      </c>
    </row>
    <row r="84" ht="10.5" customHeight="1" s="67">
      <c r="A84" t="inlineStr">
        <is>
          <t>MOVER_THRESHOLD</t>
        </is>
      </c>
      <c r="B84" t="inlineStr">
        <is>
          <t>5</t>
        </is>
      </c>
      <c r="D84" t="inlineStr">
        <is>
          <t>ENTRY, GLOBAL_CHECK, STOCKS_EXIT</t>
        </is>
      </c>
      <c r="G84">
        <f>IFERROR(VLOOKUP($A350&amp;"_"&amp;$B350,Results_Deltas!$A$2:$P$15000,5,FALSE),"")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IFERROR(VLOOKUP($A238&amp;"_"&amp;$B238,Results_Deltas!$A$2:$P$15000,5,FALSE),"")</f>
        <v/>
      </c>
      <c r="H85" t="inlineStr">
        <is>
          <t>Blanket (page end)</t>
        </is>
      </c>
      <c r="L85" t="inlineStr">
        <is>
          <t>NO</t>
        </is>
      </c>
      <c r="M85" t="n">
        <v>27</v>
      </c>
      <c r="N85" t="n">
        <v>0</v>
      </c>
    </row>
    <row r="86" ht="10.5" customHeight="1" s="67">
      <c r="A86" t="inlineStr">
        <is>
          <t>DELTA_REENTRY_FILTER_ENABLED</t>
        </is>
      </c>
      <c r="B86" t="inlineStr">
        <is>
          <t>True</t>
        </is>
      </c>
      <c r="D86" t="inlineStr">
        <is>
          <t>ENTRY, GLOBAL_CHECK, STOCKS_EXIT</t>
        </is>
      </c>
      <c r="G86">
        <f>IFERROR(VLOOKUP($A245&amp;"_"&amp;$B245,Results_Deltas!$A$2:$P$15000,5,FALSE),"")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IFERROR(VLOOKUP($A301&amp;"_"&amp;$B301,Results_Deltas!$A$2:$P$15000,5,FALSE),"")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IFERROR(VLOOKUP($A337&amp;"_"&amp;$B337,Results_Deltas!$A$2:$P$15000,5,FALSE),"")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IFERROR(VLOOKUP($A332&amp;"_"&amp;$B332,Results_Deltas!$A$2:$P$15000,5,FALSE),"")</f>
        <v/>
      </c>
      <c r="H89" t="inlineStr">
        <is>
          <t>Blanket (page end)</t>
        </is>
      </c>
      <c r="L89" t="inlineStr">
        <is>
          <t>YES</t>
        </is>
      </c>
      <c r="M89" t="n">
        <v>26</v>
      </c>
      <c r="N89" t="n">
        <v>0</v>
      </c>
    </row>
    <row r="90" ht="10.5" customHeight="1" s="67">
      <c r="A90" t="inlineStr">
        <is>
          <t>LR_BAND_LADDER_STOCH_EXTREME</t>
        </is>
      </c>
      <c r="B90" t="inlineStr">
        <is>
          <t>30.0</t>
        </is>
      </c>
      <c r="D90" t="inlineStr">
        <is>
          <t>GLOBAL_CHECK, STOCKS_EXIT</t>
        </is>
      </c>
      <c r="G90">
        <f>IFERROR(VLOOKUP($A331&amp;"_"&amp;$B331,Results_Deltas!$A$2:$P$15000,5,FALSE),"")</f>
        <v/>
      </c>
      <c r="H90" t="inlineStr">
        <is>
          <t>Blanket (page end)</t>
        </is>
      </c>
      <c r="L90" t="inlineStr">
        <is>
          <t>NO</t>
        </is>
      </c>
      <c r="M90" t="n">
        <v>27</v>
      </c>
      <c r="N90" t="n">
        <v>0</v>
      </c>
    </row>
    <row r="91" ht="10.5" customHeight="1" s="67">
      <c r="A91" t="inlineStr">
        <is>
          <t>MOVER_THRESHOLD</t>
        </is>
      </c>
      <c r="B91" t="inlineStr">
        <is>
          <t>6.25</t>
        </is>
      </c>
      <c r="D91" t="inlineStr">
        <is>
          <t>ENTRY, GLOBAL_CHECK, STOCKS_EXIT</t>
        </is>
      </c>
      <c r="G91">
        <f>IFERROR(VLOOKUP($A351&amp;"_"&amp;$B351,Results_Deltas!$A$2:$P$15000,5,FALSE),"")</f>
        <v/>
      </c>
      <c r="H91" t="inlineStr">
        <is>
          <t>Blanket (page end)</t>
        </is>
      </c>
      <c r="L91" t="inlineStr">
        <is>
          <t>NO</t>
        </is>
      </c>
      <c r="M91" t="n">
        <v>26</v>
      </c>
      <c r="N91" t="n">
        <v>0</v>
      </c>
    </row>
    <row r="92" ht="10.5" customHeight="1" s="67">
      <c r="A92" t="inlineStr">
        <is>
          <t>NEWBORN_LOSS_KILL_GAIN_THRESHOLD_PCT</t>
        </is>
      </c>
      <c r="B92" t="inlineStr">
        <is>
          <t>1.0</t>
        </is>
      </c>
      <c r="D92" t="inlineStr">
        <is>
          <t>AUGMENT, EXIT, GLOBAL_CHECK, REDUCE, STOCKS_EXIT</t>
        </is>
      </c>
      <c r="G92">
        <f>IFERROR(VLOOKUP($A370&amp;"_"&amp;$B370,Results_Deltas!$A$2:$P$15000,5,FALSE),"")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IFERROR(VLOOKUP($A266&amp;"_"&amp;$B266,Results_Deltas!$A$2:$P$15000,5,FALSE),"")</f>
        <v/>
      </c>
      <c r="H93" t="inlineStr">
        <is>
          <t>Blanket (page end)</t>
        </is>
      </c>
      <c r="L93" t="inlineStr">
        <is>
          <t>NO</t>
        </is>
      </c>
      <c r="M93" t="n">
        <v>27</v>
      </c>
      <c r="N93" t="n">
        <v>0</v>
      </c>
    </row>
    <row r="94" ht="10.5" customHeight="1" s="67">
      <c r="A94" t="inlineStr">
        <is>
          <t>NEWBORN_LOSS_KILL_GAIN_THRESHOLD_PCT</t>
        </is>
      </c>
      <c r="B94" t="inlineStr">
        <is>
          <t>0.5</t>
        </is>
      </c>
      <c r="D94" t="inlineStr">
        <is>
          <t>AUGMENT, EXIT, GLOBAL_CHECK, REDUCE, STOCKS_EXIT</t>
        </is>
      </c>
      <c r="G94">
        <f>IFERROR(VLOOKUP($A371&amp;"_"&amp;$B371,Results_Deltas!$A$2:$P$15000,5,FALSE),"")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IFERROR(VLOOKUP($A330&amp;"_"&amp;$B330,Results_Deltas!$A$2:$P$15000,5,FALSE),"")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IFERROR(VLOOKUP($A241&amp;"_"&amp;$B241,Results_Deltas!$A$2:$P$15000,5,FALSE),"")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IFERROR(VLOOKUP($A338&amp;"_"&amp;$B338,Results_Deltas!$A$2:$P$15000,5,FALSE),"")</f>
        <v/>
      </c>
      <c r="H97" t="inlineStr">
        <is>
          <t>Blanket (page end)</t>
        </is>
      </c>
      <c r="L97" t="inlineStr">
        <is>
          <t>NO</t>
        </is>
      </c>
      <c r="M97" t="n">
        <v>26</v>
      </c>
      <c r="N97" t="n">
        <v>0</v>
      </c>
    </row>
    <row r="98" ht="10.5" customHeight="1" s="67">
      <c r="A98" t="inlineStr">
        <is>
          <t>GR_FILTER_VEC_MIN_TFS</t>
        </is>
      </c>
      <c r="B98" t="inlineStr">
        <is>
          <t>2</t>
        </is>
      </c>
      <c r="D98" t="inlineStr">
        <is>
          <t>GLOBAL_CHECK</t>
        </is>
      </c>
      <c r="G98">
        <f>IFERROR(VLOOKUP($A289&amp;"_"&amp;$B289,Results_Deltas!$A$2:$P$15000,5,FALSE),"")</f>
        <v/>
      </c>
      <c r="H98" t="inlineStr">
        <is>
          <t>Blanket (page end)</t>
        </is>
      </c>
      <c r="L98" t="inlineStr">
        <is>
          <t>NO</t>
        </is>
      </c>
      <c r="M98" t="n">
        <v>3</v>
      </c>
      <c r="N98" t="n">
        <v>0</v>
      </c>
    </row>
    <row r="99" ht="10.5" customHeight="1" s="67">
      <c r="A99" t="inlineStr">
        <is>
          <t>NEW_POSITION_MAX_LOSS_THRESHOLD</t>
        </is>
      </c>
      <c r="B99" t="inlineStr">
        <is>
          <t>1.0</t>
        </is>
      </c>
      <c r="D99" t="inlineStr">
        <is>
          <t>AUGMENT, EXIT, GLOBAL_CHECK, REDUCE, STOCKS_EXIT</t>
        </is>
      </c>
      <c r="G99">
        <f>IFERROR(VLOOKUP($A376&amp;"_"&amp;$B376,Results_Deltas!$A$2:$P$15000,5,FALSE),"")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IFERROR(VLOOKUP($A253&amp;"_"&amp;$B253,Results_Deltas!$A$2:$P$15000,5,FALSE),"")</f>
        <v/>
      </c>
      <c r="H100" t="inlineStr">
        <is>
          <t>Blanket (page end)</t>
        </is>
      </c>
      <c r="L100" t="inlineStr">
        <is>
          <t>NO</t>
        </is>
      </c>
      <c r="M100" t="n">
        <v>3</v>
      </c>
      <c r="N100" t="n">
        <v>0</v>
      </c>
    </row>
    <row r="101" ht="10.5" customHeight="1" s="67">
      <c r="A101" t="inlineStr">
        <is>
          <t>OI_CONFIRM_MIN_PRICE_PCT</t>
        </is>
      </c>
      <c r="B101" t="inlineStr">
        <is>
          <t>0</t>
        </is>
      </c>
      <c r="D101" t="inlineStr">
        <is>
          <t>ENTRY, GLOBAL_CHECK, STOCKS_EXIT</t>
        </is>
      </c>
      <c r="G101">
        <f>IFERROR(VLOOKUP($A384&amp;"_"&amp;$B384,Results_Deltas!$A$2:$P$15000,5,FALSE),"")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IFERROR(VLOOKUP($A234&amp;"_"&amp;$B234,Results_Deltas!$A$2:$P$15000,5,FALSE),"")</f>
        <v/>
      </c>
      <c r="H102" t="inlineStr">
        <is>
          <t>Blanket (page end)</t>
        </is>
      </c>
      <c r="L102" t="inlineStr">
        <is>
          <t>NO</t>
        </is>
      </c>
      <c r="M102" t="n">
        <v>23</v>
      </c>
      <c r="N102" t="n">
        <v>0</v>
      </c>
    </row>
    <row r="103" ht="10.5" customHeight="1" s="67">
      <c r="A103" t="inlineStr">
        <is>
          <t>OI_CONFIRM_MIN_CHANGE_PCT</t>
        </is>
      </c>
      <c r="B103" t="inlineStr">
        <is>
          <t>0.5</t>
        </is>
      </c>
      <c r="D103" t="inlineStr">
        <is>
          <t>ENTRY, GLOBAL_CHECK, STOCKS_EXIT</t>
        </is>
      </c>
      <c r="G103">
        <f>IFERROR(VLOOKUP($A383&amp;"_"&amp;$B383,Results_Deltas!$A$2:$P$15000,5,FALSE),"")</f>
        <v/>
      </c>
      <c r="H103" t="inlineStr">
        <is>
          <t>Blanket (page end)</t>
        </is>
      </c>
      <c r="L103" t="inlineStr">
        <is>
          <t>YES</t>
        </is>
      </c>
      <c r="M103" t="n">
        <v>26</v>
      </c>
      <c r="N103" t="n">
        <v>0</v>
      </c>
    </row>
    <row r="104" ht="10.5" customHeight="1" s="67">
      <c r="A104" t="inlineStr">
        <is>
          <t>CRYPTO_SPIKE_FADE_THRESHOLD_PCT</t>
        </is>
      </c>
      <c r="B104" t="inlineStr">
        <is>
          <t>5</t>
        </is>
      </c>
      <c r="D104" t="inlineStr">
        <is>
          <t>GLOBAL_CHECK, STOCKS_EXIT</t>
        </is>
      </c>
      <c r="G104">
        <f>IFERROR(VLOOKUP($A237&amp;"_"&amp;$B237,Results_Deltas!$A$2:$P$15000,5,FALSE),"")</f>
        <v/>
      </c>
      <c r="H104" t="inlineStr">
        <is>
          <t>Blanket (page end)</t>
        </is>
      </c>
      <c r="L104" t="inlineStr">
        <is>
          <t>YES</t>
        </is>
      </c>
      <c r="M104" t="n">
        <v>27</v>
      </c>
      <c r="N104" t="n">
        <v>0</v>
      </c>
    </row>
    <row r="105" ht="10.5" customHeight="1" s="67">
      <c r="A105" t="inlineStr">
        <is>
          <t>EMA_BLANKET_FILTER_MIN_TFS</t>
        </is>
      </c>
      <c r="B105" t="inlineStr">
        <is>
          <t>1</t>
        </is>
      </c>
      <c r="D105" t="inlineStr">
        <is>
          <t>GLOBAL_CHECK</t>
        </is>
      </c>
      <c r="G105">
        <f>IFERROR(VLOOKUP($A258&amp;"_"&amp;$B258,Results_Deltas!$A$2:$P$15000,5,FALSE),"")</f>
        <v/>
      </c>
      <c r="H105" t="inlineStr">
        <is>
          <t>Blanket (page end)</t>
        </is>
      </c>
      <c r="L105" t="inlineStr">
        <is>
          <t>NO</t>
        </is>
      </c>
      <c r="M105" t="n">
        <v>3</v>
      </c>
      <c r="N105" t="n">
        <v>0</v>
      </c>
    </row>
    <row r="106" ht="10.5" customHeight="1" s="67">
      <c r="A106" t="inlineStr">
        <is>
          <t>NEW_POSITION_MAX_LOSS_THRESHOLD</t>
        </is>
      </c>
      <c r="B106" t="inlineStr">
        <is>
          <t>0.5</t>
        </is>
      </c>
      <c r="D106" t="inlineStr">
        <is>
          <t>AUGMENT, EXIT, GLOBAL_CHECK, REDUCE, STOCKS_EXIT</t>
        </is>
      </c>
      <c r="G106">
        <f>IFERROR(VLOOKUP($A377&amp;"_"&amp;$B377,Results_Deltas!$A$2:$P$15000,5,FALSE),"")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IFERROR(VLOOKUP($A335&amp;"_"&amp;$B335,Results_Deltas!$A$2:$P$15000,5,FALSE),"")</f>
        <v/>
      </c>
      <c r="H107" t="inlineStr">
        <is>
          <t>Blanket (page end)</t>
        </is>
      </c>
      <c r="L107" t="inlineStr">
        <is>
          <t>NO</t>
        </is>
      </c>
      <c r="M107" t="n">
        <v>23</v>
      </c>
      <c r="N107" t="n">
        <v>0</v>
      </c>
    </row>
    <row r="108" ht="10.5" customHeight="1" s="67">
      <c r="A108" t="inlineStr">
        <is>
          <t>NEWBORN_LOSS_KILL_GAIN_THRESHOLD_PCT</t>
        </is>
      </c>
      <c r="B108" t="inlineStr">
        <is>
          <t>2.0</t>
        </is>
      </c>
      <c r="D108" t="inlineStr">
        <is>
          <t>AUGMENT, EXIT, GLOBAL_CHECK, REDUCE, STOCKS_EXIT</t>
        </is>
      </c>
      <c r="G108">
        <f>IFERROR(VLOOKUP($A369&amp;"_"&amp;$B369,Results_Deltas!$A$2:$P$15000,5,FALSE),"")</f>
        <v/>
      </c>
      <c r="H108" t="inlineStr">
        <is>
          <t>Blanket (page end)</t>
        </is>
      </c>
      <c r="L108" t="inlineStr">
        <is>
          <t>YES</t>
        </is>
      </c>
      <c r="M108" t="n">
        <v>24</v>
      </c>
      <c r="N108" t="n">
        <v>0</v>
      </c>
    </row>
    <row r="109" ht="10.5" customHeight="1" s="67">
      <c r="A109" t="inlineStr">
        <is>
          <t>HTF_TREND_VETO_BYPASS_ENABLED</t>
        </is>
      </c>
      <c r="B109" t="inlineStr">
        <is>
          <t>True</t>
        </is>
      </c>
      <c r="D109" t="inlineStr">
        <is>
          <t>GLOBAL_CHECK, STOCKS_EXIT</t>
        </is>
      </c>
      <c r="G109">
        <f>IFERROR(VLOOKUP($A318&amp;"_"&amp;$B318,Results_Deltas!$A$2:$P$15000,5,FALSE),"")</f>
        <v/>
      </c>
      <c r="H109" t="inlineStr">
        <is>
          <t>Blanket (page end)</t>
        </is>
      </c>
      <c r="L109" t="inlineStr">
        <is>
          <t>NO</t>
        </is>
      </c>
      <c r="M109" t="n">
        <v>27</v>
      </c>
      <c r="N109" t="n">
        <v>0</v>
      </c>
    </row>
    <row r="110" ht="10.5" customHeight="1" s="67">
      <c r="A110" t="inlineStr">
        <is>
          <t>LR_BAND_LADDER_TF_BOTTOM</t>
        </is>
      </c>
      <c r="B110" t="inlineStr">
        <is>
          <t>0</t>
        </is>
      </c>
      <c r="D110" t="inlineStr">
        <is>
          <t>GLOBAL_CHECK, STOCKS_EXIT</t>
        </is>
      </c>
      <c r="G110">
        <f>IFERROR(VLOOKUP($A333&amp;"_"&amp;$B333,Results_Deltas!$A$2:$P$15000,5,FALSE),"")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IFERROR(VLOOKUP($A223&amp;"_"&amp;$B223,Results_Deltas!$A$2:$P$15000,5,FALSE),"")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IFERROR(VLOOKUP($A224&amp;"_"&amp;$B224,Results_Deltas!$A$2:$P$15000,5,FALSE),"")</f>
        <v/>
      </c>
      <c r="H112" t="inlineStr">
        <is>
          <t>Blanket (page end)</t>
        </is>
      </c>
      <c r="L112" t="inlineStr">
        <is>
          <t>NO</t>
        </is>
      </c>
      <c r="M112" t="n">
        <v>24</v>
      </c>
      <c r="N112" t="n">
        <v>0</v>
      </c>
    </row>
    <row r="113" ht="10.5" customHeight="1" s="67">
      <c r="A113" t="inlineStr">
        <is>
          <t>HTF4_CONF</t>
        </is>
      </c>
      <c r="B113" t="inlineStr">
        <is>
          <t>False_ALT</t>
        </is>
      </c>
      <c r="D113" t="inlineStr">
        <is>
          <t>GLOBAL_CHECK, STOCKS_EXIT</t>
        </is>
      </c>
      <c r="G113">
        <f>IFERROR(VLOOKUP($A308&amp;"_"&amp;$B308,Results_Deltas!$A$2:$P$15000,5,FALSE),"")</f>
        <v/>
      </c>
      <c r="H113" t="inlineStr">
        <is>
          <t>Blanket (page end)</t>
        </is>
      </c>
      <c r="L113" t="inlineStr">
        <is>
          <t>YES</t>
        </is>
      </c>
      <c r="M113" t="n">
        <v>24</v>
      </c>
      <c r="N113" t="n">
        <v>0</v>
      </c>
    </row>
    <row r="114" ht="10.5" customHeight="1" s="67">
      <c r="A114" t="inlineStr">
        <is>
          <t>BTC_HARD_BLOCK_OTHER_ACCOUNTS</t>
        </is>
      </c>
      <c r="B114" t="inlineStr">
        <is>
          <t>0.0</t>
        </is>
      </c>
      <c r="D114" t="inlineStr">
        <is>
          <t>UNIVERSAL (ex-BTC) — ENTRY/EXIT/REENTRY</t>
        </is>
      </c>
      <c r="G114">
        <f>IFERROR(VLOOKUP($A225&amp;"_"&amp;$B225,Results_Deltas!$A$2:$P$15000,5,FALSE),"")</f>
        <v/>
      </c>
      <c r="H114" t="inlineStr">
        <is>
          <t>Blanket (page end)</t>
        </is>
      </c>
      <c r="L114" t="inlineStr">
        <is>
          <t>YES</t>
        </is>
      </c>
      <c r="M114" t="n">
        <v>24</v>
      </c>
      <c r="N114" t="n">
        <v>0</v>
      </c>
    </row>
    <row r="115" ht="10.5" customHeight="1" s="67">
      <c r="A115" t="inlineStr">
        <is>
          <t>BTC_HARD_BLOCK_OTHER_ACCOUNTS</t>
        </is>
      </c>
      <c r="B115" t="inlineStr">
        <is>
          <t>0.0_ALT</t>
        </is>
      </c>
      <c r="D115" t="inlineStr">
        <is>
          <t>UNIVERSAL (ex-BTC) — ENTRY/EXIT/REENTRY</t>
        </is>
      </c>
      <c r="G115">
        <f>IFERROR(VLOOKUP($A226&amp;"_"&amp;$B226,Results_Deltas!$A$2:$P$15000,5,FALSE),"")</f>
        <v/>
      </c>
      <c r="H115" t="inlineStr">
        <is>
          <t>Blanket (page end)</t>
        </is>
      </c>
      <c r="L115" t="inlineStr">
        <is>
          <t>YES</t>
        </is>
      </c>
      <c r="M115" t="n">
        <v>24</v>
      </c>
      <c r="N115" t="n">
        <v>0</v>
      </c>
    </row>
    <row r="116" ht="10.5" customHeight="1" s="67">
      <c r="A116" t="inlineStr">
        <is>
          <t>BTC_ROUND_BANDS_EACH_SIDE</t>
        </is>
      </c>
      <c r="B116" t="inlineStr">
        <is>
          <t>0.0</t>
        </is>
      </c>
      <c r="D116" t="inlineStr">
        <is>
          <t>UNIVERSAL (ex-BTC) — ENTRY/EXIT/REENTRY</t>
        </is>
      </c>
      <c r="G116">
        <f>IFERROR(VLOOKUP($A227&amp;"_"&amp;$B227,Results_Deltas!$A$2:$P$15000,5,FALSE),"")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IFERROR(VLOOKUP($A228&amp;"_"&amp;$B228,Results_Deltas!$A$2:$P$15000,5,FALSE),"")</f>
        <v/>
      </c>
      <c r="H117" t="inlineStr">
        <is>
          <t>Blanket (page end)</t>
        </is>
      </c>
      <c r="L117" t="inlineStr">
        <is>
          <t>NO</t>
        </is>
      </c>
      <c r="M117" t="n">
        <v>24</v>
      </c>
      <c r="N117" t="n">
        <v>0</v>
      </c>
    </row>
    <row r="118" ht="10.5" customHeight="1" s="67">
      <c r="A118" t="inlineStr">
        <is>
          <t>LH_HL_FILTER_REQUIRE_BOTH</t>
        </is>
      </c>
      <c r="B118" t="inlineStr">
        <is>
          <t>False_ALT</t>
        </is>
      </c>
      <c r="D118" t="inlineStr">
        <is>
          <t>ENTRY, GLOBAL_CHECK, STOCKS_EXIT</t>
        </is>
      </c>
      <c r="G118">
        <f>IFERROR(VLOOKUP($A328&amp;"_"&amp;$B328,Results_Deltas!$A$2:$P$15000,5,FALSE),"")</f>
        <v/>
      </c>
      <c r="H118" t="inlineStr">
        <is>
          <t>Blanket (page end)</t>
        </is>
      </c>
      <c r="L118" t="inlineStr">
        <is>
          <t>NO</t>
        </is>
      </c>
      <c r="M118" t="n">
        <v>24</v>
      </c>
      <c r="N118" t="n">
        <v>0</v>
      </c>
    </row>
    <row r="119" ht="10.5" customHeight="1" s="67">
      <c r="A119" t="inlineStr">
        <is>
          <t>GR_FILTER_VEC_MIN_TFS</t>
        </is>
      </c>
      <c r="B119" t="inlineStr">
        <is>
          <t>0</t>
        </is>
      </c>
      <c r="D119" t="inlineStr">
        <is>
          <t>GLOBAL_CHECK</t>
        </is>
      </c>
      <c r="G119">
        <f>IFERROR(VLOOKUP($A288&amp;"_"&amp;$B288,Results_Deltas!$A$2:$P$15000,5,FALSE),"")</f>
        <v/>
      </c>
      <c r="H119" t="inlineStr">
        <is>
          <t>Blanket (page end)</t>
        </is>
      </c>
      <c r="L119" t="inlineStr">
        <is>
          <t>YES</t>
        </is>
      </c>
      <c r="M119" t="n">
        <v>3</v>
      </c>
      <c r="N119" t="n">
        <v>0</v>
      </c>
    </row>
    <row r="120" ht="10.5" customHeight="1" s="67">
      <c r="A120" t="inlineStr">
        <is>
          <t>BANDAID_OFF_LOSER_RECOVER_PCT</t>
        </is>
      </c>
      <c r="B120" t="inlineStr">
        <is>
          <t>0</t>
        </is>
      </c>
      <c r="D120" t="inlineStr">
        <is>
          <t>AUGMENT, ENTRY, EXIT, GLOBAL_CHECK, REDUCE, STOCKS_EXIT</t>
        </is>
      </c>
      <c r="G120">
        <f>IFERROR(VLOOKUP($A217&amp;"_"&amp;$B217,Results_Deltas!$A$2:$P$15000,5,FALSE),"")</f>
        <v/>
      </c>
      <c r="H120" t="inlineStr">
        <is>
          <t>Blanket (page end)</t>
        </is>
      </c>
      <c r="L120" t="inlineStr">
        <is>
          <t>NO</t>
        </is>
      </c>
      <c r="M120" t="n">
        <v>24</v>
      </c>
      <c r="N120" t="n">
        <v>0</v>
      </c>
    </row>
    <row r="121" ht="10.5" customHeight="1" s="67">
      <c r="A121" t="inlineStr">
        <is>
          <t>LEADERBOARD_FILTER</t>
        </is>
      </c>
      <c r="B121" t="inlineStr">
        <is>
          <t>False_ALT</t>
        </is>
      </c>
      <c r="D121" t="inlineStr">
        <is>
          <t>AUGMENT, ENTRY, EXIT, GLOBAL_CHECK, REDUCE, STOCKS_EXIT</t>
        </is>
      </c>
      <c r="G121">
        <f>IFERROR(VLOOKUP($A322&amp;"_"&amp;$B322,Results_Deltas!$A$2:$P$15000,5,FALSE),"")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IFERROR(VLOOKUP($A276&amp;"_"&amp;$B276,Results_Deltas!$A$2:$P$15000,5,FALSE),"")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IFERROR(VLOOKUP($A277&amp;"_"&amp;$B277,Results_Deltas!$A$2:$P$15000,5,FALSE),"")</f>
        <v/>
      </c>
      <c r="H123" t="inlineStr">
        <is>
          <t>Blanket (page end)</t>
        </is>
      </c>
      <c r="L123" t="inlineStr">
        <is>
          <t>NO</t>
        </is>
      </c>
      <c r="M123" t="n">
        <v>24</v>
      </c>
      <c r="N123" t="n">
        <v>0</v>
      </c>
    </row>
    <row r="124" ht="10.5" customHeight="1" s="67">
      <c r="A124" t="inlineStr">
        <is>
          <t>FUNDING_GATE_MTF_REQUIRED</t>
        </is>
      </c>
      <c r="B124" t="inlineStr">
        <is>
          <t>0.0</t>
        </is>
      </c>
      <c r="D124" t="inlineStr">
        <is>
          <t>ENTRY, GLOBAL_CHECK, STOCKS_EXIT</t>
        </is>
      </c>
      <c r="G124">
        <f>IFERROR(VLOOKUP($A278&amp;"_"&amp;$B278,Results_Deltas!$A$2:$P$15000,5,FALSE),"")</f>
        <v/>
      </c>
      <c r="H124" t="inlineStr">
        <is>
          <t>Blanket (page end)</t>
        </is>
      </c>
      <c r="L124" t="inlineStr">
        <is>
          <t>YES</t>
        </is>
      </c>
      <c r="M124" t="n">
        <v>24</v>
      </c>
      <c r="N124" t="n">
        <v>0</v>
      </c>
    </row>
    <row r="125" ht="10.5" customHeight="1" s="67">
      <c r="A125" t="inlineStr">
        <is>
          <t>FUNDING_GATE_MTF_REQUIRED</t>
        </is>
      </c>
      <c r="B125" t="inlineStr">
        <is>
          <t>0.0_ALT</t>
        </is>
      </c>
      <c r="D125" t="inlineStr">
        <is>
          <t>ENTRY, GLOBAL_CHECK, STOCKS_EXIT</t>
        </is>
      </c>
      <c r="G125">
        <f>IFERROR(VLOOKUP($A279&amp;"_"&amp;$B279,Results_Deltas!$A$2:$P$15000,5,FALSE),"")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IFERROR(VLOOKUP($A280&amp;"_"&amp;$B280,Results_Deltas!$A$2:$P$15000,5,FALSE),"")</f>
        <v/>
      </c>
      <c r="H126" t="inlineStr">
        <is>
          <t>Blanket (page end)</t>
        </is>
      </c>
      <c r="L126" t="inlineStr">
        <is>
          <t>NO</t>
        </is>
      </c>
      <c r="M126" t="n">
        <v>24</v>
      </c>
      <c r="N126" t="n">
        <v>0</v>
      </c>
    </row>
    <row r="127" ht="10.5" customHeight="1" s="67">
      <c r="A127" t="inlineStr">
        <is>
          <t>FUNDING_GATE_SHORT_MIN</t>
        </is>
      </c>
      <c r="B127" t="inlineStr">
        <is>
          <t>0.0_ALT</t>
        </is>
      </c>
      <c r="D127" t="inlineStr">
        <is>
          <t>ENTRY, GLOBAL_CHECK, STOCKS_EXIT</t>
        </is>
      </c>
      <c r="G127">
        <f>IFERROR(VLOOKUP($A281&amp;"_"&amp;$B281,Results_Deltas!$A$2:$P$15000,5,FALSE),"")</f>
        <v/>
      </c>
      <c r="H127" t="inlineStr">
        <is>
          <t>Blanket (page end)</t>
        </is>
      </c>
      <c r="L127" t="inlineStr">
        <is>
          <t>YES</t>
        </is>
      </c>
      <c r="M127" t="n">
        <v>24</v>
      </c>
      <c r="N127" t="n">
        <v>0</v>
      </c>
    </row>
    <row r="128" ht="10.5" customHeight="1" s="67">
      <c r="A128" t="inlineStr">
        <is>
          <t>ADX_RANGING_THRESHOLD</t>
        </is>
      </c>
      <c r="B128" t="inlineStr">
        <is>
          <t>20</t>
        </is>
      </c>
      <c r="D128" t="inlineStr">
        <is>
          <t>ENTRY, GLOBAL_CHECK, STOCKS_EXIT</t>
        </is>
      </c>
      <c r="G128">
        <f>IFERROR(VLOOKUP($A213&amp;"_"&amp;$B213,Results_Deltas!$A$2:$P$15000,5,FALSE),"")</f>
        <v/>
      </c>
      <c r="H128" t="inlineStr">
        <is>
          <t>Blanket (page end)</t>
        </is>
      </c>
      <c r="L128" t="inlineStr">
        <is>
          <t>YES</t>
        </is>
      </c>
      <c r="M128" t="n">
        <v>24</v>
      </c>
      <c r="N128" t="n">
        <v>0</v>
      </c>
    </row>
    <row r="129" ht="10.5" customHeight="1" s="67">
      <c r="A129" t="inlineStr">
        <is>
          <t>FUNDING_GATE_FILTER_TF</t>
        </is>
      </c>
      <c r="B129" t="inlineStr">
        <is>
          <t>15m</t>
        </is>
      </c>
      <c r="D129" t="inlineStr">
        <is>
          <t>GLOBAL_CHECK</t>
        </is>
      </c>
      <c r="G129">
        <f>IFERROR(VLOOKUP($A275&amp;"_"&amp;$B275,Results_Deltas!$A$2:$P$15000,5,FALSE),"")</f>
        <v/>
      </c>
      <c r="H129" t="inlineStr">
        <is>
          <t>Blanket (page end)</t>
        </is>
      </c>
      <c r="L129" t="inlineStr">
        <is>
          <t>NO</t>
        </is>
      </c>
      <c r="M129" t="n">
        <v>3</v>
      </c>
      <c r="N129" t="n">
        <v>0</v>
      </c>
    </row>
    <row r="130" ht="10.5" customHeight="1" s="67">
      <c r="A130" t="inlineStr">
        <is>
          <t>LH_HL_FILTER_REQUIRE_BOTH</t>
        </is>
      </c>
      <c r="B130" t="inlineStr">
        <is>
          <t>False</t>
        </is>
      </c>
      <c r="D130" t="inlineStr">
        <is>
          <t>ENTRY, GLOBAL_CHECK, STOCKS_EXIT</t>
        </is>
      </c>
      <c r="G130">
        <f>IFERROR(VLOOKUP($A327&amp;"_"&amp;$B327,Results_Deltas!$A$2:$P$15000,5,FALSE),"")</f>
        <v/>
      </c>
      <c r="H130" t="inlineStr">
        <is>
          <t>Blanket (page end)</t>
        </is>
      </c>
      <c r="L130" t="inlineStr">
        <is>
          <t>YES</t>
        </is>
      </c>
      <c r="M130" t="n">
        <v>9</v>
      </c>
      <c r="N130" t="n">
        <v>0</v>
      </c>
    </row>
    <row r="131" ht="10.5" customHeight="1" s="67">
      <c r="A131" t="inlineStr">
        <is>
          <t>HTF_GATE_MIN_CONFIRMATIONS</t>
        </is>
      </c>
      <c r="B131" t="inlineStr">
        <is>
          <t>0.0</t>
        </is>
      </c>
      <c r="D131" t="inlineStr">
        <is>
          <t>ENTRY, GLOBAL_CHECK, STOCKS_EXIT</t>
        </is>
      </c>
      <c r="G131">
        <f>IFERROR(VLOOKUP($A315&amp;"_"&amp;$B315,Results_Deltas!$A$2:$P$15000,5,FALSE),"")</f>
        <v/>
      </c>
      <c r="H131" t="inlineStr">
        <is>
          <t>Blanket (page end)</t>
        </is>
      </c>
      <c r="L131" t="inlineStr">
        <is>
          <t>YES</t>
        </is>
      </c>
      <c r="M131" t="n">
        <v>24</v>
      </c>
      <c r="N131" t="n">
        <v>0</v>
      </c>
    </row>
    <row r="132" ht="10.5" customHeight="1" s="67">
      <c r="A132" t="inlineStr">
        <is>
          <t>HTF_GATE_MIN_CONFIRMATIONS</t>
        </is>
      </c>
      <c r="B132" t="inlineStr">
        <is>
          <t>0.0_ALT</t>
        </is>
      </c>
      <c r="D132" t="inlineStr">
        <is>
          <t>ENTRY, GLOBAL_CHECK, STOCKS_EXIT</t>
        </is>
      </c>
      <c r="G132">
        <f>IFERROR(VLOOKUP($A316&amp;"_"&amp;$B316,Results_Deltas!$A$2:$P$15000,5,FALSE),"")</f>
        <v/>
      </c>
      <c r="H132" t="inlineStr">
        <is>
          <t>Blanket (page end)</t>
        </is>
      </c>
      <c r="L132" t="inlineStr">
        <is>
          <t>NO</t>
        </is>
      </c>
      <c r="M132" t="n">
        <v>24</v>
      </c>
      <c r="N132" t="n">
        <v>0</v>
      </c>
    </row>
    <row r="133" ht="10.5" customHeight="1" s="67">
      <c r="A133" t="inlineStr">
        <is>
          <t>GR_FILTER_ALL_ENTRIES</t>
        </is>
      </c>
      <c r="B133" t="inlineStr">
        <is>
          <t>0.0</t>
        </is>
      </c>
      <c r="D133" t="inlineStr">
        <is>
          <t>GLOBAL_CHECK, STOCKS_EXIT</t>
        </is>
      </c>
      <c r="G133">
        <f>IFERROR(VLOOKUP($A284&amp;"_"&amp;$B284,Results_Deltas!$A$2:$P$15000,5,FALSE),"")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IFERROR(VLOOKUP($A285&amp;"_"&amp;$B285,Results_Deltas!$A$2:$P$15000,5,FALSE),"")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IFERROR(VLOOKUP($A291&amp;"_"&amp;$B291,Results_Deltas!$A$2:$P$15000,5,FALSE),"")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IFERROR(VLOOKUP($A283&amp;"_"&amp;$B283,Results_Deltas!$A$2:$P$15000,5,FALSE),"")</f>
        <v/>
      </c>
      <c r="H136" t="inlineStr">
        <is>
          <t>Blanket (page end)</t>
        </is>
      </c>
      <c r="L136" t="inlineStr">
        <is>
          <t>YES</t>
        </is>
      </c>
      <c r="M136" t="n">
        <v>24</v>
      </c>
      <c r="N136" t="n">
        <v>0</v>
      </c>
    </row>
    <row r="137" ht="10.5" customHeight="1" s="67">
      <c r="A137" t="inlineStr">
        <is>
          <t>GOLDEN_RULE_BASE_USD</t>
        </is>
      </c>
      <c r="B137" t="inlineStr">
        <is>
          <t>0.0</t>
        </is>
      </c>
      <c r="D137" t="inlineStr">
        <is>
          <t>GLOBAL_CHECK, STOCKS_EXIT</t>
        </is>
      </c>
      <c r="G137">
        <f>IFERROR(VLOOKUP($A282&amp;"_"&amp;$B282,Results_Deltas!$A$2:$P$15000,5,FALSE),"")</f>
        <v/>
      </c>
      <c r="H137" t="inlineStr">
        <is>
          <t>Blanket (page end)</t>
        </is>
      </c>
      <c r="L137" t="inlineStr">
        <is>
          <t>NO</t>
        </is>
      </c>
      <c r="M137" t="n">
        <v>24</v>
      </c>
      <c r="N137" t="n">
        <v>0</v>
      </c>
    </row>
    <row r="138" ht="10.5" customHeight="1" s="67">
      <c r="A138" t="inlineStr">
        <is>
          <t>LEADERBOARD_FILTER</t>
        </is>
      </c>
      <c r="B138" t="inlineStr">
        <is>
          <t>False</t>
        </is>
      </c>
      <c r="D138" t="inlineStr">
        <is>
          <t>AUGMENT, ENTRY, EXIT, GLOBAL_CHECK, REDUCE, STOCKS_EXIT</t>
        </is>
      </c>
      <c r="G138">
        <f>IFERROR(VLOOKUP($A321&amp;"_"&amp;$B321,Results_Deltas!$A$2:$P$15000,5,FALSE),"")</f>
        <v/>
      </c>
      <c r="H138" t="inlineStr">
        <is>
          <t>Blanket (page end)</t>
        </is>
      </c>
      <c r="L138" t="inlineStr">
        <is>
          <t>YES</t>
        </is>
      </c>
      <c r="M138" t="n">
        <v>9</v>
      </c>
      <c r="N138" t="n">
        <v>0</v>
      </c>
    </row>
    <row r="139" ht="10.5" customHeight="1" s="67">
      <c r="A139" t="inlineStr">
        <is>
          <t>HTF4_CONF</t>
        </is>
      </c>
      <c r="B139" t="inlineStr">
        <is>
          <t>False</t>
        </is>
      </c>
      <c r="D139" t="inlineStr">
        <is>
          <t>GLOBAL_CHECK, STOCKS_EXIT</t>
        </is>
      </c>
      <c r="G139">
        <f>IFERROR(VLOOKUP($A307&amp;"_"&amp;$B307,Results_Deltas!$A$2:$P$15000,5,FALSE),"")</f>
        <v/>
      </c>
      <c r="H139" t="inlineStr">
        <is>
          <t>Blanket (page end)</t>
        </is>
      </c>
      <c r="L139" t="inlineStr">
        <is>
          <t>NO</t>
        </is>
      </c>
      <c r="M139" t="n">
        <v>9</v>
      </c>
      <c r="N139" t="n">
        <v>0</v>
      </c>
    </row>
    <row r="140" ht="10.5" customHeight="1" s="67">
      <c r="A140" t="inlineStr">
        <is>
          <t>LH_HL_FILTER_ENABLED</t>
        </is>
      </c>
      <c r="B140" t="inlineStr">
        <is>
          <t>False</t>
        </is>
      </c>
      <c r="D140" t="inlineStr">
        <is>
          <t>ENTRY, GLOBAL_CHECK, STOCKS_EXIT</t>
        </is>
      </c>
      <c r="G140">
        <f>IFERROR(VLOOKUP($A323&amp;"_"&amp;$B323,Results_Deltas!$A$2:$P$15000,5,FALSE),"")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IFERROR(VLOOKUP($A286&amp;"_"&amp;$B286,Results_Deltas!$A$2:$P$15000,5,FALSE),"")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IFERROR(VLOOKUP($A250&amp;"_"&amp;$B250,Results_Deltas!$A$2:$P$15000,5,FALSE),"")</f>
        <v/>
      </c>
      <c r="H142" t="inlineStr">
        <is>
          <t>Blanket (page end)</t>
        </is>
      </c>
      <c r="L142" t="inlineStr">
        <is>
          <t>NO</t>
        </is>
      </c>
      <c r="M142" t="n">
        <v>3</v>
      </c>
      <c r="N142" t="n">
        <v>0</v>
      </c>
    </row>
    <row r="143" ht="10.5" customHeight="1" s="67">
      <c r="A143" t="inlineStr">
        <is>
          <t>OI_CONFIRM_ENABLED</t>
        </is>
      </c>
      <c r="B143" t="inlineStr">
        <is>
          <t>False</t>
        </is>
      </c>
      <c r="D143" t="inlineStr">
        <is>
          <t>ENTRY, GLOBAL_CHECK, STOCKS_EXIT</t>
        </is>
      </c>
      <c r="G143">
        <f>IFERROR(VLOOKUP($A378&amp;"_"&amp;$B378,Results_Deltas!$A$2:$P$15000,5,FALSE),"")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IFERROR(VLOOKUP($A255&amp;"_"&amp;$B255,Results_Deltas!$A$2:$P$15000,5,FALSE),"")</f>
        <v/>
      </c>
      <c r="H144" t="inlineStr">
        <is>
          <t>Blanket (page end)</t>
        </is>
      </c>
      <c r="L144" t="inlineStr">
        <is>
          <t>NO</t>
        </is>
      </c>
      <c r="M144" t="n">
        <v>3</v>
      </c>
      <c r="N144" t="n">
        <v>0</v>
      </c>
    </row>
    <row r="145" ht="10.5" customHeight="1" s="67">
      <c r="A145" t="inlineStr">
        <is>
          <t>MTS_GATE_ENABLED</t>
        </is>
      </c>
      <c r="B145" t="inlineStr">
        <is>
          <t>False</t>
        </is>
      </c>
      <c r="D145" t="inlineStr">
        <is>
          <t>ENTRY, GLOBAL_CHECK, STOCKS_EXIT</t>
        </is>
      </c>
      <c r="G145">
        <f>IFERROR(VLOOKUP($A366&amp;"_"&amp;$B366,Results_Deltas!$A$2:$P$15000,5,FALSE),"")</f>
        <v/>
      </c>
      <c r="H145" t="inlineStr">
        <is>
          <t>Blanket (page end)</t>
        </is>
      </c>
      <c r="L145" t="inlineStr">
        <is>
          <t>NO</t>
        </is>
      </c>
      <c r="M145" t="n">
        <v>9</v>
      </c>
      <c r="N145" t="n">
        <v>0</v>
      </c>
    </row>
    <row r="146" ht="10.5" customHeight="1" s="67">
      <c r="A146" t="inlineStr">
        <is>
          <t>MI_TF_AGREE_MIN</t>
        </is>
      </c>
      <c r="B146" t="inlineStr">
        <is>
          <t>0.0</t>
        </is>
      </c>
      <c r="D146" t="inlineStr">
        <is>
          <t>ENTRY, GLOBAL_CHECK, STOCKS_EXIT</t>
        </is>
      </c>
      <c r="G146">
        <f>IFERROR(VLOOKUP($A348&amp;"_"&amp;$B348,Results_Deltas!$A$2:$P$15000,5,FALSE),"")</f>
        <v/>
      </c>
      <c r="H146" t="inlineStr">
        <is>
          <t>Blanket (page end)</t>
        </is>
      </c>
      <c r="L146" t="inlineStr">
        <is>
          <t>YES</t>
        </is>
      </c>
      <c r="M146" t="n">
        <v>24</v>
      </c>
      <c r="N146" t="n">
        <v>0</v>
      </c>
    </row>
    <row r="147" ht="10.5" customHeight="1" s="67">
      <c r="A147" t="inlineStr">
        <is>
          <t>MI_TF_AGREE_MIN</t>
        </is>
      </c>
      <c r="B147" t="inlineStr">
        <is>
          <t>0.0_ALT</t>
        </is>
      </c>
      <c r="D147" t="inlineStr">
        <is>
          <t>ENTRY, GLOBAL_CHECK, STOCKS_EXIT</t>
        </is>
      </c>
      <c r="G147">
        <f>IFERROR(VLOOKUP($A349&amp;"_"&amp;$B349,Results_Deltas!$A$2:$P$15000,5,FALSE),"")</f>
        <v/>
      </c>
      <c r="H147" t="inlineStr">
        <is>
          <t>Blanket (page end)</t>
        </is>
      </c>
      <c r="L147" t="inlineStr">
        <is>
          <t>NO</t>
        </is>
      </c>
      <c r="M147" t="n">
        <v>24</v>
      </c>
      <c r="N147" t="n">
        <v>0</v>
      </c>
    </row>
    <row r="148" ht="10.5" customHeight="1" s="67">
      <c r="A148" t="inlineStr">
        <is>
          <t>HLR_SMA_BAND_PCT</t>
        </is>
      </c>
      <c r="B148" t="inlineStr">
        <is>
          <t>0</t>
        </is>
      </c>
      <c r="D148" t="inlineStr">
        <is>
          <t>ENTRY, GLOBAL_CHECK, STOCKS_EXIT</t>
        </is>
      </c>
      <c r="G148">
        <f>IFERROR(VLOOKUP($A300&amp;"_"&amp;$B300,Results_Deltas!$A$2:$P$15000,5,FALSE),"")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IFERROR(VLOOKUP($A260&amp;"_"&amp;$B260,Results_Deltas!$A$2:$P$15000,5,FALSE),"")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IFERROR(VLOOKUP($A259&amp;"_"&amp;$B259,Results_Deltas!$A$2:$P$15000,5,FALSE),"")</f>
        <v/>
      </c>
      <c r="H150" t="inlineStr">
        <is>
          <t>Blanket (page end)</t>
        </is>
      </c>
      <c r="L150" t="inlineStr">
        <is>
          <t>NO</t>
        </is>
      </c>
      <c r="M150" t="n">
        <v>24</v>
      </c>
      <c r="N150" t="n">
        <v>0</v>
      </c>
    </row>
    <row r="151" ht="10.5" customHeight="1" s="67">
      <c r="A151" t="inlineStr">
        <is>
          <t>HLR_TOP_MIN_TFS</t>
        </is>
      </c>
      <c r="B151" t="inlineStr">
        <is>
          <t>0</t>
        </is>
      </c>
      <c r="D151" t="inlineStr">
        <is>
          <t>GLOBAL_CHECK, REENTRY, STOCKS_EXIT</t>
        </is>
      </c>
      <c r="G151">
        <f>IFERROR(VLOOKUP($A304&amp;"_"&amp;$B304,Results_Deltas!$A$2:$P$15000,5,FALSE),"")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IFERROR(VLOOKUP($A233&amp;"_"&amp;$B233,Results_Deltas!$A$2:$P$15000,5,FALSE),"")</f>
        <v/>
      </c>
      <c r="H152" t="inlineStr">
        <is>
          <t>Blanket (page end)</t>
        </is>
      </c>
      <c r="L152" t="inlineStr">
        <is>
          <t>NO</t>
        </is>
      </c>
      <c r="M152" t="n">
        <v>3</v>
      </c>
      <c r="N152" t="n">
        <v>0</v>
      </c>
    </row>
    <row r="153" ht="10.5" customHeight="1" s="67">
      <c r="A153" t="inlineStr">
        <is>
          <t>HA_WICK_QUALITY_TF</t>
        </is>
      </c>
      <c r="B153" t="inlineStr">
        <is>
          <t>15m</t>
        </is>
      </c>
      <c r="D153" t="inlineStr">
        <is>
          <t>ENTRY, GLOBAL_CHECK, STOCKS_EXIT</t>
        </is>
      </c>
      <c r="G153">
        <f>IFERROR(VLOOKUP($A299&amp;"_"&amp;$B299,Results_Deltas!$A$2:$P$15000,5,FALSE),"")</f>
        <v/>
      </c>
      <c r="H153" t="inlineStr">
        <is>
          <t>Blanket (page end)</t>
        </is>
      </c>
      <c r="L153" t="inlineStr">
        <is>
          <t>YES</t>
        </is>
      </c>
      <c r="M153" t="n">
        <v>9</v>
      </c>
      <c r="N153" t="n">
        <v>0</v>
      </c>
    </row>
    <row r="154" ht="10.5" customHeight="1" s="67">
      <c r="A154" t="inlineStr">
        <is>
          <t>EZ_MANAGE_THROTTLER_RATE</t>
        </is>
      </c>
      <c r="B154" t="inlineStr">
        <is>
          <t>0.0</t>
        </is>
      </c>
      <c r="D154" t="inlineStr">
        <is>
          <t>GLOBAL_CHECK, STOCKS_EXIT</t>
        </is>
      </c>
      <c r="G154">
        <f>IFERROR(VLOOKUP($A261&amp;"_"&amp;$B261,Results_Deltas!$A$2:$P$15000,5,FALSE),"")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IFERROR(VLOOKUP($A262&amp;"_"&amp;$B262,Results_Deltas!$A$2:$P$15000,5,FALSE),"")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IFERROR(VLOOKUP($A221&amp;"_"&amp;$B221,Results_Deltas!$A$2:$P$15000,5,FALSE),"")</f>
        <v/>
      </c>
      <c r="H156" t="inlineStr">
        <is>
          <t>Blanket (page end)</t>
        </is>
      </c>
      <c r="L156" t="inlineStr">
        <is>
          <t>NO</t>
        </is>
      </c>
      <c r="M156" t="n">
        <v>9</v>
      </c>
      <c r="N156" t="n">
        <v>0</v>
      </c>
    </row>
    <row r="157" ht="10.5" customHeight="1" s="67">
      <c r="A157" t="inlineStr">
        <is>
          <t>NEW_POSITION_MAX_LOSS_THRESHOLD</t>
        </is>
      </c>
      <c r="B157" t="inlineStr">
        <is>
          <t>0</t>
        </is>
      </c>
      <c r="D157" t="inlineStr">
        <is>
          <t>AUGMENT, EXIT, GLOBAL_CHECK, REDUCE, STOCKS_EXIT</t>
        </is>
      </c>
      <c r="G157">
        <f>IFERROR(VLOOKUP($A374&amp;"_"&amp;$B374,Results_Deltas!$A$2:$P$15000,5,FALSE),"")</f>
        <v/>
      </c>
      <c r="H157" t="inlineStr">
        <is>
          <t>Blanket (page end)</t>
        </is>
      </c>
      <c r="L157" t="inlineStr">
        <is>
          <t>NO</t>
        </is>
      </c>
      <c r="M157" t="n">
        <v>24</v>
      </c>
      <c r="N157" t="n">
        <v>0</v>
      </c>
    </row>
    <row r="158" ht="10.5" customHeight="1" s="67">
      <c r="A158" t="inlineStr">
        <is>
          <t>HTF_GATE_D_MANDATORY</t>
        </is>
      </c>
      <c r="B158" t="inlineStr">
        <is>
          <t>0.0_ALT</t>
        </is>
      </c>
      <c r="D158" t="inlineStr">
        <is>
          <t>ENTRY, GLOBAL_CHECK, STOCKS_EXIT</t>
        </is>
      </c>
      <c r="G158">
        <f>IFERROR(VLOOKUP($A314&amp;"_"&amp;$B314,Results_Deltas!$A$2:$P$15000,5,FALSE),"")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IFERROR(VLOOKUP($A244&amp;"_"&amp;$B244,Results_Deltas!$A$2:$P$15000,5,FALSE),"")</f>
        <v/>
      </c>
      <c r="H159" t="inlineStr">
        <is>
          <t>Blanket (page end)</t>
        </is>
      </c>
      <c r="L159" t="inlineStr">
        <is>
          <t>NO</t>
        </is>
      </c>
      <c r="M159" t="n">
        <v>9</v>
      </c>
      <c r="N159" t="n">
        <v>0</v>
      </c>
    </row>
    <row r="160" ht="10.5" customHeight="1" s="67">
      <c r="A160" t="inlineStr">
        <is>
          <t>HTF_GATE_D_MANDATORY</t>
        </is>
      </c>
      <c r="B160" t="inlineStr">
        <is>
          <t>0.0</t>
        </is>
      </c>
      <c r="D160" t="inlineStr">
        <is>
          <t>ENTRY, GLOBAL_CHECK, STOCKS_EXIT</t>
        </is>
      </c>
      <c r="G160">
        <f>IFERROR(VLOOKUP($A313&amp;"_"&amp;$B313,Results_Deltas!$A$2:$P$15000,5,FALSE),"")</f>
        <v/>
      </c>
      <c r="H160" t="inlineStr">
        <is>
          <t>Blanket (page end)</t>
        </is>
      </c>
      <c r="L160" t="inlineStr">
        <is>
          <t>YES</t>
        </is>
      </c>
      <c r="M160" t="n">
        <v>24</v>
      </c>
      <c r="N160" t="n">
        <v>0</v>
      </c>
    </row>
    <row r="161" ht="10.5" customHeight="1" s="67">
      <c r="A161" t="inlineStr">
        <is>
          <t>MANDATORY_REENTRY_WT_FILTER_REQUIRE_FLIP</t>
        </is>
      </c>
      <c r="B161" t="inlineStr">
        <is>
          <t>False_ALT</t>
        </is>
      </c>
      <c r="D161" t="inlineStr">
        <is>
          <t>GLOBAL_CHECK, STOCKS_EXIT</t>
        </is>
      </c>
      <c r="G161">
        <f>IFERROR(VLOOKUP($A343&amp;"_"&amp;$B343,Results_Deltas!$A$2:$P$15000,5,FALSE),"")</f>
        <v/>
      </c>
      <c r="H161" t="inlineStr">
        <is>
          <t>Blanket (page end)</t>
        </is>
      </c>
      <c r="L161" t="inlineStr">
        <is>
          <t>NO</t>
        </is>
      </c>
      <c r="M161" t="n">
        <v>24</v>
      </c>
      <c r="N161" t="n">
        <v>0</v>
      </c>
    </row>
    <row r="162" ht="10.5" customHeight="1" s="67">
      <c r="A162" t="inlineStr">
        <is>
          <t>MARKET_QUALITY_SCORE_ENABLED</t>
        </is>
      </c>
      <c r="B162" t="inlineStr">
        <is>
          <t>False</t>
        </is>
      </c>
      <c r="D162" t="inlineStr">
        <is>
          <t>ENTRY, GLOBAL_CHECK, STOCKS_EXIT</t>
        </is>
      </c>
      <c r="G162">
        <f>IFERROR(VLOOKUP($A346&amp;"_"&amp;$B346,Results_Deltas!$A$2:$P$15000,5,FALSE),"")</f>
        <v/>
      </c>
      <c r="H162" t="inlineStr">
        <is>
          <t>Blanket (page end)</t>
        </is>
      </c>
      <c r="L162" t="inlineStr">
        <is>
          <t>NO</t>
        </is>
      </c>
      <c r="M162" t="n">
        <v>9</v>
      </c>
      <c r="N162" t="n">
        <v>0</v>
      </c>
    </row>
    <row r="163" ht="10.5" customHeight="1" s="67">
      <c r="A163" t="inlineStr">
        <is>
          <t>HTF_GATE_BYPASS_RZ</t>
        </is>
      </c>
      <c r="B163" t="inlineStr">
        <is>
          <t>0.0</t>
        </is>
      </c>
      <c r="D163" t="inlineStr">
        <is>
          <t>ENTRY, GLOBAL_CHECK, STOCKS_EXIT</t>
        </is>
      </c>
      <c r="G163">
        <f>IFERROR(VLOOKUP($A311&amp;"_"&amp;$B311,Results_Deltas!$A$2:$P$15000,5,FALSE),"")</f>
        <v/>
      </c>
      <c r="H163" t="inlineStr">
        <is>
          <t>Blanket (page end)</t>
        </is>
      </c>
      <c r="L163" t="inlineStr">
        <is>
          <t>NO</t>
        </is>
      </c>
      <c r="M163" t="n">
        <v>24</v>
      </c>
      <c r="N163" t="n">
        <v>0</v>
      </c>
    </row>
    <row r="164" ht="10.5" customHeight="1" s="67">
      <c r="A164" t="inlineStr">
        <is>
          <t>HTF_GATE_BYPASS_RZ</t>
        </is>
      </c>
      <c r="B164" t="inlineStr">
        <is>
          <t>0.0_ALT</t>
        </is>
      </c>
      <c r="D164" t="inlineStr">
        <is>
          <t>ENTRY, GLOBAL_CHECK, STOCKS_EXIT</t>
        </is>
      </c>
      <c r="G164">
        <f>IFERROR(VLOOKUP($A312&amp;"_"&amp;$B312,Results_Deltas!$A$2:$P$15000,5,FALSE),"")</f>
        <v/>
      </c>
      <c r="H164" t="inlineStr">
        <is>
          <t>Blanket (page end)</t>
        </is>
      </c>
      <c r="L164" t="inlineStr">
        <is>
          <t>NO</t>
        </is>
      </c>
      <c r="M164" t="n">
        <v>24</v>
      </c>
      <c r="N164" t="n">
        <v>0</v>
      </c>
    </row>
    <row r="165" ht="10.5" customHeight="1" s="67">
      <c r="A165" t="inlineStr">
        <is>
          <t>HTF_DIRECTION_GATE_ENABLED</t>
        </is>
      </c>
      <c r="B165" t="inlineStr">
        <is>
          <t>False</t>
        </is>
      </c>
      <c r="D165" t="inlineStr">
        <is>
          <t>ENTRY, GLOBAL_CHECK, STOCKS_EXIT</t>
        </is>
      </c>
      <c r="G165">
        <f>IFERROR(VLOOKUP($A309&amp;"_"&amp;$B309,Results_Deltas!$A$2:$P$15000,5,FALSE),"")</f>
        <v/>
      </c>
      <c r="H165" t="inlineStr">
        <is>
          <t>Blanket (page end)</t>
        </is>
      </c>
      <c r="L165" t="inlineStr">
        <is>
          <t>NO</t>
        </is>
      </c>
      <c r="M165" t="n">
        <v>9</v>
      </c>
      <c r="N165" t="n">
        <v>0</v>
      </c>
    </row>
    <row r="166" ht="10.5" customHeight="1" s="67">
      <c r="A166" t="inlineStr">
        <is>
          <t>MTF_FILTER_STRONG_BUY_QUICK_BYPASS</t>
        </is>
      </c>
      <c r="B166" t="inlineStr">
        <is>
          <t>0.0</t>
        </is>
      </c>
      <c r="D166" t="inlineStr">
        <is>
          <t>GLOBAL_CHECK, STOCKS_EXIT</t>
        </is>
      </c>
      <c r="G166">
        <f>IFERROR(VLOOKUP($A354&amp;"_"&amp;$B354,Results_Deltas!$A$2:$P$15000,5,FALSE),"")</f>
        <v/>
      </c>
      <c r="H166" t="inlineStr">
        <is>
          <t>Blanket (page end)</t>
        </is>
      </c>
      <c r="L166" t="inlineStr">
        <is>
          <t>NO</t>
        </is>
      </c>
      <c r="M166" t="n">
        <v>24</v>
      </c>
      <c r="N166" t="n">
        <v>0</v>
      </c>
    </row>
    <row r="167" ht="10.5" customHeight="1" s="67">
      <c r="A167" t="inlineStr">
        <is>
          <t>MTF_FILTER_STRONG_BUY_QUICK_BYPASS</t>
        </is>
      </c>
      <c r="B167" t="inlineStr">
        <is>
          <t>0.0_ALT</t>
        </is>
      </c>
      <c r="D167" t="inlineStr">
        <is>
          <t>GLOBAL_CHECK, STOCKS_EXIT</t>
        </is>
      </c>
      <c r="G167">
        <f>IFERROR(VLOOKUP($A355&amp;"_"&amp;$B355,Results_Deltas!$A$2:$P$15000,5,FALSE),"")</f>
        <v/>
      </c>
      <c r="H167" t="inlineStr">
        <is>
          <t>Blanket (page end)</t>
        </is>
      </c>
      <c r="L167" t="inlineStr">
        <is>
          <t>NO</t>
        </is>
      </c>
      <c r="M167" t="n">
        <v>24</v>
      </c>
      <c r="N167" t="n">
        <v>0</v>
      </c>
    </row>
    <row r="168" ht="10.5" customHeight="1" s="67">
      <c r="A168" t="inlineStr">
        <is>
          <t>NEWBORN_LOSS_KILL_REQUIRE_VEL_AGAINST</t>
        </is>
      </c>
      <c r="B168" t="inlineStr">
        <is>
          <t>0.0</t>
        </is>
      </c>
      <c r="D168" t="inlineStr">
        <is>
          <t>AUGMENT, EXIT, GLOBAL_CHECK, REDUCE, STOCKS_EXIT</t>
        </is>
      </c>
      <c r="G168">
        <f>IFERROR(VLOOKUP($A372&amp;"_"&amp;$B372,Results_Deltas!$A$2:$P$15000,5,FALSE),"")</f>
        <v/>
      </c>
      <c r="H168" t="inlineStr">
        <is>
          <t>Blanket (page end)</t>
        </is>
      </c>
      <c r="L168" t="inlineStr">
        <is>
          <t>NO</t>
        </is>
      </c>
      <c r="M168" t="n">
        <v>24</v>
      </c>
      <c r="N168" t="n">
        <v>0</v>
      </c>
    </row>
    <row r="169" ht="10.5" customHeight="1" s="67">
      <c r="A169" t="inlineStr">
        <is>
          <t>NEWBORN_LOSS_KILL_REQUIRE_VEL_AGAINST</t>
        </is>
      </c>
      <c r="B169" t="inlineStr">
        <is>
          <t>0.0_ALT</t>
        </is>
      </c>
      <c r="D169" t="inlineStr">
        <is>
          <t>AUGMENT, EXIT, GLOBAL_CHECK, REDUCE, STOCKS_EXIT</t>
        </is>
      </c>
      <c r="G169">
        <f>IFERROR(VLOOKUP($A373&amp;"_"&amp;$B373,Results_Deltas!$A$2:$P$15000,5,FALSE),"")</f>
        <v/>
      </c>
      <c r="H169" t="inlineStr">
        <is>
          <t>Blanket (page end)</t>
        </is>
      </c>
      <c r="L169" t="inlineStr">
        <is>
          <t>YES</t>
        </is>
      </c>
      <c r="M169" t="n">
        <v>24</v>
      </c>
      <c r="N169" t="n">
        <v>0</v>
      </c>
    </row>
    <row r="170" ht="10.5" customHeight="1" s="67">
      <c r="A170" t="inlineStr">
        <is>
          <t>MANDATORY_REENTRY_WT_FILTER_MIN_VELOCITY</t>
        </is>
      </c>
      <c r="B170" t="inlineStr">
        <is>
          <t>0.0</t>
        </is>
      </c>
      <c r="D170" t="inlineStr">
        <is>
          <t>GLOBAL_CHECK, STOCKS_EXIT</t>
        </is>
      </c>
      <c r="G170">
        <f>IFERROR(VLOOKUP($A340&amp;"_"&amp;$B340,Results_Deltas!$A$2:$P$15000,5,FALSE),"")</f>
        <v/>
      </c>
      <c r="H170" t="inlineStr">
        <is>
          <t>Blanket (page end)</t>
        </is>
      </c>
      <c r="L170" t="inlineStr">
        <is>
          <t>YES</t>
        </is>
      </c>
      <c r="M170" t="n">
        <v>24</v>
      </c>
      <c r="N170" t="n">
        <v>0</v>
      </c>
    </row>
    <row r="171" ht="10.5" customHeight="1" s="67">
      <c r="A171" t="inlineStr">
        <is>
          <t>MANDATORY_REENTRY_WT_FILTER_MIN_VELOCITY</t>
        </is>
      </c>
      <c r="B171" t="inlineStr">
        <is>
          <t>0.0_ALT</t>
        </is>
      </c>
      <c r="D171" t="inlineStr">
        <is>
          <t>GLOBAL_CHECK, STOCKS_EXIT</t>
        </is>
      </c>
      <c r="G171">
        <f>IFERROR(VLOOKUP($A341&amp;"_"&amp;$B341,Results_Deltas!$A$2:$P$15000,5,FALSE),"")</f>
        <v/>
      </c>
      <c r="H171" t="inlineStr">
        <is>
          <t>Blanket (page end)</t>
        </is>
      </c>
      <c r="L171" t="inlineStr">
        <is>
          <t>NO</t>
        </is>
      </c>
      <c r="M171" t="n">
        <v>24</v>
      </c>
      <c r="N171" t="n">
        <v>0</v>
      </c>
    </row>
    <row r="172" ht="10.5" customHeight="1" s="67">
      <c r="A172" t="inlineStr">
        <is>
          <t>HTF_TREND_VETO_BYPASS_REASONS</t>
        </is>
      </c>
      <c r="B172" t="inlineStr">
        <is>
          <t>0.0</t>
        </is>
      </c>
      <c r="D172" t="inlineStr">
        <is>
          <t>GLOBAL_CHECK, STOCKS_EXIT</t>
        </is>
      </c>
      <c r="G172">
        <f>IFERROR(VLOOKUP($A319&amp;"_"&amp;$B319,Results_Deltas!$A$2:$P$15000,5,FALSE),"")</f>
        <v/>
      </c>
      <c r="H172" t="inlineStr">
        <is>
          <t>Blanket (page end)</t>
        </is>
      </c>
      <c r="L172" t="inlineStr">
        <is>
          <t>YES</t>
        </is>
      </c>
      <c r="M172" t="n">
        <v>24</v>
      </c>
      <c r="N172" t="n">
        <v>0</v>
      </c>
    </row>
    <row r="173" ht="10.5" customHeight="1" s="67">
      <c r="A173" t="inlineStr">
        <is>
          <t>NEWBORN_LOSS_KILL_GAIN_THRESHOLD_PCT</t>
        </is>
      </c>
      <c r="B173" t="inlineStr">
        <is>
          <t>0</t>
        </is>
      </c>
      <c r="D173" t="inlineStr">
        <is>
          <t>AUGMENT, EXIT, GLOBAL_CHECK, REDUCE, STOCKS_EXIT</t>
        </is>
      </c>
      <c r="G173">
        <f>IFERROR(VLOOKUP($A368&amp;"_"&amp;$B368,Results_Deltas!$A$2:$P$15000,5,FALSE),"")</f>
        <v/>
      </c>
      <c r="H173" t="inlineStr">
        <is>
          <t>Blanket (page end)</t>
        </is>
      </c>
      <c r="L173" t="inlineStr">
        <is>
          <t>NO</t>
        </is>
      </c>
      <c r="M173" t="n">
        <v>24</v>
      </c>
      <c r="N173" t="n">
        <v>0</v>
      </c>
    </row>
    <row r="174" ht="10.5" customHeight="1" s="67">
      <c r="A174" t="inlineStr">
        <is>
          <t>HTF_TREND_VETO_BYPASS_REASONS</t>
        </is>
      </c>
      <c r="B174" t="inlineStr">
        <is>
          <t>0.0_ALT</t>
        </is>
      </c>
      <c r="D174" t="inlineStr">
        <is>
          <t>GLOBAL_CHECK, STOCKS_EXIT</t>
        </is>
      </c>
      <c r="G174">
        <f>IFERROR(VLOOKUP($A320&amp;"_"&amp;$B320,Results_Deltas!$A$2:$P$15000,5,FALSE),"")</f>
        <v/>
      </c>
      <c r="H174" t="inlineStr">
        <is>
          <t>Blanket (page end)</t>
        </is>
      </c>
      <c r="L174" t="inlineStr">
        <is>
          <t>NO</t>
        </is>
      </c>
      <c r="M174" t="n">
        <v>24</v>
      </c>
      <c r="N174" t="n">
        <v>0</v>
      </c>
    </row>
    <row r="175" ht="10.5" customHeight="1" s="67">
      <c r="A175" t="inlineStr">
        <is>
          <t>MANDATORY_REENTRY_WT_FILTER_REQUIRE_FLIP</t>
        </is>
      </c>
      <c r="B175" t="inlineStr">
        <is>
          <t>False</t>
        </is>
      </c>
      <c r="D175" t="inlineStr">
        <is>
          <t>GLOBAL_CHECK, STOCKS_EXIT</t>
        </is>
      </c>
      <c r="G175">
        <f>IFERROR(VLOOKUP($A342&amp;"_"&amp;$B342,Results_Deltas!$A$2:$P$15000,5,FALSE),"")</f>
        <v/>
      </c>
      <c r="H175" t="inlineStr">
        <is>
          <t>Blanket (page end)</t>
        </is>
      </c>
      <c r="L175" t="inlineStr">
        <is>
          <t>NO</t>
        </is>
      </c>
      <c r="M175" t="n">
        <v>9</v>
      </c>
      <c r="N175" t="n">
        <v>0</v>
      </c>
    </row>
    <row r="176" ht="10.5" customHeight="1" s="67">
      <c r="A176" t="inlineStr">
        <is>
          <t>HTF_TREND_VETO_BYPASS_ENABLED</t>
        </is>
      </c>
      <c r="B176" t="inlineStr">
        <is>
          <t>False</t>
        </is>
      </c>
      <c r="D176" t="inlineStr">
        <is>
          <t>GLOBAL_CHECK, STOCKS_EXIT</t>
        </is>
      </c>
      <c r="G176">
        <f>IFERROR(VLOOKUP($A317&amp;"_"&amp;$B317,Results_Deltas!$A$2:$P$15000,5,FALSE),"")</f>
        <v/>
      </c>
      <c r="H176" t="inlineStr">
        <is>
          <t>Blanket (page end)</t>
        </is>
      </c>
      <c r="L176" t="inlineStr">
        <is>
          <t>YES</t>
        </is>
      </c>
      <c r="M176" t="n">
        <v>9</v>
      </c>
      <c r="N176" t="n">
        <v>0</v>
      </c>
    </row>
    <row r="177" ht="10.5" customHeight="1" s="67">
      <c r="A177" t="inlineStr">
        <is>
          <t>LIVE_VEC_EMERGENCY_BRAKE_ENABLED</t>
        </is>
      </c>
      <c r="B177" t="inlineStr">
        <is>
          <t>False</t>
        </is>
      </c>
      <c r="D177" t="inlineStr">
        <is>
          <t>GLOBAL_CHECK, STOCKS_EXIT</t>
        </is>
      </c>
      <c r="G177">
        <f>IFERROR(VLOOKUP($A329&amp;"_"&amp;$B329,Results_Deltas!$A$2:$P$15000,5,FALSE),"")</f>
        <v/>
      </c>
      <c r="H177" t="inlineStr">
        <is>
          <t>Blanket (page end)</t>
        </is>
      </c>
      <c r="L177" t="inlineStr">
        <is>
          <t>NO</t>
        </is>
      </c>
      <c r="M177" t="n">
        <v>9</v>
      </c>
      <c r="N177" t="n">
        <v>0</v>
      </c>
    </row>
    <row r="178" ht="10.5" customHeight="1" s="67">
      <c r="A178" t="inlineStr">
        <is>
          <t>WT_DC_DC_POS_THRESHOLD_SHORT</t>
        </is>
      </c>
      <c r="B178" t="n">
        <v>0.4</v>
      </c>
      <c r="M178" t="n">
        <v>0</v>
      </c>
      <c r="N178" t="n">
        <v>0</v>
      </c>
    </row>
    <row r="179" ht="10.5" customHeight="1" s="67">
      <c r="A179" t="inlineStr">
        <is>
          <t>WT_DC_DC_POS_THRESHOLD_SHORT</t>
        </is>
      </c>
      <c r="B179" t="n">
        <v>0.6</v>
      </c>
      <c r="M179" t="n">
        <v>0</v>
      </c>
      <c r="N179" t="n">
        <v>0</v>
      </c>
    </row>
    <row r="180" ht="10.5" customHeight="1" s="67">
      <c r="A180" t="inlineStr">
        <is>
          <t>WT_DC_DC_POS_THRESHOLD_SHORT</t>
        </is>
      </c>
      <c r="B180" t="n">
        <v>0.7</v>
      </c>
      <c r="M180" t="n">
        <v>0</v>
      </c>
      <c r="N180" t="n">
        <v>0</v>
      </c>
    </row>
    <row r="181" ht="10.5" customHeight="1" s="67">
      <c r="A181" t="inlineStr">
        <is>
          <t>WT_DC_DC_POS_THRESHOLD_LONG</t>
        </is>
      </c>
      <c r="B181" t="n">
        <v>0.7</v>
      </c>
      <c r="M181" t="n">
        <v>0</v>
      </c>
      <c r="N181" t="n">
        <v>0</v>
      </c>
    </row>
    <row r="182" ht="10.5" customHeight="1" s="67">
      <c r="A182" t="inlineStr">
        <is>
          <t>WT_DC_DC_POS_THRESHOLD_LONG</t>
        </is>
      </c>
      <c r="B182" t="n">
        <v>0.4</v>
      </c>
      <c r="M182" t="n">
        <v>0</v>
      </c>
      <c r="N182" t="n">
        <v>0</v>
      </c>
    </row>
    <row r="183" ht="10.5" customHeight="1" s="67">
      <c r="A183" t="inlineStr">
        <is>
          <t>WT_DC_DC_POS_THRESHOLD_LONG</t>
        </is>
      </c>
      <c r="B183" t="n">
        <v>0.6</v>
      </c>
      <c r="M183" t="n">
        <v>0</v>
      </c>
      <c r="N183" t="n">
        <v>0</v>
      </c>
    </row>
    <row r="184" ht="15.75" customHeight="1" s="67">
      <c r="A184" t="inlineStr">
        <is>
          <t>RZ_BOT_BB_THRESHOLD</t>
        </is>
      </c>
      <c r="B184" t="inlineStr">
        <is>
          <t>0.075</t>
        </is>
      </c>
      <c r="G184">
        <f>IFERROR(VLOOKUP($A240&amp;"_"&amp;$B240,Results_Deltas!$A$2:$P$15000,5,FALSE),"")</f>
        <v/>
      </c>
      <c r="H184">
        <f>IFERROR(VLOOKUP($A240,Results_30d_Deltas!$A$2:$H$5000,7,FALSE)-E116,"")</f>
        <v/>
      </c>
      <c r="I184">
        <f>IFERROR(VLOOKUP($A240,Results_30d_Deltas!$A$2:$H$5000,6,FALSE),"")</f>
        <v/>
      </c>
      <c r="L184" t="inlineStr">
        <is>
          <t>NO</t>
        </is>
      </c>
      <c r="M184" t="n">
        <v>25</v>
      </c>
      <c r="N184" t="n">
        <v>0</v>
      </c>
    </row>
    <row r="185" ht="15.75" customHeight="1" s="67">
      <c r="A185" t="inlineStr">
        <is>
          <t>RZ_BOT_BB_THRESHOLD</t>
        </is>
      </c>
      <c r="B185" t="n">
        <v>0.375</v>
      </c>
      <c r="G185">
        <f>IFERROR(VLOOKUP($A242&amp;"_"&amp;$B242,Results_Deltas!$A$2:$P$15000,5,FALSE),"")</f>
        <v/>
      </c>
      <c r="H185">
        <f>IFERROR(VLOOKUP($A242,Results_30d_Deltas!$A$2:$H$5000,7,FALSE)-E118,"")</f>
        <v/>
      </c>
      <c r="I185">
        <f>IFERROR(VLOOKUP($A242,Results_30d_Deltas!$A$2:$H$5000,6,FALSE),"")</f>
        <v/>
      </c>
      <c r="L185" t="inlineStr">
        <is>
          <t>NO</t>
        </is>
      </c>
      <c r="M185" t="n">
        <v>4</v>
      </c>
      <c r="N185" t="n">
        <v>0</v>
      </c>
    </row>
    <row r="186" ht="15.75" customHeight="1" s="67">
      <c r="A186" t="inlineStr">
        <is>
          <t>RZ_BOT_BB_THRESHOLD</t>
        </is>
      </c>
      <c r="B186" t="inlineStr">
        <is>
          <t>0.1875</t>
        </is>
      </c>
      <c r="G186">
        <f>IFERROR(VLOOKUP($A243&amp;"_"&amp;$B243,Results_Deltas!$A$2:$P$15000,5,FALSE),"")</f>
        <v/>
      </c>
      <c r="H186">
        <f>IFERROR(VLOOKUP($A243,Results_30d_Deltas!$A$2:$H$5000,7,FALSE)-E119,"")</f>
        <v/>
      </c>
      <c r="I186">
        <f>IFERROR(VLOOKUP($A243,Results_30d_Deltas!$A$2:$H$5000,6,FALSE),"")</f>
        <v/>
      </c>
      <c r="L186" t="inlineStr">
        <is>
          <t>NO</t>
        </is>
      </c>
      <c r="M186" t="n">
        <v>25</v>
      </c>
      <c r="N186" t="n">
        <v>0</v>
      </c>
    </row>
    <row r="187" ht="15.75" customHeight="1" s="67">
      <c r="A187" t="inlineStr">
        <is>
          <t>WT_DC_STOCH_THRESHOLD_SHORT</t>
        </is>
      </c>
      <c r="B187" t="n">
        <v>50</v>
      </c>
      <c r="M187" t="n">
        <v>0</v>
      </c>
      <c r="N187" t="n">
        <v>0</v>
      </c>
    </row>
    <row r="188" ht="15.75" customHeight="1" s="67">
      <c r="A188" t="inlineStr">
        <is>
          <t>WT_DC_TF_COMBO</t>
        </is>
      </c>
      <c r="B188" t="inlineStr">
        <is>
          <t>1h_4h</t>
        </is>
      </c>
      <c r="M188" t="n">
        <v>0</v>
      </c>
      <c r="N188" t="n">
        <v>0</v>
      </c>
    </row>
    <row r="189" ht="15.75" customHeight="1" s="67">
      <c r="A189" t="inlineStr">
        <is>
          <t>WT_DC_TF_COMBO</t>
        </is>
      </c>
      <c r="B189" t="inlineStr">
        <is>
          <t>15m_1h_4h</t>
        </is>
      </c>
      <c r="M189" t="n">
        <v>0</v>
      </c>
      <c r="N189" t="n">
        <v>0</v>
      </c>
    </row>
    <row r="190" ht="15.75" customHeight="1" s="67">
      <c r="A190" t="inlineStr">
        <is>
          <t>RZ_BOT_BB_THRESHOLD</t>
        </is>
      </c>
      <c r="B190" t="inlineStr">
        <is>
          <t>0.225</t>
        </is>
      </c>
      <c r="G190">
        <f>IFERROR(VLOOKUP($A244&amp;"_"&amp;$B244,Results_Deltas!$A$2:$P$15000,5,FALSE),"")</f>
        <v/>
      </c>
      <c r="H190">
        <f>IFERROR(VLOOKUP($A244,Results_30d_Deltas!$A$2:$H$5000,7,FALSE)-E120,"")</f>
        <v/>
      </c>
      <c r="I190">
        <f>IFERROR(VLOOKUP($A244,Results_30d_Deltas!$A$2:$H$5000,6,FALSE),"")</f>
        <v/>
      </c>
      <c r="L190" t="inlineStr">
        <is>
          <t>NO</t>
        </is>
      </c>
      <c r="M190" t="n">
        <v>25</v>
      </c>
      <c r="N190" t="n">
        <v>0</v>
      </c>
    </row>
    <row r="191" ht="10.5" customHeight="1" s="67">
      <c r="A191" t="inlineStr">
        <is>
          <t>WT_DC_TF_HTF</t>
        </is>
      </c>
      <c r="B191" t="inlineStr">
        <is>
          <t>D</t>
        </is>
      </c>
      <c r="M191" t="n">
        <v>0</v>
      </c>
      <c r="N191" t="n">
        <v>0</v>
      </c>
    </row>
    <row r="192" ht="15.75" customHeight="1" s="67">
      <c r="A192" t="inlineStr">
        <is>
          <t>WT_DC_TF_COMBO</t>
        </is>
      </c>
      <c r="B192" t="inlineStr">
        <is>
          <t>15m_1h_4h_D</t>
        </is>
      </c>
      <c r="M192" t="n">
        <v>0</v>
      </c>
      <c r="N192" t="n">
        <v>0</v>
      </c>
    </row>
    <row r="193" ht="15.75" customHeight="1" s="67">
      <c r="A193" t="inlineStr">
        <is>
          <t>WT_DC_TF_COMBO</t>
        </is>
      </c>
      <c r="B193" t="inlineStr">
        <is>
          <t>4h_D</t>
        </is>
      </c>
      <c r="M193" t="n">
        <v>0</v>
      </c>
      <c r="N193" t="n">
        <v>0</v>
      </c>
    </row>
    <row r="194" ht="10.5" customHeight="1" s="67">
      <c r="A194" t="inlineStr">
        <is>
          <t>WT_DC_DC_POS_THRESHOLD_SHORT</t>
        </is>
      </c>
      <c r="B194" t="n">
        <v>0.3</v>
      </c>
      <c r="M194" t="n">
        <v>0</v>
      </c>
      <c r="N194" t="n">
        <v>0</v>
      </c>
    </row>
    <row r="195" ht="10.5" customHeight="1" s="67">
      <c r="A195" t="inlineStr">
        <is>
          <t>WT_DC_STOCH_THRESHOLD_LONG</t>
        </is>
      </c>
      <c r="B195" t="n">
        <v>50</v>
      </c>
      <c r="M195" t="n">
        <v>0</v>
      </c>
      <c r="N195" t="n">
        <v>0</v>
      </c>
    </row>
    <row r="196" ht="15.75" customHeight="1" s="67">
      <c r="A196" t="inlineStr">
        <is>
          <t>RZ_BOT_BB_THRESHOLD</t>
        </is>
      </c>
      <c r="B196" t="inlineStr">
        <is>
          <t>0.1125</t>
        </is>
      </c>
      <c r="G196">
        <f>IFERROR(VLOOKUP($A241&amp;"_"&amp;$B241,Results_Deltas!$A$2:$P$15000,5,FALSE),"")</f>
        <v/>
      </c>
      <c r="H196">
        <f>IFERROR(VLOOKUP($A241,Results_30d_Deltas!$A$2:$H$5000,7,FALSE)-E117,"")</f>
        <v/>
      </c>
      <c r="I196">
        <f>IFERROR(VLOOKUP($A241,Results_30d_Deltas!$A$2:$H$5000,6,FALSE),"")</f>
        <v/>
      </c>
      <c r="L196" t="inlineStr">
        <is>
          <t>NO</t>
        </is>
      </c>
      <c r="M196" t="n">
        <v>25</v>
      </c>
      <c r="N196" t="n">
        <v>0</v>
      </c>
    </row>
    <row r="197" ht="10.5" customHeight="1" s="67">
      <c r="A197" t="inlineStr">
        <is>
          <t>WT_DC_DC_TF</t>
        </is>
      </c>
      <c r="B197" t="inlineStr">
        <is>
          <t>D</t>
        </is>
      </c>
      <c r="M197" t="n">
        <v>0</v>
      </c>
      <c r="N197" t="n">
        <v>0</v>
      </c>
    </row>
    <row r="198" ht="10.5" customHeight="1" s="67">
      <c r="A198" t="inlineStr">
        <is>
          <t>WT_DC_TF_HTF2</t>
        </is>
      </c>
      <c r="B198" t="inlineStr">
        <is>
          <t>1h</t>
        </is>
      </c>
      <c r="M198" t="n">
        <v>0</v>
      </c>
      <c r="N198" t="n">
        <v>0</v>
      </c>
    </row>
    <row r="199" ht="10.5" customHeight="1" s="67">
      <c r="A199" t="inlineStr">
        <is>
          <t>WT_DC_STOCH_THRESHOLD_LONG</t>
        </is>
      </c>
      <c r="B199" t="n">
        <v>30</v>
      </c>
      <c r="M199" t="n">
        <v>0</v>
      </c>
      <c r="N199" t="n">
        <v>0</v>
      </c>
    </row>
    <row r="200" ht="15.75" customHeight="1" s="67">
      <c r="A200" t="inlineStr">
        <is>
          <t>WT_DC_STOCH_THRESHOLD_SHORT</t>
        </is>
      </c>
      <c r="B200" t="n">
        <v>70</v>
      </c>
      <c r="M200" t="n">
        <v>0</v>
      </c>
      <c r="N200" t="n">
        <v>0</v>
      </c>
    </row>
    <row r="201" ht="15.75" customHeight="1" s="67">
      <c r="A201" t="inlineStr">
        <is>
          <t>WT_DC_DIRECT_DC_TF</t>
        </is>
      </c>
      <c r="B201" t="inlineStr">
        <is>
          <t>4h</t>
        </is>
      </c>
      <c r="M201" t="n">
        <v>0</v>
      </c>
      <c r="N201" t="n">
        <v>0</v>
      </c>
    </row>
    <row r="202" ht="15.75" customHeight="1" s="67">
      <c r="A202" t="inlineStr">
        <is>
          <t>WT_DC_DIRECT_DC_TF</t>
        </is>
      </c>
      <c r="B202" t="inlineStr">
        <is>
          <t>15m</t>
        </is>
      </c>
      <c r="M202" t="n">
        <v>0</v>
      </c>
      <c r="N202" t="n">
        <v>0</v>
      </c>
    </row>
    <row r="203" ht="10.5" customHeight="1" s="67">
      <c r="A203" t="inlineStr">
        <is>
          <t>WT_DC_STOCH_TF</t>
        </is>
      </c>
      <c r="B203" t="inlineStr">
        <is>
          <t>4h</t>
        </is>
      </c>
      <c r="M203" t="n">
        <v>0</v>
      </c>
      <c r="N203" t="n">
        <v>0</v>
      </c>
    </row>
    <row r="204" ht="10.5" customHeight="1" s="67">
      <c r="A204" t="inlineStr">
        <is>
          <t>WT_DC_STOCH_TF</t>
        </is>
      </c>
      <c r="B204" t="inlineStr">
        <is>
          <t>1h</t>
        </is>
      </c>
      <c r="M204" t="n">
        <v>0</v>
      </c>
      <c r="N204" t="n">
        <v>0</v>
      </c>
    </row>
    <row r="205" ht="10.5" customHeight="1" s="67">
      <c r="A205" t="inlineStr">
        <is>
          <t>WT_DC_DC_TF</t>
        </is>
      </c>
      <c r="B205" t="inlineStr">
        <is>
          <t>4h</t>
        </is>
      </c>
      <c r="M205" t="n">
        <v>0</v>
      </c>
      <c r="N205" t="n">
        <v>0</v>
      </c>
    </row>
    <row r="206" ht="10.5" customHeight="1" s="67">
      <c r="A206" t="inlineStr">
        <is>
          <t>WT_DC_TF_HTF2</t>
        </is>
      </c>
      <c r="B206" t="inlineStr">
        <is>
          <t>4h</t>
        </is>
      </c>
      <c r="M206" t="n">
        <v>0</v>
      </c>
      <c r="N206" t="n">
        <v>0</v>
      </c>
    </row>
    <row r="207" ht="10.5" customHeight="1" s="67">
      <c r="A207" t="inlineStr">
        <is>
          <t>WT_DC_TF_HTF</t>
        </is>
      </c>
      <c r="B207" t="inlineStr">
        <is>
          <t>W</t>
        </is>
      </c>
      <c r="M207" t="n">
        <v>0</v>
      </c>
      <c r="N207" t="n">
        <v>0</v>
      </c>
    </row>
    <row r="208" ht="10.5" customHeight="1" s="67">
      <c r="A208" t="inlineStr">
        <is>
          <t>WT_DC_TF_HTF2</t>
        </is>
      </c>
      <c r="B208" t="inlineStr">
        <is>
          <t>W</t>
        </is>
      </c>
      <c r="M208" t="n">
        <v>0</v>
      </c>
      <c r="N208" t="n">
        <v>0</v>
      </c>
    </row>
    <row r="209" ht="10.5" customHeight="1" s="67">
      <c r="A209" t="inlineStr">
        <is>
          <t>WT_DC_DC_TF</t>
        </is>
      </c>
      <c r="B209" t="inlineStr">
        <is>
          <t>15m</t>
        </is>
      </c>
      <c r="M209" t="n">
        <v>0</v>
      </c>
      <c r="N209" t="n">
        <v>0</v>
      </c>
    </row>
    <row r="210" ht="15.75" customHeight="1" s="67">
      <c r="A210" t="inlineStr">
        <is>
          <t>WT_DC_HTF_GATE_MODE</t>
        </is>
      </c>
      <c r="B210" t="inlineStr">
        <is>
          <t>OR</t>
        </is>
      </c>
      <c r="M210" t="n">
        <v>0</v>
      </c>
      <c r="N210" t="n">
        <v>0</v>
      </c>
    </row>
    <row r="211" ht="15.75" customHeight="1" s="67">
      <c r="A211" t="inlineStr">
        <is>
          <t>WT_DC_DIRECT_DC_TF</t>
        </is>
      </c>
      <c r="B211" t="inlineStr">
        <is>
          <t>D</t>
        </is>
      </c>
      <c r="M211" t="n">
        <v>0</v>
      </c>
      <c r="N211" t="n">
        <v>0</v>
      </c>
    </row>
    <row r="212" ht="10.5" customHeight="1" s="67">
      <c r="A212" t="inlineStr">
        <is>
          <t>WT_DC_TF_HTF2</t>
        </is>
      </c>
      <c r="B212" t="inlineStr">
        <is>
          <t>none</t>
        </is>
      </c>
      <c r="M212" t="n">
        <v>0</v>
      </c>
      <c r="N212" t="n">
        <v>0</v>
      </c>
    </row>
    <row r="213" ht="10.5" customHeight="1" s="67">
      <c r="A213" t="inlineStr">
        <is>
          <t>WT_DC_TF_HTF</t>
        </is>
      </c>
      <c r="B213" t="inlineStr">
        <is>
          <t>15m</t>
        </is>
      </c>
      <c r="M213" t="n">
        <v>0</v>
      </c>
      <c r="N213" t="n">
        <v>0</v>
      </c>
    </row>
    <row r="214" ht="10.5" customHeight="1" s="67">
      <c r="A214" t="inlineStr">
        <is>
          <t>WT_DC_DC_POS_THRESHOLD_LONG</t>
        </is>
      </c>
      <c r="B214" t="n">
        <v>0.3</v>
      </c>
      <c r="M214" t="n">
        <v>0</v>
      </c>
      <c r="N214" t="n">
        <v>0</v>
      </c>
    </row>
    <row r="215" ht="15.75" customHeight="1" s="67">
      <c r="A215" t="inlineStr">
        <is>
          <t>DC_BREAKOUT_TF_EXPANDED</t>
        </is>
      </c>
      <c r="B215" t="inlineStr">
        <is>
          <t>W</t>
        </is>
      </c>
      <c r="M215" t="n">
        <v>0</v>
      </c>
      <c r="N215" t="n">
        <v>0</v>
      </c>
    </row>
    <row r="216" ht="10.5" customHeight="1" s="67">
      <c r="A216" t="inlineStr">
        <is>
          <t>WT_DC_TF_HTF</t>
        </is>
      </c>
      <c r="B216" t="inlineStr">
        <is>
          <t>1h</t>
        </is>
      </c>
      <c r="M216" t="n">
        <v>0</v>
      </c>
      <c r="N216" t="n">
        <v>0</v>
      </c>
    </row>
    <row r="217" ht="15.75" customHeight="1" s="67">
      <c r="A217" t="inlineStr">
        <is>
          <t>WT_DC_DIRECT_TF_ENTRY</t>
        </is>
      </c>
      <c r="B217" t="inlineStr">
        <is>
          <t>4h</t>
        </is>
      </c>
      <c r="M217" t="n">
        <v>0</v>
      </c>
      <c r="N217" t="n">
        <v>0</v>
      </c>
    </row>
    <row r="218" ht="15.75" customHeight="1" s="67">
      <c r="A218" t="inlineStr">
        <is>
          <t>WT_DC_DIRECT_TF_ENTRY</t>
        </is>
      </c>
      <c r="B218" t="inlineStr">
        <is>
          <t>15m</t>
        </is>
      </c>
      <c r="M218" t="n">
        <v>0</v>
      </c>
      <c r="N218" t="n">
        <v>0</v>
      </c>
    </row>
    <row r="219" ht="15.75" customHeight="1" s="67">
      <c r="A219" t="inlineStr">
        <is>
          <t>BB_BREAKOUT_SCORE</t>
        </is>
      </c>
      <c r="B219" t="inlineStr">
        <is>
          <t>25</t>
        </is>
      </c>
      <c r="G219">
        <f>IFERROR(VLOOKUP($A238&amp;"_"&amp;$B238,Results_Deltas!$A$2:$P$15000,5,FALSE),"")</f>
        <v/>
      </c>
      <c r="H219">
        <f>IFERROR(VLOOKUP($A238,Results_30d_Deltas!$A$2:$H$5000,7,FALSE)-E15,"")</f>
        <v/>
      </c>
      <c r="I219">
        <f>IFERROR(VLOOKUP($A238,Results_30d_Deltas!$A$2:$H$5000,6,FALSE),"")</f>
        <v/>
      </c>
      <c r="L219" t="inlineStr">
        <is>
          <t>NO</t>
        </is>
      </c>
      <c r="M219" t="n">
        <v>25</v>
      </c>
      <c r="N219" t="n">
        <v>0</v>
      </c>
    </row>
    <row r="220" ht="15.75" customHeight="1" s="67">
      <c r="A220" t="inlineStr">
        <is>
          <t>DC_BREAKOUT_TF_EXPANDED</t>
        </is>
      </c>
      <c r="B220" t="inlineStr">
        <is>
          <t>15m</t>
        </is>
      </c>
      <c r="M220" t="n">
        <v>0</v>
      </c>
      <c r="N220" t="n">
        <v>0</v>
      </c>
    </row>
    <row r="221" ht="10.5" customHeight="1" s="67">
      <c r="A221" t="inlineStr">
        <is>
          <t>WT_DC_STOCH_TF</t>
        </is>
      </c>
      <c r="B221" t="inlineStr">
        <is>
          <t>15m</t>
        </is>
      </c>
      <c r="M221" t="n">
        <v>0</v>
      </c>
      <c r="N221" t="n">
        <v>0</v>
      </c>
    </row>
    <row r="222" ht="10.5" customHeight="1" s="67">
      <c r="A222" t="inlineStr">
        <is>
          <t>WT_DC_TF_ENTRY</t>
        </is>
      </c>
      <c r="B222" t="inlineStr">
        <is>
          <t>4h</t>
        </is>
      </c>
      <c r="M222" t="n">
        <v>0</v>
      </c>
      <c r="N222" t="n">
        <v>0</v>
      </c>
    </row>
    <row r="223" ht="15.75" customHeight="1" s="67">
      <c r="A223" t="inlineStr">
        <is>
          <t>BB_BREAKOUT_SCORE</t>
        </is>
      </c>
      <c r="B223" t="inlineStr">
        <is>
          <t>15</t>
        </is>
      </c>
      <c r="G223">
        <f>IFERROR(VLOOKUP($A236&amp;"_"&amp;$B236,Results_Deltas!$A$2:$P$15000,5,FALSE),"")</f>
        <v/>
      </c>
      <c r="H223">
        <f>IFERROR(VLOOKUP($A236,Results_30d_Deltas!$A$2:$H$5000,7,FALSE)-E13,"")</f>
        <v/>
      </c>
      <c r="I223">
        <f>IFERROR(VLOOKUP($A236,Results_30d_Deltas!$A$2:$H$5000,6,FALSE),"")</f>
        <v/>
      </c>
      <c r="L223" t="inlineStr">
        <is>
          <t>NO</t>
        </is>
      </c>
      <c r="M223" t="n">
        <v>25</v>
      </c>
      <c r="N223" t="n">
        <v>0</v>
      </c>
    </row>
    <row r="224" ht="10.5" customHeight="1" s="67">
      <c r="A224" t="inlineStr">
        <is>
          <t>WT_DC_TF_ENTRY</t>
        </is>
      </c>
      <c r="B224" t="inlineStr">
        <is>
          <t>15m</t>
        </is>
      </c>
      <c r="M224" t="n">
        <v>0</v>
      </c>
      <c r="N224" t="n">
        <v>0</v>
      </c>
    </row>
    <row r="225" ht="10.5" customHeight="1" s="67">
      <c r="A225" t="inlineStr">
        <is>
          <t>WT_DC_TF_ENTRY</t>
        </is>
      </c>
      <c r="B225" t="inlineStr">
        <is>
          <t>D</t>
        </is>
      </c>
      <c r="M225" t="n">
        <v>0</v>
      </c>
      <c r="N225" t="n">
        <v>0</v>
      </c>
    </row>
    <row r="226" ht="15.75" customHeight="1" s="67">
      <c r="A226" t="inlineStr">
        <is>
          <t>BB_BREAKOUT_ENTRY_TF</t>
        </is>
      </c>
      <c r="B226" t="inlineStr">
        <is>
          <t>15m</t>
        </is>
      </c>
      <c r="D226" t="inlineStr">
        <is>
          <t>BREAKOUT_BB</t>
        </is>
      </c>
      <c r="L226" t="inlineStr">
        <is>
          <t>NO</t>
        </is>
      </c>
      <c r="M226" t="n">
        <v>0</v>
      </c>
      <c r="N226" t="n">
        <v>0</v>
      </c>
    </row>
    <row r="227" ht="15.75" customHeight="1" s="67">
      <c r="A227" t="inlineStr">
        <is>
          <t>BB_BREAKOUT_ENTRY_TF</t>
        </is>
      </c>
      <c r="B227" t="inlineStr">
        <is>
          <t>1h</t>
        </is>
      </c>
      <c r="D227" t="inlineStr">
        <is>
          <t>BREAKOUT_BB</t>
        </is>
      </c>
      <c r="L227" t="inlineStr">
        <is>
          <t>NO</t>
        </is>
      </c>
      <c r="M227" t="n">
        <v>0</v>
      </c>
      <c r="N227" t="n">
        <v>0</v>
      </c>
    </row>
    <row r="228" ht="15.75" customHeight="1" s="67">
      <c r="A228" t="inlineStr">
        <is>
          <t>BB_BREAKOUT_ENTRY_TF</t>
        </is>
      </c>
      <c r="B228" t="inlineStr">
        <is>
          <t>4h</t>
        </is>
      </c>
      <c r="D228" t="inlineStr">
        <is>
          <t>BREAKOUT_BB</t>
        </is>
      </c>
      <c r="L228" t="inlineStr">
        <is>
          <t>NO</t>
        </is>
      </c>
      <c r="M228" t="n">
        <v>0</v>
      </c>
      <c r="N228" t="n">
        <v>0</v>
      </c>
    </row>
    <row r="229" ht="15.75" customHeight="1" s="67">
      <c r="A229" t="inlineStr">
        <is>
          <t>BB_BREAKOUT_ENTRY_TF</t>
        </is>
      </c>
      <c r="B229" t="inlineStr">
        <is>
          <t>D</t>
        </is>
      </c>
      <c r="D229" t="inlineStr">
        <is>
          <t>BREAKOUT_BB</t>
        </is>
      </c>
      <c r="L229" t="inlineStr">
        <is>
          <t>NO</t>
        </is>
      </c>
      <c r="M229" t="n">
        <v>0</v>
      </c>
      <c r="N229" t="n">
        <v>0</v>
      </c>
    </row>
    <row r="230" ht="15.75" customHeight="1" s="67">
      <c r="A230" t="inlineStr">
        <is>
          <t>DC_BREAKOUT_TF_EXPANDED</t>
        </is>
      </c>
      <c r="B230" t="inlineStr">
        <is>
          <t>4h</t>
        </is>
      </c>
      <c r="M230" t="n">
        <v>0</v>
      </c>
      <c r="N230" t="n">
        <v>0</v>
      </c>
    </row>
    <row r="231" ht="15.75" customHeight="1" s="67">
      <c r="A231" t="inlineStr">
        <is>
          <t>BB_BREAKOUT_SCORE</t>
        </is>
      </c>
      <c r="B231" t="inlineStr">
        <is>
          <t>10</t>
        </is>
      </c>
      <c r="G231">
        <f>IFERROR(VLOOKUP($A235&amp;"_"&amp;$B235,Results_Deltas!$A$2:$P$15000,5,FALSE),"")</f>
        <v/>
      </c>
      <c r="H231">
        <f>IFERROR(VLOOKUP($A235,Results_30d_Deltas!$A$2:$H$5000,7,FALSE)-E12,"")</f>
        <v/>
      </c>
      <c r="I231">
        <f>IFERROR(VLOOKUP($A235,Results_30d_Deltas!$A$2:$H$5000,6,FALSE),"")</f>
        <v/>
      </c>
      <c r="L231" t="inlineStr">
        <is>
          <t>NO</t>
        </is>
      </c>
      <c r="M231" t="n">
        <v>25</v>
      </c>
      <c r="N231" t="n">
        <v>0</v>
      </c>
    </row>
    <row r="232" ht="15.75" customHeight="1" s="67">
      <c r="A232" t="inlineStr">
        <is>
          <t>DC_BREAKOUT_TF_EXPANDED</t>
        </is>
      </c>
      <c r="B232" t="inlineStr">
        <is>
          <t>D</t>
        </is>
      </c>
      <c r="M232" t="n">
        <v>0</v>
      </c>
      <c r="N232" t="n">
        <v>0</v>
      </c>
    </row>
    <row r="233" ht="15.75" customHeight="1" s="67">
      <c r="A233" t="inlineStr">
        <is>
          <t>BB_BREAKOUT_ENTRY_TF</t>
        </is>
      </c>
      <c r="B233" t="inlineStr">
        <is>
          <t>OFF</t>
        </is>
      </c>
      <c r="D233" t="inlineStr">
        <is>
          <t>BREAKOUT_BB</t>
        </is>
      </c>
      <c r="L233" t="inlineStr">
        <is>
          <t>YES</t>
        </is>
      </c>
      <c r="M233" t="n">
        <v>0</v>
      </c>
      <c r="N233" t="n">
        <v>0</v>
      </c>
    </row>
    <row r="234" ht="15.75" customHeight="1" s="67">
      <c r="A234" t="inlineStr">
        <is>
          <t>BB_BREAKOUT_SCORE</t>
        </is>
      </c>
      <c r="B234" t="inlineStr">
        <is>
          <t>30</t>
        </is>
      </c>
      <c r="G234">
        <f>IFERROR(VLOOKUP($A239&amp;"_"&amp;$B239,Results_Deltas!$A$2:$P$15000,5,FALSE),"")</f>
        <v/>
      </c>
      <c r="H234">
        <f>IFERROR(VLOOKUP($A239,Results_30d_Deltas!$A$2:$H$5000,7,FALSE)-E16,"")</f>
        <v/>
      </c>
      <c r="I234">
        <f>IFERROR(VLOOKUP($A239,Results_30d_Deltas!$A$2:$H$5000,6,FALSE),"")</f>
        <v/>
      </c>
      <c r="L234" t="inlineStr">
        <is>
          <t>NO</t>
        </is>
      </c>
      <c r="M234" t="n">
        <v>25</v>
      </c>
      <c r="N234" t="n">
        <v>0</v>
      </c>
    </row>
    <row r="235" ht="15.75" customHeight="1" s="67">
      <c r="A235" t="inlineStr">
        <is>
          <t>WT_DC_DIRECT_DC_TF</t>
        </is>
      </c>
      <c r="B235" t="inlineStr">
        <is>
          <t>1h</t>
        </is>
      </c>
      <c r="M235" t="n">
        <v>0</v>
      </c>
      <c r="N235" t="n">
        <v>0</v>
      </c>
    </row>
    <row r="236" ht="15.75" customHeight="1" s="67">
      <c r="A236" t="inlineStr">
        <is>
          <t>DC_BREAKOUT_TF_EXPANDED</t>
        </is>
      </c>
      <c r="B236" t="inlineStr">
        <is>
          <t>1h</t>
        </is>
      </c>
      <c r="M236" t="n">
        <v>0</v>
      </c>
      <c r="N236" t="n">
        <v>0</v>
      </c>
    </row>
    <row r="237" ht="10.5" customHeight="1" s="67">
      <c r="A237" t="inlineStr">
        <is>
          <t>WT_DC_STOCH_THRESHOLD_LONG</t>
        </is>
      </c>
      <c r="B237" t="n">
        <v>40</v>
      </c>
      <c r="M237" t="n">
        <v>0</v>
      </c>
      <c r="N237" t="n">
        <v>0</v>
      </c>
    </row>
    <row r="238" ht="15.75" customHeight="1" s="67">
      <c r="A238" t="inlineStr">
        <is>
          <t>WT_DC_STOCH_THRESHOLD_SHORT</t>
        </is>
      </c>
      <c r="B238" t="n">
        <v>60</v>
      </c>
      <c r="M238" t="n">
        <v>0</v>
      </c>
      <c r="N238" t="n">
        <v>0</v>
      </c>
    </row>
    <row r="239" ht="15.75" customHeight="1" s="67">
      <c r="A239" t="inlineStr">
        <is>
          <t>WT_DC_TF_COMBO</t>
        </is>
      </c>
      <c r="B239" t="inlineStr">
        <is>
          <t>1h_4h_D</t>
        </is>
      </c>
      <c r="M239" t="n">
        <v>0</v>
      </c>
      <c r="N239" t="n">
        <v>0</v>
      </c>
    </row>
    <row r="240" ht="15.75" customHeight="1" s="67">
      <c r="A240" t="inlineStr">
        <is>
          <t>WT_DC_DIRECT_TF_ENTRY</t>
        </is>
      </c>
      <c r="B240" t="inlineStr">
        <is>
          <t>1h</t>
        </is>
      </c>
      <c r="M240" t="n">
        <v>0</v>
      </c>
      <c r="N240" t="n">
        <v>0</v>
      </c>
    </row>
    <row r="241" ht="10.5" customHeight="1" s="67">
      <c r="A241" t="inlineStr">
        <is>
          <t>WT_DC_DC_TF</t>
        </is>
      </c>
      <c r="B241" t="inlineStr">
        <is>
          <t>1h</t>
        </is>
      </c>
      <c r="M241" t="n">
        <v>0</v>
      </c>
      <c r="N241" t="n">
        <v>0</v>
      </c>
    </row>
    <row r="242" ht="10.5" customHeight="1" s="67">
      <c r="A242" t="inlineStr">
        <is>
          <t>WT_DC_STOCH_TF</t>
        </is>
      </c>
      <c r="B242" t="inlineStr">
        <is>
          <t>5m</t>
        </is>
      </c>
      <c r="M242" t="n">
        <v>0</v>
      </c>
      <c r="N242" t="n">
        <v>0</v>
      </c>
    </row>
    <row r="243" ht="10.5" customHeight="1" s="67">
      <c r="A243" t="inlineStr">
        <is>
          <t>WT_DC_DC_POS_THRESHOLD_LONG</t>
        </is>
      </c>
      <c r="B243" t="n">
        <v>0.5</v>
      </c>
      <c r="M243" t="n">
        <v>0</v>
      </c>
      <c r="N243" t="n">
        <v>0</v>
      </c>
    </row>
    <row r="244" ht="10.5" customHeight="1" s="67">
      <c r="A244" t="inlineStr">
        <is>
          <t>WT_DC_DC_POS_THRESHOLD_SHORT</t>
        </is>
      </c>
      <c r="B244" t="n">
        <v>0.5</v>
      </c>
      <c r="M244" t="n">
        <v>0</v>
      </c>
      <c r="N244" t="n">
        <v>0</v>
      </c>
    </row>
    <row r="245" ht="10.5" customHeight="1" s="67">
      <c r="A245" t="inlineStr">
        <is>
          <t>WT_DC_TF_HTF2</t>
        </is>
      </c>
      <c r="B245" t="inlineStr">
        <is>
          <t>D</t>
        </is>
      </c>
      <c r="M245" t="n">
        <v>0</v>
      </c>
      <c r="N245" t="n">
        <v>0</v>
      </c>
    </row>
    <row r="246" ht="10.5" customHeight="1" s="67">
      <c r="A246" t="inlineStr">
        <is>
          <t>WT_DC_TF_HTF</t>
        </is>
      </c>
      <c r="B246" t="inlineStr">
        <is>
          <t>4h</t>
        </is>
      </c>
      <c r="M246" t="n">
        <v>0</v>
      </c>
      <c r="N246" t="n">
        <v>0</v>
      </c>
    </row>
    <row r="247" ht="15.75" customHeight="1" s="67">
      <c r="A247" t="inlineStr">
        <is>
          <t>WT_DC_HTF_GATE_MODE</t>
        </is>
      </c>
      <c r="B247" t="inlineStr">
        <is>
          <t>AND</t>
        </is>
      </c>
      <c r="M247" t="n">
        <v>0</v>
      </c>
      <c r="N247" t="n">
        <v>0</v>
      </c>
    </row>
    <row r="248" ht="10.5" customHeight="1" s="67">
      <c r="A248" t="inlineStr">
        <is>
          <t>WT_DC_TF_ENTRY</t>
        </is>
      </c>
      <c r="B248" t="inlineStr">
        <is>
          <t>1h</t>
        </is>
      </c>
      <c r="M248" t="n">
        <v>0</v>
      </c>
      <c r="N248" t="n">
        <v>0</v>
      </c>
    </row>
    <row r="249" ht="15.75" customHeight="1" s="67">
      <c r="A249" t="inlineStr">
        <is>
          <t>BB_BREAKOUT_SCORE</t>
        </is>
      </c>
      <c r="B249" t="inlineStr">
        <is>
          <t>20</t>
        </is>
      </c>
      <c r="G249">
        <f>IFERROR(VLOOKUP($A237&amp;"_"&amp;$B237,Results_Deltas!$A$2:$P$15000,5,FALSE),"")</f>
        <v/>
      </c>
      <c r="H249">
        <f>IFERROR(VLOOKUP($A237,Results_30d_Deltas!$A$2:$H$5000,7,FALSE)-E14,"")</f>
        <v/>
      </c>
      <c r="I249">
        <f>IFERROR(VLOOKUP($A237,Results_30d_Deltas!$A$2:$H$5000,6,FALSE),"")</f>
        <v/>
      </c>
      <c r="L249" t="inlineStr">
        <is>
          <t>YES</t>
        </is>
      </c>
      <c r="M249" t="n">
        <v>25</v>
      </c>
      <c r="N249" t="n">
        <v>0</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IFERROR(VLOOKUP($A65&amp;"_"&amp;$B65,Results_Deltas!$A$2:$P$15000,5,FALSE),"")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IFERROR(VLOOKUP($A49&amp;"_"&amp;$B49,Results_Deltas!$A$2:$P$15000,5,FALSE),"")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IFERROR(VLOOKUP($A164&amp;"_"&amp;$B164,Results_Deltas!$A$2:$P$15000,5,FALSE),"")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IFERROR(VLOOKUP($A165&amp;"_"&amp;$B165,Results_Deltas!$A$2:$P$15000,5,FALSE),"")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IFERROR(VLOOKUP($A74&amp;"_"&amp;$B74,Results_Deltas!$A$2:$P$15000,5,FALSE),"")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IFERROR(VLOOKUP($A72&amp;"_"&amp;$B72,Results_Deltas!$A$2:$P$15000,5,FALSE),"")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IFERROR(VLOOKUP($A75&amp;"_"&amp;$B75,Results_Deltas!$A$2:$P$15000,5,FALSE),"")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IFERROR(VLOOKUP($A69&amp;"_"&amp;$B69,Results_Deltas!$A$2:$P$15000,5,FALSE),"")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IFERROR(VLOOKUP($A182&amp;"_"&amp;$B182,Results_Deltas!$A$2:$P$15000,5,FALSE),"")</f>
        <v/>
      </c>
      <c r="H11" t="inlineStr">
        <is>
          <t>Blanket (page end)</t>
        </is>
      </c>
      <c r="L11" t="inlineStr">
        <is>
          <t>NO</t>
        </is>
      </c>
      <c r="M11" t="n">
        <v>22</v>
      </c>
      <c r="N11" t="n">
        <v>0</v>
      </c>
    </row>
    <row r="12" s="67">
      <c r="A12" t="inlineStr">
        <is>
          <t>COOLDOWN_LOCKS_FILTER_TF</t>
        </is>
      </c>
      <c r="B12" t="inlineStr">
        <is>
          <t>D</t>
        </is>
      </c>
      <c r="D12" t="inlineStr">
        <is>
          <t>GLOBAL_CHECK</t>
        </is>
      </c>
      <c r="G12">
        <f>IFERROR(VLOOKUP($A31&amp;"_"&amp;$B31,Results_Deltas!$A$2:$P$15000,5,FALSE),"")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IFERROR(VLOOKUP($A70&amp;"_"&amp;$B70,Results_Deltas!$A$2:$P$15000,5,FALSE),"")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IFERROR(VLOOKUP($A32&amp;"_"&amp;$B32,Results_Deltas!$A$2:$P$15000,5,FALSE),"")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IFERROR(VLOOKUP($A68&amp;"_"&amp;$B68,Results_Deltas!$A$2:$P$15000,5,FALSE),"")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IFERROR(VLOOKUP($A73&amp;"_"&amp;$B73,Results_Deltas!$A$2:$P$15000,5,FALSE),"")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IFERROR(VLOOKUP($A30&amp;"_"&amp;$B30,Results_Deltas!$A$2:$P$15000,5,FALSE),"")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IFERROR(VLOOKUP($A66&amp;"_"&amp;$B66,Results_Deltas!$A$2:$P$15000,5,FALSE),"")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IFERROR(VLOOKUP($A40&amp;"_"&amp;$B40,Results_Deltas!$A$2:$P$15000,5,FALSE),"")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IFERROR(VLOOKUP($A187&amp;"_"&amp;$B187,Results_Deltas!$A$2:$P$15000,5,FALSE),"")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IFERROR(VLOOKUP($A47&amp;"_"&amp;$B47,Results_Deltas!$A$2:$P$15000,5,FALSE),"")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IFERROR(VLOOKUP($A106&amp;"_"&amp;$B106,Results_Deltas!$A$2:$P$15000,5,FALSE),"")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IFERROR(VLOOKUP($A50&amp;"_"&amp;$B50,Results_Deltas!$A$2:$P$15000,5,FALSE),"")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IFERROR(VLOOKUP($A180&amp;"_"&amp;$B180,Results_Deltas!$A$2:$P$15000,5,FALSE),"")</f>
        <v/>
      </c>
      <c r="H24" t="inlineStr">
        <is>
          <t>Blanket (page end)</t>
        </is>
      </c>
      <c r="L24" t="inlineStr">
        <is>
          <t>YES</t>
        </is>
      </c>
      <c r="M24" t="n">
        <v>26</v>
      </c>
      <c r="N24" t="n">
        <v>0</v>
      </c>
    </row>
    <row r="25" ht="15.75" customHeight="1" s="67">
      <c r="A25" t="inlineStr">
        <is>
          <t>OI_CONFIRM_MIN_PRICE_PCT</t>
        </is>
      </c>
      <c r="B25" t="inlineStr">
        <is>
          <t>0.5</t>
        </is>
      </c>
      <c r="D25" t="inlineStr">
        <is>
          <t>ENTRY, GLOBAL_CHECK, STOCKS_EXIT</t>
        </is>
      </c>
      <c r="G25">
        <f>IFERROR(VLOOKUP($A188&amp;"_"&amp;$B188,Results_Deltas!$A$2:$P$15000,5,FALSE),"")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IFERROR(VLOOKUP($A103&amp;"_"&amp;$B103,Results_Deltas!$A$2:$P$15000,5,FALSE),"")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IFERROR(VLOOKUP($A21&amp;"_"&amp;$B21,Results_Deltas!$A$2:$P$15000,5,FALSE),"")</f>
        <v/>
      </c>
      <c r="H27" t="inlineStr">
        <is>
          <t>Blanket (page end)</t>
        </is>
      </c>
      <c r="L27" t="inlineStr">
        <is>
          <t>NO</t>
        </is>
      </c>
      <c r="M27" t="n">
        <v>27</v>
      </c>
      <c r="N27" t="n">
        <v>0</v>
      </c>
    </row>
    <row r="28" ht="15.75" customHeight="1" s="67">
      <c r="A28" t="inlineStr">
        <is>
          <t>COOLDOWN_LOCKS_FILTER_TF</t>
        </is>
      </c>
      <c r="B28" t="inlineStr">
        <is>
          <t>1h</t>
        </is>
      </c>
      <c r="D28" t="inlineStr">
        <is>
          <t>GLOBAL_CHECK</t>
        </is>
      </c>
      <c r="G28">
        <f>IFERROR(VLOOKUP($A33&amp;"_"&amp;$B33,Results_Deltas!$A$2:$P$15000,5,FALSE),"")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IFERROR(VLOOKUP($A160&amp;"_"&amp;$B160,Results_Deltas!$A$2:$P$15000,5,FALSE),"")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IFERROR(VLOOKUP($A159&amp;"_"&amp;$B159,Results_Deltas!$A$2:$P$15000,5,FALSE),"")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IFERROR(VLOOKUP($A97&amp;"_"&amp;$B97,Results_Deltas!$A$2:$P$15000,5,FALSE),"")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IFERROR(VLOOKUP($A41&amp;"_"&amp;$B41,Results_Deltas!$A$2:$P$15000,5,FALSE),"")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IFERROR(VLOOKUP($A15&amp;"_"&amp;$B15,Results_Deltas!$A$2:$P$15000,5,FALSE),"")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IFERROR(VLOOKUP($A17&amp;"_"&amp;$B17,Results_Deltas!$A$2:$P$15000,5,FALSE),"")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IFERROR(VLOOKUP($A161&amp;"_"&amp;$B161,Results_Deltas!$A$2:$P$15000,5,FALSE),"")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IFERROR(VLOOKUP($A64&amp;"_"&amp;$B64,Results_Deltas!$A$2:$P$15000,5,FALSE),"")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IFERROR(VLOOKUP($A23&amp;"_"&amp;$B23,Results_Deltas!$A$2:$P$15000,5,FALSE),"")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IFERROR(VLOOKUP($A48&amp;"_"&amp;$B48,Results_Deltas!$A$2:$P$15000,5,FALSE),"")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IFERROR(VLOOKUP($A98&amp;"_"&amp;$B98,Results_Deltas!$A$2:$P$15000,5,FALSE),"")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IFERROR(VLOOKUP($A104&amp;"_"&amp;$B104,Results_Deltas!$A$2:$P$15000,5,FALSE),"")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IFERROR(VLOOKUP($A157&amp;"_"&amp;$B157,Results_Deltas!$A$2:$P$15000,5,FALSE),"")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IFERROR(VLOOKUP($A158&amp;"_"&amp;$B158,Results_Deltas!$A$2:$P$15000,5,FALSE),"")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IFERROR(VLOOKUP($A20&amp;"_"&amp;$B20,Results_Deltas!$A$2:$P$15000,5,FALSE),"")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IFERROR(VLOOKUP($A127&amp;"_"&amp;$B127,Results_Deltas!$A$2:$P$15000,5,FALSE),"")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IFERROR(VLOOKUP($A126&amp;"_"&amp;$B126,Results_Deltas!$A$2:$P$15000,5,FALSE),"")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IFERROR(VLOOKUP($A95&amp;"_"&amp;$B95,Results_Deltas!$A$2:$P$15000,5,FALSE),"")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IFERROR(VLOOKUP($A148&amp;"_"&amp;$B148,Results_Deltas!$A$2:$P$15000,5,FALSE),"")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IFERROR(VLOOKUP($A94&amp;"_"&amp;$B94,Results_Deltas!$A$2:$P$15000,5,FALSE),"")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IFERROR(VLOOKUP($A181&amp;"_"&amp;$B181,Results_Deltas!$A$2:$P$15000,5,FALSE),"")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IFERROR(VLOOKUP($A58&amp;"_"&amp;$B58,Results_Deltas!$A$2:$P$15000,5,FALSE),"")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IFERROR(VLOOKUP($A162&amp;"_"&amp;$B162,Results_Deltas!$A$2:$P$15000,5,FALSE),"")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IFERROR(VLOOKUP($A163&amp;"_"&amp;$B163,Results_Deltas!$A$2:$P$15000,5,FALSE),"")</f>
        <v/>
      </c>
      <c r="H52" t="inlineStr">
        <is>
          <t>Blanket (page end)</t>
        </is>
      </c>
      <c r="L52" t="inlineStr">
        <is>
          <t>YES</t>
        </is>
      </c>
      <c r="M52" t="n">
        <v>26</v>
      </c>
      <c r="N52" t="n">
        <v>0</v>
      </c>
    </row>
    <row r="53" ht="15.75" customHeight="1" s="67">
      <c r="A53" t="inlineStr">
        <is>
          <t>CRYPTO_SPIKE_FADE_THRESHOLD_PCT</t>
        </is>
      </c>
      <c r="B53" t="inlineStr">
        <is>
          <t>12.5</t>
        </is>
      </c>
      <c r="D53" t="inlineStr">
        <is>
          <t>GLOBAL_CHECK, STOCKS_EXIT</t>
        </is>
      </c>
      <c r="G53">
        <f>IFERROR(VLOOKUP($A36&amp;"_"&amp;$B36,Results_Deltas!$A$2:$P$15000,5,FALSE),"")</f>
        <v/>
      </c>
      <c r="H53" t="inlineStr">
        <is>
          <t>Blanket (page end)</t>
        </is>
      </c>
      <c r="L53" t="inlineStr">
        <is>
          <t>NO</t>
        </is>
      </c>
      <c r="M53" t="n">
        <v>27</v>
      </c>
      <c r="N53" t="n">
        <v>0</v>
      </c>
    </row>
    <row r="54" ht="15.75" customHeight="1" s="67">
      <c r="A54" t="inlineStr">
        <is>
          <t>CRYPTO_SPIKE_FADE_THRESHOLD_PCT</t>
        </is>
      </c>
      <c r="B54" t="inlineStr">
        <is>
          <t>7.5</t>
        </is>
      </c>
      <c r="D54" t="inlineStr">
        <is>
          <t>GLOBAL_CHECK, STOCKS_EXIT</t>
        </is>
      </c>
      <c r="G54">
        <f>IFERROR(VLOOKUP($A37&amp;"_"&amp;$B37,Results_Deltas!$A$2:$P$15000,5,FALSE),"")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IFERROR(VLOOKUP($A145&amp;"_"&amp;$B145,Results_Deltas!$A$2:$P$15000,5,FALSE),"")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IFERROR(VLOOKUP($A146&amp;"_"&amp;$B146,Results_Deltas!$A$2:$P$15000,5,FALSE),"")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IFERROR(VLOOKUP($A52&amp;"_"&amp;$B52,Results_Deltas!$A$2:$P$15000,5,FALSE),"")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IFERROR(VLOOKUP($A88&amp;"_"&amp;$B88,Results_Deltas!$A$2:$P$15000,5,FALSE),"")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IFERROR(VLOOKUP($A57&amp;"_"&amp;$B57,Results_Deltas!$A$2:$P$15000,5,FALSE),"")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IFERROR(VLOOKUP($A53&amp;"_"&amp;$B53,Results_Deltas!$A$2:$P$15000,5,FALSE),"")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IFERROR(VLOOKUP($A183&amp;"_"&amp;$B183,Results_Deltas!$A$2:$P$15000,5,FALSE),"")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IFERROR(VLOOKUP($A166&amp;"_"&amp;$B166,Results_Deltas!$A$2:$P$15000,5,FALSE),"")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IFERROR(VLOOKUP($A55&amp;"_"&amp;$B55,Results_Deltas!$A$2:$P$15000,5,FALSE),"")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IFERROR(VLOOKUP($A91&amp;"_"&amp;$B91,Results_Deltas!$A$2:$P$15000,5,FALSE),"")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IFERROR(VLOOKUP($A153&amp;"_"&amp;$B153,Results_Deltas!$A$2:$P$15000,5,FALSE),"")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IFERROR(VLOOKUP($A111&amp;"_"&amp;$B111,Results_Deltas!$A$2:$P$15000,5,FALSE),"")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IFERROR(VLOOKUP($A168&amp;"_"&amp;$B168,Results_Deltas!$A$2:$P$15000,5,FALSE),"")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IFERROR(VLOOKUP($A140&amp;"_"&amp;$B140,Results_Deltas!$A$2:$P$15000,5,FALSE),"")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IFERROR(VLOOKUP($A93&amp;"_"&amp;$B93,Results_Deltas!$A$2:$P$15000,5,FALSE),"")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IFERROR(VLOOKUP($A176&amp;"_"&amp;$B176,Results_Deltas!$A$2:$P$15000,5,FALSE),"")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IFERROR(VLOOKUP($A125&amp;"_"&amp;$B125,Results_Deltas!$A$2:$P$15000,5,FALSE),"")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IFERROR(VLOOKUP($A19&amp;"_"&amp;$B19,Results_Deltas!$A$2:$P$15000,5,FALSE),"")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IFERROR(VLOOKUP($A107&amp;"_"&amp;$B107,Results_Deltas!$A$2:$P$15000,5,FALSE),"")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IFERROR(VLOOKUP($A71&amp;"_"&amp;$B71,Results_Deltas!$A$2:$P$15000,5,FALSE),"")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IFERROR(VLOOKUP($A186&amp;"_"&amp;$B186,Results_Deltas!$A$2:$P$15000,5,FALSE),"")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IFERROR(VLOOKUP($A154&amp;"_"&amp;$B154,Results_Deltas!$A$2:$P$15000,5,FALSE),"")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IFERROR(VLOOKUP($A16&amp;"_"&amp;$B16,Results_Deltas!$A$2:$P$15000,5,FALSE),"")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IFERROR(VLOOKUP($A99&amp;"_"&amp;$B99,Results_Deltas!$A$2:$P$15000,5,FALSE),"")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IFERROR(VLOOKUP($A137&amp;"_"&amp;$B137,Results_Deltas!$A$2:$P$15000,5,FALSE),"")</f>
        <v/>
      </c>
      <c r="H79" t="inlineStr">
        <is>
          <t>Blanket (page end)</t>
        </is>
      </c>
      <c r="L79" t="inlineStr">
        <is>
          <t>NO</t>
        </is>
      </c>
      <c r="M79" t="n">
        <v>24</v>
      </c>
      <c r="N79" t="n">
        <v>0</v>
      </c>
    </row>
    <row r="80" ht="15.75" customHeight="1" s="67">
      <c r="A80" t="inlineStr">
        <is>
          <t>DELTA_HTF_GATE</t>
        </is>
      </c>
      <c r="B80" t="inlineStr">
        <is>
          <t>4h_ALT</t>
        </is>
      </c>
      <c r="D80" t="inlineStr">
        <is>
          <t>ENTRY, GLOBAL_CHECK, STOCKS_EXIT</t>
        </is>
      </c>
      <c r="G80">
        <f>IFERROR(VLOOKUP($A44&amp;"_"&amp;$B44,Results_Deltas!$A$2:$P$15000,5,FALSE),"")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IFERROR(VLOOKUP($A96&amp;"_"&amp;$B96,Results_Deltas!$A$2:$P$15000,5,FALSE),"")</f>
        <v/>
      </c>
      <c r="H81" t="inlineStr">
        <is>
          <t>Blanket (page end)</t>
        </is>
      </c>
      <c r="L81" t="inlineStr">
        <is>
          <t>NO</t>
        </is>
      </c>
      <c r="M81" t="n">
        <v>27</v>
      </c>
      <c r="N81" t="n">
        <v>0</v>
      </c>
    </row>
    <row r="82" ht="15.75" customHeight="1" s="67">
      <c r="A82" t="inlineStr">
        <is>
          <t>DELTA_HTF_GATE</t>
        </is>
      </c>
      <c r="B82" t="inlineStr">
        <is>
          <t>4h</t>
        </is>
      </c>
      <c r="D82" t="inlineStr">
        <is>
          <t>ENTRY, GLOBAL_CHECK, STOCKS_EXIT</t>
        </is>
      </c>
      <c r="G82">
        <f>IFERROR(VLOOKUP($A43&amp;"_"&amp;$B43,Results_Deltas!$A$2:$P$15000,5,FALSE),"")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IFERROR(VLOOKUP($A135&amp;"_"&amp;$B135,Results_Deltas!$A$2:$P$15000,5,FALSE),"")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IFERROR(VLOOKUP($A151&amp;"_"&amp;$B151,Results_Deltas!$A$2:$P$15000,5,FALSE),"")</f>
        <v/>
      </c>
      <c r="H84" t="inlineStr">
        <is>
          <t>Blanket (page end)</t>
        </is>
      </c>
      <c r="L84" t="inlineStr">
        <is>
          <t>YES</t>
        </is>
      </c>
      <c r="M84" t="n">
        <v>26</v>
      </c>
      <c r="N84" t="n">
        <v>0</v>
      </c>
    </row>
    <row r="85" ht="15.75" customHeight="1" s="67">
      <c r="A85" t="inlineStr">
        <is>
          <t>DC_MOMENT_STRONG_THRESHOLD</t>
        </is>
      </c>
      <c r="B85" t="inlineStr">
        <is>
          <t>40</t>
        </is>
      </c>
      <c r="D85" t="inlineStr">
        <is>
          <t>ENTRY, GLOBAL_CHECK, STOCKS_EXIT</t>
        </is>
      </c>
      <c r="G85">
        <f>IFERROR(VLOOKUP($A39&amp;"_"&amp;$B39,Results_Deltas!$A$2:$P$15000,5,FALSE),"")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IFERROR(VLOOKUP($A46&amp;"_"&amp;$B46,Results_Deltas!$A$2:$P$15000,5,FALSE),"")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IFERROR(VLOOKUP($A102&amp;"_"&amp;$B102,Results_Deltas!$A$2:$P$15000,5,FALSE),"")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IFERROR(VLOOKUP($A138&amp;"_"&amp;$B138,Results_Deltas!$A$2:$P$15000,5,FALSE),"")</f>
        <v/>
      </c>
      <c r="H88" t="inlineStr">
        <is>
          <t>Blanket (page end)</t>
        </is>
      </c>
      <c r="L88" t="inlineStr">
        <is>
          <t>YES</t>
        </is>
      </c>
      <c r="M88" t="n">
        <v>26</v>
      </c>
      <c r="N88" t="n">
        <v>0</v>
      </c>
    </row>
    <row r="89" ht="15.75" customHeight="1" s="67">
      <c r="A89" t="inlineStr">
        <is>
          <t>LR_BAND_LADDER_STOCH_EXTREME</t>
        </is>
      </c>
      <c r="B89" t="inlineStr">
        <is>
          <t>30.0_ALT</t>
        </is>
      </c>
      <c r="D89" t="inlineStr">
        <is>
          <t>GLOBAL_CHECK, STOCKS_EXIT</t>
        </is>
      </c>
      <c r="G89">
        <f>IFERROR(VLOOKUP($A133&amp;"_"&amp;$B133,Results_Deltas!$A$2:$P$15000,5,FALSE),"")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IFERROR(VLOOKUP($A132&amp;"_"&amp;$B132,Results_Deltas!$A$2:$P$15000,5,FALSE),"")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IFERROR(VLOOKUP($A152&amp;"_"&amp;$B152,Results_Deltas!$A$2:$P$15000,5,FALSE),"")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IFERROR(VLOOKUP($A171&amp;"_"&amp;$B171,Results_Deltas!$A$2:$P$15000,5,FALSE),"")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IFERROR(VLOOKUP($A67&amp;"_"&amp;$B67,Results_Deltas!$A$2:$P$15000,5,FALSE),"")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IFERROR(VLOOKUP($A172&amp;"_"&amp;$B172,Results_Deltas!$A$2:$P$15000,5,FALSE),"")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IFERROR(VLOOKUP($A131&amp;"_"&amp;$B131,Results_Deltas!$A$2:$P$15000,5,FALSE),"")</f>
        <v/>
      </c>
      <c r="H95" t="inlineStr">
        <is>
          <t>Blanket (page end)</t>
        </is>
      </c>
      <c r="L95" t="inlineStr">
        <is>
          <t>NO</t>
        </is>
      </c>
      <c r="M95" t="n">
        <v>23</v>
      </c>
      <c r="N95" t="n">
        <v>0</v>
      </c>
    </row>
    <row r="96" ht="15.75" customHeight="1" s="67">
      <c r="A96" t="inlineStr">
        <is>
          <t>DC_MOMENT_STRONG_THRESHOLD</t>
        </is>
      </c>
      <c r="B96" t="inlineStr">
        <is>
          <t>20</t>
        </is>
      </c>
      <c r="D96" t="inlineStr">
        <is>
          <t>ENTRY, GLOBAL_CHECK, STOCKS_EXIT</t>
        </is>
      </c>
      <c r="G96">
        <f>IFERROR(VLOOKUP($A42&amp;"_"&amp;$B42,Results_Deltas!$A$2:$P$15000,5,FALSE),"")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IFERROR(VLOOKUP($A139&amp;"_"&amp;$B139,Results_Deltas!$A$2:$P$15000,5,FALSE),"")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IFERROR(VLOOKUP($A90&amp;"_"&amp;$B90,Results_Deltas!$A$2:$P$15000,5,FALSE),"")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IFERROR(VLOOKUP($A177&amp;"_"&amp;$B177,Results_Deltas!$A$2:$P$15000,5,FALSE),"")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IFERROR(VLOOKUP($A54&amp;"_"&amp;$B54,Results_Deltas!$A$2:$P$15000,5,FALSE),"")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IFERROR(VLOOKUP($A185&amp;"_"&amp;$B185,Results_Deltas!$A$2:$P$15000,5,FALSE),"")</f>
        <v/>
      </c>
      <c r="H101" t="inlineStr">
        <is>
          <t>Blanket (page end)</t>
        </is>
      </c>
      <c r="L101" t="inlineStr">
        <is>
          <t>NO</t>
        </is>
      </c>
      <c r="M101" t="n">
        <v>24</v>
      </c>
      <c r="N101" t="n">
        <v>0</v>
      </c>
    </row>
    <row r="102" ht="15.75" customHeight="1" s="67">
      <c r="A102" t="inlineStr">
        <is>
          <t>CRYPTO_SPIKE_FADE_THRESHOLD_PCT</t>
        </is>
      </c>
      <c r="B102" t="inlineStr">
        <is>
          <t>10</t>
        </is>
      </c>
      <c r="D102" t="inlineStr">
        <is>
          <t>GLOBAL_CHECK, STOCKS_EXIT</t>
        </is>
      </c>
      <c r="G102">
        <f>IFERROR(VLOOKUP($A35&amp;"_"&amp;$B35,Results_Deltas!$A$2:$P$15000,5,FALSE),"")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IFERROR(VLOOKUP($A184&amp;"_"&amp;$B184,Results_Deltas!$A$2:$P$15000,5,FALSE),"")</f>
        <v/>
      </c>
      <c r="H103" t="inlineStr">
        <is>
          <t>Blanket (page end)</t>
        </is>
      </c>
      <c r="L103" t="inlineStr">
        <is>
          <t>YES</t>
        </is>
      </c>
      <c r="M103" t="n">
        <v>26</v>
      </c>
      <c r="N103" t="n">
        <v>0</v>
      </c>
    </row>
    <row r="104" ht="15.75" customHeight="1" s="67">
      <c r="A104" t="inlineStr">
        <is>
          <t>CRYPTO_SPIKE_FADE_THRESHOLD_PCT</t>
        </is>
      </c>
      <c r="B104" t="inlineStr">
        <is>
          <t>5</t>
        </is>
      </c>
      <c r="D104" t="inlineStr">
        <is>
          <t>GLOBAL_CHECK, STOCKS_EXIT</t>
        </is>
      </c>
      <c r="G104">
        <f>IFERROR(VLOOKUP($A38&amp;"_"&amp;$B38,Results_Deltas!$A$2:$P$15000,5,FALSE),"")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IFERROR(VLOOKUP($A59&amp;"_"&amp;$B59,Results_Deltas!$A$2:$P$15000,5,FALSE),"")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IFERROR(VLOOKUP($A178&amp;"_"&amp;$B178,Results_Deltas!$A$2:$P$15000,5,FALSE),"")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IFERROR(VLOOKUP($A136&amp;"_"&amp;$B136,Results_Deltas!$A$2:$P$15000,5,FALSE),"")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IFERROR(VLOOKUP($A170&amp;"_"&amp;$B170,Results_Deltas!$A$2:$P$15000,5,FALSE),"")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IFERROR(VLOOKUP($A119&amp;"_"&amp;$B119,Results_Deltas!$A$2:$P$15000,5,FALSE),"")</f>
        <v/>
      </c>
      <c r="H109" t="inlineStr">
        <is>
          <t>Blanket (page end)</t>
        </is>
      </c>
      <c r="L109" t="inlineStr">
        <is>
          <t>YES</t>
        </is>
      </c>
      <c r="M109" t="n">
        <v>27</v>
      </c>
      <c r="N109" t="n">
        <v>0</v>
      </c>
    </row>
    <row r="110" ht="15.75" customHeight="1" s="67">
      <c r="A110" t="inlineStr">
        <is>
          <t>LR_BAND_LADDER_TF_BOTTOM</t>
        </is>
      </c>
      <c r="B110" t="inlineStr">
        <is>
          <t>0</t>
        </is>
      </c>
      <c r="D110" t="inlineStr">
        <is>
          <t>GLOBAL_CHECK, STOCKS_EXIT</t>
        </is>
      </c>
      <c r="G110">
        <f>IFERROR(VLOOKUP($A134&amp;"_"&amp;$B134,Results_Deltas!$A$2:$P$15000,5,FALSE),"")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IFERROR(VLOOKUP($A24&amp;"_"&amp;$B24,Results_Deltas!$A$2:$P$15000,5,FALSE),"")</f>
        <v/>
      </c>
      <c r="H111" t="inlineStr">
        <is>
          <t>Blanket (page end)</t>
        </is>
      </c>
      <c r="L111" t="inlineStr">
        <is>
          <t>NO</t>
        </is>
      </c>
      <c r="M111" t="n">
        <v>24</v>
      </c>
      <c r="N111" t="n">
        <v>0</v>
      </c>
    </row>
    <row r="112" s="67">
      <c r="A112" t="inlineStr">
        <is>
          <t>BTC_ACCEL_RAMP_REQUIRE_POSITIVE</t>
        </is>
      </c>
      <c r="B112" t="inlineStr">
        <is>
          <t>0.0_ALT</t>
        </is>
      </c>
      <c r="D112" t="inlineStr">
        <is>
          <t>UNIVERSAL (ex-BTC) — ENTRY/EXIT/REENTRY</t>
        </is>
      </c>
      <c r="G112">
        <f>IFERROR(VLOOKUP($A25&amp;"_"&amp;$B25,Results_Deltas!$A$2:$P$15000,5,FALSE),"")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IFERROR(VLOOKUP($A109&amp;"_"&amp;$B109,Results_Deltas!$A$2:$P$15000,5,FALSE),"")</f>
        <v/>
      </c>
      <c r="H113" t="inlineStr">
        <is>
          <t>Blanket (page end)</t>
        </is>
      </c>
      <c r="L113" t="inlineStr">
        <is>
          <t>NO</t>
        </is>
      </c>
      <c r="M113" t="n">
        <v>24</v>
      </c>
      <c r="N113" t="n">
        <v>0</v>
      </c>
    </row>
    <row r="114" s="67">
      <c r="A114" t="inlineStr">
        <is>
          <t>BTC_HARD_BLOCK_OTHER_ACCOUNTS</t>
        </is>
      </c>
      <c r="B114" t="inlineStr">
        <is>
          <t>0.0</t>
        </is>
      </c>
      <c r="D114" t="inlineStr">
        <is>
          <t>UNIVERSAL (ex-BTC) — ENTRY/EXIT/REENTRY</t>
        </is>
      </c>
      <c r="G114">
        <f>IFERROR(VLOOKUP($A26&amp;"_"&amp;$B26,Results_Deltas!$A$2:$P$15000,5,FALSE),"")</f>
        <v/>
      </c>
      <c r="H114" t="inlineStr">
        <is>
          <t>Blanket (page end)</t>
        </is>
      </c>
      <c r="L114" t="inlineStr">
        <is>
          <t>NO</t>
        </is>
      </c>
      <c r="M114" t="n">
        <v>24</v>
      </c>
      <c r="N114" t="n">
        <v>0</v>
      </c>
    </row>
    <row r="115" s="67">
      <c r="A115" t="inlineStr">
        <is>
          <t>BTC_HARD_BLOCK_OTHER_ACCOUNTS</t>
        </is>
      </c>
      <c r="B115" t="inlineStr">
        <is>
          <t>0.0_ALT</t>
        </is>
      </c>
      <c r="D115" t="inlineStr">
        <is>
          <t>UNIVERSAL (ex-BTC) — ENTRY/EXIT/REENTRY</t>
        </is>
      </c>
      <c r="G115">
        <f>IFERROR(VLOOKUP($A27&amp;"_"&amp;$B27,Results_Deltas!$A$2:$P$15000,5,FALSE),"")</f>
        <v/>
      </c>
      <c r="H115" t="inlineStr">
        <is>
          <t>Blanket (page end)</t>
        </is>
      </c>
      <c r="L115" t="inlineStr">
        <is>
          <t>NO</t>
        </is>
      </c>
      <c r="M115" t="n">
        <v>24</v>
      </c>
      <c r="N115" t="n">
        <v>0</v>
      </c>
    </row>
    <row r="116" s="67">
      <c r="A116" t="inlineStr">
        <is>
          <t>BTC_ROUND_BANDS_EACH_SIDE</t>
        </is>
      </c>
      <c r="B116" t="inlineStr">
        <is>
          <t>0.0</t>
        </is>
      </c>
      <c r="D116" t="inlineStr">
        <is>
          <t>UNIVERSAL (ex-BTC) — ENTRY/EXIT/REENTRY</t>
        </is>
      </c>
      <c r="G116">
        <f>IFERROR(VLOOKUP($A28&amp;"_"&amp;$B28,Results_Deltas!$A$2:$P$15000,5,FALSE),"")</f>
        <v/>
      </c>
      <c r="H116" t="inlineStr">
        <is>
          <t>Blanket (page end)</t>
        </is>
      </c>
      <c r="L116" t="inlineStr">
        <is>
          <t>NO</t>
        </is>
      </c>
      <c r="M116" t="n">
        <v>24</v>
      </c>
      <c r="N116" t="n">
        <v>0</v>
      </c>
    </row>
    <row r="117" s="67">
      <c r="A117" t="inlineStr">
        <is>
          <t>BTC_ROUND_BANDS_EACH_SIDE</t>
        </is>
      </c>
      <c r="B117" t="inlineStr">
        <is>
          <t>0.0_ALT</t>
        </is>
      </c>
      <c r="D117" t="inlineStr">
        <is>
          <t>UNIVERSAL (ex-BTC) — ENTRY/EXIT/REENTRY</t>
        </is>
      </c>
      <c r="G117">
        <f>IFERROR(VLOOKUP($A29&amp;"_"&amp;$B29,Results_Deltas!$A$2:$P$15000,5,FALSE),"")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IFERROR(VLOOKUP($A129&amp;"_"&amp;$B129,Results_Deltas!$A$2:$P$15000,5,FALSE),"")</f>
        <v/>
      </c>
      <c r="H118" t="inlineStr">
        <is>
          <t>Blanket (page end)</t>
        </is>
      </c>
      <c r="L118" t="inlineStr">
        <is>
          <t>NO</t>
        </is>
      </c>
      <c r="M118" t="n">
        <v>24</v>
      </c>
      <c r="N118" t="n">
        <v>0</v>
      </c>
    </row>
    <row r="119" ht="15.75" customHeight="1" s="67">
      <c r="A119" t="inlineStr">
        <is>
          <t>GR_FILTER_VEC_MIN_TFS</t>
        </is>
      </c>
      <c r="B119" t="inlineStr">
        <is>
          <t>0</t>
        </is>
      </c>
      <c r="D119" t="inlineStr">
        <is>
          <t>GLOBAL_CHECK</t>
        </is>
      </c>
      <c r="G119">
        <f>IFERROR(VLOOKUP($A89&amp;"_"&amp;$B89,Results_Deltas!$A$2:$P$15000,5,FALSE),"")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IFERROR(VLOOKUP($A18&amp;"_"&amp;$B18,Results_Deltas!$A$2:$P$15000,5,FALSE),"")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IFERROR(VLOOKUP($A123&amp;"_"&amp;$B123,Results_Deltas!$A$2:$P$15000,5,FALSE),"")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IFERROR(VLOOKUP($A77&amp;"_"&amp;$B77,Results_Deltas!$A$2:$P$15000,5,FALSE),"")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IFERROR(VLOOKUP($A78&amp;"_"&amp;$B78,Results_Deltas!$A$2:$P$15000,5,FALSE),"")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IFERROR(VLOOKUP($A79&amp;"_"&amp;$B79,Results_Deltas!$A$2:$P$15000,5,FALSE),"")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IFERROR(VLOOKUP($A80&amp;"_"&amp;$B80,Results_Deltas!$A$2:$P$15000,5,FALSE),"")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IFERROR(VLOOKUP($A81&amp;"_"&amp;$B81,Results_Deltas!$A$2:$P$15000,5,FALSE),"")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IFERROR(VLOOKUP($A82&amp;"_"&amp;$B82,Results_Deltas!$A$2:$P$15000,5,FALSE),"")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IFERROR(VLOOKUP($A14&amp;"_"&amp;$B14,Results_Deltas!$A$2:$P$15000,5,FALSE),"")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IFERROR(VLOOKUP($A76&amp;"_"&amp;$B76,Results_Deltas!$A$2:$P$15000,5,FALSE),"")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IFERROR(VLOOKUP($A128&amp;"_"&amp;$B128,Results_Deltas!$A$2:$P$15000,5,FALSE),"")</f>
        <v/>
      </c>
      <c r="H130" t="inlineStr">
        <is>
          <t>Blanket (page end)</t>
        </is>
      </c>
      <c r="L130" t="inlineStr">
        <is>
          <t>YES</t>
        </is>
      </c>
      <c r="M130" t="n">
        <v>9</v>
      </c>
      <c r="N130" t="n">
        <v>0</v>
      </c>
    </row>
    <row r="131" ht="15.75" customHeight="1" s="67">
      <c r="A131" t="inlineStr">
        <is>
          <t>HTF_GATE_MIN_CONFIRMATIONS</t>
        </is>
      </c>
      <c r="B131" t="inlineStr">
        <is>
          <t>0.0</t>
        </is>
      </c>
      <c r="D131" t="inlineStr">
        <is>
          <t>ENTRY, GLOBAL_CHECK, STOCKS_EXIT</t>
        </is>
      </c>
      <c r="G131">
        <f>IFERROR(VLOOKUP($A116&amp;"_"&amp;$B116,Results_Deltas!$A$2:$P$15000,5,FALSE),"")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IFERROR(VLOOKUP($A117&amp;"_"&amp;$B117,Results_Deltas!$A$2:$P$15000,5,FALSE),"")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IFERROR(VLOOKUP($A85&amp;"_"&amp;$B85,Results_Deltas!$A$2:$P$15000,5,FALSE),"")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IFERROR(VLOOKUP($A86&amp;"_"&amp;$B86,Results_Deltas!$A$2:$P$15000,5,FALSE),"")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IFERROR(VLOOKUP($A92&amp;"_"&amp;$B92,Results_Deltas!$A$2:$P$15000,5,FALSE),"")</f>
        <v/>
      </c>
      <c r="H135" t="inlineStr">
        <is>
          <t>Blanket (page end)</t>
        </is>
      </c>
      <c r="L135" t="inlineStr">
        <is>
          <t>YES</t>
        </is>
      </c>
      <c r="M135" t="n">
        <v>9</v>
      </c>
      <c r="N135" t="n">
        <v>0</v>
      </c>
    </row>
    <row r="136" ht="15.75" customHeight="1" s="67">
      <c r="A136" t="inlineStr">
        <is>
          <t>GOLDEN_RULE_BASE_USD</t>
        </is>
      </c>
      <c r="B136" t="inlineStr">
        <is>
          <t>0.0_ALT</t>
        </is>
      </c>
      <c r="D136" t="inlineStr">
        <is>
          <t>GLOBAL_CHECK, STOCKS_EXIT</t>
        </is>
      </c>
      <c r="G136">
        <f>IFERROR(VLOOKUP($A84&amp;"_"&amp;$B84,Results_Deltas!$A$2:$P$15000,5,FALSE),"")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IFERROR(VLOOKUP($A83&amp;"_"&amp;$B83,Results_Deltas!$A$2:$P$15000,5,FALSE),"")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IFERROR(VLOOKUP($A122&amp;"_"&amp;$B122,Results_Deltas!$A$2:$P$15000,5,FALSE),"")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IFERROR(VLOOKUP($A108&amp;"_"&amp;$B108,Results_Deltas!$A$2:$P$15000,5,FALSE),"")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IFERROR(VLOOKUP($A124&amp;"_"&amp;$B124,Results_Deltas!$A$2:$P$15000,5,FALSE),"")</f>
        <v/>
      </c>
      <c r="H140" t="inlineStr">
        <is>
          <t>Blanket (page end)</t>
        </is>
      </c>
      <c r="L140" t="inlineStr">
        <is>
          <t>YES</t>
        </is>
      </c>
      <c r="M140" t="n">
        <v>9</v>
      </c>
      <c r="N140" t="n">
        <v>0</v>
      </c>
    </row>
    <row r="141" ht="15.75" customHeight="1" s="67">
      <c r="A141" t="inlineStr">
        <is>
          <t>GR_FILTER_VEC_ENABLED</t>
        </is>
      </c>
      <c r="B141" t="inlineStr">
        <is>
          <t>False</t>
        </is>
      </c>
      <c r="D141" t="inlineStr">
        <is>
          <t>GLOBAL_CHECK</t>
        </is>
      </c>
      <c r="G141">
        <f>IFERROR(VLOOKUP($A87&amp;"_"&amp;$B87,Results_Deltas!$A$2:$P$15000,5,FALSE),"")</f>
        <v/>
      </c>
      <c r="H141" t="inlineStr">
        <is>
          <t>Blanket (page end)</t>
        </is>
      </c>
      <c r="L141" t="inlineStr">
        <is>
          <t>YES</t>
        </is>
      </c>
      <c r="M141" t="n">
        <v>3</v>
      </c>
      <c r="N141" t="n">
        <v>0</v>
      </c>
    </row>
    <row r="142" ht="15.75" customHeight="1" s="67">
      <c r="A142" t="inlineStr">
        <is>
          <t>DUP_GUARD_FILTER_TF</t>
        </is>
      </c>
      <c r="B142" t="inlineStr">
        <is>
          <t>15m</t>
        </is>
      </c>
      <c r="D142" t="inlineStr">
        <is>
          <t>GLOBAL_CHECK</t>
        </is>
      </c>
      <c r="G142">
        <f>IFERROR(VLOOKUP($A51&amp;"_"&amp;$B51,Results_Deltas!$A$2:$P$15000,5,FALSE),"")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IFERROR(VLOOKUP($A179&amp;"_"&amp;$B179,Results_Deltas!$A$2:$P$15000,5,FALSE),"")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IFERROR(VLOOKUP($A56&amp;"_"&amp;$B56,Results_Deltas!$A$2:$P$15000,5,FALSE),"")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IFERROR(VLOOKUP($A167&amp;"_"&amp;$B167,Results_Deltas!$A$2:$P$15000,5,FALSE),"")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IFERROR(VLOOKUP($A149&amp;"_"&amp;$B149,Results_Deltas!$A$2:$P$15000,5,FALSE),"")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IFERROR(VLOOKUP($A150&amp;"_"&amp;$B150,Results_Deltas!$A$2:$P$15000,5,FALSE),"")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IFERROR(VLOOKUP($A101&amp;"_"&amp;$B101,Results_Deltas!$A$2:$P$15000,5,FALSE),"")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IFERROR(VLOOKUP($A61&amp;"_"&amp;$B61,Results_Deltas!$A$2:$P$15000,5,FALSE),"")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IFERROR(VLOOKUP($A60&amp;"_"&amp;$B60,Results_Deltas!$A$2:$P$15000,5,FALSE),"")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IFERROR(VLOOKUP($A105&amp;"_"&amp;$B105,Results_Deltas!$A$2:$P$15000,5,FALSE),"")</f>
        <v/>
      </c>
      <c r="H151" t="inlineStr">
        <is>
          <t>Blanket (page end)</t>
        </is>
      </c>
      <c r="L151" t="inlineStr">
        <is>
          <t>NO</t>
        </is>
      </c>
      <c r="M151" t="n">
        <v>24</v>
      </c>
      <c r="N151" t="n">
        <v>0</v>
      </c>
    </row>
    <row r="152" ht="15.75" customHeight="1" s="67">
      <c r="A152" t="inlineStr">
        <is>
          <t>COOLDOWN_LOCKS_FILTER_TF</t>
        </is>
      </c>
      <c r="B152" t="inlineStr">
        <is>
          <t>15m</t>
        </is>
      </c>
      <c r="D152" t="inlineStr">
        <is>
          <t>GLOBAL_CHECK</t>
        </is>
      </c>
      <c r="G152">
        <f>IFERROR(VLOOKUP($A34&amp;"_"&amp;$B34,Results_Deltas!$A$2:$P$15000,5,FALSE),"")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IFERROR(VLOOKUP($A100&amp;"_"&amp;$B100,Results_Deltas!$A$2:$P$15000,5,FALSE),"")</f>
        <v/>
      </c>
      <c r="H153" t="inlineStr">
        <is>
          <t>Blanket (page end)</t>
        </is>
      </c>
      <c r="L153" t="inlineStr">
        <is>
          <t>NO</t>
        </is>
      </c>
      <c r="M153" t="n">
        <v>9</v>
      </c>
      <c r="N153" t="n">
        <v>0</v>
      </c>
    </row>
    <row r="154" ht="15.75" customHeight="1" s="67">
      <c r="A154" t="inlineStr">
        <is>
          <t>EZ_MANAGE_THROTTLER_RATE</t>
        </is>
      </c>
      <c r="B154" t="inlineStr">
        <is>
          <t>0.0</t>
        </is>
      </c>
      <c r="D154" t="inlineStr">
        <is>
          <t>GLOBAL_CHECK, STOCKS_EXIT</t>
        </is>
      </c>
      <c r="G154">
        <f>IFERROR(VLOOKUP($A62&amp;"_"&amp;$B62,Results_Deltas!$A$2:$P$15000,5,FALSE),"")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IFERROR(VLOOKUP($A63&amp;"_"&amp;$B63,Results_Deltas!$A$2:$P$15000,5,FALSE),"")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IFERROR(VLOOKUP($A22&amp;"_"&amp;$B22,Results_Deltas!$A$2:$P$15000,5,FALSE),"")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IFERROR(VLOOKUP($A175&amp;"_"&amp;$B175,Results_Deltas!$A$2:$P$15000,5,FALSE),"")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IFERROR(VLOOKUP($A115&amp;"_"&amp;$B115,Results_Deltas!$A$2:$P$15000,5,FALSE),"")</f>
        <v/>
      </c>
      <c r="H158" t="inlineStr">
        <is>
          <t>Blanket (page end)</t>
        </is>
      </c>
      <c r="L158" t="inlineStr">
        <is>
          <t>NO</t>
        </is>
      </c>
      <c r="M158" t="n">
        <v>24</v>
      </c>
      <c r="N158" t="n">
        <v>0</v>
      </c>
    </row>
    <row r="159" ht="15.75" customHeight="1" s="67">
      <c r="A159" t="inlineStr">
        <is>
          <t>DELTA_REENTRY_FILTER_ENABLED</t>
        </is>
      </c>
      <c r="B159" t="inlineStr">
        <is>
          <t>False</t>
        </is>
      </c>
      <c r="D159" t="inlineStr">
        <is>
          <t>ENTRY, GLOBAL_CHECK, STOCKS_EXIT</t>
        </is>
      </c>
      <c r="G159">
        <f>IFERROR(VLOOKUP($A45&amp;"_"&amp;$B45,Results_Deltas!$A$2:$P$15000,5,FALSE),"")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IFERROR(VLOOKUP($A114&amp;"_"&amp;$B114,Results_Deltas!$A$2:$P$15000,5,FALSE),"")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IFERROR(VLOOKUP($A144&amp;"_"&amp;$B144,Results_Deltas!$A$2:$P$15000,5,FALSE),"")</f>
        <v/>
      </c>
      <c r="H161" t="inlineStr">
        <is>
          <t>Blanket (page end)</t>
        </is>
      </c>
      <c r="L161" t="inlineStr">
        <is>
          <t>NO</t>
        </is>
      </c>
      <c r="M161" t="n">
        <v>24</v>
      </c>
      <c r="N161" t="n">
        <v>0</v>
      </c>
    </row>
    <row r="162" ht="15.75" customHeight="1" s="67">
      <c r="A162" t="inlineStr">
        <is>
          <t>MARKET_QUALITY_SCORE_ENABLED</t>
        </is>
      </c>
      <c r="B162" t="inlineStr">
        <is>
          <t>False</t>
        </is>
      </c>
      <c r="D162" t="inlineStr">
        <is>
          <t>ENTRY, GLOBAL_CHECK, STOCKS_EXIT</t>
        </is>
      </c>
      <c r="G162">
        <f>IFERROR(VLOOKUP($A147&amp;"_"&amp;$B147,Results_Deltas!$A$2:$P$15000,5,FALSE),"")</f>
        <v/>
      </c>
      <c r="H162" t="inlineStr">
        <is>
          <t>Blanket (page end)</t>
        </is>
      </c>
      <c r="L162" t="inlineStr">
        <is>
          <t>YES</t>
        </is>
      </c>
      <c r="M162" t="n">
        <v>9</v>
      </c>
      <c r="N162" t="n">
        <v>0</v>
      </c>
    </row>
    <row r="163" ht="15.75" customHeight="1" s="67">
      <c r="A163" t="inlineStr">
        <is>
          <t>HTF_GATE_BYPASS_RZ</t>
        </is>
      </c>
      <c r="B163" t="inlineStr">
        <is>
          <t>0.0</t>
        </is>
      </c>
      <c r="D163" t="inlineStr">
        <is>
          <t>ENTRY, GLOBAL_CHECK, STOCKS_EXIT</t>
        </is>
      </c>
      <c r="G163">
        <f>IFERROR(VLOOKUP($A112&amp;"_"&amp;$B112,Results_Deltas!$A$2:$P$15000,5,FALSE),"")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IFERROR(VLOOKUP($A113&amp;"_"&amp;$B113,Results_Deltas!$A$2:$P$15000,5,FALSE),"")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IFERROR(VLOOKUP($A110&amp;"_"&amp;$B110,Results_Deltas!$A$2:$P$15000,5,FALSE),"")</f>
        <v/>
      </c>
      <c r="H165" t="inlineStr">
        <is>
          <t>Blanket (page end)</t>
        </is>
      </c>
      <c r="L165" t="inlineStr">
        <is>
          <t>YES</t>
        </is>
      </c>
      <c r="M165" t="n">
        <v>9</v>
      </c>
      <c r="N165" t="n">
        <v>0</v>
      </c>
    </row>
    <row r="166" ht="15.75" customHeight="1" s="67">
      <c r="A166" t="inlineStr">
        <is>
          <t>MTF_FILTER_STRONG_BUY_QUICK_BYPASS</t>
        </is>
      </c>
      <c r="B166" t="inlineStr">
        <is>
          <t>0.0</t>
        </is>
      </c>
      <c r="D166" t="inlineStr">
        <is>
          <t>GLOBAL_CHECK, STOCKS_EXIT</t>
        </is>
      </c>
      <c r="G166">
        <f>IFERROR(VLOOKUP($A155&amp;"_"&amp;$B155,Results_Deltas!$A$2:$P$15000,5,FALSE),"")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IFERROR(VLOOKUP($A156&amp;"_"&amp;$B156,Results_Deltas!$A$2:$P$15000,5,FALSE),"")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IFERROR(VLOOKUP($A173&amp;"_"&amp;$B173,Results_Deltas!$A$2:$P$15000,5,FALSE),"")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IFERROR(VLOOKUP($A174&amp;"_"&amp;$B174,Results_Deltas!$A$2:$P$15000,5,FALSE),"")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IFERROR(VLOOKUP($A141&amp;"_"&amp;$B141,Results_Deltas!$A$2:$P$15000,5,FALSE),"")</f>
        <v/>
      </c>
      <c r="H170" t="inlineStr">
        <is>
          <t>Blanket (page end)</t>
        </is>
      </c>
      <c r="L170" t="inlineStr">
        <is>
          <t>YES</t>
        </is>
      </c>
      <c r="M170" t="n">
        <v>24</v>
      </c>
      <c r="N170" t="n">
        <v>0</v>
      </c>
    </row>
    <row r="171" ht="15.75" customHeight="1" s="67">
      <c r="A171" t="inlineStr">
        <is>
          <t>MANDATORY_REENTRY_WT_FILTER_MIN_VELOCITY</t>
        </is>
      </c>
      <c r="B171" t="inlineStr">
        <is>
          <t>0.0_ALT</t>
        </is>
      </c>
      <c r="D171" t="inlineStr">
        <is>
          <t>GLOBAL_CHECK, STOCKS_EXIT</t>
        </is>
      </c>
      <c r="G171">
        <f>IFERROR(VLOOKUP($A142&amp;"_"&amp;$B142,Results_Deltas!$A$2:$P$15000,5,FALSE),"")</f>
        <v/>
      </c>
      <c r="H171" t="inlineStr">
        <is>
          <t>Blanket (page end)</t>
        </is>
      </c>
      <c r="L171" t="inlineStr">
        <is>
          <t>NO</t>
        </is>
      </c>
      <c r="M171" t="n">
        <v>24</v>
      </c>
      <c r="N171" t="n">
        <v>0</v>
      </c>
    </row>
    <row r="172" ht="15.75" customHeight="1" s="67">
      <c r="A172" t="inlineStr">
        <is>
          <t>HTF_TREND_VETO_BYPASS_REASONS</t>
        </is>
      </c>
      <c r="B172" t="inlineStr">
        <is>
          <t>0.0</t>
        </is>
      </c>
      <c r="D172" t="inlineStr">
        <is>
          <t>GLOBAL_CHECK, STOCKS_EXIT</t>
        </is>
      </c>
      <c r="G172">
        <f>IFERROR(VLOOKUP($A120&amp;"_"&amp;$B120,Results_Deltas!$A$2:$P$15000,5,FALSE),"")</f>
        <v/>
      </c>
      <c r="H172" t="inlineStr">
        <is>
          <t>Blanket (page end)</t>
        </is>
      </c>
      <c r="L172" t="inlineStr">
        <is>
          <t>NO</t>
        </is>
      </c>
      <c r="M172" t="n">
        <v>24</v>
      </c>
      <c r="N172" t="n">
        <v>0</v>
      </c>
    </row>
    <row r="173" ht="15.75" customHeight="1" s="67">
      <c r="A173" t="inlineStr">
        <is>
          <t>NEWBORN_LOSS_KILL_GAIN_THRESHOLD_PCT</t>
        </is>
      </c>
      <c r="B173" t="inlineStr">
        <is>
          <t>0</t>
        </is>
      </c>
      <c r="D173" t="inlineStr">
        <is>
          <t>AUGMENT, EXIT, GLOBAL_CHECK, REDUCE, STOCKS_EXIT</t>
        </is>
      </c>
      <c r="G173">
        <f>IFERROR(VLOOKUP($A169&amp;"_"&amp;$B169,Results_Deltas!$A$2:$P$15000,5,FALSE),"")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IFERROR(VLOOKUP($A121&amp;"_"&amp;$B121,Results_Deltas!$A$2:$P$15000,5,FALSE),"")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IFERROR(VLOOKUP($A143&amp;"_"&amp;$B143,Results_Deltas!$A$2:$P$15000,5,FALSE),"")</f>
        <v/>
      </c>
      <c r="H175" t="inlineStr">
        <is>
          <t>Blanket (page end)</t>
        </is>
      </c>
      <c r="L175" t="inlineStr">
        <is>
          <t>YES</t>
        </is>
      </c>
      <c r="M175" t="n">
        <v>9</v>
      </c>
      <c r="N175" t="n">
        <v>0</v>
      </c>
    </row>
    <row r="176" ht="15.75" customHeight="1" s="67">
      <c r="A176" t="inlineStr">
        <is>
          <t>HTF_TREND_VETO_BYPASS_ENABLED</t>
        </is>
      </c>
      <c r="B176" t="inlineStr">
        <is>
          <t>False</t>
        </is>
      </c>
      <c r="D176" t="inlineStr">
        <is>
          <t>GLOBAL_CHECK, STOCKS_EXIT</t>
        </is>
      </c>
      <c r="G176">
        <f>IFERROR(VLOOKUP($A118&amp;"_"&amp;$B118,Results_Deltas!$A$2:$P$15000,5,FALSE),"")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IFERROR(VLOOKUP($A130&amp;"_"&amp;$B130,Results_Deltas!$A$2:$P$15000,5,FALSE),"")</f>
        <v/>
      </c>
      <c r="H177" t="inlineStr">
        <is>
          <t>Blanket (page end)</t>
        </is>
      </c>
      <c r="L177" t="inlineStr">
        <is>
          <t>YES</t>
        </is>
      </c>
      <c r="M177" t="n">
        <v>9</v>
      </c>
      <c r="N177" t="n">
        <v>0</v>
      </c>
    </row>
    <row r="178" s="67">
      <c r="A178" t="inlineStr">
        <is>
          <t>WT_DC_HTF_GATE</t>
        </is>
      </c>
      <c r="B178" t="inlineStr">
        <is>
          <t>1h</t>
        </is>
      </c>
      <c r="M178" t="n">
        <v>0</v>
      </c>
      <c r="N178" t="n">
        <v>0</v>
      </c>
    </row>
    <row r="179" ht="15.75" customHeight="1" s="67">
      <c r="A179" t="inlineStr">
        <is>
          <t>WT_DC_DIRECT_THRESHOLD</t>
        </is>
      </c>
      <c r="B179" t="n">
        <v>35</v>
      </c>
      <c r="M179" t="n">
        <v>0</v>
      </c>
      <c r="N179" t="n">
        <v>0</v>
      </c>
    </row>
    <row r="180" s="67">
      <c r="A180" t="inlineStr">
        <is>
          <t>WT_DC_HTF_GATE</t>
        </is>
      </c>
      <c r="B180" t="inlineStr">
        <is>
          <t>4h</t>
        </is>
      </c>
      <c r="M180" t="n">
        <v>0</v>
      </c>
      <c r="N180" t="n">
        <v>0</v>
      </c>
    </row>
    <row r="181" s="67">
      <c r="A181" t="inlineStr">
        <is>
          <t>WT_DC_HTF_GATE</t>
        </is>
      </c>
      <c r="B181" t="inlineStr">
        <is>
          <t>none</t>
        </is>
      </c>
      <c r="M181" t="n">
        <v>0</v>
      </c>
      <c r="N181" t="n">
        <v>0</v>
      </c>
    </row>
    <row r="182" s="67">
      <c r="A182" t="inlineStr">
        <is>
          <t>WT_DC_HTF_GATE</t>
        </is>
      </c>
      <c r="B182" t="inlineStr">
        <is>
          <t>15m</t>
        </is>
      </c>
      <c r="M182" t="n">
        <v>0</v>
      </c>
      <c r="N182" t="n">
        <v>0</v>
      </c>
    </row>
    <row r="183" s="67">
      <c r="A183" t="inlineStr">
        <is>
          <t>WT_DC_HTF_GATE</t>
        </is>
      </c>
      <c r="B183" t="inlineStr">
        <is>
          <t>1h_4h</t>
        </is>
      </c>
      <c r="M183" t="n">
        <v>0</v>
      </c>
      <c r="N183" t="n">
        <v>0</v>
      </c>
    </row>
    <row r="184" ht="15.75" customHeight="1" s="67">
      <c r="A184" t="inlineStr">
        <is>
          <t>WT_DC_DIRECT_THRESHOLD</t>
        </is>
      </c>
      <c r="B184" t="n">
        <v>30</v>
      </c>
      <c r="M184" t="n">
        <v>0</v>
      </c>
      <c r="N184" t="n">
        <v>0</v>
      </c>
    </row>
    <row r="185" ht="15.75" customHeight="1" s="67">
      <c r="A185" t="inlineStr">
        <is>
          <t>WT_DC_DIRECT_THRESHOLD</t>
        </is>
      </c>
      <c r="B185" t="n">
        <v>10</v>
      </c>
      <c r="M185" t="n">
        <v>0</v>
      </c>
      <c r="N185" t="n">
        <v>0</v>
      </c>
    </row>
    <row r="186" ht="15.75" customHeight="1" s="67">
      <c r="A186" t="inlineStr">
        <is>
          <t>WT_DC_ENTRY_THRESHOLD</t>
        </is>
      </c>
      <c r="B186" t="n">
        <v>35</v>
      </c>
      <c r="M186" t="n">
        <v>0</v>
      </c>
      <c r="N186" t="n">
        <v>0</v>
      </c>
    </row>
    <row r="187" ht="15.75" customHeight="1" s="67">
      <c r="A187" t="inlineStr">
        <is>
          <t>WT_DC_ENTRY_THRESHOLD</t>
        </is>
      </c>
      <c r="B187" t="n">
        <v>20</v>
      </c>
      <c r="M187" t="n">
        <v>0</v>
      </c>
      <c r="N187" t="n">
        <v>0</v>
      </c>
    </row>
    <row r="188" ht="15.75" customHeight="1" s="67">
      <c r="A188" t="inlineStr">
        <is>
          <t>WT_DC_DIRECT_THRESHOLD</t>
        </is>
      </c>
      <c r="B188" t="n">
        <v>20</v>
      </c>
      <c r="M188" t="n">
        <v>0</v>
      </c>
      <c r="N188" t="n">
        <v>0</v>
      </c>
    </row>
    <row r="189" ht="15.75" customHeight="1" s="67">
      <c r="A189" t="inlineStr">
        <is>
          <t>WT_DC_ENTRY_THRESHOLD</t>
        </is>
      </c>
      <c r="B189" t="n">
        <v>55</v>
      </c>
      <c r="M189" t="n">
        <v>0</v>
      </c>
      <c r="N189" t="n">
        <v>0</v>
      </c>
    </row>
    <row r="190" ht="15.75" customHeight="1" s="67">
      <c r="A190" t="inlineStr">
        <is>
          <t>WT_DC_ENTRY_THRESHOLD</t>
        </is>
      </c>
      <c r="B190" t="n">
        <v>30</v>
      </c>
      <c r="M190" t="n">
        <v>0</v>
      </c>
      <c r="N190" t="n">
        <v>0</v>
      </c>
    </row>
    <row r="191" ht="15.75" customHeight="1" s="67">
      <c r="A191" t="inlineStr">
        <is>
          <t>WT_DC_ENTRY_THRESHOLD</t>
        </is>
      </c>
      <c r="B191" t="n">
        <v>75</v>
      </c>
      <c r="M191" t="n">
        <v>0</v>
      </c>
      <c r="N191" t="n">
        <v>0</v>
      </c>
    </row>
    <row r="192" ht="15.75" customHeight="1" s="67">
      <c r="A192" t="inlineStr">
        <is>
          <t>WT_DC_ENTRY_THRESHOLD</t>
        </is>
      </c>
      <c r="B192" t="n">
        <v>60</v>
      </c>
      <c r="M192" t="n">
        <v>0</v>
      </c>
      <c r="N192" t="n">
        <v>0</v>
      </c>
    </row>
    <row r="193" ht="15.75" customHeight="1" s="67">
      <c r="A193" t="inlineStr">
        <is>
          <t>WT_DC_ENTRY_THRESHOLD</t>
        </is>
      </c>
      <c r="B193" t="n">
        <v>45</v>
      </c>
      <c r="M193" t="n">
        <v>0</v>
      </c>
      <c r="N193" t="n">
        <v>0</v>
      </c>
    </row>
    <row r="194" s="67">
      <c r="A194" t="inlineStr">
        <is>
          <t>WT_DC_HTF_GATE</t>
        </is>
      </c>
      <c r="B194" t="inlineStr">
        <is>
          <t>4h_D</t>
        </is>
      </c>
      <c r="M194" t="n">
        <v>0</v>
      </c>
      <c r="N194" t="n">
        <v>0</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IFERROR(VLOOKUP($A60&amp;"_"&amp;$B60,Results_Deltas!$A$2:$P$15000,5,FALSE),"")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IFERROR(VLOOKUP($A44&amp;"_"&amp;$B44,Results_Deltas!$A$2:$P$15000,5,FALSE),"")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IFERROR(VLOOKUP($A159&amp;"_"&amp;$B159,Results_Deltas!$A$2:$P$15000,5,FALSE),"")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IFERROR(VLOOKUP($A160&amp;"_"&amp;$B160,Results_Deltas!$A$2:$P$15000,5,FALSE),"")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IFERROR(VLOOKUP($A69&amp;"_"&amp;$B69,Results_Deltas!$A$2:$P$15000,5,FALSE),"")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IFERROR(VLOOKUP($A67&amp;"_"&amp;$B67,Results_Deltas!$A$2:$P$15000,5,FALSE),"")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IFERROR(VLOOKUP($A70&amp;"_"&amp;$B70,Results_Deltas!$A$2:$P$15000,5,FALSE),"")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IFERROR(VLOOKUP($A64&amp;"_"&amp;$B64,Results_Deltas!$A$2:$P$15000,5,FALSE),"")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IFERROR(VLOOKUP($A177&amp;"_"&amp;$B177,Results_Deltas!$A$2:$P$15000,5,FALSE),"")</f>
        <v/>
      </c>
      <c r="H11" t="inlineStr">
        <is>
          <t>Blanket (page end)</t>
        </is>
      </c>
      <c r="L11" t="inlineStr">
        <is>
          <t>NO</t>
        </is>
      </c>
      <c r="M11" t="n">
        <v>22</v>
      </c>
      <c r="N11" t="n">
        <v>0</v>
      </c>
    </row>
    <row r="12" s="67">
      <c r="A12" t="inlineStr">
        <is>
          <t>COOLDOWN_LOCKS_FILTER_TF</t>
        </is>
      </c>
      <c r="B12" t="inlineStr">
        <is>
          <t>D</t>
        </is>
      </c>
      <c r="D12" t="inlineStr">
        <is>
          <t>GLOBAL_CHECK</t>
        </is>
      </c>
      <c r="G12">
        <f>IFERROR(VLOOKUP($A26&amp;"_"&amp;$B26,Results_Deltas!$A$2:$P$15000,5,FALSE),"")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IFERROR(VLOOKUP($A65&amp;"_"&amp;$B65,Results_Deltas!$A$2:$P$15000,5,FALSE),"")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IFERROR(VLOOKUP($A27&amp;"_"&amp;$B27,Results_Deltas!$A$2:$P$15000,5,FALSE),"")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IFERROR(VLOOKUP($A63&amp;"_"&amp;$B63,Results_Deltas!$A$2:$P$15000,5,FALSE),"")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IFERROR(VLOOKUP($A68&amp;"_"&amp;$B68,Results_Deltas!$A$2:$P$15000,5,FALSE),"")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IFERROR(VLOOKUP($A25&amp;"_"&amp;$B25,Results_Deltas!$A$2:$P$15000,5,FALSE),"")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IFERROR(VLOOKUP($A61&amp;"_"&amp;$B61,Results_Deltas!$A$2:$P$15000,5,FALSE),"")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IFERROR(VLOOKUP($A35&amp;"_"&amp;$B35,Results_Deltas!$A$2:$P$15000,5,FALSE),"")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IFERROR(VLOOKUP($A182&amp;"_"&amp;$B182,Results_Deltas!$A$2:$P$15000,5,FALSE),"")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IFERROR(VLOOKUP($A42&amp;"_"&amp;$B42,Results_Deltas!$A$2:$P$15000,5,FALSE),"")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IFERROR(VLOOKUP($A101&amp;"_"&amp;$B101,Results_Deltas!$A$2:$P$15000,5,FALSE),"")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IFERROR(VLOOKUP($A45&amp;"_"&amp;$B45,Results_Deltas!$A$2:$P$15000,5,FALSE),"")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IFERROR(VLOOKUP($A175&amp;"_"&amp;$B175,Results_Deltas!$A$2:$P$15000,5,FALSE),"")</f>
        <v/>
      </c>
      <c r="H24" t="inlineStr">
        <is>
          <t>Blanket (page end)</t>
        </is>
      </c>
      <c r="L24" t="inlineStr">
        <is>
          <t>YES</t>
        </is>
      </c>
      <c r="M24" t="n">
        <v>26</v>
      </c>
      <c r="N24" t="n">
        <v>0</v>
      </c>
    </row>
    <row r="25" ht="15.75" customHeight="1" s="67">
      <c r="A25" t="inlineStr">
        <is>
          <t>OI_CONFIRM_MIN_PRICE_PCT</t>
        </is>
      </c>
      <c r="B25" t="inlineStr">
        <is>
          <t>0.5</t>
        </is>
      </c>
      <c r="D25" t="inlineStr">
        <is>
          <t>ENTRY, GLOBAL_CHECK, STOCKS_EXIT</t>
        </is>
      </c>
      <c r="G25">
        <f>IFERROR(VLOOKUP($A183&amp;"_"&amp;$B183,Results_Deltas!$A$2:$P$15000,5,FALSE),"")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IFERROR(VLOOKUP($A98&amp;"_"&amp;$B98,Results_Deltas!$A$2:$P$15000,5,FALSE),"")</f>
        <v/>
      </c>
      <c r="H26" t="inlineStr">
        <is>
          <t>Blanket (page end)</t>
        </is>
      </c>
      <c r="L26" t="inlineStr">
        <is>
          <t>NO</t>
        </is>
      </c>
      <c r="M26" t="n">
        <v>27</v>
      </c>
      <c r="N26" t="n">
        <v>0</v>
      </c>
    </row>
    <row r="27" s="67">
      <c r="A27" t="inlineStr">
        <is>
          <t>BANDAID_OFF_LOSER_RECOVER_PCT</t>
        </is>
      </c>
      <c r="B27" t="inlineStr">
        <is>
          <t>0.5</t>
        </is>
      </c>
      <c r="D27" t="inlineStr">
        <is>
          <t>AUGMENT, ENTRY, EXIT, GLOBAL_CHECK, REDUCE, STOCKS_EXIT</t>
        </is>
      </c>
      <c r="G27">
        <f>IFERROR(VLOOKUP($A16&amp;"_"&amp;$B16,Results_Deltas!$A$2:$P$15000,5,FALSE),"")</f>
        <v/>
      </c>
      <c r="H27" t="inlineStr">
        <is>
          <t>Blanket (page end)</t>
        </is>
      </c>
      <c r="L27" t="inlineStr">
        <is>
          <t>NO</t>
        </is>
      </c>
      <c r="M27" t="n">
        <v>27</v>
      </c>
      <c r="N27" t="n">
        <v>0</v>
      </c>
    </row>
    <row r="28" ht="15.75" customHeight="1" s="67">
      <c r="A28" t="inlineStr">
        <is>
          <t>COOLDOWN_LOCKS_FILTER_TF</t>
        </is>
      </c>
      <c r="B28" t="inlineStr">
        <is>
          <t>1h</t>
        </is>
      </c>
      <c r="D28" t="inlineStr">
        <is>
          <t>GLOBAL_CHECK</t>
        </is>
      </c>
      <c r="G28">
        <f>IFERROR(VLOOKUP($A28&amp;"_"&amp;$B28,Results_Deltas!$A$2:$P$15000,5,FALSE),"")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IFERROR(VLOOKUP($A155&amp;"_"&amp;$B155,Results_Deltas!$A$2:$P$15000,5,FALSE),"")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IFERROR(VLOOKUP($A154&amp;"_"&amp;$B154,Results_Deltas!$A$2:$P$15000,5,FALSE),"")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IFERROR(VLOOKUP($A92&amp;"_"&amp;$B92,Results_Deltas!$A$2:$P$15000,5,FALSE),"")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IFERROR(VLOOKUP($A36&amp;"_"&amp;$B36,Results_Deltas!$A$2:$P$15000,5,FALSE),"")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IFERROR(VLOOKUP($A10&amp;"_"&amp;$B10,Results_Deltas!$A$2:$P$15000,5,FALSE),"")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IFERROR(VLOOKUP($A12&amp;"_"&amp;$B12,Results_Deltas!$A$2:$P$15000,5,FALSE),"")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IFERROR(VLOOKUP($A156&amp;"_"&amp;$B156,Results_Deltas!$A$2:$P$15000,5,FALSE),"")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IFERROR(VLOOKUP($A59&amp;"_"&amp;$B59,Results_Deltas!$A$2:$P$15000,5,FALSE),"")</f>
        <v/>
      </c>
      <c r="H36" t="inlineStr">
        <is>
          <t>Blanket (page end)</t>
        </is>
      </c>
      <c r="L36" t="inlineStr">
        <is>
          <t>YES</t>
        </is>
      </c>
      <c r="M36" t="n">
        <v>27</v>
      </c>
      <c r="N36" t="n">
        <v>0</v>
      </c>
    </row>
    <row r="37" s="67">
      <c r="A37" t="inlineStr">
        <is>
          <t>BAND_ARROW_ENABLED</t>
        </is>
      </c>
      <c r="B37" t="inlineStr">
        <is>
          <t>True</t>
        </is>
      </c>
      <c r="D37" t="inlineStr">
        <is>
          <t>GLOBAL_CHECK, STOCKS_EXIT</t>
        </is>
      </c>
      <c r="G37">
        <f>IFERROR(VLOOKUP($A18&amp;"_"&amp;$B18,Results_Deltas!$A$2:$P$15000,5,FALSE),"")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IFERROR(VLOOKUP($A43&amp;"_"&amp;$B43,Results_Deltas!$A$2:$P$15000,5,FALSE),"")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IFERROR(VLOOKUP($A93&amp;"_"&amp;$B93,Results_Deltas!$A$2:$P$15000,5,FALSE),"")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IFERROR(VLOOKUP($A99&amp;"_"&amp;$B99,Results_Deltas!$A$2:$P$15000,5,FALSE),"")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IFERROR(VLOOKUP($A152&amp;"_"&amp;$B152,Results_Deltas!$A$2:$P$15000,5,FALSE),"")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IFERROR(VLOOKUP($A153&amp;"_"&amp;$B153,Results_Deltas!$A$2:$P$15000,5,FALSE),"")</f>
        <v/>
      </c>
      <c r="H42" t="inlineStr">
        <is>
          <t>Blanket (page end)</t>
        </is>
      </c>
      <c r="L42" t="inlineStr">
        <is>
          <t>NO</t>
        </is>
      </c>
      <c r="M42" t="n">
        <v>26</v>
      </c>
      <c r="N42" t="n">
        <v>0</v>
      </c>
    </row>
    <row r="43" s="67">
      <c r="A43" t="inlineStr">
        <is>
          <t>BANDAID_OFF_LOSER_RECOVER_PCT</t>
        </is>
      </c>
      <c r="B43" t="inlineStr">
        <is>
          <t>1.0</t>
        </is>
      </c>
      <c r="D43" t="inlineStr">
        <is>
          <t>AUGMENT, ENTRY, EXIT, GLOBAL_CHECK, REDUCE, STOCKS_EXIT</t>
        </is>
      </c>
      <c r="G43">
        <f>IFERROR(VLOOKUP($A15&amp;"_"&amp;$B15,Results_Deltas!$A$2:$P$15000,5,FALSE),"")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IFERROR(VLOOKUP($A122&amp;"_"&amp;$B122,Results_Deltas!$A$2:$P$15000,5,FALSE),"")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IFERROR(VLOOKUP($A121&amp;"_"&amp;$B121,Results_Deltas!$A$2:$P$15000,5,FALSE),"")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IFERROR(VLOOKUP($A90&amp;"_"&amp;$B90,Results_Deltas!$A$2:$P$15000,5,FALSE),"")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IFERROR(VLOOKUP($A143&amp;"_"&amp;$B143,Results_Deltas!$A$2:$P$15000,5,FALSE),"")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IFERROR(VLOOKUP($A89&amp;"_"&amp;$B89,Results_Deltas!$A$2:$P$15000,5,FALSE),"")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IFERROR(VLOOKUP($A176&amp;"_"&amp;$B176,Results_Deltas!$A$2:$P$15000,5,FALSE),"")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IFERROR(VLOOKUP($A53&amp;"_"&amp;$B53,Results_Deltas!$A$2:$P$15000,5,FALSE),"")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IFERROR(VLOOKUP($A157&amp;"_"&amp;$B157,Results_Deltas!$A$2:$P$15000,5,FALSE),"")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IFERROR(VLOOKUP($A158&amp;"_"&amp;$B158,Results_Deltas!$A$2:$P$15000,5,FALSE),"")</f>
        <v/>
      </c>
      <c r="H52" t="inlineStr">
        <is>
          <t>Blanket (page end)</t>
        </is>
      </c>
      <c r="L52" t="inlineStr">
        <is>
          <t>YES</t>
        </is>
      </c>
      <c r="M52" t="n">
        <v>26</v>
      </c>
      <c r="N52" t="n">
        <v>0</v>
      </c>
    </row>
    <row r="53" ht="15.75" customHeight="1" s="67">
      <c r="A53" t="inlineStr">
        <is>
          <t>CRYPTO_SPIKE_FADE_THRESHOLD_PCT</t>
        </is>
      </c>
      <c r="B53" t="inlineStr">
        <is>
          <t>12.5</t>
        </is>
      </c>
      <c r="D53" t="inlineStr">
        <is>
          <t>GLOBAL_CHECK, STOCKS_EXIT</t>
        </is>
      </c>
      <c r="G53">
        <f>IFERROR(VLOOKUP($A31&amp;"_"&amp;$B31,Results_Deltas!$A$2:$P$15000,5,FALSE),"")</f>
        <v/>
      </c>
      <c r="H53" t="inlineStr">
        <is>
          <t>Blanket (page end)</t>
        </is>
      </c>
      <c r="L53" t="inlineStr">
        <is>
          <t>NO</t>
        </is>
      </c>
      <c r="M53" t="n">
        <v>27</v>
      </c>
      <c r="N53" t="n">
        <v>0</v>
      </c>
    </row>
    <row r="54" ht="15.75" customHeight="1" s="67">
      <c r="A54" t="inlineStr">
        <is>
          <t>CRYPTO_SPIKE_FADE_THRESHOLD_PCT</t>
        </is>
      </c>
      <c r="B54" t="inlineStr">
        <is>
          <t>7.5</t>
        </is>
      </c>
      <c r="D54" t="inlineStr">
        <is>
          <t>GLOBAL_CHECK, STOCKS_EXIT</t>
        </is>
      </c>
      <c r="G54">
        <f>IFERROR(VLOOKUP($A32&amp;"_"&amp;$B32,Results_Deltas!$A$2:$P$15000,5,FALSE),"")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IFERROR(VLOOKUP($A140&amp;"_"&amp;$B140,Results_Deltas!$A$2:$P$15000,5,FALSE),"")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IFERROR(VLOOKUP($A141&amp;"_"&amp;$B141,Results_Deltas!$A$2:$P$15000,5,FALSE),"")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IFERROR(VLOOKUP($A47&amp;"_"&amp;$B47,Results_Deltas!$A$2:$P$15000,5,FALSE),"")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IFERROR(VLOOKUP($A83&amp;"_"&amp;$B83,Results_Deltas!$A$2:$P$15000,5,FALSE),"")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IFERROR(VLOOKUP($A52&amp;"_"&amp;$B52,Results_Deltas!$A$2:$P$15000,5,FALSE),"")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IFERROR(VLOOKUP($A48&amp;"_"&amp;$B48,Results_Deltas!$A$2:$P$15000,5,FALSE),"")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IFERROR(VLOOKUP($A178&amp;"_"&amp;$B178,Results_Deltas!$A$2:$P$15000,5,FALSE),"")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IFERROR(VLOOKUP($A161&amp;"_"&amp;$B161,Results_Deltas!$A$2:$P$15000,5,FALSE),"")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IFERROR(VLOOKUP($A50&amp;"_"&amp;$B50,Results_Deltas!$A$2:$P$15000,5,FALSE),"")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IFERROR(VLOOKUP($A86&amp;"_"&amp;$B86,Results_Deltas!$A$2:$P$15000,5,FALSE),"")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IFERROR(VLOOKUP($A148&amp;"_"&amp;$B148,Results_Deltas!$A$2:$P$15000,5,FALSE),"")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IFERROR(VLOOKUP($A106&amp;"_"&amp;$B106,Results_Deltas!$A$2:$P$15000,5,FALSE),"")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IFERROR(VLOOKUP($A163&amp;"_"&amp;$B163,Results_Deltas!$A$2:$P$15000,5,FALSE),"")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IFERROR(VLOOKUP($A135&amp;"_"&amp;$B135,Results_Deltas!$A$2:$P$15000,5,FALSE),"")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IFERROR(VLOOKUP($A88&amp;"_"&amp;$B88,Results_Deltas!$A$2:$P$15000,5,FALSE),"")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IFERROR(VLOOKUP($A171&amp;"_"&amp;$B171,Results_Deltas!$A$2:$P$15000,5,FALSE),"")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IFERROR(VLOOKUP($A120&amp;"_"&amp;$B120,Results_Deltas!$A$2:$P$15000,5,FALSE),"")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IFERROR(VLOOKUP($A14&amp;"_"&amp;$B14,Results_Deltas!$A$2:$P$15000,5,FALSE),"")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IFERROR(VLOOKUP($A102&amp;"_"&amp;$B102,Results_Deltas!$A$2:$P$15000,5,FALSE),"")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IFERROR(VLOOKUP($A66&amp;"_"&amp;$B66,Results_Deltas!$A$2:$P$15000,5,FALSE),"")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IFERROR(VLOOKUP($A181&amp;"_"&amp;$B181,Results_Deltas!$A$2:$P$15000,5,FALSE),"")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IFERROR(VLOOKUP($A149&amp;"_"&amp;$B149,Results_Deltas!$A$2:$P$15000,5,FALSE),"")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IFERROR(VLOOKUP($A11&amp;"_"&amp;$B11,Results_Deltas!$A$2:$P$15000,5,FALSE),"")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IFERROR(VLOOKUP($A94&amp;"_"&amp;$B94,Results_Deltas!$A$2:$P$15000,5,FALSE),"")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IFERROR(VLOOKUP($A132&amp;"_"&amp;$B132,Results_Deltas!$A$2:$P$15000,5,FALSE),"")</f>
        <v/>
      </c>
      <c r="H79" t="inlineStr">
        <is>
          <t>Blanket (page end)</t>
        </is>
      </c>
      <c r="L79" t="inlineStr">
        <is>
          <t>NO</t>
        </is>
      </c>
      <c r="M79" t="n">
        <v>24</v>
      </c>
      <c r="N79" t="n">
        <v>0</v>
      </c>
    </row>
    <row r="80" ht="15.75" customHeight="1" s="67">
      <c r="A80" t="inlineStr">
        <is>
          <t>DELTA_HTF_GATE</t>
        </is>
      </c>
      <c r="B80" t="inlineStr">
        <is>
          <t>4h_ALT</t>
        </is>
      </c>
      <c r="D80" t="inlineStr">
        <is>
          <t>ENTRY, GLOBAL_CHECK, STOCKS_EXIT</t>
        </is>
      </c>
      <c r="G80">
        <f>IFERROR(VLOOKUP($A39&amp;"_"&amp;$B39,Results_Deltas!$A$2:$P$15000,5,FALSE),"")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IFERROR(VLOOKUP($A91&amp;"_"&amp;$B91,Results_Deltas!$A$2:$P$15000,5,FALSE),"")</f>
        <v/>
      </c>
      <c r="H81" t="inlineStr">
        <is>
          <t>Blanket (page end)</t>
        </is>
      </c>
      <c r="L81" t="inlineStr">
        <is>
          <t>NO</t>
        </is>
      </c>
      <c r="M81" t="n">
        <v>27</v>
      </c>
      <c r="N81" t="n">
        <v>0</v>
      </c>
    </row>
    <row r="82" ht="15.75" customHeight="1" s="67">
      <c r="A82" t="inlineStr">
        <is>
          <t>DELTA_HTF_GATE</t>
        </is>
      </c>
      <c r="B82" t="inlineStr">
        <is>
          <t>4h</t>
        </is>
      </c>
      <c r="D82" t="inlineStr">
        <is>
          <t>ENTRY, GLOBAL_CHECK, STOCKS_EXIT</t>
        </is>
      </c>
      <c r="G82">
        <f>IFERROR(VLOOKUP($A38&amp;"_"&amp;$B38,Results_Deltas!$A$2:$P$15000,5,FALSE),"")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IFERROR(VLOOKUP($A130&amp;"_"&amp;$B130,Results_Deltas!$A$2:$P$15000,5,FALSE),"")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IFERROR(VLOOKUP($A146&amp;"_"&amp;$B146,Results_Deltas!$A$2:$P$15000,5,FALSE),"")</f>
        <v/>
      </c>
      <c r="H84" t="inlineStr">
        <is>
          <t>Blanket (page end)</t>
        </is>
      </c>
      <c r="L84" t="inlineStr">
        <is>
          <t>YES</t>
        </is>
      </c>
      <c r="M84" t="n">
        <v>26</v>
      </c>
      <c r="N84" t="n">
        <v>0</v>
      </c>
    </row>
    <row r="85" ht="15.75" customHeight="1" s="67">
      <c r="A85" t="inlineStr">
        <is>
          <t>DC_MOMENT_STRONG_THRESHOLD</t>
        </is>
      </c>
      <c r="B85" t="inlineStr">
        <is>
          <t>40</t>
        </is>
      </c>
      <c r="D85" t="inlineStr">
        <is>
          <t>ENTRY, GLOBAL_CHECK, STOCKS_EXIT</t>
        </is>
      </c>
      <c r="G85">
        <f>IFERROR(VLOOKUP($A34&amp;"_"&amp;$B34,Results_Deltas!$A$2:$P$15000,5,FALSE),"")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IFERROR(VLOOKUP($A41&amp;"_"&amp;$B41,Results_Deltas!$A$2:$P$15000,5,FALSE),"")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IFERROR(VLOOKUP($A97&amp;"_"&amp;$B97,Results_Deltas!$A$2:$P$15000,5,FALSE),"")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IFERROR(VLOOKUP($A133&amp;"_"&amp;$B133,Results_Deltas!$A$2:$P$15000,5,FALSE),"")</f>
        <v/>
      </c>
      <c r="H88" t="inlineStr">
        <is>
          <t>Blanket (page end)</t>
        </is>
      </c>
      <c r="L88" t="inlineStr">
        <is>
          <t>YES</t>
        </is>
      </c>
      <c r="M88" t="n">
        <v>26</v>
      </c>
      <c r="N88" t="n">
        <v>0</v>
      </c>
    </row>
    <row r="89" ht="15.75" customHeight="1" s="67">
      <c r="A89" t="inlineStr">
        <is>
          <t>LR_BAND_LADDER_STOCH_EXTREME</t>
        </is>
      </c>
      <c r="B89" t="inlineStr">
        <is>
          <t>30.0_ALT</t>
        </is>
      </c>
      <c r="D89" t="inlineStr">
        <is>
          <t>GLOBAL_CHECK, STOCKS_EXIT</t>
        </is>
      </c>
      <c r="G89">
        <f>IFERROR(VLOOKUP($A128&amp;"_"&amp;$B128,Results_Deltas!$A$2:$P$15000,5,FALSE),"")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IFERROR(VLOOKUP($A127&amp;"_"&amp;$B127,Results_Deltas!$A$2:$P$15000,5,FALSE),"")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IFERROR(VLOOKUP($A147&amp;"_"&amp;$B147,Results_Deltas!$A$2:$P$15000,5,FALSE),"")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IFERROR(VLOOKUP($A166&amp;"_"&amp;$B166,Results_Deltas!$A$2:$P$15000,5,FALSE),"")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IFERROR(VLOOKUP($A62&amp;"_"&amp;$B62,Results_Deltas!$A$2:$P$15000,5,FALSE),"")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IFERROR(VLOOKUP($A167&amp;"_"&amp;$B167,Results_Deltas!$A$2:$P$15000,5,FALSE),"")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IFERROR(VLOOKUP($A126&amp;"_"&amp;$B126,Results_Deltas!$A$2:$P$15000,5,FALSE),"")</f>
        <v/>
      </c>
      <c r="H95" t="inlineStr">
        <is>
          <t>Blanket (page end)</t>
        </is>
      </c>
      <c r="L95" t="inlineStr">
        <is>
          <t>NO</t>
        </is>
      </c>
      <c r="M95" t="n">
        <v>23</v>
      </c>
      <c r="N95" t="n">
        <v>0</v>
      </c>
    </row>
    <row r="96" ht="15.75" customHeight="1" s="67">
      <c r="A96" t="inlineStr">
        <is>
          <t>DC_MOMENT_STRONG_THRESHOLD</t>
        </is>
      </c>
      <c r="B96" t="inlineStr">
        <is>
          <t>20</t>
        </is>
      </c>
      <c r="D96" t="inlineStr">
        <is>
          <t>ENTRY, GLOBAL_CHECK, STOCKS_EXIT</t>
        </is>
      </c>
      <c r="G96">
        <f>IFERROR(VLOOKUP($A37&amp;"_"&amp;$B37,Results_Deltas!$A$2:$P$15000,5,FALSE),"")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IFERROR(VLOOKUP($A134&amp;"_"&amp;$B134,Results_Deltas!$A$2:$P$15000,5,FALSE),"")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IFERROR(VLOOKUP($A85&amp;"_"&amp;$B85,Results_Deltas!$A$2:$P$15000,5,FALSE),"")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IFERROR(VLOOKUP($A172&amp;"_"&amp;$B172,Results_Deltas!$A$2:$P$15000,5,FALSE),"")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IFERROR(VLOOKUP($A49&amp;"_"&amp;$B49,Results_Deltas!$A$2:$P$15000,5,FALSE),"")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IFERROR(VLOOKUP($A180&amp;"_"&amp;$B180,Results_Deltas!$A$2:$P$15000,5,FALSE),"")</f>
        <v/>
      </c>
      <c r="H101" t="inlineStr">
        <is>
          <t>Blanket (page end)</t>
        </is>
      </c>
      <c r="L101" t="inlineStr">
        <is>
          <t>NO</t>
        </is>
      </c>
      <c r="M101" t="n">
        <v>24</v>
      </c>
      <c r="N101" t="n">
        <v>0</v>
      </c>
    </row>
    <row r="102" ht="15.75" customHeight="1" s="67">
      <c r="A102" t="inlineStr">
        <is>
          <t>CRYPTO_SPIKE_FADE_THRESHOLD_PCT</t>
        </is>
      </c>
      <c r="B102" t="inlineStr">
        <is>
          <t>10</t>
        </is>
      </c>
      <c r="D102" t="inlineStr">
        <is>
          <t>GLOBAL_CHECK, STOCKS_EXIT</t>
        </is>
      </c>
      <c r="G102">
        <f>IFERROR(VLOOKUP($A30&amp;"_"&amp;$B30,Results_Deltas!$A$2:$P$15000,5,FALSE),"")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IFERROR(VLOOKUP($A179&amp;"_"&amp;$B179,Results_Deltas!$A$2:$P$15000,5,FALSE),"")</f>
        <v/>
      </c>
      <c r="H103" t="inlineStr">
        <is>
          <t>Blanket (page end)</t>
        </is>
      </c>
      <c r="L103" t="inlineStr">
        <is>
          <t>YES</t>
        </is>
      </c>
      <c r="M103" t="n">
        <v>26</v>
      </c>
      <c r="N103" t="n">
        <v>0</v>
      </c>
    </row>
    <row r="104" ht="15.75" customHeight="1" s="67">
      <c r="A104" t="inlineStr">
        <is>
          <t>CRYPTO_SPIKE_FADE_THRESHOLD_PCT</t>
        </is>
      </c>
      <c r="B104" t="inlineStr">
        <is>
          <t>5</t>
        </is>
      </c>
      <c r="D104" t="inlineStr">
        <is>
          <t>GLOBAL_CHECK, STOCKS_EXIT</t>
        </is>
      </c>
      <c r="G104">
        <f>IFERROR(VLOOKUP($A33&amp;"_"&amp;$B33,Results_Deltas!$A$2:$P$15000,5,FALSE),"")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IFERROR(VLOOKUP($A54&amp;"_"&amp;$B54,Results_Deltas!$A$2:$P$15000,5,FALSE),"")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IFERROR(VLOOKUP($A173&amp;"_"&amp;$B173,Results_Deltas!$A$2:$P$15000,5,FALSE),"")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IFERROR(VLOOKUP($A131&amp;"_"&amp;$B131,Results_Deltas!$A$2:$P$15000,5,FALSE),"")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IFERROR(VLOOKUP($A165&amp;"_"&amp;$B165,Results_Deltas!$A$2:$P$15000,5,FALSE),"")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IFERROR(VLOOKUP($A114&amp;"_"&amp;$B114,Results_Deltas!$A$2:$P$15000,5,FALSE),"")</f>
        <v/>
      </c>
      <c r="H109" t="inlineStr">
        <is>
          <t>Blanket (page end)</t>
        </is>
      </c>
      <c r="L109" t="inlineStr">
        <is>
          <t>YES</t>
        </is>
      </c>
      <c r="M109" t="n">
        <v>27</v>
      </c>
      <c r="N109" t="n">
        <v>0</v>
      </c>
    </row>
    <row r="110" ht="15.75" customHeight="1" s="67">
      <c r="A110" t="inlineStr">
        <is>
          <t>LR_BAND_LADDER_TF_BOTTOM</t>
        </is>
      </c>
      <c r="B110" t="inlineStr">
        <is>
          <t>0</t>
        </is>
      </c>
      <c r="D110" t="inlineStr">
        <is>
          <t>GLOBAL_CHECK, STOCKS_EXIT</t>
        </is>
      </c>
      <c r="G110">
        <f>IFERROR(VLOOKUP($A129&amp;"_"&amp;$B129,Results_Deltas!$A$2:$P$15000,5,FALSE),"")</f>
        <v/>
      </c>
      <c r="H110" t="inlineStr">
        <is>
          <t>Blanket (page end)</t>
        </is>
      </c>
      <c r="L110" t="inlineStr">
        <is>
          <t>NO</t>
        </is>
      </c>
      <c r="M110" t="n">
        <v>26</v>
      </c>
      <c r="N110" t="n">
        <v>0</v>
      </c>
    </row>
    <row r="111" s="67">
      <c r="A111" t="inlineStr">
        <is>
          <t>BTC_ACCEL_RAMP_REQUIRE_POSITIVE</t>
        </is>
      </c>
      <c r="B111" t="inlineStr">
        <is>
          <t>0.0</t>
        </is>
      </c>
      <c r="D111" t="inlineStr">
        <is>
          <t>UNIVERSAL (ex-BTC) — ENTRY/EXIT/REENTRY</t>
        </is>
      </c>
      <c r="G111">
        <f>IFERROR(VLOOKUP($A19&amp;"_"&amp;$B19,Results_Deltas!$A$2:$P$15000,5,FALSE),"")</f>
        <v/>
      </c>
      <c r="H111" t="inlineStr">
        <is>
          <t>Blanket (page end)</t>
        </is>
      </c>
      <c r="L111" t="inlineStr">
        <is>
          <t>NO</t>
        </is>
      </c>
      <c r="M111" t="n">
        <v>24</v>
      </c>
      <c r="N111" t="n">
        <v>0</v>
      </c>
    </row>
    <row r="112" s="67">
      <c r="A112" t="inlineStr">
        <is>
          <t>BTC_ACCEL_RAMP_REQUIRE_POSITIVE</t>
        </is>
      </c>
      <c r="B112" t="inlineStr">
        <is>
          <t>0.0_ALT</t>
        </is>
      </c>
      <c r="D112" t="inlineStr">
        <is>
          <t>UNIVERSAL (ex-BTC) — ENTRY/EXIT/REENTRY</t>
        </is>
      </c>
      <c r="G112">
        <f>IFERROR(VLOOKUP($A20&amp;"_"&amp;$B20,Results_Deltas!$A$2:$P$15000,5,FALSE),"")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IFERROR(VLOOKUP($A104&amp;"_"&amp;$B104,Results_Deltas!$A$2:$P$15000,5,FALSE),"")</f>
        <v/>
      </c>
      <c r="H113" t="inlineStr">
        <is>
          <t>Blanket (page end)</t>
        </is>
      </c>
      <c r="L113" t="inlineStr">
        <is>
          <t>NO</t>
        </is>
      </c>
      <c r="M113" t="n">
        <v>24</v>
      </c>
      <c r="N113" t="n">
        <v>0</v>
      </c>
    </row>
    <row r="114" s="67">
      <c r="A114" t="inlineStr">
        <is>
          <t>BTC_HARD_BLOCK_OTHER_ACCOUNTS</t>
        </is>
      </c>
      <c r="B114" t="inlineStr">
        <is>
          <t>0.0</t>
        </is>
      </c>
      <c r="D114" t="inlineStr">
        <is>
          <t>UNIVERSAL (ex-BTC) — ENTRY/EXIT/REENTRY</t>
        </is>
      </c>
      <c r="G114">
        <f>IFERROR(VLOOKUP($A21&amp;"_"&amp;$B21,Results_Deltas!$A$2:$P$15000,5,FALSE),"")</f>
        <v/>
      </c>
      <c r="H114" t="inlineStr">
        <is>
          <t>Blanket (page end)</t>
        </is>
      </c>
      <c r="L114" t="inlineStr">
        <is>
          <t>NO</t>
        </is>
      </c>
      <c r="M114" t="n">
        <v>24</v>
      </c>
      <c r="N114" t="n">
        <v>0</v>
      </c>
    </row>
    <row r="115" s="67">
      <c r="A115" t="inlineStr">
        <is>
          <t>BTC_HARD_BLOCK_OTHER_ACCOUNTS</t>
        </is>
      </c>
      <c r="B115" t="inlineStr">
        <is>
          <t>0.0_ALT</t>
        </is>
      </c>
      <c r="D115" t="inlineStr">
        <is>
          <t>UNIVERSAL (ex-BTC) — ENTRY/EXIT/REENTRY</t>
        </is>
      </c>
      <c r="G115">
        <f>IFERROR(VLOOKUP($A22&amp;"_"&amp;$B22,Results_Deltas!$A$2:$P$15000,5,FALSE),"")</f>
        <v/>
      </c>
      <c r="H115" t="inlineStr">
        <is>
          <t>Blanket (page end)</t>
        </is>
      </c>
      <c r="L115" t="inlineStr">
        <is>
          <t>NO</t>
        </is>
      </c>
      <c r="M115" t="n">
        <v>24</v>
      </c>
      <c r="N115" t="n">
        <v>0</v>
      </c>
    </row>
    <row r="116" s="67">
      <c r="A116" t="inlineStr">
        <is>
          <t>BTC_ROUND_BANDS_EACH_SIDE</t>
        </is>
      </c>
      <c r="B116" t="inlineStr">
        <is>
          <t>0.0</t>
        </is>
      </c>
      <c r="D116" t="inlineStr">
        <is>
          <t>UNIVERSAL (ex-BTC) — ENTRY/EXIT/REENTRY</t>
        </is>
      </c>
      <c r="G116">
        <f>IFERROR(VLOOKUP($A23&amp;"_"&amp;$B23,Results_Deltas!$A$2:$P$15000,5,FALSE),"")</f>
        <v/>
      </c>
      <c r="H116" t="inlineStr">
        <is>
          <t>Blanket (page end)</t>
        </is>
      </c>
      <c r="L116" t="inlineStr">
        <is>
          <t>NO</t>
        </is>
      </c>
      <c r="M116" t="n">
        <v>24</v>
      </c>
      <c r="N116" t="n">
        <v>0</v>
      </c>
    </row>
    <row r="117" s="67">
      <c r="A117" t="inlineStr">
        <is>
          <t>BTC_ROUND_BANDS_EACH_SIDE</t>
        </is>
      </c>
      <c r="B117" t="inlineStr">
        <is>
          <t>0.0_ALT</t>
        </is>
      </c>
      <c r="D117" t="inlineStr">
        <is>
          <t>UNIVERSAL (ex-BTC) — ENTRY/EXIT/REENTRY</t>
        </is>
      </c>
      <c r="G117">
        <f>IFERROR(VLOOKUP($A24&amp;"_"&amp;$B24,Results_Deltas!$A$2:$P$15000,5,FALSE),"")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IFERROR(VLOOKUP($A124&amp;"_"&amp;$B124,Results_Deltas!$A$2:$P$15000,5,FALSE),"")</f>
        <v/>
      </c>
      <c r="H118" t="inlineStr">
        <is>
          <t>Blanket (page end)</t>
        </is>
      </c>
      <c r="L118" t="inlineStr">
        <is>
          <t>NO</t>
        </is>
      </c>
      <c r="M118" t="n">
        <v>24</v>
      </c>
      <c r="N118" t="n">
        <v>0</v>
      </c>
    </row>
    <row r="119" ht="15.75" customHeight="1" s="67">
      <c r="A119" t="inlineStr">
        <is>
          <t>GR_FILTER_VEC_MIN_TFS</t>
        </is>
      </c>
      <c r="B119" t="inlineStr">
        <is>
          <t>0</t>
        </is>
      </c>
      <c r="D119" t="inlineStr">
        <is>
          <t>GLOBAL_CHECK</t>
        </is>
      </c>
      <c r="G119">
        <f>IFERROR(VLOOKUP($A84&amp;"_"&amp;$B84,Results_Deltas!$A$2:$P$15000,5,FALSE),"")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IFERROR(VLOOKUP($A13&amp;"_"&amp;$B13,Results_Deltas!$A$2:$P$15000,5,FALSE),"")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IFERROR(VLOOKUP($A118&amp;"_"&amp;$B118,Results_Deltas!$A$2:$P$15000,5,FALSE),"")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IFERROR(VLOOKUP($A72&amp;"_"&amp;$B72,Results_Deltas!$A$2:$P$15000,5,FALSE),"")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IFERROR(VLOOKUP($A73&amp;"_"&amp;$B73,Results_Deltas!$A$2:$P$15000,5,FALSE),"")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IFERROR(VLOOKUP($A74&amp;"_"&amp;$B74,Results_Deltas!$A$2:$P$15000,5,FALSE),"")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IFERROR(VLOOKUP($A75&amp;"_"&amp;$B75,Results_Deltas!$A$2:$P$15000,5,FALSE),"")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IFERROR(VLOOKUP($A76&amp;"_"&amp;$B76,Results_Deltas!$A$2:$P$15000,5,FALSE),"")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IFERROR(VLOOKUP($A77&amp;"_"&amp;$B77,Results_Deltas!$A$2:$P$15000,5,FALSE),"")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IFERROR(VLOOKUP($A9&amp;"_"&amp;$B9,Results_Deltas!$A$2:$P$15000,5,FALSE),"")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IFERROR(VLOOKUP($A71&amp;"_"&amp;$B71,Results_Deltas!$A$2:$P$15000,5,FALSE),"")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IFERROR(VLOOKUP($A123&amp;"_"&amp;$B123,Results_Deltas!$A$2:$P$15000,5,FALSE),"")</f>
        <v/>
      </c>
      <c r="H130" t="inlineStr">
        <is>
          <t>Blanket (page end)</t>
        </is>
      </c>
      <c r="L130" t="inlineStr">
        <is>
          <t>YES</t>
        </is>
      </c>
      <c r="M130" t="n">
        <v>9</v>
      </c>
      <c r="N130" t="n">
        <v>0</v>
      </c>
    </row>
    <row r="131" ht="15.75" customHeight="1" s="67">
      <c r="A131" t="inlineStr">
        <is>
          <t>HTF_GATE_MIN_CONFIRMATIONS</t>
        </is>
      </c>
      <c r="B131" t="inlineStr">
        <is>
          <t>0.0</t>
        </is>
      </c>
      <c r="D131" t="inlineStr">
        <is>
          <t>ENTRY, GLOBAL_CHECK, STOCKS_EXIT</t>
        </is>
      </c>
      <c r="G131">
        <f>IFERROR(VLOOKUP($A111&amp;"_"&amp;$B111,Results_Deltas!$A$2:$P$15000,5,FALSE),"")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IFERROR(VLOOKUP($A112&amp;"_"&amp;$B112,Results_Deltas!$A$2:$P$15000,5,FALSE),"")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IFERROR(VLOOKUP($A80&amp;"_"&amp;$B80,Results_Deltas!$A$2:$P$15000,5,FALSE),"")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IFERROR(VLOOKUP($A81&amp;"_"&amp;$B81,Results_Deltas!$A$2:$P$15000,5,FALSE),"")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IFERROR(VLOOKUP($A87&amp;"_"&amp;$B87,Results_Deltas!$A$2:$P$15000,5,FALSE),"")</f>
        <v/>
      </c>
      <c r="H135" t="inlineStr">
        <is>
          <t>Blanket (page end)</t>
        </is>
      </c>
      <c r="L135" t="inlineStr">
        <is>
          <t>YES</t>
        </is>
      </c>
      <c r="M135" t="n">
        <v>9</v>
      </c>
      <c r="N135" t="n">
        <v>0</v>
      </c>
    </row>
    <row r="136" ht="15.75" customHeight="1" s="67">
      <c r="A136" t="inlineStr">
        <is>
          <t>GOLDEN_RULE_BASE_USD</t>
        </is>
      </c>
      <c r="B136" t="inlineStr">
        <is>
          <t>0.0_ALT</t>
        </is>
      </c>
      <c r="D136" t="inlineStr">
        <is>
          <t>GLOBAL_CHECK, STOCKS_EXIT</t>
        </is>
      </c>
      <c r="G136">
        <f>IFERROR(VLOOKUP($A79&amp;"_"&amp;$B79,Results_Deltas!$A$2:$P$15000,5,FALSE),"")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IFERROR(VLOOKUP($A78&amp;"_"&amp;$B78,Results_Deltas!$A$2:$P$15000,5,FALSE),"")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IFERROR(VLOOKUP($A117&amp;"_"&amp;$B117,Results_Deltas!$A$2:$P$15000,5,FALSE),"")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IFERROR(VLOOKUP($A103&amp;"_"&amp;$B103,Results_Deltas!$A$2:$P$15000,5,FALSE),"")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IFERROR(VLOOKUP($A119&amp;"_"&amp;$B119,Results_Deltas!$A$2:$P$15000,5,FALSE),"")</f>
        <v/>
      </c>
      <c r="H140" t="inlineStr">
        <is>
          <t>Blanket (page end)</t>
        </is>
      </c>
      <c r="L140" t="inlineStr">
        <is>
          <t>YES</t>
        </is>
      </c>
      <c r="M140" t="n">
        <v>9</v>
      </c>
      <c r="N140" t="n">
        <v>0</v>
      </c>
    </row>
    <row r="141" ht="15.75" customHeight="1" s="67">
      <c r="A141" t="inlineStr">
        <is>
          <t>GR_FILTER_VEC_ENABLED</t>
        </is>
      </c>
      <c r="B141" t="inlineStr">
        <is>
          <t>False</t>
        </is>
      </c>
      <c r="D141" t="inlineStr">
        <is>
          <t>GLOBAL_CHECK</t>
        </is>
      </c>
      <c r="G141">
        <f>IFERROR(VLOOKUP($A82&amp;"_"&amp;$B82,Results_Deltas!$A$2:$P$15000,5,FALSE),"")</f>
        <v/>
      </c>
      <c r="H141" t="inlineStr">
        <is>
          <t>Blanket (page end)</t>
        </is>
      </c>
      <c r="L141" t="inlineStr">
        <is>
          <t>YES</t>
        </is>
      </c>
      <c r="M141" t="n">
        <v>3</v>
      </c>
      <c r="N141" t="n">
        <v>0</v>
      </c>
    </row>
    <row r="142" ht="15.75" customHeight="1" s="67">
      <c r="A142" t="inlineStr">
        <is>
          <t>DUP_GUARD_FILTER_TF</t>
        </is>
      </c>
      <c r="B142" t="inlineStr">
        <is>
          <t>15m</t>
        </is>
      </c>
      <c r="D142" t="inlineStr">
        <is>
          <t>GLOBAL_CHECK</t>
        </is>
      </c>
      <c r="G142">
        <f>IFERROR(VLOOKUP($A46&amp;"_"&amp;$B46,Results_Deltas!$A$2:$P$15000,5,FALSE),"")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IFERROR(VLOOKUP($A174&amp;"_"&amp;$B174,Results_Deltas!$A$2:$P$15000,5,FALSE),"")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IFERROR(VLOOKUP($A51&amp;"_"&amp;$B51,Results_Deltas!$A$2:$P$15000,5,FALSE),"")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IFERROR(VLOOKUP($A162&amp;"_"&amp;$B162,Results_Deltas!$A$2:$P$15000,5,FALSE),"")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IFERROR(VLOOKUP($A144&amp;"_"&amp;$B144,Results_Deltas!$A$2:$P$15000,5,FALSE),"")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IFERROR(VLOOKUP($A145&amp;"_"&amp;$B145,Results_Deltas!$A$2:$P$15000,5,FALSE),"")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IFERROR(VLOOKUP($A96&amp;"_"&amp;$B96,Results_Deltas!$A$2:$P$15000,5,FALSE),"")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IFERROR(VLOOKUP($A56&amp;"_"&amp;$B56,Results_Deltas!$A$2:$P$15000,5,FALSE),"")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IFERROR(VLOOKUP($A55&amp;"_"&amp;$B55,Results_Deltas!$A$2:$P$15000,5,FALSE),"")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IFERROR(VLOOKUP($A100&amp;"_"&amp;$B100,Results_Deltas!$A$2:$P$15000,5,FALSE),"")</f>
        <v/>
      </c>
      <c r="H151" t="inlineStr">
        <is>
          <t>Blanket (page end)</t>
        </is>
      </c>
      <c r="L151" t="inlineStr">
        <is>
          <t>NO</t>
        </is>
      </c>
      <c r="M151" t="n">
        <v>24</v>
      </c>
      <c r="N151" t="n">
        <v>0</v>
      </c>
    </row>
    <row r="152" ht="15.75" customHeight="1" s="67">
      <c r="A152" t="inlineStr">
        <is>
          <t>COOLDOWN_LOCKS_FILTER_TF</t>
        </is>
      </c>
      <c r="B152" t="inlineStr">
        <is>
          <t>15m</t>
        </is>
      </c>
      <c r="D152" t="inlineStr">
        <is>
          <t>GLOBAL_CHECK</t>
        </is>
      </c>
      <c r="G152">
        <f>IFERROR(VLOOKUP($A29&amp;"_"&amp;$B29,Results_Deltas!$A$2:$P$15000,5,FALSE),"")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IFERROR(VLOOKUP($A95&amp;"_"&amp;$B95,Results_Deltas!$A$2:$P$15000,5,FALSE),"")</f>
        <v/>
      </c>
      <c r="H153" t="inlineStr">
        <is>
          <t>Blanket (page end)</t>
        </is>
      </c>
      <c r="L153" t="inlineStr">
        <is>
          <t>NO</t>
        </is>
      </c>
      <c r="M153" t="n">
        <v>9</v>
      </c>
      <c r="N153" t="n">
        <v>0</v>
      </c>
    </row>
    <row r="154" ht="15.75" customHeight="1" s="67">
      <c r="A154" t="inlineStr">
        <is>
          <t>EZ_MANAGE_THROTTLER_RATE</t>
        </is>
      </c>
      <c r="B154" t="inlineStr">
        <is>
          <t>0.0</t>
        </is>
      </c>
      <c r="D154" t="inlineStr">
        <is>
          <t>GLOBAL_CHECK, STOCKS_EXIT</t>
        </is>
      </c>
      <c r="G154">
        <f>IFERROR(VLOOKUP($A57&amp;"_"&amp;$B57,Results_Deltas!$A$2:$P$15000,5,FALSE),"")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IFERROR(VLOOKUP($A58&amp;"_"&amp;$B58,Results_Deltas!$A$2:$P$15000,5,FALSE),"")</f>
        <v/>
      </c>
      <c r="H155" t="inlineStr">
        <is>
          <t>Blanket (page end)</t>
        </is>
      </c>
      <c r="L155" t="inlineStr">
        <is>
          <t>NO</t>
        </is>
      </c>
      <c r="M155" t="n">
        <v>24</v>
      </c>
      <c r="N155" t="n">
        <v>0</v>
      </c>
    </row>
    <row r="156" s="67">
      <c r="A156" t="inlineStr">
        <is>
          <t>BAND_ARROW_ENABLED</t>
        </is>
      </c>
      <c r="B156" t="inlineStr">
        <is>
          <t>False</t>
        </is>
      </c>
      <c r="D156" t="inlineStr">
        <is>
          <t>GLOBAL_CHECK, STOCKS_EXIT</t>
        </is>
      </c>
      <c r="G156">
        <f>IFERROR(VLOOKUP($A17&amp;"_"&amp;$B17,Results_Deltas!$A$2:$P$15000,5,FALSE),"")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IFERROR(VLOOKUP($A170&amp;"_"&amp;$B170,Results_Deltas!$A$2:$P$15000,5,FALSE),"")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IFERROR(VLOOKUP($A110&amp;"_"&amp;$B110,Results_Deltas!$A$2:$P$15000,5,FALSE),"")</f>
        <v/>
      </c>
      <c r="H158" t="inlineStr">
        <is>
          <t>Blanket (page end)</t>
        </is>
      </c>
      <c r="L158" t="inlineStr">
        <is>
          <t>NO</t>
        </is>
      </c>
      <c r="M158" t="n">
        <v>24</v>
      </c>
      <c r="N158" t="n">
        <v>0</v>
      </c>
    </row>
    <row r="159" ht="15.75" customHeight="1" s="67">
      <c r="A159" t="inlineStr">
        <is>
          <t>DELTA_REENTRY_FILTER_ENABLED</t>
        </is>
      </c>
      <c r="B159" t="inlineStr">
        <is>
          <t>False</t>
        </is>
      </c>
      <c r="D159" t="inlineStr">
        <is>
          <t>ENTRY, GLOBAL_CHECK, STOCKS_EXIT</t>
        </is>
      </c>
      <c r="G159">
        <f>IFERROR(VLOOKUP($A40&amp;"_"&amp;$B40,Results_Deltas!$A$2:$P$15000,5,FALSE),"")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IFERROR(VLOOKUP($A109&amp;"_"&amp;$B109,Results_Deltas!$A$2:$P$15000,5,FALSE),"")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IFERROR(VLOOKUP($A139&amp;"_"&amp;$B139,Results_Deltas!$A$2:$P$15000,5,FALSE),"")</f>
        <v/>
      </c>
      <c r="H161" t="inlineStr">
        <is>
          <t>Blanket (page end)</t>
        </is>
      </c>
      <c r="L161" t="inlineStr">
        <is>
          <t>NO</t>
        </is>
      </c>
      <c r="M161" t="n">
        <v>24</v>
      </c>
      <c r="N161" t="n">
        <v>0</v>
      </c>
    </row>
    <row r="162" ht="15.75" customHeight="1" s="67">
      <c r="A162" t="inlineStr">
        <is>
          <t>MARKET_QUALITY_SCORE_ENABLED</t>
        </is>
      </c>
      <c r="B162" t="inlineStr">
        <is>
          <t>False</t>
        </is>
      </c>
      <c r="D162" t="inlineStr">
        <is>
          <t>ENTRY, GLOBAL_CHECK, STOCKS_EXIT</t>
        </is>
      </c>
      <c r="G162">
        <f>IFERROR(VLOOKUP($A142&amp;"_"&amp;$B142,Results_Deltas!$A$2:$P$15000,5,FALSE),"")</f>
        <v/>
      </c>
      <c r="H162" t="inlineStr">
        <is>
          <t>Blanket (page end)</t>
        </is>
      </c>
      <c r="L162" t="inlineStr">
        <is>
          <t>YES</t>
        </is>
      </c>
      <c r="M162" t="n">
        <v>9</v>
      </c>
      <c r="N162" t="n">
        <v>0</v>
      </c>
    </row>
    <row r="163" ht="15.75" customHeight="1" s="67">
      <c r="A163" t="inlineStr">
        <is>
          <t>HTF_GATE_BYPASS_RZ</t>
        </is>
      </c>
      <c r="B163" t="inlineStr">
        <is>
          <t>0.0</t>
        </is>
      </c>
      <c r="D163" t="inlineStr">
        <is>
          <t>ENTRY, GLOBAL_CHECK, STOCKS_EXIT</t>
        </is>
      </c>
      <c r="G163">
        <f>IFERROR(VLOOKUP($A107&amp;"_"&amp;$B107,Results_Deltas!$A$2:$P$15000,5,FALSE),"")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IFERROR(VLOOKUP($A108&amp;"_"&amp;$B108,Results_Deltas!$A$2:$P$15000,5,FALSE),"")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IFERROR(VLOOKUP($A105&amp;"_"&amp;$B105,Results_Deltas!$A$2:$P$15000,5,FALSE),"")</f>
        <v/>
      </c>
      <c r="H165" t="inlineStr">
        <is>
          <t>Blanket (page end)</t>
        </is>
      </c>
      <c r="L165" t="inlineStr">
        <is>
          <t>YES</t>
        </is>
      </c>
      <c r="M165" t="n">
        <v>9</v>
      </c>
      <c r="N165" t="n">
        <v>0</v>
      </c>
    </row>
    <row r="166" ht="15.75" customHeight="1" s="67">
      <c r="A166" t="inlineStr">
        <is>
          <t>MTF_FILTER_STRONG_BUY_QUICK_BYPASS</t>
        </is>
      </c>
      <c r="B166" t="inlineStr">
        <is>
          <t>0.0</t>
        </is>
      </c>
      <c r="D166" t="inlineStr">
        <is>
          <t>GLOBAL_CHECK, STOCKS_EXIT</t>
        </is>
      </c>
      <c r="G166">
        <f>IFERROR(VLOOKUP($A150&amp;"_"&amp;$B150,Results_Deltas!$A$2:$P$15000,5,FALSE),"")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IFERROR(VLOOKUP($A151&amp;"_"&amp;$B151,Results_Deltas!$A$2:$P$15000,5,FALSE),"")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IFERROR(VLOOKUP($A168&amp;"_"&amp;$B168,Results_Deltas!$A$2:$P$15000,5,FALSE),"")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IFERROR(VLOOKUP($A169&amp;"_"&amp;$B169,Results_Deltas!$A$2:$P$15000,5,FALSE),"")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IFERROR(VLOOKUP($A136&amp;"_"&amp;$B136,Results_Deltas!$A$2:$P$15000,5,FALSE),"")</f>
        <v/>
      </c>
      <c r="H170" t="inlineStr">
        <is>
          <t>Blanket (page end)</t>
        </is>
      </c>
      <c r="L170" t="inlineStr">
        <is>
          <t>YES</t>
        </is>
      </c>
      <c r="M170" t="n">
        <v>24</v>
      </c>
      <c r="N170" t="n">
        <v>0</v>
      </c>
    </row>
    <row r="171" ht="15.75" customHeight="1" s="67">
      <c r="A171" t="inlineStr">
        <is>
          <t>MANDATORY_REENTRY_WT_FILTER_MIN_VELOCITY</t>
        </is>
      </c>
      <c r="B171" t="inlineStr">
        <is>
          <t>0.0_ALT</t>
        </is>
      </c>
      <c r="D171" t="inlineStr">
        <is>
          <t>GLOBAL_CHECK, STOCKS_EXIT</t>
        </is>
      </c>
      <c r="G171">
        <f>IFERROR(VLOOKUP($A137&amp;"_"&amp;$B137,Results_Deltas!$A$2:$P$15000,5,FALSE),"")</f>
        <v/>
      </c>
      <c r="H171" t="inlineStr">
        <is>
          <t>Blanket (page end)</t>
        </is>
      </c>
      <c r="L171" t="inlineStr">
        <is>
          <t>NO</t>
        </is>
      </c>
      <c r="M171" t="n">
        <v>24</v>
      </c>
      <c r="N171" t="n">
        <v>0</v>
      </c>
    </row>
    <row r="172" ht="15.75" customHeight="1" s="67">
      <c r="A172" t="inlineStr">
        <is>
          <t>HTF_TREND_VETO_BYPASS_REASONS</t>
        </is>
      </c>
      <c r="B172" t="inlineStr">
        <is>
          <t>0.0</t>
        </is>
      </c>
      <c r="D172" t="inlineStr">
        <is>
          <t>GLOBAL_CHECK, STOCKS_EXIT</t>
        </is>
      </c>
      <c r="G172">
        <f>IFERROR(VLOOKUP($A115&amp;"_"&amp;$B115,Results_Deltas!$A$2:$P$15000,5,FALSE),"")</f>
        <v/>
      </c>
      <c r="H172" t="inlineStr">
        <is>
          <t>Blanket (page end)</t>
        </is>
      </c>
      <c r="L172" t="inlineStr">
        <is>
          <t>NO</t>
        </is>
      </c>
      <c r="M172" t="n">
        <v>24</v>
      </c>
      <c r="N172" t="n">
        <v>0</v>
      </c>
    </row>
    <row r="173" ht="15.75" customHeight="1" s="67">
      <c r="A173" t="inlineStr">
        <is>
          <t>NEWBORN_LOSS_KILL_GAIN_THRESHOLD_PCT</t>
        </is>
      </c>
      <c r="B173" t="inlineStr">
        <is>
          <t>0</t>
        </is>
      </c>
      <c r="D173" t="inlineStr">
        <is>
          <t>AUGMENT, EXIT, GLOBAL_CHECK, REDUCE, STOCKS_EXIT</t>
        </is>
      </c>
      <c r="G173">
        <f>IFERROR(VLOOKUP($A164&amp;"_"&amp;$B164,Results_Deltas!$A$2:$P$15000,5,FALSE),"")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IFERROR(VLOOKUP($A116&amp;"_"&amp;$B116,Results_Deltas!$A$2:$P$15000,5,FALSE),"")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IFERROR(VLOOKUP($A138&amp;"_"&amp;$B138,Results_Deltas!$A$2:$P$15000,5,FALSE),"")</f>
        <v/>
      </c>
      <c r="H175" t="inlineStr">
        <is>
          <t>Blanket (page end)</t>
        </is>
      </c>
      <c r="L175" t="inlineStr">
        <is>
          <t>YES</t>
        </is>
      </c>
      <c r="M175" t="n">
        <v>9</v>
      </c>
      <c r="N175" t="n">
        <v>0</v>
      </c>
    </row>
    <row r="176" ht="15.75" customHeight="1" s="67">
      <c r="A176" t="inlineStr">
        <is>
          <t>HTF_TREND_VETO_BYPASS_ENABLED</t>
        </is>
      </c>
      <c r="B176" t="inlineStr">
        <is>
          <t>False</t>
        </is>
      </c>
      <c r="D176" t="inlineStr">
        <is>
          <t>GLOBAL_CHECK, STOCKS_EXIT</t>
        </is>
      </c>
      <c r="G176">
        <f>IFERROR(VLOOKUP($A113&amp;"_"&amp;$B113,Results_Deltas!$A$2:$P$15000,5,FALSE),"")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IFERROR(VLOOKUP($A125&amp;"_"&amp;$B125,Results_Deltas!$A$2:$P$15000,5,FALSE),"")</f>
        <v/>
      </c>
      <c r="H177" t="inlineStr">
        <is>
          <t>Blanket (page end)</t>
        </is>
      </c>
      <c r="L177" t="inlineStr">
        <is>
          <t>YES</t>
        </is>
      </c>
      <c r="M177" t="n">
        <v>9</v>
      </c>
      <c r="N177" t="n">
        <v>0</v>
      </c>
    </row>
    <row r="178" ht="15.75" customHeight="1" s="67">
      <c r="A178" t="inlineStr">
        <is>
          <t>BB_EXIT_AT_LOSS_TF</t>
        </is>
      </c>
      <c r="B178" t="inlineStr">
        <is>
          <t>4h</t>
        </is>
      </c>
      <c r="D178" t="inlineStr">
        <is>
          <t>EXIT_BB</t>
        </is>
      </c>
      <c r="G178">
        <f>IFERROR(VLOOKUP($A181&amp;"_"&amp;$B181,Results_Deltas!$A$2:$P$15000,5,FALSE),"")</f>
        <v/>
      </c>
      <c r="L178" t="inlineStr">
        <is>
          <t>NO</t>
        </is>
      </c>
      <c r="M178" t="n">
        <v>0</v>
      </c>
      <c r="N178" t="n">
        <v>0</v>
      </c>
    </row>
    <row r="179" ht="15.75" customHeight="1" s="67">
      <c r="A179" t="inlineStr">
        <is>
          <t>BB_EXIT_AT_LOSS_TF</t>
        </is>
      </c>
      <c r="B179" t="inlineStr">
        <is>
          <t>OFF</t>
        </is>
      </c>
      <c r="D179" t="inlineStr">
        <is>
          <t>EXIT_BB</t>
        </is>
      </c>
      <c r="G179">
        <f>IFERROR(VLOOKUP($A178&amp;"_"&amp;$B178,Results_Deltas!$A$2:$P$15000,5,FALSE),"")</f>
        <v/>
      </c>
      <c r="L179" t="inlineStr">
        <is>
          <t>YES</t>
        </is>
      </c>
      <c r="M179" t="n">
        <v>0</v>
      </c>
      <c r="N179" t="n">
        <v>0</v>
      </c>
    </row>
    <row r="180" ht="15.75" customHeight="1" s="67">
      <c r="A180" t="inlineStr">
        <is>
          <t>BB_EXIT_AT_LOSS_TF</t>
        </is>
      </c>
      <c r="B180" t="inlineStr">
        <is>
          <t>15m</t>
        </is>
      </c>
      <c r="D180" t="inlineStr">
        <is>
          <t>EXIT_BB</t>
        </is>
      </c>
      <c r="G180">
        <f>IFERROR(VLOOKUP($A179&amp;"_"&amp;$B179,Results_Deltas!$A$2:$P$15000,5,FALSE),"")</f>
        <v/>
      </c>
      <c r="L180" t="inlineStr">
        <is>
          <t>NO</t>
        </is>
      </c>
      <c r="M180" t="n">
        <v>0</v>
      </c>
      <c r="N180" t="n">
        <v>0</v>
      </c>
    </row>
    <row r="181" ht="15.75" customHeight="1" s="67">
      <c r="A181" t="inlineStr">
        <is>
          <t>BB_EXIT_AT_LOSS_TF</t>
        </is>
      </c>
      <c r="B181" t="inlineStr">
        <is>
          <t>1h</t>
        </is>
      </c>
      <c r="D181" t="inlineStr">
        <is>
          <t>EXIT_BB</t>
        </is>
      </c>
      <c r="G181">
        <f>IFERROR(VLOOKUP($A180&amp;"_"&amp;$B180,Results_Deltas!$A$2:$P$15000,5,FALSE),"")</f>
        <v/>
      </c>
      <c r="L181" t="inlineStr">
        <is>
          <t>NO</t>
        </is>
      </c>
      <c r="M181" t="n">
        <v>0</v>
      </c>
      <c r="N181" t="n">
        <v>0</v>
      </c>
    </row>
    <row r="182" ht="15.75" customHeight="1" s="67">
      <c r="A182" t="inlineStr">
        <is>
          <t>BB_EXIT_AT_LOSS_TF</t>
        </is>
      </c>
      <c r="B182" t="inlineStr">
        <is>
          <t>D</t>
        </is>
      </c>
      <c r="D182" t="inlineStr">
        <is>
          <t>EXIT_BB</t>
        </is>
      </c>
      <c r="G182">
        <f>IFERROR(VLOOKUP($A182&amp;"_"&amp;$B182,Results_Deltas!$A$2:$P$15000,5,FALSE),"")</f>
        <v/>
      </c>
      <c r="L182" t="inlineStr">
        <is>
          <t>NO</t>
        </is>
      </c>
      <c r="M182" t="n">
        <v>0</v>
      </c>
      <c r="N182" t="n">
        <v>0</v>
      </c>
    </row>
    <row r="183" ht="15.75" customHeight="1" s="67">
      <c r="A183" t="inlineStr">
        <is>
          <t>ULTIMATE_DC_4H_STOP_ENABLED</t>
        </is>
      </c>
      <c r="B183" t="inlineStr">
        <is>
          <t>True</t>
        </is>
      </c>
      <c r="D183" t="inlineStr">
        <is>
          <t>GLOBAL, CRYPTO_EXIT, STOCKS_EXIT</t>
        </is>
      </c>
      <c r="H183"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IFERROR(VLOOKUP($A134&amp;"_"&amp;$B134,Results_Deltas!$A$2:$P$15000,5,FALSE),"")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IFERROR(VLOOKUP($A118&amp;"_"&amp;$B118,Results_Deltas!$A$2:$P$15000,5,FALSE),"")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IFERROR(VLOOKUP($A233&amp;"_"&amp;$B233,Results_Deltas!$A$2:$P$15000,5,FALSE),"")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IFERROR(VLOOKUP($A234&amp;"_"&amp;$B234,Results_Deltas!$A$2:$P$15000,5,FALSE),"")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IFERROR(VLOOKUP($A143&amp;"_"&amp;$B143,Results_Deltas!$A$2:$P$15000,5,FALSE),"")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IFERROR(VLOOKUP($A141&amp;"_"&amp;$B141,Results_Deltas!$A$2:$P$15000,5,FALSE),"")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IFERROR(VLOOKUP($A144&amp;"_"&amp;$B144,Results_Deltas!$A$2:$P$15000,5,FALSE),"")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IFERROR(VLOOKUP($A138&amp;"_"&amp;$B138,Results_Deltas!$A$2:$P$15000,5,FALSE),"")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IFERROR(VLOOKUP($A251&amp;"_"&amp;$B251,Results_Deltas!$A$2:$P$15000,5,FALSE),"")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IFERROR(VLOOKUP($A100&amp;"_"&amp;$B100,Results_Deltas!$A$2:$P$15000,5,FALSE),"")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IFERROR(VLOOKUP($A139&amp;"_"&amp;$B139,Results_Deltas!$A$2:$P$15000,5,FALSE),"")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IFERROR(VLOOKUP($A101&amp;"_"&amp;$B101,Results_Deltas!$A$2:$P$15000,5,FALSE),"")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IFERROR(VLOOKUP($A137&amp;"_"&amp;$B137,Results_Deltas!$A$2:$P$15000,5,FALSE),"")</f>
        <v/>
      </c>
      <c r="H15" t="inlineStr">
        <is>
          <t>Blanket (page end)</t>
        </is>
      </c>
      <c r="L15" t="inlineStr">
        <is>
          <t>YES</t>
        </is>
      </c>
      <c r="M15" t="n">
        <v>25</v>
      </c>
      <c r="N15" t="n">
        <v>0</v>
      </c>
    </row>
    <row r="16" ht="10.5" customHeight="1" s="67">
      <c r="A16" t="inlineStr">
        <is>
          <t>FUNDING_GATE_FILTER_TF</t>
        </is>
      </c>
      <c r="B16" t="inlineStr">
        <is>
          <t>D</t>
        </is>
      </c>
      <c r="D16" t="inlineStr">
        <is>
          <t>GLOBAL_CHECK</t>
        </is>
      </c>
      <c r="G16">
        <f>IFERROR(VLOOKUP($A142&amp;"_"&amp;$B142,Results_Deltas!$A$2:$P$15000,5,FALSE),"")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IFERROR(VLOOKUP($A99&amp;"_"&amp;$B99,Results_Deltas!$A$2:$P$15000,5,FALSE),"")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IFERROR(VLOOKUP($A135&amp;"_"&amp;$B135,Results_Deltas!$A$2:$P$15000,5,FALSE),"")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IFERROR(VLOOKUP($A109&amp;"_"&amp;$B109,Results_Deltas!$A$2:$P$15000,5,FALSE),"")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IFERROR(VLOOKUP($A256&amp;"_"&amp;$B256,Results_Deltas!$A$2:$P$15000,5,FALSE),"")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IFERROR(VLOOKUP($A116&amp;"_"&amp;$B116,Results_Deltas!$A$2:$P$15000,5,FALSE),"")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IFERROR(VLOOKUP($A175&amp;"_"&amp;$B175,Results_Deltas!$A$2:$P$15000,5,FALSE),"")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IFERROR(VLOOKUP($A119&amp;"_"&amp;$B119,Results_Deltas!$A$2:$P$15000,5,FALSE),"")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IFERROR(VLOOKUP($A249&amp;"_"&amp;$B249,Results_Deltas!$A$2:$P$15000,5,FALSE),"")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IFERROR(VLOOKUP($A257&amp;"_"&amp;$B257,Results_Deltas!$A$2:$P$15000,5,FALSE),"")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IFERROR(VLOOKUP($A172&amp;"_"&amp;$B172,Results_Deltas!$A$2:$P$15000,5,FALSE),"")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IFERROR(VLOOKUP($A90&amp;"_"&amp;$B90,Results_Deltas!$A$2:$P$15000,5,FALSE),"")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IFERROR(VLOOKUP($A102&amp;"_"&amp;$B102,Results_Deltas!$A$2:$P$15000,5,FALSE),"")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IFERROR(VLOOKUP($A229&amp;"_"&amp;$B229,Results_Deltas!$A$2:$P$15000,5,FALSE),"")</f>
        <v/>
      </c>
      <c r="H29" t="inlineStr">
        <is>
          <t>Blanket (page end)</t>
        </is>
      </c>
      <c r="L29" t="inlineStr">
        <is>
          <t>YES</t>
        </is>
      </c>
      <c r="M29" t="n">
        <v>26</v>
      </c>
      <c r="N29" t="n">
        <v>0</v>
      </c>
    </row>
    <row r="30" ht="15.75" customHeight="1" s="67">
      <c r="A30" t="inlineStr">
        <is>
          <t>MTS_BOTTOM_BONUS_THRESHOLD</t>
        </is>
      </c>
      <c r="B30" t="inlineStr">
        <is>
          <t>25</t>
        </is>
      </c>
      <c r="D30" t="inlineStr">
        <is>
          <t>ENTRY, GLOBAL_CHECK, STOCKS_EXIT</t>
        </is>
      </c>
      <c r="G30">
        <f>IFERROR(VLOOKUP($A228&amp;"_"&amp;$B228,Results_Deltas!$A$2:$P$15000,5,FALSE),"")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IFERROR(VLOOKUP($A166&amp;"_"&amp;$B166,Results_Deltas!$A$2:$P$15000,5,FALSE),"")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IFERROR(VLOOKUP($A110&amp;"_"&amp;$B110,Results_Deltas!$A$2:$P$15000,5,FALSE),"")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IFERROR(VLOOKUP($A84&amp;"_"&amp;$B84,Results_Deltas!$A$2:$P$15000,5,FALSE),"")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IFERROR(VLOOKUP($A86&amp;"_"&amp;$B86,Results_Deltas!$A$2:$P$15000,5,FALSE),"")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IFERROR(VLOOKUP($A230&amp;"_"&amp;$B230,Results_Deltas!$A$2:$P$15000,5,FALSE),"")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IFERROR(VLOOKUP($A133&amp;"_"&amp;$B133,Results_Deltas!$A$2:$P$15000,5,FALSE),"")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IFERROR(VLOOKUP($A92&amp;"_"&amp;$B92,Results_Deltas!$A$2:$P$15000,5,FALSE),"")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IFERROR(VLOOKUP($A117&amp;"_"&amp;$B117,Results_Deltas!$A$2:$P$15000,5,FALSE),"")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IFERROR(VLOOKUP($A167&amp;"_"&amp;$B167,Results_Deltas!$A$2:$P$15000,5,FALSE),"")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IFERROR(VLOOKUP($A173&amp;"_"&amp;$B173,Results_Deltas!$A$2:$P$15000,5,FALSE),"")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IFERROR(VLOOKUP($A226&amp;"_"&amp;$B226,Results_Deltas!$A$2:$P$15000,5,FALSE),"")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IFERROR(VLOOKUP($A227&amp;"_"&amp;$B227,Results_Deltas!$A$2:$P$15000,5,FALSE),"")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IFERROR(VLOOKUP($A89&amp;"_"&amp;$B89,Results_Deltas!$A$2:$P$15000,5,FALSE),"")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IFERROR(VLOOKUP($A196&amp;"_"&amp;$B196,Results_Deltas!$A$2:$P$15000,5,FALSE),"")</f>
        <v/>
      </c>
      <c r="H44" t="inlineStr">
        <is>
          <t>Blanket (page end)</t>
        </is>
      </c>
      <c r="L44" t="inlineStr">
        <is>
          <t>YES</t>
        </is>
      </c>
      <c r="M44" t="n">
        <v>27</v>
      </c>
      <c r="N44" t="n">
        <v>0</v>
      </c>
    </row>
    <row r="45" ht="15.75" customHeight="1" s="67">
      <c r="A45" t="inlineStr">
        <is>
          <t>LH_HL_FILTER_MODE</t>
        </is>
      </c>
      <c r="B45" t="inlineStr">
        <is>
          <t>STRICT_2BAR</t>
        </is>
      </c>
      <c r="D45" t="inlineStr">
        <is>
          <t>ENTRY, GLOBAL_CHECK, STOCKS_EXIT</t>
        </is>
      </c>
      <c r="G45">
        <f>IFERROR(VLOOKUP($A195&amp;"_"&amp;$B195,Results_Deltas!$A$2:$P$15000,5,FALSE),"")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IFERROR(VLOOKUP($A164&amp;"_"&amp;$B164,Results_Deltas!$A$2:$P$15000,5,FALSE),"")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IFERROR(VLOOKUP($A217&amp;"_"&amp;$B217,Results_Deltas!$A$2:$P$15000,5,FALSE),"")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IFERROR(VLOOKUP($A163&amp;"_"&amp;$B163,Results_Deltas!$A$2:$P$15000,5,FALSE),"")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IFERROR(VLOOKUP($A250&amp;"_"&amp;$B250,Results_Deltas!$A$2:$P$15000,5,FALSE),"")</f>
        <v/>
      </c>
      <c r="H49" t="inlineStr">
        <is>
          <t>Blanket (page end)</t>
        </is>
      </c>
      <c r="L49" t="inlineStr">
        <is>
          <t>YES</t>
        </is>
      </c>
      <c r="M49" t="n">
        <v>24</v>
      </c>
      <c r="N49" t="n">
        <v>0</v>
      </c>
    </row>
    <row r="50" ht="10.5" customHeight="1" s="67">
      <c r="A50" t="inlineStr">
        <is>
          <t>EMA_BLANKET_FILTER_MIN_TFS</t>
        </is>
      </c>
      <c r="B50" t="inlineStr">
        <is>
          <t>2</t>
        </is>
      </c>
      <c r="D50" t="inlineStr">
        <is>
          <t>GLOBAL_CHECK</t>
        </is>
      </c>
      <c r="G50">
        <f>IFERROR(VLOOKUP($A127&amp;"_"&amp;$B127,Results_Deltas!$A$2:$P$15000,5,FALSE),"")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IFERROR(VLOOKUP($A231&amp;"_"&amp;$B231,Results_Deltas!$A$2:$P$15000,5,FALSE),"")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IFERROR(VLOOKUP($A232&amp;"_"&amp;$B232,Results_Deltas!$A$2:$P$15000,5,FALSE),"")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IFERROR(VLOOKUP($A105&amp;"_"&amp;$B105,Results_Deltas!$A$2:$P$15000,5,FALSE),"")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IFERROR(VLOOKUP($A106&amp;"_"&amp;$B106,Results_Deltas!$A$2:$P$15000,5,FALSE),"")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IFERROR(VLOOKUP($A214&amp;"_"&amp;$B214,Results_Deltas!$A$2:$P$15000,5,FALSE),"")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IFERROR(VLOOKUP($A215&amp;"_"&amp;$B215,Results_Deltas!$A$2:$P$15000,5,FALSE),"")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IFERROR(VLOOKUP($A121&amp;"_"&amp;$B121,Results_Deltas!$A$2:$P$15000,5,FALSE),"")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IFERROR(VLOOKUP($A157&amp;"_"&amp;$B157,Results_Deltas!$A$2:$P$15000,5,FALSE),"")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IFERROR(VLOOKUP($A126&amp;"_"&amp;$B126,Results_Deltas!$A$2:$P$15000,5,FALSE),"")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IFERROR(VLOOKUP($A122&amp;"_"&amp;$B122,Results_Deltas!$A$2:$P$15000,5,FALSE),"")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IFERROR(VLOOKUP($A252&amp;"_"&amp;$B252,Results_Deltas!$A$2:$P$15000,5,FALSE),"")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IFERROR(VLOOKUP($A235&amp;"_"&amp;$B235,Results_Deltas!$A$2:$P$15000,5,FALSE),"")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IFERROR(VLOOKUP($A124&amp;"_"&amp;$B124,Results_Deltas!$A$2:$P$15000,5,FALSE),"")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IFERROR(VLOOKUP($A160&amp;"_"&amp;$B160,Results_Deltas!$A$2:$P$15000,5,FALSE),"")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IFERROR(VLOOKUP($A222&amp;"_"&amp;$B222,Results_Deltas!$A$2:$P$15000,5,FALSE),"")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IFERROR(VLOOKUP($A180&amp;"_"&amp;$B180,Results_Deltas!$A$2:$P$15000,5,FALSE),"")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IFERROR(VLOOKUP($A237&amp;"_"&amp;$B237,Results_Deltas!$A$2:$P$15000,5,FALSE),"")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IFERROR(VLOOKUP($A209&amp;"_"&amp;$B209,Results_Deltas!$A$2:$P$15000,5,FALSE),"")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IFERROR(VLOOKUP($A162&amp;"_"&amp;$B162,Results_Deltas!$A$2:$P$15000,5,FALSE),"")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IFERROR(VLOOKUP($A245&amp;"_"&amp;$B245,Results_Deltas!$A$2:$P$15000,5,FALSE),"")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IFERROR(VLOOKUP($A194&amp;"_"&amp;$B194,Results_Deltas!$A$2:$P$15000,5,FALSE),"")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IFERROR(VLOOKUP($A88&amp;"_"&amp;$B88,Results_Deltas!$A$2:$P$15000,5,FALSE),"")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IFERROR(VLOOKUP($A176&amp;"_"&amp;$B176,Results_Deltas!$A$2:$P$15000,5,FALSE),"")</f>
        <v/>
      </c>
      <c r="H73" t="inlineStr">
        <is>
          <t>Blanket (page end)</t>
        </is>
      </c>
      <c r="L73" t="inlineStr">
        <is>
          <t>YES</t>
        </is>
      </c>
      <c r="M73" t="n">
        <v>27</v>
      </c>
      <c r="N73" t="n">
        <v>0</v>
      </c>
    </row>
    <row r="74" ht="10.5" customHeight="1" s="67">
      <c r="A74" t="inlineStr">
        <is>
          <t>FG_GREED_THRESHOLD</t>
        </is>
      </c>
      <c r="B74" t="inlineStr">
        <is>
          <t>37.5</t>
        </is>
      </c>
      <c r="D74" t="inlineStr">
        <is>
          <t>GLOBAL_CHECK, STOCKS_EXIT</t>
        </is>
      </c>
      <c r="G74">
        <f>IFERROR(VLOOKUP($A140&amp;"_"&amp;$B140,Results_Deltas!$A$2:$P$15000,5,FALSE),"")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IFERROR(VLOOKUP($A255&amp;"_"&amp;$B255,Results_Deltas!$A$2:$P$15000,5,FALSE),"")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IFERROR(VLOOKUP($A223&amp;"_"&amp;$B223,Results_Deltas!$A$2:$P$15000,5,FALSE),"")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IFERROR(VLOOKUP($A85&amp;"_"&amp;$B85,Results_Deltas!$A$2:$P$15000,5,FALSE),"")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IFERROR(VLOOKUP($A168&amp;"_"&amp;$B168,Results_Deltas!$A$2:$P$15000,5,FALSE),"")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IFERROR(VLOOKUP($A206&amp;"_"&amp;$B206,Results_Deltas!$A$2:$P$15000,5,FALSE),"")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IFERROR(VLOOKUP($A113&amp;"_"&amp;$B113,Results_Deltas!$A$2:$P$15000,5,FALSE),"")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IFERROR(VLOOKUP($A165&amp;"_"&amp;$B165,Results_Deltas!$A$2:$P$15000,5,FALSE),"")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IFERROR(VLOOKUP($A112&amp;"_"&amp;$B112,Results_Deltas!$A$2:$P$15000,5,FALSE),"")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IFERROR(VLOOKUP($A204&amp;"_"&amp;$B204,Results_Deltas!$A$2:$P$15000,5,FALSE),"")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IFERROR(VLOOKUP($A220&amp;"_"&amp;$B220,Results_Deltas!$A$2:$P$15000,5,FALSE),"")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IFERROR(VLOOKUP($A108&amp;"_"&amp;$B108,Results_Deltas!$A$2:$P$15000,5,FALSE),"")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IFERROR(VLOOKUP($A115&amp;"_"&amp;$B115,Results_Deltas!$A$2:$P$15000,5,FALSE),"")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IFERROR(VLOOKUP($A171&amp;"_"&amp;$B171,Results_Deltas!$A$2:$P$15000,5,FALSE),"")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IFERROR(VLOOKUP($A207&amp;"_"&amp;$B207,Results_Deltas!$A$2:$P$15000,5,FALSE),"")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IFERROR(VLOOKUP($A202&amp;"_"&amp;$B202,Results_Deltas!$A$2:$P$15000,5,FALSE),"")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IFERROR(VLOOKUP($A201&amp;"_"&amp;$B201,Results_Deltas!$A$2:$P$15000,5,FALSE),"")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IFERROR(VLOOKUP($A221&amp;"_"&amp;$B221,Results_Deltas!$A$2:$P$15000,5,FALSE),"")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IFERROR(VLOOKUP($A240&amp;"_"&amp;$B240,Results_Deltas!$A$2:$P$15000,5,FALSE),"")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IFERROR(VLOOKUP($A136&amp;"_"&amp;$B136,Results_Deltas!$A$2:$P$15000,5,FALSE),"")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IFERROR(VLOOKUP($A241&amp;"_"&amp;$B241,Results_Deltas!$A$2:$P$15000,5,FALSE),"")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IFERROR(VLOOKUP($A200&amp;"_"&amp;$B200,Results_Deltas!$A$2:$P$15000,5,FALSE),"")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IFERROR(VLOOKUP($A111&amp;"_"&amp;$B111,Results_Deltas!$A$2:$P$15000,5,FALSE),"")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IFERROR(VLOOKUP($A208&amp;"_"&amp;$B208,Results_Deltas!$A$2:$P$15000,5,FALSE),"")</f>
        <v/>
      </c>
      <c r="H97" t="inlineStr">
        <is>
          <t>Blanket (page end)</t>
        </is>
      </c>
      <c r="L97" t="inlineStr">
        <is>
          <t>YES</t>
        </is>
      </c>
      <c r="M97" t="n">
        <v>26</v>
      </c>
      <c r="N97" t="n">
        <v>0</v>
      </c>
    </row>
    <row r="98" ht="10.5" customHeight="1" s="67">
      <c r="A98" t="inlineStr">
        <is>
          <t>GR_FILTER_VEC_MIN_TFS</t>
        </is>
      </c>
      <c r="B98" t="inlineStr">
        <is>
          <t>2</t>
        </is>
      </c>
      <c r="D98" t="inlineStr">
        <is>
          <t>GLOBAL_CHECK</t>
        </is>
      </c>
      <c r="G98">
        <f>IFERROR(VLOOKUP($A159&amp;"_"&amp;$B159,Results_Deltas!$A$2:$P$15000,5,FALSE),"")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IFERROR(VLOOKUP($A246&amp;"_"&amp;$B246,Results_Deltas!$A$2:$P$15000,5,FALSE),"")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IFERROR(VLOOKUP($A123&amp;"_"&amp;$B123,Results_Deltas!$A$2:$P$15000,5,FALSE),"")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IFERROR(VLOOKUP($A254&amp;"_"&amp;$B254,Results_Deltas!$A$2:$P$15000,5,FALSE),"")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IFERROR(VLOOKUP($A104&amp;"_"&amp;$B104,Results_Deltas!$A$2:$P$15000,5,FALSE),"")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IFERROR(VLOOKUP($A253&amp;"_"&amp;$B253,Results_Deltas!$A$2:$P$15000,5,FALSE),"")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IFERROR(VLOOKUP($A107&amp;"_"&amp;$B107,Results_Deltas!$A$2:$P$15000,5,FALSE),"")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IFERROR(VLOOKUP($A128&amp;"_"&amp;$B128,Results_Deltas!$A$2:$P$15000,5,FALSE),"")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IFERROR(VLOOKUP($A247&amp;"_"&amp;$B247,Results_Deltas!$A$2:$P$15000,5,FALSE),"")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IFERROR(VLOOKUP($A205&amp;"_"&amp;$B205,Results_Deltas!$A$2:$P$15000,5,FALSE),"")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IFERROR(VLOOKUP($A239&amp;"_"&amp;$B239,Results_Deltas!$A$2:$P$15000,5,FALSE),"")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IFERROR(VLOOKUP($A188&amp;"_"&amp;$B188,Results_Deltas!$A$2:$P$15000,5,FALSE),"")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IFERROR(VLOOKUP($A203&amp;"_"&amp;$B203,Results_Deltas!$A$2:$P$15000,5,FALSE),"")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IFERROR(VLOOKUP($A93&amp;"_"&amp;$B93,Results_Deltas!$A$2:$P$15000,5,FALSE),"")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IFERROR(VLOOKUP($A94&amp;"_"&amp;$B94,Results_Deltas!$A$2:$P$15000,5,FALSE),"")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IFERROR(VLOOKUP($A178&amp;"_"&amp;$B178,Results_Deltas!$A$2:$P$15000,5,FALSE),"")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IFERROR(VLOOKUP($A95&amp;"_"&amp;$B95,Results_Deltas!$A$2:$P$15000,5,FALSE),"")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IFERROR(VLOOKUP($A96&amp;"_"&amp;$B96,Results_Deltas!$A$2:$P$15000,5,FALSE),"")</f>
        <v/>
      </c>
      <c r="H115" t="inlineStr">
        <is>
          <t>Blanket (page end)</t>
        </is>
      </c>
      <c r="L115" t="inlineStr">
        <is>
          <t>NO</t>
        </is>
      </c>
      <c r="M115" t="n">
        <v>24</v>
      </c>
      <c r="N115" t="n">
        <v>0</v>
      </c>
    </row>
    <row r="116" ht="10.5" customHeight="1" s="67">
      <c r="A116" t="inlineStr">
        <is>
          <t>BTC_ROUND_BANDS_EACH_SIDE</t>
        </is>
      </c>
      <c r="B116" t="inlineStr">
        <is>
          <t>0.0</t>
        </is>
      </c>
      <c r="D116" t="inlineStr">
        <is>
          <t>UNIVERSAL (ex-BTC) — ENTRY/EXIT/REENTRY</t>
        </is>
      </c>
      <c r="G116">
        <f>IFERROR(VLOOKUP($A97&amp;"_"&amp;$B97,Results_Deltas!$A$2:$P$15000,5,FALSE),"")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IFERROR(VLOOKUP($A98&amp;"_"&amp;$B98,Results_Deltas!$A$2:$P$15000,5,FALSE),"")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IFERROR(VLOOKUP($A198&amp;"_"&amp;$B198,Results_Deltas!$A$2:$P$15000,5,FALSE),"")</f>
        <v/>
      </c>
      <c r="H118" t="inlineStr">
        <is>
          <t>Blanket (page end)</t>
        </is>
      </c>
      <c r="L118" t="inlineStr">
        <is>
          <t>YES</t>
        </is>
      </c>
      <c r="M118" t="n">
        <v>24</v>
      </c>
      <c r="N118" t="n">
        <v>0</v>
      </c>
    </row>
    <row r="119" ht="10.5" customHeight="1" s="67">
      <c r="A119" t="inlineStr">
        <is>
          <t>GR_FILTER_VEC_MIN_TFS</t>
        </is>
      </c>
      <c r="B119" t="inlineStr">
        <is>
          <t>0</t>
        </is>
      </c>
      <c r="D119" t="inlineStr">
        <is>
          <t>GLOBAL_CHECK</t>
        </is>
      </c>
      <c r="G119">
        <f>IFERROR(VLOOKUP($A158&amp;"_"&amp;$B158,Results_Deltas!$A$2:$P$15000,5,FALSE),"")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IFERROR(VLOOKUP($A87&amp;"_"&amp;$B87,Results_Deltas!$A$2:$P$15000,5,FALSE),"")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IFERROR(VLOOKUP($A192&amp;"_"&amp;$B192,Results_Deltas!$A$2:$P$15000,5,FALSE),"")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IFERROR(VLOOKUP($A146&amp;"_"&amp;$B146,Results_Deltas!$A$2:$P$15000,5,FALSE),"")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IFERROR(VLOOKUP($A147&amp;"_"&amp;$B147,Results_Deltas!$A$2:$P$15000,5,FALSE),"")</f>
        <v/>
      </c>
      <c r="H123" t="inlineStr">
        <is>
          <t>Blanket (page end)</t>
        </is>
      </c>
      <c r="L123" t="inlineStr">
        <is>
          <t>NO</t>
        </is>
      </c>
      <c r="M123" t="n">
        <v>24</v>
      </c>
      <c r="N123" t="n">
        <v>0</v>
      </c>
    </row>
    <row r="124" ht="10.5" customHeight="1" s="67">
      <c r="A124" t="inlineStr">
        <is>
          <t>FUNDING_GATE_MTF_REQUIRED</t>
        </is>
      </c>
      <c r="B124" t="inlineStr">
        <is>
          <t>0.0</t>
        </is>
      </c>
      <c r="D124" t="inlineStr">
        <is>
          <t>ENTRY, GLOBAL_CHECK, STOCKS_EXIT</t>
        </is>
      </c>
      <c r="G124">
        <f>IFERROR(VLOOKUP($A148&amp;"_"&amp;$B148,Results_Deltas!$A$2:$P$15000,5,FALSE),"")</f>
        <v/>
      </c>
      <c r="H124" t="inlineStr">
        <is>
          <t>Blanket (page end)</t>
        </is>
      </c>
      <c r="L124" t="inlineStr">
        <is>
          <t>NO</t>
        </is>
      </c>
      <c r="M124" t="n">
        <v>24</v>
      </c>
      <c r="N124" t="n">
        <v>0</v>
      </c>
    </row>
    <row r="125" ht="10.5" customHeight="1" s="67">
      <c r="A125" t="inlineStr">
        <is>
          <t>FUNDING_GATE_MTF_REQUIRED</t>
        </is>
      </c>
      <c r="B125" t="inlineStr">
        <is>
          <t>0.0_ALT</t>
        </is>
      </c>
      <c r="D125" t="inlineStr">
        <is>
          <t>ENTRY, GLOBAL_CHECK, STOCKS_EXIT</t>
        </is>
      </c>
      <c r="G125">
        <f>IFERROR(VLOOKUP($A149&amp;"_"&amp;$B149,Results_Deltas!$A$2:$P$15000,5,FALSE),"")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IFERROR(VLOOKUP($A150&amp;"_"&amp;$B150,Results_Deltas!$A$2:$P$15000,5,FALSE),"")</f>
        <v/>
      </c>
      <c r="H126" t="inlineStr">
        <is>
          <t>Blanket (page end)</t>
        </is>
      </c>
      <c r="L126" t="inlineStr">
        <is>
          <t>NO</t>
        </is>
      </c>
      <c r="M126" t="n">
        <v>24</v>
      </c>
      <c r="N126" t="n">
        <v>0</v>
      </c>
    </row>
    <row r="127" ht="10.5" customHeight="1" s="67">
      <c r="A127" t="inlineStr">
        <is>
          <t>FUNDING_GATE_SHORT_MIN</t>
        </is>
      </c>
      <c r="B127" t="inlineStr">
        <is>
          <t>0.0_ALT</t>
        </is>
      </c>
      <c r="D127" t="inlineStr">
        <is>
          <t>ENTRY, GLOBAL_CHECK, STOCKS_EXIT</t>
        </is>
      </c>
      <c r="G127">
        <f>IFERROR(VLOOKUP($A151&amp;"_"&amp;$B151,Results_Deltas!$A$2:$P$15000,5,FALSE),"")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IFERROR(VLOOKUP($A83&amp;"_"&amp;$B83,Results_Deltas!$A$2:$P$15000,5,FALSE),"")</f>
        <v/>
      </c>
      <c r="H128" t="inlineStr">
        <is>
          <t>Blanket (page end)</t>
        </is>
      </c>
      <c r="L128" t="inlineStr">
        <is>
          <t>NO</t>
        </is>
      </c>
      <c r="M128" t="n">
        <v>24</v>
      </c>
      <c r="N128" t="n">
        <v>0</v>
      </c>
    </row>
    <row r="129" ht="10.5" customHeight="1" s="67">
      <c r="A129" t="inlineStr">
        <is>
          <t>FUNDING_GATE_FILTER_TF</t>
        </is>
      </c>
      <c r="B129" t="inlineStr">
        <is>
          <t>15m</t>
        </is>
      </c>
      <c r="D129" t="inlineStr">
        <is>
          <t>GLOBAL_CHECK</t>
        </is>
      </c>
      <c r="G129">
        <f>IFERROR(VLOOKUP($A145&amp;"_"&amp;$B145,Results_Deltas!$A$2:$P$15000,5,FALSE),"")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IFERROR(VLOOKUP($A197&amp;"_"&amp;$B197,Results_Deltas!$A$2:$P$15000,5,FALSE),"")</f>
        <v/>
      </c>
      <c r="H130" t="inlineStr">
        <is>
          <t>Blanket (page end)</t>
        </is>
      </c>
      <c r="L130" t="inlineStr">
        <is>
          <t>NO</t>
        </is>
      </c>
      <c r="M130" t="n">
        <v>9</v>
      </c>
      <c r="N130" t="n">
        <v>0</v>
      </c>
    </row>
    <row r="131" ht="15.75" customHeight="1" s="67">
      <c r="A131" t="inlineStr">
        <is>
          <t>HTF_GATE_MIN_CONFIRMATIONS</t>
        </is>
      </c>
      <c r="B131" t="inlineStr">
        <is>
          <t>0.0</t>
        </is>
      </c>
      <c r="D131" t="inlineStr">
        <is>
          <t>ENTRY, GLOBAL_CHECK, STOCKS_EXIT</t>
        </is>
      </c>
      <c r="G131">
        <f>IFERROR(VLOOKUP($A185&amp;"_"&amp;$B185,Results_Deltas!$A$2:$P$15000,5,FALSE),"")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IFERROR(VLOOKUP($A186&amp;"_"&amp;$B186,Results_Deltas!$A$2:$P$15000,5,FALSE),"")</f>
        <v/>
      </c>
      <c r="H132" t="inlineStr">
        <is>
          <t>Blanket (page end)</t>
        </is>
      </c>
      <c r="L132" t="inlineStr">
        <is>
          <t>NO</t>
        </is>
      </c>
      <c r="M132" t="n">
        <v>24</v>
      </c>
      <c r="N132" t="n">
        <v>0</v>
      </c>
    </row>
    <row r="133" ht="10.5" customHeight="1" s="67">
      <c r="A133" t="inlineStr">
        <is>
          <t>GR_FILTER_ALL_ENTRIES</t>
        </is>
      </c>
      <c r="B133" t="inlineStr">
        <is>
          <t>0.0</t>
        </is>
      </c>
      <c r="D133" t="inlineStr">
        <is>
          <t>GLOBAL_CHECK, STOCKS_EXIT</t>
        </is>
      </c>
      <c r="G133">
        <f>IFERROR(VLOOKUP($A154&amp;"_"&amp;$B154,Results_Deltas!$A$2:$P$15000,5,FALSE),"")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IFERROR(VLOOKUP($A155&amp;"_"&amp;$B155,Results_Deltas!$A$2:$P$15000,5,FALSE),"")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IFERROR(VLOOKUP($A161&amp;"_"&amp;$B161,Results_Deltas!$A$2:$P$15000,5,FALSE),"")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IFERROR(VLOOKUP($A153&amp;"_"&amp;$B153,Results_Deltas!$A$2:$P$15000,5,FALSE),"")</f>
        <v/>
      </c>
      <c r="H136" t="inlineStr">
        <is>
          <t>Blanket (page end)</t>
        </is>
      </c>
      <c r="L136" t="inlineStr">
        <is>
          <t>NO</t>
        </is>
      </c>
      <c r="M136" t="n">
        <v>24</v>
      </c>
      <c r="N136" t="n">
        <v>0</v>
      </c>
    </row>
    <row r="137" ht="10.5" customHeight="1" s="67">
      <c r="A137" t="inlineStr">
        <is>
          <t>GOLDEN_RULE_BASE_USD</t>
        </is>
      </c>
      <c r="B137" t="inlineStr">
        <is>
          <t>0.0</t>
        </is>
      </c>
      <c r="D137" t="inlineStr">
        <is>
          <t>GLOBAL_CHECK, STOCKS_EXIT</t>
        </is>
      </c>
      <c r="G137">
        <f>IFERROR(VLOOKUP($A152&amp;"_"&amp;$B152,Results_Deltas!$A$2:$P$15000,5,FALSE),"")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IFERROR(VLOOKUP($A191&amp;"_"&amp;$B191,Results_Deltas!$A$2:$P$15000,5,FALSE),"")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IFERROR(VLOOKUP($A177&amp;"_"&amp;$B177,Results_Deltas!$A$2:$P$15000,5,FALSE),"")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IFERROR(VLOOKUP($A193&amp;"_"&amp;$B193,Results_Deltas!$A$2:$P$15000,5,FALSE),"")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IFERROR(VLOOKUP($A156&amp;"_"&amp;$B156,Results_Deltas!$A$2:$P$15000,5,FALSE),"")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IFERROR(VLOOKUP($A120&amp;"_"&amp;$B120,Results_Deltas!$A$2:$P$15000,5,FALSE),"")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IFERROR(VLOOKUP($A248&amp;"_"&amp;$B248,Results_Deltas!$A$2:$P$15000,5,FALSE),"")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IFERROR(VLOOKUP($A125&amp;"_"&amp;$B125,Results_Deltas!$A$2:$P$15000,5,FALSE),"")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IFERROR(VLOOKUP($A236&amp;"_"&amp;$B236,Results_Deltas!$A$2:$P$15000,5,FALSE),"")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IFERROR(VLOOKUP($A218&amp;"_"&amp;$B218,Results_Deltas!$A$2:$P$15000,5,FALSE),"")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IFERROR(VLOOKUP($A219&amp;"_"&amp;$B219,Results_Deltas!$A$2:$P$15000,5,FALSE),"")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IFERROR(VLOOKUP($A170&amp;"_"&amp;$B170,Results_Deltas!$A$2:$P$15000,5,FALSE),"")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IFERROR(VLOOKUP($A130&amp;"_"&amp;$B130,Results_Deltas!$A$2:$P$15000,5,FALSE),"")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IFERROR(VLOOKUP($A129&amp;"_"&amp;$B129,Results_Deltas!$A$2:$P$15000,5,FALSE),"")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IFERROR(VLOOKUP($A174&amp;"_"&amp;$B174,Results_Deltas!$A$2:$P$15000,5,FALSE),"")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IFERROR(VLOOKUP($A103&amp;"_"&amp;$B103,Results_Deltas!$A$2:$P$15000,5,FALSE),"")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IFERROR(VLOOKUP($A169&amp;"_"&amp;$B169,Results_Deltas!$A$2:$P$15000,5,FALSE),"")</f>
        <v/>
      </c>
      <c r="H153" t="inlineStr">
        <is>
          <t>Blanket (page end)</t>
        </is>
      </c>
      <c r="L153" t="inlineStr">
        <is>
          <t>YES</t>
        </is>
      </c>
      <c r="M153" t="n">
        <v>9</v>
      </c>
      <c r="N153" t="n">
        <v>0</v>
      </c>
    </row>
    <row r="154" ht="10.5" customHeight="1" s="67">
      <c r="A154" t="inlineStr">
        <is>
          <t>EZ_MANAGE_THROTTLER_RATE</t>
        </is>
      </c>
      <c r="B154" t="inlineStr">
        <is>
          <t>0.0</t>
        </is>
      </c>
      <c r="D154" t="inlineStr">
        <is>
          <t>GLOBAL_CHECK, STOCKS_EXIT</t>
        </is>
      </c>
      <c r="G154">
        <f>IFERROR(VLOOKUP($A131&amp;"_"&amp;$B131,Results_Deltas!$A$2:$P$15000,5,FALSE),"")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IFERROR(VLOOKUP($A132&amp;"_"&amp;$B132,Results_Deltas!$A$2:$P$15000,5,FALSE),"")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IFERROR(VLOOKUP($A91&amp;"_"&amp;$B91,Results_Deltas!$A$2:$P$15000,5,FALSE),"")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IFERROR(VLOOKUP($A244&amp;"_"&amp;$B244,Results_Deltas!$A$2:$P$15000,5,FALSE),"")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IFERROR(VLOOKUP($A184&amp;"_"&amp;$B184,Results_Deltas!$A$2:$P$15000,5,FALSE),"")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IFERROR(VLOOKUP($A114&amp;"_"&amp;$B114,Results_Deltas!$A$2:$P$15000,5,FALSE),"")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IFERROR(VLOOKUP($A183&amp;"_"&amp;$B183,Results_Deltas!$A$2:$P$15000,5,FALSE),"")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IFERROR(VLOOKUP($A213&amp;"_"&amp;$B213,Results_Deltas!$A$2:$P$15000,5,FALSE),"")</f>
        <v/>
      </c>
      <c r="H161" t="inlineStr">
        <is>
          <t>Blanket (page end)</t>
        </is>
      </c>
      <c r="L161" t="inlineStr">
        <is>
          <t>YES</t>
        </is>
      </c>
      <c r="M161" t="n">
        <v>24</v>
      </c>
      <c r="N161" t="n">
        <v>0</v>
      </c>
    </row>
    <row r="162" ht="15.75" customHeight="1" s="67">
      <c r="A162" t="inlineStr">
        <is>
          <t>MARKET_QUALITY_SCORE_ENABLED</t>
        </is>
      </c>
      <c r="B162" t="inlineStr">
        <is>
          <t>False</t>
        </is>
      </c>
      <c r="D162" t="inlineStr">
        <is>
          <t>ENTRY, GLOBAL_CHECK, STOCKS_EXIT</t>
        </is>
      </c>
      <c r="G162">
        <f>IFERROR(VLOOKUP($A216&amp;"_"&amp;$B216,Results_Deltas!$A$2:$P$15000,5,FALSE),"")</f>
        <v/>
      </c>
      <c r="H162" t="inlineStr">
        <is>
          <t>Blanket (page end)</t>
        </is>
      </c>
      <c r="L162" t="inlineStr">
        <is>
          <t>NO</t>
        </is>
      </c>
      <c r="M162" t="n">
        <v>9</v>
      </c>
      <c r="N162" t="n">
        <v>0</v>
      </c>
    </row>
    <row r="163" ht="15.75" customHeight="1" s="67">
      <c r="A163" t="inlineStr">
        <is>
          <t>HTF_GATE_BYPASS_RZ</t>
        </is>
      </c>
      <c r="B163" t="inlineStr">
        <is>
          <t>0.0</t>
        </is>
      </c>
      <c r="D163" t="inlineStr">
        <is>
          <t>ENTRY, GLOBAL_CHECK, STOCKS_EXIT</t>
        </is>
      </c>
      <c r="G163">
        <f>IFERROR(VLOOKUP($A181&amp;"_"&amp;$B181,Results_Deltas!$A$2:$P$15000,5,FALSE),"")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IFERROR(VLOOKUP($A182&amp;"_"&amp;$B182,Results_Deltas!$A$2:$P$15000,5,FALSE),"")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IFERROR(VLOOKUP($A179&amp;"_"&amp;$B179,Results_Deltas!$A$2:$P$15000,5,FALSE),"")</f>
        <v/>
      </c>
      <c r="H165" t="inlineStr">
        <is>
          <t>Blanket (page end)</t>
        </is>
      </c>
      <c r="L165" t="inlineStr">
        <is>
          <t>NO</t>
        </is>
      </c>
      <c r="M165" t="n">
        <v>9</v>
      </c>
      <c r="N165" t="n">
        <v>0</v>
      </c>
    </row>
    <row r="166" ht="15.75" customHeight="1" s="67">
      <c r="A166" t="inlineStr">
        <is>
          <t>MTF_FILTER_STRONG_BUY_QUICK_BYPASS</t>
        </is>
      </c>
      <c r="B166" t="inlineStr">
        <is>
          <t>0.0</t>
        </is>
      </c>
      <c r="D166" t="inlineStr">
        <is>
          <t>GLOBAL_CHECK, STOCKS_EXIT</t>
        </is>
      </c>
      <c r="G166">
        <f>IFERROR(VLOOKUP($A224&amp;"_"&amp;$B224,Results_Deltas!$A$2:$P$15000,5,FALSE),"")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IFERROR(VLOOKUP($A225&amp;"_"&amp;$B225,Results_Deltas!$A$2:$P$15000,5,FALSE),"")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IFERROR(VLOOKUP($A242&amp;"_"&amp;$B242,Results_Deltas!$A$2:$P$15000,5,FALSE),"")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IFERROR(VLOOKUP($A243&amp;"_"&amp;$B243,Results_Deltas!$A$2:$P$15000,5,FALSE),"")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IFERROR(VLOOKUP($A210&amp;"_"&amp;$B210,Results_Deltas!$A$2:$P$15000,5,FALSE),"")</f>
        <v/>
      </c>
      <c r="H170" t="inlineStr">
        <is>
          <t>Blanket (page end)</t>
        </is>
      </c>
      <c r="L170" t="inlineStr">
        <is>
          <t>NO</t>
        </is>
      </c>
      <c r="M170" t="n">
        <v>24</v>
      </c>
      <c r="N170" t="n">
        <v>0</v>
      </c>
    </row>
    <row r="171" ht="15.75" customHeight="1" s="67">
      <c r="A171" t="inlineStr">
        <is>
          <t>MANDATORY_REENTRY_WT_FILTER_MIN_VELOCITY</t>
        </is>
      </c>
      <c r="B171" t="inlineStr">
        <is>
          <t>0.0_ALT</t>
        </is>
      </c>
      <c r="D171" t="inlineStr">
        <is>
          <t>GLOBAL_CHECK, STOCKS_EXIT</t>
        </is>
      </c>
      <c r="G171">
        <f>IFERROR(VLOOKUP($A211&amp;"_"&amp;$B211,Results_Deltas!$A$2:$P$15000,5,FALSE),"")</f>
        <v/>
      </c>
      <c r="H171" t="inlineStr">
        <is>
          <t>Blanket (page end)</t>
        </is>
      </c>
      <c r="L171" t="inlineStr">
        <is>
          <t>YES</t>
        </is>
      </c>
      <c r="M171" t="n">
        <v>24</v>
      </c>
      <c r="N171" t="n">
        <v>0</v>
      </c>
    </row>
    <row r="172" ht="15.75" customHeight="1" s="67">
      <c r="A172" t="inlineStr">
        <is>
          <t>HTF_TREND_VETO_BYPASS_REASONS</t>
        </is>
      </c>
      <c r="B172" t="inlineStr">
        <is>
          <t>0.0</t>
        </is>
      </c>
      <c r="D172" t="inlineStr">
        <is>
          <t>GLOBAL_CHECK, STOCKS_EXIT</t>
        </is>
      </c>
      <c r="G172">
        <f>IFERROR(VLOOKUP($A189&amp;"_"&amp;$B189,Results_Deltas!$A$2:$P$15000,5,FALSE),"")</f>
        <v/>
      </c>
      <c r="H172" t="inlineStr">
        <is>
          <t>Blanket (page end)</t>
        </is>
      </c>
      <c r="L172" t="inlineStr">
        <is>
          <t>YES</t>
        </is>
      </c>
      <c r="M172" t="n">
        <v>24</v>
      </c>
      <c r="N172" t="n">
        <v>0</v>
      </c>
    </row>
    <row r="173" ht="15.75" customHeight="1" s="67">
      <c r="A173" t="inlineStr">
        <is>
          <t>NEWBORN_LOSS_KILL_GAIN_THRESHOLD_PCT</t>
        </is>
      </c>
      <c r="B173" t="inlineStr">
        <is>
          <t>0</t>
        </is>
      </c>
      <c r="D173" t="inlineStr">
        <is>
          <t>AUGMENT, EXIT, GLOBAL_CHECK, REDUCE, STOCKS_EXIT</t>
        </is>
      </c>
      <c r="G173">
        <f>IFERROR(VLOOKUP($A238&amp;"_"&amp;$B238,Results_Deltas!$A$2:$P$15000,5,FALSE),"")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IFERROR(VLOOKUP($A190&amp;"_"&amp;$B190,Results_Deltas!$A$2:$P$15000,5,FALSE),"")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IFERROR(VLOOKUP($A212&amp;"_"&amp;$B212,Results_Deltas!$A$2:$P$15000,5,FALSE),"")</f>
        <v/>
      </c>
      <c r="H175" t="inlineStr">
        <is>
          <t>Blanket (page end)</t>
        </is>
      </c>
      <c r="L175" t="inlineStr">
        <is>
          <t>NO</t>
        </is>
      </c>
      <c r="M175" t="n">
        <v>9</v>
      </c>
      <c r="N175" t="n">
        <v>0</v>
      </c>
    </row>
    <row r="176" ht="15.75" customHeight="1" s="67">
      <c r="A176" t="inlineStr">
        <is>
          <t>HTF_TREND_VETO_BYPASS_ENABLED</t>
        </is>
      </c>
      <c r="B176" t="inlineStr">
        <is>
          <t>False</t>
        </is>
      </c>
      <c r="D176" t="inlineStr">
        <is>
          <t>GLOBAL_CHECK, STOCKS_EXIT</t>
        </is>
      </c>
      <c r="G176">
        <f>IFERROR(VLOOKUP($A187&amp;"_"&amp;$B187,Results_Deltas!$A$2:$P$15000,5,FALSE),"")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IFERROR(VLOOKUP($A199&amp;"_"&amp;$B199,Results_Deltas!$A$2:$P$15000,5,FALSE),"")</f>
        <v/>
      </c>
      <c r="H177" t="inlineStr">
        <is>
          <t>Blanket (page end)</t>
        </is>
      </c>
      <c r="L177" t="inlineStr">
        <is>
          <t>NO</t>
        </is>
      </c>
      <c r="M177" t="n">
        <v>9</v>
      </c>
      <c r="N177" t="n">
        <v>0</v>
      </c>
    </row>
    <row r="178" ht="15.75" customHeight="1" s="67">
      <c r="A178" t="inlineStr">
        <is>
          <t>EXIT_VELOCITY_WT_TFS</t>
        </is>
      </c>
      <c r="B178" t="inlineStr">
        <is>
          <t>15m,1h</t>
        </is>
      </c>
      <c r="M178" t="n">
        <v>0</v>
      </c>
      <c r="N178" t="n">
        <v>0</v>
      </c>
    </row>
    <row r="179" ht="15.75" customHeight="1" s="67">
      <c r="A179" t="inlineStr">
        <is>
          <t>EXIT_VELOCITY_WT_TFS</t>
        </is>
      </c>
      <c r="B179" t="inlineStr">
        <is>
          <t>4h,D</t>
        </is>
      </c>
      <c r="M179" t="n">
        <v>0</v>
      </c>
      <c r="N179" t="n">
        <v>0</v>
      </c>
    </row>
    <row r="180" ht="15.75" customHeight="1" s="67">
      <c r="A180" t="inlineStr">
        <is>
          <t>EXIT_VELOCITY_WT_TFS</t>
        </is>
      </c>
      <c r="B180" t="inlineStr">
        <is>
          <t>1h,4h</t>
        </is>
      </c>
      <c r="M180" t="n">
        <v>0</v>
      </c>
      <c r="N180" t="n">
        <v>0</v>
      </c>
    </row>
    <row r="181" ht="15.75" customHeight="1" s="67">
      <c r="A181" t="inlineStr">
        <is>
          <t>EXIT_VELOCITY_WT_TFS</t>
        </is>
      </c>
      <c r="B181" t="inlineStr">
        <is>
          <t>15m,1h,4h,D</t>
        </is>
      </c>
      <c r="M181" t="n">
        <v>0</v>
      </c>
      <c r="N181" t="n">
        <v>0</v>
      </c>
    </row>
    <row r="182" ht="15.75" customHeight="1" s="67">
      <c r="A182" t="inlineStr">
        <is>
          <t>EXIT_VELOCITY_WT_TFS</t>
        </is>
      </c>
      <c r="B182" t="inlineStr">
        <is>
          <t>1h,4h,D</t>
        </is>
      </c>
      <c r="M182" t="n">
        <v>0</v>
      </c>
      <c r="N182" t="n">
        <v>0</v>
      </c>
    </row>
    <row r="183" ht="15.75" customHeight="1" s="67">
      <c r="A183" t="inlineStr">
        <is>
          <t>BB_SQUEEZE_EXIT_ENABLED</t>
        </is>
      </c>
      <c r="B183" t="inlineStr">
        <is>
          <t>True</t>
        </is>
      </c>
      <c r="G183">
        <f>IFERROR(VLOOKUP($A184&amp;"_"&amp;$B184,Results_Deltas!$A$2:$P$15000,5,FALSE),"")</f>
        <v/>
      </c>
      <c r="H183">
        <f>IFERROR(VLOOKUP($A184,Results_30d_Deltas!$A$2:$H$5000,7,FALSE)-E5,"")</f>
        <v/>
      </c>
      <c r="I183">
        <f>IFERROR(VLOOKUP($A184,Results_30d_Deltas!$A$2:$H$5000,6,FALSE),"")</f>
        <v/>
      </c>
      <c r="L183" t="inlineStr">
        <is>
          <t>NO</t>
        </is>
      </c>
      <c r="M183" t="n">
        <v>25</v>
      </c>
      <c r="N183" t="n">
        <v>0</v>
      </c>
    </row>
    <row r="184" ht="15.75" customHeight="1" s="67">
      <c r="A184" t="inlineStr">
        <is>
          <t>BB_SQUEEZE_EXIT_ENABLED</t>
        </is>
      </c>
      <c r="B184" t="inlineStr">
        <is>
          <t>False</t>
        </is>
      </c>
      <c r="G184">
        <f>IFERROR(VLOOKUP($A183&amp;"_"&amp;$B183,Results_Deltas!$A$2:$P$15000,5,FALSE),"")</f>
        <v/>
      </c>
      <c r="H184">
        <f>IFERROR(VLOOKUP($A183,Results_30d_Deltas!$A$2:$H$5000,7,FALSE)-E4,"")</f>
        <v/>
      </c>
      <c r="I184">
        <f>IFERROR(VLOOKUP($A183,Results_30d_Deltas!$A$2:$H$5000,6,FALSE),"")</f>
        <v/>
      </c>
      <c r="L184" t="inlineStr">
        <is>
          <t>NO</t>
        </is>
      </c>
      <c r="M184" t="n">
        <v>10</v>
      </c>
      <c r="N184" t="n">
        <v>0</v>
      </c>
    </row>
    <row r="185" ht="15.75" customHeight="1" s="67">
      <c r="A185" t="inlineStr">
        <is>
          <t>ULTIMATE_DC_4H_STOP_ENABLED</t>
        </is>
      </c>
      <c r="B185" t="inlineStr">
        <is>
          <t>True</t>
        </is>
      </c>
      <c r="D185" t="inlineStr">
        <is>
          <t>GLOBAL, CRYPTO_EXIT, STOCKS_EXIT</t>
        </is>
      </c>
      <c r="H185" t="inlineStr">
        <is>
          <t>ABSOLUTE HARD_STOP (2026-09-19)</t>
        </is>
      </c>
      <c r="M185" t="n">
        <v>0</v>
      </c>
      <c r="N185" t="n">
        <v>0</v>
      </c>
    </row>
    <row r="186" ht="15.75" customHeight="1" s="67">
      <c r="A186" t="inlineStr">
        <is>
          <t>DC_HARD_STOP_TF=4h</t>
        </is>
      </c>
      <c r="B186" t="inlineStr">
        <is>
          <t>4h</t>
        </is>
      </c>
      <c r="D186" t="inlineStr">
        <is>
          <t>EXIT</t>
        </is>
      </c>
      <c r="E186" t="inlineStr">
        <is>
          <t>4h</t>
        </is>
      </c>
      <c r="L186" t="inlineStr">
        <is>
          <t>YES</t>
        </is>
      </c>
    </row>
    <row r="187" ht="15.75" customHeight="1" s="67">
      <c r="A187" t="inlineStr">
        <is>
          <t>DC_HARD_STOP_TF=D</t>
        </is>
      </c>
      <c r="B187" t="inlineStr">
        <is>
          <t>D</t>
        </is>
      </c>
      <c r="D187" t="inlineStr">
        <is>
          <t>EXIT</t>
        </is>
      </c>
      <c r="E187" t="inlineStr">
        <is>
          <t>D</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IFERROR(VLOOKUP($A303&amp;"_"&amp;$B303,Results_Deltas!$A$2:$P$15000,5,FALSE),"")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IFERROR(VLOOKUP($A287&amp;"_"&amp;$B287,Results_Deltas!$A$2:$P$15000,5,FALSE),"")</f>
        <v/>
      </c>
      <c r="H4" t="inlineStr">
        <is>
          <t>Blanket (page end)</t>
        </is>
      </c>
      <c r="L4" t="inlineStr">
        <is>
          <t>NO</t>
        </is>
      </c>
      <c r="M4" t="n">
        <v>6</v>
      </c>
      <c r="N4" t="n">
        <v>0</v>
      </c>
    </row>
    <row r="5" ht="10.5" customHeight="1" s="67">
      <c r="A5" t="inlineStr">
        <is>
          <t>MTS_BOTTOM_STRONG_THRESHOLD</t>
        </is>
      </c>
      <c r="B5" t="inlineStr">
        <is>
          <t>50</t>
        </is>
      </c>
      <c r="D5" t="inlineStr">
        <is>
          <t>ENTRY, GLOBAL_CHECK, STOCKS_EXIT</t>
        </is>
      </c>
      <c r="G5">
        <f>IFERROR(VLOOKUP($A402&amp;"_"&amp;$B402,Results_Deltas!$A$2:$P$15000,5,FALSE),"")</f>
        <v/>
      </c>
      <c r="H5" t="inlineStr">
        <is>
          <t>Blanket (page end)</t>
        </is>
      </c>
      <c r="L5" t="inlineStr">
        <is>
          <t>NO</t>
        </is>
      </c>
      <c r="M5" t="n">
        <v>26</v>
      </c>
      <c r="N5" t="n">
        <v>0</v>
      </c>
    </row>
    <row r="6" ht="10.5" customHeight="1" s="67">
      <c r="A6" t="inlineStr">
        <is>
          <t>MTS_BOTTOM_STRONG_THRESHOLD</t>
        </is>
      </c>
      <c r="B6" t="inlineStr">
        <is>
          <t>30</t>
        </is>
      </c>
      <c r="D6" t="inlineStr">
        <is>
          <t>ENTRY, GLOBAL_CHECK, STOCKS_EXIT</t>
        </is>
      </c>
      <c r="G6">
        <f>IFERROR(VLOOKUP($A403&amp;"_"&amp;$B403,Results_Deltas!$A$2:$P$15000,5,FALSE),"")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IFERROR(VLOOKUP($A312&amp;"_"&amp;$B312,Results_Deltas!$A$2:$P$15000,5,FALSE),"")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IFERROR(VLOOKUP($A310&amp;"_"&amp;$B310,Results_Deltas!$A$2:$P$15000,5,FALSE),"")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IFERROR(VLOOKUP($A313&amp;"_"&amp;$B313,Results_Deltas!$A$2:$P$15000,5,FALSE),"")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IFERROR(VLOOKUP($A307&amp;"_"&amp;$B307,Results_Deltas!$A$2:$P$15000,5,FALSE),"")</f>
        <v/>
      </c>
      <c r="H10" t="inlineStr">
        <is>
          <t>Blanket (page end)</t>
        </is>
      </c>
      <c r="L10" t="inlineStr">
        <is>
          <t>NO</t>
        </is>
      </c>
      <c r="M10" t="n">
        <v>27</v>
      </c>
      <c r="N10" t="n">
        <v>0</v>
      </c>
    </row>
    <row r="11" ht="10.5" customHeight="1" s="67">
      <c r="A11" t="inlineStr">
        <is>
          <t>OI_CONFIRM_MIN_CHANGE_PCT</t>
        </is>
      </c>
      <c r="B11" t="inlineStr">
        <is>
          <t>2.0</t>
        </is>
      </c>
      <c r="D11" t="inlineStr">
        <is>
          <t>ENTRY, GLOBAL_CHECK, STOCKS_EXIT</t>
        </is>
      </c>
      <c r="G11">
        <f>IFERROR(VLOOKUP($A420&amp;"_"&amp;$B420,Results_Deltas!$A$2:$P$15000,5,FALSE),"")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IFERROR(VLOOKUP($A269&amp;"_"&amp;$B269,Results_Deltas!$A$2:$P$15000,5,FALSE),"")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IFERROR(VLOOKUP($A308&amp;"_"&amp;$B308,Results_Deltas!$A$2:$P$15000,5,FALSE),"")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IFERROR(VLOOKUP($A270&amp;"_"&amp;$B270,Results_Deltas!$A$2:$P$15000,5,FALSE),"")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IFERROR(VLOOKUP($A306&amp;"_"&amp;$B306,Results_Deltas!$A$2:$P$15000,5,FALSE),"")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IFERROR(VLOOKUP($A311&amp;"_"&amp;$B311,Results_Deltas!$A$2:$P$15000,5,FALSE),"")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IFERROR(VLOOKUP($A268&amp;"_"&amp;$B268,Results_Deltas!$A$2:$P$15000,5,FALSE),"")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IFERROR(VLOOKUP($A304&amp;"_"&amp;$B304,Results_Deltas!$A$2:$P$15000,5,FALSE),"")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IFERROR(VLOOKUP($A278&amp;"_"&amp;$B278,Results_Deltas!$A$2:$P$15000,5,FALSE),"")</f>
        <v/>
      </c>
      <c r="H19" t="inlineStr">
        <is>
          <t>Blanket (page end)</t>
        </is>
      </c>
      <c r="L19" t="inlineStr">
        <is>
          <t>NO</t>
        </is>
      </c>
      <c r="M19" t="n">
        <v>27</v>
      </c>
      <c r="N19" t="n">
        <v>0</v>
      </c>
    </row>
    <row r="20" ht="10.5" customHeight="1" s="67">
      <c r="A20" t="inlineStr">
        <is>
          <t>OI_CONFIRM_MIN_PRICE_PCT</t>
        </is>
      </c>
      <c r="B20" t="inlineStr">
        <is>
          <t>1.0</t>
        </is>
      </c>
      <c r="D20" t="inlineStr">
        <is>
          <t>ENTRY, GLOBAL_CHECK, STOCKS_EXIT</t>
        </is>
      </c>
      <c r="G20">
        <f>IFERROR(VLOOKUP($A425&amp;"_"&amp;$B425,Results_Deltas!$A$2:$P$15000,5,FALSE),"")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IFERROR(VLOOKUP($A285&amp;"_"&amp;$B285,Results_Deltas!$A$2:$P$15000,5,FALSE),"")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IFERROR(VLOOKUP($A344&amp;"_"&amp;$B344,Results_Deltas!$A$2:$P$15000,5,FALSE),"")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IFERROR(VLOOKUP($A288&amp;"_"&amp;$B288,Results_Deltas!$A$2:$P$15000,5,FALSE),"")</f>
        <v/>
      </c>
      <c r="H23" t="inlineStr">
        <is>
          <t>Blanket (page end)</t>
        </is>
      </c>
      <c r="L23" t="inlineStr">
        <is>
          <t>NO</t>
        </is>
      </c>
      <c r="M23" t="n">
        <v>3</v>
      </c>
      <c r="N23" t="n">
        <v>0</v>
      </c>
    </row>
    <row r="24" ht="10.5" customHeight="1" s="67">
      <c r="A24" t="inlineStr">
        <is>
          <t>OI_CONFIRM_ENABLED</t>
        </is>
      </c>
      <c r="B24" t="inlineStr">
        <is>
          <t>True</t>
        </is>
      </c>
      <c r="D24" t="inlineStr">
        <is>
          <t>ENTRY, GLOBAL_CHECK, STOCKS_EXIT</t>
        </is>
      </c>
      <c r="G24">
        <f>IFERROR(VLOOKUP($A418&amp;"_"&amp;$B418,Results_Deltas!$A$2:$P$15000,5,FALSE),"")</f>
        <v/>
      </c>
      <c r="H24" t="inlineStr">
        <is>
          <t>Blanket (page end)</t>
        </is>
      </c>
      <c r="L24" t="inlineStr">
        <is>
          <t>YES</t>
        </is>
      </c>
      <c r="M24" t="n">
        <v>26</v>
      </c>
      <c r="N24" t="n">
        <v>0</v>
      </c>
    </row>
    <row r="25" ht="10.5" customHeight="1" s="67">
      <c r="A25" t="inlineStr">
        <is>
          <t>OI_CONFIRM_MIN_PRICE_PCT</t>
        </is>
      </c>
      <c r="B25" t="inlineStr">
        <is>
          <t>0.5</t>
        </is>
      </c>
      <c r="D25" t="inlineStr">
        <is>
          <t>ENTRY, GLOBAL_CHECK, STOCKS_EXIT</t>
        </is>
      </c>
      <c r="G25">
        <f>IFERROR(VLOOKUP($A426&amp;"_"&amp;$B426,Results_Deltas!$A$2:$P$15000,5,FALSE),"")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IFERROR(VLOOKUP($A341&amp;"_"&amp;$B341,Results_Deltas!$A$2:$P$15000,5,FALSE),"")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IFERROR(VLOOKUP($A259&amp;"_"&amp;$B259,Results_Deltas!$A$2:$P$15000,5,FALSE),"")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IFERROR(VLOOKUP($A271&amp;"_"&amp;$B271,Results_Deltas!$A$2:$P$15000,5,FALSE),"")</f>
        <v/>
      </c>
      <c r="H28" t="inlineStr">
        <is>
          <t>Blanket (page end)</t>
        </is>
      </c>
      <c r="L28" t="inlineStr">
        <is>
          <t>YES</t>
        </is>
      </c>
      <c r="M28" t="n">
        <v>3</v>
      </c>
      <c r="N28" t="n">
        <v>0</v>
      </c>
    </row>
    <row r="29" ht="10.5" customHeight="1" s="67">
      <c r="A29" t="inlineStr">
        <is>
          <t>MTS_BOTTOM_BONUS_THRESHOLD</t>
        </is>
      </c>
      <c r="B29" t="inlineStr">
        <is>
          <t>31.25</t>
        </is>
      </c>
      <c r="D29" t="inlineStr">
        <is>
          <t>ENTRY, GLOBAL_CHECK, STOCKS_EXIT</t>
        </is>
      </c>
      <c r="G29">
        <f>IFERROR(VLOOKUP($A398&amp;"_"&amp;$B398,Results_Deltas!$A$2:$P$15000,5,FALSE),"")</f>
        <v/>
      </c>
      <c r="H29" t="inlineStr">
        <is>
          <t>Blanket (page end)</t>
        </is>
      </c>
      <c r="L29" t="inlineStr">
        <is>
          <t>NO</t>
        </is>
      </c>
      <c r="M29" t="n">
        <v>26</v>
      </c>
      <c r="N29" t="n">
        <v>0</v>
      </c>
    </row>
    <row r="30" ht="10.5" customHeight="1" s="67">
      <c r="A30" t="inlineStr">
        <is>
          <t>MTS_BOTTOM_BONUS_THRESHOLD</t>
        </is>
      </c>
      <c r="B30" t="inlineStr">
        <is>
          <t>25</t>
        </is>
      </c>
      <c r="D30" t="inlineStr">
        <is>
          <t>ENTRY, GLOBAL_CHECK, STOCKS_EXIT</t>
        </is>
      </c>
      <c r="G30">
        <f>IFERROR(VLOOKUP($A397&amp;"_"&amp;$B397,Results_Deltas!$A$2:$P$15000,5,FALSE),"")</f>
        <v/>
      </c>
      <c r="H30" t="inlineStr">
        <is>
          <t>Blanket (page end)</t>
        </is>
      </c>
      <c r="L30" t="inlineStr">
        <is>
          <t>NO</t>
        </is>
      </c>
      <c r="M30" t="n">
        <v>26</v>
      </c>
      <c r="N30" t="n">
        <v>0</v>
      </c>
    </row>
    <row r="31" ht="10.5" customHeight="1" s="67">
      <c r="A31" t="inlineStr">
        <is>
          <t>HA_WICK_QUALITY_TF</t>
        </is>
      </c>
      <c r="B31" t="inlineStr">
        <is>
          <t>D</t>
        </is>
      </c>
      <c r="D31" t="inlineStr">
        <is>
          <t>ENTRY, GLOBAL_CHECK, STOCKS_EXIT</t>
        </is>
      </c>
      <c r="G31">
        <f>IFERROR(VLOOKUP($A335&amp;"_"&amp;$B335,Results_Deltas!$A$2:$P$15000,5,FALSE),"")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IFERROR(VLOOKUP($A279&amp;"_"&amp;$B279,Results_Deltas!$A$2:$P$15000,5,FALSE),"")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IFERROR(VLOOKUP($A253&amp;"_"&amp;$B253,Results_Deltas!$A$2:$P$15000,5,FALSE),"")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IFERROR(VLOOKUP($A255&amp;"_"&amp;$B255,Results_Deltas!$A$2:$P$15000,5,FALSE),"")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IFERROR(VLOOKUP($A399&amp;"_"&amp;$B399,Results_Deltas!$A$2:$P$15000,5,FALSE),"")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IFERROR(VLOOKUP($A302&amp;"_"&amp;$B302,Results_Deltas!$A$2:$P$15000,5,FALSE),"")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IFERROR(VLOOKUP($A261&amp;"_"&amp;$B261,Results_Deltas!$A$2:$P$15000,5,FALSE),"")</f>
        <v/>
      </c>
      <c r="H37" t="inlineStr">
        <is>
          <t>Blanket (page end)</t>
        </is>
      </c>
      <c r="L37" t="inlineStr">
        <is>
          <t>YES</t>
        </is>
      </c>
      <c r="M37" t="n">
        <v>27</v>
      </c>
      <c r="N37" t="n">
        <v>0</v>
      </c>
    </row>
    <row r="38" ht="10.5" customHeight="1" s="67">
      <c r="A38" t="inlineStr">
        <is>
          <t>DUP_GUARD_FILTER_TF</t>
        </is>
      </c>
      <c r="B38" t="inlineStr">
        <is>
          <t>D</t>
        </is>
      </c>
      <c r="D38" t="inlineStr">
        <is>
          <t>GLOBAL_CHECK</t>
        </is>
      </c>
      <c r="G38">
        <f>IFERROR(VLOOKUP($A286&amp;"_"&amp;$B286,Results_Deltas!$A$2:$P$15000,5,FALSE),"")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IFERROR(VLOOKUP($A336&amp;"_"&amp;$B336,Results_Deltas!$A$2:$P$15000,5,FALSE),"")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IFERROR(VLOOKUP($A342&amp;"_"&amp;$B342,Results_Deltas!$A$2:$P$15000,5,FALSE),"")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IFERROR(VLOOKUP($A395&amp;"_"&amp;$B395,Results_Deltas!$A$2:$P$15000,5,FALSE),"")</f>
        <v/>
      </c>
      <c r="H41" t="inlineStr">
        <is>
          <t>Blanket (page end)</t>
        </is>
      </c>
      <c r="L41" t="inlineStr">
        <is>
          <t>YES</t>
        </is>
      </c>
      <c r="M41" t="n">
        <v>26</v>
      </c>
      <c r="N41" t="n">
        <v>0</v>
      </c>
    </row>
    <row r="42" ht="10.5" customHeight="1" s="67">
      <c r="A42" t="inlineStr">
        <is>
          <t>MTF_GR_MIN_IND</t>
        </is>
      </c>
      <c r="B42" t="inlineStr">
        <is>
          <t>5_ALT</t>
        </is>
      </c>
      <c r="D42" t="inlineStr">
        <is>
          <t>GLOBAL_CHECK, STOCKS_EXIT</t>
        </is>
      </c>
      <c r="G42">
        <f>IFERROR(VLOOKUP($A396&amp;"_"&amp;$B396,Results_Deltas!$A$2:$P$15000,5,FALSE),"")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IFERROR(VLOOKUP($A258&amp;"_"&amp;$B258,Results_Deltas!$A$2:$P$15000,5,FALSE),"")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IFERROR(VLOOKUP($A365&amp;"_"&amp;$B365,Results_Deltas!$A$2:$P$15000,5,FALSE),"")</f>
        <v/>
      </c>
      <c r="H44" t="inlineStr">
        <is>
          <t>Blanket (page end)</t>
        </is>
      </c>
      <c r="L44" t="inlineStr">
        <is>
          <t>YES</t>
        </is>
      </c>
      <c r="M44" t="n">
        <v>27</v>
      </c>
      <c r="N44" t="n">
        <v>0</v>
      </c>
    </row>
    <row r="45" ht="10.5" customHeight="1" s="67">
      <c r="A45" t="inlineStr">
        <is>
          <t>LH_HL_FILTER_MODE</t>
        </is>
      </c>
      <c r="B45" t="inlineStr">
        <is>
          <t>STRICT_2BAR</t>
        </is>
      </c>
      <c r="D45" t="inlineStr">
        <is>
          <t>ENTRY, GLOBAL_CHECK, STOCKS_EXIT</t>
        </is>
      </c>
      <c r="G45">
        <f>IFERROR(VLOOKUP($A364&amp;"_"&amp;$B364,Results_Deltas!$A$2:$P$15000,5,FALSE),"")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IFERROR(VLOOKUP($A333&amp;"_"&amp;$B333,Results_Deltas!$A$2:$P$15000,5,FALSE),"")</f>
        <v/>
      </c>
      <c r="H46" t="inlineStr">
        <is>
          <t>Blanket (page end)</t>
        </is>
      </c>
      <c r="L46" t="inlineStr">
        <is>
          <t>YES</t>
        </is>
      </c>
      <c r="M46" t="n">
        <v>27</v>
      </c>
      <c r="N46" t="n">
        <v>0</v>
      </c>
    </row>
    <row r="47" ht="10.5" customHeight="1" s="67">
      <c r="A47" t="inlineStr">
        <is>
          <t>MARKET_QUALITY_SCORE_ENABLED</t>
        </is>
      </c>
      <c r="B47" t="inlineStr">
        <is>
          <t>True</t>
        </is>
      </c>
      <c r="D47" t="inlineStr">
        <is>
          <t>ENTRY, GLOBAL_CHECK, STOCKS_EXIT</t>
        </is>
      </c>
      <c r="G47">
        <f>IFERROR(VLOOKUP($A386&amp;"_"&amp;$B386,Results_Deltas!$A$2:$P$15000,5,FALSE),"")</f>
        <v/>
      </c>
      <c r="H47" t="inlineStr">
        <is>
          <t>Blanket (page end)</t>
        </is>
      </c>
      <c r="L47" t="inlineStr">
        <is>
          <t>YES</t>
        </is>
      </c>
      <c r="M47" t="n">
        <v>26</v>
      </c>
      <c r="N47" t="n">
        <v>0</v>
      </c>
    </row>
    <row r="48" ht="10.5" customHeight="1" s="67">
      <c r="A48" t="inlineStr">
        <is>
          <t>HA_WICK_QUALITY_SCORE</t>
        </is>
      </c>
      <c r="B48" t="inlineStr">
        <is>
          <t>15</t>
        </is>
      </c>
      <c r="D48" t="inlineStr">
        <is>
          <t>ENTRY, GLOBAL_CHECK, STOCKS_EXIT</t>
        </is>
      </c>
      <c r="G48">
        <f>IFERROR(VLOOKUP($A332&amp;"_"&amp;$B332,Results_Deltas!$A$2:$P$15000,5,FALSE),"")</f>
        <v/>
      </c>
      <c r="H48" t="inlineStr">
        <is>
          <t>Blanket (page end)</t>
        </is>
      </c>
      <c r="L48" t="inlineStr">
        <is>
          <t>NO</t>
        </is>
      </c>
      <c r="M48" t="n">
        <v>27</v>
      </c>
      <c r="N48" t="n">
        <v>0</v>
      </c>
    </row>
    <row r="49" ht="10.5" customHeight="1" s="67">
      <c r="A49" t="inlineStr">
        <is>
          <t>OI_CONFIRM_MIN_CHANGE_PCT</t>
        </is>
      </c>
      <c r="B49" t="inlineStr">
        <is>
          <t>0</t>
        </is>
      </c>
      <c r="D49" t="inlineStr">
        <is>
          <t>ENTRY, GLOBAL_CHECK, STOCKS_EXIT</t>
        </is>
      </c>
      <c r="G49">
        <f>IFERROR(VLOOKUP($A419&amp;"_"&amp;$B419,Results_Deltas!$A$2:$P$15000,5,FALSE),"")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IFERROR(VLOOKUP($A296&amp;"_"&amp;$B296,Results_Deltas!$A$2:$P$15000,5,FALSE),"")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IFERROR(VLOOKUP($A400&amp;"_"&amp;$B400,Results_Deltas!$A$2:$P$15000,5,FALSE),"")</f>
        <v/>
      </c>
      <c r="H51" t="inlineStr">
        <is>
          <t>Blanket (page end)</t>
        </is>
      </c>
      <c r="L51" t="inlineStr">
        <is>
          <t>NO</t>
        </is>
      </c>
      <c r="M51" t="n">
        <v>26</v>
      </c>
      <c r="N51" t="n">
        <v>0</v>
      </c>
    </row>
    <row r="52" ht="10.5" customHeight="1" s="67">
      <c r="A52" t="inlineStr">
        <is>
          <t>MTS_BOTTOM_STRONG_THRESHOLD</t>
        </is>
      </c>
      <c r="B52" t="inlineStr">
        <is>
          <t>40</t>
        </is>
      </c>
      <c r="D52" t="inlineStr">
        <is>
          <t>ENTRY, GLOBAL_CHECK, STOCKS_EXIT</t>
        </is>
      </c>
      <c r="G52">
        <f>IFERROR(VLOOKUP($A401&amp;"_"&amp;$B401,Results_Deltas!$A$2:$P$15000,5,FALSE),"")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IFERROR(VLOOKUP($A274&amp;"_"&amp;$B274,Results_Deltas!$A$2:$P$15000,5,FALSE),"")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IFERROR(VLOOKUP($A275&amp;"_"&amp;$B275,Results_Deltas!$A$2:$P$15000,5,FALSE),"")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IFERROR(VLOOKUP($A383&amp;"_"&amp;$B383,Results_Deltas!$A$2:$P$15000,5,FALSE),"")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IFERROR(VLOOKUP($A384&amp;"_"&amp;$B384,Results_Deltas!$A$2:$P$15000,5,FALSE),"")</f>
        <v/>
      </c>
      <c r="H56" t="inlineStr">
        <is>
          <t>Blanket (page end)</t>
        </is>
      </c>
      <c r="L56" t="inlineStr">
        <is>
          <t>NO</t>
        </is>
      </c>
      <c r="M56" t="n">
        <v>26</v>
      </c>
      <c r="N56" t="n">
        <v>0</v>
      </c>
    </row>
    <row r="57" ht="10.5" customHeight="1" s="67">
      <c r="A57" t="inlineStr">
        <is>
          <t>EMA_9_21_FILTER_MIN_TFS</t>
        </is>
      </c>
      <c r="B57" t="inlineStr">
        <is>
          <t>0</t>
        </is>
      </c>
      <c r="D57" t="inlineStr">
        <is>
          <t>GLOBAL_CHECK</t>
        </is>
      </c>
      <c r="G57">
        <f>IFERROR(VLOOKUP($A290&amp;"_"&amp;$B290,Results_Deltas!$A$2:$P$15000,5,FALSE),"")</f>
        <v/>
      </c>
      <c r="H57" t="inlineStr">
        <is>
          <t>Blanket (page end)</t>
        </is>
      </c>
      <c r="L57" t="inlineStr">
        <is>
          <t>YES</t>
        </is>
      </c>
      <c r="M57" t="n">
        <v>3</v>
      </c>
      <c r="N57" t="n">
        <v>0</v>
      </c>
    </row>
    <row r="58" ht="10.5" customHeight="1" s="67">
      <c r="A58" t="inlineStr">
        <is>
          <t>GR_FILTER_VEC_ENABLED</t>
        </is>
      </c>
      <c r="B58" t="inlineStr">
        <is>
          <t>True</t>
        </is>
      </c>
      <c r="D58" t="inlineStr">
        <is>
          <t>GLOBAL_CHECK</t>
        </is>
      </c>
      <c r="G58">
        <f>IFERROR(VLOOKUP($A326&amp;"_"&amp;$B326,Results_Deltas!$A$2:$P$15000,5,FALSE),"")</f>
        <v/>
      </c>
      <c r="H58" t="inlineStr">
        <is>
          <t>Blanket (page end)</t>
        </is>
      </c>
      <c r="L58" t="inlineStr">
        <is>
          <t>YES</t>
        </is>
      </c>
      <c r="M58" t="n">
        <v>3</v>
      </c>
      <c r="N58" t="n">
        <v>0</v>
      </c>
    </row>
    <row r="59" ht="10.5" customHeight="1" s="67">
      <c r="A59" t="inlineStr">
        <is>
          <t>EMA_BLANKET_FILTER_MIN_TFS</t>
        </is>
      </c>
      <c r="B59" t="inlineStr">
        <is>
          <t>0</t>
        </is>
      </c>
      <c r="D59" t="inlineStr">
        <is>
          <t>GLOBAL_CHECK</t>
        </is>
      </c>
      <c r="G59">
        <f>IFERROR(VLOOKUP($A295&amp;"_"&amp;$B295,Results_Deltas!$A$2:$P$15000,5,FALSE),"")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IFERROR(VLOOKUP($A291&amp;"_"&amp;$B291,Results_Deltas!$A$2:$P$15000,5,FALSE),"")</f>
        <v/>
      </c>
      <c r="H60" t="inlineStr">
        <is>
          <t>Blanket (page end)</t>
        </is>
      </c>
      <c r="L60" t="inlineStr">
        <is>
          <t>NO</t>
        </is>
      </c>
      <c r="M60" t="n">
        <v>3</v>
      </c>
      <c r="N60" t="n">
        <v>0</v>
      </c>
    </row>
    <row r="61" ht="10.5" customHeight="1" s="67">
      <c r="A61" t="inlineStr">
        <is>
          <t>OI_CONFIRM_MIN_CHANGE_PCT</t>
        </is>
      </c>
      <c r="B61" t="inlineStr">
        <is>
          <t>1.0</t>
        </is>
      </c>
      <c r="D61" t="inlineStr">
        <is>
          <t>ENTRY, GLOBAL_CHECK, STOCKS_EXIT</t>
        </is>
      </c>
      <c r="G61">
        <f>IFERROR(VLOOKUP($A421&amp;"_"&amp;$B421,Results_Deltas!$A$2:$P$15000,5,FALSE),"")</f>
        <v/>
      </c>
      <c r="H61" t="inlineStr">
        <is>
          <t>Blanket (page end)</t>
        </is>
      </c>
      <c r="L61" t="inlineStr">
        <is>
          <t>NO</t>
        </is>
      </c>
      <c r="M61" t="n">
        <v>26</v>
      </c>
      <c r="N61" t="n">
        <v>0</v>
      </c>
    </row>
    <row r="62" ht="10.5" customHeight="1" s="67">
      <c r="A62" t="inlineStr">
        <is>
          <t>MTS_BOTTOM_STRONG_THRESHOLD</t>
        </is>
      </c>
      <c r="B62" t="inlineStr">
        <is>
          <t>20</t>
        </is>
      </c>
      <c r="D62" t="inlineStr">
        <is>
          <t>ENTRY, GLOBAL_CHECK, STOCKS_EXIT</t>
        </is>
      </c>
      <c r="G62">
        <f>IFERROR(VLOOKUP($A404&amp;"_"&amp;$B404,Results_Deltas!$A$2:$P$15000,5,FALSE),"")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IFERROR(VLOOKUP($A293&amp;"_"&amp;$B293,Results_Deltas!$A$2:$P$15000,5,FALSE),"")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IFERROR(VLOOKUP($A329&amp;"_"&amp;$B329,Results_Deltas!$A$2:$P$15000,5,FALSE),"")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IFERROR(VLOOKUP($A391&amp;"_"&amp;$B391,Results_Deltas!$A$2:$P$15000,5,FALSE),"")</f>
        <v/>
      </c>
      <c r="H65" t="inlineStr">
        <is>
          <t>Blanket (page end)</t>
        </is>
      </c>
      <c r="L65" t="inlineStr">
        <is>
          <t>NO</t>
        </is>
      </c>
      <c r="M65" t="n">
        <v>26</v>
      </c>
      <c r="N65" t="n">
        <v>0</v>
      </c>
    </row>
    <row r="66" ht="10.5" customHeight="1" s="67">
      <c r="A66" t="inlineStr">
        <is>
          <t>HTF_DIRECTION_GATE_ENABLED</t>
        </is>
      </c>
      <c r="B66" t="inlineStr">
        <is>
          <t>True</t>
        </is>
      </c>
      <c r="D66" t="inlineStr">
        <is>
          <t>ENTRY, GLOBAL_CHECK, STOCKS_EXIT</t>
        </is>
      </c>
      <c r="G66">
        <f>IFERROR(VLOOKUP($A349&amp;"_"&amp;$B349,Results_Deltas!$A$2:$P$15000,5,FALSE),"")</f>
        <v/>
      </c>
      <c r="H66" t="inlineStr">
        <is>
          <t>Blanket (page end)</t>
        </is>
      </c>
      <c r="L66" t="inlineStr">
        <is>
          <t>NO</t>
        </is>
      </c>
      <c r="M66" t="n">
        <v>27</v>
      </c>
      <c r="N66" t="n">
        <v>0</v>
      </c>
    </row>
    <row r="67" ht="10.5" customHeight="1" s="67">
      <c r="A67" t="inlineStr">
        <is>
          <t>MTS_GATE_ENABLED</t>
        </is>
      </c>
      <c r="B67" t="inlineStr">
        <is>
          <t>True</t>
        </is>
      </c>
      <c r="D67" t="inlineStr">
        <is>
          <t>ENTRY, GLOBAL_CHECK, STOCKS_EXIT</t>
        </is>
      </c>
      <c r="G67">
        <f>IFERROR(VLOOKUP($A406&amp;"_"&amp;$B406,Results_Deltas!$A$2:$P$15000,5,FALSE),"")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IFERROR(VLOOKUP($A378&amp;"_"&amp;$B378,Results_Deltas!$A$2:$P$15000,5,FALSE),"")</f>
        <v/>
      </c>
      <c r="H68" t="inlineStr">
        <is>
          <t>Blanket (page end)</t>
        </is>
      </c>
      <c r="L68" t="inlineStr">
        <is>
          <t>YES</t>
        </is>
      </c>
      <c r="M68" t="n">
        <v>26</v>
      </c>
      <c r="N68" t="n">
        <v>0</v>
      </c>
    </row>
    <row r="69" ht="10.5" customHeight="1" s="67">
      <c r="A69" t="inlineStr">
        <is>
          <t>HA_WICK_QUALITY_ENABLED</t>
        </is>
      </c>
      <c r="B69" t="inlineStr">
        <is>
          <t>True</t>
        </is>
      </c>
      <c r="D69" t="inlineStr">
        <is>
          <t>ENTRY, GLOBAL_CHECK, STOCKS_EXIT</t>
        </is>
      </c>
      <c r="G69">
        <f>IFERROR(VLOOKUP($A331&amp;"_"&amp;$B331,Results_Deltas!$A$2:$P$15000,5,FALSE),"")</f>
        <v/>
      </c>
      <c r="H69" t="inlineStr">
        <is>
          <t>Blanket (page end)</t>
        </is>
      </c>
      <c r="L69" t="inlineStr">
        <is>
          <t>NO</t>
        </is>
      </c>
      <c r="M69" t="n">
        <v>27</v>
      </c>
      <c r="N69" t="n">
        <v>0</v>
      </c>
    </row>
    <row r="70" ht="10.5" customHeight="1" s="67">
      <c r="A70" t="inlineStr">
        <is>
          <t>NEW_POSITION_MAX_LOSS_THRESHOLD</t>
        </is>
      </c>
      <c r="B70" t="inlineStr">
        <is>
          <t>2.0</t>
        </is>
      </c>
      <c r="D70" t="inlineStr">
        <is>
          <t>AUGMENT, EXIT, GLOBAL_CHECK, REDUCE, STOCKS_EXIT</t>
        </is>
      </c>
      <c r="G70">
        <f>IFERROR(VLOOKUP($A414&amp;"_"&amp;$B414,Results_Deltas!$A$2:$P$15000,5,FALSE),"")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IFERROR(VLOOKUP($A363&amp;"_"&amp;$B363,Results_Deltas!$A$2:$P$15000,5,FALSE),"")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IFERROR(VLOOKUP($A257&amp;"_"&amp;$B257,Results_Deltas!$A$2:$P$15000,5,FALSE),"")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IFERROR(VLOOKUP($A345&amp;"_"&amp;$B345,Results_Deltas!$A$2:$P$15000,5,FALSE),"")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IFERROR(VLOOKUP($A309&amp;"_"&amp;$B309,Results_Deltas!$A$2:$P$15000,5,FALSE),"")</f>
        <v/>
      </c>
      <c r="H74" t="inlineStr">
        <is>
          <t>Blanket (page end)</t>
        </is>
      </c>
      <c r="L74" t="inlineStr">
        <is>
          <t>NO</t>
        </is>
      </c>
      <c r="M74" t="n">
        <v>27</v>
      </c>
      <c r="N74" t="n">
        <v>0</v>
      </c>
    </row>
    <row r="75" ht="10.5" customHeight="1" s="67">
      <c r="A75" t="inlineStr">
        <is>
          <t>OI_CONFIRM_MIN_PRICE_PCT</t>
        </is>
      </c>
      <c r="B75" t="inlineStr">
        <is>
          <t>2.0</t>
        </is>
      </c>
      <c r="D75" t="inlineStr">
        <is>
          <t>ENTRY, GLOBAL_CHECK, STOCKS_EXIT</t>
        </is>
      </c>
      <c r="G75">
        <f>IFERROR(VLOOKUP($A424&amp;"_"&amp;$B424,Results_Deltas!$A$2:$P$15000,5,FALSE),"")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IFERROR(VLOOKUP($A392&amp;"_"&amp;$B392,Results_Deltas!$A$2:$P$15000,5,FALSE),"")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IFERROR(VLOOKUP($A254&amp;"_"&amp;$B254,Results_Deltas!$A$2:$P$15000,5,FALSE),"")</f>
        <v/>
      </c>
      <c r="H77" t="inlineStr">
        <is>
          <t>Blanket (page end)</t>
        </is>
      </c>
      <c r="L77" t="inlineStr">
        <is>
          <t>NO</t>
        </is>
      </c>
      <c r="M77" t="n">
        <v>27</v>
      </c>
      <c r="N77" t="n">
        <v>0</v>
      </c>
    </row>
    <row r="78" ht="10.5" customHeight="1" s="67">
      <c r="A78" t="inlineStr">
        <is>
          <t>HA_WICK_QUALITY_TF</t>
        </is>
      </c>
      <c r="B78" t="inlineStr">
        <is>
          <t>1h</t>
        </is>
      </c>
      <c r="D78" t="inlineStr">
        <is>
          <t>ENTRY, GLOBAL_CHECK, STOCKS_EXIT</t>
        </is>
      </c>
      <c r="G78">
        <f>IFERROR(VLOOKUP($A337&amp;"_"&amp;$B337,Results_Deltas!$A$2:$P$15000,5,FALSE),"")</f>
        <v/>
      </c>
      <c r="H78" t="inlineStr">
        <is>
          <t>Blanket (page end)</t>
        </is>
      </c>
      <c r="L78" t="inlineStr">
        <is>
          <t>YES</t>
        </is>
      </c>
      <c r="M78" t="n">
        <v>27</v>
      </c>
      <c r="N78" t="n">
        <v>0</v>
      </c>
    </row>
    <row r="79" ht="10.5" customHeight="1" s="67">
      <c r="A79" t="inlineStr">
        <is>
          <t>LR_BAND_LADDER_TF_TOP</t>
        </is>
      </c>
      <c r="B79" t="inlineStr">
        <is>
          <t>1</t>
        </is>
      </c>
      <c r="D79" t="inlineStr">
        <is>
          <t>GLOBAL_CHECK, STOCKS_EXIT</t>
        </is>
      </c>
      <c r="G79">
        <f>IFERROR(VLOOKUP($A375&amp;"_"&amp;$B375,Results_Deltas!$A$2:$P$15000,5,FALSE),"")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IFERROR(VLOOKUP($A282&amp;"_"&amp;$B282,Results_Deltas!$A$2:$P$15000,5,FALSE),"")</f>
        <v/>
      </c>
      <c r="H80" t="inlineStr">
        <is>
          <t>Blanket (page end)</t>
        </is>
      </c>
      <c r="L80" t="inlineStr">
        <is>
          <t>YES</t>
        </is>
      </c>
      <c r="M80" t="n">
        <v>27</v>
      </c>
      <c r="N80" t="n">
        <v>0</v>
      </c>
    </row>
    <row r="81" ht="10.5" customHeight="1" s="67">
      <c r="A81" t="inlineStr">
        <is>
          <t>HA_WICK_QUALITY_TF</t>
        </is>
      </c>
      <c r="B81" t="inlineStr">
        <is>
          <t>OFF</t>
        </is>
      </c>
      <c r="D81" t="inlineStr">
        <is>
          <t>ENTRY, GLOBAL_CHECK, STOCKS_EXIT</t>
        </is>
      </c>
      <c r="G81">
        <f>IFERROR(VLOOKUP($A334&amp;"_"&amp;$B334,Results_Deltas!$A$2:$P$15000,5,FALSE),"")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IFERROR(VLOOKUP($A281&amp;"_"&amp;$B281,Results_Deltas!$A$2:$P$15000,5,FALSE),"")</f>
        <v/>
      </c>
      <c r="H82" t="inlineStr">
        <is>
          <t>Blanket (page end)</t>
        </is>
      </c>
      <c r="L82" t="inlineStr">
        <is>
          <t>NO</t>
        </is>
      </c>
      <c r="M82" t="n">
        <v>27</v>
      </c>
      <c r="N82" t="n">
        <v>0</v>
      </c>
    </row>
    <row r="83" ht="10.5" customHeight="1" s="67">
      <c r="A83" t="inlineStr">
        <is>
          <t>LR_BAND_LADDER_TF_BOTTOM</t>
        </is>
      </c>
      <c r="B83" t="inlineStr">
        <is>
          <t>1</t>
        </is>
      </c>
      <c r="D83" t="inlineStr">
        <is>
          <t>GLOBAL_CHECK, STOCKS_EXIT</t>
        </is>
      </c>
      <c r="G83">
        <f>IFERROR(VLOOKUP($A373&amp;"_"&amp;$B373,Results_Deltas!$A$2:$P$15000,5,FALSE),"")</f>
        <v/>
      </c>
      <c r="H83" t="inlineStr">
        <is>
          <t>Blanket (page end)</t>
        </is>
      </c>
      <c r="L83" t="inlineStr">
        <is>
          <t>NO</t>
        </is>
      </c>
      <c r="M83" t="n">
        <v>26</v>
      </c>
      <c r="N83" t="n">
        <v>0</v>
      </c>
    </row>
    <row r="84" ht="10.5" customHeight="1" s="67">
      <c r="A84" t="inlineStr">
        <is>
          <t>MOVER_THRESHOLD</t>
        </is>
      </c>
      <c r="B84" t="inlineStr">
        <is>
          <t>5</t>
        </is>
      </c>
      <c r="D84" t="inlineStr">
        <is>
          <t>ENTRY, GLOBAL_CHECK, STOCKS_EXIT</t>
        </is>
      </c>
      <c r="G84">
        <f>IFERROR(VLOOKUP($A389&amp;"_"&amp;$B389,Results_Deltas!$A$2:$P$15000,5,FALSE),"")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IFERROR(VLOOKUP($A277&amp;"_"&amp;$B277,Results_Deltas!$A$2:$P$15000,5,FALSE),"")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IFERROR(VLOOKUP($A284&amp;"_"&amp;$B284,Results_Deltas!$A$2:$P$15000,5,FALSE),"")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IFERROR(VLOOKUP($A340&amp;"_"&amp;$B340,Results_Deltas!$A$2:$P$15000,5,FALSE),"")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IFERROR(VLOOKUP($A376&amp;"_"&amp;$B376,Results_Deltas!$A$2:$P$15000,5,FALSE),"")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IFERROR(VLOOKUP($A371&amp;"_"&amp;$B371,Results_Deltas!$A$2:$P$15000,5,FALSE),"")</f>
        <v/>
      </c>
      <c r="H89" t="inlineStr">
        <is>
          <t>Blanket (page end)</t>
        </is>
      </c>
      <c r="L89" t="inlineStr">
        <is>
          <t>NO</t>
        </is>
      </c>
      <c r="M89" t="n">
        <v>26</v>
      </c>
      <c r="N89" t="n">
        <v>0</v>
      </c>
    </row>
    <row r="90" ht="10.5" customHeight="1" s="67">
      <c r="A90" t="inlineStr">
        <is>
          <t>LR_BAND_LADDER_STOCH_EXTREME</t>
        </is>
      </c>
      <c r="B90" t="inlineStr">
        <is>
          <t>30.0</t>
        </is>
      </c>
      <c r="D90" t="inlineStr">
        <is>
          <t>GLOBAL_CHECK, STOCKS_EXIT</t>
        </is>
      </c>
      <c r="G90">
        <f>IFERROR(VLOOKUP($A370&amp;"_"&amp;$B370,Results_Deltas!$A$2:$P$15000,5,FALSE),"")</f>
        <v/>
      </c>
      <c r="H90" t="inlineStr">
        <is>
          <t>Blanket (page end)</t>
        </is>
      </c>
      <c r="L90" t="inlineStr">
        <is>
          <t>YES</t>
        </is>
      </c>
      <c r="M90" t="n">
        <v>27</v>
      </c>
      <c r="N90" t="n">
        <v>0</v>
      </c>
    </row>
    <row r="91" ht="10.5" customHeight="1" s="67">
      <c r="A91" t="inlineStr">
        <is>
          <t>MOVER_THRESHOLD</t>
        </is>
      </c>
      <c r="B91" t="inlineStr">
        <is>
          <t>6.25</t>
        </is>
      </c>
      <c r="D91" t="inlineStr">
        <is>
          <t>ENTRY, GLOBAL_CHECK, STOCKS_EXIT</t>
        </is>
      </c>
      <c r="G91">
        <f>IFERROR(VLOOKUP($A390&amp;"_"&amp;$B390,Results_Deltas!$A$2:$P$15000,5,FALSE),"")</f>
        <v/>
      </c>
      <c r="H91" t="inlineStr">
        <is>
          <t>Blanket (page end)</t>
        </is>
      </c>
      <c r="L91" t="inlineStr">
        <is>
          <t>YES</t>
        </is>
      </c>
      <c r="M91" t="n">
        <v>26</v>
      </c>
      <c r="N91" t="n">
        <v>0</v>
      </c>
    </row>
    <row r="92" ht="10.5" customHeight="1" s="67">
      <c r="A92" t="inlineStr">
        <is>
          <t>NEWBORN_LOSS_KILL_GAIN_THRESHOLD_PCT</t>
        </is>
      </c>
      <c r="B92" t="inlineStr">
        <is>
          <t>1.0</t>
        </is>
      </c>
      <c r="D92" t="inlineStr">
        <is>
          <t>AUGMENT, EXIT, GLOBAL_CHECK, REDUCE, STOCKS_EXIT</t>
        </is>
      </c>
      <c r="G92">
        <f>IFERROR(VLOOKUP($A409&amp;"_"&amp;$B409,Results_Deltas!$A$2:$P$15000,5,FALSE),"")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IFERROR(VLOOKUP($A305&amp;"_"&amp;$B305,Results_Deltas!$A$2:$P$15000,5,FALSE),"")</f>
        <v/>
      </c>
      <c r="H93" t="inlineStr">
        <is>
          <t>Blanket (page end)</t>
        </is>
      </c>
      <c r="L93" t="inlineStr">
        <is>
          <t>NO</t>
        </is>
      </c>
      <c r="M93" t="n">
        <v>27</v>
      </c>
      <c r="N93" t="n">
        <v>0</v>
      </c>
    </row>
    <row r="94" ht="10.5" customHeight="1" s="67">
      <c r="A94" t="inlineStr">
        <is>
          <t>NEWBORN_LOSS_KILL_GAIN_THRESHOLD_PCT</t>
        </is>
      </c>
      <c r="B94" t="inlineStr">
        <is>
          <t>0.5</t>
        </is>
      </c>
      <c r="D94" t="inlineStr">
        <is>
          <t>AUGMENT, EXIT, GLOBAL_CHECK, REDUCE, STOCKS_EXIT</t>
        </is>
      </c>
      <c r="G94">
        <f>IFERROR(VLOOKUP($A410&amp;"_"&amp;$B410,Results_Deltas!$A$2:$P$15000,5,FALSE),"")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IFERROR(VLOOKUP($A369&amp;"_"&amp;$B369,Results_Deltas!$A$2:$P$15000,5,FALSE),"")</f>
        <v/>
      </c>
      <c r="H95" t="inlineStr">
        <is>
          <t>Blanket (page end)</t>
        </is>
      </c>
      <c r="L95" t="inlineStr">
        <is>
          <t>NO</t>
        </is>
      </c>
      <c r="M95" t="n">
        <v>23</v>
      </c>
      <c r="N95" t="n">
        <v>0</v>
      </c>
    </row>
    <row r="96" ht="10.5" customHeight="1" s="67">
      <c r="A96" t="inlineStr">
        <is>
          <t>DC_MOMENT_STRONG_THRESHOLD</t>
        </is>
      </c>
      <c r="B96" t="inlineStr">
        <is>
          <t>20</t>
        </is>
      </c>
      <c r="D96" t="inlineStr">
        <is>
          <t>ENTRY, GLOBAL_CHECK, STOCKS_EXIT</t>
        </is>
      </c>
      <c r="G96">
        <f>IFERROR(VLOOKUP($A280&amp;"_"&amp;$B280,Results_Deltas!$A$2:$P$15000,5,FALSE),"")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IFERROR(VLOOKUP($A377&amp;"_"&amp;$B377,Results_Deltas!$A$2:$P$15000,5,FALSE),"")</f>
        <v/>
      </c>
      <c r="H97" t="inlineStr">
        <is>
          <t>Blanket (page end)</t>
        </is>
      </c>
      <c r="L97" t="inlineStr">
        <is>
          <t>NO</t>
        </is>
      </c>
      <c r="M97" t="n">
        <v>26</v>
      </c>
      <c r="N97" t="n">
        <v>0</v>
      </c>
    </row>
    <row r="98" ht="10.5" customHeight="1" s="67">
      <c r="A98" t="inlineStr">
        <is>
          <t>GR_FILTER_VEC_MIN_TFS</t>
        </is>
      </c>
      <c r="B98" t="inlineStr">
        <is>
          <t>2</t>
        </is>
      </c>
      <c r="D98" t="inlineStr">
        <is>
          <t>GLOBAL_CHECK</t>
        </is>
      </c>
      <c r="G98">
        <f>IFERROR(VLOOKUP($A328&amp;"_"&amp;$B328,Results_Deltas!$A$2:$P$15000,5,FALSE),"")</f>
        <v/>
      </c>
      <c r="H98" t="inlineStr">
        <is>
          <t>Blanket (page end)</t>
        </is>
      </c>
      <c r="L98" t="inlineStr">
        <is>
          <t>NO</t>
        </is>
      </c>
      <c r="M98" t="n">
        <v>3</v>
      </c>
      <c r="N98" t="n">
        <v>0</v>
      </c>
    </row>
    <row r="99" ht="10.5" customHeight="1" s="67">
      <c r="A99" t="inlineStr">
        <is>
          <t>NEW_POSITION_MAX_LOSS_THRESHOLD</t>
        </is>
      </c>
      <c r="B99" t="inlineStr">
        <is>
          <t>1.0</t>
        </is>
      </c>
      <c r="D99" t="inlineStr">
        <is>
          <t>AUGMENT, EXIT, GLOBAL_CHECK, REDUCE, STOCKS_EXIT</t>
        </is>
      </c>
      <c r="G99">
        <f>IFERROR(VLOOKUP($A415&amp;"_"&amp;$B415,Results_Deltas!$A$2:$P$15000,5,FALSE),"")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IFERROR(VLOOKUP($A292&amp;"_"&amp;$B292,Results_Deltas!$A$2:$P$15000,5,FALSE),"")</f>
        <v/>
      </c>
      <c r="H100" t="inlineStr">
        <is>
          <t>Blanket (page end)</t>
        </is>
      </c>
      <c r="L100" t="inlineStr">
        <is>
          <t>NO</t>
        </is>
      </c>
      <c r="M100" t="n">
        <v>3</v>
      </c>
      <c r="N100" t="n">
        <v>0</v>
      </c>
    </row>
    <row r="101" ht="10.5" customHeight="1" s="67">
      <c r="A101" t="inlineStr">
        <is>
          <t>OI_CONFIRM_MIN_PRICE_PCT</t>
        </is>
      </c>
      <c r="B101" t="inlineStr">
        <is>
          <t>0</t>
        </is>
      </c>
      <c r="D101" t="inlineStr">
        <is>
          <t>ENTRY, GLOBAL_CHECK, STOCKS_EXIT</t>
        </is>
      </c>
      <c r="G101">
        <f>IFERROR(VLOOKUP($A423&amp;"_"&amp;$B423,Results_Deltas!$A$2:$P$15000,5,FALSE),"")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IFERROR(VLOOKUP($A273&amp;"_"&amp;$B273,Results_Deltas!$A$2:$P$15000,5,FALSE),"")</f>
        <v/>
      </c>
      <c r="H102" t="inlineStr">
        <is>
          <t>Blanket (page end)</t>
        </is>
      </c>
      <c r="L102" t="inlineStr">
        <is>
          <t>NO</t>
        </is>
      </c>
      <c r="M102" t="n">
        <v>23</v>
      </c>
      <c r="N102" t="n">
        <v>0</v>
      </c>
    </row>
    <row r="103" ht="10.5" customHeight="1" s="67">
      <c r="A103" t="inlineStr">
        <is>
          <t>OI_CONFIRM_MIN_CHANGE_PCT</t>
        </is>
      </c>
      <c r="B103" t="inlineStr">
        <is>
          <t>0.5</t>
        </is>
      </c>
      <c r="D103" t="inlineStr">
        <is>
          <t>ENTRY, GLOBAL_CHECK, STOCKS_EXIT</t>
        </is>
      </c>
      <c r="G103">
        <f>IFERROR(VLOOKUP($A422&amp;"_"&amp;$B422,Results_Deltas!$A$2:$P$15000,5,FALSE),"")</f>
        <v/>
      </c>
      <c r="H103" t="inlineStr">
        <is>
          <t>Blanket (page end)</t>
        </is>
      </c>
      <c r="L103" t="inlineStr">
        <is>
          <t>YES</t>
        </is>
      </c>
      <c r="M103" t="n">
        <v>26</v>
      </c>
      <c r="N103" t="n">
        <v>0</v>
      </c>
    </row>
    <row r="104" ht="10.5" customHeight="1" s="67">
      <c r="A104" t="inlineStr">
        <is>
          <t>CRYPTO_SPIKE_FADE_THRESHOLD_PCT</t>
        </is>
      </c>
      <c r="B104" t="inlineStr">
        <is>
          <t>5</t>
        </is>
      </c>
      <c r="D104" t="inlineStr">
        <is>
          <t>GLOBAL_CHECK, STOCKS_EXIT</t>
        </is>
      </c>
      <c r="G104">
        <f>IFERROR(VLOOKUP($A276&amp;"_"&amp;$B276,Results_Deltas!$A$2:$P$15000,5,FALSE),"")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IFERROR(VLOOKUP($A297&amp;"_"&amp;$B297,Results_Deltas!$A$2:$P$15000,5,FALSE),"")</f>
        <v/>
      </c>
      <c r="H105" t="inlineStr">
        <is>
          <t>Blanket (page end)</t>
        </is>
      </c>
      <c r="L105" t="inlineStr">
        <is>
          <t>NO</t>
        </is>
      </c>
      <c r="M105" t="n">
        <v>3</v>
      </c>
      <c r="N105" t="n">
        <v>0</v>
      </c>
    </row>
    <row r="106" ht="10.5" customHeight="1" s="67">
      <c r="A106" t="inlineStr">
        <is>
          <t>NEW_POSITION_MAX_LOSS_THRESHOLD</t>
        </is>
      </c>
      <c r="B106" t="inlineStr">
        <is>
          <t>0.5</t>
        </is>
      </c>
      <c r="D106" t="inlineStr">
        <is>
          <t>AUGMENT, EXIT, GLOBAL_CHECK, REDUCE, STOCKS_EXIT</t>
        </is>
      </c>
      <c r="G106">
        <f>IFERROR(VLOOKUP($A416&amp;"_"&amp;$B416,Results_Deltas!$A$2:$P$15000,5,FALSE),"")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IFERROR(VLOOKUP($A374&amp;"_"&amp;$B374,Results_Deltas!$A$2:$P$15000,5,FALSE),"")</f>
        <v/>
      </c>
      <c r="H107" t="inlineStr">
        <is>
          <t>Blanket (page end)</t>
        </is>
      </c>
      <c r="L107" t="inlineStr">
        <is>
          <t>YES</t>
        </is>
      </c>
      <c r="M107" t="n">
        <v>23</v>
      </c>
      <c r="N107" t="n">
        <v>0</v>
      </c>
    </row>
    <row r="108" ht="10.5" customHeight="1" s="67">
      <c r="A108" t="inlineStr">
        <is>
          <t>NEWBORN_LOSS_KILL_GAIN_THRESHOLD_PCT</t>
        </is>
      </c>
      <c r="B108" t="inlineStr">
        <is>
          <t>2.0</t>
        </is>
      </c>
      <c r="D108" t="inlineStr">
        <is>
          <t>AUGMENT, EXIT, GLOBAL_CHECK, REDUCE, STOCKS_EXIT</t>
        </is>
      </c>
      <c r="G108">
        <f>IFERROR(VLOOKUP($A408&amp;"_"&amp;$B408,Results_Deltas!$A$2:$P$15000,5,FALSE),"")</f>
        <v/>
      </c>
      <c r="H108" t="inlineStr">
        <is>
          <t>Blanket (page end)</t>
        </is>
      </c>
      <c r="L108" t="inlineStr">
        <is>
          <t>NO</t>
        </is>
      </c>
      <c r="M108" t="n">
        <v>24</v>
      </c>
      <c r="N108" t="n">
        <v>0</v>
      </c>
    </row>
    <row r="109" ht="10.5" customHeight="1" s="67">
      <c r="A109" t="inlineStr">
        <is>
          <t>HTF_TREND_VETO_BYPASS_ENABLED</t>
        </is>
      </c>
      <c r="B109" t="inlineStr">
        <is>
          <t>True</t>
        </is>
      </c>
      <c r="D109" t="inlineStr">
        <is>
          <t>GLOBAL_CHECK, STOCKS_EXIT</t>
        </is>
      </c>
      <c r="G109">
        <f>IFERROR(VLOOKUP($A357&amp;"_"&amp;$B357,Results_Deltas!$A$2:$P$15000,5,FALSE),"")</f>
        <v/>
      </c>
      <c r="H109" t="inlineStr">
        <is>
          <t>Blanket (page end)</t>
        </is>
      </c>
      <c r="L109" t="inlineStr">
        <is>
          <t>YES</t>
        </is>
      </c>
      <c r="M109" t="n">
        <v>27</v>
      </c>
      <c r="N109" t="n">
        <v>0</v>
      </c>
    </row>
    <row r="110" ht="10.5" customHeight="1" s="67">
      <c r="A110" t="inlineStr">
        <is>
          <t>LR_BAND_LADDER_TF_BOTTOM</t>
        </is>
      </c>
      <c r="B110" t="inlineStr">
        <is>
          <t>0</t>
        </is>
      </c>
      <c r="D110" t="inlineStr">
        <is>
          <t>GLOBAL_CHECK, STOCKS_EXIT</t>
        </is>
      </c>
      <c r="G110">
        <f>IFERROR(VLOOKUP($A372&amp;"_"&amp;$B372,Results_Deltas!$A$2:$P$15000,5,FALSE),"")</f>
        <v/>
      </c>
      <c r="H110" t="inlineStr">
        <is>
          <t>Blanket (page end)</t>
        </is>
      </c>
      <c r="L110" t="inlineStr">
        <is>
          <t>YES</t>
        </is>
      </c>
      <c r="M110" t="n">
        <v>26</v>
      </c>
      <c r="N110" t="n">
        <v>0</v>
      </c>
    </row>
    <row r="111" ht="10.5" customHeight="1" s="67">
      <c r="A111" t="inlineStr">
        <is>
          <t>BTC_ACCEL_RAMP_REQUIRE_POSITIVE</t>
        </is>
      </c>
      <c r="B111" t="inlineStr">
        <is>
          <t>0.0</t>
        </is>
      </c>
      <c r="D111" t="inlineStr">
        <is>
          <t>UNIVERSAL (ex-BTC) — ENTRY/EXIT/REENTRY</t>
        </is>
      </c>
      <c r="G111">
        <f>IFERROR(VLOOKUP($A262&amp;"_"&amp;$B262,Results_Deltas!$A$2:$P$15000,5,FALSE),"")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IFERROR(VLOOKUP($A263&amp;"_"&amp;$B263,Results_Deltas!$A$2:$P$15000,5,FALSE),"")</f>
        <v/>
      </c>
      <c r="H112" t="inlineStr">
        <is>
          <t>Blanket (page end)</t>
        </is>
      </c>
      <c r="L112" t="inlineStr">
        <is>
          <t>NO</t>
        </is>
      </c>
      <c r="M112" t="n">
        <v>24</v>
      </c>
      <c r="N112" t="n">
        <v>0</v>
      </c>
    </row>
    <row r="113" ht="10.5" customHeight="1" s="67">
      <c r="A113" t="inlineStr">
        <is>
          <t>HTF4_CONF</t>
        </is>
      </c>
      <c r="B113" t="inlineStr">
        <is>
          <t>False_ALT</t>
        </is>
      </c>
      <c r="D113" t="inlineStr">
        <is>
          <t>GLOBAL_CHECK, STOCKS_EXIT</t>
        </is>
      </c>
      <c r="G113">
        <f>IFERROR(VLOOKUP($A347&amp;"_"&amp;$B347,Results_Deltas!$A$2:$P$15000,5,FALSE),"")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IFERROR(VLOOKUP($A264&amp;"_"&amp;$B264,Results_Deltas!$A$2:$P$15000,5,FALSE),"")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IFERROR(VLOOKUP($A265&amp;"_"&amp;$B265,Results_Deltas!$A$2:$P$15000,5,FALSE),"")</f>
        <v/>
      </c>
      <c r="H115" t="inlineStr">
        <is>
          <t>Blanket (page end)</t>
        </is>
      </c>
      <c r="L115" t="inlineStr">
        <is>
          <t>YES</t>
        </is>
      </c>
      <c r="M115" t="n">
        <v>24</v>
      </c>
      <c r="N115" t="n">
        <v>0</v>
      </c>
    </row>
    <row r="116" ht="10.5" customHeight="1" s="67">
      <c r="A116" t="inlineStr">
        <is>
          <t>BTC_ROUND_BANDS_EACH_SIDE</t>
        </is>
      </c>
      <c r="B116" t="inlineStr">
        <is>
          <t>0.0</t>
        </is>
      </c>
      <c r="D116" t="inlineStr">
        <is>
          <t>UNIVERSAL (ex-BTC) — ENTRY/EXIT/REENTRY</t>
        </is>
      </c>
      <c r="G116">
        <f>IFERROR(VLOOKUP($A266&amp;"_"&amp;$B266,Results_Deltas!$A$2:$P$15000,5,FALSE),"")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IFERROR(VLOOKUP($A267&amp;"_"&amp;$B267,Results_Deltas!$A$2:$P$15000,5,FALSE),"")</f>
        <v/>
      </c>
      <c r="H117" t="inlineStr">
        <is>
          <t>Blanket (page end)</t>
        </is>
      </c>
      <c r="L117" t="inlineStr">
        <is>
          <t>NO</t>
        </is>
      </c>
      <c r="M117" t="n">
        <v>24</v>
      </c>
      <c r="N117" t="n">
        <v>0</v>
      </c>
    </row>
    <row r="118" ht="10.5" customHeight="1" s="67">
      <c r="A118" t="inlineStr">
        <is>
          <t>LH_HL_FILTER_REQUIRE_BOTH</t>
        </is>
      </c>
      <c r="B118" t="inlineStr">
        <is>
          <t>False_ALT</t>
        </is>
      </c>
      <c r="D118" t="inlineStr">
        <is>
          <t>ENTRY, GLOBAL_CHECK, STOCKS_EXIT</t>
        </is>
      </c>
      <c r="G118">
        <f>IFERROR(VLOOKUP($A367&amp;"_"&amp;$B367,Results_Deltas!$A$2:$P$15000,5,FALSE),"")</f>
        <v/>
      </c>
      <c r="H118" t="inlineStr">
        <is>
          <t>Blanket (page end)</t>
        </is>
      </c>
      <c r="L118" t="inlineStr">
        <is>
          <t>NO</t>
        </is>
      </c>
      <c r="M118" t="n">
        <v>24</v>
      </c>
      <c r="N118" t="n">
        <v>0</v>
      </c>
    </row>
    <row r="119" ht="10.5" customHeight="1" s="67">
      <c r="A119" t="inlineStr">
        <is>
          <t>GR_FILTER_VEC_MIN_TFS</t>
        </is>
      </c>
      <c r="B119" t="inlineStr">
        <is>
          <t>0</t>
        </is>
      </c>
      <c r="D119" t="inlineStr">
        <is>
          <t>GLOBAL_CHECK</t>
        </is>
      </c>
      <c r="G119">
        <f>IFERROR(VLOOKUP($A327&amp;"_"&amp;$B327,Results_Deltas!$A$2:$P$15000,5,FALSE),"")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IFERROR(VLOOKUP($A256&amp;"_"&amp;$B256,Results_Deltas!$A$2:$P$15000,5,FALSE),"")</f>
        <v/>
      </c>
      <c r="H120" t="inlineStr">
        <is>
          <t>Blanket (page end)</t>
        </is>
      </c>
      <c r="L120" t="inlineStr">
        <is>
          <t>NO</t>
        </is>
      </c>
      <c r="M120" t="n">
        <v>24</v>
      </c>
      <c r="N120" t="n">
        <v>0</v>
      </c>
    </row>
    <row r="121" ht="10.5" customHeight="1" s="67">
      <c r="A121" t="inlineStr">
        <is>
          <t>LEADERBOARD_FILTER</t>
        </is>
      </c>
      <c r="B121" t="inlineStr">
        <is>
          <t>False_ALT</t>
        </is>
      </c>
      <c r="D121" t="inlineStr">
        <is>
          <t>AUGMENT, ENTRY, EXIT, GLOBAL_CHECK, REDUCE, STOCKS_EXIT</t>
        </is>
      </c>
      <c r="G121">
        <f>IFERROR(VLOOKUP($A361&amp;"_"&amp;$B361,Results_Deltas!$A$2:$P$15000,5,FALSE),"")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IFERROR(VLOOKUP($A315&amp;"_"&amp;$B315,Results_Deltas!$A$2:$P$15000,5,FALSE),"")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IFERROR(VLOOKUP($A316&amp;"_"&amp;$B316,Results_Deltas!$A$2:$P$15000,5,FALSE),"")</f>
        <v/>
      </c>
      <c r="H123" t="inlineStr">
        <is>
          <t>Blanket (page end)</t>
        </is>
      </c>
      <c r="L123" t="inlineStr">
        <is>
          <t>YES</t>
        </is>
      </c>
      <c r="M123" t="n">
        <v>24</v>
      </c>
      <c r="N123" t="n">
        <v>0</v>
      </c>
    </row>
    <row r="124" ht="10.5" customHeight="1" s="67">
      <c r="A124" t="inlineStr">
        <is>
          <t>FUNDING_GATE_MTF_REQUIRED</t>
        </is>
      </c>
      <c r="B124" t="inlineStr">
        <is>
          <t>0.0</t>
        </is>
      </c>
      <c r="D124" t="inlineStr">
        <is>
          <t>ENTRY, GLOBAL_CHECK, STOCKS_EXIT</t>
        </is>
      </c>
      <c r="G124">
        <f>IFERROR(VLOOKUP($A317&amp;"_"&amp;$B317,Results_Deltas!$A$2:$P$15000,5,FALSE),"")</f>
        <v/>
      </c>
      <c r="H124" t="inlineStr">
        <is>
          <t>Blanket (page end)</t>
        </is>
      </c>
      <c r="L124" t="inlineStr">
        <is>
          <t>NO</t>
        </is>
      </c>
      <c r="M124" t="n">
        <v>24</v>
      </c>
      <c r="N124" t="n">
        <v>0</v>
      </c>
    </row>
    <row r="125" ht="10.5" customHeight="1" s="67">
      <c r="A125" t="inlineStr">
        <is>
          <t>FUNDING_GATE_MTF_REQUIRED</t>
        </is>
      </c>
      <c r="B125" t="inlineStr">
        <is>
          <t>0.0_ALT</t>
        </is>
      </c>
      <c r="D125" t="inlineStr">
        <is>
          <t>ENTRY, GLOBAL_CHECK, STOCKS_EXIT</t>
        </is>
      </c>
      <c r="G125">
        <f>IFERROR(VLOOKUP($A318&amp;"_"&amp;$B318,Results_Deltas!$A$2:$P$15000,5,FALSE),"")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IFERROR(VLOOKUP($A319&amp;"_"&amp;$B319,Results_Deltas!$A$2:$P$15000,5,FALSE),"")</f>
        <v/>
      </c>
      <c r="H126" t="inlineStr">
        <is>
          <t>Blanket (page end)</t>
        </is>
      </c>
      <c r="L126" t="inlineStr">
        <is>
          <t>YES</t>
        </is>
      </c>
      <c r="M126" t="n">
        <v>24</v>
      </c>
      <c r="N126" t="n">
        <v>0</v>
      </c>
    </row>
    <row r="127" ht="10.5" customHeight="1" s="67">
      <c r="A127" t="inlineStr">
        <is>
          <t>FUNDING_GATE_SHORT_MIN</t>
        </is>
      </c>
      <c r="B127" t="inlineStr">
        <is>
          <t>0.0_ALT</t>
        </is>
      </c>
      <c r="D127" t="inlineStr">
        <is>
          <t>ENTRY, GLOBAL_CHECK, STOCKS_EXIT</t>
        </is>
      </c>
      <c r="G127">
        <f>IFERROR(VLOOKUP($A320&amp;"_"&amp;$B320,Results_Deltas!$A$2:$P$15000,5,FALSE),"")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IFERROR(VLOOKUP($A252&amp;"_"&amp;$B252,Results_Deltas!$A$2:$P$15000,5,FALSE),"")</f>
        <v/>
      </c>
      <c r="H128" t="inlineStr">
        <is>
          <t>Blanket (page end)</t>
        </is>
      </c>
      <c r="L128" t="inlineStr">
        <is>
          <t>NO</t>
        </is>
      </c>
      <c r="M128" t="n">
        <v>24</v>
      </c>
      <c r="N128" t="n">
        <v>0</v>
      </c>
    </row>
    <row r="129" ht="10.5" customHeight="1" s="67">
      <c r="A129" t="inlineStr">
        <is>
          <t>FUNDING_GATE_FILTER_TF</t>
        </is>
      </c>
      <c r="B129" t="inlineStr">
        <is>
          <t>15m</t>
        </is>
      </c>
      <c r="D129" t="inlineStr">
        <is>
          <t>GLOBAL_CHECK</t>
        </is>
      </c>
      <c r="G129">
        <f>IFERROR(VLOOKUP($A314&amp;"_"&amp;$B314,Results_Deltas!$A$2:$P$15000,5,FALSE),"")</f>
        <v/>
      </c>
      <c r="H129" t="inlineStr">
        <is>
          <t>Blanket (page end)</t>
        </is>
      </c>
      <c r="L129" t="inlineStr">
        <is>
          <t>NO</t>
        </is>
      </c>
      <c r="M129" t="n">
        <v>3</v>
      </c>
      <c r="N129" t="n">
        <v>0</v>
      </c>
    </row>
    <row r="130" ht="10.5" customHeight="1" s="67">
      <c r="A130" t="inlineStr">
        <is>
          <t>LH_HL_FILTER_REQUIRE_BOTH</t>
        </is>
      </c>
      <c r="B130" t="inlineStr">
        <is>
          <t>False</t>
        </is>
      </c>
      <c r="D130" t="inlineStr">
        <is>
          <t>ENTRY, GLOBAL_CHECK, STOCKS_EXIT</t>
        </is>
      </c>
      <c r="G130">
        <f>IFERROR(VLOOKUP($A366&amp;"_"&amp;$B366,Results_Deltas!$A$2:$P$15000,5,FALSE),"")</f>
        <v/>
      </c>
      <c r="H130" t="inlineStr">
        <is>
          <t>Blanket (page end)</t>
        </is>
      </c>
      <c r="L130" t="inlineStr">
        <is>
          <t>NO</t>
        </is>
      </c>
      <c r="M130" t="n">
        <v>9</v>
      </c>
      <c r="N130" t="n">
        <v>0</v>
      </c>
    </row>
    <row r="131" ht="10.5" customHeight="1" s="67">
      <c r="A131" t="inlineStr">
        <is>
          <t>HTF_GATE_MIN_CONFIRMATIONS</t>
        </is>
      </c>
      <c r="B131" t="inlineStr">
        <is>
          <t>0.0</t>
        </is>
      </c>
      <c r="D131" t="inlineStr">
        <is>
          <t>ENTRY, GLOBAL_CHECK, STOCKS_EXIT</t>
        </is>
      </c>
      <c r="G131">
        <f>IFERROR(VLOOKUP($A354&amp;"_"&amp;$B354,Results_Deltas!$A$2:$P$15000,5,FALSE),"")</f>
        <v/>
      </c>
      <c r="H131" t="inlineStr">
        <is>
          <t>Blanket (page end)</t>
        </is>
      </c>
      <c r="L131" t="inlineStr">
        <is>
          <t>NO</t>
        </is>
      </c>
      <c r="M131" t="n">
        <v>24</v>
      </c>
      <c r="N131" t="n">
        <v>0</v>
      </c>
    </row>
    <row r="132" ht="10.5" customHeight="1" s="67">
      <c r="A132" t="inlineStr">
        <is>
          <t>HTF_GATE_MIN_CONFIRMATIONS</t>
        </is>
      </c>
      <c r="B132" t="inlineStr">
        <is>
          <t>0.0_ALT</t>
        </is>
      </c>
      <c r="D132" t="inlineStr">
        <is>
          <t>ENTRY, GLOBAL_CHECK, STOCKS_EXIT</t>
        </is>
      </c>
      <c r="G132">
        <f>IFERROR(VLOOKUP($A355&amp;"_"&amp;$B355,Results_Deltas!$A$2:$P$15000,5,FALSE),"")</f>
        <v/>
      </c>
      <c r="H132" t="inlineStr">
        <is>
          <t>Blanket (page end)</t>
        </is>
      </c>
      <c r="L132" t="inlineStr">
        <is>
          <t>YES</t>
        </is>
      </c>
      <c r="M132" t="n">
        <v>24</v>
      </c>
      <c r="N132" t="n">
        <v>0</v>
      </c>
    </row>
    <row r="133" ht="10.5" customHeight="1" s="67">
      <c r="A133" t="inlineStr">
        <is>
          <t>GR_FILTER_ALL_ENTRIES</t>
        </is>
      </c>
      <c r="B133" t="inlineStr">
        <is>
          <t>0.0</t>
        </is>
      </c>
      <c r="D133" t="inlineStr">
        <is>
          <t>GLOBAL_CHECK, STOCKS_EXIT</t>
        </is>
      </c>
      <c r="G133">
        <f>IFERROR(VLOOKUP($A323&amp;"_"&amp;$B323,Results_Deltas!$A$2:$P$15000,5,FALSE),"")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IFERROR(VLOOKUP($A324&amp;"_"&amp;$B324,Results_Deltas!$A$2:$P$15000,5,FALSE),"")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IFERROR(VLOOKUP($A330&amp;"_"&amp;$B330,Results_Deltas!$A$2:$P$15000,5,FALSE),"")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IFERROR(VLOOKUP($A322&amp;"_"&amp;$B322,Results_Deltas!$A$2:$P$15000,5,FALSE),"")</f>
        <v/>
      </c>
      <c r="H136" t="inlineStr">
        <is>
          <t>Blanket (page end)</t>
        </is>
      </c>
      <c r="L136" t="inlineStr">
        <is>
          <t>NO</t>
        </is>
      </c>
      <c r="M136" t="n">
        <v>24</v>
      </c>
      <c r="N136" t="n">
        <v>0</v>
      </c>
    </row>
    <row r="137" ht="10.5" customHeight="1" s="67">
      <c r="A137" t="inlineStr">
        <is>
          <t>GOLDEN_RULE_BASE_USD</t>
        </is>
      </c>
      <c r="B137" t="inlineStr">
        <is>
          <t>0.0</t>
        </is>
      </c>
      <c r="D137" t="inlineStr">
        <is>
          <t>GLOBAL_CHECK, STOCKS_EXIT</t>
        </is>
      </c>
      <c r="G137">
        <f>IFERROR(VLOOKUP($A321&amp;"_"&amp;$B321,Results_Deltas!$A$2:$P$15000,5,FALSE),"")</f>
        <v/>
      </c>
      <c r="H137" t="inlineStr">
        <is>
          <t>Blanket (page end)</t>
        </is>
      </c>
      <c r="L137" t="inlineStr">
        <is>
          <t>YES</t>
        </is>
      </c>
      <c r="M137" t="n">
        <v>24</v>
      </c>
      <c r="N137" t="n">
        <v>0</v>
      </c>
    </row>
    <row r="138" ht="10.5" customHeight="1" s="67">
      <c r="A138" t="inlineStr">
        <is>
          <t>LEADERBOARD_FILTER</t>
        </is>
      </c>
      <c r="B138" t="inlineStr">
        <is>
          <t>False</t>
        </is>
      </c>
      <c r="D138" t="inlineStr">
        <is>
          <t>AUGMENT, ENTRY, EXIT, GLOBAL_CHECK, REDUCE, STOCKS_EXIT</t>
        </is>
      </c>
      <c r="G138">
        <f>IFERROR(VLOOKUP($A360&amp;"_"&amp;$B360,Results_Deltas!$A$2:$P$15000,5,FALSE),"")</f>
        <v/>
      </c>
      <c r="H138" t="inlineStr">
        <is>
          <t>Blanket (page end)</t>
        </is>
      </c>
      <c r="L138" t="inlineStr">
        <is>
          <t>NO</t>
        </is>
      </c>
      <c r="M138" t="n">
        <v>9</v>
      </c>
      <c r="N138" t="n">
        <v>0</v>
      </c>
    </row>
    <row r="139" ht="10.5" customHeight="1" s="67">
      <c r="A139" t="inlineStr">
        <is>
          <t>HTF4_CONF</t>
        </is>
      </c>
      <c r="B139" t="inlineStr">
        <is>
          <t>False</t>
        </is>
      </c>
      <c r="D139" t="inlineStr">
        <is>
          <t>GLOBAL_CHECK, STOCKS_EXIT</t>
        </is>
      </c>
      <c r="G139">
        <f>IFERROR(VLOOKUP($A346&amp;"_"&amp;$B346,Results_Deltas!$A$2:$P$15000,5,FALSE),"")</f>
        <v/>
      </c>
      <c r="H139" t="inlineStr">
        <is>
          <t>Blanket (page end)</t>
        </is>
      </c>
      <c r="L139" t="inlineStr">
        <is>
          <t>YES</t>
        </is>
      </c>
      <c r="M139" t="n">
        <v>9</v>
      </c>
      <c r="N139" t="n">
        <v>0</v>
      </c>
    </row>
    <row r="140" ht="10.5" customHeight="1" s="67">
      <c r="A140" t="inlineStr">
        <is>
          <t>LH_HL_FILTER_ENABLED</t>
        </is>
      </c>
      <c r="B140" t="inlineStr">
        <is>
          <t>False</t>
        </is>
      </c>
      <c r="D140" t="inlineStr">
        <is>
          <t>ENTRY, GLOBAL_CHECK, STOCKS_EXIT</t>
        </is>
      </c>
      <c r="G140">
        <f>IFERROR(VLOOKUP($A362&amp;"_"&amp;$B362,Results_Deltas!$A$2:$P$15000,5,FALSE),"")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IFERROR(VLOOKUP($A325&amp;"_"&amp;$B325,Results_Deltas!$A$2:$P$15000,5,FALSE),"")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IFERROR(VLOOKUP($A289&amp;"_"&amp;$B289,Results_Deltas!$A$2:$P$15000,5,FALSE),"")</f>
        <v/>
      </c>
      <c r="H142" t="inlineStr">
        <is>
          <t>Blanket (page end)</t>
        </is>
      </c>
      <c r="L142" t="inlineStr">
        <is>
          <t>NO</t>
        </is>
      </c>
      <c r="M142" t="n">
        <v>3</v>
      </c>
      <c r="N142" t="n">
        <v>0</v>
      </c>
    </row>
    <row r="143" ht="10.5" customHeight="1" s="67">
      <c r="A143" t="inlineStr">
        <is>
          <t>OI_CONFIRM_ENABLED</t>
        </is>
      </c>
      <c r="B143" t="inlineStr">
        <is>
          <t>False</t>
        </is>
      </c>
      <c r="D143" t="inlineStr">
        <is>
          <t>ENTRY, GLOBAL_CHECK, STOCKS_EXIT</t>
        </is>
      </c>
      <c r="G143">
        <f>IFERROR(VLOOKUP($A417&amp;"_"&amp;$B417,Results_Deltas!$A$2:$P$15000,5,FALSE),"")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IFERROR(VLOOKUP($A294&amp;"_"&amp;$B294,Results_Deltas!$A$2:$P$15000,5,FALSE),"")</f>
        <v/>
      </c>
      <c r="H144" t="inlineStr">
        <is>
          <t>Blanket (page end)</t>
        </is>
      </c>
      <c r="L144" t="inlineStr">
        <is>
          <t>YES</t>
        </is>
      </c>
      <c r="M144" t="n">
        <v>3</v>
      </c>
      <c r="N144" t="n">
        <v>0</v>
      </c>
    </row>
    <row r="145" ht="10.5" customHeight="1" s="67">
      <c r="A145" t="inlineStr">
        <is>
          <t>MTS_GATE_ENABLED</t>
        </is>
      </c>
      <c r="B145" t="inlineStr">
        <is>
          <t>False</t>
        </is>
      </c>
      <c r="D145" t="inlineStr">
        <is>
          <t>ENTRY, GLOBAL_CHECK, STOCKS_EXIT</t>
        </is>
      </c>
      <c r="G145">
        <f>IFERROR(VLOOKUP($A405&amp;"_"&amp;$B405,Results_Deltas!$A$2:$P$15000,5,FALSE),"")</f>
        <v/>
      </c>
      <c r="H145" t="inlineStr">
        <is>
          <t>Blanket (page end)</t>
        </is>
      </c>
      <c r="L145" t="inlineStr">
        <is>
          <t>NO</t>
        </is>
      </c>
      <c r="M145" t="n">
        <v>9</v>
      </c>
      <c r="N145" t="n">
        <v>0</v>
      </c>
    </row>
    <row r="146" ht="10.5" customHeight="1" s="67">
      <c r="A146" t="inlineStr">
        <is>
          <t>MI_TF_AGREE_MIN</t>
        </is>
      </c>
      <c r="B146" t="inlineStr">
        <is>
          <t>0.0</t>
        </is>
      </c>
      <c r="D146" t="inlineStr">
        <is>
          <t>ENTRY, GLOBAL_CHECK, STOCKS_EXIT</t>
        </is>
      </c>
      <c r="G146">
        <f>IFERROR(VLOOKUP($A387&amp;"_"&amp;$B387,Results_Deltas!$A$2:$P$15000,5,FALSE),"")</f>
        <v/>
      </c>
      <c r="H146" t="inlineStr">
        <is>
          <t>Blanket (page end)</t>
        </is>
      </c>
      <c r="L146" t="inlineStr">
        <is>
          <t>NO</t>
        </is>
      </c>
      <c r="M146" t="n">
        <v>24</v>
      </c>
      <c r="N146" t="n">
        <v>0</v>
      </c>
    </row>
    <row r="147" ht="10.5" customHeight="1" s="67">
      <c r="A147" t="inlineStr">
        <is>
          <t>MI_TF_AGREE_MIN</t>
        </is>
      </c>
      <c r="B147" t="inlineStr">
        <is>
          <t>0.0_ALT</t>
        </is>
      </c>
      <c r="D147" t="inlineStr">
        <is>
          <t>ENTRY, GLOBAL_CHECK, STOCKS_EXIT</t>
        </is>
      </c>
      <c r="G147">
        <f>IFERROR(VLOOKUP($A388&amp;"_"&amp;$B388,Results_Deltas!$A$2:$P$15000,5,FALSE),"")</f>
        <v/>
      </c>
      <c r="H147" t="inlineStr">
        <is>
          <t>Blanket (page end)</t>
        </is>
      </c>
      <c r="L147" t="inlineStr">
        <is>
          <t>NO</t>
        </is>
      </c>
      <c r="M147" t="n">
        <v>24</v>
      </c>
      <c r="N147" t="n">
        <v>0</v>
      </c>
    </row>
    <row r="148" ht="10.5" customHeight="1" s="67">
      <c r="A148" t="inlineStr">
        <is>
          <t>HLR_SMA_BAND_PCT</t>
        </is>
      </c>
      <c r="B148" t="inlineStr">
        <is>
          <t>0</t>
        </is>
      </c>
      <c r="D148" t="inlineStr">
        <is>
          <t>ENTRY, GLOBAL_CHECK, STOCKS_EXIT</t>
        </is>
      </c>
      <c r="G148">
        <f>IFERROR(VLOOKUP($A339&amp;"_"&amp;$B339,Results_Deltas!$A$2:$P$15000,5,FALSE),"")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IFERROR(VLOOKUP($A299&amp;"_"&amp;$B299,Results_Deltas!$A$2:$P$15000,5,FALSE),"")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IFERROR(VLOOKUP($A298&amp;"_"&amp;$B298,Results_Deltas!$A$2:$P$15000,5,FALSE),"")</f>
        <v/>
      </c>
      <c r="H150" t="inlineStr">
        <is>
          <t>Blanket (page end)</t>
        </is>
      </c>
      <c r="L150" t="inlineStr">
        <is>
          <t>NO</t>
        </is>
      </c>
      <c r="M150" t="n">
        <v>24</v>
      </c>
      <c r="N150" t="n">
        <v>0</v>
      </c>
    </row>
    <row r="151" ht="10.5" customHeight="1" s="67">
      <c r="A151" t="inlineStr">
        <is>
          <t>HLR_TOP_MIN_TFS</t>
        </is>
      </c>
      <c r="B151" t="inlineStr">
        <is>
          <t>0</t>
        </is>
      </c>
      <c r="D151" t="inlineStr">
        <is>
          <t>GLOBAL_CHECK, REENTRY, STOCKS_EXIT</t>
        </is>
      </c>
      <c r="G151">
        <f>IFERROR(VLOOKUP($A343&amp;"_"&amp;$B343,Results_Deltas!$A$2:$P$15000,5,FALSE),"")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IFERROR(VLOOKUP($A272&amp;"_"&amp;$B272,Results_Deltas!$A$2:$P$15000,5,FALSE),"")</f>
        <v/>
      </c>
      <c r="H152" t="inlineStr">
        <is>
          <t>Blanket (page end)</t>
        </is>
      </c>
      <c r="L152" t="inlineStr">
        <is>
          <t>NO</t>
        </is>
      </c>
      <c r="M152" t="n">
        <v>3</v>
      </c>
      <c r="N152" t="n">
        <v>0</v>
      </c>
    </row>
    <row r="153" ht="10.5" customHeight="1" s="67">
      <c r="A153" t="inlineStr">
        <is>
          <t>HA_WICK_QUALITY_TF</t>
        </is>
      </c>
      <c r="B153" t="inlineStr">
        <is>
          <t>15m</t>
        </is>
      </c>
      <c r="D153" t="inlineStr">
        <is>
          <t>ENTRY, GLOBAL_CHECK, STOCKS_EXIT</t>
        </is>
      </c>
      <c r="G153">
        <f>IFERROR(VLOOKUP($A338&amp;"_"&amp;$B338,Results_Deltas!$A$2:$P$15000,5,FALSE),"")</f>
        <v/>
      </c>
      <c r="H153" t="inlineStr">
        <is>
          <t>Blanket (page end)</t>
        </is>
      </c>
      <c r="L153" t="inlineStr">
        <is>
          <t>NO</t>
        </is>
      </c>
      <c r="M153" t="n">
        <v>9</v>
      </c>
      <c r="N153" t="n">
        <v>0</v>
      </c>
    </row>
    <row r="154" ht="10.5" customHeight="1" s="67">
      <c r="A154" t="inlineStr">
        <is>
          <t>EZ_MANAGE_THROTTLER_RATE</t>
        </is>
      </c>
      <c r="B154" t="inlineStr">
        <is>
          <t>0.0</t>
        </is>
      </c>
      <c r="D154" t="inlineStr">
        <is>
          <t>GLOBAL_CHECK, STOCKS_EXIT</t>
        </is>
      </c>
      <c r="G154">
        <f>IFERROR(VLOOKUP($A300&amp;"_"&amp;$B300,Results_Deltas!$A$2:$P$15000,5,FALSE),"")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IFERROR(VLOOKUP($A301&amp;"_"&amp;$B301,Results_Deltas!$A$2:$P$15000,5,FALSE),"")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IFERROR(VLOOKUP($A260&amp;"_"&amp;$B260,Results_Deltas!$A$2:$P$15000,5,FALSE),"")</f>
        <v/>
      </c>
      <c r="H156" t="inlineStr">
        <is>
          <t>Blanket (page end)</t>
        </is>
      </c>
      <c r="L156" t="inlineStr">
        <is>
          <t>YES</t>
        </is>
      </c>
      <c r="M156" t="n">
        <v>9</v>
      </c>
      <c r="N156" t="n">
        <v>0</v>
      </c>
    </row>
    <row r="157" ht="10.5" customHeight="1" s="67">
      <c r="A157" t="inlineStr">
        <is>
          <t>NEW_POSITION_MAX_LOSS_THRESHOLD</t>
        </is>
      </c>
      <c r="B157" t="inlineStr">
        <is>
          <t>0</t>
        </is>
      </c>
      <c r="D157" t="inlineStr">
        <is>
          <t>AUGMENT, EXIT, GLOBAL_CHECK, REDUCE, STOCKS_EXIT</t>
        </is>
      </c>
      <c r="G157">
        <f>IFERROR(VLOOKUP($A413&amp;"_"&amp;$B413,Results_Deltas!$A$2:$P$15000,5,FALSE),"")</f>
        <v/>
      </c>
      <c r="H157" t="inlineStr">
        <is>
          <t>Blanket (page end)</t>
        </is>
      </c>
      <c r="L157" t="inlineStr">
        <is>
          <t>NO</t>
        </is>
      </c>
      <c r="M157" t="n">
        <v>24</v>
      </c>
      <c r="N157" t="n">
        <v>0</v>
      </c>
    </row>
    <row r="158" ht="10.5" customHeight="1" s="67">
      <c r="A158" t="inlineStr">
        <is>
          <t>HTF_GATE_D_MANDATORY</t>
        </is>
      </c>
      <c r="B158" t="inlineStr">
        <is>
          <t>0.0_ALT</t>
        </is>
      </c>
      <c r="D158" t="inlineStr">
        <is>
          <t>ENTRY, GLOBAL_CHECK, STOCKS_EXIT</t>
        </is>
      </c>
      <c r="G158">
        <f>IFERROR(VLOOKUP($A353&amp;"_"&amp;$B353,Results_Deltas!$A$2:$P$15000,5,FALSE),"")</f>
        <v/>
      </c>
      <c r="H158" t="inlineStr">
        <is>
          <t>Blanket (page end)</t>
        </is>
      </c>
      <c r="L158" t="inlineStr">
        <is>
          <t>YES</t>
        </is>
      </c>
      <c r="M158" t="n">
        <v>24</v>
      </c>
      <c r="N158" t="n">
        <v>0</v>
      </c>
    </row>
    <row r="159" ht="10.5" customHeight="1" s="67">
      <c r="A159" t="inlineStr">
        <is>
          <t>DELTA_REENTRY_FILTER_ENABLED</t>
        </is>
      </c>
      <c r="B159" t="inlineStr">
        <is>
          <t>False</t>
        </is>
      </c>
      <c r="D159" t="inlineStr">
        <is>
          <t>ENTRY, GLOBAL_CHECK, STOCKS_EXIT</t>
        </is>
      </c>
      <c r="G159">
        <f>IFERROR(VLOOKUP($A283&amp;"_"&amp;$B283,Results_Deltas!$A$2:$P$15000,5,FALSE),"")</f>
        <v/>
      </c>
      <c r="H159" t="inlineStr">
        <is>
          <t>Blanket (page end)</t>
        </is>
      </c>
      <c r="L159" t="inlineStr">
        <is>
          <t>NO</t>
        </is>
      </c>
      <c r="M159" t="n">
        <v>9</v>
      </c>
      <c r="N159" t="n">
        <v>0</v>
      </c>
    </row>
    <row r="160" ht="10.5" customHeight="1" s="67">
      <c r="A160" t="inlineStr">
        <is>
          <t>HTF_GATE_D_MANDATORY</t>
        </is>
      </c>
      <c r="B160" t="inlineStr">
        <is>
          <t>0.0</t>
        </is>
      </c>
      <c r="D160" t="inlineStr">
        <is>
          <t>ENTRY, GLOBAL_CHECK, STOCKS_EXIT</t>
        </is>
      </c>
      <c r="G160">
        <f>IFERROR(VLOOKUP($A352&amp;"_"&amp;$B352,Results_Deltas!$A$2:$P$15000,5,FALSE),"")</f>
        <v/>
      </c>
      <c r="H160" t="inlineStr">
        <is>
          <t>Blanket (page end)</t>
        </is>
      </c>
      <c r="L160" t="inlineStr">
        <is>
          <t>NO</t>
        </is>
      </c>
      <c r="M160" t="n">
        <v>24</v>
      </c>
      <c r="N160" t="n">
        <v>0</v>
      </c>
    </row>
    <row r="161" ht="10.5" customHeight="1" s="67">
      <c r="A161" t="inlineStr">
        <is>
          <t>MANDATORY_REENTRY_WT_FILTER_REQUIRE_FLIP</t>
        </is>
      </c>
      <c r="B161" t="inlineStr">
        <is>
          <t>False_ALT</t>
        </is>
      </c>
      <c r="D161" t="inlineStr">
        <is>
          <t>GLOBAL_CHECK, STOCKS_EXIT</t>
        </is>
      </c>
      <c r="G161">
        <f>IFERROR(VLOOKUP($A382&amp;"_"&amp;$B382,Results_Deltas!$A$2:$P$15000,5,FALSE),"")</f>
        <v/>
      </c>
      <c r="H161" t="inlineStr">
        <is>
          <t>Blanket (page end)</t>
        </is>
      </c>
      <c r="L161" t="inlineStr">
        <is>
          <t>NO</t>
        </is>
      </c>
      <c r="M161" t="n">
        <v>24</v>
      </c>
      <c r="N161" t="n">
        <v>0</v>
      </c>
    </row>
    <row r="162" ht="10.5" customHeight="1" s="67">
      <c r="A162" t="inlineStr">
        <is>
          <t>MARKET_QUALITY_SCORE_ENABLED</t>
        </is>
      </c>
      <c r="B162" t="inlineStr">
        <is>
          <t>False</t>
        </is>
      </c>
      <c r="D162" t="inlineStr">
        <is>
          <t>ENTRY, GLOBAL_CHECK, STOCKS_EXIT</t>
        </is>
      </c>
      <c r="G162">
        <f>IFERROR(VLOOKUP($A385&amp;"_"&amp;$B385,Results_Deltas!$A$2:$P$15000,5,FALSE),"")</f>
        <v/>
      </c>
      <c r="H162" t="inlineStr">
        <is>
          <t>Blanket (page end)</t>
        </is>
      </c>
      <c r="L162" t="inlineStr">
        <is>
          <t>NO</t>
        </is>
      </c>
      <c r="M162" t="n">
        <v>9</v>
      </c>
      <c r="N162" t="n">
        <v>0</v>
      </c>
    </row>
    <row r="163" ht="10.5" customHeight="1" s="67">
      <c r="A163" t="inlineStr">
        <is>
          <t>HTF_GATE_BYPASS_RZ</t>
        </is>
      </c>
      <c r="B163" t="inlineStr">
        <is>
          <t>0.0</t>
        </is>
      </c>
      <c r="D163" t="inlineStr">
        <is>
          <t>ENTRY, GLOBAL_CHECK, STOCKS_EXIT</t>
        </is>
      </c>
      <c r="G163">
        <f>IFERROR(VLOOKUP($A350&amp;"_"&amp;$B350,Results_Deltas!$A$2:$P$15000,5,FALSE),"")</f>
        <v/>
      </c>
      <c r="H163" t="inlineStr">
        <is>
          <t>Blanket (page end)</t>
        </is>
      </c>
      <c r="L163" t="inlineStr">
        <is>
          <t>NO</t>
        </is>
      </c>
      <c r="M163" t="n">
        <v>24</v>
      </c>
      <c r="N163" t="n">
        <v>0</v>
      </c>
    </row>
    <row r="164" ht="10.5" customHeight="1" s="67">
      <c r="A164" t="inlineStr">
        <is>
          <t>HTF_GATE_BYPASS_RZ</t>
        </is>
      </c>
      <c r="B164" t="inlineStr">
        <is>
          <t>0.0_ALT</t>
        </is>
      </c>
      <c r="D164" t="inlineStr">
        <is>
          <t>ENTRY, GLOBAL_CHECK, STOCKS_EXIT</t>
        </is>
      </c>
      <c r="G164">
        <f>IFERROR(VLOOKUP($A351&amp;"_"&amp;$B351,Results_Deltas!$A$2:$P$15000,5,FALSE),"")</f>
        <v/>
      </c>
      <c r="H164" t="inlineStr">
        <is>
          <t>Blanket (page end)</t>
        </is>
      </c>
      <c r="L164" t="inlineStr">
        <is>
          <t>YES</t>
        </is>
      </c>
      <c r="M164" t="n">
        <v>24</v>
      </c>
      <c r="N164" t="n">
        <v>0</v>
      </c>
    </row>
    <row r="165" ht="10.5" customHeight="1" s="67">
      <c r="A165" t="inlineStr">
        <is>
          <t>HTF_DIRECTION_GATE_ENABLED</t>
        </is>
      </c>
      <c r="B165" t="inlineStr">
        <is>
          <t>False</t>
        </is>
      </c>
      <c r="D165" t="inlineStr">
        <is>
          <t>ENTRY, GLOBAL_CHECK, STOCKS_EXIT</t>
        </is>
      </c>
      <c r="G165">
        <f>IFERROR(VLOOKUP($A348&amp;"_"&amp;$B348,Results_Deltas!$A$2:$P$15000,5,FALSE),"")</f>
        <v/>
      </c>
      <c r="H165" t="inlineStr">
        <is>
          <t>Blanket (page end)</t>
        </is>
      </c>
      <c r="L165" t="inlineStr">
        <is>
          <t>NO</t>
        </is>
      </c>
      <c r="M165" t="n">
        <v>9</v>
      </c>
      <c r="N165" t="n">
        <v>0</v>
      </c>
    </row>
    <row r="166" ht="10.5" customHeight="1" s="67">
      <c r="A166" t="inlineStr">
        <is>
          <t>MTF_FILTER_STRONG_BUY_QUICK_BYPASS</t>
        </is>
      </c>
      <c r="B166" t="inlineStr">
        <is>
          <t>0.0</t>
        </is>
      </c>
      <c r="D166" t="inlineStr">
        <is>
          <t>GLOBAL_CHECK, STOCKS_EXIT</t>
        </is>
      </c>
      <c r="G166">
        <f>IFERROR(VLOOKUP($A393&amp;"_"&amp;$B393,Results_Deltas!$A$2:$P$15000,5,FALSE),"")</f>
        <v/>
      </c>
      <c r="H166" t="inlineStr">
        <is>
          <t>Blanket (page end)</t>
        </is>
      </c>
      <c r="L166" t="inlineStr">
        <is>
          <t>NO</t>
        </is>
      </c>
      <c r="M166" t="n">
        <v>24</v>
      </c>
      <c r="N166" t="n">
        <v>0</v>
      </c>
    </row>
    <row r="167" ht="10.5" customHeight="1" s="67">
      <c r="A167" t="inlineStr">
        <is>
          <t>MTF_FILTER_STRONG_BUY_QUICK_BYPASS</t>
        </is>
      </c>
      <c r="B167" t="inlineStr">
        <is>
          <t>0.0_ALT</t>
        </is>
      </c>
      <c r="D167" t="inlineStr">
        <is>
          <t>GLOBAL_CHECK, STOCKS_EXIT</t>
        </is>
      </c>
      <c r="G167">
        <f>IFERROR(VLOOKUP($A394&amp;"_"&amp;$B394,Results_Deltas!$A$2:$P$15000,5,FALSE),"")</f>
        <v/>
      </c>
      <c r="H167" t="inlineStr">
        <is>
          <t>Blanket (page end)</t>
        </is>
      </c>
      <c r="L167" t="inlineStr">
        <is>
          <t>NO</t>
        </is>
      </c>
      <c r="M167" t="n">
        <v>24</v>
      </c>
      <c r="N167" t="n">
        <v>0</v>
      </c>
    </row>
    <row r="168" ht="10.5" customHeight="1" s="67">
      <c r="A168" t="inlineStr">
        <is>
          <t>NEWBORN_LOSS_KILL_REQUIRE_VEL_AGAINST</t>
        </is>
      </c>
      <c r="B168" t="inlineStr">
        <is>
          <t>0.0</t>
        </is>
      </c>
      <c r="D168" t="inlineStr">
        <is>
          <t>AUGMENT, EXIT, GLOBAL_CHECK, REDUCE, STOCKS_EXIT</t>
        </is>
      </c>
      <c r="G168">
        <f>IFERROR(VLOOKUP($A411&amp;"_"&amp;$B411,Results_Deltas!$A$2:$P$15000,5,FALSE),"")</f>
        <v/>
      </c>
      <c r="H168" t="inlineStr">
        <is>
          <t>Blanket (page end)</t>
        </is>
      </c>
      <c r="L168" t="inlineStr">
        <is>
          <t>YES</t>
        </is>
      </c>
      <c r="M168" t="n">
        <v>24</v>
      </c>
      <c r="N168" t="n">
        <v>0</v>
      </c>
    </row>
    <row r="169" ht="10.5" customHeight="1" s="67">
      <c r="A169" t="inlineStr">
        <is>
          <t>NEWBORN_LOSS_KILL_REQUIRE_VEL_AGAINST</t>
        </is>
      </c>
      <c r="B169" t="inlineStr">
        <is>
          <t>0.0_ALT</t>
        </is>
      </c>
      <c r="D169" t="inlineStr">
        <is>
          <t>AUGMENT, EXIT, GLOBAL_CHECK, REDUCE, STOCKS_EXIT</t>
        </is>
      </c>
      <c r="G169">
        <f>IFERROR(VLOOKUP($A412&amp;"_"&amp;$B412,Results_Deltas!$A$2:$P$15000,5,FALSE),"")</f>
        <v/>
      </c>
      <c r="H169" t="inlineStr">
        <is>
          <t>Blanket (page end)</t>
        </is>
      </c>
      <c r="L169" t="inlineStr">
        <is>
          <t>NO</t>
        </is>
      </c>
      <c r="M169" t="n">
        <v>24</v>
      </c>
      <c r="N169" t="n">
        <v>0</v>
      </c>
    </row>
    <row r="170" ht="10.5" customHeight="1" s="67">
      <c r="A170" t="inlineStr">
        <is>
          <t>MANDATORY_REENTRY_WT_FILTER_MIN_VELOCITY</t>
        </is>
      </c>
      <c r="B170" t="inlineStr">
        <is>
          <t>0.0</t>
        </is>
      </c>
      <c r="D170" t="inlineStr">
        <is>
          <t>GLOBAL_CHECK, STOCKS_EXIT</t>
        </is>
      </c>
      <c r="G170">
        <f>IFERROR(VLOOKUP($A379&amp;"_"&amp;$B379,Results_Deltas!$A$2:$P$15000,5,FALSE),"")</f>
        <v/>
      </c>
      <c r="H170" t="inlineStr">
        <is>
          <t>Blanket (page end)</t>
        </is>
      </c>
      <c r="L170" t="inlineStr">
        <is>
          <t>NO</t>
        </is>
      </c>
      <c r="M170" t="n">
        <v>24</v>
      </c>
      <c r="N170" t="n">
        <v>0</v>
      </c>
    </row>
    <row r="171" ht="10.5" customHeight="1" s="67">
      <c r="A171" t="inlineStr">
        <is>
          <t>MANDATORY_REENTRY_WT_FILTER_MIN_VELOCITY</t>
        </is>
      </c>
      <c r="B171" t="inlineStr">
        <is>
          <t>0.0_ALT</t>
        </is>
      </c>
      <c r="D171" t="inlineStr">
        <is>
          <t>GLOBAL_CHECK, STOCKS_EXIT</t>
        </is>
      </c>
      <c r="G171">
        <f>IFERROR(VLOOKUP($A380&amp;"_"&amp;$B380,Results_Deltas!$A$2:$P$15000,5,FALSE),"")</f>
        <v/>
      </c>
      <c r="H171" t="inlineStr">
        <is>
          <t>Blanket (page end)</t>
        </is>
      </c>
      <c r="L171" t="inlineStr">
        <is>
          <t>NO</t>
        </is>
      </c>
      <c r="M171" t="n">
        <v>24</v>
      </c>
      <c r="N171" t="n">
        <v>0</v>
      </c>
    </row>
    <row r="172" ht="10.5" customHeight="1" s="67">
      <c r="A172" t="inlineStr">
        <is>
          <t>HTF_TREND_VETO_BYPASS_REASONS</t>
        </is>
      </c>
      <c r="B172" t="inlineStr">
        <is>
          <t>0.0</t>
        </is>
      </c>
      <c r="D172" t="inlineStr">
        <is>
          <t>GLOBAL_CHECK, STOCKS_EXIT</t>
        </is>
      </c>
      <c r="G172">
        <f>IFERROR(VLOOKUP($A358&amp;"_"&amp;$B358,Results_Deltas!$A$2:$P$15000,5,FALSE),"")</f>
        <v/>
      </c>
      <c r="H172" t="inlineStr">
        <is>
          <t>Blanket (page end)</t>
        </is>
      </c>
      <c r="L172" t="inlineStr">
        <is>
          <t>NO</t>
        </is>
      </c>
      <c r="M172" t="n">
        <v>24</v>
      </c>
      <c r="N172" t="n">
        <v>0</v>
      </c>
    </row>
    <row r="173" ht="10.5" customHeight="1" s="67">
      <c r="A173" t="inlineStr">
        <is>
          <t>NEWBORN_LOSS_KILL_GAIN_THRESHOLD_PCT</t>
        </is>
      </c>
      <c r="B173" t="inlineStr">
        <is>
          <t>0</t>
        </is>
      </c>
      <c r="D173" t="inlineStr">
        <is>
          <t>AUGMENT, EXIT, GLOBAL_CHECK, REDUCE, STOCKS_EXIT</t>
        </is>
      </c>
      <c r="G173">
        <f>IFERROR(VLOOKUP($A407&amp;"_"&amp;$B407,Results_Deltas!$A$2:$P$15000,5,FALSE),"")</f>
        <v/>
      </c>
      <c r="H173" t="inlineStr">
        <is>
          <t>Blanket (page end)</t>
        </is>
      </c>
      <c r="L173" t="inlineStr">
        <is>
          <t>YES</t>
        </is>
      </c>
      <c r="M173" t="n">
        <v>24</v>
      </c>
      <c r="N173" t="n">
        <v>0</v>
      </c>
    </row>
    <row r="174" ht="10.5" customHeight="1" s="67">
      <c r="A174" t="inlineStr">
        <is>
          <t>HTF_TREND_VETO_BYPASS_REASONS</t>
        </is>
      </c>
      <c r="B174" t="inlineStr">
        <is>
          <t>0.0_ALT</t>
        </is>
      </c>
      <c r="D174" t="inlineStr">
        <is>
          <t>GLOBAL_CHECK, STOCKS_EXIT</t>
        </is>
      </c>
      <c r="G174">
        <f>IFERROR(VLOOKUP($A359&amp;"_"&amp;$B359,Results_Deltas!$A$2:$P$15000,5,FALSE),"")</f>
        <v/>
      </c>
      <c r="H174" t="inlineStr">
        <is>
          <t>Blanket (page end)</t>
        </is>
      </c>
      <c r="L174" t="inlineStr">
        <is>
          <t>YES</t>
        </is>
      </c>
      <c r="M174" t="n">
        <v>24</v>
      </c>
      <c r="N174" t="n">
        <v>0</v>
      </c>
    </row>
    <row r="175" ht="10.5" customHeight="1" s="67">
      <c r="A175" t="inlineStr">
        <is>
          <t>MANDATORY_REENTRY_WT_FILTER_REQUIRE_FLIP</t>
        </is>
      </c>
      <c r="B175" t="inlineStr">
        <is>
          <t>False</t>
        </is>
      </c>
      <c r="D175" t="inlineStr">
        <is>
          <t>GLOBAL_CHECK, STOCKS_EXIT</t>
        </is>
      </c>
      <c r="G175">
        <f>IFERROR(VLOOKUP($A381&amp;"_"&amp;$B381,Results_Deltas!$A$2:$P$15000,5,FALSE),"")</f>
        <v/>
      </c>
      <c r="H175" t="inlineStr">
        <is>
          <t>Blanket (page end)</t>
        </is>
      </c>
      <c r="L175" t="inlineStr">
        <is>
          <t>NO</t>
        </is>
      </c>
      <c r="M175" t="n">
        <v>9</v>
      </c>
      <c r="N175" t="n">
        <v>0</v>
      </c>
    </row>
    <row r="176" ht="10.5" customHeight="1" s="67">
      <c r="A176" t="inlineStr">
        <is>
          <t>HTF_TREND_VETO_BYPASS_ENABLED</t>
        </is>
      </c>
      <c r="B176" t="inlineStr">
        <is>
          <t>False</t>
        </is>
      </c>
      <c r="D176" t="inlineStr">
        <is>
          <t>GLOBAL_CHECK, STOCKS_EXIT</t>
        </is>
      </c>
      <c r="G176">
        <f>IFERROR(VLOOKUP($A356&amp;"_"&amp;$B356,Results_Deltas!$A$2:$P$15000,5,FALSE),"")</f>
        <v/>
      </c>
      <c r="H176" t="inlineStr">
        <is>
          <t>Blanket (page end)</t>
        </is>
      </c>
      <c r="L176" t="inlineStr">
        <is>
          <t>NO</t>
        </is>
      </c>
      <c r="M176" t="n">
        <v>9</v>
      </c>
      <c r="N176" t="n">
        <v>0</v>
      </c>
    </row>
    <row r="177" ht="10.5" customHeight="1" s="67">
      <c r="A177" t="inlineStr">
        <is>
          <t>LIVE_VEC_EMERGENCY_BRAKE_ENABLED</t>
        </is>
      </c>
      <c r="B177" t="inlineStr">
        <is>
          <t>False</t>
        </is>
      </c>
      <c r="D177" t="inlineStr">
        <is>
          <t>GLOBAL_CHECK, STOCKS_EXIT</t>
        </is>
      </c>
      <c r="G177">
        <f>IFERROR(VLOOKUP($A368&amp;"_"&amp;$B368,Results_Deltas!$A$2:$P$15000,5,FALSE),"")</f>
        <v/>
      </c>
      <c r="H177" t="inlineStr">
        <is>
          <t>Blanket (page end)</t>
        </is>
      </c>
      <c r="L177" t="inlineStr">
        <is>
          <t>YES</t>
        </is>
      </c>
      <c r="M177" t="n">
        <v>9</v>
      </c>
      <c r="N177" t="n">
        <v>0</v>
      </c>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c r="M178" t="n">
        <v>0</v>
      </c>
      <c r="N178" t="n">
        <v>0</v>
      </c>
    </row>
    <row r="179" ht="10.5" customHeight="1" s="67">
      <c r="A179" t="inlineStr">
        <is>
          <t>REENTRY_K_RESET_GR_ENABLED</t>
        </is>
      </c>
      <c r="B179" t="inlineStr">
        <is>
          <t>False</t>
        </is>
      </c>
      <c r="D179" t="inlineStr">
        <is>
          <t>BOUNCE_REENTRY</t>
        </is>
      </c>
      <c r="F179">
        <f>IFERROR(VLOOKUP($A181&amp;"_"&amp;$B181,Results_Deltas!$A:$J,5,FALSE),0)</f>
        <v/>
      </c>
      <c r="G179">
        <f>IFERROR(VLOOKUP($A181&amp;"_"&amp;$B181,Results_Deltas!$A$2:$P$15000,5,FALSE),"")</f>
        <v/>
      </c>
      <c r="H179">
        <f>IFERROR(VLOOKUP($A181,Results_30d_Deltas!$A:$F,5,FALSE),0)</f>
        <v/>
      </c>
      <c r="I179">
        <f>IFERROR(VLOOKUP($A181,Results_30d_Deltas!$A:$F,6,FALSE),0)</f>
        <v/>
      </c>
      <c r="L179" t="inlineStr">
        <is>
          <t>NO</t>
        </is>
      </c>
      <c r="M179" t="n">
        <v>0</v>
      </c>
      <c r="N179" t="n">
        <v>0</v>
      </c>
    </row>
    <row r="180" ht="10.5" customHeight="1" s="67">
      <c r="A180" t="inlineStr">
        <is>
          <t>REENTRY_15M_BB1H_LOW_BOUNCE_HTF_ENABLED</t>
        </is>
      </c>
      <c r="B180" t="inlineStr">
        <is>
          <t>False</t>
        </is>
      </c>
      <c r="D180" t="inlineStr">
        <is>
          <t>BOUNCE_15M_TESTABLE</t>
        </is>
      </c>
      <c r="F180">
        <f>IFERROR(VLOOKUP($A184&amp;"_"&amp;$B184,Results_Deltas!$A:$J,5,FALSE),0)</f>
        <v/>
      </c>
      <c r="G180">
        <f>IFERROR(VLOOKUP($A184&amp;"_"&amp;$B184,Results_Deltas!$A$2:$P$15000,5,FALSE),"")</f>
        <v/>
      </c>
      <c r="H180">
        <f>IFERROR(VLOOKUP($A184,Results_30d_Deltas!$A:$F,5,FALSE),0)</f>
        <v/>
      </c>
      <c r="I180">
        <f>IFERROR(VLOOKUP($A184,Results_30d_Deltas!$A:$F,6,FALSE),0)</f>
        <v/>
      </c>
      <c r="L180" t="inlineStr">
        <is>
          <t>NO</t>
        </is>
      </c>
      <c r="M180" t="n">
        <v>0</v>
      </c>
      <c r="N180" t="n">
        <v>0</v>
      </c>
    </row>
    <row r="181" ht="10.5" customHeight="1" s="67">
      <c r="A181" t="inlineStr">
        <is>
          <t>REENTRY_PULLBACK_GR_SCORE_ENABLED</t>
        </is>
      </c>
      <c r="B181" t="inlineStr">
        <is>
          <t>False</t>
        </is>
      </c>
      <c r="D181" t="inlineStr">
        <is>
          <t>BOUNCE_REENTRY</t>
        </is>
      </c>
      <c r="F181">
        <f>IFERROR(VLOOKUP($A179&amp;"_"&amp;$B179,Results_Deltas!$A:$J,5,FALSE),0)</f>
        <v/>
      </c>
      <c r="G181">
        <f>IFERROR(VLOOKUP($A179&amp;"_"&amp;$B179,Results_Deltas!$A$2:$P$15000,5,FALSE),"")</f>
        <v/>
      </c>
      <c r="H181">
        <f>IFERROR(VLOOKUP($A179,Results_30d_Deltas!$A:$F,5,FALSE),0)</f>
        <v/>
      </c>
      <c r="I181">
        <f>IFERROR(VLOOKUP($A179,Results_30d_Deltas!$A:$F,6,FALSE),0)</f>
        <v/>
      </c>
      <c r="L181" t="inlineStr">
        <is>
          <t>NO</t>
        </is>
      </c>
      <c r="M181" t="n">
        <v>0</v>
      </c>
      <c r="N181" t="n">
        <v>0</v>
      </c>
    </row>
    <row r="182" ht="10.5" customHeight="1" s="67">
      <c r="A182" t="inlineStr">
        <is>
          <t>REENTRY_DC_MID_PULLBACK_ENABLED</t>
        </is>
      </c>
      <c r="B182" t="inlineStr">
        <is>
          <t>False</t>
        </is>
      </c>
      <c r="D182" t="inlineStr">
        <is>
          <t>BOUNCE_REENTRY</t>
        </is>
      </c>
      <c r="F182">
        <f>IFERROR(VLOOKUP($A180&amp;"_"&amp;$B180,Results_Deltas!$A:$J,5,FALSE),0)</f>
        <v/>
      </c>
      <c r="G182">
        <f>IFERROR(VLOOKUP($A180&amp;"_"&amp;$B180,Results_Deltas!$A$2:$P$15000,5,FALSE),"")</f>
        <v/>
      </c>
      <c r="H182">
        <f>IFERROR(VLOOKUP($A180,Results_30d_Deltas!$A:$F,5,FALSE),0)</f>
        <v/>
      </c>
      <c r="I182">
        <f>IFERROR(VLOOKUP($A180,Results_30d_Deltas!$A:$F,6,FALSE),0)</f>
        <v/>
      </c>
      <c r="L182" t="inlineStr">
        <is>
          <t>NO</t>
        </is>
      </c>
      <c r="M182" t="n">
        <v>0</v>
      </c>
      <c r="N182" t="n">
        <v>0</v>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c r="M183" t="n">
        <v>0</v>
      </c>
      <c r="N183" t="n">
        <v>0</v>
      </c>
    </row>
    <row r="184" ht="10.5" customHeight="1" s="67">
      <c r="A184" t="inlineStr">
        <is>
          <t>REENTRY_15M_DC_BASIS_CROSS_HTF_ENABLED</t>
        </is>
      </c>
      <c r="B184" t="inlineStr">
        <is>
          <t>False</t>
        </is>
      </c>
      <c r="D184" t="inlineStr">
        <is>
          <t>BOUNCE_15M_TESTABLE</t>
        </is>
      </c>
      <c r="F184">
        <f>IFERROR(VLOOKUP($A182&amp;"_"&amp;$B182,Results_Deltas!$A:$J,5,FALSE),0)</f>
        <v/>
      </c>
      <c r="G184">
        <f>IFERROR(VLOOKUP($A182&amp;"_"&amp;$B182,Results_Deltas!$A$2:$P$15000,5,FALSE),"")</f>
        <v/>
      </c>
      <c r="H184">
        <f>IFERROR(VLOOKUP($A182,Results_30d_Deltas!$A:$F,5,FALSE),0)</f>
        <v/>
      </c>
      <c r="I184">
        <f>IFERROR(VLOOKUP($A182,Results_30d_Deltas!$A:$F,6,FALSE),0)</f>
        <v/>
      </c>
      <c r="L184" t="inlineStr">
        <is>
          <t>NO</t>
        </is>
      </c>
      <c r="M184" t="n">
        <v>0</v>
      </c>
      <c r="N184"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P2" t="inlineStr">
        <is>
          <t>ATR_TRAIL_FILTER_TF=OFF</t>
        </is>
      </c>
      <c r="Q2" t="inlineStr">
        <is>
          <t>ATR_TRAIL_FILTER_TF=D</t>
        </is>
      </c>
      <c r="R2" t="inlineStr">
        <is>
          <t>ATR_TRAIL_FILTER_TF=4h</t>
        </is>
      </c>
      <c r="S2" t="inlineStr">
        <is>
          <t>ATR_TRAIL_FILTER_TF=1h</t>
        </is>
      </c>
      <c r="T2" t="inlineStr">
        <is>
          <t>ATR_TRAIL_FILTER_TF=15m</t>
        </is>
      </c>
      <c r="U2" t="inlineStr">
        <is>
          <t>BAR_PATTERNS_FILTER_TF=OFF</t>
        </is>
      </c>
      <c r="V2" t="inlineStr">
        <is>
          <t>BAR_PATTERNS_FILTER_TF=D</t>
        </is>
      </c>
      <c r="W2" t="inlineStr">
        <is>
          <t>BAR_PATTERNS_FILTER_TF=4h</t>
        </is>
      </c>
      <c r="X2" t="inlineStr">
        <is>
          <t>BAR_PATTERNS_FILTER_TF=1h</t>
        </is>
      </c>
      <c r="Y2" t="inlineStr">
        <is>
          <t>BAR_PATTERNS_FILTER_TF=15m</t>
        </is>
      </c>
      <c r="Z2" t="inlineStr">
        <is>
          <t>BB_PULLBACK_GATE_FILTER_TF=OFF</t>
        </is>
      </c>
      <c r="AA2" t="inlineStr">
        <is>
          <t>BB_PULLBACK_GATE_FILTER_TF=D</t>
        </is>
      </c>
      <c r="AB2" t="inlineStr">
        <is>
          <t>BB_PULLBACK_GATE_FILTER_TF=4h</t>
        </is>
      </c>
      <c r="AC2" t="inlineStr">
        <is>
          <t>BB_PULLBACK_GATE_FILTER_TF=1h</t>
        </is>
      </c>
      <c r="AD2" t="inlineStr">
        <is>
          <t>BB_PULLBACK_GATE_FILTER_TF=15m</t>
        </is>
      </c>
      <c r="AE2" t="inlineStr">
        <is>
          <t>BB_RECOVERY_ENTRY_FILTER_TF=OFF</t>
        </is>
      </c>
      <c r="AF2" t="inlineStr">
        <is>
          <t>BB_RECOVERY_ENTRY_FILTER_TF=D</t>
        </is>
      </c>
      <c r="AG2" t="inlineStr">
        <is>
          <t>BB_RECOVERY_ENTRY_FILTER_TF=4h</t>
        </is>
      </c>
      <c r="AH2" t="inlineStr">
        <is>
          <t>BB_RECOVERY_ENTRY_FILTER_TF=1h</t>
        </is>
      </c>
      <c r="AI2" t="inlineStr">
        <is>
          <t>BB_RECOVERY_ENTRY_FILTER_TF=15m</t>
        </is>
      </c>
      <c r="AJ2" t="inlineStr">
        <is>
          <t>BB_RECOVERY_FILTER_TF=OFF</t>
        </is>
      </c>
      <c r="AK2" t="inlineStr">
        <is>
          <t>BB_RECOVERY_FILTER_TF=D</t>
        </is>
      </c>
      <c r="AL2" t="inlineStr">
        <is>
          <t>BB_RECOVERY_FILTER_TF=4h</t>
        </is>
      </c>
      <c r="AM2" t="inlineStr">
        <is>
          <t>BB_RECOVERY_FILTER_TF=1h</t>
        </is>
      </c>
      <c r="AN2" t="inlineStr">
        <is>
          <t>BB_RECOVERY_FILTER_TF=15m</t>
        </is>
      </c>
      <c r="AO2" t="inlineStr">
        <is>
          <t>BREAKEVEN_GAIN_EROSION_FILTER_TF=OFF</t>
        </is>
      </c>
      <c r="AP2" t="inlineStr">
        <is>
          <t>BREAKEVEN_GAIN_EROSION_FILTER_TF=D</t>
        </is>
      </c>
      <c r="AQ2" t="inlineStr">
        <is>
          <t>BREAKEVEN_GAIN_EROSION_FILTER_TF=4h</t>
        </is>
      </c>
      <c r="AR2" t="inlineStr">
        <is>
          <t>BREAKEVEN_GAIN_EROSION_FILTER_TF=1h</t>
        </is>
      </c>
      <c r="AS2" t="inlineStr">
        <is>
          <t>BREAKEVEN_GAIN_EROSION_FILTER_TF=15m</t>
        </is>
      </c>
      <c r="AT2" t="inlineStr">
        <is>
          <t>BREAKOUT_RETEST_FILTER_TF=OFF</t>
        </is>
      </c>
      <c r="AU2" t="inlineStr">
        <is>
          <t>BREAKOUT_RETEST_FILTER_TF=D</t>
        </is>
      </c>
      <c r="AV2" t="inlineStr">
        <is>
          <t>BREAKOUT_RETEST_FILTER_TF=4h</t>
        </is>
      </c>
      <c r="AW2" t="inlineStr">
        <is>
          <t>BREAKOUT_RETEST_FILTER_TF=1h</t>
        </is>
      </c>
      <c r="AX2" t="inlineStr">
        <is>
          <t>BREAKOUT_RETEST_FILTER_TF=15m</t>
        </is>
      </c>
      <c r="AY2" t="inlineStr">
        <is>
          <t>BT_WT_CROSS_LADDER_FILTER_TF=OFF</t>
        </is>
      </c>
      <c r="AZ2" t="inlineStr">
        <is>
          <t>BT_WT_CROSS_LADDER_FILTER_TF=D</t>
        </is>
      </c>
      <c r="BA2" t="inlineStr">
        <is>
          <t>BT_WT_CROSS_LADDER_FILTER_TF=4h</t>
        </is>
      </c>
      <c r="BB2" t="inlineStr">
        <is>
          <t>BT_WT_CROSS_LADDER_FILTER_TF=1h</t>
        </is>
      </c>
      <c r="BC2" t="inlineStr">
        <is>
          <t>BT_WT_CROSS_LADDER_FILTER_TF=15m</t>
        </is>
      </c>
      <c r="BD2" t="inlineStr">
        <is>
          <t>CANDLE_PATTERN_STOPS_FILTER_TF=OFF</t>
        </is>
      </c>
      <c r="BE2" t="inlineStr">
        <is>
          <t>CANDLE_PATTERN_STOPS_FILTER_TF=D</t>
        </is>
      </c>
      <c r="BF2" t="inlineStr">
        <is>
          <t>CANDLE_PATTERN_STOPS_FILTER_TF=4h</t>
        </is>
      </c>
      <c r="BG2" t="inlineStr">
        <is>
          <t>CANDLE_PATTERN_STOPS_FILTER_TF=1h</t>
        </is>
      </c>
      <c r="BH2" t="inlineStr">
        <is>
          <t>CANDLE_PATTERN_STOPS_FILTER_TF=15m</t>
        </is>
      </c>
      <c r="BI2" t="inlineStr">
        <is>
          <t>CIRCUIT_SHARPE_GATES_FILTER_TF=OFF</t>
        </is>
      </c>
      <c r="BJ2" t="inlineStr">
        <is>
          <t>CIRCUIT_SHARPE_GATES_FILTER_TF=D</t>
        </is>
      </c>
      <c r="BK2" t="inlineStr">
        <is>
          <t>CIRCUIT_SHARPE_GATES_FILTER_TF=4h</t>
        </is>
      </c>
      <c r="BL2" t="inlineStr">
        <is>
          <t>CIRCUIT_SHARPE_GATES_FILTER_TF=1h</t>
        </is>
      </c>
      <c r="BM2" t="inlineStr">
        <is>
          <t>CIRCUIT_SHARPE_GATES_FILTER_TF=15m</t>
        </is>
      </c>
      <c r="BN2" t="inlineStr">
        <is>
          <t>DC_BREACH_REDUCE_FILTER_TF=OFF</t>
        </is>
      </c>
      <c r="BO2" t="inlineStr">
        <is>
          <t>DC_BREACH_REDUCE_FILTER_TF=D</t>
        </is>
      </c>
      <c r="BP2" t="inlineStr">
        <is>
          <t>DC_BREACH_REDUCE_FILTER_TF=4h</t>
        </is>
      </c>
      <c r="BQ2" t="inlineStr">
        <is>
          <t>DC_BREACH_REDUCE_FILTER_TF=1h</t>
        </is>
      </c>
      <c r="BR2" t="inlineStr">
        <is>
          <t>DC_BREACH_REDUCE_FILTER_TF=15m</t>
        </is>
      </c>
      <c r="BS2" t="inlineStr">
        <is>
          <t>DC_BREAK_FILTER_TF=OFF</t>
        </is>
      </c>
      <c r="BT2" t="inlineStr">
        <is>
          <t>DC_BREAK_FILTER_TF=D</t>
        </is>
      </c>
      <c r="BU2" t="inlineStr">
        <is>
          <t>DC_BREAK_FILTER_TF=4h</t>
        </is>
      </c>
      <c r="BV2" t="inlineStr">
        <is>
          <t>DC_BREAK_FILTER_TF=1h</t>
        </is>
      </c>
      <c r="BW2" t="inlineStr">
        <is>
          <t>DC_BREAK_FILTER_TF=15m</t>
        </is>
      </c>
      <c r="BX2" t="inlineStr">
        <is>
          <t>DC_MOMENTUM_BOTA_SCORER_FILTER_TF=OFF</t>
        </is>
      </c>
      <c r="BY2" t="inlineStr">
        <is>
          <t>DC_MOMENTUM_BOTA_SCORER_FILTER_TF=D</t>
        </is>
      </c>
      <c r="BZ2" t="inlineStr">
        <is>
          <t>DC_MOMENTUM_BOTA_SCORER_FILTER_TF=4h</t>
        </is>
      </c>
      <c r="CA2" t="inlineStr">
        <is>
          <t>DC_MOMENTUM_BOTA_SCORER_FILTER_TF=1h</t>
        </is>
      </c>
      <c r="CB2" t="inlineStr">
        <is>
          <t>DC_MOMENTUM_BOTA_SCORER_FILTER_TF=15m</t>
        </is>
      </c>
      <c r="CC2" t="inlineStr">
        <is>
          <t>DELTA_ENGINE_FILTER_TF=OFF</t>
        </is>
      </c>
      <c r="CD2" t="inlineStr">
        <is>
          <t>DELTA_ENGINE_FILTER_TF=D</t>
        </is>
      </c>
      <c r="CE2" t="inlineStr">
        <is>
          <t>DELTA_ENGINE_FILTER_TF=4h</t>
        </is>
      </c>
      <c r="CF2" t="inlineStr">
        <is>
          <t>DELTA_ENGINE_FILTER_TF=1h</t>
        </is>
      </c>
      <c r="CG2" t="inlineStr">
        <is>
          <t>DELTA_ENGINE_FILTER_TF=15m</t>
        </is>
      </c>
      <c r="CH2" t="inlineStr">
        <is>
          <t>EMA_9_21_FILTER_FILTER_TF=OFF</t>
        </is>
      </c>
      <c r="CI2" t="inlineStr">
        <is>
          <t>EMA_9_21_FILTER_FILTER_TF=D</t>
        </is>
      </c>
      <c r="CJ2" t="inlineStr">
        <is>
          <t>EMA_9_21_FILTER_FILTER_TF=4h</t>
        </is>
      </c>
      <c r="CK2" t="inlineStr">
        <is>
          <t>EMA_9_21_FILTER_FILTER_TF=1h</t>
        </is>
      </c>
      <c r="CL2" t="inlineStr">
        <is>
          <t>EMA_9_21_FILTER_FILTER_TF=15m</t>
        </is>
      </c>
      <c r="CM2" t="inlineStr">
        <is>
          <t>EMA_BLANKET_FILTER_FILTER_TF=OFF</t>
        </is>
      </c>
      <c r="CN2" t="inlineStr">
        <is>
          <t>EMA_BLANKET_FILTER_FILTER_TF=D</t>
        </is>
      </c>
      <c r="CO2" t="inlineStr">
        <is>
          <t>EMA_BLANKET_FILTER_FILTER_TF=4h</t>
        </is>
      </c>
      <c r="CP2" t="inlineStr">
        <is>
          <t>EMA_BLANKET_FILTER_FILTER_TF=1h</t>
        </is>
      </c>
      <c r="CQ2" t="inlineStr">
        <is>
          <t>EMA_BLANKET_FILTER_FILTER_TF=15m</t>
        </is>
      </c>
      <c r="CR2" t="inlineStr">
        <is>
          <t>EMERGENCY_BRAKE_FILTER_TF=OFF</t>
        </is>
      </c>
      <c r="CS2" t="inlineStr">
        <is>
          <t>EMERGENCY_BRAKE_FILTER_TF=D</t>
        </is>
      </c>
      <c r="CT2" t="inlineStr">
        <is>
          <t>EMERGENCY_BRAKE_FILTER_TF=4h</t>
        </is>
      </c>
      <c r="CU2" t="inlineStr">
        <is>
          <t>EMERGENCY_BRAKE_FILTER_TF=1h</t>
        </is>
      </c>
      <c r="CV2" t="inlineStr">
        <is>
          <t>EMERGENCY_BRAKE_FILTER_TF=15m</t>
        </is>
      </c>
      <c r="CW2" t="inlineStr">
        <is>
          <t>EXIT_R1_R2_FILTER_TF=OFF</t>
        </is>
      </c>
      <c r="CX2" t="inlineStr">
        <is>
          <t>EXIT_R1_R2_FILTER_TF=D</t>
        </is>
      </c>
      <c r="CY2" t="inlineStr">
        <is>
          <t>EXIT_R1_R2_FILTER_TF=4h</t>
        </is>
      </c>
      <c r="CZ2" t="inlineStr">
        <is>
          <t>EXIT_R1_R2_FILTER_TF=1h</t>
        </is>
      </c>
      <c r="DA2" t="inlineStr">
        <is>
          <t>EXIT_R1_R2_FILTER_TF=15m</t>
        </is>
      </c>
      <c r="DB2" t="inlineStr">
        <is>
          <t>EXIT_TIGHT_BREAKOUT_SCORER_FILTER_TF=OFF</t>
        </is>
      </c>
      <c r="DC2" t="inlineStr">
        <is>
          <t>EXIT_TIGHT_BREAKOUT_SCORER_FILTER_TF=D</t>
        </is>
      </c>
      <c r="DD2" t="inlineStr">
        <is>
          <t>EXIT_TIGHT_BREAKOUT_SCORER_FILTER_TF=4h</t>
        </is>
      </c>
      <c r="DE2" t="inlineStr">
        <is>
          <t>EXIT_TIGHT_BREAKOUT_SCORER_FILTER_TF=1h</t>
        </is>
      </c>
      <c r="DF2" t="inlineStr">
        <is>
          <t>EXIT_TIGHT_BREAKOUT_SCORER_FILTER_TF=15m</t>
        </is>
      </c>
      <c r="DG2" t="inlineStr">
        <is>
          <t>EXIT_TOP_FADE_FILTER_TF=OFF</t>
        </is>
      </c>
      <c r="DH2" t="inlineStr">
        <is>
          <t>EXIT_TOP_FADE_FILTER_TF=D</t>
        </is>
      </c>
      <c r="DI2" t="inlineStr">
        <is>
          <t>EXIT_TOP_FADE_FILTER_TF=4h</t>
        </is>
      </c>
      <c r="DJ2" t="inlineStr">
        <is>
          <t>EXIT_TOP_FADE_FILTER_TF=1h</t>
        </is>
      </c>
      <c r="DK2" t="inlineStr">
        <is>
          <t>EXIT_TOP_FADE_FILTER_TF=15m</t>
        </is>
      </c>
      <c r="DL2" t="inlineStr">
        <is>
          <t>EXIT_TO_REDUCE_ADAPTER_FILTER_TF=OFF</t>
        </is>
      </c>
      <c r="DM2" t="inlineStr">
        <is>
          <t>EXIT_TO_REDUCE_ADAPTER_FILTER_TF=D</t>
        </is>
      </c>
      <c r="DN2" t="inlineStr">
        <is>
          <t>EXIT_TO_REDUCE_ADAPTER_FILTER_TF=4h</t>
        </is>
      </c>
      <c r="DO2" t="inlineStr">
        <is>
          <t>EXIT_TO_REDUCE_ADAPTER_FILTER_TF=1h</t>
        </is>
      </c>
      <c r="DP2" t="inlineStr">
        <is>
          <t>EXIT_TO_REDUCE_ADAPTER_FILTER_TF=15m</t>
        </is>
      </c>
      <c r="DQ2" t="inlineStr">
        <is>
          <t>FAST_RISER_FILTER_TF=OFF</t>
        </is>
      </c>
      <c r="DR2" t="inlineStr">
        <is>
          <t>FAST_RISER_FILTER_TF=D</t>
        </is>
      </c>
      <c r="DS2" t="inlineStr">
        <is>
          <t>FAST_RISER_FILTER_TF=4h</t>
        </is>
      </c>
      <c r="DT2" t="inlineStr">
        <is>
          <t>FAST_RISER_FILTER_TF=1h</t>
        </is>
      </c>
      <c r="DU2" t="inlineStr">
        <is>
          <t>FAST_RISER_FILTER_TF=15m</t>
        </is>
      </c>
      <c r="DV2" t="inlineStr">
        <is>
          <t>FH_MOMENTUM_FILTER_TF=OFF</t>
        </is>
      </c>
      <c r="DW2" t="inlineStr">
        <is>
          <t>FH_MOMENTUM_FILTER_TF=D</t>
        </is>
      </c>
      <c r="DX2" t="inlineStr">
        <is>
          <t>FH_MOMENTUM_FILTER_TF=4h</t>
        </is>
      </c>
      <c r="DY2" t="inlineStr">
        <is>
          <t>FH_MOMENTUM_FILTER_TF=1h</t>
        </is>
      </c>
      <c r="DZ2" t="inlineStr">
        <is>
          <t>FH_MOMENTUM_FILTER_TF=15m</t>
        </is>
      </c>
      <c r="EA2" t="inlineStr">
        <is>
          <t>FIRST_OPEN_THROTTLE_FILTER_TF=OFF</t>
        </is>
      </c>
      <c r="EB2" t="inlineStr">
        <is>
          <t>FIRST_OPEN_THROTTLE_FILTER_TF=D</t>
        </is>
      </c>
      <c r="EC2" t="inlineStr">
        <is>
          <t>FIRST_OPEN_THROTTLE_FILTER_TF=4h</t>
        </is>
      </c>
      <c r="ED2" t="inlineStr">
        <is>
          <t>FIRST_OPEN_THROTTLE_FILTER_TF=1h</t>
        </is>
      </c>
      <c r="EE2" t="inlineStr">
        <is>
          <t>FIRST_OPEN_THROTTLE_FILTER_TF=15m</t>
        </is>
      </c>
      <c r="EF2" t="inlineStr">
        <is>
          <t>FROZEN_STOP_FILTER_TF=OFF</t>
        </is>
      </c>
      <c r="EG2" t="inlineStr">
        <is>
          <t>FROZEN_STOP_FILTER_TF=D</t>
        </is>
      </c>
      <c r="EH2" t="inlineStr">
        <is>
          <t>FROZEN_STOP_FILTER_TF=4h</t>
        </is>
      </c>
      <c r="EI2" t="inlineStr">
        <is>
          <t>FROZEN_STOP_FILTER_TF=1h</t>
        </is>
      </c>
      <c r="EJ2" t="inlineStr">
        <is>
          <t>FROZEN_STOP_FILTER_TF=15m</t>
        </is>
      </c>
      <c r="EK2" t="inlineStr">
        <is>
          <t>GOLDEN_RULE_ENFORCE_FILTER_TF=OFF</t>
        </is>
      </c>
      <c r="EL2" t="inlineStr">
        <is>
          <t>GOLDEN_RULE_ENFORCE_FILTER_TF=D</t>
        </is>
      </c>
      <c r="EM2" t="inlineStr">
        <is>
          <t>GOLDEN_RULE_ENFORCE_FILTER_TF=4h</t>
        </is>
      </c>
      <c r="EN2" t="inlineStr">
        <is>
          <t>GOLDEN_RULE_ENFORCE_FILTER_TF=1h</t>
        </is>
      </c>
      <c r="EO2" t="inlineStr">
        <is>
          <t>GOLDEN_RULE_ENFORCE_FILTER_TF=15m</t>
        </is>
      </c>
      <c r="EP2" t="inlineStr">
        <is>
          <t>GOLDEN_RULE_HTF_VOTE_FILTER_TF=OFF</t>
        </is>
      </c>
      <c r="EQ2" t="inlineStr">
        <is>
          <t>GOLDEN_RULE_HTF_VOTE_FILTER_TF=D</t>
        </is>
      </c>
      <c r="ER2" t="inlineStr">
        <is>
          <t>GOLDEN_RULE_HTF_VOTE_FILTER_TF=4h</t>
        </is>
      </c>
      <c r="ES2" t="inlineStr">
        <is>
          <t>GOLDEN_RULE_HTF_VOTE_FILTER_TF=1h</t>
        </is>
      </c>
      <c r="ET2" t="inlineStr">
        <is>
          <t>GOLDEN_RULE_HTF_VOTE_FILTER_TF=15m</t>
        </is>
      </c>
      <c r="EU2" t="inlineStr">
        <is>
          <t>GR_FILTER_VEC_FILTER_TF=OFF</t>
        </is>
      </c>
      <c r="EV2" t="inlineStr">
        <is>
          <t>GR_FILTER_VEC_FILTER_TF=D</t>
        </is>
      </c>
      <c r="EW2" t="inlineStr">
        <is>
          <t>GR_FILTER_VEC_FILTER_TF=4h</t>
        </is>
      </c>
      <c r="EX2" t="inlineStr">
        <is>
          <t>GR_FILTER_VEC_FILTER_TF=1h</t>
        </is>
      </c>
      <c r="EY2" t="inlineStr">
        <is>
          <t>GR_FILTER_VEC_FILTER_TF=15m</t>
        </is>
      </c>
      <c r="EZ2" t="inlineStr">
        <is>
          <t>GR_V5_STATE_FILTER_TF=OFF</t>
        </is>
      </c>
      <c r="FA2" t="inlineStr">
        <is>
          <t>GR_V5_STATE_FILTER_TF=D</t>
        </is>
      </c>
      <c r="FB2" t="inlineStr">
        <is>
          <t>GR_V5_STATE_FILTER_TF=4h</t>
        </is>
      </c>
      <c r="FC2" t="inlineStr">
        <is>
          <t>GR_V5_STATE_FILTER_TF=1h</t>
        </is>
      </c>
      <c r="FD2" t="inlineStr">
        <is>
          <t>GR_V5_STATE_FILTER_TF=15m</t>
        </is>
      </c>
      <c r="FE2" t="inlineStr">
        <is>
          <t>HAIKU_WINNER_FILTER_TF=OFF</t>
        </is>
      </c>
      <c r="FF2" t="inlineStr">
        <is>
          <t>HAIKU_WINNER_FILTER_TF=D</t>
        </is>
      </c>
      <c r="FG2" t="inlineStr">
        <is>
          <t>HAIKU_WINNER_FILTER_TF=4h</t>
        </is>
      </c>
      <c r="FH2" t="inlineStr">
        <is>
          <t>HAIKU_WINNER_FILTER_TF=1h</t>
        </is>
      </c>
      <c r="FI2" t="inlineStr">
        <is>
          <t>HAIKU_WINNER_FILTER_TF=15m</t>
        </is>
      </c>
      <c r="FJ2" t="inlineStr">
        <is>
          <t>LH_HL_FILTER_TF_REQ=2</t>
        </is>
      </c>
      <c r="FK2" t="inlineStr">
        <is>
          <t>LH_HL_FILTER_TF_REQ=2_ALT</t>
        </is>
      </c>
      <c r="FL2" t="inlineStr">
        <is>
          <t>LIVE_ENTRY_ENGINE_FILTER_TF=OFF</t>
        </is>
      </c>
      <c r="FM2" t="inlineStr">
        <is>
          <t>LIVE_ENTRY_ENGINE_FILTER_TF=D</t>
        </is>
      </c>
      <c r="FN2" t="inlineStr">
        <is>
          <t>LIVE_ENTRY_ENGINE_FILTER_TF=4h</t>
        </is>
      </c>
      <c r="FO2" t="inlineStr">
        <is>
          <t>LIVE_ENTRY_ENGINE_FILTER_TF=1h</t>
        </is>
      </c>
      <c r="FP2" t="inlineStr">
        <is>
          <t>LIVE_ENTRY_ENGINE_FILTER_TF=15m</t>
        </is>
      </c>
      <c r="FQ2" t="inlineStr">
        <is>
          <t>LIVE_ONLY_SIGNALS_BATCH5_FILTER_TF=OFF</t>
        </is>
      </c>
      <c r="FR2" t="inlineStr">
        <is>
          <t>LIVE_ONLY_SIGNALS_BATCH5_FILTER_TF=D</t>
        </is>
      </c>
      <c r="FS2" t="inlineStr">
        <is>
          <t>LIVE_ONLY_SIGNALS_BATCH5_FILTER_TF=4h</t>
        </is>
      </c>
      <c r="FT2" t="inlineStr">
        <is>
          <t>LIVE_ONLY_SIGNALS_BATCH5_FILTER_TF=1h</t>
        </is>
      </c>
      <c r="FU2" t="inlineStr">
        <is>
          <t>LIVE_ONLY_SIGNALS_BATCH5_FILTER_TF=15m</t>
        </is>
      </c>
      <c r="FV2" t="inlineStr">
        <is>
          <t>MANDATORY_REENTRY_WT_FILTER_TF_MODE=15m_only</t>
        </is>
      </c>
      <c r="FW2" t="inlineStr">
        <is>
          <t>MANDATORY_REENTRY_WT_FILTER_TF_MODE=15m_only_ALT</t>
        </is>
      </c>
      <c r="FX2" t="inlineStr">
        <is>
          <t>MOM3_FILTER_TF=OFF</t>
        </is>
      </c>
      <c r="FY2" t="inlineStr">
        <is>
          <t>MOM3_FILTER_TF=D</t>
        </is>
      </c>
      <c r="FZ2" t="inlineStr">
        <is>
          <t>MOM3_FILTER_TF=4h</t>
        </is>
      </c>
      <c r="GA2" t="inlineStr">
        <is>
          <t>MOM3_FILTER_TF=1h</t>
        </is>
      </c>
      <c r="GB2" t="inlineStr">
        <is>
          <t>MOM3_FILTER_TF=15m</t>
        </is>
      </c>
      <c r="GC2" t="inlineStr">
        <is>
          <t>MOMENTUM_BREAKOUT_FILTER_TF=OFF</t>
        </is>
      </c>
      <c r="GD2" t="inlineStr">
        <is>
          <t>MOMENTUM_BREAKOUT_FILTER_TF=D</t>
        </is>
      </c>
      <c r="GE2" t="inlineStr">
        <is>
          <t>MOMENTUM_BREAKOUT_FILTER_TF=4h</t>
        </is>
      </c>
      <c r="GF2" t="inlineStr">
        <is>
          <t>MOMENTUM_BREAKOUT_FILTER_TF=1h</t>
        </is>
      </c>
      <c r="GG2" t="inlineStr">
        <is>
          <t>MOMENTUM_BREAKOUT_FILTER_TF=15m</t>
        </is>
      </c>
      <c r="GH2" t="inlineStr">
        <is>
          <t>MTF_ARMED_ENTRIES_FILTER_TF=OFF</t>
        </is>
      </c>
      <c r="GI2" t="inlineStr">
        <is>
          <t>MTF_ARMED_ENTRIES_FILTER_TF=D</t>
        </is>
      </c>
      <c r="GJ2" t="inlineStr">
        <is>
          <t>MTF_ARMED_ENTRIES_FILTER_TF=4h</t>
        </is>
      </c>
      <c r="GK2" t="inlineStr">
        <is>
          <t>MTF_ARMED_ENTRIES_FILTER_TF=1h</t>
        </is>
      </c>
      <c r="GL2" t="inlineStr">
        <is>
          <t>MTF_ARMED_ENTRIES_FILTER_TF=15m</t>
        </is>
      </c>
      <c r="GM2" t="inlineStr">
        <is>
          <t>MTF_ATR_TRAIL_FILTER_TF=OFF</t>
        </is>
      </c>
      <c r="GN2" t="inlineStr">
        <is>
          <t>MTF_ATR_TRAIL_FILTER_TF=D</t>
        </is>
      </c>
      <c r="GO2" t="inlineStr">
        <is>
          <t>MTF_ATR_TRAIL_FILTER_TF=4h</t>
        </is>
      </c>
      <c r="GP2" t="inlineStr">
        <is>
          <t>MTF_ATR_TRAIL_FILTER_TF=1h</t>
        </is>
      </c>
      <c r="GQ2" t="inlineStr">
        <is>
          <t>MTF_ATR_TRAIL_FILTER_TF=15m</t>
        </is>
      </c>
      <c r="GR2" t="inlineStr">
        <is>
          <t>MTF_DC_REJECT_FILTER_TF=OFF</t>
        </is>
      </c>
      <c r="GS2" t="inlineStr">
        <is>
          <t>MTF_DC_REJECT_FILTER_TF=D</t>
        </is>
      </c>
      <c r="GT2" t="inlineStr">
        <is>
          <t>MTF_DC_REJECT_FILTER_TF=4h</t>
        </is>
      </c>
      <c r="GU2" t="inlineStr">
        <is>
          <t>MTF_DC_REJECT_FILTER_TF=1h</t>
        </is>
      </c>
      <c r="GV2" t="inlineStr">
        <is>
          <t>MTF_DC_REJECT_FILTER_TF=15m</t>
        </is>
      </c>
      <c r="GW2" t="inlineStr">
        <is>
          <t>NEWBORN_LOSS_KILL_FILTER_TF=OFF</t>
        </is>
      </c>
      <c r="GX2" t="inlineStr">
        <is>
          <t>NEWBORN_LOSS_KILL_FILTER_TF=D</t>
        </is>
      </c>
      <c r="GY2" t="inlineStr">
        <is>
          <t>NEWBORN_LOSS_KILL_FILTER_TF=4h</t>
        </is>
      </c>
      <c r="GZ2" t="inlineStr">
        <is>
          <t>NEWBORN_LOSS_KILL_FILTER_TF=1h</t>
        </is>
      </c>
      <c r="HA2" t="inlineStr">
        <is>
          <t>NEWBORN_LOSS_KILL_FILTER_TF=15m</t>
        </is>
      </c>
      <c r="HB2" t="inlineStr">
        <is>
          <t>NEWBORN_PROTECT_FILTER_TF=OFF</t>
        </is>
      </c>
      <c r="HC2" t="inlineStr">
        <is>
          <t>NEWBORN_PROTECT_FILTER_TF=D</t>
        </is>
      </c>
      <c r="HD2" t="inlineStr">
        <is>
          <t>NEWBORN_PROTECT_FILTER_TF=4h</t>
        </is>
      </c>
      <c r="HE2" t="inlineStr">
        <is>
          <t>NEWBORN_PROTECT_FILTER_TF=1h</t>
        </is>
      </c>
      <c r="HF2" t="inlineStr">
        <is>
          <t>NEWBORN_PROTECT_FILTER_TF=15m</t>
        </is>
      </c>
      <c r="HG2" t="inlineStr">
        <is>
          <t>NOLOSS_BYPASS_WT5OF5_FILTER_TF=OFF</t>
        </is>
      </c>
      <c r="HH2" t="inlineStr">
        <is>
          <t>NOLOSS_BYPASS_WT5OF5_FILTER_TF=D</t>
        </is>
      </c>
      <c r="HI2" t="inlineStr">
        <is>
          <t>NOLOSS_BYPASS_WT5OF5_FILTER_TF=4h</t>
        </is>
      </c>
      <c r="HJ2" t="inlineStr">
        <is>
          <t>NOLOSS_BYPASS_WT5OF5_FILTER_TF=1h</t>
        </is>
      </c>
      <c r="HK2" t="inlineStr">
        <is>
          <t>NOLOSS_BYPASS_WT5OF5_FILTER_TF=15m</t>
        </is>
      </c>
      <c r="HL2" t="inlineStr">
        <is>
          <t>OPEN_INTENT_SIZE_GATES_FILTER_TF=OFF</t>
        </is>
      </c>
      <c r="HM2" t="inlineStr">
        <is>
          <t>OPEN_INTENT_SIZE_GATES_FILTER_TF=D</t>
        </is>
      </c>
      <c r="HN2" t="inlineStr">
        <is>
          <t>OPEN_INTENT_SIZE_GATES_FILTER_TF=4h</t>
        </is>
      </c>
      <c r="HO2" t="inlineStr">
        <is>
          <t>OPEN_INTENT_SIZE_GATES_FILTER_TF=1h</t>
        </is>
      </c>
      <c r="HP2" t="inlineStr">
        <is>
          <t>OPEN_INTENT_SIZE_GATES_FILTER_TF=15m</t>
        </is>
      </c>
      <c r="HQ2" t="inlineStr">
        <is>
          <t>PARTIAL_PROFIT_LOCK_V2_FILTER_TF=OFF</t>
        </is>
      </c>
      <c r="HR2" t="inlineStr">
        <is>
          <t>PARTIAL_PROFIT_LOCK_V2_FILTER_TF=D</t>
        </is>
      </c>
      <c r="HS2" t="inlineStr">
        <is>
          <t>PARTIAL_PROFIT_LOCK_V2_FILTER_TF=4h</t>
        </is>
      </c>
      <c r="HT2" t="inlineStr">
        <is>
          <t>PARTIAL_PROFIT_LOCK_V2_FILTER_TF=1h</t>
        </is>
      </c>
      <c r="HU2" t="inlineStr">
        <is>
          <t>PARTIAL_PROFIT_LOCK_V2_FILTER_TF=15m</t>
        </is>
      </c>
      <c r="HV2" t="inlineStr">
        <is>
          <t>PEAK_GIVEBACK_BE_EROSION_FILTER_TF=OFF</t>
        </is>
      </c>
      <c r="HW2" t="inlineStr">
        <is>
          <t>PEAK_GIVEBACK_BE_EROSION_FILTER_TF=D</t>
        </is>
      </c>
      <c r="HX2" t="inlineStr">
        <is>
          <t>PEAK_GIVEBACK_BE_EROSION_FILTER_TF=4h</t>
        </is>
      </c>
      <c r="HY2" t="inlineStr">
        <is>
          <t>PEAK_GIVEBACK_BE_EROSION_FILTER_TF=1h</t>
        </is>
      </c>
      <c r="HZ2" t="inlineStr">
        <is>
          <t>PEAK_GIVEBACK_BE_EROSION_FILTER_TF=15m</t>
        </is>
      </c>
      <c r="IA2" t="inlineStr">
        <is>
          <t>WT_15M_BOUNCE_BB_MAX=0.95</t>
        </is>
      </c>
      <c r="IB2" t="inlineStr">
        <is>
          <t>WT_15M_BOUNCE_BB_MAX=0.9</t>
        </is>
      </c>
      <c r="IC2" t="inlineStr">
        <is>
          <t>WT_15M_BOUNCE_BB_MAX=0.8</t>
        </is>
      </c>
      <c r="ID2" t="inlineStr">
        <is>
          <t>WT_15M_BOUNCE_BB_MIN=0.05</t>
        </is>
      </c>
      <c r="IE2" t="inlineStr">
        <is>
          <t>WT_15M_BOUNCE_BB_MIN=0.1</t>
        </is>
      </c>
      <c r="IF2" t="inlineStr">
        <is>
          <t>WT_15M_BOUNCE_BB_MIN=0.2</t>
        </is>
      </c>
      <c r="IG2" t="inlineStr">
        <is>
          <t>WT_15M_BOUNCE_HIGH_1H_GT_PREV=True</t>
        </is>
      </c>
      <c r="IH2" t="inlineStr">
        <is>
          <t>WT_15M_BOUNCE_HIGH_1H_GT_PREV=False</t>
        </is>
      </c>
      <c r="II2" t="inlineStr">
        <is>
          <t>WT_15M_BOUNCE_LOW_1H_GT_PREV=True</t>
        </is>
      </c>
      <c r="IJ2" t="inlineStr">
        <is>
          <t>WT_15M_BOUNCE_LOW_1H_GT_PREV=False</t>
        </is>
      </c>
      <c r="IK2" t="inlineStr">
        <is>
          <t>WT_15M_BOUNCE_REL_VOL_GT_1=True</t>
        </is>
      </c>
      <c r="IL2" t="inlineStr">
        <is>
          <t>WT_15M_BOUNCE_REL_VOL_GT_1=False</t>
        </is>
      </c>
      <c r="IM2" t="inlineStr">
        <is>
          <t>Live Location</t>
        </is>
      </c>
      <c r="IN2" t="inlineStr">
        <is>
          <t>Vec Hook</t>
        </is>
      </c>
      <c r="IO2" t="inlineStr">
        <is>
          <t>Type</t>
        </is>
      </c>
      <c r="IP2" t="inlineStr">
        <is>
          <t>Correct Options</t>
        </is>
      </c>
    </row>
    <row r="3" ht="15.75" customHeight="1" s="67">
      <c r="A3" t="inlineStr">
        <is>
          <t>FG_FEAR_THRESHOLD</t>
        </is>
      </c>
      <c r="B3" t="inlineStr">
        <is>
          <t>31.25</t>
        </is>
      </c>
      <c r="D3" t="inlineStr">
        <is>
          <t>GLOBAL_CHECK, STOCKS_EXIT</t>
        </is>
      </c>
      <c r="G3">
        <f>IFERROR(VLOOKUP($A92&amp;"_"&amp;$B92,Results_Deltas!$A$2:$P$15000,5,FALSE),"")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IFERROR(VLOOKUP($A76&amp;"_"&amp;$B76,Results_Deltas!$A$2:$P$15000,5,FALSE),"")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IFERROR(VLOOKUP($A191&amp;"_"&amp;$B191,Results_Deltas!$A$2:$P$15000,5,FALSE),"")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IFERROR(VLOOKUP($A192&amp;"_"&amp;$B192,Results_Deltas!$A$2:$P$15000,5,FALSE),"")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IFERROR(VLOOKUP($A101&amp;"_"&amp;$B101,Results_Deltas!$A$2:$P$15000,5,FALSE),"")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IFERROR(VLOOKUP($A99&amp;"_"&amp;$B99,Results_Deltas!$A$2:$P$15000,5,FALSE),"")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IFERROR(VLOOKUP($A102&amp;"_"&amp;$B102,Results_Deltas!$A$2:$P$15000,5,FALSE),"")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IFERROR(VLOOKUP($A96&amp;"_"&amp;$B96,Results_Deltas!$A$2:$P$15000,5,FALSE),"")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IFERROR(VLOOKUP($A209&amp;"_"&amp;$B209,Results_Deltas!$A$2:$P$15000,5,FALSE),"")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IFERROR(VLOOKUP($A58&amp;"_"&amp;$B58,Results_Deltas!$A$2:$P$15000,5,FALSE),"")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IFERROR(VLOOKUP($A97&amp;"_"&amp;$B97,Results_Deltas!$A$2:$P$15000,5,FALSE),"")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IFERROR(VLOOKUP($A59&amp;"_"&amp;$B59,Results_Deltas!$A$2:$P$15000,5,FALSE),"")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IFERROR(VLOOKUP($A95&amp;"_"&amp;$B95,Results_Deltas!$A$2:$P$15000,5,FALSE),"")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IFERROR(VLOOKUP($A100&amp;"_"&amp;$B100,Results_Deltas!$A$2:$P$15000,5,FALSE),"")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IFERROR(VLOOKUP($A57&amp;"_"&amp;$B57,Results_Deltas!$A$2:$P$15000,5,FALSE),"")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IFERROR(VLOOKUP($A93&amp;"_"&amp;$B93,Results_Deltas!$A$2:$P$15000,5,FALSE),"")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IFERROR(VLOOKUP($A67&amp;"_"&amp;$B67,Results_Deltas!$A$2:$P$15000,5,FALSE),"")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IFERROR(VLOOKUP($A214&amp;"_"&amp;$B214,Results_Deltas!$A$2:$P$15000,5,FALSE),"")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IFERROR(VLOOKUP($A74&amp;"_"&amp;$B74,Results_Deltas!$A$2:$P$15000,5,FALSE),"")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IFERROR(VLOOKUP($A133&amp;"_"&amp;$B133,Results_Deltas!$A$2:$P$15000,5,FALSE),"")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IFERROR(VLOOKUP($A77&amp;"_"&amp;$B77,Results_Deltas!$A$2:$P$15000,5,FALSE),"")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IFERROR(VLOOKUP($A207&amp;"_"&amp;$B207,Results_Deltas!$A$2:$P$15000,5,FALSE),"")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IFERROR(VLOOKUP($A215&amp;"_"&amp;$B215,Results_Deltas!$A$2:$P$15000,5,FALSE),"")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IFERROR(VLOOKUP($A130&amp;"_"&amp;$B130,Results_Deltas!$A$2:$P$15000,5,FALSE),"")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IFERROR(VLOOKUP($A48&amp;"_"&amp;$B48,Results_Deltas!$A$2:$P$15000,5,FALSE),"")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IFERROR(VLOOKUP($A60&amp;"_"&amp;$B60,Results_Deltas!$A$2:$P$15000,5,FALSE),"")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IFERROR(VLOOKUP($A187&amp;"_"&amp;$B187,Results_Deltas!$A$2:$P$15000,5,FALSE),"")</f>
        <v/>
      </c>
      <c r="H29" t="inlineStr">
        <is>
          <t>Blanket (page end)</t>
        </is>
      </c>
      <c r="L29" t="inlineStr">
        <is>
          <t>YES</t>
        </is>
      </c>
      <c r="M29" t="n">
        <v>26</v>
      </c>
      <c r="N29" t="n">
        <v>0</v>
      </c>
    </row>
    <row r="30" ht="15.75" customHeight="1" s="67">
      <c r="A30" t="inlineStr">
        <is>
          <t>MTS_BOTTOM_BONUS_THRESHOLD</t>
        </is>
      </c>
      <c r="B30" t="inlineStr">
        <is>
          <t>25</t>
        </is>
      </c>
      <c r="D30" t="inlineStr">
        <is>
          <t>ENTRY, GLOBAL_CHECK, STOCKS_EXIT</t>
        </is>
      </c>
      <c r="G30">
        <f>IFERROR(VLOOKUP($A186&amp;"_"&amp;$B186,Results_Deltas!$A$2:$P$15000,5,FALSE),"")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IFERROR(VLOOKUP($A124&amp;"_"&amp;$B124,Results_Deltas!$A$2:$P$15000,5,FALSE),"")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IFERROR(VLOOKUP($A68&amp;"_"&amp;$B68,Results_Deltas!$A$2:$P$15000,5,FALSE),"")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IFERROR(VLOOKUP($A42&amp;"_"&amp;$B42,Results_Deltas!$A$2:$P$15000,5,FALSE),"")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IFERROR(VLOOKUP($A44&amp;"_"&amp;$B44,Results_Deltas!$A$2:$P$15000,5,FALSE),"")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IFERROR(VLOOKUP($A188&amp;"_"&amp;$B188,Results_Deltas!$A$2:$P$15000,5,FALSE),"")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IFERROR(VLOOKUP($A91&amp;"_"&amp;$B91,Results_Deltas!$A$2:$P$15000,5,FALSE),"")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IFERROR(VLOOKUP($A50&amp;"_"&amp;$B50,Results_Deltas!$A$2:$P$15000,5,FALSE),"")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IFERROR(VLOOKUP($A75&amp;"_"&amp;$B75,Results_Deltas!$A$2:$P$15000,5,FALSE),"")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IFERROR(VLOOKUP($A125&amp;"_"&amp;$B125,Results_Deltas!$A$2:$P$15000,5,FALSE),"")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IFERROR(VLOOKUP($A131&amp;"_"&amp;$B131,Results_Deltas!$A$2:$P$15000,5,FALSE),"")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IFERROR(VLOOKUP($A184&amp;"_"&amp;$B184,Results_Deltas!$A$2:$P$15000,5,FALSE),"")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IFERROR(VLOOKUP($A185&amp;"_"&amp;$B185,Results_Deltas!$A$2:$P$15000,5,FALSE),"")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IFERROR(VLOOKUP($A47&amp;"_"&amp;$B47,Results_Deltas!$A$2:$P$15000,5,FALSE),"")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IFERROR(VLOOKUP($A154&amp;"_"&amp;$B154,Results_Deltas!$A$2:$P$15000,5,FALSE),"")</f>
        <v/>
      </c>
      <c r="H44" t="inlineStr">
        <is>
          <t>Blanket (page end)</t>
        </is>
      </c>
      <c r="L44" t="inlineStr">
        <is>
          <t>YES</t>
        </is>
      </c>
      <c r="M44" t="n">
        <v>27</v>
      </c>
      <c r="N44" t="n">
        <v>0</v>
      </c>
    </row>
    <row r="45" ht="15.75" customHeight="1" s="67">
      <c r="A45" t="inlineStr">
        <is>
          <t>LH_HL_FILTER_MODE</t>
        </is>
      </c>
      <c r="B45" t="inlineStr">
        <is>
          <t>STRICT_2BAR</t>
        </is>
      </c>
      <c r="D45" t="inlineStr">
        <is>
          <t>ENTRY, GLOBAL_CHECK, STOCKS_EXIT</t>
        </is>
      </c>
      <c r="G45">
        <f>IFERROR(VLOOKUP($A153&amp;"_"&amp;$B153,Results_Deltas!$A$2:$P$15000,5,FALSE),"")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IFERROR(VLOOKUP($A122&amp;"_"&amp;$B122,Results_Deltas!$A$2:$P$15000,5,FALSE),"")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IFERROR(VLOOKUP($A175&amp;"_"&amp;$B175,Results_Deltas!$A$2:$P$15000,5,FALSE),"")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IFERROR(VLOOKUP($A121&amp;"_"&amp;$B121,Results_Deltas!$A$2:$P$15000,5,FALSE),"")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IFERROR(VLOOKUP($A208&amp;"_"&amp;$B208,Results_Deltas!$A$2:$P$15000,5,FALSE),"")</f>
        <v/>
      </c>
      <c r="H49" t="inlineStr">
        <is>
          <t>Blanket (page end)</t>
        </is>
      </c>
      <c r="L49" t="inlineStr">
        <is>
          <t>YES</t>
        </is>
      </c>
      <c r="M49" t="n">
        <v>24</v>
      </c>
      <c r="N49" t="n">
        <v>0</v>
      </c>
    </row>
    <row r="50" ht="15.75" customHeight="1" s="67">
      <c r="A50" t="inlineStr">
        <is>
          <t>EMA_BLANKET_FILTER_MIN_TFS</t>
        </is>
      </c>
      <c r="B50" t="inlineStr">
        <is>
          <t>2</t>
        </is>
      </c>
      <c r="D50" t="inlineStr">
        <is>
          <t>GLOBAL_CHECK</t>
        </is>
      </c>
      <c r="G50">
        <f>IFERROR(VLOOKUP($A85&amp;"_"&amp;$B85,Results_Deltas!$A$2:$P$15000,5,FALSE),"")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IFERROR(VLOOKUP($A189&amp;"_"&amp;$B189,Results_Deltas!$A$2:$P$15000,5,FALSE),"")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IFERROR(VLOOKUP($A190&amp;"_"&amp;$B190,Results_Deltas!$A$2:$P$15000,5,FALSE),"")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IFERROR(VLOOKUP($A63&amp;"_"&amp;$B63,Results_Deltas!$A$2:$P$15000,5,FALSE),"")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IFERROR(VLOOKUP($A64&amp;"_"&amp;$B64,Results_Deltas!$A$2:$P$15000,5,FALSE),"")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IFERROR(VLOOKUP($A172&amp;"_"&amp;$B172,Results_Deltas!$A$2:$P$15000,5,FALSE),"")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IFERROR(VLOOKUP($A173&amp;"_"&amp;$B173,Results_Deltas!$A$2:$P$15000,5,FALSE),"")</f>
        <v/>
      </c>
      <c r="H56" t="inlineStr">
        <is>
          <t>Blanket (page end)</t>
        </is>
      </c>
      <c r="L56" t="inlineStr">
        <is>
          <t>YES</t>
        </is>
      </c>
      <c r="M56" t="n">
        <v>26</v>
      </c>
      <c r="N56" t="n">
        <v>0</v>
      </c>
    </row>
    <row r="57" ht="15.75" customHeight="1" s="67">
      <c r="A57" t="inlineStr">
        <is>
          <t>EMA_9_21_FILTER_MIN_TFS</t>
        </is>
      </c>
      <c r="B57" t="inlineStr">
        <is>
          <t>0</t>
        </is>
      </c>
      <c r="D57" t="inlineStr">
        <is>
          <t>GLOBAL_CHECK</t>
        </is>
      </c>
      <c r="G57">
        <f>IFERROR(VLOOKUP($A79&amp;"_"&amp;$B79,Results_Deltas!$A$2:$P$15000,5,FALSE),"")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IFERROR(VLOOKUP($A115&amp;"_"&amp;$B115,Results_Deltas!$A$2:$P$15000,5,FALSE),"")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IFERROR(VLOOKUP($A84&amp;"_"&amp;$B84,Results_Deltas!$A$2:$P$15000,5,FALSE),"")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IFERROR(VLOOKUP($A80&amp;"_"&amp;$B80,Results_Deltas!$A$2:$P$15000,5,FALSE),"")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IFERROR(VLOOKUP($A210&amp;"_"&amp;$B210,Results_Deltas!$A$2:$P$15000,5,FALSE),"")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IFERROR(VLOOKUP($A193&amp;"_"&amp;$B193,Results_Deltas!$A$2:$P$15000,5,FALSE),"")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IFERROR(VLOOKUP($A82&amp;"_"&amp;$B82,Results_Deltas!$A$2:$P$15000,5,FALSE),"")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IFERROR(VLOOKUP($A118&amp;"_"&amp;$B118,Results_Deltas!$A$2:$P$15000,5,FALSE),"")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IFERROR(VLOOKUP($A180&amp;"_"&amp;$B180,Results_Deltas!$A$2:$P$15000,5,FALSE),"")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IFERROR(VLOOKUP($A138&amp;"_"&amp;$B138,Results_Deltas!$A$2:$P$15000,5,FALSE),"")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IFERROR(VLOOKUP($A195&amp;"_"&amp;$B195,Results_Deltas!$A$2:$P$15000,5,FALSE),"")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IFERROR(VLOOKUP($A167&amp;"_"&amp;$B167,Results_Deltas!$A$2:$P$15000,5,FALSE),"")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IFERROR(VLOOKUP($A120&amp;"_"&amp;$B120,Results_Deltas!$A$2:$P$15000,5,FALSE),"")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IFERROR(VLOOKUP($A203&amp;"_"&amp;$B203,Results_Deltas!$A$2:$P$15000,5,FALSE),"")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IFERROR(VLOOKUP($A152&amp;"_"&amp;$B152,Results_Deltas!$A$2:$P$15000,5,FALSE),"")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IFERROR(VLOOKUP($A46&amp;"_"&amp;$B46,Results_Deltas!$A$2:$P$15000,5,FALSE),"")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IFERROR(VLOOKUP($A134&amp;"_"&amp;$B134,Results_Deltas!$A$2:$P$15000,5,FALSE),"")</f>
        <v/>
      </c>
      <c r="H73" t="inlineStr">
        <is>
          <t>Blanket (page end)</t>
        </is>
      </c>
      <c r="L73" t="inlineStr">
        <is>
          <t>YES</t>
        </is>
      </c>
      <c r="M73" t="n">
        <v>27</v>
      </c>
      <c r="N73" t="n">
        <v>0</v>
      </c>
    </row>
    <row r="74" ht="15.75" customHeight="1" s="67">
      <c r="A74" t="inlineStr">
        <is>
          <t>FG_GREED_THRESHOLD</t>
        </is>
      </c>
      <c r="B74" t="inlineStr">
        <is>
          <t>37.5</t>
        </is>
      </c>
      <c r="D74" t="inlineStr">
        <is>
          <t>GLOBAL_CHECK, STOCKS_EXIT</t>
        </is>
      </c>
      <c r="G74">
        <f>IFERROR(VLOOKUP($A98&amp;"_"&amp;$B98,Results_Deltas!$A$2:$P$15000,5,FALSE),"")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IFERROR(VLOOKUP($A213&amp;"_"&amp;$B213,Results_Deltas!$A$2:$P$15000,5,FALSE),"")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IFERROR(VLOOKUP($A181&amp;"_"&amp;$B181,Results_Deltas!$A$2:$P$15000,5,FALSE),"")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IFERROR(VLOOKUP($A43&amp;"_"&amp;$B43,Results_Deltas!$A$2:$P$15000,5,FALSE),"")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IFERROR(VLOOKUP($A126&amp;"_"&amp;$B126,Results_Deltas!$A$2:$P$15000,5,FALSE),"")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IFERROR(VLOOKUP($A164&amp;"_"&amp;$B164,Results_Deltas!$A$2:$P$15000,5,FALSE),"")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IFERROR(VLOOKUP($A71&amp;"_"&amp;$B71,Results_Deltas!$A$2:$P$15000,5,FALSE),"")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IFERROR(VLOOKUP($A123&amp;"_"&amp;$B123,Results_Deltas!$A$2:$P$15000,5,FALSE),"")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IFERROR(VLOOKUP($A70&amp;"_"&amp;$B70,Results_Deltas!$A$2:$P$15000,5,FALSE),"")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IFERROR(VLOOKUP($A162&amp;"_"&amp;$B162,Results_Deltas!$A$2:$P$15000,5,FALSE),"")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IFERROR(VLOOKUP($A178&amp;"_"&amp;$B178,Results_Deltas!$A$2:$P$15000,5,FALSE),"")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IFERROR(VLOOKUP($A66&amp;"_"&amp;$B66,Results_Deltas!$A$2:$P$15000,5,FALSE),"")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IFERROR(VLOOKUP($A73&amp;"_"&amp;$B73,Results_Deltas!$A$2:$P$15000,5,FALSE),"")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IFERROR(VLOOKUP($A129&amp;"_"&amp;$B129,Results_Deltas!$A$2:$P$15000,5,FALSE),"")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IFERROR(VLOOKUP($A165&amp;"_"&amp;$B165,Results_Deltas!$A$2:$P$15000,5,FALSE),"")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IFERROR(VLOOKUP($A160&amp;"_"&amp;$B160,Results_Deltas!$A$2:$P$15000,5,FALSE),"")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IFERROR(VLOOKUP($A159&amp;"_"&amp;$B159,Results_Deltas!$A$2:$P$15000,5,FALSE),"")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IFERROR(VLOOKUP($A179&amp;"_"&amp;$B179,Results_Deltas!$A$2:$P$15000,5,FALSE),"")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IFERROR(VLOOKUP($A198&amp;"_"&amp;$B198,Results_Deltas!$A$2:$P$15000,5,FALSE),"")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IFERROR(VLOOKUP($A94&amp;"_"&amp;$B94,Results_Deltas!$A$2:$P$15000,5,FALSE),"")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IFERROR(VLOOKUP($A199&amp;"_"&amp;$B199,Results_Deltas!$A$2:$P$15000,5,FALSE),"")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IFERROR(VLOOKUP($A158&amp;"_"&amp;$B158,Results_Deltas!$A$2:$P$15000,5,FALSE),"")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IFERROR(VLOOKUP($A69&amp;"_"&amp;$B69,Results_Deltas!$A$2:$P$15000,5,FALSE),"")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IFERROR(VLOOKUP($A166&amp;"_"&amp;$B166,Results_Deltas!$A$2:$P$15000,5,FALSE),"")</f>
        <v/>
      </c>
      <c r="H97" t="inlineStr">
        <is>
          <t>Blanket (page end)</t>
        </is>
      </c>
      <c r="L97" t="inlineStr">
        <is>
          <t>YES</t>
        </is>
      </c>
      <c r="M97" t="n">
        <v>26</v>
      </c>
      <c r="N97" t="n">
        <v>0</v>
      </c>
    </row>
    <row r="98" ht="15.75" customHeight="1" s="67">
      <c r="A98" t="inlineStr">
        <is>
          <t>GR_FILTER_VEC_MIN_TFS</t>
        </is>
      </c>
      <c r="B98" t="inlineStr">
        <is>
          <t>2</t>
        </is>
      </c>
      <c r="D98" t="inlineStr">
        <is>
          <t>GLOBAL_CHECK</t>
        </is>
      </c>
      <c r="G98">
        <f>IFERROR(VLOOKUP($A117&amp;"_"&amp;$B117,Results_Deltas!$A$2:$P$15000,5,FALSE),"")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IFERROR(VLOOKUP($A204&amp;"_"&amp;$B204,Results_Deltas!$A$2:$P$15000,5,FALSE),"")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IFERROR(VLOOKUP($A81&amp;"_"&amp;$B81,Results_Deltas!$A$2:$P$15000,5,FALSE),"")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IFERROR(VLOOKUP($A212&amp;"_"&amp;$B212,Results_Deltas!$A$2:$P$15000,5,FALSE),"")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IFERROR(VLOOKUP($A62&amp;"_"&amp;$B62,Results_Deltas!$A$2:$P$15000,5,FALSE),"")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IFERROR(VLOOKUP($A211&amp;"_"&amp;$B211,Results_Deltas!$A$2:$P$15000,5,FALSE),"")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IFERROR(VLOOKUP($A65&amp;"_"&amp;$B65,Results_Deltas!$A$2:$P$15000,5,FALSE),"")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IFERROR(VLOOKUP($A86&amp;"_"&amp;$B86,Results_Deltas!$A$2:$P$15000,5,FALSE),"")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IFERROR(VLOOKUP($A205&amp;"_"&amp;$B205,Results_Deltas!$A$2:$P$15000,5,FALSE),"")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IFERROR(VLOOKUP($A163&amp;"_"&amp;$B163,Results_Deltas!$A$2:$P$15000,5,FALSE),"")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IFERROR(VLOOKUP($A197&amp;"_"&amp;$B197,Results_Deltas!$A$2:$P$15000,5,FALSE),"")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IFERROR(VLOOKUP($A146&amp;"_"&amp;$B146,Results_Deltas!$A$2:$P$15000,5,FALSE),"")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IFERROR(VLOOKUP($A161&amp;"_"&amp;$B161,Results_Deltas!$A$2:$P$15000,5,FALSE),"")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IFERROR(VLOOKUP($A51&amp;"_"&amp;$B51,Results_Deltas!$A$2:$P$15000,5,FALSE),"")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IFERROR(VLOOKUP($A52&amp;"_"&amp;$B52,Results_Deltas!$A$2:$P$15000,5,FALSE),"")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IFERROR(VLOOKUP($A136&amp;"_"&amp;$B136,Results_Deltas!$A$2:$P$15000,5,FALSE),"")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IFERROR(VLOOKUP($A53&amp;"_"&amp;$B53,Results_Deltas!$A$2:$P$15000,5,FALSE),"")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IFERROR(VLOOKUP($A54&amp;"_"&amp;$B54,Results_Deltas!$A$2:$P$15000,5,FALSE),"")</f>
        <v/>
      </c>
      <c r="H115" t="inlineStr">
        <is>
          <t>Blanket (page end)</t>
        </is>
      </c>
      <c r="L115" t="inlineStr">
        <is>
          <t>NO</t>
        </is>
      </c>
      <c r="M115" t="n">
        <v>24</v>
      </c>
      <c r="N115" t="n">
        <v>0</v>
      </c>
    </row>
    <row r="116" ht="10.5" customHeight="1" s="67">
      <c r="A116" t="inlineStr">
        <is>
          <t>BTC_ROUND_BANDS_EACH_SIDE</t>
        </is>
      </c>
      <c r="B116" t="inlineStr">
        <is>
          <t>0.0</t>
        </is>
      </c>
      <c r="D116" t="inlineStr">
        <is>
          <t>UNIVERSAL (ex-BTC) — ENTRY/EXIT/REENTRY</t>
        </is>
      </c>
      <c r="G116">
        <f>IFERROR(VLOOKUP($A55&amp;"_"&amp;$B55,Results_Deltas!$A$2:$P$15000,5,FALSE),"")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IFERROR(VLOOKUP($A56&amp;"_"&amp;$B56,Results_Deltas!$A$2:$P$15000,5,FALSE),"")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IFERROR(VLOOKUP($A156&amp;"_"&amp;$B156,Results_Deltas!$A$2:$P$15000,5,FALSE),"")</f>
        <v/>
      </c>
      <c r="H118" t="inlineStr">
        <is>
          <t>Blanket (page end)</t>
        </is>
      </c>
      <c r="L118" t="inlineStr">
        <is>
          <t>YES</t>
        </is>
      </c>
      <c r="M118" t="n">
        <v>24</v>
      </c>
      <c r="N118" t="n">
        <v>0</v>
      </c>
    </row>
    <row r="119" ht="15.75" customHeight="1" s="67">
      <c r="A119" t="inlineStr">
        <is>
          <t>GR_FILTER_VEC_MIN_TFS</t>
        </is>
      </c>
      <c r="B119" t="inlineStr">
        <is>
          <t>0</t>
        </is>
      </c>
      <c r="D119" t="inlineStr">
        <is>
          <t>GLOBAL_CHECK</t>
        </is>
      </c>
      <c r="G119">
        <f>IFERROR(VLOOKUP($A116&amp;"_"&amp;$B116,Results_Deltas!$A$2:$P$15000,5,FALSE),"")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IFERROR(VLOOKUP($A45&amp;"_"&amp;$B45,Results_Deltas!$A$2:$P$15000,5,FALSE),"")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IFERROR(VLOOKUP($A150&amp;"_"&amp;$B150,Results_Deltas!$A$2:$P$15000,5,FALSE),"")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IFERROR(VLOOKUP($A104&amp;"_"&amp;$B104,Results_Deltas!$A$2:$P$15000,5,FALSE),"")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IFERROR(VLOOKUP($A105&amp;"_"&amp;$B105,Results_Deltas!$A$2:$P$15000,5,FALSE),"")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IFERROR(VLOOKUP($A106&amp;"_"&amp;$B106,Results_Deltas!$A$2:$P$15000,5,FALSE),"")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IFERROR(VLOOKUP($A107&amp;"_"&amp;$B107,Results_Deltas!$A$2:$P$15000,5,FALSE),"")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IFERROR(VLOOKUP($A108&amp;"_"&amp;$B108,Results_Deltas!$A$2:$P$15000,5,FALSE),"")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IFERROR(VLOOKUP($A109&amp;"_"&amp;$B109,Results_Deltas!$A$2:$P$15000,5,FALSE),"")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IFERROR(VLOOKUP($A41&amp;"_"&amp;$B41,Results_Deltas!$A$2:$P$15000,5,FALSE),"")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IFERROR(VLOOKUP($A103&amp;"_"&amp;$B103,Results_Deltas!$A$2:$P$15000,5,FALSE),"")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IFERROR(VLOOKUP($A155&amp;"_"&amp;$B155,Results_Deltas!$A$2:$P$15000,5,FALSE),"")</f>
        <v/>
      </c>
      <c r="H130" t="inlineStr">
        <is>
          <t>Blanket (page end)</t>
        </is>
      </c>
      <c r="L130" t="inlineStr">
        <is>
          <t>NO</t>
        </is>
      </c>
      <c r="M130" t="n">
        <v>9</v>
      </c>
      <c r="N130" t="n">
        <v>0</v>
      </c>
    </row>
    <row r="131" ht="15.75" customHeight="1" s="67">
      <c r="A131" t="inlineStr">
        <is>
          <t>HTF_GATE_MIN_CONFIRMATIONS</t>
        </is>
      </c>
      <c r="B131" t="inlineStr">
        <is>
          <t>0.0</t>
        </is>
      </c>
      <c r="D131" t="inlineStr">
        <is>
          <t>ENTRY, GLOBAL_CHECK, STOCKS_EXIT</t>
        </is>
      </c>
      <c r="G131">
        <f>IFERROR(VLOOKUP($A143&amp;"_"&amp;$B143,Results_Deltas!$A$2:$P$15000,5,FALSE),"")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IFERROR(VLOOKUP($A144&amp;"_"&amp;$B144,Results_Deltas!$A$2:$P$15000,5,FALSE),"")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IFERROR(VLOOKUP($A112&amp;"_"&amp;$B112,Results_Deltas!$A$2:$P$15000,5,FALSE),"")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IFERROR(VLOOKUP($A113&amp;"_"&amp;$B113,Results_Deltas!$A$2:$P$15000,5,FALSE),"")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IFERROR(VLOOKUP($A119&amp;"_"&amp;$B119,Results_Deltas!$A$2:$P$15000,5,FALSE),"")</f>
        <v/>
      </c>
      <c r="H135" t="inlineStr">
        <is>
          <t>Blanket (page end)</t>
        </is>
      </c>
      <c r="L135" t="inlineStr">
        <is>
          <t>NO</t>
        </is>
      </c>
      <c r="M135" t="n">
        <v>9</v>
      </c>
      <c r="N135" t="n">
        <v>0</v>
      </c>
    </row>
    <row r="136" ht="15.75" customHeight="1" s="67">
      <c r="A136" t="inlineStr">
        <is>
          <t>GOLDEN_RULE_BASE_USD</t>
        </is>
      </c>
      <c r="B136" t="inlineStr">
        <is>
          <t>0.0_ALT</t>
        </is>
      </c>
      <c r="D136" t="inlineStr">
        <is>
          <t>GLOBAL_CHECK, STOCKS_EXIT</t>
        </is>
      </c>
      <c r="G136">
        <f>IFERROR(VLOOKUP($A111&amp;"_"&amp;$B111,Results_Deltas!$A$2:$P$15000,5,FALSE),"")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IFERROR(VLOOKUP($A110&amp;"_"&amp;$B110,Results_Deltas!$A$2:$P$15000,5,FALSE),"")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IFERROR(VLOOKUP($A149&amp;"_"&amp;$B149,Results_Deltas!$A$2:$P$15000,5,FALSE),"")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IFERROR(VLOOKUP($A135&amp;"_"&amp;$B135,Results_Deltas!$A$2:$P$15000,5,FALSE),"")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IFERROR(VLOOKUP($A151&amp;"_"&amp;$B151,Results_Deltas!$A$2:$P$15000,5,FALSE),"")</f>
        <v/>
      </c>
      <c r="H140" t="inlineStr">
        <is>
          <t>Blanket (page end)</t>
        </is>
      </c>
      <c r="L140" t="inlineStr">
        <is>
          <t>NO</t>
        </is>
      </c>
      <c r="M140" t="n">
        <v>9</v>
      </c>
      <c r="N140" t="n">
        <v>0</v>
      </c>
    </row>
    <row r="141" ht="15.75" customHeight="1" s="67">
      <c r="A141" t="inlineStr">
        <is>
          <t>GR_FILTER_VEC_ENABLED</t>
        </is>
      </c>
      <c r="B141" t="inlineStr">
        <is>
          <t>False</t>
        </is>
      </c>
      <c r="D141" t="inlineStr">
        <is>
          <t>GLOBAL_CHECK</t>
        </is>
      </c>
      <c r="G141">
        <f>IFERROR(VLOOKUP($A114&amp;"_"&amp;$B114,Results_Deltas!$A$2:$P$15000,5,FALSE),"")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IFERROR(VLOOKUP($A78&amp;"_"&amp;$B78,Results_Deltas!$A$2:$P$15000,5,FALSE),"")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IFERROR(VLOOKUP($A206&amp;"_"&amp;$B206,Results_Deltas!$A$2:$P$15000,5,FALSE),"")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IFERROR(VLOOKUP($A83&amp;"_"&amp;$B83,Results_Deltas!$A$2:$P$15000,5,FALSE),"")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IFERROR(VLOOKUP($A194&amp;"_"&amp;$B194,Results_Deltas!$A$2:$P$15000,5,FALSE),"")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IFERROR(VLOOKUP($A176&amp;"_"&amp;$B176,Results_Deltas!$A$2:$P$15000,5,FALSE),"")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IFERROR(VLOOKUP($A177&amp;"_"&amp;$B177,Results_Deltas!$A$2:$P$15000,5,FALSE),"")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IFERROR(VLOOKUP($A128&amp;"_"&amp;$B128,Results_Deltas!$A$2:$P$15000,5,FALSE),"")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IFERROR(VLOOKUP($A88&amp;"_"&amp;$B88,Results_Deltas!$A$2:$P$15000,5,FALSE),"")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IFERROR(VLOOKUP($A87&amp;"_"&amp;$B87,Results_Deltas!$A$2:$P$15000,5,FALSE),"")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IFERROR(VLOOKUP($A132&amp;"_"&amp;$B132,Results_Deltas!$A$2:$P$15000,5,FALSE),"")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IFERROR(VLOOKUP($A61&amp;"_"&amp;$B61,Results_Deltas!$A$2:$P$15000,5,FALSE),"")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IFERROR(VLOOKUP($A127&amp;"_"&amp;$B127,Results_Deltas!$A$2:$P$15000,5,FALSE),"")</f>
        <v/>
      </c>
      <c r="H153" t="inlineStr">
        <is>
          <t>Blanket (page end)</t>
        </is>
      </c>
      <c r="L153" t="inlineStr">
        <is>
          <t>YES</t>
        </is>
      </c>
      <c r="M153" t="n">
        <v>9</v>
      </c>
      <c r="N153" t="n">
        <v>0</v>
      </c>
    </row>
    <row r="154" ht="15.75" customHeight="1" s="67">
      <c r="A154" t="inlineStr">
        <is>
          <t>EZ_MANAGE_THROTTLER_RATE</t>
        </is>
      </c>
      <c r="B154" t="inlineStr">
        <is>
          <t>0.0</t>
        </is>
      </c>
      <c r="D154" t="inlineStr">
        <is>
          <t>GLOBAL_CHECK, STOCKS_EXIT</t>
        </is>
      </c>
      <c r="G154">
        <f>IFERROR(VLOOKUP($A89&amp;"_"&amp;$B89,Results_Deltas!$A$2:$P$15000,5,FALSE),"")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IFERROR(VLOOKUP($A90&amp;"_"&amp;$B90,Results_Deltas!$A$2:$P$15000,5,FALSE),"")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IFERROR(VLOOKUP($A49&amp;"_"&amp;$B49,Results_Deltas!$A$2:$P$15000,5,FALSE),"")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IFERROR(VLOOKUP($A202&amp;"_"&amp;$B202,Results_Deltas!$A$2:$P$15000,5,FALSE),"")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IFERROR(VLOOKUP($A142&amp;"_"&amp;$B142,Results_Deltas!$A$2:$P$15000,5,FALSE),"")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IFERROR(VLOOKUP($A72&amp;"_"&amp;$B72,Results_Deltas!$A$2:$P$15000,5,FALSE),"")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IFERROR(VLOOKUP($A141&amp;"_"&amp;$B141,Results_Deltas!$A$2:$P$15000,5,FALSE),"")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IFERROR(VLOOKUP($A171&amp;"_"&amp;$B171,Results_Deltas!$A$2:$P$15000,5,FALSE),"")</f>
        <v/>
      </c>
      <c r="H161" t="inlineStr">
        <is>
          <t>Blanket (page end)</t>
        </is>
      </c>
      <c r="L161" t="inlineStr">
        <is>
          <t>YES</t>
        </is>
      </c>
      <c r="M161" t="n">
        <v>24</v>
      </c>
      <c r="N161" t="n">
        <v>0</v>
      </c>
    </row>
    <row r="162" ht="15.75" customHeight="1" s="67">
      <c r="A162" t="inlineStr">
        <is>
          <t>MARKET_QUALITY_SCORE_ENABLED</t>
        </is>
      </c>
      <c r="B162" t="inlineStr">
        <is>
          <t>False</t>
        </is>
      </c>
      <c r="D162" t="inlineStr">
        <is>
          <t>ENTRY, GLOBAL_CHECK, STOCKS_EXIT</t>
        </is>
      </c>
      <c r="G162">
        <f>IFERROR(VLOOKUP($A174&amp;"_"&amp;$B174,Results_Deltas!$A$2:$P$15000,5,FALSE),"")</f>
        <v/>
      </c>
      <c r="H162" t="inlineStr">
        <is>
          <t>Blanket (page end)</t>
        </is>
      </c>
      <c r="L162" t="inlineStr">
        <is>
          <t>NO</t>
        </is>
      </c>
      <c r="M162" t="n">
        <v>9</v>
      </c>
      <c r="N162" t="n">
        <v>0</v>
      </c>
    </row>
    <row r="163" ht="15.75" customHeight="1" s="67">
      <c r="A163" t="inlineStr">
        <is>
          <t>HTF_GATE_BYPASS_RZ</t>
        </is>
      </c>
      <c r="B163" t="inlineStr">
        <is>
          <t>0.0</t>
        </is>
      </c>
      <c r="D163" t="inlineStr">
        <is>
          <t>ENTRY, GLOBAL_CHECK, STOCKS_EXIT</t>
        </is>
      </c>
      <c r="G163">
        <f>IFERROR(VLOOKUP($A139&amp;"_"&amp;$B139,Results_Deltas!$A$2:$P$15000,5,FALSE),"")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IFERROR(VLOOKUP($A140&amp;"_"&amp;$B140,Results_Deltas!$A$2:$P$15000,5,FALSE),"")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IFERROR(VLOOKUP($A137&amp;"_"&amp;$B137,Results_Deltas!$A$2:$P$15000,5,FALSE),"")</f>
        <v/>
      </c>
      <c r="H165" t="inlineStr">
        <is>
          <t>Blanket (page end)</t>
        </is>
      </c>
      <c r="L165" t="inlineStr">
        <is>
          <t>NO</t>
        </is>
      </c>
      <c r="M165" t="n">
        <v>9</v>
      </c>
      <c r="N165" t="n">
        <v>0</v>
      </c>
    </row>
    <row r="166" ht="15.75" customHeight="1" s="67">
      <c r="A166" t="inlineStr">
        <is>
          <t>MTF_FILTER_STRONG_BUY_QUICK_BYPASS</t>
        </is>
      </c>
      <c r="B166" t="inlineStr">
        <is>
          <t>0.0</t>
        </is>
      </c>
      <c r="D166" t="inlineStr">
        <is>
          <t>GLOBAL_CHECK, STOCKS_EXIT</t>
        </is>
      </c>
      <c r="G166">
        <f>IFERROR(VLOOKUP($A182&amp;"_"&amp;$B182,Results_Deltas!$A$2:$P$15000,5,FALSE),"")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IFERROR(VLOOKUP($A183&amp;"_"&amp;$B183,Results_Deltas!$A$2:$P$15000,5,FALSE),"")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IFERROR(VLOOKUP($A200&amp;"_"&amp;$B200,Results_Deltas!$A$2:$P$15000,5,FALSE),"")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IFERROR(VLOOKUP($A201&amp;"_"&amp;$B201,Results_Deltas!$A$2:$P$15000,5,FALSE),"")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IFERROR(VLOOKUP($A168&amp;"_"&amp;$B168,Results_Deltas!$A$2:$P$15000,5,FALSE),"")</f>
        <v/>
      </c>
      <c r="H170" t="inlineStr">
        <is>
          <t>Blanket (page end)</t>
        </is>
      </c>
      <c r="L170" t="inlineStr">
        <is>
          <t>NO</t>
        </is>
      </c>
      <c r="M170" t="n">
        <v>24</v>
      </c>
      <c r="N170" t="n">
        <v>0</v>
      </c>
    </row>
    <row r="171" ht="15.75" customHeight="1" s="67">
      <c r="A171" t="inlineStr">
        <is>
          <t>MANDATORY_REENTRY_WT_FILTER_MIN_VELOCITY</t>
        </is>
      </c>
      <c r="B171" t="inlineStr">
        <is>
          <t>0.0_ALT</t>
        </is>
      </c>
      <c r="D171" t="inlineStr">
        <is>
          <t>GLOBAL_CHECK, STOCKS_EXIT</t>
        </is>
      </c>
      <c r="G171">
        <f>IFERROR(VLOOKUP($A169&amp;"_"&amp;$B169,Results_Deltas!$A$2:$P$15000,5,FALSE),"")</f>
        <v/>
      </c>
      <c r="H171" t="inlineStr">
        <is>
          <t>Blanket (page end)</t>
        </is>
      </c>
      <c r="L171" t="inlineStr">
        <is>
          <t>YES</t>
        </is>
      </c>
      <c r="M171" t="n">
        <v>24</v>
      </c>
      <c r="N171" t="n">
        <v>0</v>
      </c>
    </row>
    <row r="172" ht="15.75" customHeight="1" s="67">
      <c r="A172" t="inlineStr">
        <is>
          <t>HTF_TREND_VETO_BYPASS_REASONS</t>
        </is>
      </c>
      <c r="B172" t="inlineStr">
        <is>
          <t>0.0</t>
        </is>
      </c>
      <c r="D172" t="inlineStr">
        <is>
          <t>GLOBAL_CHECK, STOCKS_EXIT</t>
        </is>
      </c>
      <c r="G172">
        <f>IFERROR(VLOOKUP($A147&amp;"_"&amp;$B147,Results_Deltas!$A$2:$P$15000,5,FALSE),"")</f>
        <v/>
      </c>
      <c r="H172" t="inlineStr">
        <is>
          <t>Blanket (page end)</t>
        </is>
      </c>
      <c r="L172" t="inlineStr">
        <is>
          <t>YES</t>
        </is>
      </c>
      <c r="M172" t="n">
        <v>24</v>
      </c>
      <c r="N172" t="n">
        <v>0</v>
      </c>
    </row>
    <row r="173" ht="15.75" customHeight="1" s="67">
      <c r="A173" t="inlineStr">
        <is>
          <t>NEWBORN_LOSS_KILL_GAIN_THRESHOLD_PCT</t>
        </is>
      </c>
      <c r="B173" t="inlineStr">
        <is>
          <t>0</t>
        </is>
      </c>
      <c r="D173" t="inlineStr">
        <is>
          <t>AUGMENT, EXIT, GLOBAL_CHECK, REDUCE, STOCKS_EXIT</t>
        </is>
      </c>
      <c r="G173">
        <f>IFERROR(VLOOKUP($A196&amp;"_"&amp;$B196,Results_Deltas!$A$2:$P$15000,5,FALSE),"")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IFERROR(VLOOKUP($A148&amp;"_"&amp;$B148,Results_Deltas!$A$2:$P$15000,5,FALSE),"")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IFERROR(VLOOKUP($A170&amp;"_"&amp;$B170,Results_Deltas!$A$2:$P$15000,5,FALSE),"")</f>
        <v/>
      </c>
      <c r="H175" t="inlineStr">
        <is>
          <t>Blanket (page end)</t>
        </is>
      </c>
      <c r="L175" t="inlineStr">
        <is>
          <t>NO</t>
        </is>
      </c>
      <c r="M175" t="n">
        <v>9</v>
      </c>
      <c r="N175" t="n">
        <v>0</v>
      </c>
    </row>
    <row r="176" ht="15.75" customHeight="1" s="67">
      <c r="A176" t="inlineStr">
        <is>
          <t>HTF_TREND_VETO_BYPASS_ENABLED</t>
        </is>
      </c>
      <c r="B176" t="inlineStr">
        <is>
          <t>False</t>
        </is>
      </c>
      <c r="D176" t="inlineStr">
        <is>
          <t>GLOBAL_CHECK, STOCKS_EXIT</t>
        </is>
      </c>
      <c r="G176">
        <f>IFERROR(VLOOKUP($A145&amp;"_"&amp;$B145,Results_Deltas!$A$2:$P$15000,5,FALSE),"")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IFERROR(VLOOKUP($A157&amp;"_"&amp;$B157,Results_Deltas!$A$2:$P$15000,5,FALSE),"")</f>
        <v/>
      </c>
      <c r="H177" t="inlineStr">
        <is>
          <t>Blanket (page end)</t>
        </is>
      </c>
      <c r="L177" t="inlineStr">
        <is>
          <t>NO</t>
        </is>
      </c>
      <c r="M177" t="n">
        <v>9</v>
      </c>
      <c r="N177" t="n">
        <v>0</v>
      </c>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c r="M178" t="n">
        <v>0</v>
      </c>
      <c r="N178"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IFERROR(VLOOKUP($A72&amp;"_"&amp;$B72,Results_Deltas!$A$2:$P$15000,5,FALSE),"")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IFERROR(VLOOKUP($A56&amp;"_"&amp;$B56,Results_Deltas!$A$2:$P$15000,5,FALSE),"")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IFERROR(VLOOKUP($A171&amp;"_"&amp;$B171,Results_Deltas!$A$2:$P$15000,5,FALSE),"")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IFERROR(VLOOKUP($A172&amp;"_"&amp;$B172,Results_Deltas!$A$2:$P$15000,5,FALSE),"")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IFERROR(VLOOKUP($A81&amp;"_"&amp;$B81,Results_Deltas!$A$2:$P$15000,5,FALSE),"")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IFERROR(VLOOKUP($A79&amp;"_"&amp;$B79,Results_Deltas!$A$2:$P$15000,5,FALSE),"")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IFERROR(VLOOKUP($A82&amp;"_"&amp;$B82,Results_Deltas!$A$2:$P$15000,5,FALSE),"")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IFERROR(VLOOKUP($A76&amp;"_"&amp;$B76,Results_Deltas!$A$2:$P$15000,5,FALSE),"")</f>
        <v/>
      </c>
      <c r="H10" t="inlineStr">
        <is>
          <t>Blanket (page end)</t>
        </is>
      </c>
      <c r="L10" t="inlineStr">
        <is>
          <t>YES</t>
        </is>
      </c>
      <c r="M10" t="n">
        <v>27</v>
      </c>
      <c r="N10" t="n">
        <v>0</v>
      </c>
    </row>
    <row r="11" ht="15.75" customHeight="1" s="67">
      <c r="A11" t="inlineStr">
        <is>
          <t>OI_CONFIRM_MIN_CHANGE_PCT</t>
        </is>
      </c>
      <c r="B11" t="inlineStr">
        <is>
          <t>2.0</t>
        </is>
      </c>
      <c r="D11" t="inlineStr">
        <is>
          <t>ENTRY, GLOBAL_CHECK, STOCKS_EXIT</t>
        </is>
      </c>
      <c r="G11">
        <f>IFERROR(VLOOKUP($A189&amp;"_"&amp;$B189,Results_Deltas!$A$2:$P$15000,5,FALSE),"")</f>
        <v/>
      </c>
      <c r="H11" t="inlineStr">
        <is>
          <t>Blanket (page end)</t>
        </is>
      </c>
      <c r="L11" t="inlineStr">
        <is>
          <t>YES</t>
        </is>
      </c>
      <c r="M11" t="n">
        <v>22</v>
      </c>
      <c r="N11" t="n">
        <v>0</v>
      </c>
    </row>
    <row r="12" ht="10.5" customHeight="1" s="67">
      <c r="A12" t="inlineStr">
        <is>
          <t>COOLDOWN_LOCKS_FILTER_TF</t>
        </is>
      </c>
      <c r="B12" t="inlineStr">
        <is>
          <t>D</t>
        </is>
      </c>
      <c r="D12" t="inlineStr">
        <is>
          <t>GLOBAL_CHECK</t>
        </is>
      </c>
      <c r="G12">
        <f>IFERROR(VLOOKUP($A38&amp;"_"&amp;$B38,Results_Deltas!$A$2:$P$15000,5,FALSE),"")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IFERROR(VLOOKUP($A77&amp;"_"&amp;$B77,Results_Deltas!$A$2:$P$15000,5,FALSE),"")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IFERROR(VLOOKUP($A39&amp;"_"&amp;$B39,Results_Deltas!$A$2:$P$15000,5,FALSE),"")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IFERROR(VLOOKUP($A75&amp;"_"&amp;$B75,Results_Deltas!$A$2:$P$15000,5,FALSE),"")</f>
        <v/>
      </c>
      <c r="H15" t="inlineStr">
        <is>
          <t>Blanket (page end)</t>
        </is>
      </c>
      <c r="L15" t="inlineStr">
        <is>
          <t>NO</t>
        </is>
      </c>
      <c r="M15" t="n">
        <v>25</v>
      </c>
      <c r="N15" t="n">
        <v>0</v>
      </c>
    </row>
    <row r="16" ht="15.75" customHeight="1" s="67">
      <c r="A16" t="inlineStr">
        <is>
          <t>FUNDING_GATE_FILTER_TF</t>
        </is>
      </c>
      <c r="B16" t="inlineStr">
        <is>
          <t>D</t>
        </is>
      </c>
      <c r="D16" t="inlineStr">
        <is>
          <t>GLOBAL_CHECK</t>
        </is>
      </c>
      <c r="G16">
        <f>IFERROR(VLOOKUP($A80&amp;"_"&amp;$B80,Results_Deltas!$A$2:$P$15000,5,FALSE),"")</f>
        <v/>
      </c>
      <c r="H16" t="inlineStr">
        <is>
          <t>Blanket (page end)</t>
        </is>
      </c>
      <c r="L16" t="inlineStr">
        <is>
          <t>YES</t>
        </is>
      </c>
      <c r="M16" t="n">
        <v>3</v>
      </c>
      <c r="N16" t="n">
        <v>0</v>
      </c>
    </row>
    <row r="17" ht="10.5" customHeight="1" s="67">
      <c r="A17" t="inlineStr">
        <is>
          <t>COOLDOWN_LOCKS_FILTER_TF</t>
        </is>
      </c>
      <c r="B17" t="inlineStr">
        <is>
          <t>OFF</t>
        </is>
      </c>
      <c r="D17" t="inlineStr">
        <is>
          <t>GLOBAL_CHECK</t>
        </is>
      </c>
      <c r="G17">
        <f>IFERROR(VLOOKUP($A37&amp;"_"&amp;$B37,Results_Deltas!$A$2:$P$15000,5,FALSE),"")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IFERROR(VLOOKUP($A73&amp;"_"&amp;$B73,Results_Deltas!$A$2:$P$15000,5,FALSE),"")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IFERROR(VLOOKUP($A47&amp;"_"&amp;$B47,Results_Deltas!$A$2:$P$15000,5,FALSE),"")</f>
        <v/>
      </c>
      <c r="H19" t="inlineStr">
        <is>
          <t>Blanket (page end)</t>
        </is>
      </c>
      <c r="L19" t="inlineStr">
        <is>
          <t>YES</t>
        </is>
      </c>
      <c r="M19" t="n">
        <v>27</v>
      </c>
      <c r="N19" t="n">
        <v>0</v>
      </c>
    </row>
    <row r="20" ht="15.75" customHeight="1" s="67">
      <c r="A20" t="inlineStr">
        <is>
          <t>OI_CONFIRM_MIN_PRICE_PCT</t>
        </is>
      </c>
      <c r="B20" t="inlineStr">
        <is>
          <t>1.0</t>
        </is>
      </c>
      <c r="D20" t="inlineStr">
        <is>
          <t>ENTRY, GLOBAL_CHECK, STOCKS_EXIT</t>
        </is>
      </c>
      <c r="G20">
        <f>IFERROR(VLOOKUP($A194&amp;"_"&amp;$B194,Results_Deltas!$A$2:$P$15000,5,FALSE),"")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IFERROR(VLOOKUP($A54&amp;"_"&amp;$B54,Results_Deltas!$A$2:$P$15000,5,FALSE),"")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IFERROR(VLOOKUP($A113&amp;"_"&amp;$B113,Results_Deltas!$A$2:$P$15000,5,FALSE),"")</f>
        <v/>
      </c>
      <c r="H22" t="inlineStr">
        <is>
          <t>Blanket (page end)</t>
        </is>
      </c>
      <c r="L22" t="inlineStr">
        <is>
          <t>NO</t>
        </is>
      </c>
      <c r="M22" t="n">
        <v>27</v>
      </c>
      <c r="N22" t="n">
        <v>0</v>
      </c>
    </row>
    <row r="23" ht="15.75" customHeight="1" s="67">
      <c r="A23" t="inlineStr">
        <is>
          <t>DUP_GUARD_FILTER_TF</t>
        </is>
      </c>
      <c r="B23" t="inlineStr">
        <is>
          <t>1h</t>
        </is>
      </c>
      <c r="D23" t="inlineStr">
        <is>
          <t>GLOBAL_CHECK</t>
        </is>
      </c>
      <c r="G23">
        <f>IFERROR(VLOOKUP($A57&amp;"_"&amp;$B57,Results_Deltas!$A$2:$P$15000,5,FALSE),"")</f>
        <v/>
      </c>
      <c r="H23" t="inlineStr">
        <is>
          <t>Blanket (page end)</t>
        </is>
      </c>
      <c r="L23" t="inlineStr">
        <is>
          <t>YES</t>
        </is>
      </c>
      <c r="M23" t="n">
        <v>3</v>
      </c>
      <c r="N23" t="n">
        <v>0</v>
      </c>
    </row>
    <row r="24" ht="15.75" customHeight="1" s="67">
      <c r="A24" t="inlineStr">
        <is>
          <t>OI_CONFIRM_ENABLED</t>
        </is>
      </c>
      <c r="B24" t="inlineStr">
        <is>
          <t>True</t>
        </is>
      </c>
      <c r="D24" t="inlineStr">
        <is>
          <t>ENTRY, GLOBAL_CHECK, STOCKS_EXIT</t>
        </is>
      </c>
      <c r="G24">
        <f>IFERROR(VLOOKUP($A187&amp;"_"&amp;$B187,Results_Deltas!$A$2:$P$15000,5,FALSE),"")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IFERROR(VLOOKUP($A195&amp;"_"&amp;$B195,Results_Deltas!$A$2:$P$15000,5,FALSE),"")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IFERROR(VLOOKUP($A110&amp;"_"&amp;$B110,Results_Deltas!$A$2:$P$15000,5,FALSE),"")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IFERROR(VLOOKUP($A34&amp;"_"&amp;$B34,Results_Deltas!$A$2:$P$15000,5,FALSE),"")</f>
        <v/>
      </c>
      <c r="H27" t="inlineStr">
        <is>
          <t>Blanket (page end)</t>
        </is>
      </c>
      <c r="L27" t="inlineStr">
        <is>
          <t>YES</t>
        </is>
      </c>
      <c r="M27" t="n">
        <v>27</v>
      </c>
      <c r="N27" t="n">
        <v>0</v>
      </c>
    </row>
    <row r="28" ht="10.5" customHeight="1" s="67">
      <c r="A28" t="inlineStr">
        <is>
          <t>COOLDOWN_LOCKS_FILTER_TF</t>
        </is>
      </c>
      <c r="B28" t="inlineStr">
        <is>
          <t>1h</t>
        </is>
      </c>
      <c r="D28" t="inlineStr">
        <is>
          <t>GLOBAL_CHECK</t>
        </is>
      </c>
      <c r="G28">
        <f>IFERROR(VLOOKUP($A40&amp;"_"&amp;$B40,Results_Deltas!$A$2:$P$15000,5,FALSE),"")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IFERROR(VLOOKUP($A167&amp;"_"&amp;$B167,Results_Deltas!$A$2:$P$15000,5,FALSE),"")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IFERROR(VLOOKUP($A166&amp;"_"&amp;$B166,Results_Deltas!$A$2:$P$15000,5,FALSE),"")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IFERROR(VLOOKUP($A104&amp;"_"&amp;$B104,Results_Deltas!$A$2:$P$15000,5,FALSE),"")</f>
        <v/>
      </c>
      <c r="H31" t="inlineStr">
        <is>
          <t>Blanket (page end)</t>
        </is>
      </c>
      <c r="L31" t="inlineStr">
        <is>
          <t>YES</t>
        </is>
      </c>
      <c r="M31" t="n">
        <v>27</v>
      </c>
      <c r="N31" t="n">
        <v>0</v>
      </c>
    </row>
    <row r="32" ht="10.5" customHeight="1" s="67">
      <c r="A32" t="inlineStr">
        <is>
          <t>DC_MOMENT_STRONG_THRESHOLD</t>
        </is>
      </c>
      <c r="B32" t="inlineStr">
        <is>
          <t>30</t>
        </is>
      </c>
      <c r="D32" t="inlineStr">
        <is>
          <t>ENTRY, GLOBAL_CHECK, STOCKS_EXIT</t>
        </is>
      </c>
      <c r="G32">
        <f>IFERROR(VLOOKUP($A48&amp;"_"&amp;$B48,Results_Deltas!$A$2:$P$15000,5,FALSE),"")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IFERROR(VLOOKUP($A28&amp;"_"&amp;$B28,Results_Deltas!$A$2:$P$15000,5,FALSE),"")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IFERROR(VLOOKUP($A30&amp;"_"&amp;$B30,Results_Deltas!$A$2:$P$15000,5,FALSE),"")</f>
        <v/>
      </c>
      <c r="H34" t="inlineStr">
        <is>
          <t>Blanket (page end)</t>
        </is>
      </c>
      <c r="L34" t="inlineStr">
        <is>
          <t>NO</t>
        </is>
      </c>
      <c r="M34" t="n">
        <v>27</v>
      </c>
      <c r="N34" t="n">
        <v>0</v>
      </c>
    </row>
    <row r="35" ht="15.75" customHeight="1" s="67">
      <c r="A35" t="inlineStr">
        <is>
          <t>MTS_BOTTOM_BONUS_THRESHOLD</t>
        </is>
      </c>
      <c r="B35" t="inlineStr">
        <is>
          <t>18.75</t>
        </is>
      </c>
      <c r="D35" t="inlineStr">
        <is>
          <t>ENTRY, GLOBAL_CHECK, STOCKS_EXIT</t>
        </is>
      </c>
      <c r="G35">
        <f>IFERROR(VLOOKUP($A168&amp;"_"&amp;$B168,Results_Deltas!$A$2:$P$15000,5,FALSE),"")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IFERROR(VLOOKUP($A71&amp;"_"&amp;$B71,Results_Deltas!$A$2:$P$15000,5,FALSE),"")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IFERROR(VLOOKUP($A36&amp;"_"&amp;$B36,Results_Deltas!$A$2:$P$15000,5,FALSE),"")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IFERROR(VLOOKUP($A55&amp;"_"&amp;$B55,Results_Deltas!$A$2:$P$15000,5,FALSE),"")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IFERROR(VLOOKUP($A105&amp;"_"&amp;$B105,Results_Deltas!$A$2:$P$15000,5,FALSE),"")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IFERROR(VLOOKUP($A111&amp;"_"&amp;$B111,Results_Deltas!$A$2:$P$15000,5,FALSE),"")</f>
        <v/>
      </c>
      <c r="H40" t="inlineStr">
        <is>
          <t>Blanket (page end)</t>
        </is>
      </c>
      <c r="L40" t="inlineStr">
        <is>
          <t>YES</t>
        </is>
      </c>
      <c r="M40" t="n">
        <v>27</v>
      </c>
      <c r="N40" t="n">
        <v>0</v>
      </c>
    </row>
    <row r="41" ht="15.75" customHeight="1" s="67">
      <c r="A41" t="inlineStr">
        <is>
          <t>MTF_GR_MIN_IND</t>
        </is>
      </c>
      <c r="B41" t="inlineStr">
        <is>
          <t>5</t>
        </is>
      </c>
      <c r="D41" t="inlineStr">
        <is>
          <t>GLOBAL_CHECK, STOCKS_EXIT</t>
        </is>
      </c>
      <c r="G41">
        <f>IFERROR(VLOOKUP($A164&amp;"_"&amp;$B164,Results_Deltas!$A$2:$P$15000,5,FALSE),"")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IFERROR(VLOOKUP($A165&amp;"_"&amp;$B165,Results_Deltas!$A$2:$P$15000,5,FALSE),"")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IFERROR(VLOOKUP($A33&amp;"_"&amp;$B33,Results_Deltas!$A$2:$P$15000,5,FALSE),"")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IFERROR(VLOOKUP($A134&amp;"_"&amp;$B134,Results_Deltas!$A$2:$P$15000,5,FALSE),"")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IFERROR(VLOOKUP($A133&amp;"_"&amp;$B133,Results_Deltas!$A$2:$P$15000,5,FALSE),"")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IFERROR(VLOOKUP($A102&amp;"_"&amp;$B102,Results_Deltas!$A$2:$P$15000,5,FALSE),"")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IFERROR(VLOOKUP($A155&amp;"_"&amp;$B155,Results_Deltas!$A$2:$P$15000,5,FALSE),"")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IFERROR(VLOOKUP($A101&amp;"_"&amp;$B101,Results_Deltas!$A$2:$P$15000,5,FALSE),"")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IFERROR(VLOOKUP($A188&amp;"_"&amp;$B188,Results_Deltas!$A$2:$P$15000,5,FALSE),"")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IFERROR(VLOOKUP($A65&amp;"_"&amp;$B65,Results_Deltas!$A$2:$P$15000,5,FALSE),"")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IFERROR(VLOOKUP($A169&amp;"_"&amp;$B169,Results_Deltas!$A$2:$P$15000,5,FALSE),"")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IFERROR(VLOOKUP($A170&amp;"_"&amp;$B170,Results_Deltas!$A$2:$P$15000,5,FALSE),"")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IFERROR(VLOOKUP($A43&amp;"_"&amp;$B43,Results_Deltas!$A$2:$P$15000,5,FALSE),"")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IFERROR(VLOOKUP($A44&amp;"_"&amp;$B44,Results_Deltas!$A$2:$P$15000,5,FALSE),"")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IFERROR(VLOOKUP($A152&amp;"_"&amp;$B152,Results_Deltas!$A$2:$P$15000,5,FALSE),"")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IFERROR(VLOOKUP($A153&amp;"_"&amp;$B153,Results_Deltas!$A$2:$P$15000,5,FALSE),"")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IFERROR(VLOOKUP($A59&amp;"_"&amp;$B59,Results_Deltas!$A$2:$P$15000,5,FALSE),"")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IFERROR(VLOOKUP($A95&amp;"_"&amp;$B95,Results_Deltas!$A$2:$P$15000,5,FALSE),"")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IFERROR(VLOOKUP($A64&amp;"_"&amp;$B64,Results_Deltas!$A$2:$P$15000,5,FALSE),"")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IFERROR(VLOOKUP($A60&amp;"_"&amp;$B60,Results_Deltas!$A$2:$P$15000,5,FALSE),"")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IFERROR(VLOOKUP($A190&amp;"_"&amp;$B190,Results_Deltas!$A$2:$P$15000,5,FALSE),"")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IFERROR(VLOOKUP($A173&amp;"_"&amp;$B173,Results_Deltas!$A$2:$P$15000,5,FALSE),"")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IFERROR(VLOOKUP($A62&amp;"_"&amp;$B62,Results_Deltas!$A$2:$P$15000,5,FALSE),"")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IFERROR(VLOOKUP($A98&amp;"_"&amp;$B98,Results_Deltas!$A$2:$P$15000,5,FALSE),"")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IFERROR(VLOOKUP($A160&amp;"_"&amp;$B160,Results_Deltas!$A$2:$P$15000,5,FALSE),"")</f>
        <v/>
      </c>
      <c r="H65" t="inlineStr">
        <is>
          <t>Blanket (page end)</t>
        </is>
      </c>
      <c r="L65" t="inlineStr">
        <is>
          <t>YES</t>
        </is>
      </c>
      <c r="M65" t="n">
        <v>26</v>
      </c>
      <c r="N65" t="n">
        <v>0</v>
      </c>
    </row>
    <row r="66" ht="15.75" customHeight="1" s="67">
      <c r="A66" t="inlineStr">
        <is>
          <t>HTF_DIRECTION_GATE_ENABLED</t>
        </is>
      </c>
      <c r="B66" t="inlineStr">
        <is>
          <t>True</t>
        </is>
      </c>
      <c r="D66" t="inlineStr">
        <is>
          <t>ENTRY, GLOBAL_CHECK, STOCKS_EXIT</t>
        </is>
      </c>
      <c r="G66">
        <f>IFERROR(VLOOKUP($A118&amp;"_"&amp;$B118,Results_Deltas!$A$2:$P$15000,5,FALSE),"")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IFERROR(VLOOKUP($A175&amp;"_"&amp;$B175,Results_Deltas!$A$2:$P$15000,5,FALSE),"")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IFERROR(VLOOKUP($A147&amp;"_"&amp;$B147,Results_Deltas!$A$2:$P$15000,5,FALSE),"")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IFERROR(VLOOKUP($A100&amp;"_"&amp;$B100,Results_Deltas!$A$2:$P$15000,5,FALSE),"")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IFERROR(VLOOKUP($A183&amp;"_"&amp;$B183,Results_Deltas!$A$2:$P$15000,5,FALSE),"")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IFERROR(VLOOKUP($A132&amp;"_"&amp;$B132,Results_Deltas!$A$2:$P$15000,5,FALSE),"")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IFERROR(VLOOKUP($A32&amp;"_"&amp;$B32,Results_Deltas!$A$2:$P$15000,5,FALSE),"")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IFERROR(VLOOKUP($A114&amp;"_"&amp;$B114,Results_Deltas!$A$2:$P$15000,5,FALSE),"")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IFERROR(VLOOKUP($A78&amp;"_"&amp;$B78,Results_Deltas!$A$2:$P$15000,5,FALSE),"")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IFERROR(VLOOKUP($A193&amp;"_"&amp;$B193,Results_Deltas!$A$2:$P$15000,5,FALSE),"")</f>
        <v/>
      </c>
      <c r="H75" t="inlineStr">
        <is>
          <t>Blanket (page end)</t>
        </is>
      </c>
      <c r="L75" t="inlineStr">
        <is>
          <t>YES</t>
        </is>
      </c>
      <c r="M75" t="n">
        <v>26</v>
      </c>
      <c r="N75" t="n">
        <v>0</v>
      </c>
    </row>
    <row r="76" ht="15.75" customHeight="1" s="67">
      <c r="A76" t="inlineStr">
        <is>
          <t>MOVER_THRESHOLD</t>
        </is>
      </c>
      <c r="B76" t="inlineStr">
        <is>
          <t>2.5</t>
        </is>
      </c>
      <c r="D76" t="inlineStr">
        <is>
          <t>ENTRY, GLOBAL_CHECK, STOCKS_EXIT</t>
        </is>
      </c>
      <c r="G76">
        <f>IFERROR(VLOOKUP($A161&amp;"_"&amp;$B161,Results_Deltas!$A$2:$P$15000,5,FALSE),"")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IFERROR(VLOOKUP($A29&amp;"_"&amp;$B29,Results_Deltas!$A$2:$P$15000,5,FALSE),"")</f>
        <v/>
      </c>
      <c r="H77" t="inlineStr">
        <is>
          <t>Blanket (page end)</t>
        </is>
      </c>
      <c r="L77" t="inlineStr">
        <is>
          <t>YES</t>
        </is>
      </c>
      <c r="M77" t="n">
        <v>27</v>
      </c>
      <c r="N77" t="n">
        <v>0</v>
      </c>
    </row>
    <row r="78" ht="15.75" customHeight="1" s="67">
      <c r="A78" t="inlineStr">
        <is>
          <t>HA_WICK_QUALITY_TF</t>
        </is>
      </c>
      <c r="B78" t="inlineStr">
        <is>
          <t>1h</t>
        </is>
      </c>
      <c r="D78" t="inlineStr">
        <is>
          <t>ENTRY, GLOBAL_CHECK, STOCKS_EXIT</t>
        </is>
      </c>
      <c r="G78">
        <f>IFERROR(VLOOKUP($A106&amp;"_"&amp;$B106,Results_Deltas!$A$2:$P$15000,5,FALSE),"")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IFERROR(VLOOKUP($A144&amp;"_"&amp;$B144,Results_Deltas!$A$2:$P$15000,5,FALSE),"")</f>
        <v/>
      </c>
      <c r="H79" t="inlineStr">
        <is>
          <t>Blanket (page end)</t>
        </is>
      </c>
      <c r="L79" t="inlineStr">
        <is>
          <t>YES</t>
        </is>
      </c>
      <c r="M79" t="n">
        <v>24</v>
      </c>
      <c r="N79" t="n">
        <v>0</v>
      </c>
    </row>
    <row r="80" ht="15.75" customHeight="1" s="67">
      <c r="A80" t="inlineStr">
        <is>
          <t>DELTA_HTF_GATE</t>
        </is>
      </c>
      <c r="B80" t="inlineStr">
        <is>
          <t>4h_ALT</t>
        </is>
      </c>
      <c r="D80" t="inlineStr">
        <is>
          <t>ENTRY, GLOBAL_CHECK, STOCKS_EXIT</t>
        </is>
      </c>
      <c r="G80">
        <f>IFERROR(VLOOKUP($A51&amp;"_"&amp;$B51,Results_Deltas!$A$2:$P$15000,5,FALSE),"")</f>
        <v/>
      </c>
      <c r="H80" t="inlineStr">
        <is>
          <t>Blanket (page end)</t>
        </is>
      </c>
      <c r="L80" t="inlineStr">
        <is>
          <t>YES</t>
        </is>
      </c>
      <c r="M80" t="n">
        <v>27</v>
      </c>
      <c r="N80" t="n">
        <v>0</v>
      </c>
    </row>
    <row r="81" ht="15.75" customHeight="1" s="67">
      <c r="A81" t="inlineStr">
        <is>
          <t>HA_WICK_QUALITY_TF</t>
        </is>
      </c>
      <c r="B81" t="inlineStr">
        <is>
          <t>OFF</t>
        </is>
      </c>
      <c r="D81" t="inlineStr">
        <is>
          <t>ENTRY, GLOBAL_CHECK, STOCKS_EXIT</t>
        </is>
      </c>
      <c r="G81">
        <f>IFERROR(VLOOKUP($A103&amp;"_"&amp;$B103,Results_Deltas!$A$2:$P$15000,5,FALSE),"")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IFERROR(VLOOKUP($A50&amp;"_"&amp;$B50,Results_Deltas!$A$2:$P$15000,5,FALSE),"")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IFERROR(VLOOKUP($A142&amp;"_"&amp;$B142,Results_Deltas!$A$2:$P$15000,5,FALSE),"")</f>
        <v/>
      </c>
      <c r="H83" t="inlineStr">
        <is>
          <t>Blanket (page end)</t>
        </is>
      </c>
      <c r="L83" t="inlineStr">
        <is>
          <t>YES</t>
        </is>
      </c>
      <c r="M83" t="n">
        <v>26</v>
      </c>
      <c r="N83" t="n">
        <v>0</v>
      </c>
    </row>
    <row r="84" ht="15.75" customHeight="1" s="67">
      <c r="A84" t="inlineStr">
        <is>
          <t>MOVER_THRESHOLD</t>
        </is>
      </c>
      <c r="B84" t="inlineStr">
        <is>
          <t>5</t>
        </is>
      </c>
      <c r="D84" t="inlineStr">
        <is>
          <t>ENTRY, GLOBAL_CHECK, STOCKS_EXIT</t>
        </is>
      </c>
      <c r="G84">
        <f>IFERROR(VLOOKUP($A158&amp;"_"&amp;$B158,Results_Deltas!$A$2:$P$15000,5,FALSE),"")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IFERROR(VLOOKUP($A46&amp;"_"&amp;$B46,Results_Deltas!$A$2:$P$15000,5,FALSE),"")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IFERROR(VLOOKUP($A53&amp;"_"&amp;$B53,Results_Deltas!$A$2:$P$15000,5,FALSE),"")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IFERROR(VLOOKUP($A109&amp;"_"&amp;$B109,Results_Deltas!$A$2:$P$15000,5,FALSE),"")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IFERROR(VLOOKUP($A145&amp;"_"&amp;$B145,Results_Deltas!$A$2:$P$15000,5,FALSE),"")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IFERROR(VLOOKUP($A140&amp;"_"&amp;$B140,Results_Deltas!$A$2:$P$15000,5,FALSE),"")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IFERROR(VLOOKUP($A139&amp;"_"&amp;$B139,Results_Deltas!$A$2:$P$15000,5,FALSE),"")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IFERROR(VLOOKUP($A159&amp;"_"&amp;$B159,Results_Deltas!$A$2:$P$15000,5,FALSE),"")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IFERROR(VLOOKUP($A178&amp;"_"&amp;$B178,Results_Deltas!$A$2:$P$15000,5,FALSE),"")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IFERROR(VLOOKUP($A74&amp;"_"&amp;$B74,Results_Deltas!$A$2:$P$15000,5,FALSE),"")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IFERROR(VLOOKUP($A179&amp;"_"&amp;$B179,Results_Deltas!$A$2:$P$15000,5,FALSE),"")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IFERROR(VLOOKUP($A138&amp;"_"&amp;$B138,Results_Deltas!$A$2:$P$15000,5,FALSE),"")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IFERROR(VLOOKUP($A49&amp;"_"&amp;$B49,Results_Deltas!$A$2:$P$15000,5,FALSE),"")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IFERROR(VLOOKUP($A146&amp;"_"&amp;$B146,Results_Deltas!$A$2:$P$15000,5,FALSE),"")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IFERROR(VLOOKUP($A97&amp;"_"&amp;$B97,Results_Deltas!$A$2:$P$15000,5,FALSE),"")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IFERROR(VLOOKUP($A184&amp;"_"&amp;$B184,Results_Deltas!$A$2:$P$15000,5,FALSE),"")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IFERROR(VLOOKUP($A61&amp;"_"&amp;$B61,Results_Deltas!$A$2:$P$15000,5,FALSE),"")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IFERROR(VLOOKUP($A192&amp;"_"&amp;$B192,Results_Deltas!$A$2:$P$15000,5,FALSE),"")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IFERROR(VLOOKUP($A42&amp;"_"&amp;$B42,Results_Deltas!$A$2:$P$15000,5,FALSE),"")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IFERROR(VLOOKUP($A191&amp;"_"&amp;$B191,Results_Deltas!$A$2:$P$15000,5,FALSE),"")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IFERROR(VLOOKUP($A45&amp;"_"&amp;$B45,Results_Deltas!$A$2:$P$15000,5,FALSE),"")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IFERROR(VLOOKUP($A66&amp;"_"&amp;$B66,Results_Deltas!$A$2:$P$15000,5,FALSE),"")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IFERROR(VLOOKUP($A185&amp;"_"&amp;$B185,Results_Deltas!$A$2:$P$15000,5,FALSE),"")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IFERROR(VLOOKUP($A143&amp;"_"&amp;$B143,Results_Deltas!$A$2:$P$15000,5,FALSE),"")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IFERROR(VLOOKUP($A177&amp;"_"&amp;$B177,Results_Deltas!$A$2:$P$15000,5,FALSE),"")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IFERROR(VLOOKUP($A126&amp;"_"&amp;$B126,Results_Deltas!$A$2:$P$15000,5,FALSE),"")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IFERROR(VLOOKUP($A141&amp;"_"&amp;$B141,Results_Deltas!$A$2:$P$15000,5,FALSE),"")</f>
        <v/>
      </c>
      <c r="H110" t="inlineStr">
        <is>
          <t>Blanket (page end)</t>
        </is>
      </c>
      <c r="L110" t="inlineStr">
        <is>
          <t>NO</t>
        </is>
      </c>
      <c r="M110" t="n">
        <v>26</v>
      </c>
      <c r="N110" t="n">
        <v>0</v>
      </c>
    </row>
    <row r="111" ht="15.75" customHeight="1" s="67">
      <c r="A111" t="inlineStr">
        <is>
          <t>HTF4_CONF</t>
        </is>
      </c>
      <c r="B111" t="inlineStr">
        <is>
          <t>False_ALT</t>
        </is>
      </c>
      <c r="D111" t="inlineStr">
        <is>
          <t>GLOBAL_CHECK, STOCKS_EXIT</t>
        </is>
      </c>
      <c r="G111">
        <f>IFERROR(VLOOKUP($A116&amp;"_"&amp;$B116,Results_Deltas!$A$2:$P$15000,5,FALSE),"")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IFERROR(VLOOKUP($A136&amp;"_"&amp;$B136,Results_Deltas!$A$2:$P$15000,5,FALSE),"")</f>
        <v/>
      </c>
      <c r="H112" t="inlineStr">
        <is>
          <t>Blanket (page end)</t>
        </is>
      </c>
      <c r="L112" t="inlineStr">
        <is>
          <t>YES</t>
        </is>
      </c>
      <c r="M112" t="n">
        <v>24</v>
      </c>
      <c r="N112" t="n">
        <v>0</v>
      </c>
    </row>
    <row r="113" ht="15.75" customHeight="1" s="67">
      <c r="A113" t="inlineStr">
        <is>
          <t>GR_FILTER_VEC_MIN_TFS</t>
        </is>
      </c>
      <c r="B113" t="inlineStr">
        <is>
          <t>0</t>
        </is>
      </c>
      <c r="D113" t="inlineStr">
        <is>
          <t>GLOBAL_CHECK</t>
        </is>
      </c>
      <c r="G113">
        <f>IFERROR(VLOOKUP($A96&amp;"_"&amp;$B96,Results_Deltas!$A$2:$P$15000,5,FALSE),"")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IFERROR(VLOOKUP($A31&amp;"_"&amp;$B31,Results_Deltas!$A$2:$P$15000,5,FALSE),"")</f>
        <v/>
      </c>
      <c r="H114" t="inlineStr">
        <is>
          <t>Blanket (page end)</t>
        </is>
      </c>
      <c r="L114" t="inlineStr">
        <is>
          <t>NO</t>
        </is>
      </c>
      <c r="M114" t="n">
        <v>24</v>
      </c>
      <c r="N114" t="n">
        <v>0</v>
      </c>
    </row>
    <row r="115" ht="15.75" customHeight="1" s="67">
      <c r="A115" t="inlineStr">
        <is>
          <t>LEADERBOARD_FILTER</t>
        </is>
      </c>
      <c r="B115" t="inlineStr">
        <is>
          <t>False_ALT</t>
        </is>
      </c>
      <c r="D115" t="inlineStr">
        <is>
          <t>AUGMENT, ENTRY, EXIT, GLOBAL_CHECK, REDUCE, STOCKS_EXIT</t>
        </is>
      </c>
      <c r="G115">
        <f>IFERROR(VLOOKUP($A130&amp;"_"&amp;$B130,Results_Deltas!$A$2:$P$15000,5,FALSE),"")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IFERROR(VLOOKUP($A84&amp;"_"&amp;$B84,Results_Deltas!$A$2:$P$15000,5,FALSE),"")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IFERROR(VLOOKUP($A85&amp;"_"&amp;$B85,Results_Deltas!$A$2:$P$15000,5,FALSE),"")</f>
        <v/>
      </c>
      <c r="H117" t="inlineStr">
        <is>
          <t>Blanket (page end)</t>
        </is>
      </c>
      <c r="L117" t="inlineStr">
        <is>
          <t>NO</t>
        </is>
      </c>
      <c r="M117" t="n">
        <v>24</v>
      </c>
      <c r="N117" t="n">
        <v>0</v>
      </c>
    </row>
    <row r="118" ht="15.75" customHeight="1" s="67">
      <c r="A118" t="inlineStr">
        <is>
          <t>FUNDING_GATE_MTF_REQUIRED</t>
        </is>
      </c>
      <c r="B118" t="inlineStr">
        <is>
          <t>0.0</t>
        </is>
      </c>
      <c r="D118" t="inlineStr">
        <is>
          <t>ENTRY, GLOBAL_CHECK, STOCKS_EXIT</t>
        </is>
      </c>
      <c r="G118">
        <f>IFERROR(VLOOKUP($A86&amp;"_"&amp;$B86,Results_Deltas!$A$2:$P$15000,5,FALSE),"")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IFERROR(VLOOKUP($A87&amp;"_"&amp;$B87,Results_Deltas!$A$2:$P$15000,5,FALSE),"")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IFERROR(VLOOKUP($A88&amp;"_"&amp;$B88,Results_Deltas!$A$2:$P$15000,5,FALSE),"")</f>
        <v/>
      </c>
      <c r="H120" t="inlineStr">
        <is>
          <t>Blanket (page end)</t>
        </is>
      </c>
      <c r="L120" t="inlineStr">
        <is>
          <t>YES</t>
        </is>
      </c>
      <c r="M120" t="n">
        <v>24</v>
      </c>
      <c r="N120" t="n">
        <v>0</v>
      </c>
    </row>
    <row r="121" ht="15.75" customHeight="1" s="67">
      <c r="A121" t="inlineStr">
        <is>
          <t>FUNDING_GATE_SHORT_MIN</t>
        </is>
      </c>
      <c r="B121" t="inlineStr">
        <is>
          <t>0.0_ALT</t>
        </is>
      </c>
      <c r="D121" t="inlineStr">
        <is>
          <t>ENTRY, GLOBAL_CHECK, STOCKS_EXIT</t>
        </is>
      </c>
      <c r="G121">
        <f>IFERROR(VLOOKUP($A89&amp;"_"&amp;$B89,Results_Deltas!$A$2:$P$15000,5,FALSE),"")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IFERROR(VLOOKUP($A27&amp;"_"&amp;$B27,Results_Deltas!$A$2:$P$15000,5,FALSE),"")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IFERROR(VLOOKUP($A83&amp;"_"&amp;$B83,Results_Deltas!$A$2:$P$15000,5,FALSE),"")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IFERROR(VLOOKUP($A135&amp;"_"&amp;$B135,Results_Deltas!$A$2:$P$15000,5,FALSE),"")</f>
        <v/>
      </c>
      <c r="H124" t="inlineStr">
        <is>
          <t>Blanket (page end)</t>
        </is>
      </c>
      <c r="L124" t="inlineStr">
        <is>
          <t>NO</t>
        </is>
      </c>
      <c r="M124" t="n">
        <v>9</v>
      </c>
      <c r="N124" t="n">
        <v>0</v>
      </c>
    </row>
    <row r="125" ht="15.75" customHeight="1" s="67">
      <c r="A125" t="inlineStr">
        <is>
          <t>HTF_GATE_MIN_CONFIRMATIONS</t>
        </is>
      </c>
      <c r="B125" t="inlineStr">
        <is>
          <t>0.0</t>
        </is>
      </c>
      <c r="D125" t="inlineStr">
        <is>
          <t>ENTRY, GLOBAL_CHECK, STOCKS_EXIT</t>
        </is>
      </c>
      <c r="G125">
        <f>IFERROR(VLOOKUP($A123&amp;"_"&amp;$B123,Results_Deltas!$A$2:$P$15000,5,FALSE),"")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IFERROR(VLOOKUP($A124&amp;"_"&amp;$B124,Results_Deltas!$A$2:$P$15000,5,FALSE),"")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IFERROR(VLOOKUP($A92&amp;"_"&amp;$B92,Results_Deltas!$A$2:$P$15000,5,FALSE),"")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IFERROR(VLOOKUP($A93&amp;"_"&amp;$B93,Results_Deltas!$A$2:$P$15000,5,FALSE),"")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IFERROR(VLOOKUP($A99&amp;"_"&amp;$B99,Results_Deltas!$A$2:$P$15000,5,FALSE),"")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IFERROR(VLOOKUP($A91&amp;"_"&amp;$B91,Results_Deltas!$A$2:$P$15000,5,FALSE),"")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IFERROR(VLOOKUP($A90&amp;"_"&amp;$B90,Results_Deltas!$A$2:$P$15000,5,FALSE),"")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IFERROR(VLOOKUP($A129&amp;"_"&amp;$B129,Results_Deltas!$A$2:$P$15000,5,FALSE),"")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IFERROR(VLOOKUP($A115&amp;"_"&amp;$B115,Results_Deltas!$A$2:$P$15000,5,FALSE),"")</f>
        <v/>
      </c>
      <c r="H133" t="inlineStr">
        <is>
          <t>Blanket (page end)</t>
        </is>
      </c>
      <c r="L133" t="inlineStr">
        <is>
          <t>NO</t>
        </is>
      </c>
      <c r="M133" t="n">
        <v>9</v>
      </c>
      <c r="N133" t="n">
        <v>0</v>
      </c>
    </row>
    <row r="134" ht="15.75" customHeight="1" s="67">
      <c r="A134" t="inlineStr">
        <is>
          <t>LH_HL_FILTER_ENABLED</t>
        </is>
      </c>
      <c r="B134" t="inlineStr">
        <is>
          <t>False</t>
        </is>
      </c>
      <c r="D134" t="inlineStr">
        <is>
          <t>ENTRY, GLOBAL_CHECK, STOCKS_EXIT</t>
        </is>
      </c>
      <c r="G134">
        <f>IFERROR(VLOOKUP($A131&amp;"_"&amp;$B131,Results_Deltas!$A$2:$P$15000,5,FALSE),"")</f>
        <v/>
      </c>
      <c r="H134" t="inlineStr">
        <is>
          <t>Blanket (page end)</t>
        </is>
      </c>
      <c r="L134" t="inlineStr">
        <is>
          <t>YES</t>
        </is>
      </c>
      <c r="M134" t="n">
        <v>9</v>
      </c>
      <c r="N134" t="n">
        <v>0</v>
      </c>
    </row>
    <row r="135" ht="15.75" customHeight="1" s="67">
      <c r="A135" t="inlineStr">
        <is>
          <t>GR_FILTER_VEC_ENABLED</t>
        </is>
      </c>
      <c r="B135" t="inlineStr">
        <is>
          <t>False</t>
        </is>
      </c>
      <c r="D135" t="inlineStr">
        <is>
          <t>GLOBAL_CHECK</t>
        </is>
      </c>
      <c r="G135">
        <f>IFERROR(VLOOKUP($A94&amp;"_"&amp;$B94,Results_Deltas!$A$2:$P$15000,5,FALSE),"")</f>
        <v/>
      </c>
      <c r="H135" t="inlineStr">
        <is>
          <t>Blanket (page end)</t>
        </is>
      </c>
      <c r="L135" t="inlineStr">
        <is>
          <t>NO</t>
        </is>
      </c>
      <c r="M135" t="n">
        <v>3</v>
      </c>
      <c r="N135" t="n">
        <v>0</v>
      </c>
    </row>
    <row r="136" ht="15.75" customHeight="1" s="67">
      <c r="A136" t="inlineStr">
        <is>
          <t>DUP_GUARD_FILTER_TF</t>
        </is>
      </c>
      <c r="B136" t="inlineStr">
        <is>
          <t>15m</t>
        </is>
      </c>
      <c r="D136" t="inlineStr">
        <is>
          <t>GLOBAL_CHECK</t>
        </is>
      </c>
      <c r="G136">
        <f>IFERROR(VLOOKUP($A58&amp;"_"&amp;$B58,Results_Deltas!$A$2:$P$15000,5,FALSE),"")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IFERROR(VLOOKUP($A186&amp;"_"&amp;$B186,Results_Deltas!$A$2:$P$15000,5,FALSE),"")</f>
        <v/>
      </c>
      <c r="H137" t="inlineStr">
        <is>
          <t>Blanket (page end)</t>
        </is>
      </c>
      <c r="L137" t="inlineStr">
        <is>
          <t>NO</t>
        </is>
      </c>
      <c r="M137" t="n">
        <v>9</v>
      </c>
      <c r="N137" t="n">
        <v>0</v>
      </c>
    </row>
    <row r="138" ht="15.75" customHeight="1" s="67">
      <c r="A138" t="inlineStr">
        <is>
          <t>EMA_BLANKET_FILTER_ENABLED</t>
        </is>
      </c>
      <c r="B138" t="inlineStr">
        <is>
          <t>True</t>
        </is>
      </c>
      <c r="D138" t="inlineStr">
        <is>
          <t>GLOBAL_CHECK</t>
        </is>
      </c>
      <c r="G138">
        <f>IFERROR(VLOOKUP($A63&amp;"_"&amp;$B63,Results_Deltas!$A$2:$P$15000,5,FALSE),"")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IFERROR(VLOOKUP($A174&amp;"_"&amp;$B174,Results_Deltas!$A$2:$P$15000,5,FALSE),"")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IFERROR(VLOOKUP($A156&amp;"_"&amp;$B156,Results_Deltas!$A$2:$P$15000,5,FALSE),"")</f>
        <v/>
      </c>
      <c r="H140" t="inlineStr">
        <is>
          <t>Blanket (page end)</t>
        </is>
      </c>
      <c r="L140" t="inlineStr">
        <is>
          <t>YES</t>
        </is>
      </c>
      <c r="M140" t="n">
        <v>24</v>
      </c>
      <c r="N140" t="n">
        <v>0</v>
      </c>
    </row>
    <row r="141" ht="15.75" customHeight="1" s="67">
      <c r="A141" t="inlineStr">
        <is>
          <t>MI_TF_AGREE_MIN</t>
        </is>
      </c>
      <c r="B141" t="inlineStr">
        <is>
          <t>0.0_ALT</t>
        </is>
      </c>
      <c r="D141" t="inlineStr">
        <is>
          <t>ENTRY, GLOBAL_CHECK, STOCKS_EXIT</t>
        </is>
      </c>
      <c r="G141">
        <f>IFERROR(VLOOKUP($A157&amp;"_"&amp;$B157,Results_Deltas!$A$2:$P$15000,5,FALSE),"")</f>
        <v/>
      </c>
      <c r="H141" t="inlineStr">
        <is>
          <t>Blanket (page end)</t>
        </is>
      </c>
      <c r="L141" t="inlineStr">
        <is>
          <t>NO</t>
        </is>
      </c>
      <c r="M141" t="n">
        <v>24</v>
      </c>
      <c r="N141" t="n">
        <v>0</v>
      </c>
    </row>
    <row r="142" ht="15.75" customHeight="1" s="67">
      <c r="A142" t="inlineStr">
        <is>
          <t>HLR_SMA_BAND_PCT</t>
        </is>
      </c>
      <c r="B142" t="inlineStr">
        <is>
          <t>0</t>
        </is>
      </c>
      <c r="D142" t="inlineStr">
        <is>
          <t>ENTRY, GLOBAL_CHECK, STOCKS_EXIT</t>
        </is>
      </c>
      <c r="G142">
        <f>IFERROR(VLOOKUP($A108&amp;"_"&amp;$B108,Results_Deltas!$A$2:$P$15000,5,FALSE),"")</f>
        <v/>
      </c>
      <c r="H142" t="inlineStr">
        <is>
          <t>Blanket (page end)</t>
        </is>
      </c>
      <c r="L142" t="inlineStr">
        <is>
          <t>NO</t>
        </is>
      </c>
      <c r="M142" t="n">
        <v>24</v>
      </c>
      <c r="N142" t="n">
        <v>0</v>
      </c>
    </row>
    <row r="143" ht="15.75" customHeight="1" s="67">
      <c r="A143" t="inlineStr">
        <is>
          <t>EXECUTE_NOW_SINGLE_GATE_ENFORCE</t>
        </is>
      </c>
      <c r="B143" t="inlineStr">
        <is>
          <t>0.0_ALT</t>
        </is>
      </c>
      <c r="D143" t="inlineStr">
        <is>
          <t>ENTRY, GLOBAL_CHECK, STOCKS_EXIT</t>
        </is>
      </c>
      <c r="G143">
        <f>IFERROR(VLOOKUP($A68&amp;"_"&amp;$B68,Results_Deltas!$A$2:$P$15000,5,FALSE),"")</f>
        <v/>
      </c>
      <c r="H143" t="inlineStr">
        <is>
          <t>Blanket (page end)</t>
        </is>
      </c>
      <c r="L143" t="inlineStr">
        <is>
          <t>YES</t>
        </is>
      </c>
      <c r="M143" t="n">
        <v>24</v>
      </c>
      <c r="N143" t="n">
        <v>0</v>
      </c>
    </row>
    <row r="144" ht="15.75" customHeight="1" s="67">
      <c r="A144" t="inlineStr">
        <is>
          <t>EXECUTE_NOW_SINGLE_GATE_ENFORCE</t>
        </is>
      </c>
      <c r="B144" t="inlineStr">
        <is>
          <t>0.0</t>
        </is>
      </c>
      <c r="D144" t="inlineStr">
        <is>
          <t>ENTRY, GLOBAL_CHECK, STOCKS_EXIT</t>
        </is>
      </c>
      <c r="G144">
        <f>IFERROR(VLOOKUP($A67&amp;"_"&amp;$B67,Results_Deltas!$A$2:$P$15000,5,FALSE),"")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IFERROR(VLOOKUP($A112&amp;"_"&amp;$B112,Results_Deltas!$A$2:$P$15000,5,FALSE),"")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IFERROR(VLOOKUP($A41&amp;"_"&amp;$B41,Results_Deltas!$A$2:$P$15000,5,FALSE),"")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IFERROR(VLOOKUP($A107&amp;"_"&amp;$B107,Results_Deltas!$A$2:$P$15000,5,FALSE),"")</f>
        <v/>
      </c>
      <c r="H147" t="inlineStr">
        <is>
          <t>Blanket (page end)</t>
        </is>
      </c>
      <c r="L147" t="inlineStr">
        <is>
          <t>NO</t>
        </is>
      </c>
      <c r="M147" t="n">
        <v>9</v>
      </c>
      <c r="N147" t="n">
        <v>0</v>
      </c>
    </row>
    <row r="148" ht="15.75" customHeight="1" s="67">
      <c r="A148" t="inlineStr">
        <is>
          <t>EZ_MANAGE_THROTTLER_RATE</t>
        </is>
      </c>
      <c r="B148" t="inlineStr">
        <is>
          <t>0.0</t>
        </is>
      </c>
      <c r="D148" t="inlineStr">
        <is>
          <t>GLOBAL_CHECK, STOCKS_EXIT</t>
        </is>
      </c>
      <c r="G148">
        <f>IFERROR(VLOOKUP($A69&amp;"_"&amp;$B69,Results_Deltas!$A$2:$P$15000,5,FALSE),"")</f>
        <v/>
      </c>
      <c r="H148" t="inlineStr">
        <is>
          <t>Blanket (page end)</t>
        </is>
      </c>
      <c r="L148" t="inlineStr">
        <is>
          <t>NO</t>
        </is>
      </c>
      <c r="M148" t="n">
        <v>24</v>
      </c>
      <c r="N148" t="n">
        <v>0</v>
      </c>
    </row>
    <row r="149" ht="15.75" customHeight="1" s="67">
      <c r="A149" t="inlineStr">
        <is>
          <t>EZ_MANAGE_THROTTLER_RATE</t>
        </is>
      </c>
      <c r="B149" t="inlineStr">
        <is>
          <t>0.0_ALT</t>
        </is>
      </c>
      <c r="D149" t="inlineStr">
        <is>
          <t>GLOBAL_CHECK, STOCKS_EXIT</t>
        </is>
      </c>
      <c r="G149">
        <f>IFERROR(VLOOKUP($A70&amp;"_"&amp;$B70,Results_Deltas!$A$2:$P$15000,5,FALSE),"")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IFERROR(VLOOKUP($A35&amp;"_"&amp;$B35,Results_Deltas!$A$2:$P$15000,5,FALSE),"")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IFERROR(VLOOKUP($A182&amp;"_"&amp;$B182,Results_Deltas!$A$2:$P$15000,5,FALSE),"")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IFERROR(VLOOKUP($A122&amp;"_"&amp;$B122,Results_Deltas!$A$2:$P$15000,5,FALSE),"")</f>
        <v/>
      </c>
      <c r="H152" t="inlineStr">
        <is>
          <t>Blanket (page end)</t>
        </is>
      </c>
      <c r="L152" t="inlineStr">
        <is>
          <t>YES</t>
        </is>
      </c>
      <c r="M152" t="n">
        <v>24</v>
      </c>
      <c r="N152" t="n">
        <v>0</v>
      </c>
    </row>
    <row r="153" ht="15.75" customHeight="1" s="67">
      <c r="A153" t="inlineStr">
        <is>
          <t>DELTA_REENTRY_FILTER_ENABLED</t>
        </is>
      </c>
      <c r="B153" t="inlineStr">
        <is>
          <t>False</t>
        </is>
      </c>
      <c r="D153" t="inlineStr">
        <is>
          <t>ENTRY, GLOBAL_CHECK, STOCKS_EXIT</t>
        </is>
      </c>
      <c r="G153">
        <f>IFERROR(VLOOKUP($A52&amp;"_"&amp;$B52,Results_Deltas!$A$2:$P$15000,5,FALSE),"")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IFERROR(VLOOKUP($A121&amp;"_"&amp;$B121,Results_Deltas!$A$2:$P$15000,5,FALSE),"")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IFERROR(VLOOKUP($A151&amp;"_"&amp;$B151,Results_Deltas!$A$2:$P$15000,5,FALSE),"")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IFERROR(VLOOKUP($A154&amp;"_"&amp;$B154,Results_Deltas!$A$2:$P$15000,5,FALSE),"")</f>
        <v/>
      </c>
      <c r="H156" t="inlineStr">
        <is>
          <t>Blanket (page end)</t>
        </is>
      </c>
      <c r="L156" t="inlineStr">
        <is>
          <t>NO</t>
        </is>
      </c>
      <c r="M156" t="n">
        <v>9</v>
      </c>
      <c r="N156" t="n">
        <v>0</v>
      </c>
    </row>
    <row r="157" ht="15.75" customHeight="1" s="67">
      <c r="A157" t="inlineStr">
        <is>
          <t>HTF_GATE_BYPASS_RZ</t>
        </is>
      </c>
      <c r="B157" t="inlineStr">
        <is>
          <t>0.0</t>
        </is>
      </c>
      <c r="D157" t="inlineStr">
        <is>
          <t>ENTRY, GLOBAL_CHECK, STOCKS_EXIT</t>
        </is>
      </c>
      <c r="G157">
        <f>IFERROR(VLOOKUP($A119&amp;"_"&amp;$B119,Results_Deltas!$A$2:$P$15000,5,FALSE),"")</f>
        <v/>
      </c>
      <c r="H157" t="inlineStr">
        <is>
          <t>Blanket (page end)</t>
        </is>
      </c>
      <c r="L157" t="inlineStr">
        <is>
          <t>NO</t>
        </is>
      </c>
      <c r="M157" t="n">
        <v>24</v>
      </c>
      <c r="N157" t="n">
        <v>0</v>
      </c>
    </row>
    <row r="158" ht="15.75" customHeight="1" s="67">
      <c r="A158" t="inlineStr">
        <is>
          <t>HTF_GATE_BYPASS_RZ</t>
        </is>
      </c>
      <c r="B158" t="inlineStr">
        <is>
          <t>0.0_ALT</t>
        </is>
      </c>
      <c r="D158" t="inlineStr">
        <is>
          <t>ENTRY, GLOBAL_CHECK, STOCKS_EXIT</t>
        </is>
      </c>
      <c r="G158">
        <f>IFERROR(VLOOKUP($A120&amp;"_"&amp;$B120,Results_Deltas!$A$2:$P$15000,5,FALSE),"")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IFERROR(VLOOKUP($A117&amp;"_"&amp;$B117,Results_Deltas!$A$2:$P$15000,5,FALSE),"")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IFERROR(VLOOKUP($A162&amp;"_"&amp;$B162,Results_Deltas!$A$2:$P$15000,5,FALSE),"")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IFERROR(VLOOKUP($A163&amp;"_"&amp;$B163,Results_Deltas!$A$2:$P$15000,5,FALSE),"")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IFERROR(VLOOKUP($A180&amp;"_"&amp;$B180,Results_Deltas!$A$2:$P$15000,5,FALSE),"")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IFERROR(VLOOKUP($A181&amp;"_"&amp;$B181,Results_Deltas!$A$2:$P$15000,5,FALSE),"")</f>
        <v/>
      </c>
      <c r="H163" t="inlineStr">
        <is>
          <t>Blanket (page end)</t>
        </is>
      </c>
      <c r="L163" t="inlineStr">
        <is>
          <t>YES</t>
        </is>
      </c>
      <c r="M163" t="n">
        <v>24</v>
      </c>
      <c r="N163" t="n">
        <v>0</v>
      </c>
    </row>
    <row r="164" ht="15.75" customHeight="1" s="67">
      <c r="A164" t="inlineStr">
        <is>
          <t>MANDATORY_REENTRY_WT_FILTER_MIN_VELOCITY</t>
        </is>
      </c>
      <c r="B164" t="inlineStr">
        <is>
          <t>0.0</t>
        </is>
      </c>
      <c r="D164" t="inlineStr">
        <is>
          <t>GLOBAL_CHECK, STOCKS_EXIT</t>
        </is>
      </c>
      <c r="G164">
        <f>IFERROR(VLOOKUP($A148&amp;"_"&amp;$B148,Results_Deltas!$A$2:$P$15000,5,FALSE),"")</f>
        <v/>
      </c>
      <c r="H164" t="inlineStr">
        <is>
          <t>Blanket (page end)</t>
        </is>
      </c>
      <c r="L164" t="inlineStr">
        <is>
          <t>YES</t>
        </is>
      </c>
      <c r="M164" t="n">
        <v>24</v>
      </c>
      <c r="N164" t="n">
        <v>0</v>
      </c>
    </row>
    <row r="165" ht="15.75" customHeight="1" s="67">
      <c r="A165" t="inlineStr">
        <is>
          <t>MANDATORY_REENTRY_WT_FILTER_MIN_VELOCITY</t>
        </is>
      </c>
      <c r="B165" t="inlineStr">
        <is>
          <t>0.0_ALT</t>
        </is>
      </c>
      <c r="D165" t="inlineStr">
        <is>
          <t>GLOBAL_CHECK, STOCKS_EXIT</t>
        </is>
      </c>
      <c r="G165">
        <f>IFERROR(VLOOKUP($A149&amp;"_"&amp;$B149,Results_Deltas!$A$2:$P$15000,5,FALSE),"")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IFERROR(VLOOKUP($A127&amp;"_"&amp;$B127,Results_Deltas!$A$2:$P$15000,5,FALSE),"")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IFERROR(VLOOKUP($A176&amp;"_"&amp;$B176,Results_Deltas!$A$2:$P$15000,5,FALSE),"")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IFERROR(VLOOKUP($A128&amp;"_"&amp;$B128,Results_Deltas!$A$2:$P$15000,5,FALSE),"")</f>
        <v/>
      </c>
      <c r="H168" t="inlineStr">
        <is>
          <t>Blanket (page end)</t>
        </is>
      </c>
      <c r="L168" t="inlineStr">
        <is>
          <t>NO</t>
        </is>
      </c>
      <c r="M168" t="n">
        <v>24</v>
      </c>
      <c r="N168" t="n">
        <v>0</v>
      </c>
    </row>
    <row r="169" ht="15.75" customHeight="1" s="67">
      <c r="A169" t="inlineStr">
        <is>
          <t>MANDATORY_REENTRY_WT_FILTER_REQUIRE_FLIP</t>
        </is>
      </c>
      <c r="B169" t="inlineStr">
        <is>
          <t>False</t>
        </is>
      </c>
      <c r="D169" t="inlineStr">
        <is>
          <t>GLOBAL_CHECK, STOCKS_EXIT</t>
        </is>
      </c>
      <c r="G169">
        <f>IFERROR(VLOOKUP($A150&amp;"_"&amp;$B150,Results_Deltas!$A$2:$P$15000,5,FALSE),"")</f>
        <v/>
      </c>
      <c r="H169" t="inlineStr">
        <is>
          <t>Blanket (page end)</t>
        </is>
      </c>
      <c r="L169" t="inlineStr">
        <is>
          <t>NO</t>
        </is>
      </c>
      <c r="M169" t="n">
        <v>9</v>
      </c>
      <c r="N169" t="n">
        <v>0</v>
      </c>
    </row>
    <row r="170" ht="15.75" customHeight="1" s="67">
      <c r="A170" t="inlineStr">
        <is>
          <t>HTF_TREND_VETO_BYPASS_ENABLED</t>
        </is>
      </c>
      <c r="B170" t="inlineStr">
        <is>
          <t>False</t>
        </is>
      </c>
      <c r="D170" t="inlineStr">
        <is>
          <t>GLOBAL_CHECK, STOCKS_EXIT</t>
        </is>
      </c>
      <c r="G170">
        <f>IFERROR(VLOOKUP($A125&amp;"_"&amp;$B125,Results_Deltas!$A$2:$P$15000,5,FALSE),"")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IFERROR(VLOOKUP($A137&amp;"_"&amp;$B137,Results_Deltas!$A$2:$P$15000,5,FALSE),"")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IFERROR(VLOOKUP($A104&amp;"_"&amp;$B104,Results_Deltas!$A$2:$P$15000,5,FALSE),"")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IFERROR(VLOOKUP($A88&amp;"_"&amp;$B88,Results_Deltas!$A$2:$P$15000,5,FALSE),"")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IFERROR(VLOOKUP($A203&amp;"_"&amp;$B203,Results_Deltas!$A$2:$P$15000,5,FALSE),"")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IFERROR(VLOOKUP($A204&amp;"_"&amp;$B204,Results_Deltas!$A$2:$P$15000,5,FALSE),"")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IFERROR(VLOOKUP($A113&amp;"_"&amp;$B113,Results_Deltas!$A$2:$P$15000,5,FALSE),"")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IFERROR(VLOOKUP($A111&amp;"_"&amp;$B111,Results_Deltas!$A$2:$P$15000,5,FALSE),"")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IFERROR(VLOOKUP($A114&amp;"_"&amp;$B114,Results_Deltas!$A$2:$P$15000,5,FALSE),"")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IFERROR(VLOOKUP($A108&amp;"_"&amp;$B108,Results_Deltas!$A$2:$P$15000,5,FALSE),"")</f>
        <v/>
      </c>
      <c r="H10" t="inlineStr">
        <is>
          <t>Blanket (page end)</t>
        </is>
      </c>
      <c r="L10" t="inlineStr">
        <is>
          <t>YES</t>
        </is>
      </c>
      <c r="M10" t="n">
        <v>27</v>
      </c>
      <c r="N10" t="n">
        <v>0</v>
      </c>
    </row>
    <row r="11" ht="15.75" customHeight="1" s="67">
      <c r="A11" t="inlineStr">
        <is>
          <t>OI_CONFIRM_MIN_CHANGE_PCT</t>
        </is>
      </c>
      <c r="B11" t="inlineStr">
        <is>
          <t>2.0</t>
        </is>
      </c>
      <c r="D11" t="inlineStr">
        <is>
          <t>ENTRY, GLOBAL_CHECK, STOCKS_EXIT</t>
        </is>
      </c>
      <c r="G11">
        <f>IFERROR(VLOOKUP($A221&amp;"_"&amp;$B221,Results_Deltas!$A$2:$P$15000,5,FALSE),"")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IFERROR(VLOOKUP($A70&amp;"_"&amp;$B70,Results_Deltas!$A$2:$P$15000,5,FALSE),"")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IFERROR(VLOOKUP($A109&amp;"_"&amp;$B109,Results_Deltas!$A$2:$P$15000,5,FALSE),"")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IFERROR(VLOOKUP($A71&amp;"_"&amp;$B71,Results_Deltas!$A$2:$P$15000,5,FALSE),"")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IFERROR(VLOOKUP($A107&amp;"_"&amp;$B107,Results_Deltas!$A$2:$P$15000,5,FALSE),"")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IFERROR(VLOOKUP($A112&amp;"_"&amp;$B112,Results_Deltas!$A$2:$P$15000,5,FALSE),"")</f>
        <v/>
      </c>
      <c r="H16" t="inlineStr">
        <is>
          <t>Blanket (page end)</t>
        </is>
      </c>
      <c r="L16" t="inlineStr">
        <is>
          <t>YES</t>
        </is>
      </c>
      <c r="M16" t="n">
        <v>3</v>
      </c>
      <c r="N16" t="n">
        <v>0</v>
      </c>
    </row>
    <row r="17" ht="10.5" customHeight="1" s="67">
      <c r="A17" t="inlineStr">
        <is>
          <t>COOLDOWN_LOCKS_FILTER_TF</t>
        </is>
      </c>
      <c r="B17" t="inlineStr">
        <is>
          <t>OFF</t>
        </is>
      </c>
      <c r="D17" t="inlineStr">
        <is>
          <t>GLOBAL_CHECK</t>
        </is>
      </c>
      <c r="G17">
        <f>IFERROR(VLOOKUP($A69&amp;"_"&amp;$B69,Results_Deltas!$A$2:$P$15000,5,FALSE),"")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IFERROR(VLOOKUP($A105&amp;"_"&amp;$B105,Results_Deltas!$A$2:$P$15000,5,FALSE),"")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IFERROR(VLOOKUP($A79&amp;"_"&amp;$B79,Results_Deltas!$A$2:$P$15000,5,FALSE),"")</f>
        <v/>
      </c>
      <c r="H19" t="inlineStr">
        <is>
          <t>Blanket (page end)</t>
        </is>
      </c>
      <c r="L19" t="inlineStr">
        <is>
          <t>YES</t>
        </is>
      </c>
      <c r="M19" t="n">
        <v>27</v>
      </c>
      <c r="N19" t="n">
        <v>0</v>
      </c>
    </row>
    <row r="20" ht="15.75" customHeight="1" s="67">
      <c r="A20" t="inlineStr">
        <is>
          <t>OI_CONFIRM_MIN_PRICE_PCT</t>
        </is>
      </c>
      <c r="B20" t="inlineStr">
        <is>
          <t>1.0</t>
        </is>
      </c>
      <c r="D20" t="inlineStr">
        <is>
          <t>ENTRY, GLOBAL_CHECK, STOCKS_EXIT</t>
        </is>
      </c>
      <c r="G20">
        <f>IFERROR(VLOOKUP($A226&amp;"_"&amp;$B226,Results_Deltas!$A$2:$P$15000,5,FALSE),"")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IFERROR(VLOOKUP($A86&amp;"_"&amp;$B86,Results_Deltas!$A$2:$P$15000,5,FALSE),"")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IFERROR(VLOOKUP($A145&amp;"_"&amp;$B145,Results_Deltas!$A$2:$P$15000,5,FALSE),"")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IFERROR(VLOOKUP($A89&amp;"_"&amp;$B89,Results_Deltas!$A$2:$P$15000,5,FALSE),"")</f>
        <v/>
      </c>
      <c r="H23" t="inlineStr">
        <is>
          <t>Blanket (page end)</t>
        </is>
      </c>
      <c r="L23" t="inlineStr">
        <is>
          <t>YES</t>
        </is>
      </c>
      <c r="M23" t="n">
        <v>3</v>
      </c>
      <c r="N23" t="n">
        <v>0</v>
      </c>
    </row>
    <row r="24" ht="15.75" customHeight="1" s="67">
      <c r="A24" t="inlineStr">
        <is>
          <t>OI_CONFIRM_ENABLED</t>
        </is>
      </c>
      <c r="B24" t="inlineStr">
        <is>
          <t>True</t>
        </is>
      </c>
      <c r="D24" t="inlineStr">
        <is>
          <t>ENTRY, GLOBAL_CHECK, STOCKS_EXIT</t>
        </is>
      </c>
      <c r="G24">
        <f>IFERROR(VLOOKUP($A219&amp;"_"&amp;$B219,Results_Deltas!$A$2:$P$15000,5,FALSE),"")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IFERROR(VLOOKUP($A227&amp;"_"&amp;$B227,Results_Deltas!$A$2:$P$15000,5,FALSE),"")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IFERROR(VLOOKUP($A142&amp;"_"&amp;$B142,Results_Deltas!$A$2:$P$15000,5,FALSE),"")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IFERROR(VLOOKUP($A66&amp;"_"&amp;$B66,Results_Deltas!$A$2:$P$15000,5,FALSE),"")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IFERROR(VLOOKUP($A72&amp;"_"&amp;$B72,Results_Deltas!$A$2:$P$15000,5,FALSE),"")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IFERROR(VLOOKUP($A199&amp;"_"&amp;$B199,Results_Deltas!$A$2:$P$15000,5,FALSE),"")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IFERROR(VLOOKUP($A198&amp;"_"&amp;$B198,Results_Deltas!$A$2:$P$15000,5,FALSE),"")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IFERROR(VLOOKUP($A136&amp;"_"&amp;$B136,Results_Deltas!$A$2:$P$15000,5,FALSE),"")</f>
        <v/>
      </c>
      <c r="H31" t="inlineStr">
        <is>
          <t>Blanket (page end)</t>
        </is>
      </c>
      <c r="L31" t="inlineStr">
        <is>
          <t>YES</t>
        </is>
      </c>
      <c r="M31" t="n">
        <v>27</v>
      </c>
      <c r="N31" t="n">
        <v>0</v>
      </c>
    </row>
    <row r="32" ht="10.5" customHeight="1" s="67">
      <c r="A32" t="inlineStr">
        <is>
          <t>DC_MOMENT_STRONG_THRESHOLD</t>
        </is>
      </c>
      <c r="B32" t="inlineStr">
        <is>
          <t>30</t>
        </is>
      </c>
      <c r="D32" t="inlineStr">
        <is>
          <t>ENTRY, GLOBAL_CHECK, STOCKS_EXIT</t>
        </is>
      </c>
      <c r="G32">
        <f>IFERROR(VLOOKUP($A80&amp;"_"&amp;$B80,Results_Deltas!$A$2:$P$15000,5,FALSE),"")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IFERROR(VLOOKUP($A60&amp;"_"&amp;$B60,Results_Deltas!$A$2:$P$15000,5,FALSE),"")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IFERROR(VLOOKUP($A62&amp;"_"&amp;$B62,Results_Deltas!$A$2:$P$15000,5,FALSE),"")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IFERROR(VLOOKUP($A200&amp;"_"&amp;$B200,Results_Deltas!$A$2:$P$15000,5,FALSE),"")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IFERROR(VLOOKUP($A103&amp;"_"&amp;$B103,Results_Deltas!$A$2:$P$15000,5,FALSE),"")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IFERROR(VLOOKUP($A68&amp;"_"&amp;$B68,Results_Deltas!$A$2:$P$15000,5,FALSE),"")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IFERROR(VLOOKUP($A87&amp;"_"&amp;$B87,Results_Deltas!$A$2:$P$15000,5,FALSE),"")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IFERROR(VLOOKUP($A137&amp;"_"&amp;$B137,Results_Deltas!$A$2:$P$15000,5,FALSE),"")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IFERROR(VLOOKUP($A143&amp;"_"&amp;$B143,Results_Deltas!$A$2:$P$15000,5,FALSE),"")</f>
        <v/>
      </c>
      <c r="H40" t="inlineStr">
        <is>
          <t>Blanket (page end)</t>
        </is>
      </c>
      <c r="L40" t="inlineStr">
        <is>
          <t>YES</t>
        </is>
      </c>
      <c r="M40" t="n">
        <v>27</v>
      </c>
      <c r="N40" t="n">
        <v>0</v>
      </c>
    </row>
    <row r="41" ht="15.75" customHeight="1" s="67">
      <c r="A41" t="inlineStr">
        <is>
          <t>MTF_GR_MIN_IND</t>
        </is>
      </c>
      <c r="B41" t="inlineStr">
        <is>
          <t>5</t>
        </is>
      </c>
      <c r="D41" t="inlineStr">
        <is>
          <t>GLOBAL_CHECK, STOCKS_EXIT</t>
        </is>
      </c>
      <c r="G41">
        <f>IFERROR(VLOOKUP($A196&amp;"_"&amp;$B196,Results_Deltas!$A$2:$P$15000,5,FALSE),"")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IFERROR(VLOOKUP($A197&amp;"_"&amp;$B197,Results_Deltas!$A$2:$P$15000,5,FALSE),"")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IFERROR(VLOOKUP($A65&amp;"_"&amp;$B65,Results_Deltas!$A$2:$P$15000,5,FALSE),"")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IFERROR(VLOOKUP($A166&amp;"_"&amp;$B166,Results_Deltas!$A$2:$P$15000,5,FALSE),"")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IFERROR(VLOOKUP($A165&amp;"_"&amp;$B165,Results_Deltas!$A$2:$P$15000,5,FALSE),"")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IFERROR(VLOOKUP($A134&amp;"_"&amp;$B134,Results_Deltas!$A$2:$P$15000,5,FALSE),"")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IFERROR(VLOOKUP($A187&amp;"_"&amp;$B187,Results_Deltas!$A$2:$P$15000,5,FALSE),"")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IFERROR(VLOOKUP($A133&amp;"_"&amp;$B133,Results_Deltas!$A$2:$P$15000,5,FALSE),"")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IFERROR(VLOOKUP($A220&amp;"_"&amp;$B220,Results_Deltas!$A$2:$P$15000,5,FALSE),"")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IFERROR(VLOOKUP($A97&amp;"_"&amp;$B97,Results_Deltas!$A$2:$P$15000,5,FALSE),"")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IFERROR(VLOOKUP($A201&amp;"_"&amp;$B201,Results_Deltas!$A$2:$P$15000,5,FALSE),"")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IFERROR(VLOOKUP($A202&amp;"_"&amp;$B202,Results_Deltas!$A$2:$P$15000,5,FALSE),"")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IFERROR(VLOOKUP($A75&amp;"_"&amp;$B75,Results_Deltas!$A$2:$P$15000,5,FALSE),"")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IFERROR(VLOOKUP($A76&amp;"_"&amp;$B76,Results_Deltas!$A$2:$P$15000,5,FALSE),"")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IFERROR(VLOOKUP($A184&amp;"_"&amp;$B184,Results_Deltas!$A$2:$P$15000,5,FALSE),"")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IFERROR(VLOOKUP($A185&amp;"_"&amp;$B185,Results_Deltas!$A$2:$P$15000,5,FALSE),"")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IFERROR(VLOOKUP($A91&amp;"_"&amp;$B91,Results_Deltas!$A$2:$P$15000,5,FALSE),"")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IFERROR(VLOOKUP($A127&amp;"_"&amp;$B127,Results_Deltas!$A$2:$P$15000,5,FALSE),"")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IFERROR(VLOOKUP($A96&amp;"_"&amp;$B96,Results_Deltas!$A$2:$P$15000,5,FALSE),"")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IFERROR(VLOOKUP($A92&amp;"_"&amp;$B92,Results_Deltas!$A$2:$P$15000,5,FALSE),"")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IFERROR(VLOOKUP($A222&amp;"_"&amp;$B222,Results_Deltas!$A$2:$P$15000,5,FALSE),"")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IFERROR(VLOOKUP($A205&amp;"_"&amp;$B205,Results_Deltas!$A$2:$P$15000,5,FALSE),"")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IFERROR(VLOOKUP($A94&amp;"_"&amp;$B94,Results_Deltas!$A$2:$P$15000,5,FALSE),"")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IFERROR(VLOOKUP($A130&amp;"_"&amp;$B130,Results_Deltas!$A$2:$P$15000,5,FALSE),"")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IFERROR(VLOOKUP($A192&amp;"_"&amp;$B192,Results_Deltas!$A$2:$P$15000,5,FALSE),"")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IFERROR(VLOOKUP($A150&amp;"_"&amp;$B150,Results_Deltas!$A$2:$P$15000,5,FALSE),"")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IFERROR(VLOOKUP($A207&amp;"_"&amp;$B207,Results_Deltas!$A$2:$P$15000,5,FALSE),"")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IFERROR(VLOOKUP($A179&amp;"_"&amp;$B179,Results_Deltas!$A$2:$P$15000,5,FALSE),"")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IFERROR(VLOOKUP($A132&amp;"_"&amp;$B132,Results_Deltas!$A$2:$P$15000,5,FALSE),"")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IFERROR(VLOOKUP($A215&amp;"_"&amp;$B215,Results_Deltas!$A$2:$P$15000,5,FALSE),"")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IFERROR(VLOOKUP($A164&amp;"_"&amp;$B164,Results_Deltas!$A$2:$P$15000,5,FALSE),"")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IFERROR(VLOOKUP($A64&amp;"_"&amp;$B64,Results_Deltas!$A$2:$P$15000,5,FALSE),"")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IFERROR(VLOOKUP($A146&amp;"_"&amp;$B146,Results_Deltas!$A$2:$P$15000,5,FALSE),"")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IFERROR(VLOOKUP($A110&amp;"_"&amp;$B110,Results_Deltas!$A$2:$P$15000,5,FALSE),"")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IFERROR(VLOOKUP($A225&amp;"_"&amp;$B225,Results_Deltas!$A$2:$P$15000,5,FALSE),"")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IFERROR(VLOOKUP($A193&amp;"_"&amp;$B193,Results_Deltas!$A$2:$P$15000,5,FALSE),"")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IFERROR(VLOOKUP($A61&amp;"_"&amp;$B61,Results_Deltas!$A$2:$P$15000,5,FALSE),"")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IFERROR(VLOOKUP($A138&amp;"_"&amp;$B138,Results_Deltas!$A$2:$P$15000,5,FALSE),"")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IFERROR(VLOOKUP($A176&amp;"_"&amp;$B176,Results_Deltas!$A$2:$P$15000,5,FALSE),"")</f>
        <v/>
      </c>
      <c r="H79" t="inlineStr">
        <is>
          <t>Blanket (page end)</t>
        </is>
      </c>
      <c r="L79" t="inlineStr">
        <is>
          <t>YES</t>
        </is>
      </c>
      <c r="M79" t="n">
        <v>24</v>
      </c>
      <c r="N79" t="n">
        <v>0</v>
      </c>
    </row>
    <row r="80" ht="10.5" customHeight="1" s="67">
      <c r="A80" t="inlineStr">
        <is>
          <t>DELTA_HTF_GATE</t>
        </is>
      </c>
      <c r="B80" t="inlineStr">
        <is>
          <t>4h_ALT</t>
        </is>
      </c>
      <c r="D80" t="inlineStr">
        <is>
          <t>ENTRY, GLOBAL_CHECK, STOCKS_EXIT</t>
        </is>
      </c>
      <c r="G80">
        <f>IFERROR(VLOOKUP($A83&amp;"_"&amp;$B83,Results_Deltas!$A$2:$P$15000,5,FALSE),"")</f>
        <v/>
      </c>
      <c r="H80" t="inlineStr">
        <is>
          <t>Blanket (page end)</t>
        </is>
      </c>
      <c r="L80" t="inlineStr">
        <is>
          <t>YES</t>
        </is>
      </c>
      <c r="M80" t="n">
        <v>27</v>
      </c>
      <c r="N80" t="n">
        <v>0</v>
      </c>
    </row>
    <row r="81" ht="15.75" customHeight="1" s="67">
      <c r="A81" t="inlineStr">
        <is>
          <t>HA_WICK_QUALITY_TF</t>
        </is>
      </c>
      <c r="B81" t="inlineStr">
        <is>
          <t>OFF</t>
        </is>
      </c>
      <c r="D81" t="inlineStr">
        <is>
          <t>ENTRY, GLOBAL_CHECK, STOCKS_EXIT</t>
        </is>
      </c>
      <c r="G81">
        <f>IFERROR(VLOOKUP($A135&amp;"_"&amp;$B135,Results_Deltas!$A$2:$P$15000,5,FALSE),"")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IFERROR(VLOOKUP($A82&amp;"_"&amp;$B82,Results_Deltas!$A$2:$P$15000,5,FALSE),"")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IFERROR(VLOOKUP($A174&amp;"_"&amp;$B174,Results_Deltas!$A$2:$P$15000,5,FALSE),"")</f>
        <v/>
      </c>
      <c r="H83" t="inlineStr">
        <is>
          <t>Blanket (page end)</t>
        </is>
      </c>
      <c r="L83" t="inlineStr">
        <is>
          <t>YES</t>
        </is>
      </c>
      <c r="M83" t="n">
        <v>26</v>
      </c>
      <c r="N83" t="n">
        <v>0</v>
      </c>
    </row>
    <row r="84" ht="15.75" customHeight="1" s="67">
      <c r="A84" t="inlineStr">
        <is>
          <t>MOVER_THRESHOLD</t>
        </is>
      </c>
      <c r="B84" t="inlineStr">
        <is>
          <t>5</t>
        </is>
      </c>
      <c r="D84" t="inlineStr">
        <is>
          <t>ENTRY, GLOBAL_CHECK, STOCKS_EXIT</t>
        </is>
      </c>
      <c r="G84">
        <f>IFERROR(VLOOKUP($A190&amp;"_"&amp;$B190,Results_Deltas!$A$2:$P$15000,5,FALSE),"")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IFERROR(VLOOKUP($A78&amp;"_"&amp;$B78,Results_Deltas!$A$2:$P$15000,5,FALSE),"")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IFERROR(VLOOKUP($A85&amp;"_"&amp;$B85,Results_Deltas!$A$2:$P$15000,5,FALSE),"")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IFERROR(VLOOKUP($A141&amp;"_"&amp;$B141,Results_Deltas!$A$2:$P$15000,5,FALSE),"")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IFERROR(VLOOKUP($A177&amp;"_"&amp;$B177,Results_Deltas!$A$2:$P$15000,5,FALSE),"")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IFERROR(VLOOKUP($A172&amp;"_"&amp;$B172,Results_Deltas!$A$2:$P$15000,5,FALSE),"")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IFERROR(VLOOKUP($A171&amp;"_"&amp;$B171,Results_Deltas!$A$2:$P$15000,5,FALSE),"")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IFERROR(VLOOKUP($A191&amp;"_"&amp;$B191,Results_Deltas!$A$2:$P$15000,5,FALSE),"")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IFERROR(VLOOKUP($A210&amp;"_"&amp;$B210,Results_Deltas!$A$2:$P$15000,5,FALSE),"")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IFERROR(VLOOKUP($A106&amp;"_"&amp;$B106,Results_Deltas!$A$2:$P$15000,5,FALSE),"")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IFERROR(VLOOKUP($A211&amp;"_"&amp;$B211,Results_Deltas!$A$2:$P$15000,5,FALSE),"")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IFERROR(VLOOKUP($A170&amp;"_"&amp;$B170,Results_Deltas!$A$2:$P$15000,5,FALSE),"")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IFERROR(VLOOKUP($A81&amp;"_"&amp;$B81,Results_Deltas!$A$2:$P$15000,5,FALSE),"")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IFERROR(VLOOKUP($A178&amp;"_"&amp;$B178,Results_Deltas!$A$2:$P$15000,5,FALSE),"")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IFERROR(VLOOKUP($A129&amp;"_"&amp;$B129,Results_Deltas!$A$2:$P$15000,5,FALSE),"")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IFERROR(VLOOKUP($A216&amp;"_"&amp;$B216,Results_Deltas!$A$2:$P$15000,5,FALSE),"")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IFERROR(VLOOKUP($A93&amp;"_"&amp;$B93,Results_Deltas!$A$2:$P$15000,5,FALSE),"")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IFERROR(VLOOKUP($A224&amp;"_"&amp;$B224,Results_Deltas!$A$2:$P$15000,5,FALSE),"")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IFERROR(VLOOKUP($A74&amp;"_"&amp;$B74,Results_Deltas!$A$2:$P$15000,5,FALSE),"")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IFERROR(VLOOKUP($A223&amp;"_"&amp;$B223,Results_Deltas!$A$2:$P$15000,5,FALSE),"")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IFERROR(VLOOKUP($A77&amp;"_"&amp;$B77,Results_Deltas!$A$2:$P$15000,5,FALSE),"")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IFERROR(VLOOKUP($A98&amp;"_"&amp;$B98,Results_Deltas!$A$2:$P$15000,5,FALSE),"")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IFERROR(VLOOKUP($A217&amp;"_"&amp;$B217,Results_Deltas!$A$2:$P$15000,5,FALSE),"")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IFERROR(VLOOKUP($A175&amp;"_"&amp;$B175,Results_Deltas!$A$2:$P$15000,5,FALSE),"")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IFERROR(VLOOKUP($A209&amp;"_"&amp;$B209,Results_Deltas!$A$2:$P$15000,5,FALSE),"")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IFERROR(VLOOKUP($A158&amp;"_"&amp;$B158,Results_Deltas!$A$2:$P$15000,5,FALSE),"")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IFERROR(VLOOKUP($A173&amp;"_"&amp;$B173,Results_Deltas!$A$2:$P$15000,5,FALSE),"")</f>
        <v/>
      </c>
      <c r="H110" t="inlineStr">
        <is>
          <t>Blanket (page end)</t>
        </is>
      </c>
      <c r="L110" t="inlineStr">
        <is>
          <t>NO</t>
        </is>
      </c>
      <c r="M110" t="n">
        <v>26</v>
      </c>
      <c r="N110" t="n">
        <v>0</v>
      </c>
    </row>
    <row r="111" ht="15.75" customHeight="1" s="67">
      <c r="A111" t="inlineStr">
        <is>
          <t>HTF4_CONF</t>
        </is>
      </c>
      <c r="B111" t="inlineStr">
        <is>
          <t>False_ALT</t>
        </is>
      </c>
      <c r="D111" t="inlineStr">
        <is>
          <t>GLOBAL_CHECK, STOCKS_EXIT</t>
        </is>
      </c>
      <c r="G111">
        <f>IFERROR(VLOOKUP($A148&amp;"_"&amp;$B148,Results_Deltas!$A$2:$P$15000,5,FALSE),"")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IFERROR(VLOOKUP($A168&amp;"_"&amp;$B168,Results_Deltas!$A$2:$P$15000,5,FALSE),"")</f>
        <v/>
      </c>
      <c r="H112" t="inlineStr">
        <is>
          <t>Blanket (page end)</t>
        </is>
      </c>
      <c r="L112" t="inlineStr">
        <is>
          <t>YES</t>
        </is>
      </c>
      <c r="M112" t="n">
        <v>24</v>
      </c>
      <c r="N112" t="n">
        <v>0</v>
      </c>
    </row>
    <row r="113" ht="15.75" customHeight="1" s="67">
      <c r="A113" t="inlineStr">
        <is>
          <t>GR_FILTER_VEC_MIN_TFS</t>
        </is>
      </c>
      <c r="B113" t="inlineStr">
        <is>
          <t>0</t>
        </is>
      </c>
      <c r="D113" t="inlineStr">
        <is>
          <t>GLOBAL_CHECK</t>
        </is>
      </c>
      <c r="G113">
        <f>IFERROR(VLOOKUP($A128&amp;"_"&amp;$B128,Results_Deltas!$A$2:$P$15000,5,FALSE),"")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IFERROR(VLOOKUP($A63&amp;"_"&amp;$B63,Results_Deltas!$A$2:$P$15000,5,FALSE),"")</f>
        <v/>
      </c>
      <c r="H114" t="inlineStr">
        <is>
          <t>Blanket (page end)</t>
        </is>
      </c>
      <c r="L114" t="inlineStr">
        <is>
          <t>NO</t>
        </is>
      </c>
      <c r="M114" t="n">
        <v>24</v>
      </c>
      <c r="N114" t="n">
        <v>0</v>
      </c>
    </row>
    <row r="115" ht="15.75" customHeight="1" s="67">
      <c r="A115" t="inlineStr">
        <is>
          <t>LEADERBOARD_FILTER</t>
        </is>
      </c>
      <c r="B115" t="inlineStr">
        <is>
          <t>False_ALT</t>
        </is>
      </c>
      <c r="D115" t="inlineStr">
        <is>
          <t>AUGMENT, ENTRY, EXIT, GLOBAL_CHECK, REDUCE, STOCKS_EXIT</t>
        </is>
      </c>
      <c r="G115">
        <f>IFERROR(VLOOKUP($A162&amp;"_"&amp;$B162,Results_Deltas!$A$2:$P$15000,5,FALSE),"")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IFERROR(VLOOKUP($A116&amp;"_"&amp;$B116,Results_Deltas!$A$2:$P$15000,5,FALSE),"")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IFERROR(VLOOKUP($A117&amp;"_"&amp;$B117,Results_Deltas!$A$2:$P$15000,5,FALSE),"")</f>
        <v/>
      </c>
      <c r="H117" t="inlineStr">
        <is>
          <t>Blanket (page end)</t>
        </is>
      </c>
      <c r="L117" t="inlineStr">
        <is>
          <t>NO</t>
        </is>
      </c>
      <c r="M117" t="n">
        <v>24</v>
      </c>
      <c r="N117" t="n">
        <v>0</v>
      </c>
    </row>
    <row r="118" ht="15.75" customHeight="1" s="67">
      <c r="A118" t="inlineStr">
        <is>
          <t>FUNDING_GATE_MTF_REQUIRED</t>
        </is>
      </c>
      <c r="B118" t="inlineStr">
        <is>
          <t>0.0</t>
        </is>
      </c>
      <c r="D118" t="inlineStr">
        <is>
          <t>ENTRY, GLOBAL_CHECK, STOCKS_EXIT</t>
        </is>
      </c>
      <c r="G118">
        <f>IFERROR(VLOOKUP($A118&amp;"_"&amp;$B118,Results_Deltas!$A$2:$P$15000,5,FALSE),"")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IFERROR(VLOOKUP($A119&amp;"_"&amp;$B119,Results_Deltas!$A$2:$P$15000,5,FALSE),"")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IFERROR(VLOOKUP($A120&amp;"_"&amp;$B120,Results_Deltas!$A$2:$P$15000,5,FALSE),"")</f>
        <v/>
      </c>
      <c r="H120" t="inlineStr">
        <is>
          <t>Blanket (page end)</t>
        </is>
      </c>
      <c r="L120" t="inlineStr">
        <is>
          <t>YES</t>
        </is>
      </c>
      <c r="M120" t="n">
        <v>24</v>
      </c>
      <c r="N120" t="n">
        <v>0</v>
      </c>
    </row>
    <row r="121" ht="15.75" customHeight="1" s="67">
      <c r="A121" t="inlineStr">
        <is>
          <t>FUNDING_GATE_SHORT_MIN</t>
        </is>
      </c>
      <c r="B121" t="inlineStr">
        <is>
          <t>0.0_ALT</t>
        </is>
      </c>
      <c r="D121" t="inlineStr">
        <is>
          <t>ENTRY, GLOBAL_CHECK, STOCKS_EXIT</t>
        </is>
      </c>
      <c r="G121">
        <f>IFERROR(VLOOKUP($A121&amp;"_"&amp;$B121,Results_Deltas!$A$2:$P$15000,5,FALSE),"")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IFERROR(VLOOKUP($A59&amp;"_"&amp;$B59,Results_Deltas!$A$2:$P$15000,5,FALSE),"")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IFERROR(VLOOKUP($A115&amp;"_"&amp;$B115,Results_Deltas!$A$2:$P$15000,5,FALSE),"")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IFERROR(VLOOKUP($A167&amp;"_"&amp;$B167,Results_Deltas!$A$2:$P$15000,5,FALSE),"")</f>
        <v/>
      </c>
      <c r="H124" t="inlineStr">
        <is>
          <t>Blanket (page end)</t>
        </is>
      </c>
      <c r="L124" t="inlineStr">
        <is>
          <t>NO</t>
        </is>
      </c>
      <c r="M124" t="n">
        <v>9</v>
      </c>
      <c r="N124" t="n">
        <v>0</v>
      </c>
    </row>
    <row r="125" ht="15.75" customHeight="1" s="67">
      <c r="A125" t="inlineStr">
        <is>
          <t>HTF_GATE_MIN_CONFIRMATIONS</t>
        </is>
      </c>
      <c r="B125" t="inlineStr">
        <is>
          <t>0.0</t>
        </is>
      </c>
      <c r="D125" t="inlineStr">
        <is>
          <t>ENTRY, GLOBAL_CHECK, STOCKS_EXIT</t>
        </is>
      </c>
      <c r="G125">
        <f>IFERROR(VLOOKUP($A155&amp;"_"&amp;$B155,Results_Deltas!$A$2:$P$15000,5,FALSE),"")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IFERROR(VLOOKUP($A156&amp;"_"&amp;$B156,Results_Deltas!$A$2:$P$15000,5,FALSE),"")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IFERROR(VLOOKUP($A124&amp;"_"&amp;$B124,Results_Deltas!$A$2:$P$15000,5,FALSE),"")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IFERROR(VLOOKUP($A125&amp;"_"&amp;$B125,Results_Deltas!$A$2:$P$15000,5,FALSE),"")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IFERROR(VLOOKUP($A131&amp;"_"&amp;$B131,Results_Deltas!$A$2:$P$15000,5,FALSE),"")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IFERROR(VLOOKUP($A123&amp;"_"&amp;$B123,Results_Deltas!$A$2:$P$15000,5,FALSE),"")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IFERROR(VLOOKUP($A122&amp;"_"&amp;$B122,Results_Deltas!$A$2:$P$15000,5,FALSE),"")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IFERROR(VLOOKUP($A161&amp;"_"&amp;$B161,Results_Deltas!$A$2:$P$15000,5,FALSE),"")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IFERROR(VLOOKUP($A147&amp;"_"&amp;$B147,Results_Deltas!$A$2:$P$15000,5,FALSE),"")</f>
        <v/>
      </c>
      <c r="H133" t="inlineStr">
        <is>
          <t>Blanket (page end)</t>
        </is>
      </c>
      <c r="L133" t="inlineStr">
        <is>
          <t>NO</t>
        </is>
      </c>
      <c r="M133" t="n">
        <v>9</v>
      </c>
      <c r="N133" t="n">
        <v>0</v>
      </c>
    </row>
    <row r="134" ht="15.75" customHeight="1" s="67">
      <c r="A134" t="inlineStr">
        <is>
          <t>LH_HL_FILTER_ENABLED</t>
        </is>
      </c>
      <c r="B134" t="inlineStr">
        <is>
          <t>False</t>
        </is>
      </c>
      <c r="D134" t="inlineStr">
        <is>
          <t>ENTRY, GLOBAL_CHECK, STOCKS_EXIT</t>
        </is>
      </c>
      <c r="G134">
        <f>IFERROR(VLOOKUP($A163&amp;"_"&amp;$B163,Results_Deltas!$A$2:$P$15000,5,FALSE),"")</f>
        <v/>
      </c>
      <c r="H134" t="inlineStr">
        <is>
          <t>Blanket (page end)</t>
        </is>
      </c>
      <c r="L134" t="inlineStr">
        <is>
          <t>YES</t>
        </is>
      </c>
      <c r="M134" t="n">
        <v>9</v>
      </c>
      <c r="N134" t="n">
        <v>0</v>
      </c>
    </row>
    <row r="135" ht="15.75" customHeight="1" s="67">
      <c r="A135" t="inlineStr">
        <is>
          <t>GR_FILTER_VEC_ENABLED</t>
        </is>
      </c>
      <c r="B135" t="inlineStr">
        <is>
          <t>False</t>
        </is>
      </c>
      <c r="D135" t="inlineStr">
        <is>
          <t>GLOBAL_CHECK</t>
        </is>
      </c>
      <c r="G135">
        <f>IFERROR(VLOOKUP($A126&amp;"_"&amp;$B126,Results_Deltas!$A$2:$P$15000,5,FALSE),"")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IFERROR(VLOOKUP($A90&amp;"_"&amp;$B90,Results_Deltas!$A$2:$P$15000,5,FALSE),"")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IFERROR(VLOOKUP($A218&amp;"_"&amp;$B218,Results_Deltas!$A$2:$P$15000,5,FALSE),"")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IFERROR(VLOOKUP($A95&amp;"_"&amp;$B95,Results_Deltas!$A$2:$P$15000,5,FALSE),"")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IFERROR(VLOOKUP($A206&amp;"_"&amp;$B206,Results_Deltas!$A$2:$P$15000,5,FALSE),"")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IFERROR(VLOOKUP($A188&amp;"_"&amp;$B188,Results_Deltas!$A$2:$P$15000,5,FALSE),"")</f>
        <v/>
      </c>
      <c r="H140" t="inlineStr">
        <is>
          <t>Blanket (page end)</t>
        </is>
      </c>
      <c r="L140" t="inlineStr">
        <is>
          <t>NO</t>
        </is>
      </c>
      <c r="M140" t="n">
        <v>24</v>
      </c>
      <c r="N140" t="n">
        <v>0</v>
      </c>
    </row>
    <row r="141" ht="15.75" customHeight="1" s="67">
      <c r="A141" t="inlineStr">
        <is>
          <t>MI_TF_AGREE_MIN</t>
        </is>
      </c>
      <c r="B141" t="inlineStr">
        <is>
          <t>0.0_ALT</t>
        </is>
      </c>
      <c r="D141" t="inlineStr">
        <is>
          <t>ENTRY, GLOBAL_CHECK, STOCKS_EXIT</t>
        </is>
      </c>
      <c r="G141">
        <f>IFERROR(VLOOKUP($A189&amp;"_"&amp;$B189,Results_Deltas!$A$2:$P$15000,5,FALSE),"")</f>
        <v/>
      </c>
      <c r="H141" t="inlineStr">
        <is>
          <t>Blanket (page end)</t>
        </is>
      </c>
      <c r="L141" t="inlineStr">
        <is>
          <t>YES</t>
        </is>
      </c>
      <c r="M141" t="n">
        <v>24</v>
      </c>
      <c r="N141" t="n">
        <v>0</v>
      </c>
    </row>
    <row r="142" ht="15.75" customHeight="1" s="67">
      <c r="A142" t="inlineStr">
        <is>
          <t>HLR_SMA_BAND_PCT</t>
        </is>
      </c>
      <c r="B142" t="inlineStr">
        <is>
          <t>0</t>
        </is>
      </c>
      <c r="D142" t="inlineStr">
        <is>
          <t>ENTRY, GLOBAL_CHECK, STOCKS_EXIT</t>
        </is>
      </c>
      <c r="G142">
        <f>IFERROR(VLOOKUP($A140&amp;"_"&amp;$B140,Results_Deltas!$A$2:$P$15000,5,FALSE),"")</f>
        <v/>
      </c>
      <c r="H142" t="inlineStr">
        <is>
          <t>Blanket (page end)</t>
        </is>
      </c>
      <c r="L142" t="inlineStr">
        <is>
          <t>NO</t>
        </is>
      </c>
      <c r="M142" t="n">
        <v>24</v>
      </c>
      <c r="N142" t="n">
        <v>0</v>
      </c>
    </row>
    <row r="143" ht="10.5" customHeight="1" s="67">
      <c r="A143" t="inlineStr">
        <is>
          <t>EXECUTE_NOW_SINGLE_GATE_ENFORCE</t>
        </is>
      </c>
      <c r="B143" t="inlineStr">
        <is>
          <t>0.0_ALT</t>
        </is>
      </c>
      <c r="D143" t="inlineStr">
        <is>
          <t>ENTRY, GLOBAL_CHECK, STOCKS_EXIT</t>
        </is>
      </c>
      <c r="G143">
        <f>IFERROR(VLOOKUP($A100&amp;"_"&amp;$B100,Results_Deltas!$A$2:$P$15000,5,FALSE),"")</f>
        <v/>
      </c>
      <c r="H143" t="inlineStr">
        <is>
          <t>Blanket (page end)</t>
        </is>
      </c>
      <c r="L143" t="inlineStr">
        <is>
          <t>YES</t>
        </is>
      </c>
      <c r="M143" t="n">
        <v>24</v>
      </c>
      <c r="N143" t="n">
        <v>0</v>
      </c>
    </row>
    <row r="144" ht="10.5" customHeight="1" s="67">
      <c r="A144" t="inlineStr">
        <is>
          <t>EXECUTE_NOW_SINGLE_GATE_ENFORCE</t>
        </is>
      </c>
      <c r="B144" t="inlineStr">
        <is>
          <t>0.0</t>
        </is>
      </c>
      <c r="D144" t="inlineStr">
        <is>
          <t>ENTRY, GLOBAL_CHECK, STOCKS_EXIT</t>
        </is>
      </c>
      <c r="G144">
        <f>IFERROR(VLOOKUP($A99&amp;"_"&amp;$B99,Results_Deltas!$A$2:$P$15000,5,FALSE),"")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IFERROR(VLOOKUP($A144&amp;"_"&amp;$B144,Results_Deltas!$A$2:$P$15000,5,FALSE),"")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IFERROR(VLOOKUP($A73&amp;"_"&amp;$B73,Results_Deltas!$A$2:$P$15000,5,FALSE),"")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IFERROR(VLOOKUP($A139&amp;"_"&amp;$B139,Results_Deltas!$A$2:$P$15000,5,FALSE),"")</f>
        <v/>
      </c>
      <c r="H147" t="inlineStr">
        <is>
          <t>Blanket (page end)</t>
        </is>
      </c>
      <c r="L147" t="inlineStr">
        <is>
          <t>NO</t>
        </is>
      </c>
      <c r="M147" t="n">
        <v>9</v>
      </c>
      <c r="N147" t="n">
        <v>0</v>
      </c>
    </row>
    <row r="148" ht="10.5" customHeight="1" s="67">
      <c r="A148" t="inlineStr">
        <is>
          <t>EZ_MANAGE_THROTTLER_RATE</t>
        </is>
      </c>
      <c r="B148" t="inlineStr">
        <is>
          <t>0.0</t>
        </is>
      </c>
      <c r="D148" t="inlineStr">
        <is>
          <t>GLOBAL_CHECK, STOCKS_EXIT</t>
        </is>
      </c>
      <c r="G148">
        <f>IFERROR(VLOOKUP($A101&amp;"_"&amp;$B101,Results_Deltas!$A$2:$P$15000,5,FALSE),"")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IFERROR(VLOOKUP($A102&amp;"_"&amp;$B102,Results_Deltas!$A$2:$P$15000,5,FALSE),"")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IFERROR(VLOOKUP($A67&amp;"_"&amp;$B67,Results_Deltas!$A$2:$P$15000,5,FALSE),"")</f>
        <v/>
      </c>
      <c r="H150" t="inlineStr">
        <is>
          <t>Blanket (page end)</t>
        </is>
      </c>
      <c r="L150" t="inlineStr">
        <is>
          <t>YES</t>
        </is>
      </c>
      <c r="M150" t="n">
        <v>9</v>
      </c>
      <c r="N150" t="n">
        <v>0</v>
      </c>
    </row>
    <row r="151" ht="15.75" customHeight="1" s="67">
      <c r="A151" t="inlineStr">
        <is>
          <t>NEW_POSITION_MAX_LOSS_THRESHOLD</t>
        </is>
      </c>
      <c r="B151" t="inlineStr">
        <is>
          <t>0</t>
        </is>
      </c>
      <c r="D151" t="inlineStr">
        <is>
          <t>AUGMENT, EXIT, GLOBAL_CHECK, REDUCE, STOCKS_EXIT</t>
        </is>
      </c>
      <c r="G151">
        <f>IFERROR(VLOOKUP($A214&amp;"_"&amp;$B214,Results_Deltas!$A$2:$P$15000,5,FALSE),"")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IFERROR(VLOOKUP($A154&amp;"_"&amp;$B154,Results_Deltas!$A$2:$P$15000,5,FALSE),"")</f>
        <v/>
      </c>
      <c r="H152" t="inlineStr">
        <is>
          <t>Blanket (page end)</t>
        </is>
      </c>
      <c r="L152" t="inlineStr">
        <is>
          <t>YES</t>
        </is>
      </c>
      <c r="M152" t="n">
        <v>24</v>
      </c>
      <c r="N152" t="n">
        <v>0</v>
      </c>
    </row>
    <row r="153" ht="10.5" customHeight="1" s="67">
      <c r="A153" t="inlineStr">
        <is>
          <t>DELTA_REENTRY_FILTER_ENABLED</t>
        </is>
      </c>
      <c r="B153" t="inlineStr">
        <is>
          <t>False</t>
        </is>
      </c>
      <c r="D153" t="inlineStr">
        <is>
          <t>ENTRY, GLOBAL_CHECK, STOCKS_EXIT</t>
        </is>
      </c>
      <c r="G153">
        <f>IFERROR(VLOOKUP($A84&amp;"_"&amp;$B84,Results_Deltas!$A$2:$P$15000,5,FALSE),"")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IFERROR(VLOOKUP($A153&amp;"_"&amp;$B153,Results_Deltas!$A$2:$P$15000,5,FALSE),"")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IFERROR(VLOOKUP($A183&amp;"_"&amp;$B183,Results_Deltas!$A$2:$P$15000,5,FALSE),"")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IFERROR(VLOOKUP($A186&amp;"_"&amp;$B186,Results_Deltas!$A$2:$P$15000,5,FALSE),"")</f>
        <v/>
      </c>
      <c r="H156" t="inlineStr">
        <is>
          <t>Blanket (page end)</t>
        </is>
      </c>
      <c r="L156" t="inlineStr">
        <is>
          <t>NO</t>
        </is>
      </c>
      <c r="M156" t="n">
        <v>9</v>
      </c>
      <c r="N156" t="n">
        <v>0</v>
      </c>
    </row>
    <row r="157" ht="15.75" customHeight="1" s="67">
      <c r="A157" t="inlineStr">
        <is>
          <t>HTF_GATE_BYPASS_RZ</t>
        </is>
      </c>
      <c r="B157" t="inlineStr">
        <is>
          <t>0.0</t>
        </is>
      </c>
      <c r="D157" t="inlineStr">
        <is>
          <t>ENTRY, GLOBAL_CHECK, STOCKS_EXIT</t>
        </is>
      </c>
      <c r="G157">
        <f>IFERROR(VLOOKUP($A151&amp;"_"&amp;$B151,Results_Deltas!$A$2:$P$15000,5,FALSE),"")</f>
        <v/>
      </c>
      <c r="H157" t="inlineStr">
        <is>
          <t>Blanket (page end)</t>
        </is>
      </c>
      <c r="L157" t="inlineStr">
        <is>
          <t>NO</t>
        </is>
      </c>
      <c r="M157" t="n">
        <v>24</v>
      </c>
      <c r="N157" t="n">
        <v>0</v>
      </c>
    </row>
    <row r="158" ht="15.75" customHeight="1" s="67">
      <c r="A158" t="inlineStr">
        <is>
          <t>HTF_GATE_BYPASS_RZ</t>
        </is>
      </c>
      <c r="B158" t="inlineStr">
        <is>
          <t>0.0_ALT</t>
        </is>
      </c>
      <c r="D158" t="inlineStr">
        <is>
          <t>ENTRY, GLOBAL_CHECK, STOCKS_EXIT</t>
        </is>
      </c>
      <c r="G158">
        <f>IFERROR(VLOOKUP($A152&amp;"_"&amp;$B152,Results_Deltas!$A$2:$P$15000,5,FALSE),"")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IFERROR(VLOOKUP($A149&amp;"_"&amp;$B149,Results_Deltas!$A$2:$P$15000,5,FALSE),"")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IFERROR(VLOOKUP($A194&amp;"_"&amp;$B194,Results_Deltas!$A$2:$P$15000,5,FALSE),"")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IFERROR(VLOOKUP($A195&amp;"_"&amp;$B195,Results_Deltas!$A$2:$P$15000,5,FALSE),"")</f>
        <v/>
      </c>
      <c r="H161" t="inlineStr">
        <is>
          <t>Blanket (page end)</t>
        </is>
      </c>
      <c r="L161" t="inlineStr">
        <is>
          <t>YES</t>
        </is>
      </c>
      <c r="M161" t="n">
        <v>24</v>
      </c>
      <c r="N161" t="n">
        <v>0</v>
      </c>
    </row>
    <row r="162" ht="15.75" customHeight="1" s="67">
      <c r="A162" t="inlineStr">
        <is>
          <t>NEWBORN_LOSS_KILL_REQUIRE_VEL_AGAINST</t>
        </is>
      </c>
      <c r="B162" t="inlineStr">
        <is>
          <t>0.0</t>
        </is>
      </c>
      <c r="D162" t="inlineStr">
        <is>
          <t>AUGMENT, EXIT, GLOBAL_CHECK, REDUCE, STOCKS_EXIT</t>
        </is>
      </c>
      <c r="G162">
        <f>IFERROR(VLOOKUP($A212&amp;"_"&amp;$B212,Results_Deltas!$A$2:$P$15000,5,FALSE),"")</f>
        <v/>
      </c>
      <c r="H162" t="inlineStr">
        <is>
          <t>Blanket (page end)</t>
        </is>
      </c>
      <c r="L162" t="inlineStr">
        <is>
          <t>YES</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IFERROR(VLOOKUP($A213&amp;"_"&amp;$B213,Results_Deltas!$A$2:$P$15000,5,FALSE),"")</f>
        <v/>
      </c>
      <c r="H163" t="inlineStr">
        <is>
          <t>Blanket (page end)</t>
        </is>
      </c>
      <c r="L163" t="inlineStr">
        <is>
          <t>YES</t>
        </is>
      </c>
      <c r="M163" t="n">
        <v>24</v>
      </c>
      <c r="N163" t="n">
        <v>0</v>
      </c>
    </row>
    <row r="164" ht="15.75" customHeight="1" s="67">
      <c r="A164" t="inlineStr">
        <is>
          <t>MANDATORY_REENTRY_WT_FILTER_MIN_VELOCITY</t>
        </is>
      </c>
      <c r="B164" t="inlineStr">
        <is>
          <t>0.0</t>
        </is>
      </c>
      <c r="D164" t="inlineStr">
        <is>
          <t>GLOBAL_CHECK, STOCKS_EXIT</t>
        </is>
      </c>
      <c r="G164">
        <f>IFERROR(VLOOKUP($A180&amp;"_"&amp;$B180,Results_Deltas!$A$2:$P$15000,5,FALSE),"")</f>
        <v/>
      </c>
      <c r="H164" t="inlineStr">
        <is>
          <t>Blanket (page end)</t>
        </is>
      </c>
      <c r="L164" t="inlineStr">
        <is>
          <t>NO</t>
        </is>
      </c>
      <c r="M164" t="n">
        <v>24</v>
      </c>
      <c r="N164" t="n">
        <v>0</v>
      </c>
    </row>
    <row r="165" ht="15.75" customHeight="1" s="67">
      <c r="A165" t="inlineStr">
        <is>
          <t>MANDATORY_REENTRY_WT_FILTER_MIN_VELOCITY</t>
        </is>
      </c>
      <c r="B165" t="inlineStr">
        <is>
          <t>0.0_ALT</t>
        </is>
      </c>
      <c r="D165" t="inlineStr">
        <is>
          <t>GLOBAL_CHECK, STOCKS_EXIT</t>
        </is>
      </c>
      <c r="G165">
        <f>IFERROR(VLOOKUP($A181&amp;"_"&amp;$B181,Results_Deltas!$A$2:$P$15000,5,FALSE),"")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IFERROR(VLOOKUP($A159&amp;"_"&amp;$B159,Results_Deltas!$A$2:$P$15000,5,FALSE),"")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IFERROR(VLOOKUP($A208&amp;"_"&amp;$B208,Results_Deltas!$A$2:$P$15000,5,FALSE),"")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IFERROR(VLOOKUP($A160&amp;"_"&amp;$B160,Results_Deltas!$A$2:$P$15000,5,FALSE),"")</f>
        <v/>
      </c>
      <c r="H168" t="inlineStr">
        <is>
          <t>Blanket (page end)</t>
        </is>
      </c>
      <c r="L168" t="inlineStr">
        <is>
          <t>NO</t>
        </is>
      </c>
      <c r="M168" t="n">
        <v>24</v>
      </c>
      <c r="N168" t="n">
        <v>0</v>
      </c>
    </row>
    <row r="169" ht="15.75" customHeight="1" s="67">
      <c r="A169" t="inlineStr">
        <is>
          <t>MANDATORY_REENTRY_WT_FILTER_REQUIRE_FLIP</t>
        </is>
      </c>
      <c r="B169" t="inlineStr">
        <is>
          <t>False</t>
        </is>
      </c>
      <c r="D169" t="inlineStr">
        <is>
          <t>GLOBAL_CHECK, STOCKS_EXIT</t>
        </is>
      </c>
      <c r="G169">
        <f>IFERROR(VLOOKUP($A182&amp;"_"&amp;$B182,Results_Deltas!$A$2:$P$15000,5,FALSE),"")</f>
        <v/>
      </c>
      <c r="H169" t="inlineStr">
        <is>
          <t>Blanket (page end)</t>
        </is>
      </c>
      <c r="L169" t="inlineStr">
        <is>
          <t>YES</t>
        </is>
      </c>
      <c r="M169" t="n">
        <v>9</v>
      </c>
      <c r="N169" t="n">
        <v>0</v>
      </c>
    </row>
    <row r="170" ht="15.75" customHeight="1" s="67">
      <c r="A170" t="inlineStr">
        <is>
          <t>HTF_TREND_VETO_BYPASS_ENABLED</t>
        </is>
      </c>
      <c r="B170" t="inlineStr">
        <is>
          <t>False</t>
        </is>
      </c>
      <c r="D170" t="inlineStr">
        <is>
          <t>GLOBAL_CHECK, STOCKS_EXIT</t>
        </is>
      </c>
      <c r="G170">
        <f>IFERROR(VLOOKUP($A157&amp;"_"&amp;$B157,Results_Deltas!$A$2:$P$15000,5,FALSE),"")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IFERROR(VLOOKUP($A169&amp;"_"&amp;$B169,Results_Deltas!$A$2:$P$15000,5,FALSE),"")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IFERROR(VLOOKUP($A101&amp;"_"&amp;$B101,Results_Deltas!$A$2:$P$15000,5,FALSE),"")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IFERROR(VLOOKUP($A85&amp;"_"&amp;$B85,Results_Deltas!$A$2:$P$15000,5,FALSE),"")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IFERROR(VLOOKUP($A200&amp;"_"&amp;$B200,Results_Deltas!$A$2:$P$15000,5,FALSE),"")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IFERROR(VLOOKUP($A201&amp;"_"&amp;$B201,Results_Deltas!$A$2:$P$15000,5,FALSE),"")</f>
        <v/>
      </c>
      <c r="H6" t="inlineStr">
        <is>
          <t>Blanket (page end)</t>
        </is>
      </c>
      <c r="L6" t="inlineStr">
        <is>
          <t>YES</t>
        </is>
      </c>
      <c r="M6" t="n">
        <v>26</v>
      </c>
      <c r="N6" t="n">
        <v>0</v>
      </c>
    </row>
    <row r="7" ht="15.75" customHeight="1" s="67">
      <c r="A7" t="inlineStr">
        <is>
          <t>FUNDING_GATE_FILTER_TF</t>
        </is>
      </c>
      <c r="B7" t="inlineStr">
        <is>
          <t>4h</t>
        </is>
      </c>
      <c r="D7" t="inlineStr">
        <is>
          <t>GLOBAL_CHECK</t>
        </is>
      </c>
      <c r="G7">
        <f>IFERROR(VLOOKUP($A110&amp;"_"&amp;$B110,Results_Deltas!$A$2:$P$15000,5,FALSE),"")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IFERROR(VLOOKUP($A108&amp;"_"&amp;$B108,Results_Deltas!$A$2:$P$15000,5,FALSE),"")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IFERROR(VLOOKUP($A111&amp;"_"&amp;$B111,Results_Deltas!$A$2:$P$15000,5,FALSE),"")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IFERROR(VLOOKUP($A105&amp;"_"&amp;$B105,Results_Deltas!$A$2:$P$15000,5,FALSE),"")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IFERROR(VLOOKUP($A218&amp;"_"&amp;$B218,Results_Deltas!$A$2:$P$15000,5,FALSE),"")</f>
        <v/>
      </c>
      <c r="H11" t="inlineStr">
        <is>
          <t>Blanket (page end)</t>
        </is>
      </c>
      <c r="L11" t="inlineStr">
        <is>
          <t>YES</t>
        </is>
      </c>
      <c r="M11" t="n">
        <v>22</v>
      </c>
      <c r="N11" t="n">
        <v>0</v>
      </c>
    </row>
    <row r="12" ht="10.5" customHeight="1" s="67">
      <c r="A12" t="inlineStr">
        <is>
          <t>COOLDOWN_LOCKS_FILTER_TF</t>
        </is>
      </c>
      <c r="B12" t="inlineStr">
        <is>
          <t>D</t>
        </is>
      </c>
      <c r="D12" t="inlineStr">
        <is>
          <t>GLOBAL_CHECK</t>
        </is>
      </c>
      <c r="G12">
        <f>IFERROR(VLOOKUP($A67&amp;"_"&amp;$B67,Results_Deltas!$A$2:$P$15000,5,FALSE),"")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IFERROR(VLOOKUP($A106&amp;"_"&amp;$B106,Results_Deltas!$A$2:$P$15000,5,FALSE),"")</f>
        <v/>
      </c>
      <c r="H13" t="inlineStr">
        <is>
          <t>Blanket (page end)</t>
        </is>
      </c>
      <c r="L13" t="inlineStr">
        <is>
          <t>YES</t>
        </is>
      </c>
      <c r="M13" t="n">
        <v>27</v>
      </c>
      <c r="N13" t="n">
        <v>0</v>
      </c>
    </row>
    <row r="14" ht="10.5" customHeight="1" s="67">
      <c r="A14" t="inlineStr">
        <is>
          <t>COOLDOWN_LOCKS_FILTER_TF</t>
        </is>
      </c>
      <c r="B14" t="inlineStr">
        <is>
          <t>4h</t>
        </is>
      </c>
      <c r="D14" t="inlineStr">
        <is>
          <t>GLOBAL_CHECK</t>
        </is>
      </c>
      <c r="G14">
        <f>IFERROR(VLOOKUP($A68&amp;"_"&amp;$B68,Results_Deltas!$A$2:$P$15000,5,FALSE),"")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IFERROR(VLOOKUP($A104&amp;"_"&amp;$B104,Results_Deltas!$A$2:$P$15000,5,FALSE),"")</f>
        <v/>
      </c>
      <c r="H15" t="inlineStr">
        <is>
          <t>Blanket (page end)</t>
        </is>
      </c>
      <c r="L15" t="inlineStr">
        <is>
          <t>NO</t>
        </is>
      </c>
      <c r="M15" t="n">
        <v>25</v>
      </c>
      <c r="N15" t="n">
        <v>0</v>
      </c>
    </row>
    <row r="16" ht="15.75" customHeight="1" s="67">
      <c r="A16" t="inlineStr">
        <is>
          <t>FUNDING_GATE_FILTER_TF</t>
        </is>
      </c>
      <c r="B16" t="inlineStr">
        <is>
          <t>D</t>
        </is>
      </c>
      <c r="D16" t="inlineStr">
        <is>
          <t>GLOBAL_CHECK</t>
        </is>
      </c>
      <c r="G16">
        <f>IFERROR(VLOOKUP($A109&amp;"_"&amp;$B109,Results_Deltas!$A$2:$P$15000,5,FALSE),"")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IFERROR(VLOOKUP($A66&amp;"_"&amp;$B66,Results_Deltas!$A$2:$P$15000,5,FALSE),"")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IFERROR(VLOOKUP($A102&amp;"_"&amp;$B102,Results_Deltas!$A$2:$P$15000,5,FALSE),"")</f>
        <v/>
      </c>
      <c r="H18" t="inlineStr">
        <is>
          <t>Blanket (page end)</t>
        </is>
      </c>
      <c r="L18" t="inlineStr">
        <is>
          <t>YES</t>
        </is>
      </c>
      <c r="M18" t="n">
        <v>27</v>
      </c>
      <c r="N18" t="n">
        <v>0</v>
      </c>
    </row>
    <row r="19" ht="10.5" customHeight="1" s="67">
      <c r="A19" t="inlineStr">
        <is>
          <t>DC_MOMENT_STRONG_THRESHOLD</t>
        </is>
      </c>
      <c r="B19" t="inlineStr">
        <is>
          <t>50</t>
        </is>
      </c>
      <c r="D19" t="inlineStr">
        <is>
          <t>ENTRY, GLOBAL_CHECK, STOCKS_EXIT</t>
        </is>
      </c>
      <c r="G19">
        <f>IFERROR(VLOOKUP($A76&amp;"_"&amp;$B76,Results_Deltas!$A$2:$P$15000,5,FALSE),"")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IFERROR(VLOOKUP($A223&amp;"_"&amp;$B223,Results_Deltas!$A$2:$P$15000,5,FALSE),"")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IFERROR(VLOOKUP($A83&amp;"_"&amp;$B83,Results_Deltas!$A$2:$P$15000,5,FALSE),"")</f>
        <v/>
      </c>
      <c r="H21" t="inlineStr">
        <is>
          <t>Blanket (page end)</t>
        </is>
      </c>
      <c r="L21" t="inlineStr">
        <is>
          <t>YES</t>
        </is>
      </c>
      <c r="M21" t="n">
        <v>3</v>
      </c>
      <c r="N21" t="n">
        <v>0</v>
      </c>
    </row>
    <row r="22" ht="15.75" customHeight="1" s="67">
      <c r="A22" t="inlineStr">
        <is>
          <t>HLR_TOP_MIN_TFS</t>
        </is>
      </c>
      <c r="B22" t="inlineStr">
        <is>
          <t>2</t>
        </is>
      </c>
      <c r="D22" t="inlineStr">
        <is>
          <t>GLOBAL_CHECK, REENTRY, STOCKS_EXIT</t>
        </is>
      </c>
      <c r="G22">
        <f>IFERROR(VLOOKUP($A142&amp;"_"&amp;$B142,Results_Deltas!$A$2:$P$15000,5,FALSE),"")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IFERROR(VLOOKUP($A86&amp;"_"&amp;$B86,Results_Deltas!$A$2:$P$15000,5,FALSE),"")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IFERROR(VLOOKUP($A216&amp;"_"&amp;$B216,Results_Deltas!$A$2:$P$15000,5,FALSE),"")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IFERROR(VLOOKUP($A224&amp;"_"&amp;$B224,Results_Deltas!$A$2:$P$15000,5,FALSE),"")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IFERROR(VLOOKUP($A139&amp;"_"&amp;$B139,Results_Deltas!$A$2:$P$15000,5,FALSE),"")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IFERROR(VLOOKUP($A63&amp;"_"&amp;$B63,Results_Deltas!$A$2:$P$15000,5,FALSE),"")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IFERROR(VLOOKUP($A69&amp;"_"&amp;$B69,Results_Deltas!$A$2:$P$15000,5,FALSE),"")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IFERROR(VLOOKUP($A196&amp;"_"&amp;$B196,Results_Deltas!$A$2:$P$15000,5,FALSE),"")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IFERROR(VLOOKUP($A195&amp;"_"&amp;$B195,Results_Deltas!$A$2:$P$15000,5,FALSE),"")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IFERROR(VLOOKUP($A133&amp;"_"&amp;$B133,Results_Deltas!$A$2:$P$15000,5,FALSE),"")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IFERROR(VLOOKUP($A77&amp;"_"&amp;$B77,Results_Deltas!$A$2:$P$15000,5,FALSE),"")</f>
        <v/>
      </c>
      <c r="H32" t="inlineStr">
        <is>
          <t>Blanket (page end)</t>
        </is>
      </c>
      <c r="L32" t="inlineStr">
        <is>
          <t>YES</t>
        </is>
      </c>
      <c r="M32" t="n">
        <v>23</v>
      </c>
      <c r="N32" t="n">
        <v>0</v>
      </c>
    </row>
    <row r="33" ht="10.5" customHeight="1" s="67">
      <c r="A33" t="inlineStr">
        <is>
          <t>ADX_RANGING_THRESHOLD</t>
        </is>
      </c>
      <c r="B33" t="inlineStr">
        <is>
          <t>25</t>
        </is>
      </c>
      <c r="D33" t="inlineStr">
        <is>
          <t>ENTRY, GLOBAL_CHECK, STOCKS_EXIT</t>
        </is>
      </c>
      <c r="G33">
        <f>IFERROR(VLOOKUP($A57&amp;"_"&amp;$B57,Results_Deltas!$A$2:$P$15000,5,FALSE),"")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IFERROR(VLOOKUP($A59&amp;"_"&amp;$B59,Results_Deltas!$A$2:$P$15000,5,FALSE),"")</f>
        <v/>
      </c>
      <c r="H34" t="inlineStr">
        <is>
          <t>Blanket (page end)</t>
        </is>
      </c>
      <c r="L34" t="inlineStr">
        <is>
          <t>NO</t>
        </is>
      </c>
      <c r="M34" t="n">
        <v>27</v>
      </c>
      <c r="N34" t="n">
        <v>0</v>
      </c>
    </row>
    <row r="35" ht="15.75" customHeight="1" s="67">
      <c r="A35" t="inlineStr">
        <is>
          <t>MTS_BOTTOM_BONUS_THRESHOLD</t>
        </is>
      </c>
      <c r="B35" t="inlineStr">
        <is>
          <t>18.75</t>
        </is>
      </c>
      <c r="D35" t="inlineStr">
        <is>
          <t>ENTRY, GLOBAL_CHECK, STOCKS_EXIT</t>
        </is>
      </c>
      <c r="G35">
        <f>IFERROR(VLOOKUP($A197&amp;"_"&amp;$B197,Results_Deltas!$A$2:$P$15000,5,FALSE),"")</f>
        <v/>
      </c>
      <c r="H35" t="inlineStr">
        <is>
          <t>Blanket (page end)</t>
        </is>
      </c>
      <c r="L35" t="inlineStr">
        <is>
          <t>YES</t>
        </is>
      </c>
      <c r="M35" t="n">
        <v>26</v>
      </c>
      <c r="N35" t="n">
        <v>0</v>
      </c>
    </row>
    <row r="36" ht="10.5" customHeight="1" s="67">
      <c r="A36" t="inlineStr">
        <is>
          <t>FG_FEAR_THRESHOLD</t>
        </is>
      </c>
      <c r="B36" t="inlineStr">
        <is>
          <t>25</t>
        </is>
      </c>
      <c r="D36" t="inlineStr">
        <is>
          <t>GLOBAL_CHECK, STOCKS_EXIT</t>
        </is>
      </c>
      <c r="G36">
        <f>IFERROR(VLOOKUP($A100&amp;"_"&amp;$B100,Results_Deltas!$A$2:$P$15000,5,FALSE),"")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IFERROR(VLOOKUP($A65&amp;"_"&amp;$B65,Results_Deltas!$A$2:$P$15000,5,FALSE),"")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IFERROR(VLOOKUP($A84&amp;"_"&amp;$B84,Results_Deltas!$A$2:$P$15000,5,FALSE),"")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IFERROR(VLOOKUP($A134&amp;"_"&amp;$B134,Results_Deltas!$A$2:$P$15000,5,FALSE),"")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IFERROR(VLOOKUP($A140&amp;"_"&amp;$B140,Results_Deltas!$A$2:$P$15000,5,FALSE),"")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IFERROR(VLOOKUP($A193&amp;"_"&amp;$B193,Results_Deltas!$A$2:$P$15000,5,FALSE),"")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IFERROR(VLOOKUP($A194&amp;"_"&amp;$B194,Results_Deltas!$A$2:$P$15000,5,FALSE),"")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IFERROR(VLOOKUP($A62&amp;"_"&amp;$B62,Results_Deltas!$A$2:$P$15000,5,FALSE),"")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IFERROR(VLOOKUP($A163&amp;"_"&amp;$B163,Results_Deltas!$A$2:$P$15000,5,FALSE),"")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IFERROR(VLOOKUP($A162&amp;"_"&amp;$B162,Results_Deltas!$A$2:$P$15000,5,FALSE),"")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IFERROR(VLOOKUP($A131&amp;"_"&amp;$B131,Results_Deltas!$A$2:$P$15000,5,FALSE),"")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IFERROR(VLOOKUP($A184&amp;"_"&amp;$B184,Results_Deltas!$A$2:$P$15000,5,FALSE),"")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IFERROR(VLOOKUP($A130&amp;"_"&amp;$B130,Results_Deltas!$A$2:$P$15000,5,FALSE),"")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IFERROR(VLOOKUP($A217&amp;"_"&amp;$B217,Results_Deltas!$A$2:$P$15000,5,FALSE),"")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IFERROR(VLOOKUP($A94&amp;"_"&amp;$B94,Results_Deltas!$A$2:$P$15000,5,FALSE),"")</f>
        <v/>
      </c>
      <c r="H50" t="inlineStr">
        <is>
          <t>Blanket (page end)</t>
        </is>
      </c>
      <c r="L50" t="inlineStr">
        <is>
          <t>YES</t>
        </is>
      </c>
      <c r="M50" t="n">
        <v>3</v>
      </c>
      <c r="N50" t="n">
        <v>0</v>
      </c>
    </row>
    <row r="51" ht="15.75" customHeight="1" s="67">
      <c r="A51" t="inlineStr">
        <is>
          <t>MTS_BOTTOM_BONUS_THRESHOLD</t>
        </is>
      </c>
      <c r="B51" t="inlineStr">
        <is>
          <t>12.5</t>
        </is>
      </c>
      <c r="D51" t="inlineStr">
        <is>
          <t>ENTRY, GLOBAL_CHECK, STOCKS_EXIT</t>
        </is>
      </c>
      <c r="G51">
        <f>IFERROR(VLOOKUP($A198&amp;"_"&amp;$B198,Results_Deltas!$A$2:$P$15000,5,FALSE),"")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IFERROR(VLOOKUP($A199&amp;"_"&amp;$B199,Results_Deltas!$A$2:$P$15000,5,FALSE),"")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IFERROR(VLOOKUP($A72&amp;"_"&amp;$B72,Results_Deltas!$A$2:$P$15000,5,FALSE),"")</f>
        <v/>
      </c>
      <c r="H53" t="inlineStr">
        <is>
          <t>Blanket (page end)</t>
        </is>
      </c>
      <c r="L53" t="inlineStr">
        <is>
          <t>YES</t>
        </is>
      </c>
      <c r="M53" t="n">
        <v>27</v>
      </c>
      <c r="N53" t="n">
        <v>0</v>
      </c>
    </row>
    <row r="54" ht="10.5" customHeight="1" s="67">
      <c r="A54" t="inlineStr">
        <is>
          <t>CRYPTO_SPIKE_FADE_THRESHOLD_PCT</t>
        </is>
      </c>
      <c r="B54" t="inlineStr">
        <is>
          <t>7.5</t>
        </is>
      </c>
      <c r="D54" t="inlineStr">
        <is>
          <t>GLOBAL_CHECK, STOCKS_EXIT</t>
        </is>
      </c>
      <c r="G54">
        <f>IFERROR(VLOOKUP($A73&amp;"_"&amp;$B73,Results_Deltas!$A$2:$P$15000,5,FALSE),"")</f>
        <v/>
      </c>
      <c r="H54" t="inlineStr">
        <is>
          <t>Blanket (page end)</t>
        </is>
      </c>
      <c r="L54" t="inlineStr">
        <is>
          <t>YES</t>
        </is>
      </c>
      <c r="M54" t="n">
        <v>27</v>
      </c>
      <c r="N54" t="n">
        <v>0</v>
      </c>
    </row>
    <row r="55" ht="15.75" customHeight="1" s="67">
      <c r="A55" t="inlineStr">
        <is>
          <t>MANDATORY_REENTRY_WT_FILTER_VELOCITY_RATIO</t>
        </is>
      </c>
      <c r="B55" t="inlineStr">
        <is>
          <t>0.90</t>
        </is>
      </c>
      <c r="D55" t="inlineStr">
        <is>
          <t>GLOBAL_CHECK, STOCKS_EXIT</t>
        </is>
      </c>
      <c r="G55">
        <f>IFERROR(VLOOKUP($A181&amp;"_"&amp;$B181,Results_Deltas!$A$2:$P$15000,5,FALSE),"")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IFERROR(VLOOKUP($A182&amp;"_"&amp;$B182,Results_Deltas!$A$2:$P$15000,5,FALSE),"")</f>
        <v/>
      </c>
      <c r="H56" t="inlineStr">
        <is>
          <t>Blanket (page end)</t>
        </is>
      </c>
      <c r="L56" t="inlineStr">
        <is>
          <t>NO</t>
        </is>
      </c>
      <c r="M56" t="n">
        <v>26</v>
      </c>
      <c r="N56" t="n">
        <v>0</v>
      </c>
    </row>
    <row r="57" ht="10.5" customHeight="1" s="67">
      <c r="A57" t="inlineStr">
        <is>
          <t>EMA_9_21_FILTER_MIN_TFS</t>
        </is>
      </c>
      <c r="B57" t="inlineStr">
        <is>
          <t>0</t>
        </is>
      </c>
      <c r="D57" t="inlineStr">
        <is>
          <t>GLOBAL_CHECK</t>
        </is>
      </c>
      <c r="G57">
        <f>IFERROR(VLOOKUP($A88&amp;"_"&amp;$B88,Results_Deltas!$A$2:$P$15000,5,FALSE),"")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IFERROR(VLOOKUP($A124&amp;"_"&amp;$B124,Results_Deltas!$A$2:$P$15000,5,FALSE),"")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IFERROR(VLOOKUP($A93&amp;"_"&amp;$B93,Results_Deltas!$A$2:$P$15000,5,FALSE),"")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IFERROR(VLOOKUP($A89&amp;"_"&amp;$B89,Results_Deltas!$A$2:$P$15000,5,FALSE),"")</f>
        <v/>
      </c>
      <c r="H60" t="inlineStr">
        <is>
          <t>Blanket (page end)</t>
        </is>
      </c>
      <c r="L60" t="inlineStr">
        <is>
          <t>YES</t>
        </is>
      </c>
      <c r="M60" t="n">
        <v>3</v>
      </c>
      <c r="N60" t="n">
        <v>0</v>
      </c>
    </row>
    <row r="61" ht="15.75" customHeight="1" s="67">
      <c r="A61" t="inlineStr">
        <is>
          <t>OI_CONFIRM_MIN_CHANGE_PCT</t>
        </is>
      </c>
      <c r="B61" t="inlineStr">
        <is>
          <t>1.0</t>
        </is>
      </c>
      <c r="D61" t="inlineStr">
        <is>
          <t>ENTRY, GLOBAL_CHECK, STOCKS_EXIT</t>
        </is>
      </c>
      <c r="G61">
        <f>IFERROR(VLOOKUP($A219&amp;"_"&amp;$B219,Results_Deltas!$A$2:$P$15000,5,FALSE),"")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IFERROR(VLOOKUP($A202&amp;"_"&amp;$B202,Results_Deltas!$A$2:$P$15000,5,FALSE),"")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IFERROR(VLOOKUP($A91&amp;"_"&amp;$B91,Results_Deltas!$A$2:$P$15000,5,FALSE),"")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IFERROR(VLOOKUP($A127&amp;"_"&amp;$B127,Results_Deltas!$A$2:$P$15000,5,FALSE),"")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IFERROR(VLOOKUP($A189&amp;"_"&amp;$B189,Results_Deltas!$A$2:$P$15000,5,FALSE),"")</f>
        <v/>
      </c>
      <c r="H65" t="inlineStr">
        <is>
          <t>Blanket (page end)</t>
        </is>
      </c>
      <c r="L65" t="inlineStr">
        <is>
          <t>YES</t>
        </is>
      </c>
      <c r="M65" t="n">
        <v>26</v>
      </c>
      <c r="N65" t="n">
        <v>0</v>
      </c>
    </row>
    <row r="66" ht="15.75" customHeight="1" s="67">
      <c r="A66" t="inlineStr">
        <is>
          <t>HTF_DIRECTION_GATE_ENABLED</t>
        </is>
      </c>
      <c r="B66" t="inlineStr">
        <is>
          <t>True</t>
        </is>
      </c>
      <c r="D66" t="inlineStr">
        <is>
          <t>ENTRY, GLOBAL_CHECK, STOCKS_EXIT</t>
        </is>
      </c>
      <c r="G66">
        <f>IFERROR(VLOOKUP($A147&amp;"_"&amp;$B147,Results_Deltas!$A$2:$P$15000,5,FALSE),"")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IFERROR(VLOOKUP($A204&amp;"_"&amp;$B204,Results_Deltas!$A$2:$P$15000,5,FALSE),"")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IFERROR(VLOOKUP($A176&amp;"_"&amp;$B176,Results_Deltas!$A$2:$P$15000,5,FALSE),"")</f>
        <v/>
      </c>
      <c r="H68" t="inlineStr">
        <is>
          <t>Blanket (page end)</t>
        </is>
      </c>
      <c r="L68" t="inlineStr">
        <is>
          <t>YES</t>
        </is>
      </c>
      <c r="M68" t="n">
        <v>26</v>
      </c>
      <c r="N68" t="n">
        <v>0</v>
      </c>
    </row>
    <row r="69" ht="15.75" customHeight="1" s="67">
      <c r="A69" t="inlineStr">
        <is>
          <t>HA_WICK_QUALITY_ENABLED</t>
        </is>
      </c>
      <c r="B69" t="inlineStr">
        <is>
          <t>True</t>
        </is>
      </c>
      <c r="D69" t="inlineStr">
        <is>
          <t>ENTRY, GLOBAL_CHECK, STOCKS_EXIT</t>
        </is>
      </c>
      <c r="G69">
        <f>IFERROR(VLOOKUP($A129&amp;"_"&amp;$B129,Results_Deltas!$A$2:$P$15000,5,FALSE),"")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IFERROR(VLOOKUP($A212&amp;"_"&amp;$B212,Results_Deltas!$A$2:$P$15000,5,FALSE),"")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IFERROR(VLOOKUP($A161&amp;"_"&amp;$B161,Results_Deltas!$A$2:$P$15000,5,FALSE),"")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IFERROR(VLOOKUP($A61&amp;"_"&amp;$B61,Results_Deltas!$A$2:$P$15000,5,FALSE),"")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IFERROR(VLOOKUP($A143&amp;"_"&amp;$B143,Results_Deltas!$A$2:$P$15000,5,FALSE),"")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IFERROR(VLOOKUP($A107&amp;"_"&amp;$B107,Results_Deltas!$A$2:$P$15000,5,FALSE),"")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IFERROR(VLOOKUP($A222&amp;"_"&amp;$B222,Results_Deltas!$A$2:$P$15000,5,FALSE),"")</f>
        <v/>
      </c>
      <c r="H75" t="inlineStr">
        <is>
          <t>Blanket (page end)</t>
        </is>
      </c>
      <c r="L75" t="inlineStr">
        <is>
          <t>YES</t>
        </is>
      </c>
      <c r="M75" t="n">
        <v>26</v>
      </c>
      <c r="N75" t="n">
        <v>0</v>
      </c>
    </row>
    <row r="76" ht="15.75" customHeight="1" s="67">
      <c r="A76" t="inlineStr">
        <is>
          <t>MOVER_THRESHOLD</t>
        </is>
      </c>
      <c r="B76" t="inlineStr">
        <is>
          <t>2.5</t>
        </is>
      </c>
      <c r="D76" t="inlineStr">
        <is>
          <t>ENTRY, GLOBAL_CHECK, STOCKS_EXIT</t>
        </is>
      </c>
      <c r="G76">
        <f>IFERROR(VLOOKUP($A190&amp;"_"&amp;$B190,Results_Deltas!$A$2:$P$15000,5,FALSE),"")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IFERROR(VLOOKUP($A58&amp;"_"&amp;$B58,Results_Deltas!$A$2:$P$15000,5,FALSE),"")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IFERROR(VLOOKUP($A135&amp;"_"&amp;$B135,Results_Deltas!$A$2:$P$15000,5,FALSE),"")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IFERROR(VLOOKUP($A173&amp;"_"&amp;$B173,Results_Deltas!$A$2:$P$15000,5,FALSE),"")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IFERROR(VLOOKUP($A80&amp;"_"&amp;$B80,Results_Deltas!$A$2:$P$15000,5,FALSE),"")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IFERROR(VLOOKUP($A132&amp;"_"&amp;$B132,Results_Deltas!$A$2:$P$15000,5,FALSE),"")</f>
        <v/>
      </c>
      <c r="H81" t="inlineStr">
        <is>
          <t>Blanket (page end)</t>
        </is>
      </c>
      <c r="L81" t="inlineStr">
        <is>
          <t>YES</t>
        </is>
      </c>
      <c r="M81" t="n">
        <v>27</v>
      </c>
      <c r="N81" t="n">
        <v>0</v>
      </c>
    </row>
    <row r="82" ht="10.5" customHeight="1" s="67">
      <c r="A82" t="inlineStr">
        <is>
          <t>DELTA_HTF_GATE</t>
        </is>
      </c>
      <c r="B82" t="inlineStr">
        <is>
          <t>4h</t>
        </is>
      </c>
      <c r="D82" t="inlineStr">
        <is>
          <t>ENTRY, GLOBAL_CHECK, STOCKS_EXIT</t>
        </is>
      </c>
      <c r="G82">
        <f>IFERROR(VLOOKUP($A79&amp;"_"&amp;$B79,Results_Deltas!$A$2:$P$15000,5,FALSE),"")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IFERROR(VLOOKUP($A171&amp;"_"&amp;$B171,Results_Deltas!$A$2:$P$15000,5,FALSE),"")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IFERROR(VLOOKUP($A187&amp;"_"&amp;$B187,Results_Deltas!$A$2:$P$15000,5,FALSE),"")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IFERROR(VLOOKUP($A75&amp;"_"&amp;$B75,Results_Deltas!$A$2:$P$15000,5,FALSE),"")</f>
        <v/>
      </c>
      <c r="H85" t="inlineStr">
        <is>
          <t>Blanket (page end)</t>
        </is>
      </c>
      <c r="L85" t="inlineStr">
        <is>
          <t>NO</t>
        </is>
      </c>
      <c r="M85" t="n">
        <v>27</v>
      </c>
      <c r="N85" t="n">
        <v>0</v>
      </c>
    </row>
    <row r="86" ht="10.5" customHeight="1" s="67">
      <c r="A86" t="inlineStr">
        <is>
          <t>DELTA_REENTRY_FILTER_ENABLED</t>
        </is>
      </c>
      <c r="B86" t="inlineStr">
        <is>
          <t>True</t>
        </is>
      </c>
      <c r="D86" t="inlineStr">
        <is>
          <t>ENTRY, GLOBAL_CHECK, STOCKS_EXIT</t>
        </is>
      </c>
      <c r="G86">
        <f>IFERROR(VLOOKUP($A82&amp;"_"&amp;$B82,Results_Deltas!$A$2:$P$15000,5,FALSE),"")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IFERROR(VLOOKUP($A138&amp;"_"&amp;$B138,Results_Deltas!$A$2:$P$15000,5,FALSE),"")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IFERROR(VLOOKUP($A174&amp;"_"&amp;$B174,Results_Deltas!$A$2:$P$15000,5,FALSE),"")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IFERROR(VLOOKUP($A169&amp;"_"&amp;$B169,Results_Deltas!$A$2:$P$15000,5,FALSE),"")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IFERROR(VLOOKUP($A168&amp;"_"&amp;$B168,Results_Deltas!$A$2:$P$15000,5,FALSE),"")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IFERROR(VLOOKUP($A188&amp;"_"&amp;$B188,Results_Deltas!$A$2:$P$15000,5,FALSE),"")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IFERROR(VLOOKUP($A207&amp;"_"&amp;$B207,Results_Deltas!$A$2:$P$15000,5,FALSE),"")</f>
        <v/>
      </c>
      <c r="H92" t="inlineStr">
        <is>
          <t>Blanket (page end)</t>
        </is>
      </c>
      <c r="L92" t="inlineStr">
        <is>
          <t>YES</t>
        </is>
      </c>
      <c r="M92" t="n">
        <v>22</v>
      </c>
      <c r="N92" t="n">
        <v>0</v>
      </c>
    </row>
    <row r="93" ht="10.5" customHeight="1" s="67">
      <c r="A93" t="inlineStr">
        <is>
          <t>FG_FEAR_THRESHOLD</t>
        </is>
      </c>
      <c r="B93" t="inlineStr">
        <is>
          <t>12.5</t>
        </is>
      </c>
      <c r="D93" t="inlineStr">
        <is>
          <t>GLOBAL_CHECK, STOCKS_EXIT</t>
        </is>
      </c>
      <c r="G93">
        <f>IFERROR(VLOOKUP($A103&amp;"_"&amp;$B103,Results_Deltas!$A$2:$P$15000,5,FALSE),"")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IFERROR(VLOOKUP($A208&amp;"_"&amp;$B208,Results_Deltas!$A$2:$P$15000,5,FALSE),"")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IFERROR(VLOOKUP($A167&amp;"_"&amp;$B167,Results_Deltas!$A$2:$P$15000,5,FALSE),"")</f>
        <v/>
      </c>
      <c r="H95" t="inlineStr">
        <is>
          <t>Blanket (page end)</t>
        </is>
      </c>
      <c r="L95" t="inlineStr">
        <is>
          <t>NO</t>
        </is>
      </c>
      <c r="M95" t="n">
        <v>23</v>
      </c>
      <c r="N95" t="n">
        <v>0</v>
      </c>
    </row>
    <row r="96" ht="10.5" customHeight="1" s="67">
      <c r="A96" t="inlineStr">
        <is>
          <t>DC_MOMENT_STRONG_THRESHOLD</t>
        </is>
      </c>
      <c r="B96" t="inlineStr">
        <is>
          <t>20</t>
        </is>
      </c>
      <c r="D96" t="inlineStr">
        <is>
          <t>ENTRY, GLOBAL_CHECK, STOCKS_EXIT</t>
        </is>
      </c>
      <c r="G96">
        <f>IFERROR(VLOOKUP($A78&amp;"_"&amp;$B78,Results_Deltas!$A$2:$P$15000,5,FALSE),"")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IFERROR(VLOOKUP($A175&amp;"_"&amp;$B175,Results_Deltas!$A$2:$P$15000,5,FALSE),"")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IFERROR(VLOOKUP($A126&amp;"_"&amp;$B126,Results_Deltas!$A$2:$P$15000,5,FALSE),"")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IFERROR(VLOOKUP($A213&amp;"_"&amp;$B213,Results_Deltas!$A$2:$P$15000,5,FALSE),"")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IFERROR(VLOOKUP($A90&amp;"_"&amp;$B90,Results_Deltas!$A$2:$P$15000,5,FALSE),"")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IFERROR(VLOOKUP($A221&amp;"_"&amp;$B221,Results_Deltas!$A$2:$P$15000,5,FALSE),"")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IFERROR(VLOOKUP($A71&amp;"_"&amp;$B71,Results_Deltas!$A$2:$P$15000,5,FALSE),"")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IFERROR(VLOOKUP($A220&amp;"_"&amp;$B220,Results_Deltas!$A$2:$P$15000,5,FALSE),"")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IFERROR(VLOOKUP($A74&amp;"_"&amp;$B74,Results_Deltas!$A$2:$P$15000,5,FALSE),"")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IFERROR(VLOOKUP($A95&amp;"_"&amp;$B95,Results_Deltas!$A$2:$P$15000,5,FALSE),"")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IFERROR(VLOOKUP($A214&amp;"_"&amp;$B214,Results_Deltas!$A$2:$P$15000,5,FALSE),"")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IFERROR(VLOOKUP($A172&amp;"_"&amp;$B172,Results_Deltas!$A$2:$P$15000,5,FALSE),"")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IFERROR(VLOOKUP($A206&amp;"_"&amp;$B206,Results_Deltas!$A$2:$P$15000,5,FALSE),"")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IFERROR(VLOOKUP($A155&amp;"_"&amp;$B155,Results_Deltas!$A$2:$P$15000,5,FALSE),"")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IFERROR(VLOOKUP($A170&amp;"_"&amp;$B170,Results_Deltas!$A$2:$P$15000,5,FALSE),"")</f>
        <v/>
      </c>
      <c r="H110" t="inlineStr">
        <is>
          <t>Blanket (page end)</t>
        </is>
      </c>
      <c r="L110" t="inlineStr">
        <is>
          <t>YES</t>
        </is>
      </c>
      <c r="M110" t="n">
        <v>26</v>
      </c>
      <c r="N110" t="n">
        <v>0</v>
      </c>
    </row>
    <row r="111" ht="15.75" customHeight="1" s="67">
      <c r="A111" t="inlineStr">
        <is>
          <t>HTF4_CONF</t>
        </is>
      </c>
      <c r="B111" t="inlineStr">
        <is>
          <t>False_ALT</t>
        </is>
      </c>
      <c r="D111" t="inlineStr">
        <is>
          <t>GLOBAL_CHECK, STOCKS_EXIT</t>
        </is>
      </c>
      <c r="G111">
        <f>IFERROR(VLOOKUP($A145&amp;"_"&amp;$B145,Results_Deltas!$A$2:$P$15000,5,FALSE),"")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IFERROR(VLOOKUP($A165&amp;"_"&amp;$B165,Results_Deltas!$A$2:$P$15000,5,FALSE),"")</f>
        <v/>
      </c>
      <c r="H112" t="inlineStr">
        <is>
          <t>Blanket (page end)</t>
        </is>
      </c>
      <c r="L112" t="inlineStr">
        <is>
          <t>NO</t>
        </is>
      </c>
      <c r="M112" t="n">
        <v>24</v>
      </c>
      <c r="N112" t="n">
        <v>0</v>
      </c>
    </row>
    <row r="113" ht="15.75" customHeight="1" s="67">
      <c r="A113" t="inlineStr">
        <is>
          <t>GR_FILTER_VEC_MIN_TFS</t>
        </is>
      </c>
      <c r="B113" t="inlineStr">
        <is>
          <t>0</t>
        </is>
      </c>
      <c r="D113" t="inlineStr">
        <is>
          <t>GLOBAL_CHECK</t>
        </is>
      </c>
      <c r="G113">
        <f>IFERROR(VLOOKUP($A125&amp;"_"&amp;$B125,Results_Deltas!$A$2:$P$15000,5,FALSE),"")</f>
        <v/>
      </c>
      <c r="H113" t="inlineStr">
        <is>
          <t>Blanket (page end)</t>
        </is>
      </c>
      <c r="L113" t="inlineStr">
        <is>
          <t>YES</t>
        </is>
      </c>
      <c r="M113" t="n">
        <v>3</v>
      </c>
      <c r="N113" t="n">
        <v>0</v>
      </c>
    </row>
    <row r="114" ht="10.5" customHeight="1" s="67">
      <c r="A114" t="inlineStr">
        <is>
          <t>BANDAID_OFF_LOSER_RECOVER_PCT</t>
        </is>
      </c>
      <c r="B114" t="inlineStr">
        <is>
          <t>0</t>
        </is>
      </c>
      <c r="D114" t="inlineStr">
        <is>
          <t>AUGMENT, ENTRY, EXIT, GLOBAL_CHECK, REDUCE, STOCKS_EXIT</t>
        </is>
      </c>
      <c r="G114">
        <f>IFERROR(VLOOKUP($A60&amp;"_"&amp;$B60,Results_Deltas!$A$2:$P$15000,5,FALSE),"")</f>
        <v/>
      </c>
      <c r="H114" t="inlineStr">
        <is>
          <t>Blanket (page end)</t>
        </is>
      </c>
      <c r="L114" t="inlineStr">
        <is>
          <t>YES</t>
        </is>
      </c>
      <c r="M114" t="n">
        <v>24</v>
      </c>
      <c r="N114" t="n">
        <v>0</v>
      </c>
    </row>
    <row r="115" ht="15.75" customHeight="1" s="67">
      <c r="A115" t="inlineStr">
        <is>
          <t>LEADERBOARD_FILTER</t>
        </is>
      </c>
      <c r="B115" t="inlineStr">
        <is>
          <t>False_ALT</t>
        </is>
      </c>
      <c r="D115" t="inlineStr">
        <is>
          <t>AUGMENT, ENTRY, EXIT, GLOBAL_CHECK, REDUCE, STOCKS_EXIT</t>
        </is>
      </c>
      <c r="G115">
        <f>IFERROR(VLOOKUP($A159&amp;"_"&amp;$B159,Results_Deltas!$A$2:$P$15000,5,FALSE),"")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IFERROR(VLOOKUP($A113&amp;"_"&amp;$B113,Results_Deltas!$A$2:$P$15000,5,FALSE),"")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IFERROR(VLOOKUP($A114&amp;"_"&amp;$B114,Results_Deltas!$A$2:$P$15000,5,FALSE),"")</f>
        <v/>
      </c>
      <c r="H117" t="inlineStr">
        <is>
          <t>Blanket (page end)</t>
        </is>
      </c>
      <c r="L117" t="inlineStr">
        <is>
          <t>YES</t>
        </is>
      </c>
      <c r="M117" t="n">
        <v>24</v>
      </c>
      <c r="N117" t="n">
        <v>0</v>
      </c>
    </row>
    <row r="118" ht="15.75" customHeight="1" s="67">
      <c r="A118" t="inlineStr">
        <is>
          <t>FUNDING_GATE_MTF_REQUIRED</t>
        </is>
      </c>
      <c r="B118" t="inlineStr">
        <is>
          <t>0.0</t>
        </is>
      </c>
      <c r="D118" t="inlineStr">
        <is>
          <t>ENTRY, GLOBAL_CHECK, STOCKS_EXIT</t>
        </is>
      </c>
      <c r="G118">
        <f>IFERROR(VLOOKUP($A115&amp;"_"&amp;$B115,Results_Deltas!$A$2:$P$15000,5,FALSE),"")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IFERROR(VLOOKUP($A116&amp;"_"&amp;$B116,Results_Deltas!$A$2:$P$15000,5,FALSE),"")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IFERROR(VLOOKUP($A117&amp;"_"&amp;$B117,Results_Deltas!$A$2:$P$15000,5,FALSE),"")</f>
        <v/>
      </c>
      <c r="H120" t="inlineStr">
        <is>
          <t>Blanket (page end)</t>
        </is>
      </c>
      <c r="L120" t="inlineStr">
        <is>
          <t>NO</t>
        </is>
      </c>
      <c r="M120" t="n">
        <v>24</v>
      </c>
      <c r="N120" t="n">
        <v>0</v>
      </c>
    </row>
    <row r="121" ht="15.75" customHeight="1" s="67">
      <c r="A121" t="inlineStr">
        <is>
          <t>FUNDING_GATE_SHORT_MIN</t>
        </is>
      </c>
      <c r="B121" t="inlineStr">
        <is>
          <t>0.0_ALT</t>
        </is>
      </c>
      <c r="D121" t="inlineStr">
        <is>
          <t>ENTRY, GLOBAL_CHECK, STOCKS_EXIT</t>
        </is>
      </c>
      <c r="G121">
        <f>IFERROR(VLOOKUP($A118&amp;"_"&amp;$B118,Results_Deltas!$A$2:$P$15000,5,FALSE),"")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IFERROR(VLOOKUP($A56&amp;"_"&amp;$B56,Results_Deltas!$A$2:$P$15000,5,FALSE),"")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IFERROR(VLOOKUP($A112&amp;"_"&amp;$B112,Results_Deltas!$A$2:$P$15000,5,FALSE),"")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IFERROR(VLOOKUP($A164&amp;"_"&amp;$B164,Results_Deltas!$A$2:$P$15000,5,FALSE),"")</f>
        <v/>
      </c>
      <c r="H124" t="inlineStr">
        <is>
          <t>Blanket (page end)</t>
        </is>
      </c>
      <c r="L124" t="inlineStr">
        <is>
          <t>YES</t>
        </is>
      </c>
      <c r="M124" t="n">
        <v>9</v>
      </c>
      <c r="N124" t="n">
        <v>0</v>
      </c>
    </row>
    <row r="125" ht="15.75" customHeight="1" s="67">
      <c r="A125" t="inlineStr">
        <is>
          <t>HTF_GATE_MIN_CONFIRMATIONS</t>
        </is>
      </c>
      <c r="B125" t="inlineStr">
        <is>
          <t>0.0</t>
        </is>
      </c>
      <c r="D125" t="inlineStr">
        <is>
          <t>ENTRY, GLOBAL_CHECK, STOCKS_EXIT</t>
        </is>
      </c>
      <c r="G125">
        <f>IFERROR(VLOOKUP($A152&amp;"_"&amp;$B152,Results_Deltas!$A$2:$P$15000,5,FALSE),"")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IFERROR(VLOOKUP($A153&amp;"_"&amp;$B153,Results_Deltas!$A$2:$P$15000,5,FALSE),"")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IFERROR(VLOOKUP($A121&amp;"_"&amp;$B121,Results_Deltas!$A$2:$P$15000,5,FALSE),"")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IFERROR(VLOOKUP($A122&amp;"_"&amp;$B122,Results_Deltas!$A$2:$P$15000,5,FALSE),"")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IFERROR(VLOOKUP($A128&amp;"_"&amp;$B128,Results_Deltas!$A$2:$P$15000,5,FALSE),"")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IFERROR(VLOOKUP($A120&amp;"_"&amp;$B120,Results_Deltas!$A$2:$P$15000,5,FALSE),"")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IFERROR(VLOOKUP($A119&amp;"_"&amp;$B119,Results_Deltas!$A$2:$P$15000,5,FALSE),"")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IFERROR(VLOOKUP($A158&amp;"_"&amp;$B158,Results_Deltas!$A$2:$P$15000,5,FALSE),"")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IFERROR(VLOOKUP($A144&amp;"_"&amp;$B144,Results_Deltas!$A$2:$P$15000,5,FALSE),"")</f>
        <v/>
      </c>
      <c r="H133" t="inlineStr">
        <is>
          <t>Blanket (page end)</t>
        </is>
      </c>
      <c r="L133" t="inlineStr">
        <is>
          <t>YES</t>
        </is>
      </c>
      <c r="M133" t="n">
        <v>9</v>
      </c>
      <c r="N133" t="n">
        <v>0</v>
      </c>
    </row>
    <row r="134" ht="15.75" customHeight="1" s="67">
      <c r="A134" t="inlineStr">
        <is>
          <t>LH_HL_FILTER_ENABLED</t>
        </is>
      </c>
      <c r="B134" t="inlineStr">
        <is>
          <t>False</t>
        </is>
      </c>
      <c r="D134" t="inlineStr">
        <is>
          <t>ENTRY, GLOBAL_CHECK, STOCKS_EXIT</t>
        </is>
      </c>
      <c r="G134">
        <f>IFERROR(VLOOKUP($A160&amp;"_"&amp;$B160,Results_Deltas!$A$2:$P$15000,5,FALSE),"")</f>
        <v/>
      </c>
      <c r="H134" t="inlineStr">
        <is>
          <t>Blanket (page end)</t>
        </is>
      </c>
      <c r="L134" t="inlineStr">
        <is>
          <t>NO</t>
        </is>
      </c>
      <c r="M134" t="n">
        <v>9</v>
      </c>
      <c r="N134" t="n">
        <v>0</v>
      </c>
    </row>
    <row r="135" ht="15.75" customHeight="1" s="67">
      <c r="A135" t="inlineStr">
        <is>
          <t>GR_FILTER_VEC_ENABLED</t>
        </is>
      </c>
      <c r="B135" t="inlineStr">
        <is>
          <t>False</t>
        </is>
      </c>
      <c r="D135" t="inlineStr">
        <is>
          <t>GLOBAL_CHECK</t>
        </is>
      </c>
      <c r="G135">
        <f>IFERROR(VLOOKUP($A123&amp;"_"&amp;$B123,Results_Deltas!$A$2:$P$15000,5,FALSE),"")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IFERROR(VLOOKUP($A87&amp;"_"&amp;$B87,Results_Deltas!$A$2:$P$15000,5,FALSE),"")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IFERROR(VLOOKUP($A215&amp;"_"&amp;$B215,Results_Deltas!$A$2:$P$15000,5,FALSE),"")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IFERROR(VLOOKUP($A92&amp;"_"&amp;$B92,Results_Deltas!$A$2:$P$15000,5,FALSE),"")</f>
        <v/>
      </c>
      <c r="H138" t="inlineStr">
        <is>
          <t>Blanket (page end)</t>
        </is>
      </c>
      <c r="L138" t="inlineStr">
        <is>
          <t>NO</t>
        </is>
      </c>
      <c r="M138" t="n">
        <v>3</v>
      </c>
      <c r="N138" t="n">
        <v>0</v>
      </c>
    </row>
    <row r="139" ht="15.75" customHeight="1" s="67">
      <c r="A139" t="inlineStr">
        <is>
          <t>MTS_GATE_ENABLED</t>
        </is>
      </c>
      <c r="B139" t="inlineStr">
        <is>
          <t>False</t>
        </is>
      </c>
      <c r="D139" t="inlineStr">
        <is>
          <t>ENTRY, GLOBAL_CHECK, STOCKS_EXIT</t>
        </is>
      </c>
      <c r="G139">
        <f>IFERROR(VLOOKUP($A203&amp;"_"&amp;$B203,Results_Deltas!$A$2:$P$15000,5,FALSE),"")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IFERROR(VLOOKUP($A185&amp;"_"&amp;$B185,Results_Deltas!$A$2:$P$15000,5,FALSE),"")</f>
        <v/>
      </c>
      <c r="H140" t="inlineStr">
        <is>
          <t>Blanket (page end)</t>
        </is>
      </c>
      <c r="L140" t="inlineStr">
        <is>
          <t>YES</t>
        </is>
      </c>
      <c r="M140" t="n">
        <v>24</v>
      </c>
      <c r="N140" t="n">
        <v>0</v>
      </c>
    </row>
    <row r="141" ht="15.75" customHeight="1" s="67">
      <c r="A141" t="inlineStr">
        <is>
          <t>MI_TF_AGREE_MIN</t>
        </is>
      </c>
      <c r="B141" t="inlineStr">
        <is>
          <t>0.0_ALT</t>
        </is>
      </c>
      <c r="D141" t="inlineStr">
        <is>
          <t>ENTRY, GLOBAL_CHECK, STOCKS_EXIT</t>
        </is>
      </c>
      <c r="G141">
        <f>IFERROR(VLOOKUP($A186&amp;"_"&amp;$B186,Results_Deltas!$A$2:$P$15000,5,FALSE),"")</f>
        <v/>
      </c>
      <c r="H141" t="inlineStr">
        <is>
          <t>Blanket (page end)</t>
        </is>
      </c>
      <c r="L141" t="inlineStr">
        <is>
          <t>NO</t>
        </is>
      </c>
      <c r="M141" t="n">
        <v>24</v>
      </c>
      <c r="N141" t="n">
        <v>0</v>
      </c>
    </row>
    <row r="142" ht="15.75" customHeight="1" s="67">
      <c r="A142" t="inlineStr">
        <is>
          <t>HLR_SMA_BAND_PCT</t>
        </is>
      </c>
      <c r="B142" t="inlineStr">
        <is>
          <t>0</t>
        </is>
      </c>
      <c r="D142" t="inlineStr">
        <is>
          <t>ENTRY, GLOBAL_CHECK, STOCKS_EXIT</t>
        </is>
      </c>
      <c r="G142">
        <f>IFERROR(VLOOKUP($A137&amp;"_"&amp;$B137,Results_Deltas!$A$2:$P$15000,5,FALSE),"")</f>
        <v/>
      </c>
      <c r="H142" t="inlineStr">
        <is>
          <t>Blanket (page end)</t>
        </is>
      </c>
      <c r="L142" t="inlineStr">
        <is>
          <t>YES</t>
        </is>
      </c>
      <c r="M142" t="n">
        <v>24</v>
      </c>
      <c r="N142" t="n">
        <v>0</v>
      </c>
    </row>
    <row r="143" ht="10.5" customHeight="1" s="67">
      <c r="A143" t="inlineStr">
        <is>
          <t>EXECUTE_NOW_SINGLE_GATE_ENFORCE</t>
        </is>
      </c>
      <c r="B143" t="inlineStr">
        <is>
          <t>0.0_ALT</t>
        </is>
      </c>
      <c r="D143" t="inlineStr">
        <is>
          <t>ENTRY, GLOBAL_CHECK, STOCKS_EXIT</t>
        </is>
      </c>
      <c r="G143">
        <f>IFERROR(VLOOKUP($A97&amp;"_"&amp;$B97,Results_Deltas!$A$2:$P$15000,5,FALSE),"")</f>
        <v/>
      </c>
      <c r="H143" t="inlineStr">
        <is>
          <t>Blanket (page end)</t>
        </is>
      </c>
      <c r="L143" t="inlineStr">
        <is>
          <t>NO</t>
        </is>
      </c>
      <c r="M143" t="n">
        <v>24</v>
      </c>
      <c r="N143" t="n">
        <v>0</v>
      </c>
    </row>
    <row r="144" ht="10.5" customHeight="1" s="67">
      <c r="A144" t="inlineStr">
        <is>
          <t>EXECUTE_NOW_SINGLE_GATE_ENFORCE</t>
        </is>
      </c>
      <c r="B144" t="inlineStr">
        <is>
          <t>0.0</t>
        </is>
      </c>
      <c r="D144" t="inlineStr">
        <is>
          <t>ENTRY, GLOBAL_CHECK, STOCKS_EXIT</t>
        </is>
      </c>
      <c r="G144">
        <f>IFERROR(VLOOKUP($A96&amp;"_"&amp;$B96,Results_Deltas!$A$2:$P$15000,5,FALSE),"")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IFERROR(VLOOKUP($A141&amp;"_"&amp;$B141,Results_Deltas!$A$2:$P$15000,5,FALSE),"")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IFERROR(VLOOKUP($A70&amp;"_"&amp;$B70,Results_Deltas!$A$2:$P$15000,5,FALSE),"")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IFERROR(VLOOKUP($A136&amp;"_"&amp;$B136,Results_Deltas!$A$2:$P$15000,5,FALSE),"")</f>
        <v/>
      </c>
      <c r="H147" t="inlineStr">
        <is>
          <t>Blanket (page end)</t>
        </is>
      </c>
      <c r="L147" t="inlineStr">
        <is>
          <t>NO</t>
        </is>
      </c>
      <c r="M147" t="n">
        <v>9</v>
      </c>
      <c r="N147" t="n">
        <v>0</v>
      </c>
    </row>
    <row r="148" ht="10.5" customHeight="1" s="67">
      <c r="A148" t="inlineStr">
        <is>
          <t>EZ_MANAGE_THROTTLER_RATE</t>
        </is>
      </c>
      <c r="B148" t="inlineStr">
        <is>
          <t>0.0</t>
        </is>
      </c>
      <c r="D148" t="inlineStr">
        <is>
          <t>GLOBAL_CHECK, STOCKS_EXIT</t>
        </is>
      </c>
      <c r="G148">
        <f>IFERROR(VLOOKUP($A98&amp;"_"&amp;$B98,Results_Deltas!$A$2:$P$15000,5,FALSE),"")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IFERROR(VLOOKUP($A99&amp;"_"&amp;$B99,Results_Deltas!$A$2:$P$15000,5,FALSE),"")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IFERROR(VLOOKUP($A64&amp;"_"&amp;$B64,Results_Deltas!$A$2:$P$15000,5,FALSE),"")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IFERROR(VLOOKUP($A211&amp;"_"&amp;$B211,Results_Deltas!$A$2:$P$15000,5,FALSE),"")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IFERROR(VLOOKUP($A151&amp;"_"&amp;$B151,Results_Deltas!$A$2:$P$15000,5,FALSE),"")</f>
        <v/>
      </c>
      <c r="H152" t="inlineStr">
        <is>
          <t>Blanket (page end)</t>
        </is>
      </c>
      <c r="L152" t="inlineStr">
        <is>
          <t>NO</t>
        </is>
      </c>
      <c r="M152" t="n">
        <v>24</v>
      </c>
      <c r="N152" t="n">
        <v>0</v>
      </c>
    </row>
    <row r="153" ht="10.5" customHeight="1" s="67">
      <c r="A153" t="inlineStr">
        <is>
          <t>DELTA_REENTRY_FILTER_ENABLED</t>
        </is>
      </c>
      <c r="B153" t="inlineStr">
        <is>
          <t>False</t>
        </is>
      </c>
      <c r="D153" t="inlineStr">
        <is>
          <t>ENTRY, GLOBAL_CHECK, STOCKS_EXIT</t>
        </is>
      </c>
      <c r="G153">
        <f>IFERROR(VLOOKUP($A81&amp;"_"&amp;$B81,Results_Deltas!$A$2:$P$15000,5,FALSE),"")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IFERROR(VLOOKUP($A150&amp;"_"&amp;$B150,Results_Deltas!$A$2:$P$15000,5,FALSE),"")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IFERROR(VLOOKUP($A180&amp;"_"&amp;$B180,Results_Deltas!$A$2:$P$15000,5,FALSE),"")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IFERROR(VLOOKUP($A183&amp;"_"&amp;$B183,Results_Deltas!$A$2:$P$15000,5,FALSE),"")</f>
        <v/>
      </c>
      <c r="H156" t="inlineStr">
        <is>
          <t>Blanket (page end)</t>
        </is>
      </c>
      <c r="L156" t="inlineStr">
        <is>
          <t>YES</t>
        </is>
      </c>
      <c r="M156" t="n">
        <v>9</v>
      </c>
      <c r="N156" t="n">
        <v>0</v>
      </c>
    </row>
    <row r="157" ht="15.75" customHeight="1" s="67">
      <c r="A157" t="inlineStr">
        <is>
          <t>HTF_GATE_BYPASS_RZ</t>
        </is>
      </c>
      <c r="B157" t="inlineStr">
        <is>
          <t>0.0</t>
        </is>
      </c>
      <c r="D157" t="inlineStr">
        <is>
          <t>ENTRY, GLOBAL_CHECK, STOCKS_EXIT</t>
        </is>
      </c>
      <c r="G157">
        <f>IFERROR(VLOOKUP($A148&amp;"_"&amp;$B148,Results_Deltas!$A$2:$P$15000,5,FALSE),"")</f>
        <v/>
      </c>
      <c r="H157" t="inlineStr">
        <is>
          <t>Blanket (page end)</t>
        </is>
      </c>
      <c r="L157" t="inlineStr">
        <is>
          <t>YES</t>
        </is>
      </c>
      <c r="M157" t="n">
        <v>24</v>
      </c>
      <c r="N157" t="n">
        <v>0</v>
      </c>
    </row>
    <row r="158" ht="15.75" customHeight="1" s="67">
      <c r="A158" t="inlineStr">
        <is>
          <t>HTF_GATE_BYPASS_RZ</t>
        </is>
      </c>
      <c r="B158" t="inlineStr">
        <is>
          <t>0.0_ALT</t>
        </is>
      </c>
      <c r="D158" t="inlineStr">
        <is>
          <t>ENTRY, GLOBAL_CHECK, STOCKS_EXIT</t>
        </is>
      </c>
      <c r="G158">
        <f>IFERROR(VLOOKUP($A149&amp;"_"&amp;$B149,Results_Deltas!$A$2:$P$15000,5,FALSE),"")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IFERROR(VLOOKUP($A146&amp;"_"&amp;$B146,Results_Deltas!$A$2:$P$15000,5,FALSE),"")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IFERROR(VLOOKUP($A191&amp;"_"&amp;$B191,Results_Deltas!$A$2:$P$15000,5,FALSE),"")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IFERROR(VLOOKUP($A192&amp;"_"&amp;$B192,Results_Deltas!$A$2:$P$15000,5,FALSE),"")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IFERROR(VLOOKUP($A209&amp;"_"&amp;$B209,Results_Deltas!$A$2:$P$15000,5,FALSE),"")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IFERROR(VLOOKUP($A210&amp;"_"&amp;$B210,Results_Deltas!$A$2:$P$15000,5,FALSE),"")</f>
        <v/>
      </c>
      <c r="H163" t="inlineStr">
        <is>
          <t>Blanket (page end)</t>
        </is>
      </c>
      <c r="L163" t="inlineStr">
        <is>
          <t>NO</t>
        </is>
      </c>
      <c r="M163" t="n">
        <v>24</v>
      </c>
      <c r="N163" t="n">
        <v>0</v>
      </c>
    </row>
    <row r="164" ht="15.75" customHeight="1" s="67">
      <c r="A164" t="inlineStr">
        <is>
          <t>MANDATORY_REENTRY_WT_FILTER_MIN_VELOCITY</t>
        </is>
      </c>
      <c r="B164" t="inlineStr">
        <is>
          <t>0.0</t>
        </is>
      </c>
      <c r="D164" t="inlineStr">
        <is>
          <t>GLOBAL_CHECK, STOCKS_EXIT</t>
        </is>
      </c>
      <c r="G164">
        <f>IFERROR(VLOOKUP($A177&amp;"_"&amp;$B177,Results_Deltas!$A$2:$P$15000,5,FALSE),"")</f>
        <v/>
      </c>
      <c r="H164" t="inlineStr">
        <is>
          <t>Blanket (page end)</t>
        </is>
      </c>
      <c r="L164" t="inlineStr">
        <is>
          <t>NO</t>
        </is>
      </c>
      <c r="M164" t="n">
        <v>24</v>
      </c>
      <c r="N164" t="n">
        <v>0</v>
      </c>
    </row>
    <row r="165" ht="15.75" customHeight="1" s="67">
      <c r="A165" t="inlineStr">
        <is>
          <t>MANDATORY_REENTRY_WT_FILTER_MIN_VELOCITY</t>
        </is>
      </c>
      <c r="B165" t="inlineStr">
        <is>
          <t>0.0_ALT</t>
        </is>
      </c>
      <c r="D165" t="inlineStr">
        <is>
          <t>GLOBAL_CHECK, STOCKS_EXIT</t>
        </is>
      </c>
      <c r="G165">
        <f>IFERROR(VLOOKUP($A178&amp;"_"&amp;$B178,Results_Deltas!$A$2:$P$15000,5,FALSE),"")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IFERROR(VLOOKUP($A156&amp;"_"&amp;$B156,Results_Deltas!$A$2:$P$15000,5,FALSE),"")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IFERROR(VLOOKUP($A205&amp;"_"&amp;$B205,Results_Deltas!$A$2:$P$15000,5,FALSE),"")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IFERROR(VLOOKUP($A157&amp;"_"&amp;$B157,Results_Deltas!$A$2:$P$15000,5,FALSE),"")</f>
        <v/>
      </c>
      <c r="H168" t="inlineStr">
        <is>
          <t>Blanket (page end)</t>
        </is>
      </c>
      <c r="L168" t="inlineStr">
        <is>
          <t>YES</t>
        </is>
      </c>
      <c r="M168" t="n">
        <v>24</v>
      </c>
      <c r="N168" t="n">
        <v>0</v>
      </c>
    </row>
    <row r="169" ht="15.75" customHeight="1" s="67">
      <c r="A169" t="inlineStr">
        <is>
          <t>MANDATORY_REENTRY_WT_FILTER_REQUIRE_FLIP</t>
        </is>
      </c>
      <c r="B169" t="inlineStr">
        <is>
          <t>False</t>
        </is>
      </c>
      <c r="D169" t="inlineStr">
        <is>
          <t>GLOBAL_CHECK, STOCKS_EXIT</t>
        </is>
      </c>
      <c r="G169">
        <f>IFERROR(VLOOKUP($A179&amp;"_"&amp;$B179,Results_Deltas!$A$2:$P$15000,5,FALSE),"")</f>
        <v/>
      </c>
      <c r="H169" t="inlineStr">
        <is>
          <t>Blanket (page end)</t>
        </is>
      </c>
      <c r="L169" t="inlineStr">
        <is>
          <t>YES</t>
        </is>
      </c>
      <c r="M169" t="n">
        <v>9</v>
      </c>
      <c r="N169" t="n">
        <v>0</v>
      </c>
    </row>
    <row r="170" ht="15.75" customHeight="1" s="67">
      <c r="A170" t="inlineStr">
        <is>
          <t>HTF_TREND_VETO_BYPASS_ENABLED</t>
        </is>
      </c>
      <c r="B170" t="inlineStr">
        <is>
          <t>False</t>
        </is>
      </c>
      <c r="D170" t="inlineStr">
        <is>
          <t>GLOBAL_CHECK, STOCKS_EXIT</t>
        </is>
      </c>
      <c r="G170">
        <f>IFERROR(VLOOKUP($A154&amp;"_"&amp;$B154,Results_Deltas!$A$2:$P$15000,5,FALSE),"")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IFERROR(VLOOKUP($A166&amp;"_"&amp;$B166,Results_Deltas!$A$2:$P$15000,5,FALSE),"")</f>
        <v/>
      </c>
      <c r="H171" t="inlineStr">
        <is>
          <t>Blanket (page end)</t>
        </is>
      </c>
      <c r="L171" t="inlineStr">
        <is>
          <t>YES</t>
        </is>
      </c>
      <c r="M171" t="n">
        <v>9</v>
      </c>
      <c r="N171" t="n">
        <v>0</v>
      </c>
    </row>
    <row r="172" ht="15.75" customHeight="1" s="67">
      <c r="A172" t="inlineStr">
        <is>
          <t>BB_PROFIT_TAKE_TF</t>
        </is>
      </c>
      <c r="B172" t="inlineStr">
        <is>
          <t>OFF</t>
        </is>
      </c>
      <c r="D172" t="inlineStr">
        <is>
          <t>PROFIT_BB</t>
        </is>
      </c>
      <c r="G172">
        <f>IFERROR(VLOOKUP($A172&amp;"_"&amp;$B172,Results_Deltas!$A$2:$P$15000,5,FALSE),"")</f>
        <v/>
      </c>
      <c r="H172">
        <f>IFERROR(VLOOKUP($A172,Results_30d_Deltas!$A$2:$H$5000,7,FALSE)-E3,"")</f>
        <v/>
      </c>
      <c r="I172">
        <f>IFERROR(VLOOKUP($A172,Results_30d_Deltas!$A$2:$H$5000,6,FALSE),"")</f>
        <v/>
      </c>
      <c r="L172" t="inlineStr">
        <is>
          <t>YES</t>
        </is>
      </c>
      <c r="M172" t="n">
        <v>0</v>
      </c>
      <c r="N172" t="n">
        <v>0</v>
      </c>
    </row>
    <row r="173" ht="15.75" customHeight="1" s="67">
      <c r="A173" t="inlineStr">
        <is>
          <t>BB_PROFIT_TAKE_TF</t>
        </is>
      </c>
      <c r="B173" t="inlineStr">
        <is>
          <t>15m</t>
        </is>
      </c>
      <c r="D173" t="inlineStr">
        <is>
          <t>PROFIT_BB</t>
        </is>
      </c>
      <c r="G173">
        <f>IFERROR(VLOOKUP($A173&amp;"_"&amp;$B173,Results_Deltas!$A$2:$P$15000,5,FALSE),"")</f>
        <v/>
      </c>
      <c r="H173">
        <f>IFERROR(VLOOKUP($A173,Results_30d_Deltas!$A$2:$H$5000,7,FALSE)-E3,"")</f>
        <v/>
      </c>
      <c r="I173">
        <f>IFERROR(VLOOKUP($A173,Results_30d_Deltas!$A$2:$H$5000,6,FALSE),"")</f>
        <v/>
      </c>
      <c r="L173" t="inlineStr">
        <is>
          <t>NO</t>
        </is>
      </c>
      <c r="M173" t="n">
        <v>0</v>
      </c>
      <c r="N173" t="n">
        <v>0</v>
      </c>
    </row>
    <row r="174" ht="15.75" customHeight="1" s="67">
      <c r="A174" t="inlineStr">
        <is>
          <t>BB_PROFIT_TAKE_TF</t>
        </is>
      </c>
      <c r="B174" t="inlineStr">
        <is>
          <t>1h</t>
        </is>
      </c>
      <c r="D174" t="inlineStr">
        <is>
          <t>PROFIT_BB</t>
        </is>
      </c>
      <c r="G174">
        <f>IFERROR(VLOOKUP($A174&amp;"_"&amp;$B174,Results_Deltas!$A$2:$P$15000,5,FALSE),"")</f>
        <v/>
      </c>
      <c r="H174">
        <f>IFERROR(VLOOKUP($A174,Results_30d_Deltas!$A$2:$H$5000,7,FALSE)-E3,"")</f>
        <v/>
      </c>
      <c r="I174">
        <f>IFERROR(VLOOKUP($A174,Results_30d_Deltas!$A$2:$H$5000,6,FALSE),"")</f>
        <v/>
      </c>
      <c r="L174" t="inlineStr">
        <is>
          <t>NO</t>
        </is>
      </c>
      <c r="M174" t="n">
        <v>0</v>
      </c>
      <c r="N174" t="n">
        <v>0</v>
      </c>
    </row>
    <row r="175" ht="15.75" customHeight="1" s="67">
      <c r="A175" t="inlineStr">
        <is>
          <t>BB_PROFIT_TAKE_TF</t>
        </is>
      </c>
      <c r="B175" t="inlineStr">
        <is>
          <t>4h</t>
        </is>
      </c>
      <c r="D175" t="inlineStr">
        <is>
          <t>PROFIT_BB</t>
        </is>
      </c>
      <c r="G175">
        <f>IFERROR(VLOOKUP($A175&amp;"_"&amp;$B175,Results_Deltas!$A$2:$P$15000,5,FALSE),"")</f>
        <v/>
      </c>
      <c r="H175">
        <f>IFERROR(VLOOKUP($A175,Results_30d_Deltas!$A$2:$H$5000,7,FALSE)-E3,"")</f>
        <v/>
      </c>
      <c r="I175">
        <f>IFERROR(VLOOKUP($A175,Results_30d_Deltas!$A$2:$H$5000,6,FALSE),"")</f>
        <v/>
      </c>
      <c r="L175" t="inlineStr">
        <is>
          <t>NO</t>
        </is>
      </c>
      <c r="M175" t="n">
        <v>0</v>
      </c>
      <c r="N175" t="n">
        <v>0</v>
      </c>
    </row>
    <row r="176" ht="15.75" customHeight="1" s="67">
      <c r="A176" t="inlineStr">
        <is>
          <t>BB_PROFIT_TAKE_TF</t>
        </is>
      </c>
      <c r="B176" t="inlineStr">
        <is>
          <t>D</t>
        </is>
      </c>
      <c r="D176" t="inlineStr">
        <is>
          <t>PROFIT_BB</t>
        </is>
      </c>
      <c r="G176">
        <f>IFERROR(VLOOKUP($A176&amp;"_"&amp;$B176,Results_Deltas!$A$2:$P$15000,5,FALSE),"")</f>
        <v/>
      </c>
      <c r="H176">
        <f>IFERROR(VLOOKUP($A176,Results_30d_Deltas!$A$2:$H$5000,7,FALSE)-E3,"")</f>
        <v/>
      </c>
      <c r="I176">
        <f>IFERROR(VLOOKUP($A176,Results_30d_Deltas!$A$2:$H$5000,6,FALSE),"")</f>
        <v/>
      </c>
      <c r="L176" t="inlineStr">
        <is>
          <t>NO</t>
        </is>
      </c>
      <c r="M176" t="n">
        <v>0</v>
      </c>
      <c r="N176"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IFERROR(VLOOKUP($A191&amp;"_"&amp;$B191,Results_Deltas!$A$2:$P$15000,5,FALSE),"")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IFERROR(VLOOKUP($A175&amp;"_"&amp;$B175,Results_Deltas!$A$2:$P$15000,5,FALSE),"")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IFERROR(VLOOKUP($A290&amp;"_"&amp;$B290,Results_Deltas!$A$2:$P$15000,5,FALSE),"")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IFERROR(VLOOKUP($A291&amp;"_"&amp;$B291,Results_Deltas!$A$2:$P$15000,5,FALSE),"")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IFERROR(VLOOKUP($A200&amp;"_"&amp;$B200,Results_Deltas!$A$2:$P$15000,5,FALSE),"")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IFERROR(VLOOKUP($A198&amp;"_"&amp;$B198,Results_Deltas!$A$2:$P$15000,5,FALSE),"")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IFERROR(VLOOKUP($A201&amp;"_"&amp;$B201,Results_Deltas!$A$2:$P$15000,5,FALSE),"")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IFERROR(VLOOKUP($A195&amp;"_"&amp;$B195,Results_Deltas!$A$2:$P$15000,5,FALSE),"")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IFERROR(VLOOKUP($A308&amp;"_"&amp;$B308,Results_Deltas!$A$2:$P$15000,5,FALSE),"")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IFERROR(VLOOKUP($A157&amp;"_"&amp;$B157,Results_Deltas!$A$2:$P$15000,5,FALSE),"")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IFERROR(VLOOKUP($A196&amp;"_"&amp;$B196,Results_Deltas!$A$2:$P$15000,5,FALSE),"")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IFERROR(VLOOKUP($A158&amp;"_"&amp;$B158,Results_Deltas!$A$2:$P$15000,5,FALSE),"")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IFERROR(VLOOKUP($A194&amp;"_"&amp;$B194,Results_Deltas!$A$2:$P$15000,5,FALSE),"")</f>
        <v/>
      </c>
      <c r="H15" t="inlineStr">
        <is>
          <t>Blanket (page end)</t>
        </is>
      </c>
      <c r="L15" t="inlineStr">
        <is>
          <t>YES</t>
        </is>
      </c>
      <c r="M15" t="n">
        <v>25</v>
      </c>
      <c r="N15" t="n">
        <v>0</v>
      </c>
    </row>
    <row r="16" ht="10.5" customHeight="1" s="67">
      <c r="A16" t="inlineStr">
        <is>
          <t>FUNDING_GATE_FILTER_TF</t>
        </is>
      </c>
      <c r="B16" t="inlineStr">
        <is>
          <t>D</t>
        </is>
      </c>
      <c r="D16" t="inlineStr">
        <is>
          <t>GLOBAL_CHECK</t>
        </is>
      </c>
      <c r="G16">
        <f>IFERROR(VLOOKUP($A199&amp;"_"&amp;$B199,Results_Deltas!$A$2:$P$15000,5,FALSE),"")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IFERROR(VLOOKUP($A156&amp;"_"&amp;$B156,Results_Deltas!$A$2:$P$15000,5,FALSE),"")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IFERROR(VLOOKUP($A192&amp;"_"&amp;$B192,Results_Deltas!$A$2:$P$15000,5,FALSE),"")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IFERROR(VLOOKUP($A166&amp;"_"&amp;$B166,Results_Deltas!$A$2:$P$15000,5,FALSE),"")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IFERROR(VLOOKUP($A313&amp;"_"&amp;$B313,Results_Deltas!$A$2:$P$15000,5,FALSE),"")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IFERROR(VLOOKUP($A173&amp;"_"&amp;$B173,Results_Deltas!$A$2:$P$15000,5,FALSE),"")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IFERROR(VLOOKUP($A232&amp;"_"&amp;$B232,Results_Deltas!$A$2:$P$15000,5,FALSE),"")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IFERROR(VLOOKUP($A176&amp;"_"&amp;$B176,Results_Deltas!$A$2:$P$15000,5,FALSE),"")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IFERROR(VLOOKUP($A306&amp;"_"&amp;$B306,Results_Deltas!$A$2:$P$15000,5,FALSE),"")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IFERROR(VLOOKUP($A314&amp;"_"&amp;$B314,Results_Deltas!$A$2:$P$15000,5,FALSE),"")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IFERROR(VLOOKUP($A229&amp;"_"&amp;$B229,Results_Deltas!$A$2:$P$15000,5,FALSE),"")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IFERROR(VLOOKUP($A153&amp;"_"&amp;$B153,Results_Deltas!$A$2:$P$15000,5,FALSE),"")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IFERROR(VLOOKUP($A159&amp;"_"&amp;$B159,Results_Deltas!$A$2:$P$15000,5,FALSE),"")</f>
        <v/>
      </c>
      <c r="H28" t="inlineStr">
        <is>
          <t>Blanket (page end)</t>
        </is>
      </c>
      <c r="L28" t="inlineStr">
        <is>
          <t>NO</t>
        </is>
      </c>
      <c r="M28" t="n">
        <v>3</v>
      </c>
      <c r="N28" t="n">
        <v>0</v>
      </c>
    </row>
    <row r="29" ht="10.5" customHeight="1" s="67">
      <c r="A29" t="inlineStr">
        <is>
          <t>MTS_BOTTOM_BONUS_THRESHOLD</t>
        </is>
      </c>
      <c r="B29" t="inlineStr">
        <is>
          <t>31.25</t>
        </is>
      </c>
      <c r="D29" t="inlineStr">
        <is>
          <t>ENTRY, GLOBAL_CHECK, STOCKS_EXIT</t>
        </is>
      </c>
      <c r="G29">
        <f>IFERROR(VLOOKUP($A286&amp;"_"&amp;$B286,Results_Deltas!$A$2:$P$15000,5,FALSE),"")</f>
        <v/>
      </c>
      <c r="H29" t="inlineStr">
        <is>
          <t>Blanket (page end)</t>
        </is>
      </c>
      <c r="L29" t="inlineStr">
        <is>
          <t>YES</t>
        </is>
      </c>
      <c r="M29" t="n">
        <v>26</v>
      </c>
      <c r="N29" t="n">
        <v>0</v>
      </c>
    </row>
    <row r="30" ht="10.5" customHeight="1" s="67">
      <c r="A30" t="inlineStr">
        <is>
          <t>MTS_BOTTOM_BONUS_THRESHOLD</t>
        </is>
      </c>
      <c r="B30" t="inlineStr">
        <is>
          <t>25</t>
        </is>
      </c>
      <c r="D30" t="inlineStr">
        <is>
          <t>ENTRY, GLOBAL_CHECK, STOCKS_EXIT</t>
        </is>
      </c>
      <c r="G30">
        <f>IFERROR(VLOOKUP($A285&amp;"_"&amp;$B285,Results_Deltas!$A$2:$P$15000,5,FALSE),"")</f>
        <v/>
      </c>
      <c r="H30" t="inlineStr">
        <is>
          <t>Blanket (page end)</t>
        </is>
      </c>
      <c r="L30" t="inlineStr">
        <is>
          <t>NO</t>
        </is>
      </c>
      <c r="M30" t="n">
        <v>26</v>
      </c>
      <c r="N30" t="n">
        <v>0</v>
      </c>
    </row>
    <row r="31" ht="10.5" customHeight="1" s="67">
      <c r="A31" t="inlineStr">
        <is>
          <t>HA_WICK_QUALITY_TF</t>
        </is>
      </c>
      <c r="B31" t="inlineStr">
        <is>
          <t>D</t>
        </is>
      </c>
      <c r="D31" t="inlineStr">
        <is>
          <t>ENTRY, GLOBAL_CHECK, STOCKS_EXIT</t>
        </is>
      </c>
      <c r="G31">
        <f>IFERROR(VLOOKUP($A223&amp;"_"&amp;$B223,Results_Deltas!$A$2:$P$15000,5,FALSE),"")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IFERROR(VLOOKUP($A167&amp;"_"&amp;$B167,Results_Deltas!$A$2:$P$15000,5,FALSE),"")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IFERROR(VLOOKUP($A147&amp;"_"&amp;$B147,Results_Deltas!$A$2:$P$15000,5,FALSE),"")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IFERROR(VLOOKUP($A149&amp;"_"&amp;$B149,Results_Deltas!$A$2:$P$15000,5,FALSE),"")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IFERROR(VLOOKUP($A287&amp;"_"&amp;$B287,Results_Deltas!$A$2:$P$15000,5,FALSE),"")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IFERROR(VLOOKUP($A190&amp;"_"&amp;$B190,Results_Deltas!$A$2:$P$15000,5,FALSE),"")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IFERROR(VLOOKUP($A155&amp;"_"&amp;$B155,Results_Deltas!$A$2:$P$15000,5,FALSE),"")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IFERROR(VLOOKUP($A174&amp;"_"&amp;$B174,Results_Deltas!$A$2:$P$15000,5,FALSE),"")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IFERROR(VLOOKUP($A224&amp;"_"&amp;$B224,Results_Deltas!$A$2:$P$15000,5,FALSE),"")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IFERROR(VLOOKUP($A230&amp;"_"&amp;$B230,Results_Deltas!$A$2:$P$15000,5,FALSE),"")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IFERROR(VLOOKUP($A283&amp;"_"&amp;$B283,Results_Deltas!$A$2:$P$15000,5,FALSE),"")</f>
        <v/>
      </c>
      <c r="H41" t="inlineStr">
        <is>
          <t>Blanket (page end)</t>
        </is>
      </c>
      <c r="L41" t="inlineStr">
        <is>
          <t>NO</t>
        </is>
      </c>
      <c r="M41" t="n">
        <v>26</v>
      </c>
      <c r="N41" t="n">
        <v>0</v>
      </c>
    </row>
    <row r="42" ht="10.5" customHeight="1" s="67">
      <c r="A42" t="inlineStr">
        <is>
          <t>MTF_GR_MIN_IND</t>
        </is>
      </c>
      <c r="B42" t="inlineStr">
        <is>
          <t>5_ALT</t>
        </is>
      </c>
      <c r="D42" t="inlineStr">
        <is>
          <t>GLOBAL_CHECK, STOCKS_EXIT</t>
        </is>
      </c>
      <c r="G42">
        <f>IFERROR(VLOOKUP($A284&amp;"_"&amp;$B284,Results_Deltas!$A$2:$P$15000,5,FALSE),"")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IFERROR(VLOOKUP($A152&amp;"_"&amp;$B152,Results_Deltas!$A$2:$P$15000,5,FALSE),"")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IFERROR(VLOOKUP($A253&amp;"_"&amp;$B253,Results_Deltas!$A$2:$P$15000,5,FALSE),"")</f>
        <v/>
      </c>
      <c r="H44" t="inlineStr">
        <is>
          <t>Blanket (page end)</t>
        </is>
      </c>
      <c r="L44" t="inlineStr">
        <is>
          <t>YES</t>
        </is>
      </c>
      <c r="M44" t="n">
        <v>27</v>
      </c>
      <c r="N44" t="n">
        <v>0</v>
      </c>
    </row>
    <row r="45" ht="10.5" customHeight="1" s="67">
      <c r="A45" t="inlineStr">
        <is>
          <t>LH_HL_FILTER_MODE</t>
        </is>
      </c>
      <c r="B45" t="inlineStr">
        <is>
          <t>STRICT_2BAR</t>
        </is>
      </c>
      <c r="D45" t="inlineStr">
        <is>
          <t>ENTRY, GLOBAL_CHECK, STOCKS_EXIT</t>
        </is>
      </c>
      <c r="G45">
        <f>IFERROR(VLOOKUP($A252&amp;"_"&amp;$B252,Results_Deltas!$A$2:$P$15000,5,FALSE),"")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IFERROR(VLOOKUP($A221&amp;"_"&amp;$B221,Results_Deltas!$A$2:$P$15000,5,FALSE),"")</f>
        <v/>
      </c>
      <c r="H46" t="inlineStr">
        <is>
          <t>Blanket (page end)</t>
        </is>
      </c>
      <c r="L46" t="inlineStr">
        <is>
          <t>YES</t>
        </is>
      </c>
      <c r="M46" t="n">
        <v>27</v>
      </c>
      <c r="N46" t="n">
        <v>0</v>
      </c>
    </row>
    <row r="47" ht="10.5" customHeight="1" s="67">
      <c r="A47" t="inlineStr">
        <is>
          <t>MARKET_QUALITY_SCORE_ENABLED</t>
        </is>
      </c>
      <c r="B47" t="inlineStr">
        <is>
          <t>True</t>
        </is>
      </c>
      <c r="D47" t="inlineStr">
        <is>
          <t>ENTRY, GLOBAL_CHECK, STOCKS_EXIT</t>
        </is>
      </c>
      <c r="G47">
        <f>IFERROR(VLOOKUP($A274&amp;"_"&amp;$B274,Results_Deltas!$A$2:$P$15000,5,FALSE),"")</f>
        <v/>
      </c>
      <c r="H47" t="inlineStr">
        <is>
          <t>Blanket (page end)</t>
        </is>
      </c>
      <c r="L47" t="inlineStr">
        <is>
          <t>YES</t>
        </is>
      </c>
      <c r="M47" t="n">
        <v>26</v>
      </c>
      <c r="N47" t="n">
        <v>0</v>
      </c>
    </row>
    <row r="48" ht="10.5" customHeight="1" s="67">
      <c r="A48" t="inlineStr">
        <is>
          <t>HA_WICK_QUALITY_SCORE</t>
        </is>
      </c>
      <c r="B48" t="inlineStr">
        <is>
          <t>15</t>
        </is>
      </c>
      <c r="D48" t="inlineStr">
        <is>
          <t>ENTRY, GLOBAL_CHECK, STOCKS_EXIT</t>
        </is>
      </c>
      <c r="G48">
        <f>IFERROR(VLOOKUP($A220&amp;"_"&amp;$B220,Results_Deltas!$A$2:$P$15000,5,FALSE),"")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IFERROR(VLOOKUP($A307&amp;"_"&amp;$B307,Results_Deltas!$A$2:$P$15000,5,FALSE),"")</f>
        <v/>
      </c>
      <c r="H49" t="inlineStr">
        <is>
          <t>Blanket (page end)</t>
        </is>
      </c>
      <c r="L49" t="inlineStr">
        <is>
          <t>YES</t>
        </is>
      </c>
      <c r="M49" t="n">
        <v>24</v>
      </c>
      <c r="N49" t="n">
        <v>0</v>
      </c>
    </row>
    <row r="50" ht="10.5" customHeight="1" s="67">
      <c r="A50" t="inlineStr">
        <is>
          <t>EMA_BLANKET_FILTER_MIN_TFS</t>
        </is>
      </c>
      <c r="B50" t="inlineStr">
        <is>
          <t>2</t>
        </is>
      </c>
      <c r="D50" t="inlineStr">
        <is>
          <t>GLOBAL_CHECK</t>
        </is>
      </c>
      <c r="G50">
        <f>IFERROR(VLOOKUP($A184&amp;"_"&amp;$B184,Results_Deltas!$A$2:$P$15000,5,FALSE),"")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IFERROR(VLOOKUP($A288&amp;"_"&amp;$B288,Results_Deltas!$A$2:$P$15000,5,FALSE),"")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IFERROR(VLOOKUP($A289&amp;"_"&amp;$B289,Results_Deltas!$A$2:$P$15000,5,FALSE),"")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IFERROR(VLOOKUP($A162&amp;"_"&amp;$B162,Results_Deltas!$A$2:$P$15000,5,FALSE),"")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IFERROR(VLOOKUP($A163&amp;"_"&amp;$B163,Results_Deltas!$A$2:$P$15000,5,FALSE),"")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IFERROR(VLOOKUP($A271&amp;"_"&amp;$B271,Results_Deltas!$A$2:$P$15000,5,FALSE),"")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IFERROR(VLOOKUP($A272&amp;"_"&amp;$B272,Results_Deltas!$A$2:$P$15000,5,FALSE),"")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IFERROR(VLOOKUP($A178&amp;"_"&amp;$B178,Results_Deltas!$A$2:$P$15000,5,FALSE),"")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IFERROR(VLOOKUP($A214&amp;"_"&amp;$B214,Results_Deltas!$A$2:$P$15000,5,FALSE),"")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IFERROR(VLOOKUP($A183&amp;"_"&amp;$B183,Results_Deltas!$A$2:$P$15000,5,FALSE),"")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IFERROR(VLOOKUP($A179&amp;"_"&amp;$B179,Results_Deltas!$A$2:$P$15000,5,FALSE),"")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IFERROR(VLOOKUP($A309&amp;"_"&amp;$B309,Results_Deltas!$A$2:$P$15000,5,FALSE),"")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IFERROR(VLOOKUP($A292&amp;"_"&amp;$B292,Results_Deltas!$A$2:$P$15000,5,FALSE),"")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IFERROR(VLOOKUP($A181&amp;"_"&amp;$B181,Results_Deltas!$A$2:$P$15000,5,FALSE),"")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IFERROR(VLOOKUP($A217&amp;"_"&amp;$B217,Results_Deltas!$A$2:$P$15000,5,FALSE),"")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IFERROR(VLOOKUP($A279&amp;"_"&amp;$B279,Results_Deltas!$A$2:$P$15000,5,FALSE),"")</f>
        <v/>
      </c>
      <c r="H65" t="inlineStr">
        <is>
          <t>Blanket (page end)</t>
        </is>
      </c>
      <c r="L65" t="inlineStr">
        <is>
          <t>NO</t>
        </is>
      </c>
      <c r="M65" t="n">
        <v>26</v>
      </c>
      <c r="N65" t="n">
        <v>0</v>
      </c>
    </row>
    <row r="66" ht="10.5" customHeight="1" s="67">
      <c r="A66" t="inlineStr">
        <is>
          <t>HTF_DIRECTION_GATE_ENABLED</t>
        </is>
      </c>
      <c r="B66" t="inlineStr">
        <is>
          <t>True</t>
        </is>
      </c>
      <c r="D66" t="inlineStr">
        <is>
          <t>ENTRY, GLOBAL_CHECK, STOCKS_EXIT</t>
        </is>
      </c>
      <c r="G66">
        <f>IFERROR(VLOOKUP($A237&amp;"_"&amp;$B237,Results_Deltas!$A$2:$P$15000,5,FALSE),"")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IFERROR(VLOOKUP($A294&amp;"_"&amp;$B294,Results_Deltas!$A$2:$P$15000,5,FALSE),"")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IFERROR(VLOOKUP($A266&amp;"_"&amp;$B266,Results_Deltas!$A$2:$P$15000,5,FALSE),"")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IFERROR(VLOOKUP($A219&amp;"_"&amp;$B219,Results_Deltas!$A$2:$P$15000,5,FALSE),"")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IFERROR(VLOOKUP($A302&amp;"_"&amp;$B302,Results_Deltas!$A$2:$P$15000,5,FALSE),"")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IFERROR(VLOOKUP($A251&amp;"_"&amp;$B251,Results_Deltas!$A$2:$P$15000,5,FALSE),"")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IFERROR(VLOOKUP($A151&amp;"_"&amp;$B151,Results_Deltas!$A$2:$P$15000,5,FALSE),"")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IFERROR(VLOOKUP($A233&amp;"_"&amp;$B233,Results_Deltas!$A$2:$P$15000,5,FALSE),"")</f>
        <v/>
      </c>
      <c r="H73" t="inlineStr">
        <is>
          <t>Blanket (page end)</t>
        </is>
      </c>
      <c r="L73" t="inlineStr">
        <is>
          <t>YES</t>
        </is>
      </c>
      <c r="M73" t="n">
        <v>27</v>
      </c>
      <c r="N73" t="n">
        <v>0</v>
      </c>
    </row>
    <row r="74" ht="10.5" customHeight="1" s="67">
      <c r="A74" t="inlineStr">
        <is>
          <t>FG_GREED_THRESHOLD</t>
        </is>
      </c>
      <c r="B74" t="inlineStr">
        <is>
          <t>37.5</t>
        </is>
      </c>
      <c r="D74" t="inlineStr">
        <is>
          <t>GLOBAL_CHECK, STOCKS_EXIT</t>
        </is>
      </c>
      <c r="G74">
        <f>IFERROR(VLOOKUP($A197&amp;"_"&amp;$B197,Results_Deltas!$A$2:$P$15000,5,FALSE),"")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IFERROR(VLOOKUP($A312&amp;"_"&amp;$B312,Results_Deltas!$A$2:$P$15000,5,FALSE),"")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IFERROR(VLOOKUP($A280&amp;"_"&amp;$B280,Results_Deltas!$A$2:$P$15000,5,FALSE),"")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IFERROR(VLOOKUP($A148&amp;"_"&amp;$B148,Results_Deltas!$A$2:$P$15000,5,FALSE),"")</f>
        <v/>
      </c>
      <c r="H77" t="inlineStr">
        <is>
          <t>Blanket (page end)</t>
        </is>
      </c>
      <c r="L77" t="inlineStr">
        <is>
          <t>YES</t>
        </is>
      </c>
      <c r="M77" t="n">
        <v>27</v>
      </c>
      <c r="N77" t="n">
        <v>0</v>
      </c>
    </row>
    <row r="78" ht="10.5" customHeight="1" s="67">
      <c r="A78" t="inlineStr">
        <is>
          <t>HA_WICK_QUALITY_TF</t>
        </is>
      </c>
      <c r="B78" t="inlineStr">
        <is>
          <t>1h</t>
        </is>
      </c>
      <c r="D78" t="inlineStr">
        <is>
          <t>ENTRY, GLOBAL_CHECK, STOCKS_EXIT</t>
        </is>
      </c>
      <c r="G78">
        <f>IFERROR(VLOOKUP($A225&amp;"_"&amp;$B225,Results_Deltas!$A$2:$P$15000,5,FALSE),"")</f>
        <v/>
      </c>
      <c r="H78" t="inlineStr">
        <is>
          <t>Blanket (page end)</t>
        </is>
      </c>
      <c r="L78" t="inlineStr">
        <is>
          <t>NO</t>
        </is>
      </c>
      <c r="M78" t="n">
        <v>27</v>
      </c>
      <c r="N78" t="n">
        <v>0</v>
      </c>
    </row>
    <row r="79" ht="10.5" customHeight="1" s="67">
      <c r="A79" t="inlineStr">
        <is>
          <t>LR_BAND_LADDER_TF_TOP</t>
        </is>
      </c>
      <c r="B79" t="inlineStr">
        <is>
          <t>1</t>
        </is>
      </c>
      <c r="D79" t="inlineStr">
        <is>
          <t>GLOBAL_CHECK, STOCKS_EXIT</t>
        </is>
      </c>
      <c r="G79">
        <f>IFERROR(VLOOKUP($A263&amp;"_"&amp;$B263,Results_Deltas!$A$2:$P$15000,5,FALSE),"")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IFERROR(VLOOKUP($A170&amp;"_"&amp;$B170,Results_Deltas!$A$2:$P$15000,5,FALSE),"")</f>
        <v/>
      </c>
      <c r="H80" t="inlineStr">
        <is>
          <t>Blanket (page end)</t>
        </is>
      </c>
      <c r="L80" t="inlineStr">
        <is>
          <t>NO</t>
        </is>
      </c>
      <c r="M80" t="n">
        <v>27</v>
      </c>
      <c r="N80" t="n">
        <v>0</v>
      </c>
    </row>
    <row r="81" ht="10.5" customHeight="1" s="67">
      <c r="A81" t="inlineStr">
        <is>
          <t>HA_WICK_QUALITY_TF</t>
        </is>
      </c>
      <c r="B81" t="inlineStr">
        <is>
          <t>OFF</t>
        </is>
      </c>
      <c r="D81" t="inlineStr">
        <is>
          <t>ENTRY, GLOBAL_CHECK, STOCKS_EXIT</t>
        </is>
      </c>
      <c r="G81">
        <f>IFERROR(VLOOKUP($A222&amp;"_"&amp;$B222,Results_Deltas!$A$2:$P$15000,5,FALSE),"")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IFERROR(VLOOKUP($A169&amp;"_"&amp;$B169,Results_Deltas!$A$2:$P$15000,5,FALSE),"")</f>
        <v/>
      </c>
      <c r="H82" t="inlineStr">
        <is>
          <t>Blanket (page end)</t>
        </is>
      </c>
      <c r="L82" t="inlineStr">
        <is>
          <t>NO</t>
        </is>
      </c>
      <c r="M82" t="n">
        <v>27</v>
      </c>
      <c r="N82" t="n">
        <v>0</v>
      </c>
    </row>
    <row r="83" ht="10.5" customHeight="1" s="67">
      <c r="A83" t="inlineStr">
        <is>
          <t>LR_BAND_LADDER_TF_BOTTOM</t>
        </is>
      </c>
      <c r="B83" t="inlineStr">
        <is>
          <t>1</t>
        </is>
      </c>
      <c r="D83" t="inlineStr">
        <is>
          <t>GLOBAL_CHECK, STOCKS_EXIT</t>
        </is>
      </c>
      <c r="G83">
        <f>IFERROR(VLOOKUP($A261&amp;"_"&amp;$B261,Results_Deltas!$A$2:$P$15000,5,FALSE),"")</f>
        <v/>
      </c>
      <c r="H83" t="inlineStr">
        <is>
          <t>Blanket (page end)</t>
        </is>
      </c>
      <c r="L83" t="inlineStr">
        <is>
          <t>NO</t>
        </is>
      </c>
      <c r="M83" t="n">
        <v>26</v>
      </c>
      <c r="N83" t="n">
        <v>0</v>
      </c>
    </row>
    <row r="84" ht="10.5" customHeight="1" s="67">
      <c r="A84" t="inlineStr">
        <is>
          <t>MOVER_THRESHOLD</t>
        </is>
      </c>
      <c r="B84" t="inlineStr">
        <is>
          <t>5</t>
        </is>
      </c>
      <c r="D84" t="inlineStr">
        <is>
          <t>ENTRY, GLOBAL_CHECK, STOCKS_EXIT</t>
        </is>
      </c>
      <c r="G84">
        <f>IFERROR(VLOOKUP($A277&amp;"_"&amp;$B277,Results_Deltas!$A$2:$P$15000,5,FALSE),"")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IFERROR(VLOOKUP($A165&amp;"_"&amp;$B165,Results_Deltas!$A$2:$P$15000,5,FALSE),"")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IFERROR(VLOOKUP($A172&amp;"_"&amp;$B172,Results_Deltas!$A$2:$P$15000,5,FALSE),"")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IFERROR(VLOOKUP($A228&amp;"_"&amp;$B228,Results_Deltas!$A$2:$P$15000,5,FALSE),"")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IFERROR(VLOOKUP($A264&amp;"_"&amp;$B264,Results_Deltas!$A$2:$P$15000,5,FALSE),"")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IFERROR(VLOOKUP($A259&amp;"_"&amp;$B259,Results_Deltas!$A$2:$P$15000,5,FALSE),"")</f>
        <v/>
      </c>
      <c r="H89" t="inlineStr">
        <is>
          <t>Blanket (page end)</t>
        </is>
      </c>
      <c r="L89" t="inlineStr">
        <is>
          <t>YES</t>
        </is>
      </c>
      <c r="M89" t="n">
        <v>26</v>
      </c>
      <c r="N89" t="n">
        <v>0</v>
      </c>
    </row>
    <row r="90" ht="10.5" customHeight="1" s="67">
      <c r="A90" t="inlineStr">
        <is>
          <t>LR_BAND_LADDER_STOCH_EXTREME</t>
        </is>
      </c>
      <c r="B90" t="inlineStr">
        <is>
          <t>30.0</t>
        </is>
      </c>
      <c r="D90" t="inlineStr">
        <is>
          <t>GLOBAL_CHECK, STOCKS_EXIT</t>
        </is>
      </c>
      <c r="G90">
        <f>IFERROR(VLOOKUP($A258&amp;"_"&amp;$B258,Results_Deltas!$A$2:$P$15000,5,FALSE),"")</f>
        <v/>
      </c>
      <c r="H90" t="inlineStr">
        <is>
          <t>Blanket (page end)</t>
        </is>
      </c>
      <c r="L90" t="inlineStr">
        <is>
          <t>NO</t>
        </is>
      </c>
      <c r="M90" t="n">
        <v>27</v>
      </c>
      <c r="N90" t="n">
        <v>0</v>
      </c>
    </row>
    <row r="91" ht="10.5" customHeight="1" s="67">
      <c r="A91" t="inlineStr">
        <is>
          <t>MOVER_THRESHOLD</t>
        </is>
      </c>
      <c r="B91" t="inlineStr">
        <is>
          <t>6.25</t>
        </is>
      </c>
      <c r="D91" t="inlineStr">
        <is>
          <t>ENTRY, GLOBAL_CHECK, STOCKS_EXIT</t>
        </is>
      </c>
      <c r="G91">
        <f>IFERROR(VLOOKUP($A278&amp;"_"&amp;$B278,Results_Deltas!$A$2:$P$15000,5,FALSE),"")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IFERROR(VLOOKUP($A297&amp;"_"&amp;$B297,Results_Deltas!$A$2:$P$15000,5,FALSE),"")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IFERROR(VLOOKUP($A193&amp;"_"&amp;$B193,Results_Deltas!$A$2:$P$15000,5,FALSE),"")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IFERROR(VLOOKUP($A298&amp;"_"&amp;$B298,Results_Deltas!$A$2:$P$15000,5,FALSE),"")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IFERROR(VLOOKUP($A257&amp;"_"&amp;$B257,Results_Deltas!$A$2:$P$15000,5,FALSE),"")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IFERROR(VLOOKUP($A168&amp;"_"&amp;$B168,Results_Deltas!$A$2:$P$15000,5,FALSE),"")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IFERROR(VLOOKUP($A265&amp;"_"&amp;$B265,Results_Deltas!$A$2:$P$15000,5,FALSE),"")</f>
        <v/>
      </c>
      <c r="H97" t="inlineStr">
        <is>
          <t>Blanket (page end)</t>
        </is>
      </c>
      <c r="L97" t="inlineStr">
        <is>
          <t>YES</t>
        </is>
      </c>
      <c r="M97" t="n">
        <v>26</v>
      </c>
      <c r="N97" t="n">
        <v>0</v>
      </c>
    </row>
    <row r="98" ht="10.5" customHeight="1" s="67">
      <c r="A98" t="inlineStr">
        <is>
          <t>GR_FILTER_VEC_MIN_TFS</t>
        </is>
      </c>
      <c r="B98" t="inlineStr">
        <is>
          <t>2</t>
        </is>
      </c>
      <c r="D98" t="inlineStr">
        <is>
          <t>GLOBAL_CHECK</t>
        </is>
      </c>
      <c r="G98">
        <f>IFERROR(VLOOKUP($A216&amp;"_"&amp;$B216,Results_Deltas!$A$2:$P$15000,5,FALSE),"")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IFERROR(VLOOKUP($A303&amp;"_"&amp;$B303,Results_Deltas!$A$2:$P$15000,5,FALSE),"")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IFERROR(VLOOKUP($A180&amp;"_"&amp;$B180,Results_Deltas!$A$2:$P$15000,5,FALSE),"")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IFERROR(VLOOKUP($A311&amp;"_"&amp;$B311,Results_Deltas!$A$2:$P$15000,5,FALSE),"")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IFERROR(VLOOKUP($A161&amp;"_"&amp;$B161,Results_Deltas!$A$2:$P$15000,5,FALSE),"")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IFERROR(VLOOKUP($A310&amp;"_"&amp;$B310,Results_Deltas!$A$2:$P$15000,5,FALSE),"")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IFERROR(VLOOKUP($A164&amp;"_"&amp;$B164,Results_Deltas!$A$2:$P$15000,5,FALSE),"")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IFERROR(VLOOKUP($A185&amp;"_"&amp;$B185,Results_Deltas!$A$2:$P$15000,5,FALSE),"")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IFERROR(VLOOKUP($A304&amp;"_"&amp;$B304,Results_Deltas!$A$2:$P$15000,5,FALSE),"")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IFERROR(VLOOKUP($A262&amp;"_"&amp;$B262,Results_Deltas!$A$2:$P$15000,5,FALSE),"")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IFERROR(VLOOKUP($A296&amp;"_"&amp;$B296,Results_Deltas!$A$2:$P$15000,5,FALSE),"")</f>
        <v/>
      </c>
      <c r="H108" t="inlineStr">
        <is>
          <t>Blanket (page end)</t>
        </is>
      </c>
      <c r="L108" t="inlineStr">
        <is>
          <t>YES</t>
        </is>
      </c>
      <c r="M108" t="n">
        <v>24</v>
      </c>
      <c r="N108" t="n">
        <v>0</v>
      </c>
    </row>
    <row r="109" ht="10.5" customHeight="1" s="67">
      <c r="A109" t="inlineStr">
        <is>
          <t>HTF_TREND_VETO_BYPASS_ENABLED</t>
        </is>
      </c>
      <c r="B109" t="inlineStr">
        <is>
          <t>True</t>
        </is>
      </c>
      <c r="D109" t="inlineStr">
        <is>
          <t>GLOBAL_CHECK, STOCKS_EXIT</t>
        </is>
      </c>
      <c r="G109">
        <f>IFERROR(VLOOKUP($A245&amp;"_"&amp;$B245,Results_Deltas!$A$2:$P$15000,5,FALSE),"")</f>
        <v/>
      </c>
      <c r="H109" t="inlineStr">
        <is>
          <t>Blanket (page end)</t>
        </is>
      </c>
      <c r="L109" t="inlineStr">
        <is>
          <t>NO</t>
        </is>
      </c>
      <c r="M109" t="n">
        <v>27</v>
      </c>
      <c r="N109" t="n">
        <v>0</v>
      </c>
    </row>
    <row r="110" ht="10.5" customHeight="1" s="67">
      <c r="A110" t="inlineStr">
        <is>
          <t>LR_BAND_LADDER_TF_BOTTOM</t>
        </is>
      </c>
      <c r="B110" t="inlineStr">
        <is>
          <t>0</t>
        </is>
      </c>
      <c r="D110" t="inlineStr">
        <is>
          <t>GLOBAL_CHECK, STOCKS_EXIT</t>
        </is>
      </c>
      <c r="G110">
        <f>IFERROR(VLOOKUP($A260&amp;"_"&amp;$B260,Results_Deltas!$A$2:$P$15000,5,FALSE),"")</f>
        <v/>
      </c>
      <c r="H110" t="inlineStr">
        <is>
          <t>Blanket (page end)</t>
        </is>
      </c>
      <c r="L110" t="inlineStr">
        <is>
          <t>NO</t>
        </is>
      </c>
      <c r="M110" t="n">
        <v>26</v>
      </c>
      <c r="N110" t="n">
        <v>0</v>
      </c>
    </row>
    <row r="111" ht="10.5" customHeight="1" s="67">
      <c r="A111" t="inlineStr">
        <is>
          <t>HTF4_CONF</t>
        </is>
      </c>
      <c r="B111" t="inlineStr">
        <is>
          <t>False_ALT</t>
        </is>
      </c>
      <c r="D111" t="inlineStr">
        <is>
          <t>GLOBAL_CHECK, STOCKS_EXIT</t>
        </is>
      </c>
      <c r="G111">
        <f>IFERROR(VLOOKUP($A235&amp;"_"&amp;$B235,Results_Deltas!$A$2:$P$15000,5,FALSE),"")</f>
        <v/>
      </c>
      <c r="H111" t="inlineStr">
        <is>
          <t>Blanket (page end)</t>
        </is>
      </c>
      <c r="L111" t="inlineStr">
        <is>
          <t>NO</t>
        </is>
      </c>
      <c r="M111" t="n">
        <v>24</v>
      </c>
      <c r="N111" t="n">
        <v>0</v>
      </c>
    </row>
    <row r="112" ht="10.5" customHeight="1" s="67">
      <c r="A112" t="inlineStr">
        <is>
          <t>LH_HL_FILTER_REQUIRE_BOTH</t>
        </is>
      </c>
      <c r="B112" t="inlineStr">
        <is>
          <t>False_ALT</t>
        </is>
      </c>
      <c r="D112" t="inlineStr">
        <is>
          <t>ENTRY, GLOBAL_CHECK, STOCKS_EXIT</t>
        </is>
      </c>
      <c r="G112">
        <f>IFERROR(VLOOKUP($A255&amp;"_"&amp;$B255,Results_Deltas!$A$2:$P$15000,5,FALSE),"")</f>
        <v/>
      </c>
      <c r="H112" t="inlineStr">
        <is>
          <t>Blanket (page end)</t>
        </is>
      </c>
      <c r="L112" t="inlineStr">
        <is>
          <t>YES</t>
        </is>
      </c>
      <c r="M112" t="n">
        <v>24</v>
      </c>
      <c r="N112" t="n">
        <v>0</v>
      </c>
    </row>
    <row r="113" ht="10.5" customHeight="1" s="67">
      <c r="A113" t="inlineStr">
        <is>
          <t>GR_FILTER_VEC_MIN_TFS</t>
        </is>
      </c>
      <c r="B113" t="inlineStr">
        <is>
          <t>0</t>
        </is>
      </c>
      <c r="D113" t="inlineStr">
        <is>
          <t>GLOBAL_CHECK</t>
        </is>
      </c>
      <c r="G113">
        <f>IFERROR(VLOOKUP($A215&amp;"_"&amp;$B215,Results_Deltas!$A$2:$P$15000,5,FALSE),"")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IFERROR(VLOOKUP($A150&amp;"_"&amp;$B150,Results_Deltas!$A$2:$P$15000,5,FALSE),"")</f>
        <v/>
      </c>
      <c r="H114" t="inlineStr">
        <is>
          <t>Blanket (page end)</t>
        </is>
      </c>
      <c r="L114" t="inlineStr">
        <is>
          <t>NO</t>
        </is>
      </c>
      <c r="M114" t="n">
        <v>24</v>
      </c>
      <c r="N114" t="n">
        <v>0</v>
      </c>
    </row>
    <row r="115" ht="10.5" customHeight="1" s="67">
      <c r="A115" t="inlineStr">
        <is>
          <t>LEADERBOARD_FILTER</t>
        </is>
      </c>
      <c r="B115" t="inlineStr">
        <is>
          <t>False_ALT</t>
        </is>
      </c>
      <c r="D115" t="inlineStr">
        <is>
          <t>AUGMENT, ENTRY, EXIT, GLOBAL_CHECK, REDUCE, STOCKS_EXIT</t>
        </is>
      </c>
      <c r="G115">
        <f>IFERROR(VLOOKUP($A249&amp;"_"&amp;$B249,Results_Deltas!$A$2:$P$15000,5,FALSE),"")</f>
        <v/>
      </c>
      <c r="H115" t="inlineStr">
        <is>
          <t>Blanket (page end)</t>
        </is>
      </c>
      <c r="L115" t="inlineStr">
        <is>
          <t>NO</t>
        </is>
      </c>
      <c r="M115" t="n">
        <v>24</v>
      </c>
      <c r="N115" t="n">
        <v>0</v>
      </c>
    </row>
    <row r="116" ht="10.5" customHeight="1" s="67">
      <c r="A116" t="inlineStr">
        <is>
          <t>FUNDING_GATE_LONG_MAX</t>
        </is>
      </c>
      <c r="B116" t="inlineStr">
        <is>
          <t>0.0</t>
        </is>
      </c>
      <c r="D116" t="inlineStr">
        <is>
          <t>ENTRY, GLOBAL_CHECK, STOCKS_EXIT</t>
        </is>
      </c>
      <c r="G116">
        <f>IFERROR(VLOOKUP($A203&amp;"_"&amp;$B203,Results_Deltas!$A$2:$P$15000,5,FALSE),"")</f>
        <v/>
      </c>
      <c r="H116" t="inlineStr">
        <is>
          <t>Blanket (page end)</t>
        </is>
      </c>
      <c r="L116" t="inlineStr">
        <is>
          <t>NO</t>
        </is>
      </c>
      <c r="M116" t="n">
        <v>24</v>
      </c>
      <c r="N116" t="n">
        <v>0</v>
      </c>
    </row>
    <row r="117" ht="10.5" customHeight="1" s="67">
      <c r="A117" t="inlineStr">
        <is>
          <t>FUNDING_GATE_LONG_MAX</t>
        </is>
      </c>
      <c r="B117" t="inlineStr">
        <is>
          <t>0.0_ALT</t>
        </is>
      </c>
      <c r="D117" t="inlineStr">
        <is>
          <t>ENTRY, GLOBAL_CHECK, STOCKS_EXIT</t>
        </is>
      </c>
      <c r="G117">
        <f>IFERROR(VLOOKUP($A204&amp;"_"&amp;$B204,Results_Deltas!$A$2:$P$15000,5,FALSE),"")</f>
        <v/>
      </c>
      <c r="H117" t="inlineStr">
        <is>
          <t>Blanket (page end)</t>
        </is>
      </c>
      <c r="L117" t="inlineStr">
        <is>
          <t>NO</t>
        </is>
      </c>
      <c r="M117" t="n">
        <v>24</v>
      </c>
      <c r="N117" t="n">
        <v>0</v>
      </c>
    </row>
    <row r="118" ht="10.5" customHeight="1" s="67">
      <c r="A118" t="inlineStr">
        <is>
          <t>FUNDING_GATE_MTF_REQUIRED</t>
        </is>
      </c>
      <c r="B118" t="inlineStr">
        <is>
          <t>0.0</t>
        </is>
      </c>
      <c r="D118" t="inlineStr">
        <is>
          <t>ENTRY, GLOBAL_CHECK, STOCKS_EXIT</t>
        </is>
      </c>
      <c r="G118">
        <f>IFERROR(VLOOKUP($A205&amp;"_"&amp;$B205,Results_Deltas!$A$2:$P$15000,5,FALSE),"")</f>
        <v/>
      </c>
      <c r="H118" t="inlineStr">
        <is>
          <t>Blanket (page end)</t>
        </is>
      </c>
      <c r="L118" t="inlineStr">
        <is>
          <t>NO</t>
        </is>
      </c>
      <c r="M118" t="n">
        <v>24</v>
      </c>
      <c r="N118" t="n">
        <v>0</v>
      </c>
    </row>
    <row r="119" ht="10.5" customHeight="1" s="67">
      <c r="A119" t="inlineStr">
        <is>
          <t>FUNDING_GATE_MTF_REQUIRED</t>
        </is>
      </c>
      <c r="B119" t="inlineStr">
        <is>
          <t>0.0_ALT</t>
        </is>
      </c>
      <c r="D119" t="inlineStr">
        <is>
          <t>ENTRY, GLOBAL_CHECK, STOCKS_EXIT</t>
        </is>
      </c>
      <c r="G119">
        <f>IFERROR(VLOOKUP($A206&amp;"_"&amp;$B206,Results_Deltas!$A$2:$P$15000,5,FALSE),"")</f>
        <v/>
      </c>
      <c r="H119" t="inlineStr">
        <is>
          <t>Blanket (page end)</t>
        </is>
      </c>
      <c r="L119" t="inlineStr">
        <is>
          <t>NO</t>
        </is>
      </c>
      <c r="M119" t="n">
        <v>24</v>
      </c>
      <c r="N119" t="n">
        <v>0</v>
      </c>
    </row>
    <row r="120" ht="10.5" customHeight="1" s="67">
      <c r="A120" t="inlineStr">
        <is>
          <t>FUNDING_GATE_SHORT_MIN</t>
        </is>
      </c>
      <c r="B120" t="inlineStr">
        <is>
          <t>0.0</t>
        </is>
      </c>
      <c r="D120" t="inlineStr">
        <is>
          <t>ENTRY, GLOBAL_CHECK, STOCKS_EXIT</t>
        </is>
      </c>
      <c r="G120">
        <f>IFERROR(VLOOKUP($A207&amp;"_"&amp;$B207,Results_Deltas!$A$2:$P$15000,5,FALSE),"")</f>
        <v/>
      </c>
      <c r="H120" t="inlineStr">
        <is>
          <t>Blanket (page end)</t>
        </is>
      </c>
      <c r="L120" t="inlineStr">
        <is>
          <t>NO</t>
        </is>
      </c>
      <c r="M120" t="n">
        <v>24</v>
      </c>
      <c r="N120" t="n">
        <v>0</v>
      </c>
    </row>
    <row r="121" ht="10.5" customHeight="1" s="67">
      <c r="A121" t="inlineStr">
        <is>
          <t>FUNDING_GATE_SHORT_MIN</t>
        </is>
      </c>
      <c r="B121" t="inlineStr">
        <is>
          <t>0.0_ALT</t>
        </is>
      </c>
      <c r="D121" t="inlineStr">
        <is>
          <t>ENTRY, GLOBAL_CHECK, STOCKS_EXIT</t>
        </is>
      </c>
      <c r="G121">
        <f>IFERROR(VLOOKUP($A208&amp;"_"&amp;$B208,Results_Deltas!$A$2:$P$15000,5,FALSE),"")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IFERROR(VLOOKUP($A146&amp;"_"&amp;$B146,Results_Deltas!$A$2:$P$15000,5,FALSE),"")</f>
        <v/>
      </c>
      <c r="H122" t="inlineStr">
        <is>
          <t>Blanket (page end)</t>
        </is>
      </c>
      <c r="L122" t="inlineStr">
        <is>
          <t>NO</t>
        </is>
      </c>
      <c r="M122" t="n">
        <v>24</v>
      </c>
      <c r="N122" t="n">
        <v>0</v>
      </c>
    </row>
    <row r="123" ht="10.5" customHeight="1" s="67">
      <c r="A123" t="inlineStr">
        <is>
          <t>FUNDING_GATE_FILTER_TF</t>
        </is>
      </c>
      <c r="B123" t="inlineStr">
        <is>
          <t>15m</t>
        </is>
      </c>
      <c r="D123" t="inlineStr">
        <is>
          <t>GLOBAL_CHECK</t>
        </is>
      </c>
      <c r="G123">
        <f>IFERROR(VLOOKUP($A202&amp;"_"&amp;$B202,Results_Deltas!$A$2:$P$15000,5,FALSE),"")</f>
        <v/>
      </c>
      <c r="H123" t="inlineStr">
        <is>
          <t>Blanket (page end)</t>
        </is>
      </c>
      <c r="L123" t="inlineStr">
        <is>
          <t>YES</t>
        </is>
      </c>
      <c r="M123" t="n">
        <v>3</v>
      </c>
      <c r="N123" t="n">
        <v>0</v>
      </c>
    </row>
    <row r="124" ht="10.5" customHeight="1" s="67">
      <c r="A124" t="inlineStr">
        <is>
          <t>LH_HL_FILTER_REQUIRE_BOTH</t>
        </is>
      </c>
      <c r="B124" t="inlineStr">
        <is>
          <t>False</t>
        </is>
      </c>
      <c r="D124" t="inlineStr">
        <is>
          <t>ENTRY, GLOBAL_CHECK, STOCKS_EXIT</t>
        </is>
      </c>
      <c r="G124">
        <f>IFERROR(VLOOKUP($A254&amp;"_"&amp;$B254,Results_Deltas!$A$2:$P$15000,5,FALSE),"")</f>
        <v/>
      </c>
      <c r="H124" t="inlineStr">
        <is>
          <t>Blanket (page end)</t>
        </is>
      </c>
      <c r="L124" t="inlineStr">
        <is>
          <t>NO</t>
        </is>
      </c>
      <c r="M124" t="n">
        <v>9</v>
      </c>
      <c r="N124" t="n">
        <v>0</v>
      </c>
    </row>
    <row r="125" ht="10.5" customHeight="1" s="67">
      <c r="A125" t="inlineStr">
        <is>
          <t>HTF_GATE_MIN_CONFIRMATIONS</t>
        </is>
      </c>
      <c r="B125" t="inlineStr">
        <is>
          <t>0.0</t>
        </is>
      </c>
      <c r="D125" t="inlineStr">
        <is>
          <t>ENTRY, GLOBAL_CHECK, STOCKS_EXIT</t>
        </is>
      </c>
      <c r="G125">
        <f>IFERROR(VLOOKUP($A242&amp;"_"&amp;$B242,Results_Deltas!$A$2:$P$15000,5,FALSE),"")</f>
        <v/>
      </c>
      <c r="H125" t="inlineStr">
        <is>
          <t>Blanket (page end)</t>
        </is>
      </c>
      <c r="L125" t="inlineStr">
        <is>
          <t>NO</t>
        </is>
      </c>
      <c r="M125" t="n">
        <v>24</v>
      </c>
      <c r="N125" t="n">
        <v>0</v>
      </c>
    </row>
    <row r="126" ht="10.5" customHeight="1" s="67">
      <c r="A126" t="inlineStr">
        <is>
          <t>HTF_GATE_MIN_CONFIRMATIONS</t>
        </is>
      </c>
      <c r="B126" t="inlineStr">
        <is>
          <t>0.0_ALT</t>
        </is>
      </c>
      <c r="D126" t="inlineStr">
        <is>
          <t>ENTRY, GLOBAL_CHECK, STOCKS_EXIT</t>
        </is>
      </c>
      <c r="G126">
        <f>IFERROR(VLOOKUP($A243&amp;"_"&amp;$B243,Results_Deltas!$A$2:$P$15000,5,FALSE),"")</f>
        <v/>
      </c>
      <c r="H126" t="inlineStr">
        <is>
          <t>Blanket (page end)</t>
        </is>
      </c>
      <c r="L126" t="inlineStr">
        <is>
          <t>NO</t>
        </is>
      </c>
      <c r="M126" t="n">
        <v>24</v>
      </c>
      <c r="N126" t="n">
        <v>0</v>
      </c>
    </row>
    <row r="127" ht="10.5" customHeight="1" s="67">
      <c r="A127" t="inlineStr">
        <is>
          <t>GR_FILTER_ALL_ENTRIES</t>
        </is>
      </c>
      <c r="B127" t="inlineStr">
        <is>
          <t>0.0</t>
        </is>
      </c>
      <c r="D127" t="inlineStr">
        <is>
          <t>GLOBAL_CHECK, STOCKS_EXIT</t>
        </is>
      </c>
      <c r="G127">
        <f>IFERROR(VLOOKUP($A211&amp;"_"&amp;$B211,Results_Deltas!$A$2:$P$15000,5,FALSE),"")</f>
        <v/>
      </c>
      <c r="H127" t="inlineStr">
        <is>
          <t>Blanket (page end)</t>
        </is>
      </c>
      <c r="L127" t="inlineStr">
        <is>
          <t>NO</t>
        </is>
      </c>
      <c r="M127" t="n">
        <v>24</v>
      </c>
      <c r="N127" t="n">
        <v>0</v>
      </c>
    </row>
    <row r="128" ht="10.5" customHeight="1" s="67">
      <c r="A128" t="inlineStr">
        <is>
          <t>GR_FILTER_ALL_ENTRIES</t>
        </is>
      </c>
      <c r="B128" t="inlineStr">
        <is>
          <t>0.0_ALT</t>
        </is>
      </c>
      <c r="D128" t="inlineStr">
        <is>
          <t>GLOBAL_CHECK, STOCKS_EXIT</t>
        </is>
      </c>
      <c r="G128">
        <f>IFERROR(VLOOKUP($A212&amp;"_"&amp;$B212,Results_Deltas!$A$2:$P$15000,5,FALSE),"")</f>
        <v/>
      </c>
      <c r="H128" t="inlineStr">
        <is>
          <t>Blanket (page end)</t>
        </is>
      </c>
      <c r="L128" t="inlineStr">
        <is>
          <t>NO</t>
        </is>
      </c>
      <c r="M128" t="n">
        <v>24</v>
      </c>
      <c r="N128" t="n">
        <v>0</v>
      </c>
    </row>
    <row r="129" ht="10.5" customHeight="1" s="67">
      <c r="A129" t="inlineStr">
        <is>
          <t>HA_WICK_QUALITY_ENABLED</t>
        </is>
      </c>
      <c r="B129" t="inlineStr">
        <is>
          <t>False</t>
        </is>
      </c>
      <c r="D129" t="inlineStr">
        <is>
          <t>ENTRY, GLOBAL_CHECK, STOCKS_EXIT</t>
        </is>
      </c>
      <c r="G129">
        <f>IFERROR(VLOOKUP($A218&amp;"_"&amp;$B218,Results_Deltas!$A$2:$P$15000,5,FALSE),"")</f>
        <v/>
      </c>
      <c r="H129" t="inlineStr">
        <is>
          <t>Blanket (page end)</t>
        </is>
      </c>
      <c r="L129" t="inlineStr">
        <is>
          <t>NO</t>
        </is>
      </c>
      <c r="M129" t="n">
        <v>9</v>
      </c>
      <c r="N129" t="n">
        <v>0</v>
      </c>
    </row>
    <row r="130" ht="10.5" customHeight="1" s="67">
      <c r="A130" t="inlineStr">
        <is>
          <t>GOLDEN_RULE_BASE_USD</t>
        </is>
      </c>
      <c r="B130" t="inlineStr">
        <is>
          <t>0.0_ALT</t>
        </is>
      </c>
      <c r="D130" t="inlineStr">
        <is>
          <t>GLOBAL_CHECK, STOCKS_EXIT</t>
        </is>
      </c>
      <c r="G130">
        <f>IFERROR(VLOOKUP($A210&amp;"_"&amp;$B210,Results_Deltas!$A$2:$P$15000,5,FALSE),"")</f>
        <v/>
      </c>
      <c r="H130" t="inlineStr">
        <is>
          <t>Blanket (page end)</t>
        </is>
      </c>
      <c r="L130" t="inlineStr">
        <is>
          <t>NO</t>
        </is>
      </c>
      <c r="M130" t="n">
        <v>24</v>
      </c>
      <c r="N130" t="n">
        <v>0</v>
      </c>
    </row>
    <row r="131" ht="10.5" customHeight="1" s="67">
      <c r="A131" t="inlineStr">
        <is>
          <t>GOLDEN_RULE_BASE_USD</t>
        </is>
      </c>
      <c r="B131" t="inlineStr">
        <is>
          <t>0.0</t>
        </is>
      </c>
      <c r="D131" t="inlineStr">
        <is>
          <t>GLOBAL_CHECK, STOCKS_EXIT</t>
        </is>
      </c>
      <c r="G131">
        <f>IFERROR(VLOOKUP($A209&amp;"_"&amp;$B209,Results_Deltas!$A$2:$P$15000,5,FALSE),"")</f>
        <v/>
      </c>
      <c r="H131" t="inlineStr">
        <is>
          <t>Blanket (page end)</t>
        </is>
      </c>
      <c r="L131" t="inlineStr">
        <is>
          <t>NO</t>
        </is>
      </c>
      <c r="M131" t="n">
        <v>24</v>
      </c>
      <c r="N131" t="n">
        <v>0</v>
      </c>
    </row>
    <row r="132" ht="10.5" customHeight="1" s="67">
      <c r="A132" t="inlineStr">
        <is>
          <t>LEADERBOARD_FILTER</t>
        </is>
      </c>
      <c r="B132" t="inlineStr">
        <is>
          <t>False</t>
        </is>
      </c>
      <c r="D132" t="inlineStr">
        <is>
          <t>AUGMENT, ENTRY, EXIT, GLOBAL_CHECK, REDUCE, STOCKS_EXIT</t>
        </is>
      </c>
      <c r="G132">
        <f>IFERROR(VLOOKUP($A248&amp;"_"&amp;$B248,Results_Deltas!$A$2:$P$15000,5,FALSE),"")</f>
        <v/>
      </c>
      <c r="H132" t="inlineStr">
        <is>
          <t>Blanket (page end)</t>
        </is>
      </c>
      <c r="L132" t="inlineStr">
        <is>
          <t>NO</t>
        </is>
      </c>
      <c r="M132" t="n">
        <v>9</v>
      </c>
      <c r="N132" t="n">
        <v>0</v>
      </c>
    </row>
    <row r="133" ht="10.5" customHeight="1" s="67">
      <c r="A133" t="inlineStr">
        <is>
          <t>HTF4_CONF</t>
        </is>
      </c>
      <c r="B133" t="inlineStr">
        <is>
          <t>False</t>
        </is>
      </c>
      <c r="D133" t="inlineStr">
        <is>
          <t>GLOBAL_CHECK, STOCKS_EXIT</t>
        </is>
      </c>
      <c r="G133">
        <f>IFERROR(VLOOKUP($A234&amp;"_"&amp;$B234,Results_Deltas!$A$2:$P$15000,5,FALSE),"")</f>
        <v/>
      </c>
      <c r="H133" t="inlineStr">
        <is>
          <t>Blanket (page end)</t>
        </is>
      </c>
      <c r="L133" t="inlineStr">
        <is>
          <t>NO</t>
        </is>
      </c>
      <c r="M133" t="n">
        <v>9</v>
      </c>
      <c r="N133" t="n">
        <v>0</v>
      </c>
    </row>
    <row r="134" ht="10.5" customHeight="1" s="67">
      <c r="A134" t="inlineStr">
        <is>
          <t>LH_HL_FILTER_ENABLED</t>
        </is>
      </c>
      <c r="B134" t="inlineStr">
        <is>
          <t>False</t>
        </is>
      </c>
      <c r="D134" t="inlineStr">
        <is>
          <t>ENTRY, GLOBAL_CHECK, STOCKS_EXIT</t>
        </is>
      </c>
      <c r="G134">
        <f>IFERROR(VLOOKUP($A250&amp;"_"&amp;$B250,Results_Deltas!$A$2:$P$15000,5,FALSE),"")</f>
        <v/>
      </c>
      <c r="H134" t="inlineStr">
        <is>
          <t>Blanket (page end)</t>
        </is>
      </c>
      <c r="L134" t="inlineStr">
        <is>
          <t>NO</t>
        </is>
      </c>
      <c r="M134" t="n">
        <v>9</v>
      </c>
      <c r="N134" t="n">
        <v>0</v>
      </c>
    </row>
    <row r="135" ht="10.5" customHeight="1" s="67">
      <c r="A135" t="inlineStr">
        <is>
          <t>GR_FILTER_VEC_ENABLED</t>
        </is>
      </c>
      <c r="B135" t="inlineStr">
        <is>
          <t>False</t>
        </is>
      </c>
      <c r="D135" t="inlineStr">
        <is>
          <t>GLOBAL_CHECK</t>
        </is>
      </c>
      <c r="G135">
        <f>IFERROR(VLOOKUP($A213&amp;"_"&amp;$B213,Results_Deltas!$A$2:$P$15000,5,FALSE),"")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IFERROR(VLOOKUP($A177&amp;"_"&amp;$B177,Results_Deltas!$A$2:$P$15000,5,FALSE),"")</f>
        <v/>
      </c>
      <c r="H136" t="inlineStr">
        <is>
          <t>Blanket (page end)</t>
        </is>
      </c>
      <c r="L136" t="inlineStr">
        <is>
          <t>YES</t>
        </is>
      </c>
      <c r="M136" t="n">
        <v>3</v>
      </c>
      <c r="N136" t="n">
        <v>0</v>
      </c>
    </row>
    <row r="137" ht="15.75" customHeight="1" s="67">
      <c r="A137" t="inlineStr">
        <is>
          <t>OI_CONFIRM_ENABLED</t>
        </is>
      </c>
      <c r="B137" t="inlineStr">
        <is>
          <t>False</t>
        </is>
      </c>
      <c r="D137" t="inlineStr">
        <is>
          <t>ENTRY, GLOBAL_CHECK, STOCKS_EXIT</t>
        </is>
      </c>
      <c r="G137">
        <f>IFERROR(VLOOKUP($A305&amp;"_"&amp;$B305,Results_Deltas!$A$2:$P$15000,5,FALSE),"")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IFERROR(VLOOKUP($A182&amp;"_"&amp;$B182,Results_Deltas!$A$2:$P$15000,5,FALSE),"")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IFERROR(VLOOKUP($A293&amp;"_"&amp;$B293,Results_Deltas!$A$2:$P$15000,5,FALSE),"")</f>
        <v/>
      </c>
      <c r="H139" t="inlineStr">
        <is>
          <t>Blanket (page end)</t>
        </is>
      </c>
      <c r="L139" t="inlineStr">
        <is>
          <t>NO</t>
        </is>
      </c>
      <c r="M139" t="n">
        <v>9</v>
      </c>
      <c r="N139" t="n">
        <v>0</v>
      </c>
    </row>
    <row r="140" ht="10.5" customHeight="1" s="67">
      <c r="A140" t="inlineStr">
        <is>
          <t>MI_TF_AGREE_MIN</t>
        </is>
      </c>
      <c r="B140" t="inlineStr">
        <is>
          <t>0.0</t>
        </is>
      </c>
      <c r="D140" t="inlineStr">
        <is>
          <t>ENTRY, GLOBAL_CHECK, STOCKS_EXIT</t>
        </is>
      </c>
      <c r="G140">
        <f>IFERROR(VLOOKUP($A275&amp;"_"&amp;$B275,Results_Deltas!$A$2:$P$15000,5,FALSE),"")</f>
        <v/>
      </c>
      <c r="H140" t="inlineStr">
        <is>
          <t>Blanket (page end)</t>
        </is>
      </c>
      <c r="L140" t="inlineStr">
        <is>
          <t>NO</t>
        </is>
      </c>
      <c r="M140" t="n">
        <v>24</v>
      </c>
      <c r="N140" t="n">
        <v>0</v>
      </c>
    </row>
    <row r="141" ht="10.5" customHeight="1" s="67">
      <c r="A141" t="inlineStr">
        <is>
          <t>MI_TF_AGREE_MIN</t>
        </is>
      </c>
      <c r="B141" t="inlineStr">
        <is>
          <t>0.0_ALT</t>
        </is>
      </c>
      <c r="D141" t="inlineStr">
        <is>
          <t>ENTRY, GLOBAL_CHECK, STOCKS_EXIT</t>
        </is>
      </c>
      <c r="G141">
        <f>IFERROR(VLOOKUP($A276&amp;"_"&amp;$B276,Results_Deltas!$A$2:$P$15000,5,FALSE),"")</f>
        <v/>
      </c>
      <c r="H141" t="inlineStr">
        <is>
          <t>Blanket (page end)</t>
        </is>
      </c>
      <c r="L141" t="inlineStr">
        <is>
          <t>NO</t>
        </is>
      </c>
      <c r="M141" t="n">
        <v>24</v>
      </c>
      <c r="N141" t="n">
        <v>0</v>
      </c>
    </row>
    <row r="142" ht="10.5" customHeight="1" s="67">
      <c r="A142" t="inlineStr">
        <is>
          <t>HLR_SMA_BAND_PCT</t>
        </is>
      </c>
      <c r="B142" t="inlineStr">
        <is>
          <t>0</t>
        </is>
      </c>
      <c r="D142" t="inlineStr">
        <is>
          <t>ENTRY, GLOBAL_CHECK, STOCKS_EXIT</t>
        </is>
      </c>
      <c r="G142">
        <f>IFERROR(VLOOKUP($A227&amp;"_"&amp;$B227,Results_Deltas!$A$2:$P$15000,5,FALSE),"")</f>
        <v/>
      </c>
      <c r="H142" t="inlineStr">
        <is>
          <t>Blanket (page end)</t>
        </is>
      </c>
      <c r="L142" t="inlineStr">
        <is>
          <t>NO</t>
        </is>
      </c>
      <c r="M142" t="n">
        <v>24</v>
      </c>
      <c r="N142" t="n">
        <v>0</v>
      </c>
    </row>
    <row r="143" ht="10.5" customHeight="1" s="67">
      <c r="A143" t="inlineStr">
        <is>
          <t>EXECUTE_NOW_SINGLE_GATE_ENFORCE</t>
        </is>
      </c>
      <c r="B143" t="inlineStr">
        <is>
          <t>0.0_ALT</t>
        </is>
      </c>
      <c r="D143" t="inlineStr">
        <is>
          <t>ENTRY, GLOBAL_CHECK, STOCKS_EXIT</t>
        </is>
      </c>
      <c r="G143">
        <f>IFERROR(VLOOKUP($A187&amp;"_"&amp;$B187,Results_Deltas!$A$2:$P$15000,5,FALSE),"")</f>
        <v/>
      </c>
      <c r="H143" t="inlineStr">
        <is>
          <t>Blanket (page end)</t>
        </is>
      </c>
      <c r="L143" t="inlineStr">
        <is>
          <t>NO</t>
        </is>
      </c>
      <c r="M143" t="n">
        <v>24</v>
      </c>
      <c r="N143" t="n">
        <v>0</v>
      </c>
    </row>
    <row r="144" ht="10.5" customHeight="1" s="67">
      <c r="A144" t="inlineStr">
        <is>
          <t>EXECUTE_NOW_SINGLE_GATE_ENFORCE</t>
        </is>
      </c>
      <c r="B144" t="inlineStr">
        <is>
          <t>0.0</t>
        </is>
      </c>
      <c r="D144" t="inlineStr">
        <is>
          <t>ENTRY, GLOBAL_CHECK, STOCKS_EXIT</t>
        </is>
      </c>
      <c r="G144">
        <f>IFERROR(VLOOKUP($A186&amp;"_"&amp;$B186,Results_Deltas!$A$2:$P$15000,5,FALSE),"")</f>
        <v/>
      </c>
      <c r="H144" t="inlineStr">
        <is>
          <t>Blanket (page end)</t>
        </is>
      </c>
      <c r="L144" t="inlineStr">
        <is>
          <t>NO</t>
        </is>
      </c>
      <c r="M144" t="n">
        <v>24</v>
      </c>
      <c r="N144" t="n">
        <v>0</v>
      </c>
    </row>
    <row r="145" ht="10.5" customHeight="1" s="67">
      <c r="A145" t="inlineStr">
        <is>
          <t>HLR_TOP_MIN_TFS</t>
        </is>
      </c>
      <c r="B145" t="inlineStr">
        <is>
          <t>0</t>
        </is>
      </c>
      <c r="D145" t="inlineStr">
        <is>
          <t>GLOBAL_CHECK, REENTRY, STOCKS_EXIT</t>
        </is>
      </c>
      <c r="G145">
        <f>IFERROR(VLOOKUP($A231&amp;"_"&amp;$B231,Results_Deltas!$A$2:$P$15000,5,FALSE),"")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IFERROR(VLOOKUP($A160&amp;"_"&amp;$B160,Results_Deltas!$A$2:$P$15000,5,FALSE),"")</f>
        <v/>
      </c>
      <c r="H146" t="inlineStr">
        <is>
          <t>Blanket (page end)</t>
        </is>
      </c>
      <c r="L146" t="inlineStr">
        <is>
          <t>YES</t>
        </is>
      </c>
      <c r="M146" t="n">
        <v>3</v>
      </c>
      <c r="N146" t="n">
        <v>0</v>
      </c>
    </row>
    <row r="147" ht="10.5" customHeight="1" s="67">
      <c r="A147" t="inlineStr">
        <is>
          <t>HA_WICK_QUALITY_TF</t>
        </is>
      </c>
      <c r="B147" t="inlineStr">
        <is>
          <t>15m</t>
        </is>
      </c>
      <c r="D147" t="inlineStr">
        <is>
          <t>ENTRY, GLOBAL_CHECK, STOCKS_EXIT</t>
        </is>
      </c>
      <c r="G147">
        <f>IFERROR(VLOOKUP($A226&amp;"_"&amp;$B226,Results_Deltas!$A$2:$P$15000,5,FALSE),"")</f>
        <v/>
      </c>
      <c r="H147" t="inlineStr">
        <is>
          <t>Blanket (page end)</t>
        </is>
      </c>
      <c r="L147" t="inlineStr">
        <is>
          <t>YES</t>
        </is>
      </c>
      <c r="M147" t="n">
        <v>9</v>
      </c>
      <c r="N147" t="n">
        <v>0</v>
      </c>
    </row>
    <row r="148" ht="10.5" customHeight="1" s="67">
      <c r="A148" t="inlineStr">
        <is>
          <t>EZ_MANAGE_THROTTLER_RATE</t>
        </is>
      </c>
      <c r="B148" t="inlineStr">
        <is>
          <t>0.0</t>
        </is>
      </c>
      <c r="D148" t="inlineStr">
        <is>
          <t>GLOBAL_CHECK, STOCKS_EXIT</t>
        </is>
      </c>
      <c r="G148">
        <f>IFERROR(VLOOKUP($A188&amp;"_"&amp;$B188,Results_Deltas!$A$2:$P$15000,5,FALSE),"")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IFERROR(VLOOKUP($A189&amp;"_"&amp;$B189,Results_Deltas!$A$2:$P$15000,5,FALSE),"")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IFERROR(VLOOKUP($A154&amp;"_"&amp;$B154,Results_Deltas!$A$2:$P$15000,5,FALSE),"")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IFERROR(VLOOKUP($A301&amp;"_"&amp;$B301,Results_Deltas!$A$2:$P$15000,5,FALSE),"")</f>
        <v/>
      </c>
      <c r="H151" t="inlineStr">
        <is>
          <t>Blanket (page end)</t>
        </is>
      </c>
      <c r="L151" t="inlineStr">
        <is>
          <t>NO</t>
        </is>
      </c>
      <c r="M151" t="n">
        <v>24</v>
      </c>
      <c r="N151" t="n">
        <v>0</v>
      </c>
    </row>
    <row r="152" ht="10.5" customHeight="1" s="67">
      <c r="A152" t="inlineStr">
        <is>
          <t>HTF_GATE_D_MANDATORY</t>
        </is>
      </c>
      <c r="B152" t="inlineStr">
        <is>
          <t>0.0_ALT</t>
        </is>
      </c>
      <c r="D152" t="inlineStr">
        <is>
          <t>ENTRY, GLOBAL_CHECK, STOCKS_EXIT</t>
        </is>
      </c>
      <c r="G152">
        <f>IFERROR(VLOOKUP($A241&amp;"_"&amp;$B241,Results_Deltas!$A$2:$P$15000,5,FALSE),"")</f>
        <v/>
      </c>
      <c r="H152" t="inlineStr">
        <is>
          <t>Blanket (page end)</t>
        </is>
      </c>
      <c r="L152" t="inlineStr">
        <is>
          <t>NO</t>
        </is>
      </c>
      <c r="M152" t="n">
        <v>24</v>
      </c>
      <c r="N152" t="n">
        <v>0</v>
      </c>
    </row>
    <row r="153" ht="10.5" customHeight="1" s="67">
      <c r="A153" t="inlineStr">
        <is>
          <t>DELTA_REENTRY_FILTER_ENABLED</t>
        </is>
      </c>
      <c r="B153" t="inlineStr">
        <is>
          <t>False</t>
        </is>
      </c>
      <c r="D153" t="inlineStr">
        <is>
          <t>ENTRY, GLOBAL_CHECK, STOCKS_EXIT</t>
        </is>
      </c>
      <c r="G153">
        <f>IFERROR(VLOOKUP($A171&amp;"_"&amp;$B171,Results_Deltas!$A$2:$P$15000,5,FALSE),"")</f>
        <v/>
      </c>
      <c r="H153" t="inlineStr">
        <is>
          <t>Blanket (page end)</t>
        </is>
      </c>
      <c r="L153" t="inlineStr">
        <is>
          <t>YES</t>
        </is>
      </c>
      <c r="M153" t="n">
        <v>9</v>
      </c>
      <c r="N153" t="n">
        <v>0</v>
      </c>
    </row>
    <row r="154" ht="10.5" customHeight="1" s="67">
      <c r="A154" t="inlineStr">
        <is>
          <t>HTF_GATE_D_MANDATORY</t>
        </is>
      </c>
      <c r="B154" t="inlineStr">
        <is>
          <t>0.0</t>
        </is>
      </c>
      <c r="D154" t="inlineStr">
        <is>
          <t>ENTRY, GLOBAL_CHECK, STOCKS_EXIT</t>
        </is>
      </c>
      <c r="G154">
        <f>IFERROR(VLOOKUP($A240&amp;"_"&amp;$B240,Results_Deltas!$A$2:$P$15000,5,FALSE),"")</f>
        <v/>
      </c>
      <c r="H154" t="inlineStr">
        <is>
          <t>Blanket (page end)</t>
        </is>
      </c>
      <c r="L154" t="inlineStr">
        <is>
          <t>NO</t>
        </is>
      </c>
      <c r="M154" t="n">
        <v>24</v>
      </c>
      <c r="N154" t="n">
        <v>0</v>
      </c>
    </row>
    <row r="155" ht="10.5" customHeight="1" s="67">
      <c r="A155" t="inlineStr">
        <is>
          <t>MANDATORY_REENTRY_WT_FILTER_REQUIRE_FLIP</t>
        </is>
      </c>
      <c r="B155" t="inlineStr">
        <is>
          <t>False_ALT</t>
        </is>
      </c>
      <c r="D155" t="inlineStr">
        <is>
          <t>GLOBAL_CHECK, STOCKS_EXIT</t>
        </is>
      </c>
      <c r="G155">
        <f>IFERROR(VLOOKUP($A270&amp;"_"&amp;$B270,Results_Deltas!$A$2:$P$15000,5,FALSE),"")</f>
        <v/>
      </c>
      <c r="H155" t="inlineStr">
        <is>
          <t>Blanket (page end)</t>
        </is>
      </c>
      <c r="L155" t="inlineStr">
        <is>
          <t>YES</t>
        </is>
      </c>
      <c r="M155" t="n">
        <v>24</v>
      </c>
      <c r="N155" t="n">
        <v>0</v>
      </c>
    </row>
    <row r="156" ht="10.5" customHeight="1" s="67">
      <c r="A156" t="inlineStr">
        <is>
          <t>MARKET_QUALITY_SCORE_ENABLED</t>
        </is>
      </c>
      <c r="B156" t="inlineStr">
        <is>
          <t>False</t>
        </is>
      </c>
      <c r="D156" t="inlineStr">
        <is>
          <t>ENTRY, GLOBAL_CHECK, STOCKS_EXIT</t>
        </is>
      </c>
      <c r="G156">
        <f>IFERROR(VLOOKUP($A273&amp;"_"&amp;$B273,Results_Deltas!$A$2:$P$15000,5,FALSE),"")</f>
        <v/>
      </c>
      <c r="H156" t="inlineStr">
        <is>
          <t>Blanket (page end)</t>
        </is>
      </c>
      <c r="L156" t="inlineStr">
        <is>
          <t>NO</t>
        </is>
      </c>
      <c r="M156" t="n">
        <v>9</v>
      </c>
      <c r="N156" t="n">
        <v>0</v>
      </c>
    </row>
    <row r="157" ht="10.5" customHeight="1" s="67">
      <c r="A157" t="inlineStr">
        <is>
          <t>HTF_GATE_BYPASS_RZ</t>
        </is>
      </c>
      <c r="B157" t="inlineStr">
        <is>
          <t>0.0</t>
        </is>
      </c>
      <c r="D157" t="inlineStr">
        <is>
          <t>ENTRY, GLOBAL_CHECK, STOCKS_EXIT</t>
        </is>
      </c>
      <c r="G157">
        <f>IFERROR(VLOOKUP($A238&amp;"_"&amp;$B238,Results_Deltas!$A$2:$P$15000,5,FALSE),"")</f>
        <v/>
      </c>
      <c r="H157" t="inlineStr">
        <is>
          <t>Blanket (page end)</t>
        </is>
      </c>
      <c r="L157" t="inlineStr">
        <is>
          <t>NO</t>
        </is>
      </c>
      <c r="M157" t="n">
        <v>24</v>
      </c>
      <c r="N157" t="n">
        <v>0</v>
      </c>
    </row>
    <row r="158" ht="10.5" customHeight="1" s="67">
      <c r="A158" t="inlineStr">
        <is>
          <t>HTF_GATE_BYPASS_RZ</t>
        </is>
      </c>
      <c r="B158" t="inlineStr">
        <is>
          <t>0.0_ALT</t>
        </is>
      </c>
      <c r="D158" t="inlineStr">
        <is>
          <t>ENTRY, GLOBAL_CHECK, STOCKS_EXIT</t>
        </is>
      </c>
      <c r="G158">
        <f>IFERROR(VLOOKUP($A239&amp;"_"&amp;$B239,Results_Deltas!$A$2:$P$15000,5,FALSE),"")</f>
        <v/>
      </c>
      <c r="H158" t="inlineStr">
        <is>
          <t>Blanket (page end)</t>
        </is>
      </c>
      <c r="L158" t="inlineStr">
        <is>
          <t>NO</t>
        </is>
      </c>
      <c r="M158" t="n">
        <v>24</v>
      </c>
      <c r="N158" t="n">
        <v>0</v>
      </c>
    </row>
    <row r="159" ht="10.5" customHeight="1" s="67">
      <c r="A159" t="inlineStr">
        <is>
          <t>HTF_DIRECTION_GATE_ENABLED</t>
        </is>
      </c>
      <c r="B159" t="inlineStr">
        <is>
          <t>False</t>
        </is>
      </c>
      <c r="D159" t="inlineStr">
        <is>
          <t>ENTRY, GLOBAL_CHECK, STOCKS_EXIT</t>
        </is>
      </c>
      <c r="G159">
        <f>IFERROR(VLOOKUP($A236&amp;"_"&amp;$B236,Results_Deltas!$A$2:$P$15000,5,FALSE),"")</f>
        <v/>
      </c>
      <c r="H159" t="inlineStr">
        <is>
          <t>Blanket (page end)</t>
        </is>
      </c>
      <c r="L159" t="inlineStr">
        <is>
          <t>NO</t>
        </is>
      </c>
      <c r="M159" t="n">
        <v>9</v>
      </c>
      <c r="N159" t="n">
        <v>0</v>
      </c>
    </row>
    <row r="160" ht="10.5" customHeight="1" s="67">
      <c r="A160" t="inlineStr">
        <is>
          <t>MTF_FILTER_STRONG_BUY_QUICK_BYPASS</t>
        </is>
      </c>
      <c r="B160" t="inlineStr">
        <is>
          <t>0.0</t>
        </is>
      </c>
      <c r="D160" t="inlineStr">
        <is>
          <t>GLOBAL_CHECK, STOCKS_EXIT</t>
        </is>
      </c>
      <c r="G160">
        <f>IFERROR(VLOOKUP($A281&amp;"_"&amp;$B281,Results_Deltas!$A$2:$P$15000,5,FALSE),"")</f>
        <v/>
      </c>
      <c r="H160" t="inlineStr">
        <is>
          <t>Blanket (page end)</t>
        </is>
      </c>
      <c r="L160" t="inlineStr">
        <is>
          <t>NO</t>
        </is>
      </c>
      <c r="M160" t="n">
        <v>24</v>
      </c>
      <c r="N160" t="n">
        <v>0</v>
      </c>
    </row>
    <row r="161" ht="10.5" customHeight="1" s="67">
      <c r="A161" t="inlineStr">
        <is>
          <t>MTF_FILTER_STRONG_BUY_QUICK_BYPASS</t>
        </is>
      </c>
      <c r="B161" t="inlineStr">
        <is>
          <t>0.0_ALT</t>
        </is>
      </c>
      <c r="D161" t="inlineStr">
        <is>
          <t>GLOBAL_CHECK, STOCKS_EXIT</t>
        </is>
      </c>
      <c r="G161">
        <f>IFERROR(VLOOKUP($A282&amp;"_"&amp;$B282,Results_Deltas!$A$2:$P$15000,5,FALSE),"")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IFERROR(VLOOKUP($A299&amp;"_"&amp;$B299,Results_Deltas!$A$2:$P$15000,5,FALSE),"")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IFERROR(VLOOKUP($A300&amp;"_"&amp;$B300,Results_Deltas!$A$2:$P$15000,5,FALSE),"")</f>
        <v/>
      </c>
      <c r="H163" t="inlineStr">
        <is>
          <t>Blanket (page end)</t>
        </is>
      </c>
      <c r="L163" t="inlineStr">
        <is>
          <t>NO</t>
        </is>
      </c>
      <c r="M163" t="n">
        <v>24</v>
      </c>
      <c r="N163" t="n">
        <v>0</v>
      </c>
    </row>
    <row r="164" ht="10.5" customHeight="1" s="67">
      <c r="A164" t="inlineStr">
        <is>
          <t>MANDATORY_REENTRY_WT_FILTER_MIN_VELOCITY</t>
        </is>
      </c>
      <c r="B164" t="inlineStr">
        <is>
          <t>0.0</t>
        </is>
      </c>
      <c r="D164" t="inlineStr">
        <is>
          <t>GLOBAL_CHECK, STOCKS_EXIT</t>
        </is>
      </c>
      <c r="G164">
        <f>IFERROR(VLOOKUP($A267&amp;"_"&amp;$B267,Results_Deltas!$A$2:$P$15000,5,FALSE),"")</f>
        <v/>
      </c>
      <c r="H164" t="inlineStr">
        <is>
          <t>Blanket (page end)</t>
        </is>
      </c>
      <c r="L164" t="inlineStr">
        <is>
          <t>NO</t>
        </is>
      </c>
      <c r="M164" t="n">
        <v>24</v>
      </c>
      <c r="N164" t="n">
        <v>0</v>
      </c>
    </row>
    <row r="165" ht="10.5" customHeight="1" s="67">
      <c r="A165" t="inlineStr">
        <is>
          <t>MANDATORY_REENTRY_WT_FILTER_MIN_VELOCITY</t>
        </is>
      </c>
      <c r="B165" t="inlineStr">
        <is>
          <t>0.0_ALT</t>
        </is>
      </c>
      <c r="D165" t="inlineStr">
        <is>
          <t>GLOBAL_CHECK, STOCKS_EXIT</t>
        </is>
      </c>
      <c r="G165">
        <f>IFERROR(VLOOKUP($A268&amp;"_"&amp;$B268,Results_Deltas!$A$2:$P$15000,5,FALSE),"")</f>
        <v/>
      </c>
      <c r="H165" t="inlineStr">
        <is>
          <t>Blanket (page end)</t>
        </is>
      </c>
      <c r="L165" t="inlineStr">
        <is>
          <t>YES</t>
        </is>
      </c>
      <c r="M165" t="n">
        <v>24</v>
      </c>
      <c r="N165" t="n">
        <v>0</v>
      </c>
    </row>
    <row r="166" ht="10.5" customHeight="1" s="67">
      <c r="A166" t="inlineStr">
        <is>
          <t>HTF_TREND_VETO_BYPASS_REASONS</t>
        </is>
      </c>
      <c r="B166" t="inlineStr">
        <is>
          <t>0.0</t>
        </is>
      </c>
      <c r="D166" t="inlineStr">
        <is>
          <t>GLOBAL_CHECK, STOCKS_EXIT</t>
        </is>
      </c>
      <c r="G166">
        <f>IFERROR(VLOOKUP($A246&amp;"_"&amp;$B246,Results_Deltas!$A$2:$P$15000,5,FALSE),"")</f>
        <v/>
      </c>
      <c r="H166" t="inlineStr">
        <is>
          <t>Blanket (page end)</t>
        </is>
      </c>
      <c r="L166" t="inlineStr">
        <is>
          <t>YES</t>
        </is>
      </c>
      <c r="M166" t="n">
        <v>24</v>
      </c>
      <c r="N166" t="n">
        <v>0</v>
      </c>
    </row>
    <row r="167" ht="15.75" customHeight="1" s="67">
      <c r="A167" t="inlineStr">
        <is>
          <t>NEWBORN_LOSS_KILL_GAIN_THRESHOLD_PCT</t>
        </is>
      </c>
      <c r="B167" t="inlineStr">
        <is>
          <t>0</t>
        </is>
      </c>
      <c r="D167" t="inlineStr">
        <is>
          <t>AUGMENT, EXIT, GLOBAL_CHECK, REDUCE, STOCKS_EXIT</t>
        </is>
      </c>
      <c r="G167">
        <f>IFERROR(VLOOKUP($A295&amp;"_"&amp;$B295,Results_Deltas!$A$2:$P$15000,5,FALSE),"")</f>
        <v/>
      </c>
      <c r="H167" t="inlineStr">
        <is>
          <t>Blanket (page end)</t>
        </is>
      </c>
      <c r="L167" t="inlineStr">
        <is>
          <t>YES</t>
        </is>
      </c>
      <c r="M167" t="n">
        <v>24</v>
      </c>
      <c r="N167" t="n">
        <v>0</v>
      </c>
    </row>
    <row r="168" ht="10.5" customHeight="1" s="67">
      <c r="A168" t="inlineStr">
        <is>
          <t>HTF_TREND_VETO_BYPASS_REASONS</t>
        </is>
      </c>
      <c r="B168" t="inlineStr">
        <is>
          <t>0.0_ALT</t>
        </is>
      </c>
      <c r="D168" t="inlineStr">
        <is>
          <t>GLOBAL_CHECK, STOCKS_EXIT</t>
        </is>
      </c>
      <c r="G168">
        <f>IFERROR(VLOOKUP($A247&amp;"_"&amp;$B247,Results_Deltas!$A$2:$P$15000,5,FALSE),"")</f>
        <v/>
      </c>
      <c r="H168" t="inlineStr">
        <is>
          <t>Blanket (page end)</t>
        </is>
      </c>
      <c r="L168" t="inlineStr">
        <is>
          <t>NO</t>
        </is>
      </c>
      <c r="M168" t="n">
        <v>24</v>
      </c>
      <c r="N168" t="n">
        <v>0</v>
      </c>
    </row>
    <row r="169" ht="10.5" customHeight="1" s="67">
      <c r="A169" t="inlineStr">
        <is>
          <t>MANDATORY_REENTRY_WT_FILTER_REQUIRE_FLIP</t>
        </is>
      </c>
      <c r="B169" t="inlineStr">
        <is>
          <t>False</t>
        </is>
      </c>
      <c r="D169" t="inlineStr">
        <is>
          <t>GLOBAL_CHECK, STOCKS_EXIT</t>
        </is>
      </c>
      <c r="G169">
        <f>IFERROR(VLOOKUP($A269&amp;"_"&amp;$B269,Results_Deltas!$A$2:$P$15000,5,FALSE),"")</f>
        <v/>
      </c>
      <c r="H169" t="inlineStr">
        <is>
          <t>Blanket (page end)</t>
        </is>
      </c>
      <c r="L169" t="inlineStr">
        <is>
          <t>NO</t>
        </is>
      </c>
      <c r="M169" t="n">
        <v>9</v>
      </c>
      <c r="N169" t="n">
        <v>0</v>
      </c>
    </row>
    <row r="170" ht="10.5" customHeight="1" s="67">
      <c r="A170" t="inlineStr">
        <is>
          <t>HTF_TREND_VETO_BYPASS_ENABLED</t>
        </is>
      </c>
      <c r="B170" t="inlineStr">
        <is>
          <t>False</t>
        </is>
      </c>
      <c r="D170" t="inlineStr">
        <is>
          <t>GLOBAL_CHECK, STOCKS_EXIT</t>
        </is>
      </c>
      <c r="G170">
        <f>IFERROR(VLOOKUP($A244&amp;"_"&amp;$B244,Results_Deltas!$A$2:$P$15000,5,FALSE),"")</f>
        <v/>
      </c>
      <c r="H170" t="inlineStr">
        <is>
          <t>Blanket (page end)</t>
        </is>
      </c>
      <c r="L170" t="inlineStr">
        <is>
          <t>NO</t>
        </is>
      </c>
      <c r="M170" t="n">
        <v>9</v>
      </c>
      <c r="N170" t="n">
        <v>0</v>
      </c>
    </row>
    <row r="171" ht="10.5" customHeight="1" s="67">
      <c r="A171" t="inlineStr">
        <is>
          <t>LIVE_VEC_EMERGENCY_BRAKE_ENABLED</t>
        </is>
      </c>
      <c r="B171" t="inlineStr">
        <is>
          <t>False</t>
        </is>
      </c>
      <c r="D171" t="inlineStr">
        <is>
          <t>GLOBAL_CHECK, STOCKS_EXIT</t>
        </is>
      </c>
      <c r="G171">
        <f>IFERROR(VLOOKUP($A256&amp;"_"&amp;$B256,Results_Deltas!$A$2:$P$15000,5,FALSE),"")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UNIVERSAL_NOLOSS_GATE</t>
        </is>
      </c>
      <c r="B3" t="inlineStr">
        <is>
          <t>True</t>
        </is>
      </c>
      <c r="G3">
        <f>IFERROR(VLOOKUP($A4&amp;"_"&amp;$B4,Results_Deltas!$A$2:$P$15000,5,FALSE),"")</f>
        <v/>
      </c>
      <c r="H3">
        <f>IFERROR(VLOOKUP($A4,Results_30d_Deltas!$A$2:$H$5000,7,FALSE)-E3,"")</f>
        <v/>
      </c>
      <c r="I3">
        <f>IFERROR(VLOOKUP($A4,Results_30d_Deltas!$A$2:$H$5000,6,FALSE),"")</f>
        <v/>
      </c>
      <c r="L3" t="inlineStr">
        <is>
          <t>NO</t>
        </is>
      </c>
      <c r="M3" t="n">
        <v>27</v>
      </c>
      <c r="N3" t="n">
        <v>2.309687357550356</v>
      </c>
      <c r="HF3" t="inlineStr">
        <is>
          <t>NOLOSS_BYPASS_WT5OF5_FILTER_TF=OFF</t>
        </is>
      </c>
      <c r="HG3" t="inlineStr">
        <is>
          <t>NOLOSS_BYPASS_WT5OF5_FILTER_TF=D</t>
        </is>
      </c>
      <c r="HH3" t="inlineStr">
        <is>
          <t>NOLOSS_BYPASS_WT5OF5_FILTER_TF=4h</t>
        </is>
      </c>
      <c r="HI3" t="inlineStr">
        <is>
          <t>NOLOSS_BYPASS_WT5OF5_FILTER_TF=1h</t>
        </is>
      </c>
      <c r="HJ3" t="inlineStr">
        <is>
          <t>NOLOSS_BYPASS_WT5OF5_FILTER_TF=15m</t>
        </is>
      </c>
      <c r="IM3" t="inlineStr">
        <is>
          <t>ez_manage.py:4233 top()</t>
        </is>
      </c>
      <c r="IN3" t="inlineStr">
        <is>
          <t>v12_quick_engine.py:837 x18</t>
        </is>
      </c>
    </row>
    <row r="4" ht="10.5" customHeight="1" s="67">
      <c r="A4" t="inlineStr">
        <is>
          <t>UNIVERSAL_NOLOSS_GATE</t>
        </is>
      </c>
      <c r="B4" t="inlineStr">
        <is>
          <t>False</t>
        </is>
      </c>
      <c r="G4">
        <f>IFERROR(VLOOKUP($A3&amp;"="&amp;$B3,Results_Deltas!$A$2:$P$15000,5,FALSE),"")</f>
        <v/>
      </c>
      <c r="H4">
        <f>IFERROR(VLOOKUP($A3,Results_30d_Deltas!$A$2:$H$5000,7,FALSE)-E3,"")</f>
        <v/>
      </c>
      <c r="I4">
        <f>IFERROR(VLOOKUP($A3,Results_30d_Deltas!$A$2:$H$5000,6,FALSE),"")</f>
        <v/>
      </c>
      <c r="L4" t="inlineStr">
        <is>
          <t>YES</t>
        </is>
      </c>
      <c r="M4" t="n">
        <v>21</v>
      </c>
      <c r="N4" t="n">
        <v>1.83213227839757</v>
      </c>
      <c r="HF4" t="inlineStr">
        <is>
          <t>NOLOSS_BYPASS_WT5OF5_FILTER_TF=OFF</t>
        </is>
      </c>
      <c r="HG4" t="inlineStr">
        <is>
          <t>NOLOSS_BYPASS_WT5OF5_FILTER_TF=D</t>
        </is>
      </c>
      <c r="HH4" t="inlineStr">
        <is>
          <t>NOLOSS_BYPASS_WT5OF5_FILTER_TF=4h</t>
        </is>
      </c>
      <c r="HI4" t="inlineStr">
        <is>
          <t>NOLOSS_BYPASS_WT5OF5_FILTER_TF=1h</t>
        </is>
      </c>
      <c r="HJ4" t="inlineStr">
        <is>
          <t>NOLOSS_BYPASS_WT5OF5_FILTER_TF=15m</t>
        </is>
      </c>
      <c r="IM4" t="inlineStr">
        <is>
          <t>ez_manage.py:4233 top()</t>
        </is>
      </c>
      <c r="IN4" t="inlineStr">
        <is>
          <t>v12_quick_engine.py:837 x18</t>
        </is>
      </c>
    </row>
    <row r="5" ht="15.75" customHeight="1" s="67">
      <c r="A5" t="inlineStr">
        <is>
          <t>UNIVERSAL_NOLOSS_GATE</t>
        </is>
      </c>
      <c r="B5" t="inlineStr">
        <is>
          <t>False</t>
        </is>
      </c>
      <c r="G5">
        <f>IFERROR(VLOOKUP($A213&amp;"_"&amp;$B213,Results_Deltas!$A$2:$P$15000,5,FALSE),"")</f>
        <v/>
      </c>
      <c r="H5">
        <f>IFERROR(VLOOKUP($A214,Results_30d_Deltas!$A$2:$H$5000,7,FALSE)-E3,"")</f>
        <v/>
      </c>
      <c r="I5">
        <f>IFERROR(VLOOKUP($A214,Results_30d_Deltas!$A$2:$H$5000,6,FALSE),"")</f>
        <v/>
      </c>
      <c r="L5" t="inlineStr">
        <is>
          <t>YES</t>
        </is>
      </c>
      <c r="M5" t="n">
        <v>21</v>
      </c>
      <c r="N5" t="n">
        <v>1.83213227839757</v>
      </c>
      <c r="HF5" t="inlineStr">
        <is>
          <t>NOLOSS_BYPASS_WT5OF5_FILTER_TF=OFF</t>
        </is>
      </c>
      <c r="HG5" t="inlineStr">
        <is>
          <t>NOLOSS_BYPASS_WT5OF5_FILTER_TF=D</t>
        </is>
      </c>
      <c r="HH5" t="inlineStr">
        <is>
          <t>NOLOSS_BYPASS_WT5OF5_FILTER_TF=4h</t>
        </is>
      </c>
      <c r="HI5" t="inlineStr">
        <is>
          <t>NOLOSS_BYPASS_WT5OF5_FILTER_TF=1h</t>
        </is>
      </c>
      <c r="HJ5" t="inlineStr">
        <is>
          <t>NOLOSS_BYPASS_WT5OF5_FILTER_TF=15m</t>
        </is>
      </c>
      <c r="IM5" t="inlineStr">
        <is>
          <t>ez_manage.py:4233 top()</t>
        </is>
      </c>
      <c r="IN5" t="inlineStr">
        <is>
          <t>v12_quick_engine.py:837 x18</t>
        </is>
      </c>
    </row>
    <row r="6" ht="15.75" customHeight="1" s="67">
      <c r="A6" t="inlineStr">
        <is>
          <t>FG_FEAR_THRESHOLD</t>
        </is>
      </c>
      <c r="B6" t="inlineStr">
        <is>
          <t>31.25</t>
        </is>
      </c>
      <c r="D6" t="inlineStr">
        <is>
          <t>GLOBAL_CHECK, STOCKS_EXIT</t>
        </is>
      </c>
      <c r="G6">
        <f>IFERROR(VLOOKUP($A89&amp;"_"&amp;$B89,Results_Deltas!$A$2:$P$15000,5,FALSE),"")</f>
        <v/>
      </c>
      <c r="H6" t="inlineStr">
        <is>
          <t>Blanket (page end)</t>
        </is>
      </c>
      <c r="L6" t="inlineStr">
        <is>
          <t>NO</t>
        </is>
      </c>
      <c r="M6" t="n">
        <v>27</v>
      </c>
      <c r="N6" t="n">
        <v>0</v>
      </c>
    </row>
    <row r="7" ht="10.5" customHeight="1" s="67">
      <c r="A7" t="inlineStr">
        <is>
          <t>DUP_GUARD_FILTER_TF</t>
        </is>
      </c>
      <c r="B7" t="inlineStr">
        <is>
          <t>4h</t>
        </is>
      </c>
      <c r="D7" t="inlineStr">
        <is>
          <t>GLOBAL_CHECK</t>
        </is>
      </c>
      <c r="G7">
        <f>IFERROR(VLOOKUP($A73&amp;"_"&amp;$B73,Results_Deltas!$A$2:$P$15000,5,FALSE),"")</f>
        <v/>
      </c>
      <c r="H7" t="inlineStr">
        <is>
          <t>Blanket (page end)</t>
        </is>
      </c>
      <c r="L7" t="inlineStr">
        <is>
          <t>YES</t>
        </is>
      </c>
      <c r="M7" t="n">
        <v>6</v>
      </c>
      <c r="N7" t="n">
        <v>0</v>
      </c>
    </row>
    <row r="8" ht="15.75" customHeight="1" s="67">
      <c r="A8" t="inlineStr">
        <is>
          <t>MTS_BOTTOM_STRONG_THRESHOLD</t>
        </is>
      </c>
      <c r="B8" t="inlineStr">
        <is>
          <t>50</t>
        </is>
      </c>
      <c r="D8" t="inlineStr">
        <is>
          <t>ENTRY, GLOBAL_CHECK, STOCKS_EXIT</t>
        </is>
      </c>
      <c r="G8">
        <f>IFERROR(VLOOKUP($A188&amp;"_"&amp;$B188,Results_Deltas!$A$2:$P$15000,5,FALSE),"")</f>
        <v/>
      </c>
      <c r="H8" t="inlineStr">
        <is>
          <t>Blanket (page end)</t>
        </is>
      </c>
      <c r="L8" t="inlineStr">
        <is>
          <t>NO</t>
        </is>
      </c>
      <c r="M8" t="n">
        <v>26</v>
      </c>
      <c r="N8" t="n">
        <v>0</v>
      </c>
    </row>
    <row r="9" ht="15.75" customHeight="1" s="67">
      <c r="A9" t="inlineStr">
        <is>
          <t>MTS_BOTTOM_STRONG_THRESHOLD</t>
        </is>
      </c>
      <c r="B9" t="inlineStr">
        <is>
          <t>30</t>
        </is>
      </c>
      <c r="D9" t="inlineStr">
        <is>
          <t>ENTRY, GLOBAL_CHECK, STOCKS_EXIT</t>
        </is>
      </c>
      <c r="G9">
        <f>IFERROR(VLOOKUP($A189&amp;"_"&amp;$B189,Results_Deltas!$A$2:$P$15000,5,FALSE),"")</f>
        <v/>
      </c>
      <c r="H9" t="inlineStr">
        <is>
          <t>Blanket (page end)</t>
        </is>
      </c>
      <c r="L9" t="inlineStr">
        <is>
          <t>NO</t>
        </is>
      </c>
      <c r="M9" t="n">
        <v>26</v>
      </c>
      <c r="N9" t="n">
        <v>0</v>
      </c>
    </row>
    <row r="10" ht="15.75" customHeight="1" s="67">
      <c r="A10" t="inlineStr">
        <is>
          <t>FUNDING_GATE_FILTER_TF</t>
        </is>
      </c>
      <c r="B10" t="inlineStr">
        <is>
          <t>4h</t>
        </is>
      </c>
      <c r="D10" t="inlineStr">
        <is>
          <t>GLOBAL_CHECK</t>
        </is>
      </c>
      <c r="G10">
        <f>IFERROR(VLOOKUP($A98&amp;"_"&amp;$B98,Results_Deltas!$A$2:$P$15000,5,FALSE),"")</f>
        <v/>
      </c>
      <c r="H10" t="inlineStr">
        <is>
          <t>Blanket (page end)</t>
        </is>
      </c>
      <c r="L10" t="inlineStr">
        <is>
          <t>NO</t>
        </is>
      </c>
      <c r="M10" t="n">
        <v>3</v>
      </c>
      <c r="N10" t="n">
        <v>0</v>
      </c>
    </row>
    <row r="11" ht="15.75" customHeight="1" s="67">
      <c r="A11" t="inlineStr">
        <is>
          <t>FUNDING_GATE_FILTER_TF</t>
        </is>
      </c>
      <c r="B11" t="inlineStr">
        <is>
          <t>OFF</t>
        </is>
      </c>
      <c r="D11" t="inlineStr">
        <is>
          <t>GLOBAL_CHECK</t>
        </is>
      </c>
      <c r="G11">
        <f>IFERROR(VLOOKUP($A96&amp;"_"&amp;$B96,Results_Deltas!$A$2:$P$15000,5,FALSE),"")</f>
        <v/>
      </c>
      <c r="H11" t="inlineStr">
        <is>
          <t>Blanket (page end)</t>
        </is>
      </c>
      <c r="L11" t="inlineStr">
        <is>
          <t>YES</t>
        </is>
      </c>
      <c r="M11" t="n">
        <v>3</v>
      </c>
      <c r="N11" t="n">
        <v>0</v>
      </c>
    </row>
    <row r="12" ht="15.75" customHeight="1" s="67">
      <c r="A12" t="inlineStr">
        <is>
          <t>FUNDING_GATE_FILTER_TF</t>
        </is>
      </c>
      <c r="B12" t="inlineStr">
        <is>
          <t>1h</t>
        </is>
      </c>
      <c r="D12" t="inlineStr">
        <is>
          <t>GLOBAL_CHECK</t>
        </is>
      </c>
      <c r="G12">
        <f>IFERROR(VLOOKUP($A99&amp;"_"&amp;$B99,Results_Deltas!$A$2:$P$15000,5,FALSE),"")</f>
        <v/>
      </c>
      <c r="H12" t="inlineStr">
        <is>
          <t>Blanket (page end)</t>
        </is>
      </c>
      <c r="L12" t="inlineStr">
        <is>
          <t>NO</t>
        </is>
      </c>
      <c r="M12" t="n">
        <v>3</v>
      </c>
      <c r="N12" t="n">
        <v>0</v>
      </c>
    </row>
    <row r="13" ht="15.75" customHeight="1" s="67">
      <c r="A13" t="inlineStr">
        <is>
          <t>FG_GREED_THRESHOLD</t>
        </is>
      </c>
      <c r="B13" t="inlineStr">
        <is>
          <t>93.75</t>
        </is>
      </c>
      <c r="D13" t="inlineStr">
        <is>
          <t>GLOBAL_CHECK, STOCKS_EXIT</t>
        </is>
      </c>
      <c r="G13">
        <f>IFERROR(VLOOKUP($A93&amp;"_"&amp;$B93,Results_Deltas!$A$2:$P$15000,5,FALSE),"")</f>
        <v/>
      </c>
      <c r="H13" t="inlineStr">
        <is>
          <t>Blanket (page end)</t>
        </is>
      </c>
      <c r="L13" t="inlineStr">
        <is>
          <t>NO</t>
        </is>
      </c>
      <c r="M13" t="n">
        <v>27</v>
      </c>
      <c r="N13" t="n">
        <v>0</v>
      </c>
    </row>
    <row r="14" ht="15.75" customHeight="1" s="67">
      <c r="A14" t="inlineStr">
        <is>
          <t>OI_CONFIRM_MIN_CHANGE_PCT</t>
        </is>
      </c>
      <c r="B14" t="inlineStr">
        <is>
          <t>2.0</t>
        </is>
      </c>
      <c r="D14" t="inlineStr">
        <is>
          <t>ENTRY, GLOBAL_CHECK, STOCKS_EXIT</t>
        </is>
      </c>
      <c r="G14">
        <f>IFERROR(VLOOKUP($A206&amp;"_"&amp;$B206,Results_Deltas!$A$2:$P$15000,5,FALSE),"")</f>
        <v/>
      </c>
      <c r="H14" t="inlineStr">
        <is>
          <t>Blanket (page end)</t>
        </is>
      </c>
      <c r="L14" t="inlineStr">
        <is>
          <t>NO</t>
        </is>
      </c>
      <c r="M14" t="n">
        <v>22</v>
      </c>
      <c r="N14" t="n">
        <v>0</v>
      </c>
    </row>
    <row r="15" ht="10.5" customHeight="1" s="67">
      <c r="A15" t="inlineStr">
        <is>
          <t>COOLDOWN_LOCKS_FILTER_TF</t>
        </is>
      </c>
      <c r="B15" t="inlineStr">
        <is>
          <t>D</t>
        </is>
      </c>
      <c r="D15" t="inlineStr">
        <is>
          <t>GLOBAL_CHECK</t>
        </is>
      </c>
      <c r="G15">
        <f>IFERROR(VLOOKUP($A55&amp;"_"&amp;$B55,Results_Deltas!$A$2:$P$15000,5,FALSE),"")</f>
        <v/>
      </c>
      <c r="H15" t="inlineStr">
        <is>
          <t>Blanket (page end)</t>
        </is>
      </c>
      <c r="L15" t="inlineStr">
        <is>
          <t>NO</t>
        </is>
      </c>
      <c r="M15" t="n">
        <v>6</v>
      </c>
      <c r="N15" t="n">
        <v>0</v>
      </c>
    </row>
    <row r="16" ht="15.75" customHeight="1" s="67">
      <c r="A16" t="inlineStr">
        <is>
          <t>FG_GREED_THRESHOLD</t>
        </is>
      </c>
      <c r="B16" t="inlineStr">
        <is>
          <t>56.25</t>
        </is>
      </c>
      <c r="D16" t="inlineStr">
        <is>
          <t>GLOBAL_CHECK, STOCKS_EXIT</t>
        </is>
      </c>
      <c r="G16">
        <f>IFERROR(VLOOKUP($A94&amp;"_"&amp;$B94,Results_Deltas!$A$2:$P$15000,5,FALSE),"")</f>
        <v/>
      </c>
      <c r="H16" t="inlineStr">
        <is>
          <t>Blanket (page end)</t>
        </is>
      </c>
      <c r="L16" t="inlineStr">
        <is>
          <t>NO</t>
        </is>
      </c>
      <c r="M16" t="n">
        <v>27</v>
      </c>
      <c r="N16" t="n">
        <v>0</v>
      </c>
    </row>
    <row r="17" ht="10.5" customHeight="1" s="67">
      <c r="A17" t="inlineStr">
        <is>
          <t>COOLDOWN_LOCKS_FILTER_TF</t>
        </is>
      </c>
      <c r="B17" t="inlineStr">
        <is>
          <t>4h</t>
        </is>
      </c>
      <c r="D17" t="inlineStr">
        <is>
          <t>GLOBAL_CHECK</t>
        </is>
      </c>
      <c r="G17">
        <f>IFERROR(VLOOKUP($A56&amp;"_"&amp;$B56,Results_Deltas!$A$2:$P$15000,5,FALSE),"")</f>
        <v/>
      </c>
      <c r="H17" t="inlineStr">
        <is>
          <t>Blanket (page end)</t>
        </is>
      </c>
      <c r="L17" t="inlineStr">
        <is>
          <t>NO</t>
        </is>
      </c>
      <c r="M17" t="n">
        <v>3</v>
      </c>
      <c r="N17" t="n">
        <v>0</v>
      </c>
    </row>
    <row r="18" ht="15.75" customHeight="1" s="67">
      <c r="A18" t="inlineStr">
        <is>
          <t>FG_GREED_THRESHOLD</t>
        </is>
      </c>
      <c r="B18" t="inlineStr">
        <is>
          <t>75</t>
        </is>
      </c>
      <c r="D18" t="inlineStr">
        <is>
          <t>GLOBAL_CHECK, STOCKS_EXIT</t>
        </is>
      </c>
      <c r="G18">
        <f>IFERROR(VLOOKUP($A92&amp;"_"&amp;$B92,Results_Deltas!$A$2:$P$15000,5,FALSE),"")</f>
        <v/>
      </c>
      <c r="H18" t="inlineStr">
        <is>
          <t>Blanket (page end)</t>
        </is>
      </c>
      <c r="L18" t="inlineStr">
        <is>
          <t>YES</t>
        </is>
      </c>
      <c r="M18" t="n">
        <v>25</v>
      </c>
      <c r="N18" t="n">
        <v>0</v>
      </c>
    </row>
    <row r="19" ht="15.75" customHeight="1" s="67">
      <c r="A19" t="inlineStr">
        <is>
          <t>FUNDING_GATE_FILTER_TF</t>
        </is>
      </c>
      <c r="B19" t="inlineStr">
        <is>
          <t>D</t>
        </is>
      </c>
      <c r="D19" t="inlineStr">
        <is>
          <t>GLOBAL_CHECK</t>
        </is>
      </c>
      <c r="G19">
        <f>IFERROR(VLOOKUP($A97&amp;"_"&amp;$B97,Results_Deltas!$A$2:$P$15000,5,FALSE),"")</f>
        <v/>
      </c>
      <c r="H19" t="inlineStr">
        <is>
          <t>Blanket (page end)</t>
        </is>
      </c>
      <c r="L19" t="inlineStr">
        <is>
          <t>NO</t>
        </is>
      </c>
      <c r="M19" t="n">
        <v>3</v>
      </c>
      <c r="N19" t="n">
        <v>0</v>
      </c>
    </row>
    <row r="20" ht="10.5" customHeight="1" s="67">
      <c r="A20" t="inlineStr">
        <is>
          <t>COOLDOWN_LOCKS_FILTER_TF</t>
        </is>
      </c>
      <c r="B20" t="inlineStr">
        <is>
          <t>OFF</t>
        </is>
      </c>
      <c r="D20" t="inlineStr">
        <is>
          <t>GLOBAL_CHECK</t>
        </is>
      </c>
      <c r="G20">
        <f>IFERROR(VLOOKUP($A54&amp;"_"&amp;$B54,Results_Deltas!$A$2:$P$15000,5,FALSE),"")</f>
        <v/>
      </c>
      <c r="H20" t="inlineStr">
        <is>
          <t>Blanket (page end)</t>
        </is>
      </c>
      <c r="L20" t="inlineStr">
        <is>
          <t>NO</t>
        </is>
      </c>
      <c r="M20" t="n">
        <v>3</v>
      </c>
      <c r="N20" t="n">
        <v>0</v>
      </c>
    </row>
    <row r="21" ht="15.75" customHeight="1" s="67">
      <c r="A21" t="inlineStr">
        <is>
          <t>FG_FEAR_THRESHOLD</t>
        </is>
      </c>
      <c r="B21" t="inlineStr">
        <is>
          <t>18.75</t>
        </is>
      </c>
      <c r="D21" t="inlineStr">
        <is>
          <t>GLOBAL_CHECK, STOCKS_EXIT</t>
        </is>
      </c>
      <c r="G21">
        <f>IFERROR(VLOOKUP($A90&amp;"_"&amp;$B90,Results_Deltas!$A$2:$P$15000,5,FALSE),"")</f>
        <v/>
      </c>
      <c r="H21" t="inlineStr">
        <is>
          <t>Blanket (page end)</t>
        </is>
      </c>
      <c r="L21" t="inlineStr">
        <is>
          <t>NO</t>
        </is>
      </c>
      <c r="M21" t="n">
        <v>27</v>
      </c>
      <c r="N21" t="n">
        <v>0</v>
      </c>
    </row>
    <row r="22" ht="10.5" customHeight="1" s="67">
      <c r="A22" t="inlineStr">
        <is>
          <t>DC_MOMENT_STRONG_THRESHOLD</t>
        </is>
      </c>
      <c r="B22" t="inlineStr">
        <is>
          <t>50</t>
        </is>
      </c>
      <c r="D22" t="inlineStr">
        <is>
          <t>ENTRY, GLOBAL_CHECK, STOCKS_EXIT</t>
        </is>
      </c>
      <c r="G22">
        <f>IFERROR(VLOOKUP($A64&amp;"_"&amp;$B64,Results_Deltas!$A$2:$P$15000,5,FALSE),"")</f>
        <v/>
      </c>
      <c r="H22" t="inlineStr">
        <is>
          <t>Blanket (page end)</t>
        </is>
      </c>
      <c r="L22" t="inlineStr">
        <is>
          <t>NO</t>
        </is>
      </c>
      <c r="M22" t="n">
        <v>27</v>
      </c>
      <c r="N22" t="n">
        <v>0</v>
      </c>
    </row>
    <row r="23" ht="15.75" customHeight="1" s="67">
      <c r="A23" t="inlineStr">
        <is>
          <t>OI_CONFIRM_MIN_PRICE_PCT</t>
        </is>
      </c>
      <c r="B23" t="inlineStr">
        <is>
          <t>1.0</t>
        </is>
      </c>
      <c r="D23" t="inlineStr">
        <is>
          <t>ENTRY, GLOBAL_CHECK, STOCKS_EXIT</t>
        </is>
      </c>
      <c r="G23">
        <f>IFERROR(VLOOKUP($A211&amp;"_"&amp;$B211,Results_Deltas!$A$2:$P$15000,5,FALSE),"")</f>
        <v/>
      </c>
      <c r="H23" t="inlineStr">
        <is>
          <t>Blanket (page end)</t>
        </is>
      </c>
      <c r="L23" t="inlineStr">
        <is>
          <t>NO</t>
        </is>
      </c>
      <c r="M23" t="n">
        <v>22</v>
      </c>
      <c r="N23" t="n">
        <v>0</v>
      </c>
    </row>
    <row r="24" ht="10.5" customHeight="1" s="67">
      <c r="A24" t="inlineStr">
        <is>
          <t>DUP_GUARD_FILTER_TF</t>
        </is>
      </c>
      <c r="B24" t="inlineStr">
        <is>
          <t>OFF</t>
        </is>
      </c>
      <c r="D24" t="inlineStr">
        <is>
          <t>GLOBAL_CHECK</t>
        </is>
      </c>
      <c r="G24">
        <f>IFERROR(VLOOKUP($A71&amp;"_"&amp;$B71,Results_Deltas!$A$2:$P$15000,5,FALSE),"")</f>
        <v/>
      </c>
      <c r="H24" t="inlineStr">
        <is>
          <t>Blanket (page end)</t>
        </is>
      </c>
      <c r="L24" t="inlineStr">
        <is>
          <t>NO</t>
        </is>
      </c>
      <c r="M24" t="n">
        <v>3</v>
      </c>
      <c r="N24" t="n">
        <v>0</v>
      </c>
    </row>
    <row r="25" ht="15.75" customHeight="1" s="67">
      <c r="A25" t="inlineStr">
        <is>
          <t>HLR_TOP_MIN_TFS</t>
        </is>
      </c>
      <c r="B25" t="inlineStr">
        <is>
          <t>2</t>
        </is>
      </c>
      <c r="D25" t="inlineStr">
        <is>
          <t>GLOBAL_CHECK, REENTRY, STOCKS_EXIT</t>
        </is>
      </c>
      <c r="G25">
        <f>IFERROR(VLOOKUP($A130&amp;"_"&amp;$B130,Results_Deltas!$A$2:$P$15000,5,FALSE),"")</f>
        <v/>
      </c>
      <c r="H25" t="inlineStr">
        <is>
          <t>Blanket (page end)</t>
        </is>
      </c>
      <c r="L25" t="inlineStr">
        <is>
          <t>NO</t>
        </is>
      </c>
      <c r="M25" t="n">
        <v>27</v>
      </c>
      <c r="N25" t="n">
        <v>0</v>
      </c>
    </row>
    <row r="26" ht="10.5" customHeight="1" s="67">
      <c r="A26" t="inlineStr">
        <is>
          <t>DUP_GUARD_FILTER_TF</t>
        </is>
      </c>
      <c r="B26" t="inlineStr">
        <is>
          <t>1h</t>
        </is>
      </c>
      <c r="D26" t="inlineStr">
        <is>
          <t>GLOBAL_CHECK</t>
        </is>
      </c>
      <c r="G26">
        <f>IFERROR(VLOOKUP($A74&amp;"_"&amp;$B74,Results_Deltas!$A$2:$P$15000,5,FALSE),"")</f>
        <v/>
      </c>
      <c r="H26" t="inlineStr">
        <is>
          <t>Blanket (page end)</t>
        </is>
      </c>
      <c r="L26" t="inlineStr">
        <is>
          <t>NO</t>
        </is>
      </c>
      <c r="M26" t="n">
        <v>3</v>
      </c>
      <c r="N26" t="n">
        <v>0</v>
      </c>
    </row>
    <row r="27" ht="15.75" customHeight="1" s="67">
      <c r="A27" t="inlineStr">
        <is>
          <t>OI_CONFIRM_ENABLED</t>
        </is>
      </c>
      <c r="B27" t="inlineStr">
        <is>
          <t>True</t>
        </is>
      </c>
      <c r="D27" t="inlineStr">
        <is>
          <t>ENTRY, GLOBAL_CHECK, STOCKS_EXIT</t>
        </is>
      </c>
      <c r="G27">
        <f>IFERROR(VLOOKUP($A204&amp;"_"&amp;$B204,Results_Deltas!$A$2:$P$15000,5,FALSE),"")</f>
        <v/>
      </c>
      <c r="H27" t="inlineStr">
        <is>
          <t>Blanket (page end)</t>
        </is>
      </c>
      <c r="L27" t="inlineStr">
        <is>
          <t>NO</t>
        </is>
      </c>
      <c r="M27" t="n">
        <v>26</v>
      </c>
      <c r="N27" t="n">
        <v>0</v>
      </c>
    </row>
    <row r="28" ht="15.75" customHeight="1" s="67">
      <c r="A28" t="inlineStr">
        <is>
          <t>OI_CONFIRM_MIN_PRICE_PCT</t>
        </is>
      </c>
      <c r="B28" t="inlineStr">
        <is>
          <t>0.5</t>
        </is>
      </c>
      <c r="D28" t="inlineStr">
        <is>
          <t>ENTRY, GLOBAL_CHECK, STOCKS_EXIT</t>
        </is>
      </c>
      <c r="G28">
        <f>IFERROR(VLOOKUP($A212&amp;"_"&amp;$B212,Results_Deltas!$A$2:$P$15000,5,FALSE),"")</f>
        <v/>
      </c>
      <c r="H28" t="inlineStr">
        <is>
          <t>Blanket (page end)</t>
        </is>
      </c>
      <c r="L28" t="inlineStr">
        <is>
          <t>YES</t>
        </is>
      </c>
      <c r="M28" t="n">
        <v>26</v>
      </c>
      <c r="N28" t="n">
        <v>0</v>
      </c>
    </row>
    <row r="29" ht="15.75" customHeight="1" s="67">
      <c r="A29" t="inlineStr">
        <is>
          <t>HLR_SMA_BAND_PCT</t>
        </is>
      </c>
      <c r="B29" t="inlineStr">
        <is>
          <t>1.0</t>
        </is>
      </c>
      <c r="D29" t="inlineStr">
        <is>
          <t>ENTRY, GLOBAL_CHECK, STOCKS_EXIT</t>
        </is>
      </c>
      <c r="G29">
        <f>IFERROR(VLOOKUP($A127&amp;"_"&amp;$B127,Results_Deltas!$A$2:$P$15000,5,FALSE),"")</f>
        <v/>
      </c>
      <c r="H29" t="inlineStr">
        <is>
          <t>Blanket (page end)</t>
        </is>
      </c>
      <c r="L29" t="inlineStr">
        <is>
          <t>YES</t>
        </is>
      </c>
      <c r="M29" t="n">
        <v>27</v>
      </c>
      <c r="N29" t="n">
        <v>0</v>
      </c>
    </row>
    <row r="30" ht="10.5" customHeight="1" s="67">
      <c r="A30" t="inlineStr">
        <is>
          <t>BANDAID_OFF_LOSER_RECOVER_PCT</t>
        </is>
      </c>
      <c r="B30" t="inlineStr">
        <is>
          <t>0.5</t>
        </is>
      </c>
      <c r="D30" t="inlineStr">
        <is>
          <t>AUGMENT, ENTRY, EXIT, GLOBAL_CHECK, REDUCE, STOCKS_EXIT</t>
        </is>
      </c>
      <c r="G30">
        <f>IFERROR(VLOOKUP($A51&amp;"_"&amp;$B51,Results_Deltas!$A$2:$P$15000,5,FALSE),"")</f>
        <v/>
      </c>
      <c r="H30" t="inlineStr">
        <is>
          <t>Blanket (page end)</t>
        </is>
      </c>
      <c r="L30" t="inlineStr">
        <is>
          <t>YES</t>
        </is>
      </c>
      <c r="M30" t="n">
        <v>27</v>
      </c>
      <c r="N30" t="n">
        <v>0</v>
      </c>
    </row>
    <row r="31" ht="10.5" customHeight="1" s="67">
      <c r="A31" t="inlineStr">
        <is>
          <t>COOLDOWN_LOCKS_FILTER_TF</t>
        </is>
      </c>
      <c r="B31" t="inlineStr">
        <is>
          <t>1h</t>
        </is>
      </c>
      <c r="D31" t="inlineStr">
        <is>
          <t>GLOBAL_CHECK</t>
        </is>
      </c>
      <c r="G31">
        <f>IFERROR(VLOOKUP($A57&amp;"_"&amp;$B57,Results_Deltas!$A$2:$P$15000,5,FALSE),"")</f>
        <v/>
      </c>
      <c r="H31" t="inlineStr">
        <is>
          <t>Blanket (page end)</t>
        </is>
      </c>
      <c r="L31" t="inlineStr">
        <is>
          <t>NO</t>
        </is>
      </c>
      <c r="M31" t="n">
        <v>3</v>
      </c>
      <c r="N31" t="n">
        <v>0</v>
      </c>
    </row>
    <row r="32" ht="15.75" customHeight="1" s="67">
      <c r="A32" t="inlineStr">
        <is>
          <t>MTS_BOTTOM_BONUS_THRESHOLD</t>
        </is>
      </c>
      <c r="B32" t="inlineStr">
        <is>
          <t>31.25</t>
        </is>
      </c>
      <c r="D32" t="inlineStr">
        <is>
          <t>ENTRY, GLOBAL_CHECK, STOCKS_EXIT</t>
        </is>
      </c>
      <c r="G32">
        <f>IFERROR(VLOOKUP($A184&amp;"_"&amp;$B184,Results_Deltas!$A$2:$P$15000,5,FALSE),"")</f>
        <v/>
      </c>
      <c r="H32" t="inlineStr">
        <is>
          <t>Blanket (page end)</t>
        </is>
      </c>
      <c r="L32" t="inlineStr">
        <is>
          <t>NO</t>
        </is>
      </c>
      <c r="M32" t="n">
        <v>26</v>
      </c>
      <c r="N32" t="n">
        <v>0</v>
      </c>
    </row>
    <row r="33" ht="15.75" customHeight="1" s="67">
      <c r="A33" t="inlineStr">
        <is>
          <t>MTS_BOTTOM_BONUS_THRESHOLD</t>
        </is>
      </c>
      <c r="B33" t="inlineStr">
        <is>
          <t>25</t>
        </is>
      </c>
      <c r="D33" t="inlineStr">
        <is>
          <t>ENTRY, GLOBAL_CHECK, STOCKS_EXIT</t>
        </is>
      </c>
      <c r="G33">
        <f>IFERROR(VLOOKUP($A183&amp;"_"&amp;$B183,Results_Deltas!$A$2:$P$15000,5,FALSE),"")</f>
        <v/>
      </c>
      <c r="H33" t="inlineStr">
        <is>
          <t>Blanket (page end)</t>
        </is>
      </c>
      <c r="L33" t="inlineStr">
        <is>
          <t>NO</t>
        </is>
      </c>
      <c r="M33" t="n">
        <v>26</v>
      </c>
      <c r="N33" t="n">
        <v>0</v>
      </c>
    </row>
    <row r="34" ht="15.75" customHeight="1" s="67">
      <c r="A34" t="inlineStr">
        <is>
          <t>HA_WICK_QUALITY_TF</t>
        </is>
      </c>
      <c r="B34" t="inlineStr">
        <is>
          <t>D</t>
        </is>
      </c>
      <c r="D34" t="inlineStr">
        <is>
          <t>ENTRY, GLOBAL_CHECK, STOCKS_EXIT</t>
        </is>
      </c>
      <c r="G34">
        <f>IFERROR(VLOOKUP($A121&amp;"_"&amp;$B121,Results_Deltas!$A$2:$P$15000,5,FALSE),"")</f>
        <v/>
      </c>
      <c r="H34" t="inlineStr">
        <is>
          <t>Blanket (page end)</t>
        </is>
      </c>
      <c r="L34" t="inlineStr">
        <is>
          <t>NO</t>
        </is>
      </c>
      <c r="M34" t="n">
        <v>27</v>
      </c>
      <c r="N34" t="n">
        <v>0</v>
      </c>
    </row>
    <row r="35" ht="10.5" customHeight="1" s="67">
      <c r="A35" t="inlineStr">
        <is>
          <t>DC_MOMENT_STRONG_THRESHOLD</t>
        </is>
      </c>
      <c r="B35" t="inlineStr">
        <is>
          <t>30</t>
        </is>
      </c>
      <c r="D35" t="inlineStr">
        <is>
          <t>ENTRY, GLOBAL_CHECK, STOCKS_EXIT</t>
        </is>
      </c>
      <c r="G35">
        <f>IFERROR(VLOOKUP($A65&amp;"_"&amp;$B65,Results_Deltas!$A$2:$P$15000,5,FALSE),"")</f>
        <v/>
      </c>
      <c r="H35" t="inlineStr">
        <is>
          <t>Blanket (page end)</t>
        </is>
      </c>
      <c r="L35" t="inlineStr">
        <is>
          <t>NO</t>
        </is>
      </c>
      <c r="M35" t="n">
        <v>23</v>
      </c>
      <c r="N35" t="n">
        <v>0</v>
      </c>
    </row>
    <row r="36" ht="10.5" customHeight="1" s="67">
      <c r="A36" t="inlineStr">
        <is>
          <t>ADX_RANGING_THRESHOLD</t>
        </is>
      </c>
      <c r="B36" t="inlineStr">
        <is>
          <t>25</t>
        </is>
      </c>
      <c r="D36" t="inlineStr">
        <is>
          <t>ENTRY, GLOBAL_CHECK, STOCKS_EXIT</t>
        </is>
      </c>
      <c r="G36">
        <f>IFERROR(VLOOKUP($A45&amp;"_"&amp;$B45,Results_Deltas!$A$2:$P$15000,5,FALSE),"")</f>
        <v/>
      </c>
      <c r="H36" t="inlineStr">
        <is>
          <t>Blanket (page end)</t>
        </is>
      </c>
      <c r="L36" t="inlineStr">
        <is>
          <t>NO</t>
        </is>
      </c>
      <c r="M36" t="n">
        <v>27</v>
      </c>
      <c r="N36" t="n">
        <v>0</v>
      </c>
    </row>
    <row r="37" ht="10.5" customHeight="1" s="67">
      <c r="A37" t="inlineStr">
        <is>
          <t>ADX_RANGING_THRESHOLD</t>
        </is>
      </c>
      <c r="B37" t="inlineStr">
        <is>
          <t>10</t>
        </is>
      </c>
      <c r="D37" t="inlineStr">
        <is>
          <t>ENTRY, GLOBAL_CHECK, STOCKS_EXIT</t>
        </is>
      </c>
      <c r="G37">
        <f>IFERROR(VLOOKUP($A47&amp;"_"&amp;$B47,Results_Deltas!$A$2:$P$15000,5,FALSE),"")</f>
        <v/>
      </c>
      <c r="H37" t="inlineStr">
        <is>
          <t>Blanket (page end)</t>
        </is>
      </c>
      <c r="L37" t="inlineStr">
        <is>
          <t>NO</t>
        </is>
      </c>
      <c r="M37" t="n">
        <v>27</v>
      </c>
      <c r="N37" t="n">
        <v>0</v>
      </c>
    </row>
    <row r="38" ht="15.75" customHeight="1" s="67">
      <c r="A38" t="inlineStr">
        <is>
          <t>MTS_BOTTOM_BONUS_THRESHOLD</t>
        </is>
      </c>
      <c r="B38" t="inlineStr">
        <is>
          <t>18.75</t>
        </is>
      </c>
      <c r="D38" t="inlineStr">
        <is>
          <t>ENTRY, GLOBAL_CHECK, STOCKS_EXIT</t>
        </is>
      </c>
      <c r="G38">
        <f>IFERROR(VLOOKUP($A185&amp;"_"&amp;$B185,Results_Deltas!$A$2:$P$15000,5,FALSE),"")</f>
        <v/>
      </c>
      <c r="H38" t="inlineStr">
        <is>
          <t>Blanket (page end)</t>
        </is>
      </c>
      <c r="L38" t="inlineStr">
        <is>
          <t>NO</t>
        </is>
      </c>
      <c r="M38" t="n">
        <v>26</v>
      </c>
      <c r="N38" t="n">
        <v>0</v>
      </c>
    </row>
    <row r="39" ht="15.75" customHeight="1" s="67">
      <c r="A39" t="inlineStr">
        <is>
          <t>FG_FEAR_THRESHOLD</t>
        </is>
      </c>
      <c r="B39" t="inlineStr">
        <is>
          <t>25</t>
        </is>
      </c>
      <c r="D39" t="inlineStr">
        <is>
          <t>GLOBAL_CHECK, STOCKS_EXIT</t>
        </is>
      </c>
      <c r="G39">
        <f>IFERROR(VLOOKUP($A88&amp;"_"&amp;$B88,Results_Deltas!$A$2:$P$15000,5,FALSE),"")</f>
        <v/>
      </c>
      <c r="H39" t="inlineStr">
        <is>
          <t>Blanket (page end)</t>
        </is>
      </c>
      <c r="L39" t="inlineStr">
        <is>
          <t>NO</t>
        </is>
      </c>
      <c r="M39" t="n">
        <v>27</v>
      </c>
      <c r="N39" t="n">
        <v>0</v>
      </c>
    </row>
    <row r="40" ht="10.5" customHeight="1" s="67">
      <c r="A40" t="inlineStr">
        <is>
          <t>BAND_ARROW_ENABLED</t>
        </is>
      </c>
      <c r="B40" t="inlineStr">
        <is>
          <t>True</t>
        </is>
      </c>
      <c r="D40" t="inlineStr">
        <is>
          <t>GLOBAL_CHECK, STOCKS_EXIT</t>
        </is>
      </c>
      <c r="G40">
        <f>IFERROR(VLOOKUP($A53&amp;"_"&amp;$B53,Results_Deltas!$A$2:$P$15000,5,FALSE),"")</f>
        <v/>
      </c>
      <c r="H40" t="inlineStr">
        <is>
          <t>Blanket (page end)</t>
        </is>
      </c>
      <c r="L40" t="inlineStr">
        <is>
          <t>NO</t>
        </is>
      </c>
      <c r="M40" t="n">
        <v>27</v>
      </c>
      <c r="N40" t="n">
        <v>0</v>
      </c>
    </row>
    <row r="41" ht="10.5" customHeight="1" s="67">
      <c r="A41" t="inlineStr">
        <is>
          <t>DUP_GUARD_FILTER_TF</t>
        </is>
      </c>
      <c r="B41" t="inlineStr">
        <is>
          <t>D</t>
        </is>
      </c>
      <c r="D41" t="inlineStr">
        <is>
          <t>GLOBAL_CHECK</t>
        </is>
      </c>
      <c r="G41">
        <f>IFERROR(VLOOKUP($A72&amp;"_"&amp;$B72,Results_Deltas!$A$2:$P$15000,5,FALSE),"")</f>
        <v/>
      </c>
      <c r="H41" t="inlineStr">
        <is>
          <t>Blanket (page end)</t>
        </is>
      </c>
      <c r="L41" t="inlineStr">
        <is>
          <t>NO</t>
        </is>
      </c>
      <c r="M41" t="n">
        <v>3</v>
      </c>
      <c r="N41" t="n">
        <v>0</v>
      </c>
    </row>
    <row r="42" ht="15.75" customHeight="1" s="67">
      <c r="A42" t="inlineStr">
        <is>
          <t>HA_WICK_QUALITY_TF</t>
        </is>
      </c>
      <c r="B42" t="inlineStr">
        <is>
          <t>4h</t>
        </is>
      </c>
      <c r="D42" t="inlineStr">
        <is>
          <t>ENTRY, GLOBAL_CHECK, STOCKS_EXIT</t>
        </is>
      </c>
      <c r="G42">
        <f>IFERROR(VLOOKUP($A122&amp;"_"&amp;$B122,Results_Deltas!$A$2:$P$15000,5,FALSE),"")</f>
        <v/>
      </c>
      <c r="H42" t="inlineStr">
        <is>
          <t>Blanket (page end)</t>
        </is>
      </c>
      <c r="L42" t="inlineStr">
        <is>
          <t>YES</t>
        </is>
      </c>
      <c r="M42" t="n">
        <v>27</v>
      </c>
      <c r="N42" t="n">
        <v>0</v>
      </c>
    </row>
    <row r="43" ht="15.75" customHeight="1" s="67">
      <c r="A43" t="inlineStr">
        <is>
          <t>HLR_SMA_BAND_PCT</t>
        </is>
      </c>
      <c r="B43" t="inlineStr">
        <is>
          <t>0.5</t>
        </is>
      </c>
      <c r="D43" t="inlineStr">
        <is>
          <t>ENTRY, GLOBAL_CHECK, STOCKS_EXIT</t>
        </is>
      </c>
      <c r="G43">
        <f>IFERROR(VLOOKUP($A128&amp;"_"&amp;$B128,Results_Deltas!$A$2:$P$15000,5,FALSE),"")</f>
        <v/>
      </c>
      <c r="H43" t="inlineStr">
        <is>
          <t>Blanket (page end)</t>
        </is>
      </c>
      <c r="L43" t="inlineStr">
        <is>
          <t>NO</t>
        </is>
      </c>
      <c r="M43" t="n">
        <v>27</v>
      </c>
      <c r="N43" t="n">
        <v>0</v>
      </c>
    </row>
    <row r="44" ht="15.75" customHeight="1" s="67">
      <c r="A44" t="inlineStr">
        <is>
          <t>MTF_GR_MIN_IND</t>
        </is>
      </c>
      <c r="B44" t="inlineStr">
        <is>
          <t>5</t>
        </is>
      </c>
      <c r="D44" t="inlineStr">
        <is>
          <t>GLOBAL_CHECK, STOCKS_EXIT</t>
        </is>
      </c>
      <c r="G44">
        <f>IFERROR(VLOOKUP($A181&amp;"_"&amp;$B181,Results_Deltas!$A$2:$P$15000,5,FALSE),"")</f>
        <v/>
      </c>
      <c r="H44" t="inlineStr">
        <is>
          <t>Blanket (page end)</t>
        </is>
      </c>
      <c r="L44" t="inlineStr">
        <is>
          <t>NO</t>
        </is>
      </c>
      <c r="M44" t="n">
        <v>26</v>
      </c>
      <c r="N44" t="n">
        <v>0</v>
      </c>
    </row>
    <row r="45" ht="15.75" customHeight="1" s="67">
      <c r="A45" t="inlineStr">
        <is>
          <t>MTF_GR_MIN_IND</t>
        </is>
      </c>
      <c r="B45" t="inlineStr">
        <is>
          <t>5_ALT</t>
        </is>
      </c>
      <c r="D45" t="inlineStr">
        <is>
          <t>GLOBAL_CHECK, STOCKS_EXIT</t>
        </is>
      </c>
      <c r="G45">
        <f>IFERROR(VLOOKUP($A182&amp;"_"&amp;$B182,Results_Deltas!$A$2:$P$15000,5,FALSE),"")</f>
        <v/>
      </c>
      <c r="H45" t="inlineStr">
        <is>
          <t>Blanket (page end)</t>
        </is>
      </c>
      <c r="L45" t="inlineStr">
        <is>
          <t>NO</t>
        </is>
      </c>
      <c r="M45" t="n">
        <v>26</v>
      </c>
      <c r="N45" t="n">
        <v>0</v>
      </c>
    </row>
    <row r="46" ht="10.5" customHeight="1" s="67">
      <c r="A46" t="inlineStr">
        <is>
          <t>BANDAID_OFF_LOSER_RECOVER_PCT</t>
        </is>
      </c>
      <c r="B46" t="inlineStr">
        <is>
          <t>1.0</t>
        </is>
      </c>
      <c r="D46" t="inlineStr">
        <is>
          <t>AUGMENT, ENTRY, EXIT, GLOBAL_CHECK, REDUCE, STOCKS_EXIT</t>
        </is>
      </c>
      <c r="G46">
        <f>IFERROR(VLOOKUP($A50&amp;"_"&amp;$B50,Results_Deltas!$A$2:$P$15000,5,FALSE),"")</f>
        <v/>
      </c>
      <c r="H46" t="inlineStr">
        <is>
          <t>Blanket (page end)</t>
        </is>
      </c>
      <c r="L46" t="inlineStr">
        <is>
          <t>NO</t>
        </is>
      </c>
      <c r="M46" t="n">
        <v>27</v>
      </c>
      <c r="N46" t="n">
        <v>0</v>
      </c>
    </row>
    <row r="47" ht="15.75" customHeight="1" s="67">
      <c r="A47" t="inlineStr">
        <is>
          <t>LH_HL_FILTER_MODE</t>
        </is>
      </c>
      <c r="B47" t="inlineStr">
        <is>
          <t>STRICT_2BAR_ALT</t>
        </is>
      </c>
      <c r="D47" t="inlineStr">
        <is>
          <t>ENTRY, GLOBAL_CHECK, STOCKS_EXIT</t>
        </is>
      </c>
      <c r="G47">
        <f>IFERROR(VLOOKUP($A151&amp;"_"&amp;$B151,Results_Deltas!$A$2:$P$15000,5,FALSE),"")</f>
        <v/>
      </c>
      <c r="H47" t="inlineStr">
        <is>
          <t>Blanket (page end)</t>
        </is>
      </c>
      <c r="L47" t="inlineStr">
        <is>
          <t>NO</t>
        </is>
      </c>
      <c r="M47" t="n">
        <v>27</v>
      </c>
      <c r="N47" t="n">
        <v>0</v>
      </c>
    </row>
    <row r="48" ht="15.75" customHeight="1" s="67">
      <c r="A48" t="inlineStr">
        <is>
          <t>LH_HL_FILTER_MODE</t>
        </is>
      </c>
      <c r="B48" t="inlineStr">
        <is>
          <t>STRICT_2BAR</t>
        </is>
      </c>
      <c r="D48" t="inlineStr">
        <is>
          <t>ENTRY, GLOBAL_CHECK, STOCKS_EXIT</t>
        </is>
      </c>
      <c r="G48">
        <f>IFERROR(VLOOKUP($A150&amp;"_"&amp;$B150,Results_Deltas!$A$2:$P$15000,5,FALSE),"")</f>
        <v/>
      </c>
      <c r="H48" t="inlineStr">
        <is>
          <t>Blanket (page end)</t>
        </is>
      </c>
      <c r="L48" t="inlineStr">
        <is>
          <t>NO</t>
        </is>
      </c>
      <c r="M48" t="n">
        <v>27</v>
      </c>
      <c r="N48" t="n">
        <v>0</v>
      </c>
    </row>
    <row r="49" ht="15.75" customHeight="1" s="67">
      <c r="A49" t="inlineStr">
        <is>
          <t>HA_WICK_QUALITY_SCORE</t>
        </is>
      </c>
      <c r="B49" t="inlineStr">
        <is>
          <t>15_ALT</t>
        </is>
      </c>
      <c r="D49" t="inlineStr">
        <is>
          <t>ENTRY, GLOBAL_CHECK, STOCKS_EXIT</t>
        </is>
      </c>
      <c r="G49">
        <f>IFERROR(VLOOKUP($A119&amp;"_"&amp;$B119,Results_Deltas!$A$2:$P$15000,5,FALSE),"")</f>
        <v/>
      </c>
      <c r="H49" t="inlineStr">
        <is>
          <t>Blanket (page end)</t>
        </is>
      </c>
      <c r="L49" t="inlineStr">
        <is>
          <t>NO</t>
        </is>
      </c>
      <c r="M49" t="n">
        <v>27</v>
      </c>
      <c r="N49" t="n">
        <v>0</v>
      </c>
    </row>
    <row r="50" ht="15.75" customHeight="1" s="67">
      <c r="A50" t="inlineStr">
        <is>
          <t>MARKET_QUALITY_SCORE_ENABLED</t>
        </is>
      </c>
      <c r="B50" t="inlineStr">
        <is>
          <t>True</t>
        </is>
      </c>
      <c r="D50" t="inlineStr">
        <is>
          <t>ENTRY, GLOBAL_CHECK, STOCKS_EXIT</t>
        </is>
      </c>
      <c r="G50">
        <f>IFERROR(VLOOKUP($A172&amp;"_"&amp;$B172,Results_Deltas!$A$2:$P$15000,5,FALSE),"")</f>
        <v/>
      </c>
      <c r="H50" t="inlineStr">
        <is>
          <t>Blanket (page end)</t>
        </is>
      </c>
      <c r="L50" t="inlineStr">
        <is>
          <t>NO</t>
        </is>
      </c>
      <c r="M50" t="n">
        <v>26</v>
      </c>
      <c r="N50" t="n">
        <v>0</v>
      </c>
    </row>
    <row r="51" ht="15.75" customHeight="1" s="67">
      <c r="A51" t="inlineStr">
        <is>
          <t>HA_WICK_QUALITY_SCORE</t>
        </is>
      </c>
      <c r="B51" t="inlineStr">
        <is>
          <t>15</t>
        </is>
      </c>
      <c r="D51" t="inlineStr">
        <is>
          <t>ENTRY, GLOBAL_CHECK, STOCKS_EXIT</t>
        </is>
      </c>
      <c r="G51">
        <f>IFERROR(VLOOKUP($A118&amp;"_"&amp;$B118,Results_Deltas!$A$2:$P$15000,5,FALSE),"")</f>
        <v/>
      </c>
      <c r="H51" t="inlineStr">
        <is>
          <t>Blanket (page end)</t>
        </is>
      </c>
      <c r="L51" t="inlineStr">
        <is>
          <t>YES</t>
        </is>
      </c>
      <c r="M51" t="n">
        <v>27</v>
      </c>
      <c r="N51" t="n">
        <v>0</v>
      </c>
    </row>
    <row r="52" ht="15.75" customHeight="1" s="67">
      <c r="A52" t="inlineStr">
        <is>
          <t>OI_CONFIRM_MIN_CHANGE_PCT</t>
        </is>
      </c>
      <c r="B52" t="inlineStr">
        <is>
          <t>0</t>
        </is>
      </c>
      <c r="D52" t="inlineStr">
        <is>
          <t>ENTRY, GLOBAL_CHECK, STOCKS_EXIT</t>
        </is>
      </c>
      <c r="G52">
        <f>IFERROR(VLOOKUP($A205&amp;"_"&amp;$B205,Results_Deltas!$A$2:$P$15000,5,FALSE),"")</f>
        <v/>
      </c>
      <c r="H52" t="inlineStr">
        <is>
          <t>Blanket (page end)</t>
        </is>
      </c>
      <c r="L52" t="inlineStr">
        <is>
          <t>NO</t>
        </is>
      </c>
      <c r="M52" t="n">
        <v>24</v>
      </c>
      <c r="N52" t="n">
        <v>0</v>
      </c>
    </row>
    <row r="53" ht="15.75" customHeight="1" s="67">
      <c r="A53" t="inlineStr">
        <is>
          <t>EMA_BLANKET_FILTER_MIN_TFS</t>
        </is>
      </c>
      <c r="B53" t="inlineStr">
        <is>
          <t>2</t>
        </is>
      </c>
      <c r="D53" t="inlineStr">
        <is>
          <t>GLOBAL_CHECK</t>
        </is>
      </c>
      <c r="G53">
        <f>IFERROR(VLOOKUP($A82&amp;"_"&amp;$B82,Results_Deltas!$A$2:$P$15000,5,FALSE),"")</f>
        <v/>
      </c>
      <c r="H53" t="inlineStr">
        <is>
          <t>Blanket (page end)</t>
        </is>
      </c>
      <c r="L53" t="inlineStr">
        <is>
          <t>NO</t>
        </is>
      </c>
      <c r="M53" t="n">
        <v>3</v>
      </c>
      <c r="N53" t="n">
        <v>0</v>
      </c>
    </row>
    <row r="54" ht="15.75" customHeight="1" s="67">
      <c r="A54" t="inlineStr">
        <is>
          <t>MTS_BOTTOM_BONUS_THRESHOLD</t>
        </is>
      </c>
      <c r="B54" t="inlineStr">
        <is>
          <t>12.5</t>
        </is>
      </c>
      <c r="D54" t="inlineStr">
        <is>
          <t>ENTRY, GLOBAL_CHECK, STOCKS_EXIT</t>
        </is>
      </c>
      <c r="G54">
        <f>IFERROR(VLOOKUP($A186&amp;"_"&amp;$B186,Results_Deltas!$A$2:$P$15000,5,FALSE),"")</f>
        <v/>
      </c>
      <c r="H54" t="inlineStr">
        <is>
          <t>Blanket (page end)</t>
        </is>
      </c>
      <c r="L54" t="inlineStr">
        <is>
          <t>NO</t>
        </is>
      </c>
      <c r="M54" t="n">
        <v>26</v>
      </c>
      <c r="N54" t="n">
        <v>0</v>
      </c>
    </row>
    <row r="55" ht="15.75" customHeight="1" s="67">
      <c r="A55" t="inlineStr">
        <is>
          <t>MTS_BOTTOM_STRONG_THRESHOLD</t>
        </is>
      </c>
      <c r="B55" t="inlineStr">
        <is>
          <t>40</t>
        </is>
      </c>
      <c r="D55" t="inlineStr">
        <is>
          <t>ENTRY, GLOBAL_CHECK, STOCKS_EXIT</t>
        </is>
      </c>
      <c r="G55">
        <f>IFERROR(VLOOKUP($A187&amp;"_"&amp;$B187,Results_Deltas!$A$2:$P$15000,5,FALSE),"")</f>
        <v/>
      </c>
      <c r="H55" t="inlineStr">
        <is>
          <t>Blanket (page end)</t>
        </is>
      </c>
      <c r="L55" t="inlineStr">
        <is>
          <t>YES</t>
        </is>
      </c>
      <c r="M55" t="n">
        <v>26</v>
      </c>
      <c r="N55" t="n">
        <v>0</v>
      </c>
    </row>
    <row r="56" ht="10.5" customHeight="1" s="67">
      <c r="A56" t="inlineStr">
        <is>
          <t>CRYPTO_SPIKE_FADE_THRESHOLD_PCT</t>
        </is>
      </c>
      <c r="B56" t="inlineStr">
        <is>
          <t>12.5</t>
        </is>
      </c>
      <c r="D56" t="inlineStr">
        <is>
          <t>GLOBAL_CHECK, STOCKS_EXIT</t>
        </is>
      </c>
      <c r="G56">
        <f>IFERROR(VLOOKUP($A60&amp;"_"&amp;$B60,Results_Deltas!$A$2:$P$15000,5,FALSE),"")</f>
        <v/>
      </c>
      <c r="H56" t="inlineStr">
        <is>
          <t>Blanket (page end)</t>
        </is>
      </c>
      <c r="L56" t="inlineStr">
        <is>
          <t>NO</t>
        </is>
      </c>
      <c r="M56" t="n">
        <v>27</v>
      </c>
      <c r="N56" t="n">
        <v>0</v>
      </c>
    </row>
    <row r="57" ht="10.5" customHeight="1" s="67">
      <c r="A57" t="inlineStr">
        <is>
          <t>CRYPTO_SPIKE_FADE_THRESHOLD_PCT</t>
        </is>
      </c>
      <c r="B57" t="inlineStr">
        <is>
          <t>7.5</t>
        </is>
      </c>
      <c r="D57" t="inlineStr">
        <is>
          <t>GLOBAL_CHECK, STOCKS_EXIT</t>
        </is>
      </c>
      <c r="G57">
        <f>IFERROR(VLOOKUP($A61&amp;"_"&amp;$B61,Results_Deltas!$A$2:$P$15000,5,FALSE),"")</f>
        <v/>
      </c>
      <c r="H57" t="inlineStr">
        <is>
          <t>Blanket (page end)</t>
        </is>
      </c>
      <c r="L57" t="inlineStr">
        <is>
          <t>NO</t>
        </is>
      </c>
      <c r="M57" t="n">
        <v>27</v>
      </c>
      <c r="N57" t="n">
        <v>0</v>
      </c>
    </row>
    <row r="58" ht="15.75" customHeight="1" s="67">
      <c r="A58" t="inlineStr">
        <is>
          <t>MANDATORY_REENTRY_WT_FILTER_VELOCITY_RATIO</t>
        </is>
      </c>
      <c r="B58" t="inlineStr">
        <is>
          <t>0.90</t>
        </is>
      </c>
      <c r="D58" t="inlineStr">
        <is>
          <t>GLOBAL_CHECK, STOCKS_EXIT</t>
        </is>
      </c>
      <c r="G58">
        <f>IFERROR(VLOOKUP($A169&amp;"_"&amp;$B169,Results_Deltas!$A$2:$P$15000,5,FALSE),"")</f>
        <v/>
      </c>
      <c r="H58" t="inlineStr">
        <is>
          <t>Blanket (page end)</t>
        </is>
      </c>
      <c r="L58" t="inlineStr">
        <is>
          <t>YES</t>
        </is>
      </c>
      <c r="M58" t="n">
        <v>26</v>
      </c>
      <c r="N58" t="n">
        <v>0</v>
      </c>
    </row>
    <row r="59" ht="15.75" customHeight="1" s="67">
      <c r="A59" t="inlineStr">
        <is>
          <t>MANDATORY_REENTRY_WT_FILTER_VELOCITY_RATIO</t>
        </is>
      </c>
      <c r="B59" t="inlineStr">
        <is>
          <t>0.90_ALT</t>
        </is>
      </c>
      <c r="D59" t="inlineStr">
        <is>
          <t>GLOBAL_CHECK, STOCKS_EXIT</t>
        </is>
      </c>
      <c r="G59">
        <f>IFERROR(VLOOKUP($A170&amp;"_"&amp;$B170,Results_Deltas!$A$2:$P$15000,5,FALSE),"")</f>
        <v/>
      </c>
      <c r="H59" t="inlineStr">
        <is>
          <t>Blanket (page end)</t>
        </is>
      </c>
      <c r="L59" t="inlineStr">
        <is>
          <t>NO</t>
        </is>
      </c>
      <c r="M59" t="n">
        <v>26</v>
      </c>
      <c r="N59" t="n">
        <v>0</v>
      </c>
    </row>
    <row r="60" ht="10.5" customHeight="1" s="67">
      <c r="A60" t="inlineStr">
        <is>
          <t>EMA_9_21_FILTER_MIN_TFS</t>
        </is>
      </c>
      <c r="B60" t="inlineStr">
        <is>
          <t>0</t>
        </is>
      </c>
      <c r="D60" t="inlineStr">
        <is>
          <t>GLOBAL_CHECK</t>
        </is>
      </c>
      <c r="G60">
        <f>IFERROR(VLOOKUP($A76&amp;"_"&amp;$B76,Results_Deltas!$A$2:$P$15000,5,FALSE),"")</f>
        <v/>
      </c>
      <c r="H60" t="inlineStr">
        <is>
          <t>Blanket (page end)</t>
        </is>
      </c>
      <c r="L60" t="inlineStr">
        <is>
          <t>NO</t>
        </is>
      </c>
      <c r="M60" t="n">
        <v>3</v>
      </c>
      <c r="N60" t="n">
        <v>0</v>
      </c>
    </row>
    <row r="61" ht="15.75" customHeight="1" s="67">
      <c r="A61" t="inlineStr">
        <is>
          <t>GR_FILTER_VEC_ENABLED</t>
        </is>
      </c>
      <c r="B61" t="inlineStr">
        <is>
          <t>True</t>
        </is>
      </c>
      <c r="D61" t="inlineStr">
        <is>
          <t>GLOBAL_CHECK</t>
        </is>
      </c>
      <c r="G61">
        <f>IFERROR(VLOOKUP($A112&amp;"_"&amp;$B112,Results_Deltas!$A$2:$P$15000,5,FALSE),"")</f>
        <v/>
      </c>
      <c r="H61" t="inlineStr">
        <is>
          <t>Blanket (page end)</t>
        </is>
      </c>
      <c r="L61" t="inlineStr">
        <is>
          <t>NO</t>
        </is>
      </c>
      <c r="M61" t="n">
        <v>3</v>
      </c>
      <c r="N61" t="n">
        <v>0</v>
      </c>
    </row>
    <row r="62" ht="15.75" customHeight="1" s="67">
      <c r="A62" t="inlineStr">
        <is>
          <t>EMA_BLANKET_FILTER_MIN_TFS</t>
        </is>
      </c>
      <c r="B62" t="inlineStr">
        <is>
          <t>0</t>
        </is>
      </c>
      <c r="D62" t="inlineStr">
        <is>
          <t>GLOBAL_CHECK</t>
        </is>
      </c>
      <c r="G62">
        <f>IFERROR(VLOOKUP($A81&amp;"_"&amp;$B81,Results_Deltas!$A$2:$P$15000,5,FALSE),"")</f>
        <v/>
      </c>
      <c r="H62" t="inlineStr">
        <is>
          <t>Blanket (page end)</t>
        </is>
      </c>
      <c r="L62" t="inlineStr">
        <is>
          <t>NO</t>
        </is>
      </c>
      <c r="M62" t="n">
        <v>3</v>
      </c>
      <c r="N62" t="n">
        <v>0</v>
      </c>
    </row>
    <row r="63" ht="10.5" customHeight="1" s="67">
      <c r="A63" t="inlineStr">
        <is>
          <t>EMA_9_21_FILTER_MIN_TFS</t>
        </is>
      </c>
      <c r="B63" t="inlineStr">
        <is>
          <t>2</t>
        </is>
      </c>
      <c r="D63" t="inlineStr">
        <is>
          <t>GLOBAL_CHECK</t>
        </is>
      </c>
      <c r="G63">
        <f>IFERROR(VLOOKUP($A77&amp;"_"&amp;$B77,Results_Deltas!$A$2:$P$15000,5,FALSE),"")</f>
        <v/>
      </c>
      <c r="H63" t="inlineStr">
        <is>
          <t>Blanket (page end)</t>
        </is>
      </c>
      <c r="L63" t="inlineStr">
        <is>
          <t>NO</t>
        </is>
      </c>
      <c r="M63" t="n">
        <v>3</v>
      </c>
      <c r="N63" t="n">
        <v>0</v>
      </c>
    </row>
    <row r="64" ht="15.75" customHeight="1" s="67">
      <c r="A64" t="inlineStr">
        <is>
          <t>OI_CONFIRM_MIN_CHANGE_PCT</t>
        </is>
      </c>
      <c r="B64" t="inlineStr">
        <is>
          <t>1.0</t>
        </is>
      </c>
      <c r="D64" t="inlineStr">
        <is>
          <t>ENTRY, GLOBAL_CHECK, STOCKS_EXIT</t>
        </is>
      </c>
      <c r="G64">
        <f>IFERROR(VLOOKUP($A207&amp;"_"&amp;$B207,Results_Deltas!$A$2:$P$15000,5,FALSE),"")</f>
        <v/>
      </c>
      <c r="H64" t="inlineStr">
        <is>
          <t>Blanket (page end)</t>
        </is>
      </c>
      <c r="L64" t="inlineStr">
        <is>
          <t>NO</t>
        </is>
      </c>
      <c r="M64" t="n">
        <v>26</v>
      </c>
      <c r="N64" t="n">
        <v>0</v>
      </c>
    </row>
    <row r="65" ht="15.75" customHeight="1" s="67">
      <c r="A65" t="inlineStr">
        <is>
          <t>MTS_BOTTOM_STRONG_THRESHOLD</t>
        </is>
      </c>
      <c r="B65" t="inlineStr">
        <is>
          <t>20</t>
        </is>
      </c>
      <c r="D65" t="inlineStr">
        <is>
          <t>ENTRY, GLOBAL_CHECK, STOCKS_EXIT</t>
        </is>
      </c>
      <c r="G65">
        <f>IFERROR(VLOOKUP($A190&amp;"_"&amp;$B190,Results_Deltas!$A$2:$P$15000,5,FALSE),"")</f>
        <v/>
      </c>
      <c r="H65" t="inlineStr">
        <is>
          <t>Blanket (page end)</t>
        </is>
      </c>
      <c r="L65" t="inlineStr">
        <is>
          <t>NO</t>
        </is>
      </c>
      <c r="M65" t="n">
        <v>26</v>
      </c>
      <c r="N65" t="n">
        <v>0</v>
      </c>
    </row>
    <row r="66" ht="10.5" customHeight="1" s="67">
      <c r="A66" t="inlineStr">
        <is>
          <t>EMA_BLANKET_FILTER_ENABLED</t>
        </is>
      </c>
      <c r="B66" t="inlineStr">
        <is>
          <t>False</t>
        </is>
      </c>
      <c r="D66" t="inlineStr">
        <is>
          <t>GLOBAL_CHECK</t>
        </is>
      </c>
      <c r="G66">
        <f>IFERROR(VLOOKUP($A79&amp;"_"&amp;$B79,Results_Deltas!$A$2:$P$15000,5,FALSE),"")</f>
        <v/>
      </c>
      <c r="H66" t="inlineStr">
        <is>
          <t>Blanket (page end)</t>
        </is>
      </c>
      <c r="L66" t="inlineStr">
        <is>
          <t>YES</t>
        </is>
      </c>
      <c r="M66" t="n">
        <v>3</v>
      </c>
      <c r="N66" t="n">
        <v>0</v>
      </c>
    </row>
    <row r="67" ht="15.75" customHeight="1" s="67">
      <c r="A67" t="inlineStr">
        <is>
          <t>GR_FILTER_VEC_MIN_TFS</t>
        </is>
      </c>
      <c r="B67" t="inlineStr">
        <is>
          <t>1</t>
        </is>
      </c>
      <c r="D67" t="inlineStr">
        <is>
          <t>GLOBAL_CHECK</t>
        </is>
      </c>
      <c r="G67">
        <f>IFERROR(VLOOKUP($A115&amp;"_"&amp;$B115,Results_Deltas!$A$2:$P$15000,5,FALSE),"")</f>
        <v/>
      </c>
      <c r="H67" t="inlineStr">
        <is>
          <t>Blanket (page end)</t>
        </is>
      </c>
      <c r="L67" t="inlineStr">
        <is>
          <t>YES</t>
        </is>
      </c>
      <c r="M67" t="n">
        <v>3</v>
      </c>
      <c r="N67" t="n">
        <v>0</v>
      </c>
    </row>
    <row r="68" ht="15.75" customHeight="1" s="67">
      <c r="A68" t="inlineStr">
        <is>
          <t>MOVER_THRESHOLD</t>
        </is>
      </c>
      <c r="B68" t="inlineStr">
        <is>
          <t>3.75</t>
        </is>
      </c>
      <c r="D68" t="inlineStr">
        <is>
          <t>ENTRY, GLOBAL_CHECK, STOCKS_EXIT</t>
        </is>
      </c>
      <c r="G68">
        <f>IFERROR(VLOOKUP($A177&amp;"_"&amp;$B177,Results_Deltas!$A$2:$P$15000,5,FALSE),"")</f>
        <v/>
      </c>
      <c r="H68" t="inlineStr">
        <is>
          <t>Blanket (page end)</t>
        </is>
      </c>
      <c r="L68" t="inlineStr">
        <is>
          <t>NO</t>
        </is>
      </c>
      <c r="M68" t="n">
        <v>26</v>
      </c>
      <c r="N68" t="n">
        <v>0</v>
      </c>
    </row>
    <row r="69" ht="15.75" customHeight="1" s="67">
      <c r="A69" t="inlineStr">
        <is>
          <t>HTF_DIRECTION_GATE_ENABLED</t>
        </is>
      </c>
      <c r="B69" t="inlineStr">
        <is>
          <t>True</t>
        </is>
      </c>
      <c r="D69" t="inlineStr">
        <is>
          <t>ENTRY, GLOBAL_CHECK, STOCKS_EXIT</t>
        </is>
      </c>
      <c r="G69">
        <f>IFERROR(VLOOKUP($A135&amp;"_"&amp;$B135,Results_Deltas!$A$2:$P$15000,5,FALSE),"")</f>
        <v/>
      </c>
      <c r="H69" t="inlineStr">
        <is>
          <t>Blanket (page end)</t>
        </is>
      </c>
      <c r="L69" t="inlineStr">
        <is>
          <t>NO</t>
        </is>
      </c>
      <c r="M69" t="n">
        <v>27</v>
      </c>
      <c r="N69" t="n">
        <v>0</v>
      </c>
    </row>
    <row r="70" ht="15.75" customHeight="1" s="67">
      <c r="A70" t="inlineStr">
        <is>
          <t>MTS_GATE_ENABLED</t>
        </is>
      </c>
      <c r="B70" t="inlineStr">
        <is>
          <t>True</t>
        </is>
      </c>
      <c r="D70" t="inlineStr">
        <is>
          <t>ENTRY, GLOBAL_CHECK, STOCKS_EXIT</t>
        </is>
      </c>
      <c r="G70">
        <f>IFERROR(VLOOKUP($A192&amp;"_"&amp;$B192,Results_Deltas!$A$2:$P$15000,5,FALSE),"")</f>
        <v/>
      </c>
      <c r="H70" t="inlineStr">
        <is>
          <t>Blanket (page end)</t>
        </is>
      </c>
      <c r="L70" t="inlineStr">
        <is>
          <t>NO</t>
        </is>
      </c>
      <c r="M70" t="n">
        <v>26</v>
      </c>
      <c r="N70" t="n">
        <v>0</v>
      </c>
    </row>
    <row r="71" ht="15.75" customHeight="1" s="67">
      <c r="A71" t="inlineStr">
        <is>
          <t>MANDATORY_REENTRY_WT_FILTER_MIN_TFS</t>
        </is>
      </c>
      <c r="B71" t="inlineStr">
        <is>
          <t>2</t>
        </is>
      </c>
      <c r="D71" t="inlineStr">
        <is>
          <t>GLOBAL_CHECK, STOCKS_EXIT</t>
        </is>
      </c>
      <c r="G71">
        <f>IFERROR(VLOOKUP($A164&amp;"_"&amp;$B164,Results_Deltas!$A$2:$P$15000,5,FALSE),"")</f>
        <v/>
      </c>
      <c r="H71" t="inlineStr">
        <is>
          <t>Blanket (page end)</t>
        </is>
      </c>
      <c r="L71" t="inlineStr">
        <is>
          <t>NO</t>
        </is>
      </c>
      <c r="M71" t="n">
        <v>26</v>
      </c>
      <c r="N71" t="n">
        <v>0</v>
      </c>
    </row>
    <row r="72" ht="15.75" customHeight="1" s="67">
      <c r="A72" t="inlineStr">
        <is>
          <t>HA_WICK_QUALITY_ENABLED</t>
        </is>
      </c>
      <c r="B72" t="inlineStr">
        <is>
          <t>True</t>
        </is>
      </c>
      <c r="D72" t="inlineStr">
        <is>
          <t>ENTRY, GLOBAL_CHECK, STOCKS_EXIT</t>
        </is>
      </c>
      <c r="G72">
        <f>IFERROR(VLOOKUP($A117&amp;"_"&amp;$B117,Results_Deltas!$A$2:$P$15000,5,FALSE),"")</f>
        <v/>
      </c>
      <c r="H72" t="inlineStr">
        <is>
          <t>Blanket (page end)</t>
        </is>
      </c>
      <c r="L72" t="inlineStr">
        <is>
          <t>NO</t>
        </is>
      </c>
      <c r="M72" t="n">
        <v>27</v>
      </c>
      <c r="N72" t="n">
        <v>0</v>
      </c>
    </row>
    <row r="73" ht="15.75" customHeight="1" s="67">
      <c r="A73" t="inlineStr">
        <is>
          <t>NEW_POSITION_MAX_LOSS_THRESHOLD</t>
        </is>
      </c>
      <c r="B73" t="inlineStr">
        <is>
          <t>2.0</t>
        </is>
      </c>
      <c r="D73" t="inlineStr">
        <is>
          <t>AUGMENT, EXIT, GLOBAL_CHECK, REDUCE, STOCKS_EXIT</t>
        </is>
      </c>
      <c r="G73">
        <f>IFERROR(VLOOKUP($A200&amp;"_"&amp;$B200,Results_Deltas!$A$2:$P$15000,5,FALSE),"")</f>
        <v/>
      </c>
      <c r="H73" t="inlineStr">
        <is>
          <t>Blanket (page end)</t>
        </is>
      </c>
      <c r="L73" t="inlineStr">
        <is>
          <t>NO</t>
        </is>
      </c>
      <c r="M73" t="n">
        <v>22</v>
      </c>
      <c r="N73" t="n">
        <v>0</v>
      </c>
    </row>
    <row r="74" ht="15.75" customHeight="1" s="67">
      <c r="A74" t="inlineStr">
        <is>
          <t>LH_HL_FILTER_ENABLED</t>
        </is>
      </c>
      <c r="B74" t="inlineStr">
        <is>
          <t>True</t>
        </is>
      </c>
      <c r="D74" t="inlineStr">
        <is>
          <t>ENTRY, GLOBAL_CHECK, STOCKS_EXIT</t>
        </is>
      </c>
      <c r="G74">
        <f>IFERROR(VLOOKUP($A149&amp;"_"&amp;$B149,Results_Deltas!$A$2:$P$15000,5,FALSE),"")</f>
        <v/>
      </c>
      <c r="H74" t="inlineStr">
        <is>
          <t>Blanket (page end)</t>
        </is>
      </c>
      <c r="L74" t="inlineStr">
        <is>
          <t>NO</t>
        </is>
      </c>
      <c r="M74" t="n">
        <v>27</v>
      </c>
      <c r="N74" t="n">
        <v>0</v>
      </c>
    </row>
    <row r="75" ht="10.5" customHeight="1" s="67">
      <c r="A75" t="inlineStr">
        <is>
          <t>BANDAID_OFF_LOSER_RECOVER_PCT</t>
        </is>
      </c>
      <c r="B75" t="inlineStr">
        <is>
          <t>2.0</t>
        </is>
      </c>
      <c r="D75" t="inlineStr">
        <is>
          <t>AUGMENT, ENTRY, EXIT, GLOBAL_CHECK, REDUCE, STOCKS_EXIT</t>
        </is>
      </c>
      <c r="G75">
        <f>IFERROR(VLOOKUP($A49&amp;"_"&amp;$B49,Results_Deltas!$A$2:$P$15000,5,FALSE),"")</f>
        <v/>
      </c>
      <c r="H75" t="inlineStr">
        <is>
          <t>Blanket (page end)</t>
        </is>
      </c>
      <c r="L75" t="inlineStr">
        <is>
          <t>NO</t>
        </is>
      </c>
      <c r="M75" t="n">
        <v>24</v>
      </c>
      <c r="N75" t="n">
        <v>0</v>
      </c>
    </row>
    <row r="76" ht="15.75" customHeight="1" s="67">
      <c r="A76" t="inlineStr">
        <is>
          <t>HLR_TOP_MIN_TFS</t>
        </is>
      </c>
      <c r="B76" t="inlineStr">
        <is>
          <t>1</t>
        </is>
      </c>
      <c r="D76" t="inlineStr">
        <is>
          <t>GLOBAL_CHECK, REENTRY, STOCKS_EXIT</t>
        </is>
      </c>
      <c r="G76">
        <f>IFERROR(VLOOKUP($A131&amp;"_"&amp;$B131,Results_Deltas!$A$2:$P$15000,5,FALSE),"")</f>
        <v/>
      </c>
      <c r="H76" t="inlineStr">
        <is>
          <t>Blanket (page end)</t>
        </is>
      </c>
      <c r="L76" t="inlineStr">
        <is>
          <t>NO</t>
        </is>
      </c>
      <c r="M76" t="n">
        <v>27</v>
      </c>
      <c r="N76" t="n">
        <v>0</v>
      </c>
    </row>
    <row r="77" ht="15.75" customHeight="1" s="67">
      <c r="A77" t="inlineStr">
        <is>
          <t>FG_GREED_THRESHOLD</t>
        </is>
      </c>
      <c r="B77" t="inlineStr">
        <is>
          <t>37.5</t>
        </is>
      </c>
      <c r="D77" t="inlineStr">
        <is>
          <t>GLOBAL_CHECK, STOCKS_EXIT</t>
        </is>
      </c>
      <c r="G77">
        <f>IFERROR(VLOOKUP($A95&amp;"_"&amp;$B95,Results_Deltas!$A$2:$P$15000,5,FALSE),"")</f>
        <v/>
      </c>
      <c r="H77" t="inlineStr">
        <is>
          <t>Blanket (page end)</t>
        </is>
      </c>
      <c r="L77" t="inlineStr">
        <is>
          <t>NO</t>
        </is>
      </c>
      <c r="M77" t="n">
        <v>27</v>
      </c>
      <c r="N77" t="n">
        <v>0</v>
      </c>
    </row>
    <row r="78" ht="15.75" customHeight="1" s="67">
      <c r="A78" t="inlineStr">
        <is>
          <t>OI_CONFIRM_MIN_PRICE_PCT</t>
        </is>
      </c>
      <c r="B78" t="inlineStr">
        <is>
          <t>2.0</t>
        </is>
      </c>
      <c r="D78" t="inlineStr">
        <is>
          <t>ENTRY, GLOBAL_CHECK, STOCKS_EXIT</t>
        </is>
      </c>
      <c r="G78">
        <f>IFERROR(VLOOKUP($A210&amp;"_"&amp;$B210,Results_Deltas!$A$2:$P$15000,5,FALSE),"")</f>
        <v/>
      </c>
      <c r="H78" t="inlineStr">
        <is>
          <t>Blanket (page end)</t>
        </is>
      </c>
      <c r="L78" t="inlineStr">
        <is>
          <t>NO</t>
        </is>
      </c>
      <c r="M78" t="n">
        <v>26</v>
      </c>
      <c r="N78" t="n">
        <v>0</v>
      </c>
    </row>
    <row r="79" ht="15.75" customHeight="1" s="67">
      <c r="A79" t="inlineStr">
        <is>
          <t>MOVER_THRESHOLD</t>
        </is>
      </c>
      <c r="B79" t="inlineStr">
        <is>
          <t>2.5</t>
        </is>
      </c>
      <c r="D79" t="inlineStr">
        <is>
          <t>ENTRY, GLOBAL_CHECK, STOCKS_EXIT</t>
        </is>
      </c>
      <c r="G79">
        <f>IFERROR(VLOOKUP($A178&amp;"_"&amp;$B178,Results_Deltas!$A$2:$P$15000,5,FALSE),"")</f>
        <v/>
      </c>
      <c r="H79" t="inlineStr">
        <is>
          <t>Blanket (page end)</t>
        </is>
      </c>
      <c r="L79" t="inlineStr">
        <is>
          <t>NO</t>
        </is>
      </c>
      <c r="M79" t="n">
        <v>26</v>
      </c>
      <c r="N79" t="n">
        <v>0</v>
      </c>
    </row>
    <row r="80" ht="10.5" customHeight="1" s="67">
      <c r="A80" t="inlineStr">
        <is>
          <t>ADX_RANGING_THRESHOLD</t>
        </is>
      </c>
      <c r="B80" t="inlineStr">
        <is>
          <t>15</t>
        </is>
      </c>
      <c r="D80" t="inlineStr">
        <is>
          <t>ENTRY, GLOBAL_CHECK, STOCKS_EXIT</t>
        </is>
      </c>
      <c r="G80">
        <f>IFERROR(VLOOKUP($A46&amp;"_"&amp;$B46,Results_Deltas!$A$2:$P$15000,5,FALSE),"")</f>
        <v/>
      </c>
      <c r="H80" t="inlineStr">
        <is>
          <t>Blanket (page end)</t>
        </is>
      </c>
      <c r="L80" t="inlineStr">
        <is>
          <t>YES</t>
        </is>
      </c>
      <c r="M80" t="n">
        <v>27</v>
      </c>
      <c r="N80" t="n">
        <v>0</v>
      </c>
    </row>
    <row r="81" ht="15.75" customHeight="1" s="67">
      <c r="A81" t="inlineStr">
        <is>
          <t>HA_WICK_QUALITY_TF</t>
        </is>
      </c>
      <c r="B81" t="inlineStr">
        <is>
          <t>1h</t>
        </is>
      </c>
      <c r="D81" t="inlineStr">
        <is>
          <t>ENTRY, GLOBAL_CHECK, STOCKS_EXIT</t>
        </is>
      </c>
      <c r="G81">
        <f>IFERROR(VLOOKUP($A123&amp;"_"&amp;$B123,Results_Deltas!$A$2:$P$15000,5,FALSE),"")</f>
        <v/>
      </c>
      <c r="H81" t="inlineStr">
        <is>
          <t>Blanket (page end)</t>
        </is>
      </c>
      <c r="L81" t="inlineStr">
        <is>
          <t>NO</t>
        </is>
      </c>
      <c r="M81" t="n">
        <v>27</v>
      </c>
      <c r="N81" t="n">
        <v>0</v>
      </c>
    </row>
    <row r="82" ht="15.75" customHeight="1" s="67">
      <c r="A82" t="inlineStr">
        <is>
          <t>LR_BAND_LADDER_TF_TOP</t>
        </is>
      </c>
      <c r="B82" t="inlineStr">
        <is>
          <t>1</t>
        </is>
      </c>
      <c r="D82" t="inlineStr">
        <is>
          <t>GLOBAL_CHECK, STOCKS_EXIT</t>
        </is>
      </c>
      <c r="G82">
        <f>IFERROR(VLOOKUP($A161&amp;"_"&amp;$B161,Results_Deltas!$A$2:$P$15000,5,FALSE),"")</f>
        <v/>
      </c>
      <c r="H82" t="inlineStr">
        <is>
          <t>Blanket (page end)</t>
        </is>
      </c>
      <c r="L82" t="inlineStr">
        <is>
          <t>NO</t>
        </is>
      </c>
      <c r="M82" t="n">
        <v>24</v>
      </c>
      <c r="N82" t="n">
        <v>0</v>
      </c>
    </row>
    <row r="83" ht="10.5" customHeight="1" s="67">
      <c r="A83" t="inlineStr">
        <is>
          <t>DELTA_HTF_GATE</t>
        </is>
      </c>
      <c r="B83" t="inlineStr">
        <is>
          <t>4h_ALT</t>
        </is>
      </c>
      <c r="D83" t="inlineStr">
        <is>
          <t>ENTRY, GLOBAL_CHECK, STOCKS_EXIT</t>
        </is>
      </c>
      <c r="G83">
        <f>IFERROR(VLOOKUP($A68&amp;"_"&amp;$B68,Results_Deltas!$A$2:$P$15000,5,FALSE),"")</f>
        <v/>
      </c>
      <c r="H83" t="inlineStr">
        <is>
          <t>Blanket (page end)</t>
        </is>
      </c>
      <c r="L83" t="inlineStr">
        <is>
          <t>NO</t>
        </is>
      </c>
      <c r="M83" t="n">
        <v>27</v>
      </c>
      <c r="N83" t="n">
        <v>0</v>
      </c>
    </row>
    <row r="84" ht="15.75" customHeight="1" s="67">
      <c r="A84" t="inlineStr">
        <is>
          <t>HA_WICK_QUALITY_TF</t>
        </is>
      </c>
      <c r="B84" t="inlineStr">
        <is>
          <t>OFF</t>
        </is>
      </c>
      <c r="D84" t="inlineStr">
        <is>
          <t>ENTRY, GLOBAL_CHECK, STOCKS_EXIT</t>
        </is>
      </c>
      <c r="G84">
        <f>IFERROR(VLOOKUP($A120&amp;"_"&amp;$B120,Results_Deltas!$A$2:$P$15000,5,FALSE),"")</f>
        <v/>
      </c>
      <c r="H84" t="inlineStr">
        <is>
          <t>Blanket (page end)</t>
        </is>
      </c>
      <c r="L84" t="inlineStr">
        <is>
          <t>YES</t>
        </is>
      </c>
      <c r="M84" t="n">
        <v>27</v>
      </c>
      <c r="N84" t="n">
        <v>0</v>
      </c>
    </row>
    <row r="85" ht="10.5" customHeight="1" s="67">
      <c r="A85" t="inlineStr">
        <is>
          <t>DELTA_HTF_GATE</t>
        </is>
      </c>
      <c r="B85" t="inlineStr">
        <is>
          <t>4h</t>
        </is>
      </c>
      <c r="D85" t="inlineStr">
        <is>
          <t>ENTRY, GLOBAL_CHECK, STOCKS_EXIT</t>
        </is>
      </c>
      <c r="G85">
        <f>IFERROR(VLOOKUP($A67&amp;"_"&amp;$B67,Results_Deltas!$A$2:$P$15000,5,FALSE),"")</f>
        <v/>
      </c>
      <c r="H85" t="inlineStr">
        <is>
          <t>Blanket (page end)</t>
        </is>
      </c>
      <c r="L85" t="inlineStr">
        <is>
          <t>YES</t>
        </is>
      </c>
      <c r="M85" t="n">
        <v>27</v>
      </c>
      <c r="N85" t="n">
        <v>0</v>
      </c>
    </row>
    <row r="86" ht="15.75" customHeight="1" s="67">
      <c r="A86" t="inlineStr">
        <is>
          <t>LR_BAND_LADDER_TF_BOTTOM</t>
        </is>
      </c>
      <c r="B86" t="inlineStr">
        <is>
          <t>1</t>
        </is>
      </c>
      <c r="D86" t="inlineStr">
        <is>
          <t>GLOBAL_CHECK, STOCKS_EXIT</t>
        </is>
      </c>
      <c r="G86">
        <f>IFERROR(VLOOKUP($A159&amp;"_"&amp;$B159,Results_Deltas!$A$2:$P$15000,5,FALSE),"")</f>
        <v/>
      </c>
      <c r="H86" t="inlineStr">
        <is>
          <t>Blanket (page end)</t>
        </is>
      </c>
      <c r="L86" t="inlineStr">
        <is>
          <t>NO</t>
        </is>
      </c>
      <c r="M86" t="n">
        <v>26</v>
      </c>
      <c r="N86" t="n">
        <v>0</v>
      </c>
    </row>
    <row r="87" ht="15.75" customHeight="1" s="67">
      <c r="A87" t="inlineStr">
        <is>
          <t>MOVER_THRESHOLD</t>
        </is>
      </c>
      <c r="B87" t="inlineStr">
        <is>
          <t>5</t>
        </is>
      </c>
      <c r="D87" t="inlineStr">
        <is>
          <t>ENTRY, GLOBAL_CHECK, STOCKS_EXIT</t>
        </is>
      </c>
      <c r="G87">
        <f>IFERROR(VLOOKUP($A175&amp;"_"&amp;$B175,Results_Deltas!$A$2:$P$15000,5,FALSE),"")</f>
        <v/>
      </c>
      <c r="H87" t="inlineStr">
        <is>
          <t>Blanket (page end)</t>
        </is>
      </c>
      <c r="L87" t="inlineStr">
        <is>
          <t>YES</t>
        </is>
      </c>
      <c r="M87" t="n">
        <v>26</v>
      </c>
      <c r="N87" t="n">
        <v>0</v>
      </c>
    </row>
    <row r="88" ht="10.5" customHeight="1" s="67">
      <c r="A88" t="inlineStr">
        <is>
          <t>DC_MOMENT_STRONG_THRESHOLD</t>
        </is>
      </c>
      <c r="B88" t="inlineStr">
        <is>
          <t>40</t>
        </is>
      </c>
      <c r="D88" t="inlineStr">
        <is>
          <t>ENTRY, GLOBAL_CHECK, STOCKS_EXIT</t>
        </is>
      </c>
      <c r="G88">
        <f>IFERROR(VLOOKUP($A63&amp;"_"&amp;$B63,Results_Deltas!$A$2:$P$15000,5,FALSE),"")</f>
        <v/>
      </c>
      <c r="H88" t="inlineStr">
        <is>
          <t>Blanket (page end)</t>
        </is>
      </c>
      <c r="L88" t="inlineStr">
        <is>
          <t>YES</t>
        </is>
      </c>
      <c r="M88" t="n">
        <v>27</v>
      </c>
      <c r="N88" t="n">
        <v>0</v>
      </c>
    </row>
    <row r="89" ht="10.5" customHeight="1" s="67">
      <c r="A89" t="inlineStr">
        <is>
          <t>DELTA_REENTRY_FILTER_ENABLED</t>
        </is>
      </c>
      <c r="B89" t="inlineStr">
        <is>
          <t>True</t>
        </is>
      </c>
      <c r="D89" t="inlineStr">
        <is>
          <t>ENTRY, GLOBAL_CHECK, STOCKS_EXIT</t>
        </is>
      </c>
      <c r="G89">
        <f>IFERROR(VLOOKUP($A70&amp;"_"&amp;$B70,Results_Deltas!$A$2:$P$15000,5,FALSE),"")</f>
        <v/>
      </c>
      <c r="H89" t="inlineStr">
        <is>
          <t>Blanket (page end)</t>
        </is>
      </c>
      <c r="L89" t="inlineStr">
        <is>
          <t>NO</t>
        </is>
      </c>
      <c r="M89" t="n">
        <v>27</v>
      </c>
      <c r="N89" t="n">
        <v>0</v>
      </c>
    </row>
    <row r="90" ht="15.75" customHeight="1" s="67">
      <c r="A90" t="inlineStr">
        <is>
          <t>HLR_SMA_BAND_PCT</t>
        </is>
      </c>
      <c r="B90" t="inlineStr">
        <is>
          <t>2.0</t>
        </is>
      </c>
      <c r="D90" t="inlineStr">
        <is>
          <t>ENTRY, GLOBAL_CHECK, STOCKS_EXIT</t>
        </is>
      </c>
      <c r="G90">
        <f>IFERROR(VLOOKUP($A126&amp;"_"&amp;$B126,Results_Deltas!$A$2:$P$15000,5,FALSE),"")</f>
        <v/>
      </c>
      <c r="H90" t="inlineStr">
        <is>
          <t>Blanket (page end)</t>
        </is>
      </c>
      <c r="L90" t="inlineStr">
        <is>
          <t>NO</t>
        </is>
      </c>
      <c r="M90" t="n">
        <v>27</v>
      </c>
      <c r="N90" t="n">
        <v>0</v>
      </c>
    </row>
    <row r="91" ht="15.75" customHeight="1" s="67">
      <c r="A91" t="inlineStr">
        <is>
          <t>MANDATORY_REENTRY_WT_FILTER_MIN_TFS</t>
        </is>
      </c>
      <c r="B91" t="inlineStr">
        <is>
          <t>1</t>
        </is>
      </c>
      <c r="D91" t="inlineStr">
        <is>
          <t>GLOBAL_CHECK, STOCKS_EXIT</t>
        </is>
      </c>
      <c r="G91">
        <f>IFERROR(VLOOKUP($A162&amp;"_"&amp;$B162,Results_Deltas!$A$2:$P$15000,5,FALSE),"")</f>
        <v/>
      </c>
      <c r="H91" t="inlineStr">
        <is>
          <t>Blanket (page end)</t>
        </is>
      </c>
      <c r="L91" t="inlineStr">
        <is>
          <t>NO</t>
        </is>
      </c>
      <c r="M91" t="n">
        <v>26</v>
      </c>
      <c r="N91" t="n">
        <v>0</v>
      </c>
    </row>
    <row r="92" ht="15.75" customHeight="1" s="67">
      <c r="A92" t="inlineStr">
        <is>
          <t>LR_BAND_LADDER_STOCH_EXTREME</t>
        </is>
      </c>
      <c r="B92" t="inlineStr">
        <is>
          <t>30.0_ALT</t>
        </is>
      </c>
      <c r="D92" t="inlineStr">
        <is>
          <t>GLOBAL_CHECK, STOCKS_EXIT</t>
        </is>
      </c>
      <c r="G92">
        <f>IFERROR(VLOOKUP($A157&amp;"_"&amp;$B157,Results_Deltas!$A$2:$P$15000,5,FALSE),"")</f>
        <v/>
      </c>
      <c r="H92" t="inlineStr">
        <is>
          <t>Blanket (page end)</t>
        </is>
      </c>
      <c r="L92" t="inlineStr">
        <is>
          <t>NO</t>
        </is>
      </c>
      <c r="M92" t="n">
        <v>26</v>
      </c>
      <c r="N92" t="n">
        <v>0</v>
      </c>
    </row>
    <row r="93" ht="15.75" customHeight="1" s="67">
      <c r="A93" t="inlineStr">
        <is>
          <t>LR_BAND_LADDER_STOCH_EXTREME</t>
        </is>
      </c>
      <c r="B93" t="inlineStr">
        <is>
          <t>30.0</t>
        </is>
      </c>
      <c r="D93" t="inlineStr">
        <is>
          <t>GLOBAL_CHECK, STOCKS_EXIT</t>
        </is>
      </c>
      <c r="G93">
        <f>IFERROR(VLOOKUP($A156&amp;"_"&amp;$B156,Results_Deltas!$A$2:$P$15000,5,FALSE),"")</f>
        <v/>
      </c>
      <c r="H93" t="inlineStr">
        <is>
          <t>Blanket (page end)</t>
        </is>
      </c>
      <c r="L93" t="inlineStr">
        <is>
          <t>YES</t>
        </is>
      </c>
      <c r="M93" t="n">
        <v>27</v>
      </c>
      <c r="N93" t="n">
        <v>0</v>
      </c>
    </row>
    <row r="94" ht="15.75" customHeight="1" s="67">
      <c r="A94" t="inlineStr">
        <is>
          <t>MOVER_THRESHOLD</t>
        </is>
      </c>
      <c r="B94" t="inlineStr">
        <is>
          <t>6.25</t>
        </is>
      </c>
      <c r="D94" t="inlineStr">
        <is>
          <t>ENTRY, GLOBAL_CHECK, STOCKS_EXIT</t>
        </is>
      </c>
      <c r="G94">
        <f>IFERROR(VLOOKUP($A176&amp;"_"&amp;$B176,Results_Deltas!$A$2:$P$15000,5,FALSE),"")</f>
        <v/>
      </c>
      <c r="H94" t="inlineStr">
        <is>
          <t>Blanket (page end)</t>
        </is>
      </c>
      <c r="L94" t="inlineStr">
        <is>
          <t>NO</t>
        </is>
      </c>
      <c r="M94" t="n">
        <v>26</v>
      </c>
      <c r="N94" t="n">
        <v>0</v>
      </c>
    </row>
    <row r="95" ht="15.75" customHeight="1" s="67">
      <c r="A95" t="inlineStr">
        <is>
          <t>NEWBORN_LOSS_KILL_GAIN_THRESHOLD_PCT</t>
        </is>
      </c>
      <c r="B95" t="inlineStr">
        <is>
          <t>1.0</t>
        </is>
      </c>
      <c r="D95" t="inlineStr">
        <is>
          <t>AUGMENT, EXIT, GLOBAL_CHECK, REDUCE, STOCKS_EXIT</t>
        </is>
      </c>
      <c r="G95">
        <f>IFERROR(VLOOKUP($A195&amp;"_"&amp;$B195,Results_Deltas!$A$2:$P$15000,5,FALSE),"")</f>
        <v/>
      </c>
      <c r="H95" t="inlineStr">
        <is>
          <t>Blanket (page end)</t>
        </is>
      </c>
      <c r="L95" t="inlineStr">
        <is>
          <t>NO</t>
        </is>
      </c>
      <c r="M95" t="n">
        <v>22</v>
      </c>
      <c r="N95" t="n">
        <v>0</v>
      </c>
    </row>
    <row r="96" ht="15.75" customHeight="1" s="67">
      <c r="A96" t="inlineStr">
        <is>
          <t>FG_FEAR_THRESHOLD</t>
        </is>
      </c>
      <c r="B96" t="inlineStr">
        <is>
          <t>12.5</t>
        </is>
      </c>
      <c r="D96" t="inlineStr">
        <is>
          <t>GLOBAL_CHECK, STOCKS_EXIT</t>
        </is>
      </c>
      <c r="G96">
        <f>IFERROR(VLOOKUP($A91&amp;"_"&amp;$B91,Results_Deltas!$A$2:$P$15000,5,FALSE),"")</f>
        <v/>
      </c>
      <c r="H96" t="inlineStr">
        <is>
          <t>Blanket (page end)</t>
        </is>
      </c>
      <c r="L96" t="inlineStr">
        <is>
          <t>NO</t>
        </is>
      </c>
      <c r="M96" t="n">
        <v>27</v>
      </c>
      <c r="N96" t="n">
        <v>0</v>
      </c>
    </row>
    <row r="97" ht="15.75" customHeight="1" s="67">
      <c r="A97" t="inlineStr">
        <is>
          <t>NEWBORN_LOSS_KILL_GAIN_THRESHOLD_PCT</t>
        </is>
      </c>
      <c r="B97" t="inlineStr">
        <is>
          <t>0.5</t>
        </is>
      </c>
      <c r="D97" t="inlineStr">
        <is>
          <t>AUGMENT, EXIT, GLOBAL_CHECK, REDUCE, STOCKS_EXIT</t>
        </is>
      </c>
      <c r="G97">
        <f>IFERROR(VLOOKUP($A196&amp;"_"&amp;$B196,Results_Deltas!$A$2:$P$15000,5,FALSE),"")</f>
        <v/>
      </c>
      <c r="H97" t="inlineStr">
        <is>
          <t>Blanket (page end)</t>
        </is>
      </c>
      <c r="L97" t="inlineStr">
        <is>
          <t>YES</t>
        </is>
      </c>
      <c r="M97" t="n">
        <v>22</v>
      </c>
      <c r="N97" t="n">
        <v>0</v>
      </c>
    </row>
    <row r="98" ht="15.75" customHeight="1" s="67">
      <c r="A98" t="inlineStr">
        <is>
          <t>LIVE_VEC_EMERGENCY_BRAKE_ENABLED</t>
        </is>
      </c>
      <c r="B98" t="inlineStr">
        <is>
          <t>True</t>
        </is>
      </c>
      <c r="D98" t="inlineStr">
        <is>
          <t>GLOBAL_CHECK, STOCKS_EXIT</t>
        </is>
      </c>
      <c r="G98">
        <f>IFERROR(VLOOKUP($A155&amp;"_"&amp;$B155,Results_Deltas!$A$2:$P$15000,5,FALSE),"")</f>
        <v/>
      </c>
      <c r="H98" t="inlineStr">
        <is>
          <t>Blanket (page end)</t>
        </is>
      </c>
      <c r="L98" t="inlineStr">
        <is>
          <t>NO</t>
        </is>
      </c>
      <c r="M98" t="n">
        <v>23</v>
      </c>
      <c r="N98" t="n">
        <v>0</v>
      </c>
    </row>
    <row r="99" ht="10.5" customHeight="1" s="67">
      <c r="A99" t="inlineStr">
        <is>
          <t>DC_MOMENT_STRONG_THRESHOLD</t>
        </is>
      </c>
      <c r="B99" t="inlineStr">
        <is>
          <t>20</t>
        </is>
      </c>
      <c r="D99" t="inlineStr">
        <is>
          <t>ENTRY, GLOBAL_CHECK, STOCKS_EXIT</t>
        </is>
      </c>
      <c r="G99">
        <f>IFERROR(VLOOKUP($A66&amp;"_"&amp;$B66,Results_Deltas!$A$2:$P$15000,5,FALSE),"")</f>
        <v/>
      </c>
      <c r="H99" t="inlineStr">
        <is>
          <t>Blanket (page end)</t>
        </is>
      </c>
      <c r="L99" t="inlineStr">
        <is>
          <t>NO</t>
        </is>
      </c>
      <c r="M99" t="n">
        <v>27</v>
      </c>
      <c r="N99" t="n">
        <v>0</v>
      </c>
    </row>
    <row r="100" ht="15.75" customHeight="1" s="67">
      <c r="A100" t="inlineStr">
        <is>
          <t>MANDATORY_REENTRY_WT_FILTER_MIN_TFS</t>
        </is>
      </c>
      <c r="B100" t="inlineStr">
        <is>
          <t>3</t>
        </is>
      </c>
      <c r="D100" t="inlineStr">
        <is>
          <t>GLOBAL_CHECK, STOCKS_EXIT</t>
        </is>
      </c>
      <c r="G100">
        <f>IFERROR(VLOOKUP($A163&amp;"_"&amp;$B163,Results_Deltas!$A$2:$P$15000,5,FALSE),"")</f>
        <v/>
      </c>
      <c r="H100" t="inlineStr">
        <is>
          <t>Blanket (page end)</t>
        </is>
      </c>
      <c r="L100" t="inlineStr">
        <is>
          <t>NO</t>
        </is>
      </c>
      <c r="M100" t="n">
        <v>26</v>
      </c>
      <c r="N100" t="n">
        <v>0</v>
      </c>
    </row>
    <row r="101" ht="15.75" customHeight="1" s="67">
      <c r="A101" t="inlineStr">
        <is>
          <t>GR_FILTER_VEC_MIN_TFS</t>
        </is>
      </c>
      <c r="B101" t="inlineStr">
        <is>
          <t>2</t>
        </is>
      </c>
      <c r="D101" t="inlineStr">
        <is>
          <t>GLOBAL_CHECK</t>
        </is>
      </c>
      <c r="G101">
        <f>IFERROR(VLOOKUP($A114&amp;"_"&amp;$B114,Results_Deltas!$A$2:$P$15000,5,FALSE),"")</f>
        <v/>
      </c>
      <c r="H101" t="inlineStr">
        <is>
          <t>Blanket (page end)</t>
        </is>
      </c>
      <c r="L101" t="inlineStr">
        <is>
          <t>NO</t>
        </is>
      </c>
      <c r="M101" t="n">
        <v>3</v>
      </c>
      <c r="N101" t="n">
        <v>0</v>
      </c>
    </row>
    <row r="102" ht="15.75" customHeight="1" s="67">
      <c r="A102" t="inlineStr">
        <is>
          <t>NEW_POSITION_MAX_LOSS_THRESHOLD</t>
        </is>
      </c>
      <c r="B102" t="inlineStr">
        <is>
          <t>1.0</t>
        </is>
      </c>
      <c r="D102" t="inlineStr">
        <is>
          <t>AUGMENT, EXIT, GLOBAL_CHECK, REDUCE, STOCKS_EXIT</t>
        </is>
      </c>
      <c r="G102">
        <f>IFERROR(VLOOKUP($A201&amp;"_"&amp;$B201,Results_Deltas!$A$2:$P$15000,5,FALSE),"")</f>
        <v/>
      </c>
      <c r="H102" t="inlineStr">
        <is>
          <t>Blanket (page end)</t>
        </is>
      </c>
      <c r="L102" t="inlineStr">
        <is>
          <t>NO</t>
        </is>
      </c>
      <c r="M102" t="n">
        <v>26</v>
      </c>
      <c r="N102" t="n">
        <v>0</v>
      </c>
    </row>
    <row r="103" ht="10.5" customHeight="1" s="67">
      <c r="A103" t="inlineStr">
        <is>
          <t>EMA_9_21_FILTER_MIN_TFS</t>
        </is>
      </c>
      <c r="B103" t="inlineStr">
        <is>
          <t>1</t>
        </is>
      </c>
      <c r="D103" t="inlineStr">
        <is>
          <t>GLOBAL_CHECK</t>
        </is>
      </c>
      <c r="G103">
        <f>IFERROR(VLOOKUP($A78&amp;"_"&amp;$B78,Results_Deltas!$A$2:$P$15000,5,FALSE),"")</f>
        <v/>
      </c>
      <c r="H103" t="inlineStr">
        <is>
          <t>Blanket (page end)</t>
        </is>
      </c>
      <c r="L103" t="inlineStr">
        <is>
          <t>NO</t>
        </is>
      </c>
      <c r="M103" t="n">
        <v>3</v>
      </c>
      <c r="N103" t="n">
        <v>0</v>
      </c>
    </row>
    <row r="104" ht="15.75" customHeight="1" s="67">
      <c r="A104" t="inlineStr">
        <is>
          <t>OI_CONFIRM_MIN_PRICE_PCT</t>
        </is>
      </c>
      <c r="B104" t="inlineStr">
        <is>
          <t>0</t>
        </is>
      </c>
      <c r="D104" t="inlineStr">
        <is>
          <t>ENTRY, GLOBAL_CHECK, STOCKS_EXIT</t>
        </is>
      </c>
      <c r="G104">
        <f>IFERROR(VLOOKUP($A209&amp;"_"&amp;$B209,Results_Deltas!$A$2:$P$15000,5,FALSE),"")</f>
        <v/>
      </c>
      <c r="H104" t="inlineStr">
        <is>
          <t>Blanket (page end)</t>
        </is>
      </c>
      <c r="L104" t="inlineStr">
        <is>
          <t>NO</t>
        </is>
      </c>
      <c r="M104" t="n">
        <v>24</v>
      </c>
      <c r="N104" t="n">
        <v>0</v>
      </c>
    </row>
    <row r="105" ht="10.5" customHeight="1" s="67">
      <c r="A105" t="inlineStr">
        <is>
          <t>CRYPTO_SPIKE_FADE_THRESHOLD_PCT</t>
        </is>
      </c>
      <c r="B105" t="inlineStr">
        <is>
          <t>10</t>
        </is>
      </c>
      <c r="D105" t="inlineStr">
        <is>
          <t>GLOBAL_CHECK, STOCKS_EXIT</t>
        </is>
      </c>
      <c r="G105">
        <f>IFERROR(VLOOKUP($A59&amp;"_"&amp;$B59,Results_Deltas!$A$2:$P$15000,5,FALSE),"")</f>
        <v/>
      </c>
      <c r="H105" t="inlineStr">
        <is>
          <t>Blanket (page end)</t>
        </is>
      </c>
      <c r="L105" t="inlineStr">
        <is>
          <t>NO</t>
        </is>
      </c>
      <c r="M105" t="n">
        <v>23</v>
      </c>
      <c r="N105" t="n">
        <v>0</v>
      </c>
    </row>
    <row r="106" ht="15.75" customHeight="1" s="67">
      <c r="A106" t="inlineStr">
        <is>
          <t>OI_CONFIRM_MIN_CHANGE_PCT</t>
        </is>
      </c>
      <c r="B106" t="inlineStr">
        <is>
          <t>0.5</t>
        </is>
      </c>
      <c r="D106" t="inlineStr">
        <is>
          <t>ENTRY, GLOBAL_CHECK, STOCKS_EXIT</t>
        </is>
      </c>
      <c r="G106">
        <f>IFERROR(VLOOKUP($A208&amp;"_"&amp;$B208,Results_Deltas!$A$2:$P$15000,5,FALSE),"")</f>
        <v/>
      </c>
      <c r="H106" t="inlineStr">
        <is>
          <t>Blanket (page end)</t>
        </is>
      </c>
      <c r="L106" t="inlineStr">
        <is>
          <t>YES</t>
        </is>
      </c>
      <c r="M106" t="n">
        <v>26</v>
      </c>
      <c r="N106" t="n">
        <v>0</v>
      </c>
    </row>
    <row r="107" ht="10.5" customHeight="1" s="67">
      <c r="A107" t="inlineStr">
        <is>
          <t>CRYPTO_SPIKE_FADE_THRESHOLD_PCT</t>
        </is>
      </c>
      <c r="B107" t="inlineStr">
        <is>
          <t>5</t>
        </is>
      </c>
      <c r="D107" t="inlineStr">
        <is>
          <t>GLOBAL_CHECK, STOCKS_EXIT</t>
        </is>
      </c>
      <c r="G107">
        <f>IFERROR(VLOOKUP($A62&amp;"_"&amp;$B62,Results_Deltas!$A$2:$P$15000,5,FALSE),"")</f>
        <v/>
      </c>
      <c r="H107" t="inlineStr">
        <is>
          <t>Blanket (page end)</t>
        </is>
      </c>
      <c r="L107" t="inlineStr">
        <is>
          <t>YES</t>
        </is>
      </c>
      <c r="M107" t="n">
        <v>27</v>
      </c>
      <c r="N107" t="n">
        <v>0</v>
      </c>
    </row>
    <row r="108" ht="15.75" customHeight="1" s="67">
      <c r="A108" t="inlineStr">
        <is>
          <t>EMA_BLANKET_FILTER_MIN_TFS</t>
        </is>
      </c>
      <c r="B108" t="inlineStr">
        <is>
          <t>1</t>
        </is>
      </c>
      <c r="D108" t="inlineStr">
        <is>
          <t>GLOBAL_CHECK</t>
        </is>
      </c>
      <c r="G108">
        <f>IFERROR(VLOOKUP($A83&amp;"_"&amp;$B83,Results_Deltas!$A$2:$P$15000,5,FALSE),"")</f>
        <v/>
      </c>
      <c r="H108" t="inlineStr">
        <is>
          <t>Blanket (page end)</t>
        </is>
      </c>
      <c r="L108" t="inlineStr">
        <is>
          <t>NO</t>
        </is>
      </c>
      <c r="M108" t="n">
        <v>3</v>
      </c>
      <c r="N108" t="n">
        <v>0</v>
      </c>
    </row>
    <row r="109" ht="15.75" customHeight="1" s="67">
      <c r="A109" t="inlineStr">
        <is>
          <t>NEW_POSITION_MAX_LOSS_THRESHOLD</t>
        </is>
      </c>
      <c r="B109" t="inlineStr">
        <is>
          <t>0.5</t>
        </is>
      </c>
      <c r="D109" t="inlineStr">
        <is>
          <t>AUGMENT, EXIT, GLOBAL_CHECK, REDUCE, STOCKS_EXIT</t>
        </is>
      </c>
      <c r="G109">
        <f>IFERROR(VLOOKUP($A202&amp;"_"&amp;$B202,Results_Deltas!$A$2:$P$15000,5,FALSE),"")</f>
        <v/>
      </c>
      <c r="H109" t="inlineStr">
        <is>
          <t>Blanket (page end)</t>
        </is>
      </c>
      <c r="L109" t="inlineStr">
        <is>
          <t>NO</t>
        </is>
      </c>
      <c r="M109" t="n">
        <v>26</v>
      </c>
      <c r="N109" t="n">
        <v>0</v>
      </c>
    </row>
    <row r="110" ht="15.75" customHeight="1" s="67">
      <c r="A110" t="inlineStr">
        <is>
          <t>LR_BAND_LADDER_TF_TOP</t>
        </is>
      </c>
      <c r="B110" t="inlineStr">
        <is>
          <t>0</t>
        </is>
      </c>
      <c r="D110" t="inlineStr">
        <is>
          <t>GLOBAL_CHECK, STOCKS_EXIT</t>
        </is>
      </c>
      <c r="G110">
        <f>IFERROR(VLOOKUP($A160&amp;"_"&amp;$B160,Results_Deltas!$A$2:$P$15000,5,FALSE),"")</f>
        <v/>
      </c>
      <c r="H110" t="inlineStr">
        <is>
          <t>Blanket (page end)</t>
        </is>
      </c>
      <c r="L110" t="inlineStr">
        <is>
          <t>YES</t>
        </is>
      </c>
      <c r="M110" t="n">
        <v>23</v>
      </c>
      <c r="N110" t="n">
        <v>0</v>
      </c>
    </row>
    <row r="111" ht="15.75" customHeight="1" s="67">
      <c r="A111" t="inlineStr">
        <is>
          <t>NEWBORN_LOSS_KILL_GAIN_THRESHOLD_PCT</t>
        </is>
      </c>
      <c r="B111" t="inlineStr">
        <is>
          <t>2.0</t>
        </is>
      </c>
      <c r="D111" t="inlineStr">
        <is>
          <t>AUGMENT, EXIT, GLOBAL_CHECK, REDUCE, STOCKS_EXIT</t>
        </is>
      </c>
      <c r="G111">
        <f>IFERROR(VLOOKUP($A194&amp;"_"&amp;$B194,Results_Deltas!$A$2:$P$15000,5,FALSE),"")</f>
        <v/>
      </c>
      <c r="H111" t="inlineStr">
        <is>
          <t>Blanket (page end)</t>
        </is>
      </c>
      <c r="L111" t="inlineStr">
        <is>
          <t>NO</t>
        </is>
      </c>
      <c r="M111" t="n">
        <v>24</v>
      </c>
      <c r="N111" t="n">
        <v>0</v>
      </c>
    </row>
    <row r="112" ht="15.75" customHeight="1" s="67">
      <c r="A112" t="inlineStr">
        <is>
          <t>HTF_TREND_VETO_BYPASS_ENABLED</t>
        </is>
      </c>
      <c r="B112" t="inlineStr">
        <is>
          <t>True</t>
        </is>
      </c>
      <c r="D112" t="inlineStr">
        <is>
          <t>GLOBAL_CHECK, STOCKS_EXIT</t>
        </is>
      </c>
      <c r="G112">
        <f>IFERROR(VLOOKUP($A143&amp;"_"&amp;$B143,Results_Deltas!$A$2:$P$15000,5,FALSE),"")</f>
        <v/>
      </c>
      <c r="H112" t="inlineStr">
        <is>
          <t>Blanket (page end)</t>
        </is>
      </c>
      <c r="L112" t="inlineStr">
        <is>
          <t>NO</t>
        </is>
      </c>
      <c r="M112" t="n">
        <v>27</v>
      </c>
      <c r="N112" t="n">
        <v>0</v>
      </c>
    </row>
    <row r="113" ht="15.75" customHeight="1" s="67">
      <c r="A113" t="inlineStr">
        <is>
          <t>LR_BAND_LADDER_TF_BOTTOM</t>
        </is>
      </c>
      <c r="B113" t="inlineStr">
        <is>
          <t>0</t>
        </is>
      </c>
      <c r="D113" t="inlineStr">
        <is>
          <t>GLOBAL_CHECK, STOCKS_EXIT</t>
        </is>
      </c>
      <c r="G113">
        <f>IFERROR(VLOOKUP($A158&amp;"_"&amp;$B158,Results_Deltas!$A$2:$P$15000,5,FALSE),"")</f>
        <v/>
      </c>
      <c r="H113" t="inlineStr">
        <is>
          <t>Blanket (page end)</t>
        </is>
      </c>
      <c r="L113" t="inlineStr">
        <is>
          <t>YES</t>
        </is>
      </c>
      <c r="M113" t="n">
        <v>26</v>
      </c>
      <c r="N113" t="n">
        <v>0</v>
      </c>
    </row>
    <row r="114" ht="15.75" customHeight="1" s="67">
      <c r="A114" t="inlineStr">
        <is>
          <t>HTF4_CONF</t>
        </is>
      </c>
      <c r="B114" t="inlineStr">
        <is>
          <t>False_ALT</t>
        </is>
      </c>
      <c r="D114" t="inlineStr">
        <is>
          <t>GLOBAL_CHECK, STOCKS_EXIT</t>
        </is>
      </c>
      <c r="G114">
        <f>IFERROR(VLOOKUP($A133&amp;"_"&amp;$B133,Results_Deltas!$A$2:$P$15000,5,FALSE),"")</f>
        <v/>
      </c>
      <c r="H114" t="inlineStr">
        <is>
          <t>Blanket (page end)</t>
        </is>
      </c>
      <c r="L114" t="inlineStr">
        <is>
          <t>NO</t>
        </is>
      </c>
      <c r="M114" t="n">
        <v>24</v>
      </c>
      <c r="N114" t="n">
        <v>0</v>
      </c>
    </row>
    <row r="115" ht="15.75" customHeight="1" s="67">
      <c r="A115" t="inlineStr">
        <is>
          <t>LH_HL_FILTER_REQUIRE_BOTH</t>
        </is>
      </c>
      <c r="B115" t="inlineStr">
        <is>
          <t>False_ALT</t>
        </is>
      </c>
      <c r="D115" t="inlineStr">
        <is>
          <t>ENTRY, GLOBAL_CHECK, STOCKS_EXIT</t>
        </is>
      </c>
      <c r="G115">
        <f>IFERROR(VLOOKUP($A153&amp;"_"&amp;$B153,Results_Deltas!$A$2:$P$15000,5,FALSE),"")</f>
        <v/>
      </c>
      <c r="H115" t="inlineStr">
        <is>
          <t>Blanket (page end)</t>
        </is>
      </c>
      <c r="L115" t="inlineStr">
        <is>
          <t>NO</t>
        </is>
      </c>
      <c r="M115" t="n">
        <v>24</v>
      </c>
      <c r="N115" t="n">
        <v>0</v>
      </c>
    </row>
    <row r="116" ht="15.75" customHeight="1" s="67">
      <c r="A116" t="inlineStr">
        <is>
          <t>GR_FILTER_VEC_MIN_TFS</t>
        </is>
      </c>
      <c r="B116" t="inlineStr">
        <is>
          <t>0</t>
        </is>
      </c>
      <c r="D116" t="inlineStr">
        <is>
          <t>GLOBAL_CHECK</t>
        </is>
      </c>
      <c r="G116">
        <f>IFERROR(VLOOKUP($A113&amp;"_"&amp;$B113,Results_Deltas!$A$2:$P$15000,5,FALSE),"")</f>
        <v/>
      </c>
      <c r="H116" t="inlineStr">
        <is>
          <t>Blanket (page end)</t>
        </is>
      </c>
      <c r="L116" t="inlineStr">
        <is>
          <t>NO</t>
        </is>
      </c>
      <c r="M116" t="n">
        <v>3</v>
      </c>
      <c r="N116" t="n">
        <v>0</v>
      </c>
    </row>
    <row r="117" ht="10.5" customHeight="1" s="67">
      <c r="A117" t="inlineStr">
        <is>
          <t>BANDAID_OFF_LOSER_RECOVER_PCT</t>
        </is>
      </c>
      <c r="B117" t="inlineStr">
        <is>
          <t>0</t>
        </is>
      </c>
      <c r="D117" t="inlineStr">
        <is>
          <t>AUGMENT, ENTRY, EXIT, GLOBAL_CHECK, REDUCE, STOCKS_EXIT</t>
        </is>
      </c>
      <c r="G117">
        <f>IFERROR(VLOOKUP($A48&amp;"_"&amp;$B48,Results_Deltas!$A$2:$P$15000,5,FALSE),"")</f>
        <v/>
      </c>
      <c r="H117" t="inlineStr">
        <is>
          <t>Blanket (page end)</t>
        </is>
      </c>
      <c r="L117" t="inlineStr">
        <is>
          <t>NO</t>
        </is>
      </c>
      <c r="M117" t="n">
        <v>24</v>
      </c>
      <c r="N117" t="n">
        <v>0</v>
      </c>
    </row>
    <row r="118" ht="15.75" customHeight="1" s="67">
      <c r="A118" t="inlineStr">
        <is>
          <t>LEADERBOARD_FILTER</t>
        </is>
      </c>
      <c r="B118" t="inlineStr">
        <is>
          <t>False_ALT</t>
        </is>
      </c>
      <c r="D118" t="inlineStr">
        <is>
          <t>AUGMENT, ENTRY, EXIT, GLOBAL_CHECK, REDUCE, STOCKS_EXIT</t>
        </is>
      </c>
      <c r="G118">
        <f>IFERROR(VLOOKUP($A147&amp;"_"&amp;$B147,Results_Deltas!$A$2:$P$15000,5,FALSE),"")</f>
        <v/>
      </c>
      <c r="H118" t="inlineStr">
        <is>
          <t>Blanket (page end)</t>
        </is>
      </c>
      <c r="L118" t="inlineStr">
        <is>
          <t>YES</t>
        </is>
      </c>
      <c r="M118" t="n">
        <v>24</v>
      </c>
      <c r="N118" t="n">
        <v>0</v>
      </c>
    </row>
    <row r="119" ht="15.75" customHeight="1" s="67">
      <c r="A119" t="inlineStr">
        <is>
          <t>FUNDING_GATE_LONG_MAX</t>
        </is>
      </c>
      <c r="B119" t="inlineStr">
        <is>
          <t>0.0</t>
        </is>
      </c>
      <c r="D119" t="inlineStr">
        <is>
          <t>ENTRY, GLOBAL_CHECK, STOCKS_EXIT</t>
        </is>
      </c>
      <c r="G119">
        <f>IFERROR(VLOOKUP($A101&amp;"_"&amp;$B101,Results_Deltas!$A$2:$P$15000,5,FALSE),"")</f>
        <v/>
      </c>
      <c r="H119" t="inlineStr">
        <is>
          <t>Blanket (page end)</t>
        </is>
      </c>
      <c r="L119" t="inlineStr">
        <is>
          <t>NO</t>
        </is>
      </c>
      <c r="M119" t="n">
        <v>24</v>
      </c>
      <c r="N119" t="n">
        <v>0</v>
      </c>
    </row>
    <row r="120" ht="15.75" customHeight="1" s="67">
      <c r="A120" t="inlineStr">
        <is>
          <t>FUNDING_GATE_LONG_MAX</t>
        </is>
      </c>
      <c r="B120" t="inlineStr">
        <is>
          <t>0.0_ALT</t>
        </is>
      </c>
      <c r="D120" t="inlineStr">
        <is>
          <t>ENTRY, GLOBAL_CHECK, STOCKS_EXIT</t>
        </is>
      </c>
      <c r="G120">
        <f>IFERROR(VLOOKUP($A102&amp;"_"&amp;$B102,Results_Deltas!$A$2:$P$15000,5,FALSE),"")</f>
        <v/>
      </c>
      <c r="H120" t="inlineStr">
        <is>
          <t>Blanket (page end)</t>
        </is>
      </c>
      <c r="L120" t="inlineStr">
        <is>
          <t>NO</t>
        </is>
      </c>
      <c r="M120" t="n">
        <v>24</v>
      </c>
      <c r="N120" t="n">
        <v>0</v>
      </c>
    </row>
    <row r="121" ht="15.75" customHeight="1" s="67">
      <c r="A121" t="inlineStr">
        <is>
          <t>FUNDING_GATE_MTF_REQUIRED</t>
        </is>
      </c>
      <c r="B121" t="inlineStr">
        <is>
          <t>0.0</t>
        </is>
      </c>
      <c r="D121" t="inlineStr">
        <is>
          <t>ENTRY, GLOBAL_CHECK, STOCKS_EXIT</t>
        </is>
      </c>
      <c r="G121">
        <f>IFERROR(VLOOKUP($A103&amp;"_"&amp;$B103,Results_Deltas!$A$2:$P$15000,5,FALSE),"")</f>
        <v/>
      </c>
      <c r="H121" t="inlineStr">
        <is>
          <t>Blanket (page end)</t>
        </is>
      </c>
      <c r="L121" t="inlineStr">
        <is>
          <t>NO</t>
        </is>
      </c>
      <c r="M121" t="n">
        <v>24</v>
      </c>
      <c r="N121" t="n">
        <v>0</v>
      </c>
    </row>
    <row r="122" ht="15.75" customHeight="1" s="67">
      <c r="A122" t="inlineStr">
        <is>
          <t>FUNDING_GATE_MTF_REQUIRED</t>
        </is>
      </c>
      <c r="B122" t="inlineStr">
        <is>
          <t>0.0_ALT</t>
        </is>
      </c>
      <c r="D122" t="inlineStr">
        <is>
          <t>ENTRY, GLOBAL_CHECK, STOCKS_EXIT</t>
        </is>
      </c>
      <c r="G122">
        <f>IFERROR(VLOOKUP($A104&amp;"_"&amp;$B104,Results_Deltas!$A$2:$P$15000,5,FALSE),"")</f>
        <v/>
      </c>
      <c r="H122" t="inlineStr">
        <is>
          <t>Blanket (page end)</t>
        </is>
      </c>
      <c r="L122" t="inlineStr">
        <is>
          <t>YES</t>
        </is>
      </c>
      <c r="M122" t="n">
        <v>24</v>
      </c>
      <c r="N122" t="n">
        <v>0</v>
      </c>
    </row>
    <row r="123" ht="15.75" customHeight="1" s="67">
      <c r="A123" t="inlineStr">
        <is>
          <t>FUNDING_GATE_SHORT_MIN</t>
        </is>
      </c>
      <c r="B123" t="inlineStr">
        <is>
          <t>0.0</t>
        </is>
      </c>
      <c r="D123" t="inlineStr">
        <is>
          <t>ENTRY, GLOBAL_CHECK, STOCKS_EXIT</t>
        </is>
      </c>
      <c r="G123">
        <f>IFERROR(VLOOKUP($A105&amp;"_"&amp;$B105,Results_Deltas!$A$2:$P$15000,5,FALSE),"")</f>
        <v/>
      </c>
      <c r="H123" t="inlineStr">
        <is>
          <t>Blanket (page end)</t>
        </is>
      </c>
      <c r="L123" t="inlineStr">
        <is>
          <t>NO</t>
        </is>
      </c>
      <c r="M123" t="n">
        <v>24</v>
      </c>
      <c r="N123" t="n">
        <v>0</v>
      </c>
    </row>
    <row r="124" ht="15.75" customHeight="1" s="67">
      <c r="A124" t="inlineStr">
        <is>
          <t>FUNDING_GATE_SHORT_MIN</t>
        </is>
      </c>
      <c r="B124" t="inlineStr">
        <is>
          <t>0.0_ALT</t>
        </is>
      </c>
      <c r="D124" t="inlineStr">
        <is>
          <t>ENTRY, GLOBAL_CHECK, STOCKS_EXIT</t>
        </is>
      </c>
      <c r="G124">
        <f>IFERROR(VLOOKUP($A106&amp;"_"&amp;$B106,Results_Deltas!$A$2:$P$15000,5,FALSE),"")</f>
        <v/>
      </c>
      <c r="H124" t="inlineStr">
        <is>
          <t>Blanket (page end)</t>
        </is>
      </c>
      <c r="L124" t="inlineStr">
        <is>
          <t>NO</t>
        </is>
      </c>
      <c r="M124" t="n">
        <v>24</v>
      </c>
      <c r="N124" t="n">
        <v>0</v>
      </c>
    </row>
    <row r="125" ht="10.5" customHeight="1" s="67">
      <c r="A125" t="inlineStr">
        <is>
          <t>ADX_RANGING_THRESHOLD</t>
        </is>
      </c>
      <c r="B125" t="inlineStr">
        <is>
          <t>20</t>
        </is>
      </c>
      <c r="D125" t="inlineStr">
        <is>
          <t>ENTRY, GLOBAL_CHECK, STOCKS_EXIT</t>
        </is>
      </c>
      <c r="G125">
        <f>IFERROR(VLOOKUP($A44&amp;"_"&amp;$B44,Results_Deltas!$A$2:$P$15000,5,FALSE),"")</f>
        <v/>
      </c>
      <c r="H125" t="inlineStr">
        <is>
          <t>Blanket (page end)</t>
        </is>
      </c>
      <c r="L125" t="inlineStr">
        <is>
          <t>NO</t>
        </is>
      </c>
      <c r="M125" t="n">
        <v>24</v>
      </c>
      <c r="N125" t="n">
        <v>0</v>
      </c>
    </row>
    <row r="126" ht="15.75" customHeight="1" s="67">
      <c r="A126" t="inlineStr">
        <is>
          <t>FUNDING_GATE_FILTER_TF</t>
        </is>
      </c>
      <c r="B126" t="inlineStr">
        <is>
          <t>15m</t>
        </is>
      </c>
      <c r="D126" t="inlineStr">
        <is>
          <t>GLOBAL_CHECK</t>
        </is>
      </c>
      <c r="G126">
        <f>IFERROR(VLOOKUP($A100&amp;"_"&amp;$B100,Results_Deltas!$A$2:$P$15000,5,FALSE),"")</f>
        <v/>
      </c>
      <c r="H126" t="inlineStr">
        <is>
          <t>Blanket (page end)</t>
        </is>
      </c>
      <c r="L126" t="inlineStr">
        <is>
          <t>NO</t>
        </is>
      </c>
      <c r="M126" t="n">
        <v>3</v>
      </c>
      <c r="N126" t="n">
        <v>0</v>
      </c>
    </row>
    <row r="127" ht="15.75" customHeight="1" s="67">
      <c r="A127" t="inlineStr">
        <is>
          <t>LH_HL_FILTER_REQUIRE_BOTH</t>
        </is>
      </c>
      <c r="B127" t="inlineStr">
        <is>
          <t>False</t>
        </is>
      </c>
      <c r="D127" t="inlineStr">
        <is>
          <t>ENTRY, GLOBAL_CHECK, STOCKS_EXIT</t>
        </is>
      </c>
      <c r="G127">
        <f>IFERROR(VLOOKUP($A152&amp;"_"&amp;$B152,Results_Deltas!$A$2:$P$15000,5,FALSE),"")</f>
        <v/>
      </c>
      <c r="H127" t="inlineStr">
        <is>
          <t>Blanket (page end)</t>
        </is>
      </c>
      <c r="L127" t="inlineStr">
        <is>
          <t>YES</t>
        </is>
      </c>
      <c r="M127" t="n">
        <v>9</v>
      </c>
      <c r="N127" t="n">
        <v>0</v>
      </c>
    </row>
    <row r="128" ht="15.75" customHeight="1" s="67">
      <c r="A128" t="inlineStr">
        <is>
          <t>HTF_GATE_MIN_CONFIRMATIONS</t>
        </is>
      </c>
      <c r="B128" t="inlineStr">
        <is>
          <t>0.0</t>
        </is>
      </c>
      <c r="D128" t="inlineStr">
        <is>
          <t>ENTRY, GLOBAL_CHECK, STOCKS_EXIT</t>
        </is>
      </c>
      <c r="G128">
        <f>IFERROR(VLOOKUP($A140&amp;"_"&amp;$B140,Results_Deltas!$A$2:$P$15000,5,FALSE),"")</f>
        <v/>
      </c>
      <c r="H128" t="inlineStr">
        <is>
          <t>Blanket (page end)</t>
        </is>
      </c>
      <c r="L128" t="inlineStr">
        <is>
          <t>NO</t>
        </is>
      </c>
      <c r="M128" t="n">
        <v>24</v>
      </c>
      <c r="N128" t="n">
        <v>0</v>
      </c>
    </row>
    <row r="129" ht="15.75" customHeight="1" s="67">
      <c r="A129" t="inlineStr">
        <is>
          <t>HTF_GATE_MIN_CONFIRMATIONS</t>
        </is>
      </c>
      <c r="B129" t="inlineStr">
        <is>
          <t>0.0_ALT</t>
        </is>
      </c>
      <c r="D129" t="inlineStr">
        <is>
          <t>ENTRY, GLOBAL_CHECK, STOCKS_EXIT</t>
        </is>
      </c>
      <c r="G129">
        <f>IFERROR(VLOOKUP($A141&amp;"_"&amp;$B141,Results_Deltas!$A$2:$P$15000,5,FALSE),"")</f>
        <v/>
      </c>
      <c r="H129" t="inlineStr">
        <is>
          <t>Blanket (page end)</t>
        </is>
      </c>
      <c r="L129" t="inlineStr">
        <is>
          <t>NO</t>
        </is>
      </c>
      <c r="M129" t="n">
        <v>24</v>
      </c>
      <c r="N129" t="n">
        <v>0</v>
      </c>
    </row>
    <row r="130" ht="15.75" customHeight="1" s="67">
      <c r="A130" t="inlineStr">
        <is>
          <t>GR_FILTER_ALL_ENTRIES</t>
        </is>
      </c>
      <c r="B130" t="inlineStr">
        <is>
          <t>0.0</t>
        </is>
      </c>
      <c r="D130" t="inlineStr">
        <is>
          <t>GLOBAL_CHECK, STOCKS_EXIT</t>
        </is>
      </c>
      <c r="G130">
        <f>IFERROR(VLOOKUP($A109&amp;"_"&amp;$B109,Results_Deltas!$A$2:$P$15000,5,FALSE),"")</f>
        <v/>
      </c>
      <c r="H130" t="inlineStr">
        <is>
          <t>Blanket (page end)</t>
        </is>
      </c>
      <c r="L130" t="inlineStr">
        <is>
          <t>NO</t>
        </is>
      </c>
      <c r="M130" t="n">
        <v>24</v>
      </c>
      <c r="N130" t="n">
        <v>0</v>
      </c>
    </row>
    <row r="131" ht="15.75" customHeight="1" s="67">
      <c r="A131" t="inlineStr">
        <is>
          <t>GR_FILTER_ALL_ENTRIES</t>
        </is>
      </c>
      <c r="B131" t="inlineStr">
        <is>
          <t>0.0_ALT</t>
        </is>
      </c>
      <c r="D131" t="inlineStr">
        <is>
          <t>GLOBAL_CHECK, STOCKS_EXIT</t>
        </is>
      </c>
      <c r="G131">
        <f>IFERROR(VLOOKUP($A110&amp;"_"&amp;$B110,Results_Deltas!$A$2:$P$15000,5,FALSE),"")</f>
        <v/>
      </c>
      <c r="H131" t="inlineStr">
        <is>
          <t>Blanket (page end)</t>
        </is>
      </c>
      <c r="L131" t="inlineStr">
        <is>
          <t>NO</t>
        </is>
      </c>
      <c r="M131" t="n">
        <v>24</v>
      </c>
      <c r="N131" t="n">
        <v>0</v>
      </c>
    </row>
    <row r="132" ht="15.75" customHeight="1" s="67">
      <c r="A132" t="inlineStr">
        <is>
          <t>HA_WICK_QUALITY_ENABLED</t>
        </is>
      </c>
      <c r="B132" t="inlineStr">
        <is>
          <t>False</t>
        </is>
      </c>
      <c r="D132" t="inlineStr">
        <is>
          <t>ENTRY, GLOBAL_CHECK, STOCKS_EXIT</t>
        </is>
      </c>
      <c r="G132">
        <f>IFERROR(VLOOKUP($A116&amp;"_"&amp;$B116,Results_Deltas!$A$2:$P$15000,5,FALSE),"")</f>
        <v/>
      </c>
      <c r="H132" t="inlineStr">
        <is>
          <t>Blanket (page end)</t>
        </is>
      </c>
      <c r="L132" t="inlineStr">
        <is>
          <t>NO</t>
        </is>
      </c>
      <c r="M132" t="n">
        <v>9</v>
      </c>
      <c r="N132" t="n">
        <v>0</v>
      </c>
    </row>
    <row r="133" ht="15.75" customHeight="1" s="67">
      <c r="A133" t="inlineStr">
        <is>
          <t>GOLDEN_RULE_BASE_USD</t>
        </is>
      </c>
      <c r="B133" t="inlineStr">
        <is>
          <t>0.0_ALT</t>
        </is>
      </c>
      <c r="D133" t="inlineStr">
        <is>
          <t>GLOBAL_CHECK, STOCKS_EXIT</t>
        </is>
      </c>
      <c r="G133">
        <f>IFERROR(VLOOKUP($A108&amp;"_"&amp;$B108,Results_Deltas!$A$2:$P$15000,5,FALSE),"")</f>
        <v/>
      </c>
      <c r="H133" t="inlineStr">
        <is>
          <t>Blanket (page end)</t>
        </is>
      </c>
      <c r="L133" t="inlineStr">
        <is>
          <t>NO</t>
        </is>
      </c>
      <c r="M133" t="n">
        <v>24</v>
      </c>
      <c r="N133" t="n">
        <v>0</v>
      </c>
    </row>
    <row r="134" ht="15.75" customHeight="1" s="67">
      <c r="A134" t="inlineStr">
        <is>
          <t>GOLDEN_RULE_BASE_USD</t>
        </is>
      </c>
      <c r="B134" t="inlineStr">
        <is>
          <t>0.0</t>
        </is>
      </c>
      <c r="D134" t="inlineStr">
        <is>
          <t>GLOBAL_CHECK, STOCKS_EXIT</t>
        </is>
      </c>
      <c r="G134">
        <f>IFERROR(VLOOKUP($A107&amp;"_"&amp;$B107,Results_Deltas!$A$2:$P$15000,5,FALSE),"")</f>
        <v/>
      </c>
      <c r="H134" t="inlineStr">
        <is>
          <t>Blanket (page end)</t>
        </is>
      </c>
      <c r="L134" t="inlineStr">
        <is>
          <t>NO</t>
        </is>
      </c>
      <c r="M134" t="n">
        <v>24</v>
      </c>
      <c r="N134" t="n">
        <v>0</v>
      </c>
    </row>
    <row r="135" ht="15.75" customHeight="1" s="67">
      <c r="A135" t="inlineStr">
        <is>
          <t>LEADERBOARD_FILTER</t>
        </is>
      </c>
      <c r="B135" t="inlineStr">
        <is>
          <t>False</t>
        </is>
      </c>
      <c r="D135" t="inlineStr">
        <is>
          <t>AUGMENT, ENTRY, EXIT, GLOBAL_CHECK, REDUCE, STOCKS_EXIT</t>
        </is>
      </c>
      <c r="G135">
        <f>IFERROR(VLOOKUP($A146&amp;"_"&amp;$B146,Results_Deltas!$A$2:$P$15000,5,FALSE),"")</f>
        <v/>
      </c>
      <c r="H135" t="inlineStr">
        <is>
          <t>Blanket (page end)</t>
        </is>
      </c>
      <c r="L135" t="inlineStr">
        <is>
          <t>NO</t>
        </is>
      </c>
      <c r="M135" t="n">
        <v>9</v>
      </c>
      <c r="N135" t="n">
        <v>0</v>
      </c>
    </row>
    <row r="136" ht="15.75" customHeight="1" s="67">
      <c r="A136" t="inlineStr">
        <is>
          <t>HTF4_CONF</t>
        </is>
      </c>
      <c r="B136" t="inlineStr">
        <is>
          <t>False</t>
        </is>
      </c>
      <c r="D136" t="inlineStr">
        <is>
          <t>GLOBAL_CHECK, STOCKS_EXIT</t>
        </is>
      </c>
      <c r="G136">
        <f>IFERROR(VLOOKUP($A132&amp;"_"&amp;$B132,Results_Deltas!$A$2:$P$15000,5,FALSE),"")</f>
        <v/>
      </c>
      <c r="H136" t="inlineStr">
        <is>
          <t>Blanket (page end)</t>
        </is>
      </c>
      <c r="L136" t="inlineStr">
        <is>
          <t>NO</t>
        </is>
      </c>
      <c r="M136" t="n">
        <v>9</v>
      </c>
      <c r="N136" t="n">
        <v>0</v>
      </c>
    </row>
    <row r="137" ht="15.75" customHeight="1" s="67">
      <c r="A137" t="inlineStr">
        <is>
          <t>LH_HL_FILTER_ENABLED</t>
        </is>
      </c>
      <c r="B137" t="inlineStr">
        <is>
          <t>False</t>
        </is>
      </c>
      <c r="D137" t="inlineStr">
        <is>
          <t>ENTRY, GLOBAL_CHECK, STOCKS_EXIT</t>
        </is>
      </c>
      <c r="G137">
        <f>IFERROR(VLOOKUP($A148&amp;"_"&amp;$B148,Results_Deltas!$A$2:$P$15000,5,FALSE),"")</f>
        <v/>
      </c>
      <c r="H137" t="inlineStr">
        <is>
          <t>Blanket (page end)</t>
        </is>
      </c>
      <c r="L137" t="inlineStr">
        <is>
          <t>NO</t>
        </is>
      </c>
      <c r="M137" t="n">
        <v>9</v>
      </c>
      <c r="N137" t="n">
        <v>0</v>
      </c>
    </row>
    <row r="138" ht="15.75" customHeight="1" s="67">
      <c r="A138" t="inlineStr">
        <is>
          <t>GR_FILTER_VEC_ENABLED</t>
        </is>
      </c>
      <c r="B138" t="inlineStr">
        <is>
          <t>False</t>
        </is>
      </c>
      <c r="D138" t="inlineStr">
        <is>
          <t>GLOBAL_CHECK</t>
        </is>
      </c>
      <c r="G138">
        <f>IFERROR(VLOOKUP($A111&amp;"_"&amp;$B111,Results_Deltas!$A$2:$P$15000,5,FALSE),"")</f>
        <v/>
      </c>
      <c r="H138" t="inlineStr">
        <is>
          <t>Blanket (page end)</t>
        </is>
      </c>
      <c r="L138" t="inlineStr">
        <is>
          <t>NO</t>
        </is>
      </c>
      <c r="M138" t="n">
        <v>3</v>
      </c>
      <c r="N138" t="n">
        <v>0</v>
      </c>
    </row>
    <row r="139" ht="10.5" customHeight="1" s="67">
      <c r="A139" t="inlineStr">
        <is>
          <t>DUP_GUARD_FILTER_TF</t>
        </is>
      </c>
      <c r="B139" t="inlineStr">
        <is>
          <t>15m</t>
        </is>
      </c>
      <c r="D139" t="inlineStr">
        <is>
          <t>GLOBAL_CHECK</t>
        </is>
      </c>
      <c r="G139">
        <f>IFERROR(VLOOKUP($A75&amp;"_"&amp;$B75,Results_Deltas!$A$2:$P$15000,5,FALSE),"")</f>
        <v/>
      </c>
      <c r="H139" t="inlineStr">
        <is>
          <t>Blanket (page end)</t>
        </is>
      </c>
      <c r="L139" t="inlineStr">
        <is>
          <t>NO</t>
        </is>
      </c>
      <c r="M139" t="n">
        <v>3</v>
      </c>
      <c r="N139" t="n">
        <v>0</v>
      </c>
    </row>
    <row r="140" ht="15.75" customHeight="1" s="67">
      <c r="A140" t="inlineStr">
        <is>
          <t>OI_CONFIRM_ENABLED</t>
        </is>
      </c>
      <c r="B140" t="inlineStr">
        <is>
          <t>False</t>
        </is>
      </c>
      <c r="D140" t="inlineStr">
        <is>
          <t>ENTRY, GLOBAL_CHECK, STOCKS_EXIT</t>
        </is>
      </c>
      <c r="G140">
        <f>IFERROR(VLOOKUP($A203&amp;"_"&amp;$B203,Results_Deltas!$A$2:$P$15000,5,FALSE),"")</f>
        <v/>
      </c>
      <c r="H140" t="inlineStr">
        <is>
          <t>Blanket (page end)</t>
        </is>
      </c>
      <c r="L140" t="inlineStr">
        <is>
          <t>NO</t>
        </is>
      </c>
      <c r="M140" t="n">
        <v>9</v>
      </c>
      <c r="N140" t="n">
        <v>0</v>
      </c>
    </row>
    <row r="141" ht="15.75" customHeight="1" s="67">
      <c r="A141" t="inlineStr">
        <is>
          <t>EMA_BLANKET_FILTER_ENABLED</t>
        </is>
      </c>
      <c r="B141" t="inlineStr">
        <is>
          <t>True</t>
        </is>
      </c>
      <c r="D141" t="inlineStr">
        <is>
          <t>GLOBAL_CHECK</t>
        </is>
      </c>
      <c r="G141">
        <f>IFERROR(VLOOKUP($A80&amp;"_"&amp;$B80,Results_Deltas!$A$2:$P$15000,5,FALSE),"")</f>
        <v/>
      </c>
      <c r="H141" t="inlineStr">
        <is>
          <t>Blanket (page end)</t>
        </is>
      </c>
      <c r="L141" t="inlineStr">
        <is>
          <t>NO</t>
        </is>
      </c>
      <c r="M141" t="n">
        <v>3</v>
      </c>
      <c r="N141" t="n">
        <v>0</v>
      </c>
    </row>
    <row r="142" ht="15.75" customHeight="1" s="67">
      <c r="A142" t="inlineStr">
        <is>
          <t>MTS_GATE_ENABLED</t>
        </is>
      </c>
      <c r="B142" t="inlineStr">
        <is>
          <t>False</t>
        </is>
      </c>
      <c r="D142" t="inlineStr">
        <is>
          <t>ENTRY, GLOBAL_CHECK, STOCKS_EXIT</t>
        </is>
      </c>
      <c r="G142">
        <f>IFERROR(VLOOKUP($A191&amp;"_"&amp;$B191,Results_Deltas!$A$2:$P$15000,5,FALSE),"")</f>
        <v/>
      </c>
      <c r="H142" t="inlineStr">
        <is>
          <t>Blanket (page end)</t>
        </is>
      </c>
      <c r="L142" t="inlineStr">
        <is>
          <t>YES</t>
        </is>
      </c>
      <c r="M142" t="n">
        <v>9</v>
      </c>
      <c r="N142" t="n">
        <v>0</v>
      </c>
    </row>
    <row r="143" ht="15.75" customHeight="1" s="67">
      <c r="A143" t="inlineStr">
        <is>
          <t>MI_TF_AGREE_MIN</t>
        </is>
      </c>
      <c r="B143" t="inlineStr">
        <is>
          <t>0.0</t>
        </is>
      </c>
      <c r="D143" t="inlineStr">
        <is>
          <t>ENTRY, GLOBAL_CHECK, STOCKS_EXIT</t>
        </is>
      </c>
      <c r="G143">
        <f>IFERROR(VLOOKUP($A173&amp;"_"&amp;$B173,Results_Deltas!$A$2:$P$15000,5,FALSE),"")</f>
        <v/>
      </c>
      <c r="H143" t="inlineStr">
        <is>
          <t>Blanket (page end)</t>
        </is>
      </c>
      <c r="L143" t="inlineStr">
        <is>
          <t>YES</t>
        </is>
      </c>
      <c r="M143" t="n">
        <v>24</v>
      </c>
      <c r="N143" t="n">
        <v>0</v>
      </c>
    </row>
    <row r="144" ht="15.75" customHeight="1" s="67">
      <c r="A144" t="inlineStr">
        <is>
          <t>MI_TF_AGREE_MIN</t>
        </is>
      </c>
      <c r="B144" t="inlineStr">
        <is>
          <t>0.0_ALT</t>
        </is>
      </c>
      <c r="D144" t="inlineStr">
        <is>
          <t>ENTRY, GLOBAL_CHECK, STOCKS_EXIT</t>
        </is>
      </c>
      <c r="G144">
        <f>IFERROR(VLOOKUP($A174&amp;"_"&amp;$B174,Results_Deltas!$A$2:$P$15000,5,FALSE),"")</f>
        <v/>
      </c>
      <c r="H144" t="inlineStr">
        <is>
          <t>Blanket (page end)</t>
        </is>
      </c>
      <c r="L144" t="inlineStr">
        <is>
          <t>NO</t>
        </is>
      </c>
      <c r="M144" t="n">
        <v>24</v>
      </c>
      <c r="N144" t="n">
        <v>0</v>
      </c>
    </row>
    <row r="145" ht="15.75" customHeight="1" s="67">
      <c r="A145" t="inlineStr">
        <is>
          <t>HLR_SMA_BAND_PCT</t>
        </is>
      </c>
      <c r="B145" t="inlineStr">
        <is>
          <t>0</t>
        </is>
      </c>
      <c r="D145" t="inlineStr">
        <is>
          <t>ENTRY, GLOBAL_CHECK, STOCKS_EXIT</t>
        </is>
      </c>
      <c r="G145">
        <f>IFERROR(VLOOKUP($A125&amp;"_"&amp;$B125,Results_Deltas!$A$2:$P$15000,5,FALSE),"")</f>
        <v/>
      </c>
      <c r="H145" t="inlineStr">
        <is>
          <t>Blanket (page end)</t>
        </is>
      </c>
      <c r="L145" t="inlineStr">
        <is>
          <t>NO</t>
        </is>
      </c>
      <c r="M145" t="n">
        <v>24</v>
      </c>
      <c r="N145" t="n">
        <v>0</v>
      </c>
    </row>
    <row r="146" ht="15.75" customHeight="1" s="67">
      <c r="A146" t="inlineStr">
        <is>
          <t>EXECUTE_NOW_SINGLE_GATE_ENFORCE</t>
        </is>
      </c>
      <c r="B146" t="inlineStr">
        <is>
          <t>0.0_ALT</t>
        </is>
      </c>
      <c r="D146" t="inlineStr">
        <is>
          <t>ENTRY, GLOBAL_CHECK, STOCKS_EXIT</t>
        </is>
      </c>
      <c r="G146">
        <f>IFERROR(VLOOKUP($A85&amp;"_"&amp;$B85,Results_Deltas!$A$2:$P$15000,5,FALSE),"")</f>
        <v/>
      </c>
      <c r="H146" t="inlineStr">
        <is>
          <t>Blanket (page end)</t>
        </is>
      </c>
      <c r="L146" t="inlineStr">
        <is>
          <t>NO</t>
        </is>
      </c>
      <c r="M146" t="n">
        <v>24</v>
      </c>
      <c r="N146" t="n">
        <v>0</v>
      </c>
    </row>
    <row r="147" ht="15.75" customHeight="1" s="67">
      <c r="A147" t="inlineStr">
        <is>
          <t>EXECUTE_NOW_SINGLE_GATE_ENFORCE</t>
        </is>
      </c>
      <c r="B147" t="inlineStr">
        <is>
          <t>0.0</t>
        </is>
      </c>
      <c r="D147" t="inlineStr">
        <is>
          <t>ENTRY, GLOBAL_CHECK, STOCKS_EXIT</t>
        </is>
      </c>
      <c r="G147">
        <f>IFERROR(VLOOKUP($A84&amp;"_"&amp;$B84,Results_Deltas!$A$2:$P$15000,5,FALSE),"")</f>
        <v/>
      </c>
      <c r="H147" t="inlineStr">
        <is>
          <t>Blanket (page end)</t>
        </is>
      </c>
      <c r="L147" t="inlineStr">
        <is>
          <t>YES</t>
        </is>
      </c>
      <c r="M147" t="n">
        <v>24</v>
      </c>
      <c r="N147" t="n">
        <v>0</v>
      </c>
    </row>
    <row r="148" ht="15.75" customHeight="1" s="67">
      <c r="A148" t="inlineStr">
        <is>
          <t>HLR_TOP_MIN_TFS</t>
        </is>
      </c>
      <c r="B148" t="inlineStr">
        <is>
          <t>0</t>
        </is>
      </c>
      <c r="D148" t="inlineStr">
        <is>
          <t>GLOBAL_CHECK, REENTRY, STOCKS_EXIT</t>
        </is>
      </c>
      <c r="G148">
        <f>IFERROR(VLOOKUP($A129&amp;"_"&amp;$B129,Results_Deltas!$A$2:$P$15000,5,FALSE),"")</f>
        <v/>
      </c>
      <c r="H148" t="inlineStr">
        <is>
          <t>Blanket (page end)</t>
        </is>
      </c>
      <c r="L148" t="inlineStr">
        <is>
          <t>NO</t>
        </is>
      </c>
      <c r="M148" t="n">
        <v>24</v>
      </c>
      <c r="N148" t="n">
        <v>0</v>
      </c>
    </row>
    <row r="149" ht="10.5" customHeight="1" s="67">
      <c r="A149" t="inlineStr">
        <is>
          <t>COOLDOWN_LOCKS_FILTER_TF</t>
        </is>
      </c>
      <c r="B149" t="inlineStr">
        <is>
          <t>15m</t>
        </is>
      </c>
      <c r="D149" t="inlineStr">
        <is>
          <t>GLOBAL_CHECK</t>
        </is>
      </c>
      <c r="G149">
        <f>IFERROR(VLOOKUP($A58&amp;"_"&amp;$B58,Results_Deltas!$A$2:$P$15000,5,FALSE),"")</f>
        <v/>
      </c>
      <c r="H149" t="inlineStr">
        <is>
          <t>Blanket (page end)</t>
        </is>
      </c>
      <c r="L149" t="inlineStr">
        <is>
          <t>NO</t>
        </is>
      </c>
      <c r="M149" t="n">
        <v>3</v>
      </c>
      <c r="N149" t="n">
        <v>0</v>
      </c>
    </row>
    <row r="150" ht="15.75" customHeight="1" s="67">
      <c r="A150" t="inlineStr">
        <is>
          <t>HA_WICK_QUALITY_TF</t>
        </is>
      </c>
      <c r="B150" t="inlineStr">
        <is>
          <t>15m</t>
        </is>
      </c>
      <c r="D150" t="inlineStr">
        <is>
          <t>ENTRY, GLOBAL_CHECK, STOCKS_EXIT</t>
        </is>
      </c>
      <c r="G150">
        <f>IFERROR(VLOOKUP($A124&amp;"_"&amp;$B124,Results_Deltas!$A$2:$P$15000,5,FALSE),"")</f>
        <v/>
      </c>
      <c r="H150" t="inlineStr">
        <is>
          <t>Blanket (page end)</t>
        </is>
      </c>
      <c r="L150" t="inlineStr">
        <is>
          <t>NO</t>
        </is>
      </c>
      <c r="M150" t="n">
        <v>9</v>
      </c>
      <c r="N150" t="n">
        <v>0</v>
      </c>
    </row>
    <row r="151" ht="15.75" customHeight="1" s="67">
      <c r="A151" t="inlineStr">
        <is>
          <t>EZ_MANAGE_THROTTLER_RATE</t>
        </is>
      </c>
      <c r="B151" t="inlineStr">
        <is>
          <t>0.0</t>
        </is>
      </c>
      <c r="D151" t="inlineStr">
        <is>
          <t>GLOBAL_CHECK, STOCKS_EXIT</t>
        </is>
      </c>
      <c r="G151">
        <f>IFERROR(VLOOKUP($A86&amp;"_"&amp;$B86,Results_Deltas!$A$2:$P$15000,5,FALSE),"")</f>
        <v/>
      </c>
      <c r="H151" t="inlineStr">
        <is>
          <t>Blanket (page end)</t>
        </is>
      </c>
      <c r="L151" t="inlineStr">
        <is>
          <t>NO</t>
        </is>
      </c>
      <c r="M151" t="n">
        <v>24</v>
      </c>
      <c r="N151" t="n">
        <v>0</v>
      </c>
    </row>
    <row r="152" ht="15.75" customHeight="1" s="67">
      <c r="A152" t="inlineStr">
        <is>
          <t>EZ_MANAGE_THROTTLER_RATE</t>
        </is>
      </c>
      <c r="B152" t="inlineStr">
        <is>
          <t>0.0_ALT</t>
        </is>
      </c>
      <c r="D152" t="inlineStr">
        <is>
          <t>GLOBAL_CHECK, STOCKS_EXIT</t>
        </is>
      </c>
      <c r="G152">
        <f>IFERROR(VLOOKUP($A87&amp;"_"&amp;$B87,Results_Deltas!$A$2:$P$15000,5,FALSE),"")</f>
        <v/>
      </c>
      <c r="H152" t="inlineStr">
        <is>
          <t>Blanket (page end)</t>
        </is>
      </c>
      <c r="L152" t="inlineStr">
        <is>
          <t>NO</t>
        </is>
      </c>
      <c r="M152" t="n">
        <v>24</v>
      </c>
      <c r="N152" t="n">
        <v>0</v>
      </c>
    </row>
    <row r="153" ht="10.5" customHeight="1" s="67">
      <c r="A153" t="inlineStr">
        <is>
          <t>BAND_ARROW_ENABLED</t>
        </is>
      </c>
      <c r="B153" t="inlineStr">
        <is>
          <t>False</t>
        </is>
      </c>
      <c r="D153" t="inlineStr">
        <is>
          <t>GLOBAL_CHECK, STOCKS_EXIT</t>
        </is>
      </c>
      <c r="G153">
        <f>IFERROR(VLOOKUP($A52&amp;"_"&amp;$B52,Results_Deltas!$A$2:$P$15000,5,FALSE),"")</f>
        <v/>
      </c>
      <c r="H153" t="inlineStr">
        <is>
          <t>Blanket (page end)</t>
        </is>
      </c>
      <c r="L153" t="inlineStr">
        <is>
          <t>NO</t>
        </is>
      </c>
      <c r="M153" t="n">
        <v>9</v>
      </c>
      <c r="N153" t="n">
        <v>0</v>
      </c>
    </row>
    <row r="154" ht="15.75" customHeight="1" s="67">
      <c r="A154" t="inlineStr">
        <is>
          <t>NEW_POSITION_MAX_LOSS_THRESHOLD</t>
        </is>
      </c>
      <c r="B154" t="inlineStr">
        <is>
          <t>0</t>
        </is>
      </c>
      <c r="D154" t="inlineStr">
        <is>
          <t>AUGMENT, EXIT, GLOBAL_CHECK, REDUCE, STOCKS_EXIT</t>
        </is>
      </c>
      <c r="G154">
        <f>IFERROR(VLOOKUP($A199&amp;"_"&amp;$B199,Results_Deltas!$A$2:$P$15000,5,FALSE),"")</f>
        <v/>
      </c>
      <c r="H154" t="inlineStr">
        <is>
          <t>Blanket (page end)</t>
        </is>
      </c>
      <c r="L154" t="inlineStr">
        <is>
          <t>NO</t>
        </is>
      </c>
      <c r="M154" t="n">
        <v>24</v>
      </c>
      <c r="N154" t="n">
        <v>0</v>
      </c>
    </row>
    <row r="155" ht="15.75" customHeight="1" s="67">
      <c r="A155" t="inlineStr">
        <is>
          <t>HTF_GATE_D_MANDATORY</t>
        </is>
      </c>
      <c r="B155" t="inlineStr">
        <is>
          <t>0.0_ALT</t>
        </is>
      </c>
      <c r="D155" t="inlineStr">
        <is>
          <t>ENTRY, GLOBAL_CHECK, STOCKS_EXIT</t>
        </is>
      </c>
      <c r="G155">
        <f>IFERROR(VLOOKUP($A139&amp;"_"&amp;$B139,Results_Deltas!$A$2:$P$15000,5,FALSE),"")</f>
        <v/>
      </c>
      <c r="H155" t="inlineStr">
        <is>
          <t>Blanket (page end)</t>
        </is>
      </c>
      <c r="L155" t="inlineStr">
        <is>
          <t>NO</t>
        </is>
      </c>
      <c r="M155" t="n">
        <v>24</v>
      </c>
      <c r="N155" t="n">
        <v>0</v>
      </c>
    </row>
    <row r="156" ht="10.5" customHeight="1" s="67">
      <c r="A156" t="inlineStr">
        <is>
          <t>DELTA_REENTRY_FILTER_ENABLED</t>
        </is>
      </c>
      <c r="B156" t="inlineStr">
        <is>
          <t>False</t>
        </is>
      </c>
      <c r="D156" t="inlineStr">
        <is>
          <t>ENTRY, GLOBAL_CHECK, STOCKS_EXIT</t>
        </is>
      </c>
      <c r="G156">
        <f>IFERROR(VLOOKUP($A69&amp;"_"&amp;$B69,Results_Deltas!$A$2:$P$15000,5,FALSE),"")</f>
        <v/>
      </c>
      <c r="H156" t="inlineStr">
        <is>
          <t>Blanket (page end)</t>
        </is>
      </c>
      <c r="L156" t="inlineStr">
        <is>
          <t>NO</t>
        </is>
      </c>
      <c r="M156" t="n">
        <v>9</v>
      </c>
      <c r="N156" t="n">
        <v>0</v>
      </c>
    </row>
    <row r="157" ht="15.75" customHeight="1" s="67">
      <c r="A157" t="inlineStr">
        <is>
          <t>HTF_GATE_D_MANDATORY</t>
        </is>
      </c>
      <c r="B157" t="inlineStr">
        <is>
          <t>0.0</t>
        </is>
      </c>
      <c r="D157" t="inlineStr">
        <is>
          <t>ENTRY, GLOBAL_CHECK, STOCKS_EXIT</t>
        </is>
      </c>
      <c r="G157">
        <f>IFERROR(VLOOKUP($A138&amp;"_"&amp;$B138,Results_Deltas!$A$2:$P$15000,5,FALSE),"")</f>
        <v/>
      </c>
      <c r="H157" t="inlineStr">
        <is>
          <t>Blanket (page end)</t>
        </is>
      </c>
      <c r="L157" t="inlineStr">
        <is>
          <t>YES</t>
        </is>
      </c>
      <c r="M157" t="n">
        <v>24</v>
      </c>
      <c r="N157" t="n">
        <v>0</v>
      </c>
    </row>
    <row r="158" ht="15.75" customHeight="1" s="67">
      <c r="A158" t="inlineStr">
        <is>
          <t>MANDATORY_REENTRY_WT_FILTER_REQUIRE_FLIP</t>
        </is>
      </c>
      <c r="B158" t="inlineStr">
        <is>
          <t>False_ALT</t>
        </is>
      </c>
      <c r="D158" t="inlineStr">
        <is>
          <t>GLOBAL_CHECK, STOCKS_EXIT</t>
        </is>
      </c>
      <c r="G158">
        <f>IFERROR(VLOOKUP($A168&amp;"_"&amp;$B168,Results_Deltas!$A$2:$P$15000,5,FALSE),"")</f>
        <v/>
      </c>
      <c r="H158" t="inlineStr">
        <is>
          <t>Blanket (page end)</t>
        </is>
      </c>
      <c r="L158" t="inlineStr">
        <is>
          <t>NO</t>
        </is>
      </c>
      <c r="M158" t="n">
        <v>24</v>
      </c>
      <c r="N158" t="n">
        <v>0</v>
      </c>
    </row>
    <row r="159" ht="15.75" customHeight="1" s="67">
      <c r="A159" t="inlineStr">
        <is>
          <t>MARKET_QUALITY_SCORE_ENABLED</t>
        </is>
      </c>
      <c r="B159" t="inlineStr">
        <is>
          <t>False</t>
        </is>
      </c>
      <c r="D159" t="inlineStr">
        <is>
          <t>ENTRY, GLOBAL_CHECK, STOCKS_EXIT</t>
        </is>
      </c>
      <c r="G159">
        <f>IFERROR(VLOOKUP($A171&amp;"_"&amp;$B171,Results_Deltas!$A$2:$P$15000,5,FALSE),"")</f>
        <v/>
      </c>
      <c r="H159" t="inlineStr">
        <is>
          <t>Blanket (page end)</t>
        </is>
      </c>
      <c r="L159" t="inlineStr">
        <is>
          <t>YES</t>
        </is>
      </c>
      <c r="M159" t="n">
        <v>9</v>
      </c>
      <c r="N159" t="n">
        <v>0</v>
      </c>
    </row>
    <row r="160" ht="15.75" customHeight="1" s="67">
      <c r="A160" t="inlineStr">
        <is>
          <t>HTF_GATE_BYPASS_RZ</t>
        </is>
      </c>
      <c r="B160" t="inlineStr">
        <is>
          <t>0.0</t>
        </is>
      </c>
      <c r="D160" t="inlineStr">
        <is>
          <t>ENTRY, GLOBAL_CHECK, STOCKS_EXIT</t>
        </is>
      </c>
      <c r="G160">
        <f>IFERROR(VLOOKUP($A136&amp;"_"&amp;$B136,Results_Deltas!$A$2:$P$15000,5,FALSE),"")</f>
        <v/>
      </c>
      <c r="H160" t="inlineStr">
        <is>
          <t>Blanket (page end)</t>
        </is>
      </c>
      <c r="L160" t="inlineStr">
        <is>
          <t>NO</t>
        </is>
      </c>
      <c r="M160" t="n">
        <v>24</v>
      </c>
      <c r="N160" t="n">
        <v>0</v>
      </c>
    </row>
    <row r="161" ht="15.75" customHeight="1" s="67">
      <c r="A161" t="inlineStr">
        <is>
          <t>HTF_GATE_BYPASS_RZ</t>
        </is>
      </c>
      <c r="B161" t="inlineStr">
        <is>
          <t>0.0_ALT</t>
        </is>
      </c>
      <c r="D161" t="inlineStr">
        <is>
          <t>ENTRY, GLOBAL_CHECK, STOCKS_EXIT</t>
        </is>
      </c>
      <c r="G161">
        <f>IFERROR(VLOOKUP($A137&amp;"_"&amp;$B137,Results_Deltas!$A$2:$P$15000,5,FALSE),"")</f>
        <v/>
      </c>
      <c r="H161" t="inlineStr">
        <is>
          <t>Blanket (page end)</t>
        </is>
      </c>
      <c r="L161" t="inlineStr">
        <is>
          <t>NO</t>
        </is>
      </c>
      <c r="M161" t="n">
        <v>24</v>
      </c>
      <c r="N161" t="n">
        <v>0</v>
      </c>
    </row>
    <row r="162" ht="15.75" customHeight="1" s="67">
      <c r="A162" t="inlineStr">
        <is>
          <t>HTF_DIRECTION_GATE_ENABLED</t>
        </is>
      </c>
      <c r="B162" t="inlineStr">
        <is>
          <t>False</t>
        </is>
      </c>
      <c r="D162" t="inlineStr">
        <is>
          <t>ENTRY, GLOBAL_CHECK, STOCKS_EXIT</t>
        </is>
      </c>
      <c r="G162">
        <f>IFERROR(VLOOKUP($A134&amp;"_"&amp;$B134,Results_Deltas!$A$2:$P$15000,5,FALSE),"")</f>
        <v/>
      </c>
      <c r="H162" t="inlineStr">
        <is>
          <t>Blanket (page end)</t>
        </is>
      </c>
      <c r="L162" t="inlineStr">
        <is>
          <t>YES</t>
        </is>
      </c>
      <c r="M162" t="n">
        <v>9</v>
      </c>
      <c r="N162" t="n">
        <v>0</v>
      </c>
    </row>
    <row r="163" ht="15.75" customHeight="1" s="67">
      <c r="A163" t="inlineStr">
        <is>
          <t>MTF_FILTER_STRONG_BUY_QUICK_BYPASS</t>
        </is>
      </c>
      <c r="B163" t="inlineStr">
        <is>
          <t>0.0</t>
        </is>
      </c>
      <c r="D163" t="inlineStr">
        <is>
          <t>GLOBAL_CHECK, STOCKS_EXIT</t>
        </is>
      </c>
      <c r="G163">
        <f>IFERROR(VLOOKUP($A179&amp;"_"&amp;$B179,Results_Deltas!$A$2:$P$15000,5,FALSE),"")</f>
        <v/>
      </c>
      <c r="H163" t="inlineStr">
        <is>
          <t>Blanket (page end)</t>
        </is>
      </c>
      <c r="L163" t="inlineStr">
        <is>
          <t>YES</t>
        </is>
      </c>
      <c r="M163" t="n">
        <v>24</v>
      </c>
      <c r="N163" t="n">
        <v>0</v>
      </c>
    </row>
    <row r="164" ht="15.75" customHeight="1" s="67">
      <c r="A164" t="inlineStr">
        <is>
          <t>MTF_FILTER_STRONG_BUY_QUICK_BYPASS</t>
        </is>
      </c>
      <c r="B164" t="inlineStr">
        <is>
          <t>0.0_ALT</t>
        </is>
      </c>
      <c r="D164" t="inlineStr">
        <is>
          <t>GLOBAL_CHECK, STOCKS_EXIT</t>
        </is>
      </c>
      <c r="G164">
        <f>IFERROR(VLOOKUP($A180&amp;"_"&amp;$B180,Results_Deltas!$A$2:$P$15000,5,FALSE),"")</f>
        <v/>
      </c>
      <c r="H164" t="inlineStr">
        <is>
          <t>Blanket (page end)</t>
        </is>
      </c>
      <c r="L164" t="inlineStr">
        <is>
          <t>NO</t>
        </is>
      </c>
      <c r="M164" t="n">
        <v>24</v>
      </c>
      <c r="N164" t="n">
        <v>0</v>
      </c>
    </row>
    <row r="165" ht="15.75" customHeight="1" s="67">
      <c r="A165" t="inlineStr">
        <is>
          <t>NEWBORN_LOSS_KILL_REQUIRE_VEL_AGAINST</t>
        </is>
      </c>
      <c r="B165" t="inlineStr">
        <is>
          <t>0.0</t>
        </is>
      </c>
      <c r="D165" t="inlineStr">
        <is>
          <t>AUGMENT, EXIT, GLOBAL_CHECK, REDUCE, STOCKS_EXIT</t>
        </is>
      </c>
      <c r="G165">
        <f>IFERROR(VLOOKUP($A197&amp;"_"&amp;$B197,Results_Deltas!$A$2:$P$15000,5,FALSE),"")</f>
        <v/>
      </c>
      <c r="H165" t="inlineStr">
        <is>
          <t>Blanket (page end)</t>
        </is>
      </c>
      <c r="L165" t="inlineStr">
        <is>
          <t>YES</t>
        </is>
      </c>
      <c r="M165" t="n">
        <v>24</v>
      </c>
      <c r="N165" t="n">
        <v>0</v>
      </c>
    </row>
    <row r="166" ht="15.75" customHeight="1" s="67">
      <c r="A166" t="inlineStr">
        <is>
          <t>NEWBORN_LOSS_KILL_REQUIRE_VEL_AGAINST</t>
        </is>
      </c>
      <c r="B166" t="inlineStr">
        <is>
          <t>0.0_ALT</t>
        </is>
      </c>
      <c r="D166" t="inlineStr">
        <is>
          <t>AUGMENT, EXIT, GLOBAL_CHECK, REDUCE, STOCKS_EXIT</t>
        </is>
      </c>
      <c r="G166">
        <f>IFERROR(VLOOKUP($A198&amp;"_"&amp;$B198,Results_Deltas!$A$2:$P$15000,5,FALSE),"")</f>
        <v/>
      </c>
      <c r="H166" t="inlineStr">
        <is>
          <t>Blanket (page end)</t>
        </is>
      </c>
      <c r="L166" t="inlineStr">
        <is>
          <t>NO</t>
        </is>
      </c>
      <c r="M166" t="n">
        <v>24</v>
      </c>
      <c r="N166" t="n">
        <v>0</v>
      </c>
    </row>
    <row r="167" ht="15.75" customHeight="1" s="67">
      <c r="A167" t="inlineStr">
        <is>
          <t>MANDATORY_REENTRY_WT_FILTER_MIN_VELOCITY</t>
        </is>
      </c>
      <c r="B167" t="inlineStr">
        <is>
          <t>0.0</t>
        </is>
      </c>
      <c r="D167" t="inlineStr">
        <is>
          <t>GLOBAL_CHECK, STOCKS_EXIT</t>
        </is>
      </c>
      <c r="G167">
        <f>IFERROR(VLOOKUP($A165&amp;"_"&amp;$B165,Results_Deltas!$A$2:$P$15000,5,FALSE),"")</f>
        <v/>
      </c>
      <c r="H167" t="inlineStr">
        <is>
          <t>Blanket (page end)</t>
        </is>
      </c>
      <c r="L167" t="inlineStr">
        <is>
          <t>NO</t>
        </is>
      </c>
      <c r="M167" t="n">
        <v>24</v>
      </c>
      <c r="N167" t="n">
        <v>0</v>
      </c>
    </row>
    <row r="168" ht="15.75" customHeight="1" s="67">
      <c r="A168" t="inlineStr">
        <is>
          <t>MANDATORY_REENTRY_WT_FILTER_MIN_VELOCITY</t>
        </is>
      </c>
      <c r="B168" t="inlineStr">
        <is>
          <t>0.0_ALT</t>
        </is>
      </c>
      <c r="D168" t="inlineStr">
        <is>
          <t>GLOBAL_CHECK, STOCKS_EXIT</t>
        </is>
      </c>
      <c r="G168">
        <f>IFERROR(VLOOKUP($A166&amp;"_"&amp;$B166,Results_Deltas!$A$2:$P$15000,5,FALSE),"")</f>
        <v/>
      </c>
      <c r="H168" t="inlineStr">
        <is>
          <t>Blanket (page end)</t>
        </is>
      </c>
      <c r="L168" t="inlineStr">
        <is>
          <t>YES</t>
        </is>
      </c>
      <c r="M168" t="n">
        <v>24</v>
      </c>
      <c r="N168" t="n">
        <v>0</v>
      </c>
    </row>
    <row r="169" ht="15.75" customHeight="1" s="67">
      <c r="A169" t="inlineStr">
        <is>
          <t>HTF_TREND_VETO_BYPASS_REASONS</t>
        </is>
      </c>
      <c r="B169" t="inlineStr">
        <is>
          <t>0.0</t>
        </is>
      </c>
      <c r="D169" t="inlineStr">
        <is>
          <t>GLOBAL_CHECK, STOCKS_EXIT</t>
        </is>
      </c>
      <c r="G169">
        <f>IFERROR(VLOOKUP($A144&amp;"_"&amp;$B144,Results_Deltas!$A$2:$P$15000,5,FALSE),"")</f>
        <v/>
      </c>
      <c r="H169" t="inlineStr">
        <is>
          <t>Blanket (page end)</t>
        </is>
      </c>
      <c r="L169" t="inlineStr">
        <is>
          <t>NO</t>
        </is>
      </c>
      <c r="M169" t="n">
        <v>24</v>
      </c>
      <c r="N169" t="n">
        <v>0</v>
      </c>
    </row>
    <row r="170" ht="15.75" customHeight="1" s="67">
      <c r="A170" t="inlineStr">
        <is>
          <t>NEWBORN_LOSS_KILL_GAIN_THRESHOLD_PCT</t>
        </is>
      </c>
      <c r="B170" t="inlineStr">
        <is>
          <t>0</t>
        </is>
      </c>
      <c r="D170" t="inlineStr">
        <is>
          <t>AUGMENT, EXIT, GLOBAL_CHECK, REDUCE, STOCKS_EXIT</t>
        </is>
      </c>
      <c r="G170">
        <f>IFERROR(VLOOKUP($A193&amp;"_"&amp;$B193,Results_Deltas!$A$2:$P$15000,5,FALSE),"")</f>
        <v/>
      </c>
      <c r="H170" t="inlineStr">
        <is>
          <t>Blanket (page end)</t>
        </is>
      </c>
      <c r="L170" t="inlineStr">
        <is>
          <t>NO</t>
        </is>
      </c>
      <c r="M170" t="n">
        <v>24</v>
      </c>
      <c r="N170" t="n">
        <v>0</v>
      </c>
    </row>
    <row r="171" ht="15.75" customHeight="1" s="67">
      <c r="A171" t="inlineStr">
        <is>
          <t>HTF_TREND_VETO_BYPASS_REASONS</t>
        </is>
      </c>
      <c r="B171" t="inlineStr">
        <is>
          <t>0.0_ALT</t>
        </is>
      </c>
      <c r="D171" t="inlineStr">
        <is>
          <t>GLOBAL_CHECK, STOCKS_EXIT</t>
        </is>
      </c>
      <c r="G171">
        <f>IFERROR(VLOOKUP($A145&amp;"_"&amp;$B145,Results_Deltas!$A$2:$P$15000,5,FALSE),"")</f>
        <v/>
      </c>
      <c r="H171" t="inlineStr">
        <is>
          <t>Blanket (page end)</t>
        </is>
      </c>
      <c r="L171" t="inlineStr">
        <is>
          <t>NO</t>
        </is>
      </c>
      <c r="M171" t="n">
        <v>24</v>
      </c>
      <c r="N171" t="n">
        <v>0</v>
      </c>
    </row>
    <row r="172" ht="15.75" customHeight="1" s="67">
      <c r="A172" t="inlineStr">
        <is>
          <t>MANDATORY_REENTRY_WT_FILTER_REQUIRE_FLIP</t>
        </is>
      </c>
      <c r="B172" t="inlineStr">
        <is>
          <t>False</t>
        </is>
      </c>
      <c r="D172" t="inlineStr">
        <is>
          <t>GLOBAL_CHECK, STOCKS_EXIT</t>
        </is>
      </c>
      <c r="G172">
        <f>IFERROR(VLOOKUP($A167&amp;"_"&amp;$B167,Results_Deltas!$A$2:$P$15000,5,FALSE),"")</f>
        <v/>
      </c>
      <c r="H172" t="inlineStr">
        <is>
          <t>Blanket (page end)</t>
        </is>
      </c>
      <c r="L172" t="inlineStr">
        <is>
          <t>NO</t>
        </is>
      </c>
      <c r="M172" t="n">
        <v>9</v>
      </c>
      <c r="N172" t="n">
        <v>0</v>
      </c>
    </row>
    <row r="173" ht="15.75" customHeight="1" s="67">
      <c r="A173" t="inlineStr">
        <is>
          <t>HTF_TREND_VETO_BYPASS_ENABLED</t>
        </is>
      </c>
      <c r="B173" t="inlineStr">
        <is>
          <t>False</t>
        </is>
      </c>
      <c r="D173" t="inlineStr">
        <is>
          <t>GLOBAL_CHECK, STOCKS_EXIT</t>
        </is>
      </c>
      <c r="G173">
        <f>IFERROR(VLOOKUP($A142&amp;"_"&amp;$B142,Results_Deltas!$A$2:$P$15000,5,FALSE),"")</f>
        <v/>
      </c>
      <c r="H173" t="inlineStr">
        <is>
          <t>Blanket (page end)</t>
        </is>
      </c>
      <c r="L173" t="inlineStr">
        <is>
          <t>NO</t>
        </is>
      </c>
      <c r="M173" t="n">
        <v>9</v>
      </c>
      <c r="N173" t="n">
        <v>0</v>
      </c>
    </row>
    <row r="174" ht="15.75" customHeight="1" s="67">
      <c r="A174" t="inlineStr">
        <is>
          <t>LIVE_VEC_EMERGENCY_BRAKE_ENABLED</t>
        </is>
      </c>
      <c r="B174" t="inlineStr">
        <is>
          <t>False</t>
        </is>
      </c>
      <c r="D174" t="inlineStr">
        <is>
          <t>GLOBAL_CHECK, STOCKS_EXIT</t>
        </is>
      </c>
      <c r="G174">
        <f>IFERROR(VLOOKUP($A154&amp;"_"&amp;$B154,Results_Deltas!$A$2:$P$15000,5,FALSE),"")</f>
        <v/>
      </c>
      <c r="H174" t="inlineStr">
        <is>
          <t>Blanket (page end)</t>
        </is>
      </c>
      <c r="L174" t="inlineStr">
        <is>
          <t>YES</t>
        </is>
      </c>
      <c r="M174" t="n">
        <v>9</v>
      </c>
      <c r="N174" t="n">
        <v>0</v>
      </c>
    </row>
    <row r="175" ht="15.75" customHeight="1" s="67">
      <c r="A175" t="inlineStr">
        <is>
          <t>ULTIMATE_DC_4H_STOP_ENABLED</t>
        </is>
      </c>
      <c r="B175" t="inlineStr">
        <is>
          <t>True</t>
        </is>
      </c>
      <c r="D175" t="inlineStr">
        <is>
          <t>GLOBAL, CRYPTO_EXIT, STOCKS_EXIT</t>
        </is>
      </c>
      <c r="H175" t="inlineStr">
        <is>
          <t>ABSOLUTE HARD_STOP (2026-09-19)</t>
        </is>
      </c>
      <c r="M175" t="n">
        <v>0</v>
      </c>
      <c r="N175"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2026-09-22T15:20:41Z</dcterms:modified>
</cp:coreProperties>
</file>