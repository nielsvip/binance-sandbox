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D</t>
        </is>
      </c>
      <c r="C7" s="26" t="n"/>
      <c r="D7" s="26" t="n"/>
      <c r="E7" s="26">
        <f>IF(G8="",E7,IF(G8&gt;0,E7+G8,E7))</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32" t="n"/>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DELTA_GATE_BB_SQUEEZE</t>
        </is>
      </c>
      <c r="B8" s="26" t="inlineStr">
        <is>
          <t>False</t>
        </is>
      </c>
      <c r="C8" s="26" t="n"/>
      <c r="D8" s="26" t="n"/>
      <c r="E8" s="26" t="n"/>
      <c r="F8" s="26" t="n"/>
      <c r="G8" s="26" t="n"/>
      <c r="H8" s="26" t="n"/>
      <c r="I8" s="26" t="n"/>
      <c r="J8" s="26" t="n"/>
      <c r="K8" s="26" t="n"/>
      <c r="L8" s="26" t="inlineStr">
        <is>
          <t>NO</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2" t="n"/>
      <c r="CB8" s="32" t="n"/>
      <c r="CC8" s="32" t="n"/>
      <c r="CD8" s="32" t="n"/>
      <c r="CE8" s="32"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n"/>
      <c r="IM8" s="26" t="n"/>
      <c r="IN8" s="26" t="n"/>
    </row>
    <row r="9" ht="10.5" customHeight="1" s="67">
      <c r="L9" s="35" t="inlineStr">
        <is>
          <t>NO</t>
        </is>
      </c>
    </row>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7" t="inlineStr">
        <is>
          <t>STDEV_SLOPE_SIZING_D_MAX</t>
        </is>
      </c>
      <c r="B3" s="27" t="n">
        <v>10</v>
      </c>
      <c r="C3" s="26" t="n"/>
      <c r="D3" s="26" t="inlineStr">
        <is>
          <t>STDEV_LADDER</t>
        </is>
      </c>
      <c r="E3" s="26">
        <f>IF(G5="",E4,IF(G5&gt;0,E4+G5,E4))</f>
        <v/>
      </c>
      <c r="F3" s="26" t="n"/>
      <c r="G3" s="26">
        <f>IFERROR(VLOOKUP($A5&amp;"_"&amp;$B5,Results_Deltas!$A$2:$P$15000,5,FALSE),"")</f>
        <v/>
      </c>
      <c r="H3" s="26">
        <f>IFERROR(VLOOKUP($A3,Results_30d_Deltas!$A$2:$H$5000,7,FALSE)-E3,"")</f>
        <v/>
      </c>
      <c r="I3" s="26">
        <f>IFERROR(VLOOKUP($A3,Results_30d_Deltas!$A$2:$H$5000,6,FALSE),"")</f>
        <v/>
      </c>
      <c r="J3" s="26" t="n"/>
      <c r="K3" s="26" t="n"/>
      <c r="L3" s="26" t="inlineStr">
        <is>
          <t>YES</t>
        </is>
      </c>
    </row>
    <row r="4">
      <c r="A4" s="27" t="inlineStr">
        <is>
          <t>STDEV_SLOPE_SIZING_4H_MAX</t>
        </is>
      </c>
      <c r="B4" s="27" t="n">
        <v>4</v>
      </c>
      <c r="C4" s="26" t="n"/>
      <c r="D4" s="26" t="inlineStr">
        <is>
          <t>STDEV_LADDER</t>
        </is>
      </c>
      <c r="E4" s="26">
        <f>IF(G6="",E5,IF(G6&gt;0,E5+G6,E5))</f>
        <v/>
      </c>
      <c r="F4" s="26" t="n"/>
      <c r="G4" s="26">
        <f>IFERROR(VLOOKUP($A6&amp;"_"&amp;$B6,Results_Deltas!$A$2:$P$15000,5,FALSE),"")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STDEV_SLOPE_SIZING_1H_MAX</t>
        </is>
      </c>
      <c r="B5" s="27" t="n">
        <v>2</v>
      </c>
      <c r="C5" s="26" t="n"/>
      <c r="D5" s="26" t="inlineStr">
        <is>
          <t>STDEV_LADDER</t>
        </is>
      </c>
      <c r="E5" s="26">
        <f>IF(G7="",E6,IF(G7&gt;0,E6+G7,E6))</f>
        <v/>
      </c>
      <c r="F5" s="26" t="n"/>
      <c r="G5" s="26">
        <f>IFERROR(VLOOKUP($A7&amp;"_"&amp;$B7,Results_Deltas!$A$2:$P$15000,5,FALSE),"")</f>
        <v/>
      </c>
      <c r="H5" s="26">
        <f>IFERROR(VLOOKUP($A3,Results_30d_Deltas!$A$2:$H$5000,7,FALSE)-E3,"")</f>
        <v/>
      </c>
      <c r="I5" s="26">
        <f>IFERROR(VLOOKUP($A3,Results_30d_Deltas!$A$2:$H$5000,6,FALSE),"")</f>
        <v/>
      </c>
      <c r="J5" s="26" t="n"/>
      <c r="K5" s="26" t="n"/>
      <c r="L5" s="26" t="inlineStr">
        <is>
          <t>YES</t>
        </is>
      </c>
    </row>
    <row r="6">
      <c r="A6" s="27" t="inlineStr">
        <is>
          <t>STDEV_SLOPE_LOOKBACK_D</t>
        </is>
      </c>
      <c r="B6" s="27" t="n">
        <v>180</v>
      </c>
      <c r="C6" s="26" t="n"/>
      <c r="D6" s="26" t="inlineStr">
        <is>
          <t>STDEV_LADDER</t>
        </is>
      </c>
      <c r="E6" s="26">
        <f>IF(G9="",E8,IF(G9&gt;0,E8+G9,E8))</f>
        <v/>
      </c>
      <c r="F6" s="26" t="n"/>
      <c r="G6" s="26">
        <f>IFERROR(VLOOKUP($A9&amp;"_"&amp;$B9,Results_Deltas!$A$2:$P$15000,5,FALSE),"")</f>
        <v/>
      </c>
      <c r="H6" s="26">
        <f>IFERROR(VLOOKUP($A3,Results_30d_Deltas!$A$2:$H$5000,7,FALSE)-E3,"")</f>
        <v/>
      </c>
      <c r="I6" s="26">
        <f>IFERROR(VLOOKUP($A3,Results_30d_Deltas!$A$2:$H$5000,6,FALSE),"")</f>
        <v/>
      </c>
      <c r="J6" s="26" t="n"/>
      <c r="K6" s="26" t="n"/>
      <c r="L6" s="26" t="inlineStr">
        <is>
          <t>YES</t>
        </is>
      </c>
    </row>
    <row r="7">
      <c r="A7" s="27" t="inlineStr">
        <is>
          <t>STDEV_SLOPE_LOOKBACK_4H</t>
        </is>
      </c>
      <c r="B7" s="27" t="n">
        <v>180</v>
      </c>
      <c r="C7" s="26" t="n"/>
      <c r="D7" s="26" t="inlineStr">
        <is>
          <t>STDEV_LADDER</t>
        </is>
      </c>
      <c r="E7" s="26">
        <f>IF(G10="",E9,IF(G10&gt;0,E9+G10,E9))</f>
        <v/>
      </c>
      <c r="F7" s="26" t="n"/>
      <c r="G7" s="26">
        <f>IFERROR(VLOOKUP($A10&amp;"_"&amp;$B10,Results_Deltas!$A$2:$P$15000,5,FALSE),"")</f>
        <v/>
      </c>
      <c r="H7" s="26">
        <f>IFERROR(VLOOKUP($A3,Results_30d_Deltas!$A$2:$H$5000,7,FALSE)-E3,"")</f>
        <v/>
      </c>
      <c r="I7" s="26">
        <f>IFERROR(VLOOKUP($A3,Results_30d_Deltas!$A$2:$H$5000,6,FALSE),"")</f>
        <v/>
      </c>
      <c r="J7" s="26" t="n"/>
      <c r="K7" s="26" t="n"/>
      <c r="L7" s="26" t="inlineStr">
        <is>
          <t>YES</t>
        </is>
      </c>
    </row>
    <row r="8">
      <c r="A8" s="27" t="inlineStr">
        <is>
          <t>STDEV_SLOPE_LOOKBACK_1H</t>
        </is>
      </c>
      <c r="B8" s="27" t="n">
        <v>168</v>
      </c>
      <c r="C8" s="26" t="n"/>
      <c r="D8" s="26" t="inlineStr">
        <is>
          <t>STDEV_LADDER</t>
        </is>
      </c>
      <c r="E8" s="26">
        <f>IF(G11="",E10,IF(G11&gt;0,E10+G11,E10))</f>
        <v/>
      </c>
      <c r="F8" s="26" t="n"/>
      <c r="G8" s="26">
        <f>IFERROR(VLOOKUP($A11&amp;"_"&amp;$B11,Results_Deltas!$A$2:$P$15000,5,FALSE),"")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STDEV_SLOPE_LOOKBACK_15M</t>
        </is>
      </c>
      <c r="B9" s="27" t="n">
        <v>96</v>
      </c>
      <c r="C9" s="26" t="n"/>
      <c r="D9" s="26" t="inlineStr">
        <is>
          <t>STDEV_LADDER</t>
        </is>
      </c>
      <c r="E9" s="26">
        <f>IF(G12="",E11,IF(G12&gt;0,E11+G12,E11))</f>
        <v/>
      </c>
      <c r="F9" s="26" t="n"/>
      <c r="G9" s="26">
        <f>IFERROR(VLOOKUP($A12&amp;"_"&amp;$B12,Results_Deltas!$A$2:$P$15000,5,FALSE),"")</f>
        <v/>
      </c>
      <c r="H9" s="26">
        <f>IFERROR(VLOOKUP($A3,Results_30d_Deltas!$A$2:$H$5000,7,FALSE)-E3,"")</f>
        <v/>
      </c>
      <c r="I9" s="26">
        <f>IFERROR(VLOOKUP($A3,Results_30d_Deltas!$A$2:$H$5000,6,FALSE),"")</f>
        <v/>
      </c>
      <c r="J9" s="26" t="n"/>
      <c r="K9" s="26" t="n"/>
      <c r="L9" s="26" t="inlineStr">
        <is>
          <t>YES</t>
        </is>
      </c>
    </row>
    <row r="10">
      <c r="A10" s="27" t="inlineStr">
        <is>
          <t>BAND_SLOPE_SIZING_V2_DEPTH_GAIN</t>
        </is>
      </c>
      <c r="B10" s="27" t="n">
        <v>1</v>
      </c>
      <c r="C10" s="26" t="n"/>
      <c r="D10" s="26" t="inlineStr">
        <is>
          <t>STDEV_LADDER</t>
        </is>
      </c>
      <c r="E10" s="26">
        <f>IF(G15="",E14,IF(G15&gt;0,E14+G15,E14))</f>
        <v/>
      </c>
      <c r="F10" s="26" t="n"/>
      <c r="G10" s="26">
        <f>IFERROR(VLOOKUP($A15&amp;"_"&amp;$B15,Results_Deltas!$A$2:$P$15000,5,FALSE),"")</f>
        <v/>
      </c>
      <c r="H10" s="26">
        <f>IFERROR(VLOOKUP($A3,Results_30d_Deltas!$A$2:$H$5000,7,FALSE)-E3,"")</f>
        <v/>
      </c>
      <c r="I10" s="26">
        <f>IFERROR(VLOOKUP($A3,Results_30d_Deltas!$A$2:$H$5000,6,FALSE),"")</f>
        <v/>
      </c>
      <c r="J10" s="26" t="n"/>
      <c r="K10" s="26" t="n"/>
      <c r="L10" s="26" t="inlineStr">
        <is>
          <t>YES</t>
        </is>
      </c>
    </row>
    <row r="11">
      <c r="A11" s="27" t="inlineStr">
        <is>
          <t>BAND_SLOPE_SIZING_V2_SLOPE_NORM_PCT_DAY</t>
        </is>
      </c>
      <c r="B11" s="27" t="n">
        <v>1</v>
      </c>
      <c r="C11" s="26" t="n"/>
      <c r="D11" s="26" t="inlineStr">
        <is>
          <t>STDEV_LADDER</t>
        </is>
      </c>
      <c r="E11" s="26">
        <f>IF(G19="",E18,IF(G19&gt;0,E18+G19,E18))</f>
        <v/>
      </c>
      <c r="F11" s="26" t="n"/>
      <c r="G11" s="26">
        <f>IFERROR(VLOOKUP($A19&amp;"_"&amp;$B19,Results_Deltas!$A$2:$P$15000,5,FALSE),"")</f>
        <v/>
      </c>
      <c r="H11" s="26">
        <f>IFERROR(VLOOKUP($A3,Results_30d_Deltas!$A$2:$H$5000,7,FALSE)-E3,"")</f>
        <v/>
      </c>
      <c r="I11" s="26" t="n"/>
      <c r="J11" s="26" t="n"/>
      <c r="K11" s="26" t="n"/>
      <c r="L11" s="26" t="inlineStr">
        <is>
          <t>YES</t>
        </is>
      </c>
    </row>
    <row r="12">
      <c r="A12" s="35" t="inlineStr">
        <is>
          <t>STDEV_SLOPE_SIZING_ENABLED</t>
        </is>
      </c>
      <c r="B12" s="35" t="b">
        <v>0</v>
      </c>
      <c r="D12" s="35" t="inlineStr">
        <is>
          <t>STDEV_LADDER</t>
        </is>
      </c>
      <c r="E12" s="35">
        <f>IF(G20="",E19,IF(G20&gt;0,E19+G20,E19))</f>
        <v/>
      </c>
      <c r="F12" s="35">
        <f>IFERROR(VLOOKUP($A20&amp;"="&amp;$B20,Results_Deltas!$A$2:$P$15000,5,FALSE),"")</f>
        <v/>
      </c>
      <c r="G12" s="35">
        <f>IFERROR(VLOOKUP($A20,Results_30d_Deltas!$A$2:$H$5000,7,FALSE)-E20,"")</f>
        <v/>
      </c>
      <c r="H12" s="35">
        <f>IFERROR(VLOOKUP($A20,Results_30d_Deltas!$A$2:$H$5000,6,FALSE),"")</f>
        <v/>
      </c>
      <c r="L12" s="35" t="inlineStr">
        <is>
          <t>NO</t>
        </is>
      </c>
    </row>
    <row r="13">
      <c r="A13" s="35" t="inlineStr">
        <is>
          <t>STDEV_SLOPE_SIZING_D_MAX</t>
        </is>
      </c>
      <c r="B13" s="35" t="n">
        <v>1</v>
      </c>
      <c r="D13" s="35" t="inlineStr">
        <is>
          <t>STDEV_LADDER</t>
        </is>
      </c>
      <c r="E13" s="35">
        <f>IF(G21="",E20,IF(G21&gt;0,E20+G21,E20))</f>
        <v/>
      </c>
      <c r="F13" s="35">
        <f>IFERROR(VLOOKUP($A21&amp;"="&amp;$B21,Results_Deltas!$A$2:$P$15000,5,FALSE),"")</f>
        <v/>
      </c>
      <c r="G13" s="35">
        <f>IFERROR(VLOOKUP($A21,Results_30d_Deltas!$A$2:$H$5000,7,FALSE)-E21,"")</f>
        <v/>
      </c>
      <c r="H13" s="35">
        <f>IFERROR(VLOOKUP($A21,Results_30d_Deltas!$A$2:$H$5000,6,FALSE),"")</f>
        <v/>
      </c>
      <c r="L13" s="35" t="inlineStr">
        <is>
          <t>NO</t>
        </is>
      </c>
    </row>
    <row r="14">
      <c r="A14" s="35" t="inlineStr">
        <is>
          <t>STDEV_SLOPE_SIZING_4H_MAX</t>
        </is>
      </c>
      <c r="B14" s="35" t="n">
        <v>1</v>
      </c>
      <c r="D14" s="35" t="inlineStr">
        <is>
          <t>STDEV_LADDER</t>
        </is>
      </c>
      <c r="E14" s="35">
        <f>IF(G22="",E21,IF(G22&gt;0,E21+G22,E21))</f>
        <v/>
      </c>
      <c r="F14" s="35">
        <f>IFERROR(VLOOKUP($A22&amp;"="&amp;$B22,Results_Deltas!$A$2:$P$15000,5,FALSE),"")</f>
        <v/>
      </c>
      <c r="G14" s="35">
        <f>IFERROR(VLOOKUP($A22,Results_30d_Deltas!$A$2:$H$5000,7,FALSE)-E22,"")</f>
        <v/>
      </c>
      <c r="H14" s="35">
        <f>IFERROR(VLOOKUP($A22,Results_30d_Deltas!$A$2:$H$5000,6,FALSE),"")</f>
        <v/>
      </c>
      <c r="L14" s="35" t="inlineStr">
        <is>
          <t>NO</t>
        </is>
      </c>
    </row>
    <row r="15">
      <c r="A15" s="35" t="inlineStr">
        <is>
          <t>STDEV_SLOPE_SIZING_1H_MAX</t>
        </is>
      </c>
      <c r="B15" s="35" t="n">
        <v>1</v>
      </c>
      <c r="D15" s="35" t="inlineStr">
        <is>
          <t>STDEV_LADDER</t>
        </is>
      </c>
      <c r="E15" s="35">
        <f>IF(G23="",E22,IF(G23&gt;0,E22+G23,E22))</f>
        <v/>
      </c>
      <c r="F15" s="35">
        <f>IFERROR(VLOOKUP($A23&amp;"="&amp;$B23,Results_Deltas!$A$2:$P$15000,5,FALSE),"")</f>
        <v/>
      </c>
      <c r="G15" s="35">
        <f>IFERROR(VLOOKUP($A23,Results_30d_Deltas!$A$2:$H$5000,7,FALSE)-E23,"")</f>
        <v/>
      </c>
      <c r="H15" s="35">
        <f>IFERROR(VLOOKUP($A23,Results_30d_Deltas!$A$2:$H$5000,6,FALSE),"")</f>
        <v/>
      </c>
      <c r="L15" s="35" t="inlineStr">
        <is>
          <t>NO</t>
        </is>
      </c>
    </row>
    <row r="16">
      <c r="A16" s="35" t="inlineStr">
        <is>
          <t>STDEV_SLOPE_SIZING_15M_MAX</t>
        </is>
      </c>
      <c r="B16" s="35" t="n">
        <v>1</v>
      </c>
      <c r="D16" s="35" t="inlineStr">
        <is>
          <t>STDEV_LADDER</t>
        </is>
      </c>
      <c r="E16" s="35">
        <f>IF(G24="",E23,IF(G24&gt;0,E23+G24,E23))</f>
        <v/>
      </c>
      <c r="F16" s="35">
        <f>IFERROR(VLOOKUP($A24&amp;"="&amp;$B24,Results_Deltas!$A$2:$P$15000,5,FALSE),"")</f>
        <v/>
      </c>
      <c r="G16" s="35">
        <f>IFERROR(VLOOKUP($A24,Results_30d_Deltas!$A$2:$H$5000,7,FALSE)-E24,"")</f>
        <v/>
      </c>
      <c r="H16" s="35">
        <f>IFERROR(VLOOKUP($A24,Results_30d_Deltas!$A$2:$H$5000,6,FALSE),"")</f>
        <v/>
      </c>
      <c r="L16" s="35" t="inlineStr">
        <is>
          <t>NO</t>
        </is>
      </c>
    </row>
    <row r="17">
      <c r="A17" s="35" t="inlineStr">
        <is>
          <t>STDEV_SLOPE_SIZING_MODE</t>
        </is>
      </c>
      <c r="B17" s="35" t="inlineStr">
        <is>
          <t>bottom_to_top</t>
        </is>
      </c>
      <c r="D17" s="35" t="inlineStr">
        <is>
          <t>STDEV_LADDER</t>
        </is>
      </c>
      <c r="E17" s="35">
        <f>IF(G25="",E24,IF(G25&gt;0,E24+G25,E24))</f>
        <v/>
      </c>
      <c r="F17" s="35">
        <f>IFERROR(VLOOKUP($A25&amp;"="&amp;$B25,Results_Deltas!$A$2:$P$15000,5,FALSE),"")</f>
        <v/>
      </c>
      <c r="G17" s="35">
        <f>IFERROR(VLOOKUP($A25,Results_30d_Deltas!$A$2:$H$5000,7,FALSE)-E25,"")</f>
        <v/>
      </c>
      <c r="H17" s="35">
        <f>IFERROR(VLOOKUP($A25,Results_30d_Deltas!$A$2:$H$5000,6,FALSE),"")</f>
        <v/>
      </c>
      <c r="L17" s="35" t="inlineStr">
        <is>
          <t>NO</t>
        </is>
      </c>
    </row>
    <row r="18">
      <c r="A18" s="35" t="inlineStr">
        <is>
          <t>BAND_SLOPE_SIZING_V2_ENABLED</t>
        </is>
      </c>
      <c r="B18" s="35" t="b">
        <v>0</v>
      </c>
      <c r="D18" s="35" t="inlineStr">
        <is>
          <t>STDEV_LADDER</t>
        </is>
      </c>
      <c r="E18" s="35">
        <f>IF(G26="",E25,IF(G26&gt;0,E25+G26,E25))</f>
        <v/>
      </c>
      <c r="F18" s="35">
        <f>IFERROR(VLOOKUP($A26&amp;"="&amp;$B26,Results_Deltas!$A$2:$P$15000,5,FALSE),"")</f>
        <v/>
      </c>
      <c r="G18" s="35">
        <f>IFERROR(VLOOKUP($A26,Results_30d_Deltas!$A$2:$H$5000,7,FALSE)-E26,"")</f>
        <v/>
      </c>
      <c r="H18" s="35">
        <f>IFERROR(VLOOKUP($A26,Results_30d_Deltas!$A$2:$H$5000,6,FALSE),"")</f>
        <v/>
      </c>
      <c r="L18" s="35" t="inlineStr">
        <is>
          <t>NO</t>
        </is>
      </c>
    </row>
    <row r="19">
      <c r="A19" s="35" t="inlineStr">
        <is>
          <t>BAND_SLOPE_SIZING_V2_TF</t>
        </is>
      </c>
      <c r="B19" s="35" t="inlineStr">
        <is>
          <t>4h</t>
        </is>
      </c>
      <c r="D19" s="35" t="inlineStr">
        <is>
          <t>STDEV_LADDER</t>
        </is>
      </c>
      <c r="E19" s="35">
        <f>IF(G27="",E26,IF(G27&gt;0,E26+G27,E26))</f>
        <v/>
      </c>
      <c r="F19" s="35">
        <f>IFERROR(VLOOKUP($A27&amp;"="&amp;$B27,Results_Deltas!$A$2:$P$15000,5,FALSE),"")</f>
        <v/>
      </c>
      <c r="G19" s="35">
        <f>IFERROR(VLOOKUP($A27,Results_30d_Deltas!$A$2:$H$5000,7,FALSE)-E27,"")</f>
        <v/>
      </c>
      <c r="H19" s="35">
        <f>IFERROR(VLOOKUP($A27,Results_30d_Deltas!$A$2:$H$5000,6,FALSE),"")</f>
        <v/>
      </c>
      <c r="L19" s="35" t="inlineStr">
        <is>
          <t>NO</t>
        </is>
      </c>
    </row>
    <row r="20">
      <c r="A20" s="35" t="inlineStr">
        <is>
          <t>BAND_SLOPE_SIZING_V2_MAX</t>
        </is>
      </c>
      <c r="B20" s="35" t="n">
        <v>1</v>
      </c>
      <c r="D20" s="35" t="inlineStr">
        <is>
          <t>STDEV_LADDER</t>
        </is>
      </c>
      <c r="E20" s="35">
        <f>IF(G28="",E27,IF(G28&gt;0,E27+G28,E27))</f>
        <v/>
      </c>
      <c r="F20" s="35">
        <f>IFERROR(VLOOKUP($A28&amp;"="&amp;$B28,Results_Deltas!$A$2:$P$15000,5,FALSE),"")</f>
        <v/>
      </c>
      <c r="G20" s="35">
        <f>IFERROR(VLOOKUP($A28,Results_30d_Deltas!$A$2:$H$5000,7,FALSE)-E28,"")</f>
        <v/>
      </c>
      <c r="H20" s="35">
        <f>IFERROR(VLOOKUP($A28,Results_30d_Deltas!$A$2:$H$5000,6,FALSE),"")</f>
        <v/>
      </c>
      <c r="L20" s="35" t="inlineStr">
        <is>
          <t>NO</t>
        </is>
      </c>
    </row>
    <row r="21" ht="15.75" customHeight="1" s="67">
      <c r="A21" s="35" t="inlineStr">
        <is>
          <t>BAND_SLOPE_SIZING_V2_MIN</t>
        </is>
      </c>
      <c r="B21" s="35" t="n">
        <v>0.25</v>
      </c>
      <c r="D21" s="35" t="inlineStr">
        <is>
          <t>STDEV_LADDER</t>
        </is>
      </c>
      <c r="E21" s="35">
        <f>IF(G29="",E28,IF(G29&gt;0,E28+G29,E28))</f>
        <v/>
      </c>
      <c r="F21" s="35">
        <f>IFERROR(VLOOKUP($A29&amp;"="&amp;$B29,Results_Deltas!$A$2:$P$15000,5,FALSE),"")</f>
        <v/>
      </c>
      <c r="G21" s="35">
        <f>IFERROR(VLOOKUP($A29,Results_30d_Deltas!$A$2:$H$5000,7,FALSE)-E29,"")</f>
        <v/>
      </c>
      <c r="H21" s="35">
        <f>IFERROR(VLOOKUP($A29,Results_30d_Deltas!$A$2:$H$5000,6,FALSE),"")</f>
        <v/>
      </c>
      <c r="L21" s="35" t="inlineStr">
        <is>
          <t>NO</t>
        </is>
      </c>
    </row>
    <row r="22" ht="15.75" customHeight="1" s="67">
      <c r="A22" s="35" t="inlineStr">
        <is>
          <t>STDEV_BAND_MULTIPLIER</t>
        </is>
      </c>
      <c r="B22" s="35" t="n">
        <v>1.5</v>
      </c>
      <c r="D22" s="35" t="inlineStr">
        <is>
          <t>STDEV_LADDER</t>
        </is>
      </c>
      <c r="E22" s="35">
        <f>IF(G30="",E29,IF(G30&gt;0,E29+G30,E29))</f>
        <v/>
      </c>
      <c r="F22" s="35">
        <f>IFERROR(VLOOKUP($A30&amp;"="&amp;$B30,Results_Deltas!$A$2:$P$15000,5,FALSE),"")</f>
        <v/>
      </c>
      <c r="G22" s="35">
        <f>IFERROR(VLOOKUP($A30,Results_30d_Deltas!$A$2:$H$5000,7,FALSE)-E30,"")</f>
        <v/>
      </c>
      <c r="H22" s="35">
        <f>IFERROR(VLOOKUP($A30,Results_30d_Deltas!$A$2:$H$5000,6,FALSE),"")</f>
        <v/>
      </c>
      <c r="L22" s="35" t="inlineStr">
        <is>
          <t>NO</t>
        </is>
      </c>
    </row>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GR_FILTER_VEC_FILTER_TF</t>
        </is>
      </c>
      <c r="B3" s="26" t="inlineStr">
        <is>
          <t>D</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ez_manage.py:6004 top()</t>
        </is>
      </c>
      <c r="IL3" s="26" t="inlineStr">
        <is>
          <t>v12_quick_engine.py:112 x3</t>
        </is>
      </c>
      <c r="IM3" s="26" t="n"/>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ez_manage.py:4586 top()</t>
        </is>
      </c>
      <c r="IL3" s="26" t="inlineStr">
        <is>
          <t>v12_quick_engine.py:567 x9</t>
        </is>
      </c>
      <c r="IM3" s="26" t="n"/>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BREAKEVEN_GAIN_EROSION_ENABLED</t>
        </is>
      </c>
      <c r="B3" s="26" t="inlineStr">
        <is>
          <t>True</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26" t="n"/>
      <c r="IK3" s="26" t="inlineStr">
        <is>
          <t>ez_manage.py:4400 top()</t>
        </is>
      </c>
      <c r="IL3" s="26" t="inlineStr">
        <is>
          <t>v12_quick_engine.py:341 x8</t>
        </is>
      </c>
      <c r="IM3" s="26" t="n"/>
    </row>
    <row r="4" ht="10.5" customHeight="1" s="67">
      <c r="A4" s="26" t="inlineStr">
        <is>
          <t>NOLOSS_BYPASS_WT_5OF5_MIN_TFS</t>
        </is>
      </c>
      <c r="B4" s="26" t="n">
        <v>3</v>
      </c>
      <c r="C4" s="26" t="n"/>
      <c r="D4" s="26" t="n"/>
      <c r="E4" s="26" t="n"/>
      <c r="F4" s="26" t="n"/>
      <c r="G4" s="26">
        <f>IFERROR(VLOOKUP($A47&amp;"_"&amp;$B47,Results_Deltas!$A$2:$P$15000,5,FALSE),"")</f>
        <v/>
      </c>
      <c r="H4" s="26">
        <f>IFERROR(VLOOKUP($A47,Results_30d_Deltas!$A$2:$H$5000,7,FALSE)-E46,"")</f>
        <v/>
      </c>
      <c r="I4" s="26">
        <f>IFERROR(VLOOKUP($A47,Results_30d_Deltas!$A$2:$H$5000,6,FALSE),"")</f>
        <v/>
      </c>
      <c r="J4" s="26" t="n"/>
      <c r="K4" s="26" t="n"/>
      <c r="L4" s="26" t="inlineStr">
        <is>
          <t>YES</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ez_manage.py:5095 top()</t>
        </is>
      </c>
      <c r="IL4" s="26" t="inlineStr">
        <is>
          <t>v12_quick_engine.py:860 x7</t>
        </is>
      </c>
      <c r="IM4" s="26" t="n"/>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ABSOLUTE_OPEN_LOCK_SEC</t>
        </is>
      </c>
      <c r="B5" s="26" t="n"/>
      <c r="C5" s="26" t="n"/>
      <c r="D5" s="26" t="n"/>
      <c r="E5" s="26" t="n"/>
      <c r="F5" s="26" t="n"/>
      <c r="G5" s="26">
        <f>IFERROR(VLOOKUP($A9&amp;"_"&amp;$B9,Results_Deltas!$A$2:$P$15000,5,FALSE),"")</f>
        <v/>
      </c>
      <c r="H5" s="26">
        <f>IFERROR(VLOOKUP($A9,Results_30d_Deltas!$A$2:$H$5000,7,FALSE)-E8,"")</f>
        <v/>
      </c>
      <c r="I5" s="26">
        <f>IFERROR(VLOOKUP($A9,Results_30d_Deltas!$A$2:$H$5000,6,FALSE),"")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config only</t>
        </is>
      </c>
      <c r="IL5" s="26" t="inlineStr">
        <is>
          <t>not declared</t>
        </is>
      </c>
      <c r="IM5" s="26" t="n"/>
    </row>
    <row r="6" ht="10.5" customHeight="1" s="67">
      <c r="A6" s="26" t="inlineStr">
        <is>
          <t>BALANCE_FLOOR_USD</t>
        </is>
      </c>
      <c r="B6" s="26" t="n"/>
      <c r="C6" s="26" t="n"/>
      <c r="D6" s="26" t="n"/>
      <c r="E6" s="26" t="n"/>
      <c r="F6" s="26" t="n"/>
      <c r="G6" s="26">
        <f>IFERROR(VLOOKUP($A10&amp;"_"&amp;$B10,Results_Deltas!$A$2:$P$15000,5,FALSE),"")</f>
        <v/>
      </c>
      <c r="H6" s="26">
        <f>IFERROR(VLOOKUP($A10,Results_30d_Deltas!$A$2:$H$5000,7,FALSE)-E9,"")</f>
        <v/>
      </c>
      <c r="I6" s="26">
        <f>IFERROR(VLOOKUP($A10,Results_30d_Deltas!$A$2:$H$5000,6,FALSE),"")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config only</t>
        </is>
      </c>
      <c r="IL6" s="26" t="inlineStr">
        <is>
          <t>not declared</t>
        </is>
      </c>
      <c r="IM6" s="26" t="n"/>
    </row>
    <row r="7" ht="10.5" customHeight="1" s="67">
      <c r="A7" s="26" t="inlineStr">
        <is>
          <t>CIRCUIT_BREAKER_THRESHOLD_PCT</t>
        </is>
      </c>
      <c r="B7" s="26" t="n"/>
      <c r="C7" s="26" t="n"/>
      <c r="D7" s="26" t="n"/>
      <c r="E7" s="26" t="n"/>
      <c r="F7" s="26" t="n"/>
      <c r="G7" s="26">
        <f>IFERROR(VLOOKUP($A12&amp;"_"&amp;$B12,Results_Deltas!$A$2:$P$15000,5,FALSE),"")</f>
        <v/>
      </c>
      <c r="H7" s="26">
        <f>IFERROR(VLOOKUP($A12,Results_30d_Deltas!$A$2:$H$5000,7,FALSE)-E11,"")</f>
        <v/>
      </c>
      <c r="I7" s="26">
        <f>IFERROR(VLOOKUP($A12,Results_30d_Deltas!$A$2:$H$5000,6,FALSE),"")</f>
        <v/>
      </c>
      <c r="J7" s="26" t="n"/>
      <c r="K7" s="26" t="n"/>
      <c r="L7" s="26" t="inlineStr">
        <is>
          <t>YES</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config only</t>
        </is>
      </c>
      <c r="IL7" s="26" t="inlineStr">
        <is>
          <t>not declared</t>
        </is>
      </c>
      <c r="IM7" s="26" t="n"/>
    </row>
    <row r="8" ht="10.5" customHeight="1" s="67">
      <c r="A8" s="26" t="inlineStr">
        <is>
          <t>COUNTER_TREND_SMA200_BYPASS_ENABLED</t>
        </is>
      </c>
      <c r="B8" s="26" t="inlineStr">
        <is>
          <t>False</t>
        </is>
      </c>
      <c r="C8" s="26" t="n"/>
      <c r="D8" s="26" t="n"/>
      <c r="E8" s="26" t="n"/>
      <c r="F8" s="26" t="n"/>
      <c r="G8" s="26">
        <f>IFERROR(VLOOKUP($A13&amp;"_"&amp;$B13,Results_Deltas!$A$2:$P$15000,5,FALSE),"")</f>
        <v/>
      </c>
      <c r="H8" s="26">
        <f>IFERROR(VLOOKUP($A13,Results_30d_Deltas!$A$2:$H$5000,7,FALSE)-E12,"")</f>
        <v/>
      </c>
      <c r="I8" s="26">
        <f>IFERROR(VLOOKUP($A13,Results_30d_Deltas!$A$2:$H$5000,6,FALSE),"")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4" t="n"/>
      <c r="HE8" s="34" t="n"/>
      <c r="HF8" s="34" t="n"/>
      <c r="HG8" s="34" t="n"/>
      <c r="HH8" s="34"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ez_manage.py:3056 top()</t>
        </is>
      </c>
      <c r="IL8" s="26" t="inlineStr">
        <is>
          <t>v12_quick_engine.py:1470 x6</t>
        </is>
      </c>
      <c r="IM8" s="26" t="n"/>
    </row>
    <row r="9" ht="10.5" customHeight="1" s="67">
      <c r="A9" s="26" t="inlineStr">
        <is>
          <t>HARD_AUGMENT_LOCK_SEC</t>
        </is>
      </c>
      <c r="B9" s="26" t="n"/>
      <c r="C9" s="26" t="n"/>
      <c r="D9" s="26" t="n"/>
      <c r="E9" s="26" t="n"/>
      <c r="F9" s="26" t="n"/>
      <c r="G9" s="26">
        <f>IFERROR(VLOOKUP($A20&amp;"_"&amp;$B20,Results_Deltas!$A$2:$P$15000,5,FALSE),"")</f>
        <v/>
      </c>
      <c r="H9" s="26">
        <f>IFERROR(VLOOKUP($A20,Results_30d_Deltas!$A$2:$H$5000,7,FALSE)-E19,"")</f>
        <v/>
      </c>
      <c r="I9" s="26">
        <f>IFERROR(VLOOKUP($A20,Results_30d_Deltas!$A$2:$H$5000,6,FALSE),"")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config only</t>
        </is>
      </c>
      <c r="IL9" s="26" t="inlineStr">
        <is>
          <t>not declared</t>
        </is>
      </c>
      <c r="IM9" s="26" t="n"/>
    </row>
    <row r="10" ht="10.5" customHeight="1" s="67">
      <c r="A10" s="26" t="inlineStr">
        <is>
          <t>HARD_REDUCE_LOCK_SEC</t>
        </is>
      </c>
      <c r="B10" s="26" t="n"/>
      <c r="C10" s="26" t="n"/>
      <c r="D10" s="26" t="n"/>
      <c r="E10" s="26" t="n"/>
      <c r="F10" s="26" t="n"/>
      <c r="G10" s="26">
        <f>IFERROR(VLOOKUP($A21&amp;"_"&amp;$B21,Results_Deltas!$A$2:$P$15000,5,FALSE),"")</f>
        <v/>
      </c>
      <c r="H10" s="26">
        <f>IFERROR(VLOOKUP($A21,Results_30d_Deltas!$A$2:$H$5000,7,FALSE)-E20,"")</f>
        <v/>
      </c>
      <c r="I10" s="26">
        <f>IFERROR(VLOOKUP($A21,Results_30d_Deltas!$A$2:$H$5000,6,FALSE),"")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config only</t>
        </is>
      </c>
      <c r="IL10" s="26" t="inlineStr">
        <is>
          <t>not declared</t>
        </is>
      </c>
      <c r="IM10" s="26" t="n"/>
    </row>
    <row r="11" ht="10.5" customHeight="1" s="67">
      <c r="A11" s="26" t="inlineStr">
        <is>
          <t>STALE_HOLD_ENABLED</t>
        </is>
      </c>
      <c r="B11" s="26" t="n"/>
      <c r="C11" s="26" t="n"/>
      <c r="D11" s="26" t="n"/>
      <c r="E11" s="26" t="n"/>
      <c r="F11" s="26" t="n"/>
      <c r="G11" s="26">
        <f>IFERROR(VLOOKUP($A34&amp;"_"&amp;$B34,Results_Deltas!$A$2:$P$15000,5,FALSE),"")</f>
        <v/>
      </c>
      <c r="H11" s="26">
        <f>IFERROR(VLOOKUP($A34,Results_30d_Deltas!$A$2:$H$5000,7,FALSE)-E33,"")</f>
        <v/>
      </c>
      <c r="I11" s="26">
        <f>IFERROR(VLOOKUP($A34,Results_30d_Deltas!$A$2:$H$5000,6,FALSE),"")</f>
        <v/>
      </c>
      <c r="J11" s="26" t="n"/>
      <c r="K11" s="26" t="n"/>
      <c r="L11" s="26"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config only</t>
        </is>
      </c>
      <c r="IL11" s="26" t="inlineStr">
        <is>
          <t>not declared</t>
        </is>
      </c>
      <c r="IM11" s="26" t="n"/>
    </row>
    <row r="12" ht="10.5" customHeight="1" s="67">
      <c r="A12" s="26" t="inlineStr">
        <is>
          <t>UNIVERSAL_NOLOSS_BYPASS_REASONS</t>
        </is>
      </c>
      <c r="B12" s="26" t="n"/>
      <c r="C12" s="26" t="n"/>
      <c r="D12" s="26" t="n"/>
      <c r="E12" s="26" t="n"/>
      <c r="F12" s="26" t="n"/>
      <c r="G12" s="26">
        <f>IFERROR(VLOOKUP($A40&amp;"_"&amp;$B40,Results_Deltas!$A$2:$P$15000,5,FALSE),"")</f>
        <v/>
      </c>
      <c r="H12" s="26">
        <f>IFERROR(VLOOKUP($A40,Results_30d_Deltas!$A$2:$H$5000,7,FALSE)-E39,"")</f>
        <v/>
      </c>
      <c r="I12" s="26">
        <f>IFERROR(VLOOKUP($A40,Results_30d_Deltas!$A$2:$H$5000,6,FALSE),"")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7" t="inlineStr">
        <is>
          <t>UNIVERSAL_NOLOSS_GATE</t>
        </is>
      </c>
      <c r="B13" s="27" t="inlineStr">
        <is>
          <t>False</t>
        </is>
      </c>
      <c r="C13" s="26" t="n"/>
      <c r="D13" s="26" t="n"/>
      <c r="E13" s="26" t="n"/>
      <c r="F13" s="26" t="n"/>
      <c r="G13" s="26">
        <f>IFERROR(VLOOKUP($A213&amp;"_"&amp;$B213,Results_Deltas!$A$2:$P$15000,5,FALSE),"")</f>
        <v/>
      </c>
      <c r="H13" s="26">
        <f>IFERROR(VLOOKUP($A214,Results_30d_Deltas!$A$2:$H$5000,7,FALSE)-E3,"")</f>
        <v/>
      </c>
      <c r="I13" s="26">
        <f>IFERROR(VLOOKUP($A214,Results_30d_Deltas!$A$2:$H$5000,6,FALSE),"")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6" t="n"/>
      <c r="HE13" s="36" t="n"/>
      <c r="HF13" s="36" t="n"/>
      <c r="HG13" s="36" t="n"/>
      <c r="HH13" s="36"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ez_manage.py:4233 top()</t>
        </is>
      </c>
      <c r="IL13" s="26" t="inlineStr">
        <is>
          <t>v12_quick_engine.py:837 x18</t>
        </is>
      </c>
      <c r="IM13" s="26" t="n"/>
    </row>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2026-09-19T02:35:47Z</dcterms:created>
  <dcterms:modified xsi:type="dcterms:W3CDTF">2026-09-19T02:36:27Z</dcterms:modified>
</cp:coreProperties>
</file>