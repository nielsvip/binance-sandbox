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font>
  </fonts>
  <fills count="17">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FFFF00"/>
        <bgColor rgb="00FFFF00"/>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0" fillId="8" borderId="0" pivotButton="0" quotePrefix="0" xfId="0"/>
    <xf numFmtId="0" fontId="0" fillId="6" borderId="0" pivotButton="0" quotePrefix="0" xfId="0"/>
    <xf numFmtId="0" fontId="0" fillId="14" borderId="0" applyAlignment="1" pivotButton="0" quotePrefix="0" xfId="0">
      <alignment vertical="bottom"/>
    </xf>
    <xf numFmtId="0" fontId="0" fillId="14" borderId="0" pivotButton="0" quotePrefix="0" xfId="0"/>
    <xf numFmtId="0" fontId="0" fillId="8" borderId="0" applyAlignment="1" pivotButton="0" quotePrefix="0" xfId="0">
      <alignment vertical="bottom"/>
    </xf>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20" fillId="0"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24" fillId="0" borderId="0" pivotButton="0" quotePrefix="0" xfId="0"/>
    <xf numFmtId="0" fontId="0" fillId="16" borderId="0" pivotButton="0" quotePrefix="0" xfId="0"/>
    <xf numFmtId="0" fontId="24"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 DELTA</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5.75" customHeight="1" s="67">
      <c r="A6" s="0" t="inlineStr">
        <is>
          <t>HTF_BULL_ENTRY_FILTER_TF</t>
        </is>
      </c>
      <c r="B6" s="0" t="inlineStr">
        <is>
          <t>OFF</t>
        </is>
      </c>
      <c r="C6" s="0" t="inlineStr">
        <is>
          <t>D</t>
        </is>
      </c>
    </row>
    <row r="7" ht="10.5" customHeight="1" s="67">
      <c r="A7" s="0" t="inlineStr">
        <is>
          <t>HTF_BULL_ENTRY_FILTER_TF</t>
        </is>
      </c>
      <c r="B7" s="0" t="inlineStr">
        <is>
          <t>OFF</t>
        </is>
      </c>
      <c r="C7" s="0" t="inlineStr">
        <is>
          <t>4h</t>
        </is>
      </c>
    </row>
    <row r="8" ht="10.5" customHeight="1" s="67">
      <c r="A8" s="0" t="inlineStr">
        <is>
          <t>HTF_BULL_ENTRY_FILTER_ENABLED</t>
        </is>
      </c>
      <c r="B8" s="0" t="b">
        <v>1</v>
      </c>
      <c r="C8" s="0" t="inlineStr">
        <is>
          <t>False</t>
        </is>
      </c>
    </row>
    <row r="9" ht="10.5" customHeight="1" s="67">
      <c r="A9" s="0" t="inlineStr">
        <is>
          <t>HTF_BULL_ENTRY_FILTER_TF</t>
        </is>
      </c>
      <c r="B9" s="0" t="inlineStr">
        <is>
          <t>15m</t>
        </is>
      </c>
      <c r="C9" s="0" t="inlineStr">
        <is>
          <t>OFF</t>
        </is>
      </c>
    </row>
    <row r="10" ht="10.5" customHeight="1" s="67">
      <c r="A10" s="77" t="inlineStr">
        <is>
          <t>BB_SQUEEZE_ENTRY_ENABLED</t>
        </is>
      </c>
      <c r="B10" s="77" t="inlineStr">
        <is>
          <t>True</t>
        </is>
      </c>
      <c r="E10" s="0">
        <f>IF(G5="",E4,IF(G5&gt;0,E4+G5,E4))</f>
        <v/>
      </c>
      <c r="G10" s="0">
        <f>IFERROR(VLOOKUP($A5&amp;"_"&amp;$B5,Results_Deltas!$A$2:$P$15000,5,FALSE),"")</f>
        <v/>
      </c>
      <c r="H10" s="0">
        <f>IFERROR(VLOOKUP($A5,Results_30d_Deltas!$A$2:$H$5000,7,FALSE)-E4,"")</f>
        <v/>
      </c>
      <c r="I10" s="0">
        <f>IFERROR(VLOOKUP($A5,Results_30d_Deltas!$A$2:$H$5000,6,FALSE),"")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70" t="n"/>
      <c r="FK10" s="70" t="n"/>
      <c r="FL10" s="70" t="n"/>
      <c r="FM10" s="70" t="n"/>
      <c r="FN10" s="70"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69" t="n"/>
      <c r="HE10" s="69" t="n"/>
      <c r="HF10" s="69" t="n"/>
      <c r="HG10" s="69" t="n"/>
      <c r="HH10" s="69" t="n"/>
      <c r="HI10" s="69" t="n"/>
      <c r="HJ10" s="69" t="n"/>
      <c r="HK10" s="69" t="n"/>
      <c r="HL10" s="69" t="n"/>
      <c r="HM10" s="69" t="n"/>
      <c r="HN10" s="69" t="n"/>
      <c r="HO10" s="69" t="n"/>
      <c r="HP10" s="69" t="n"/>
      <c r="HQ10" s="69" t="n"/>
      <c r="HR10" s="69" t="n"/>
      <c r="HS10" s="69" t="n"/>
      <c r="HT10" s="69" t="n"/>
      <c r="HU10" s="69" t="n"/>
      <c r="HV10" s="69" t="n"/>
      <c r="HW10" s="69" t="n"/>
      <c r="HX10" s="69" t="n"/>
      <c r="HY10" s="70" t="n"/>
      <c r="HZ10" s="70" t="n"/>
      <c r="IA10" s="70" t="n"/>
      <c r="IB10" s="70" t="n"/>
      <c r="IC10" s="70" t="n"/>
      <c r="ID10" s="70" t="n"/>
      <c r="IE10" s="70" t="n"/>
      <c r="IF10" s="70" t="n"/>
      <c r="IG10" s="70" t="n"/>
      <c r="IH10" s="70" t="n"/>
      <c r="II10" s="70" t="n"/>
      <c r="IJ10" s="70" t="n"/>
      <c r="IL10" s="0" t="inlineStr">
        <is>
          <t>ez_manage.py:4371 top()</t>
        </is>
      </c>
      <c r="IM10" s="0" t="inlineStr">
        <is>
          <t>v12_quick_engine.py:889 x9</t>
        </is>
      </c>
    </row>
    <row r="11" ht="10.5" customHeight="1" s="67">
      <c r="A11" s="30" t="inlineStr">
        <is>
          <t>BB_SQUEEZE_ENTRY_ENABLED</t>
        </is>
      </c>
      <c r="B11" s="30" t="inlineStr">
        <is>
          <t>False</t>
        </is>
      </c>
      <c r="C11" s="30" t="n"/>
      <c r="D11" s="30" t="n"/>
      <c r="E11" s="30">
        <f>IF(G6="",E200,IF(G6&gt;0,E200+G6,E200))</f>
        <v/>
      </c>
      <c r="F11" s="30" t="n"/>
      <c r="G11" s="30">
        <f>IFERROR(VLOOKUP($A6&amp;"_"&amp;$B6,Results_Deltas!$A$2:$P$15000,5,FALSE),"")</f>
        <v/>
      </c>
      <c r="H11" s="30">
        <f>IFERROR(VLOOKUP(#REF!,Results_30d_Deltas!$A$2:$H$5000,7,FALSE)-E4,"")</f>
        <v/>
      </c>
      <c r="I11" s="30">
        <f>IFERROR(VLOOKUP(#REF!,Results_30d_Deltas!$A$2:$H$5000,6,FALSE),"")</f>
        <v/>
      </c>
      <c r="J11" s="30" t="n"/>
      <c r="K11" s="30" t="n"/>
      <c r="L11" s="30"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5" t="n"/>
      <c r="FK11" s="35" t="n"/>
      <c r="FL11" s="35" t="n"/>
      <c r="FM11" s="35" t="n"/>
      <c r="FN11" s="35"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5" t="n"/>
      <c r="HZ11" s="35" t="n"/>
      <c r="IA11" s="35" t="n"/>
      <c r="IB11" s="35" t="n"/>
      <c r="IC11" s="35" t="n"/>
      <c r="ID11" s="35" t="n"/>
      <c r="IE11" s="35" t="n"/>
      <c r="IF11" s="35" t="n"/>
      <c r="IG11" s="35" t="n"/>
      <c r="IH11" s="35" t="n"/>
      <c r="II11" s="35" t="n"/>
      <c r="IJ11" s="35" t="n"/>
      <c r="IK11" s="30" t="n"/>
      <c r="IL11" s="30" t="inlineStr">
        <is>
          <t>ez_manage.py:4371 top()</t>
        </is>
      </c>
      <c r="IM11" s="30" t="inlineStr">
        <is>
          <t>v12_quick_engine.py:889 x9</t>
        </is>
      </c>
      <c r="IN11" s="30" t="n"/>
    </row>
    <row r="12" ht="10.5" customHeight="1" s="67">
      <c r="A12" s="77" t="inlineStr">
        <is>
          <t>WT_15M_BOUNCE_OPEN_ENABLED</t>
        </is>
      </c>
      <c r="B12" s="77" t="inlineStr">
        <is>
          <t>False</t>
        </is>
      </c>
      <c r="E12" s="0">
        <f>TEMPLATE_BASELINE_METRICS!B2</f>
        <v/>
      </c>
      <c r="G12" s="0">
        <f>IFERROR(VLOOKUP($A3&amp;"="&amp;$B3,Results_Deltas!$A$2:$P$15000,5,FALSE),"")</f>
        <v/>
      </c>
      <c r="H12" s="0">
        <f>IFERROR(VLOOKUP($A3,Results_30d_Deltas!$A$2:$H$5000,7,FALSE)-E3,"")</f>
        <v/>
      </c>
      <c r="I12" s="0">
        <f>IFERROR(VLOOKUP($A3,Results_30d_Deltas!$A$2:$H$5000,6,FALSE),"")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70" t="n"/>
      <c r="DZ12" s="70" t="n"/>
      <c r="EA12" s="70" t="n"/>
      <c r="EB12" s="70" t="n"/>
      <c r="EC12" s="70"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70" t="n"/>
      <c r="HK12" s="70" t="n"/>
      <c r="HL12" s="70" t="n"/>
      <c r="HM12" s="70" t="n"/>
      <c r="HN12" s="70" t="n"/>
      <c r="HO12" s="69" t="n"/>
      <c r="HP12" s="69" t="n"/>
      <c r="HQ12" s="69" t="n"/>
      <c r="HR12" s="69" t="n"/>
      <c r="HS12" s="69" t="n"/>
      <c r="HT12" s="69" t="n"/>
      <c r="HU12" s="69" t="n"/>
      <c r="HV12" s="69" t="n"/>
      <c r="HW12" s="69" t="n"/>
      <c r="HX12" s="69" t="n"/>
      <c r="HY12" s="70" t="n"/>
      <c r="HZ12" s="70" t="n"/>
      <c r="IA12" s="70" t="n"/>
      <c r="IB12" s="70" t="n"/>
      <c r="IC12" s="70" t="n"/>
      <c r="ID12" s="70" t="n"/>
      <c r="IE12" s="70" t="n"/>
      <c r="IF12" s="70" t="n"/>
      <c r="IG12" s="70" t="n"/>
      <c r="IH12" s="70" t="n"/>
      <c r="II12" s="70" t="n"/>
      <c r="IJ12" s="70" t="n"/>
      <c r="IL12" s="0" t="inlineStr">
        <is>
          <t>ez_manage.py:6076 top()</t>
        </is>
      </c>
      <c r="IM12" s="0" t="inlineStr">
        <is>
          <t>v12_quick_engine.py:4288 x7</t>
        </is>
      </c>
    </row>
    <row r="13" ht="10.5" customHeight="1" s="67">
      <c r="A13" s="30" t="inlineStr">
        <is>
          <t>WT_15M_BOUNCE_OPEN_ENABLED</t>
        </is>
      </c>
      <c r="B13" s="30" t="inlineStr">
        <is>
          <t>True</t>
        </is>
      </c>
      <c r="C13" s="30" t="n"/>
      <c r="D13" s="30" t="n"/>
      <c r="E13" s="30">
        <f>IF(G4="",E3,IF(G4&gt;0,E3+G4,E3))</f>
        <v/>
      </c>
      <c r="F13" s="30" t="n"/>
      <c r="G13" s="30">
        <f>IFERROR(VLOOKUP($A4&amp;"_"&amp;$B4,Results_Deltas!$A$2:$P$15000,5,FALSE),"")</f>
        <v/>
      </c>
      <c r="H13" s="30">
        <f>IFERROR(VLOOKUP($A4,Results_30d_Deltas!$A$2:$H$5000,7,FALSE)-E3,"")</f>
        <v/>
      </c>
      <c r="I13" s="30">
        <f>IFERROR(VLOOKUP($A4,Results_30d_Deltas!$A$2:$H$5000,6,FALSE),"")</f>
        <v/>
      </c>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4" t="n"/>
      <c r="DZ13" s="34" t="n"/>
      <c r="EA13" s="34" t="n"/>
      <c r="EB13" s="34" t="n"/>
      <c r="EC13" s="34"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4" t="n"/>
      <c r="HK13" s="34" t="n"/>
      <c r="HL13" s="34" t="n"/>
      <c r="HM13" s="34" t="n"/>
      <c r="HN13" s="34"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ez_manage.py:6076 top()</t>
        </is>
      </c>
      <c r="IM13" s="30" t="inlineStr">
        <is>
          <t>v12_quick_engine.py:4288 x7</t>
        </is>
      </c>
      <c r="IN13" s="30" t="n"/>
    </row>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row>
    <row r="3">
      <c r="A3" s="78" t="inlineStr">
        <is>
          <t>STDEV_BULL_SLOPE_BOOST_MULT</t>
        </is>
      </c>
      <c r="B3" s="78" t="inlineStr">
        <is>
          <t>1.0</t>
        </is>
      </c>
      <c r="C3" s="0" t="inlineStr">
        <is>
          <t>1.0</t>
        </is>
      </c>
    </row>
    <row r="4">
      <c r="A4" s="0" t="inlineStr">
        <is>
          <t>STDEV_BULL_SLOPE_BOOST_MULT</t>
        </is>
      </c>
      <c r="B4" s="0" t="inlineStr">
        <is>
          <t>1.0</t>
        </is>
      </c>
      <c r="C4" s="0" t="inlineStr">
        <is>
          <t>1.5</t>
        </is>
      </c>
    </row>
    <row r="5">
      <c r="A5" s="0" t="inlineStr">
        <is>
          <t>STDEV_BULL_SLOPE_BOOST_MULT</t>
        </is>
      </c>
      <c r="B5" s="0" t="inlineStr">
        <is>
          <t>1.0</t>
        </is>
      </c>
      <c r="C5" s="0" t="inlineStr">
        <is>
          <t>2.0</t>
        </is>
      </c>
    </row>
    <row r="6">
      <c r="A6" s="0" t="inlineStr">
        <is>
          <t>STDEV_BULL_SLOPE_BOOST_MULT</t>
        </is>
      </c>
      <c r="B6" s="0" t="inlineStr">
        <is>
          <t>0.5</t>
        </is>
      </c>
      <c r="C6" s="0" t="inlineStr">
        <is>
          <t>1.0</t>
        </is>
      </c>
    </row>
    <row r="7">
      <c r="A7" s="78" t="inlineStr">
        <is>
          <t>STDEV_BULL_SLOPE_BOOST_ENABLED</t>
        </is>
      </c>
      <c r="B7" s="78" t="inlineStr">
        <is>
          <t>False</t>
        </is>
      </c>
      <c r="C7" s="0" t="inlineStr">
        <is>
          <t>False</t>
        </is>
      </c>
    </row>
    <row r="8">
      <c r="A8" s="0" t="inlineStr">
        <is>
          <t>STDEV_BULL_SLOPE_BOOST_ENABLED</t>
        </is>
      </c>
      <c r="B8" s="0" t="inlineStr">
        <is>
          <t>False</t>
        </is>
      </c>
      <c r="C8" s="0" t="inlineStr">
        <is>
          <t>True</t>
        </is>
      </c>
    </row>
    <row r="9">
      <c r="A9" s="0" t="inlineStr">
        <is>
          <t>STDEV_BULL_SLOPE_BOOST_ENABLED</t>
        </is>
      </c>
      <c r="B9" s="0" t="b">
        <v>1</v>
      </c>
      <c r="C9" s="0" t="inlineStr">
        <is>
          <t>False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0.5" customHeight="1" s="67">
      <c r="A6" s="0" t="inlineStr">
        <is>
          <t>HTF_BULL_ENTRY_FILTER_TF</t>
        </is>
      </c>
      <c r="B6" s="0" t="inlineStr">
        <is>
          <t>OFF</t>
        </is>
      </c>
      <c r="C6" s="0" t="inlineStr">
        <is>
          <t>D</t>
        </is>
      </c>
    </row>
    <row r="7" ht="10.5" customHeight="1" s="67">
      <c r="A7" s="0" t="inlineStr">
        <is>
          <t>HTF_BULL_ENTRY_FILTER_ENABLED</t>
        </is>
      </c>
      <c r="B7" s="0" t="b">
        <v>1</v>
      </c>
      <c r="C7" s="0" t="inlineStr">
        <is>
          <t>False</t>
        </is>
      </c>
    </row>
    <row r="8" ht="10.5" customHeight="1" s="67">
      <c r="A8" s="0" t="inlineStr">
        <is>
          <t>HTF_BULL_ENTRY_FILTER_TF</t>
        </is>
      </c>
      <c r="B8" s="0" t="inlineStr">
        <is>
          <t>15m</t>
        </is>
      </c>
      <c r="C8" s="0" t="inlineStr">
        <is>
          <t>OFF</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04 EXIT_STRUCTURAL - 2 bases -&gt; 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DC_BREAK_WAIT_WT15_CLOSE_ENABLED</t>
        </is>
      </c>
      <c r="B3" s="78" t="inlineStr">
        <is>
          <t>False</t>
        </is>
      </c>
      <c r="D3" s="0" t="inlineStr">
        <is>
          <t>DC_WAIT</t>
        </is>
      </c>
      <c r="E3" s="0">
        <f>IF(G184="",E183,IF(G184&gt;0,E183+G184,E183))</f>
        <v/>
      </c>
      <c r="F3" s="0">
        <f>IFERROR(VLOOKUP($A184&amp;"_"&amp;$B184,Results_Deltas!$A$2:$P$15000,5,FALSE),"")</f>
        <v/>
      </c>
      <c r="G3" s="0">
        <f>IFERROR(VLOOKUP($A184&amp;"_"&amp;$B184,Results_Deltas!$A$2:$P$15000,5,FALSE),"")</f>
        <v/>
      </c>
    </row>
    <row r="4" ht="10.5" customHeight="1" s="67">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05 EXIT_VELOCITY - 26 bases -&gt; 80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0</t>
        </is>
      </c>
      <c r="C5" s="0" t="inlineStr">
        <is>
          <t>48</t>
        </is>
      </c>
    </row>
    <row r="6" ht="10.5" customHeight="1" s="67">
      <c r="A6" s="0" t="inlineStr">
        <is>
          <t>BULL_HOLD_EXIT_DELAY_BARS</t>
        </is>
      </c>
      <c r="B6" s="0" t="inlineStr">
        <is>
          <t>0</t>
        </is>
      </c>
      <c r="C6" s="0" t="inlineStr">
        <is>
          <t>24</t>
        </is>
      </c>
    </row>
    <row r="7" ht="10.5" customHeight="1" s="67">
      <c r="A7" s="0" t="inlineStr">
        <is>
          <t>BULL_HOLD_EXIT_DELAY_BARS</t>
        </is>
      </c>
      <c r="B7" s="0" t="inlineStr">
        <is>
          <t>0</t>
        </is>
      </c>
      <c r="C7" s="0" t="inlineStr">
        <is>
          <t>48</t>
        </is>
      </c>
    </row>
    <row r="8" ht="10.5" customHeight="1" s="67">
      <c r="A8" s="0" t="inlineStr">
        <is>
          <t>BULL_HOLD_EXIT_DELAY_BARS</t>
        </is>
      </c>
      <c r="B8" s="0" t="inlineStr">
        <is>
          <t>1</t>
        </is>
      </c>
      <c r="C8" s="0" t="inlineStr">
        <is>
          <t>0</t>
        </is>
      </c>
    </row>
    <row r="9" ht="10.5" customHeight="1" s="67">
      <c r="A9" s="78" t="inlineStr">
        <is>
          <t>WT_DIVERGENCE_VV_SHORT_EXIT_ENABLED</t>
        </is>
      </c>
      <c r="B9" s="78" t="inlineStr">
        <is>
          <t>False</t>
        </is>
      </c>
      <c r="D9" s="0" t="inlineStr">
        <is>
          <t>WT_WAIT</t>
        </is>
      </c>
      <c r="E9" s="0">
        <f>IF(G260="",E259,IF(G260&gt;0,E259+G260,E259))</f>
        <v/>
      </c>
      <c r="F9" s="0">
        <f>IFERROR(VLOOKUP($A260&amp;"_"&amp;$B260,Results_Deltas!$A$2:$P$15000,5,FALSE),"")</f>
        <v/>
      </c>
      <c r="G9" s="0">
        <f>IFERROR(VLOOKUP($A260&amp;"_"&amp;$B260,Results_Deltas!$A$2:$P$15000,5,FALSE),"")</f>
        <v/>
      </c>
    </row>
    <row r="10" ht="10.5" customHeight="1" s="67">
      <c r="A10" s="78" t="inlineStr">
        <is>
          <t>EXIT_BLOCKER_REQUIRE_LH_LL_ENABLED</t>
        </is>
      </c>
      <c r="B10" s="78" t="inlineStr">
        <is>
          <t>False</t>
        </is>
      </c>
      <c r="D10" s="0" t="inlineStr">
        <is>
          <t>EXIT_BLOCKER</t>
        </is>
      </c>
      <c r="E10" s="0">
        <f>IF(G261="",E260,IF(G261&gt;0,E260+G261,E260))</f>
        <v/>
      </c>
      <c r="F10" s="0">
        <f>IFERROR(VLOOKUP($A261&amp;"_"&amp;$B261,Results_Deltas!$A$2:$P$15000,5,FALSE),"")</f>
        <v/>
      </c>
      <c r="G10" s="0">
        <f>IFERROR(VLOOKUP($A261&amp;"_"&amp;$B261,Results_Deltas!$A$2:$P$15000,5,FALSE),"")</f>
        <v/>
      </c>
    </row>
    <row r="11" ht="10.5" customHeight="1" s="67">
      <c r="A11" s="0" t="inlineStr">
        <is>
          <t>WT_DIVERGENCE_VV_SHORT_EXIT_ENABLED</t>
        </is>
      </c>
      <c r="B11" s="0" t="b">
        <v>1</v>
      </c>
      <c r="D11" s="0" t="inlineStr">
        <is>
          <t>WT_WAIT</t>
        </is>
      </c>
      <c r="E11" s="0">
        <f>IF(G260="",E259,IF(G260&gt;0,E259+G260,E259))</f>
        <v/>
      </c>
      <c r="F11" s="0">
        <f>IFERROR(VLOOKUP($A260&amp;"_"&amp;$B260,Results_Deltas!$A$2:$P$15000,5,FALSE),"")</f>
        <v/>
      </c>
      <c r="G11" s="0">
        <f>IFERROR(VLOOKUP($A260&amp;"_"&amp;$B260,Results_Deltas!$A$2:$P$15000,5,FALSE),"")</f>
        <v/>
      </c>
    </row>
    <row r="12" ht="10.5" customHeight="1" s="67">
      <c r="A12" s="0" t="inlineStr">
        <is>
          <t>EXIT_BLOCKER_REQUIRE_LH_LL_ENABLED</t>
        </is>
      </c>
      <c r="B12" s="0" t="b">
        <v>1</v>
      </c>
      <c r="D12" s="0" t="inlineStr">
        <is>
          <t>EXIT_BLOCKER</t>
        </is>
      </c>
      <c r="E12" s="0">
        <f>IF(G261="",E260,IF(G261&gt;0,E260+G261,E260))</f>
        <v/>
      </c>
      <c r="F12" s="0">
        <f>IFERROR(VLOOKUP($A261&amp;"_"&amp;$B261,Results_Deltas!$A$2:$P$15000,5,FALSE),"")</f>
        <v/>
      </c>
      <c r="G12" s="0">
        <f>IFERROR(VLOOKUP($A261&amp;"_"&amp;$B261,Results_Deltas!$A$2:$P$15000,5,FALSE),"")</f>
        <v/>
      </c>
    </row>
    <row r="13" ht="10.5" customHeight="1" s="67">
      <c r="A13" s="78" t="inlineStr">
        <is>
          <t>WT_15M_LH_WAIT_EXIT_ENABLED</t>
        </is>
      </c>
      <c r="B13" s="78" t="inlineStr">
        <is>
          <t>False</t>
        </is>
      </c>
      <c r="D13" s="0" t="inlineStr">
        <is>
          <t>WT_WAIT</t>
        </is>
      </c>
      <c r="E13" s="0">
        <f>IF(G259="",E258,IF(G259&gt;0,E258+G259,E258))</f>
        <v/>
      </c>
      <c r="F13" s="0">
        <f>IFERROR(VLOOKUP($A259&amp;"_"&amp;$B259,Results_Deltas!$A$2:$P$15000,5,FALSE),"")</f>
        <v/>
      </c>
      <c r="G13" s="0">
        <f>IFERROR(VLOOKUP($A259&amp;"_"&amp;$B259,Results_Deltas!$A$2:$P$15000,5,FALSE),"")</f>
        <v/>
      </c>
    </row>
    <row r="14" ht="10.5" customHeight="1" s="67">
      <c r="A14" s="0" t="inlineStr">
        <is>
          <t>WT_15M_LH_WAIT_EXIT_ENABLED</t>
        </is>
      </c>
      <c r="B14" s="0" t="b">
        <v>1</v>
      </c>
      <c r="D14" s="0" t="inlineStr">
        <is>
          <t>WT_WAIT</t>
        </is>
      </c>
      <c r="E14" s="0">
        <f>IF(G259="",E258,IF(G259&gt;0,E258+G259,E258))</f>
        <v/>
      </c>
      <c r="F14" s="0">
        <f>IFERROR(VLOOKUP($A259&amp;"_"&amp;$B259,Results_Deltas!$A$2:$P$15000,5,FALSE),"")</f>
        <v/>
      </c>
      <c r="G14" s="0">
        <f>IFERROR(VLOOKUP($A259&amp;"_"&amp;$B259,Results_Deltas!$A$2:$P$15000,5,FALSE),"")</f>
        <v/>
      </c>
    </row>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85"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85"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s="85" t="inlineStr">
        <is>
          <t>HARDCODED_RALLY_REENTRY_REQUIRE_WT</t>
        </is>
      </c>
      <c r="B7" s="83" t="inlineStr">
        <is>
          <t>False</t>
        </is>
      </c>
      <c r="C7" s="0" t="inlineStr">
        <is>
          <t>False</t>
        </is>
      </c>
      <c r="D7" s="0" t="inlineStr">
        <is>
          <t>ALWAYS_TESTED</t>
        </is>
      </c>
    </row>
    <row r="8" ht="10.5" customHeight="1" s="67">
      <c r="A8" s="0" t="inlineStr">
        <is>
          <t>HARDCODED_RALLY_REENTRY_REQUIRE_WT</t>
        </is>
      </c>
      <c r="B8" s="83"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85"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85"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s="85" t="inlineStr">
        <is>
          <t>HARDCODED_RALLY_REENTRY_REQUIRE_WT</t>
        </is>
      </c>
      <c r="B7" s="83" t="inlineStr">
        <is>
          <t>False</t>
        </is>
      </c>
      <c r="C7" s="0" t="inlineStr">
        <is>
          <t>False</t>
        </is>
      </c>
      <c r="D7" s="0" t="inlineStr">
        <is>
          <t>ALWAYS_TESTED</t>
        </is>
      </c>
    </row>
    <row r="8" ht="10.5" customHeight="1" s="67">
      <c r="A8" s="0" t="inlineStr">
        <is>
          <t>HARDCODED_RALLY_REENTRY_REQUIRE_WT</t>
        </is>
      </c>
      <c r="B8" s="83"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AUGMENT_BULL_KILL_ENABLED</t>
        </is>
      </c>
      <c r="B3" s="78" t="inlineStr">
        <is>
          <t>False</t>
        </is>
      </c>
      <c r="C3" s="0" t="inlineStr">
        <is>
          <t>False</t>
        </is>
      </c>
    </row>
    <row r="4" ht="10.5" customHeight="1" s="67">
      <c r="A4" s="0" t="inlineStr">
        <is>
          <t>AUGMENT_BULL_KILL_ENABLED</t>
        </is>
      </c>
      <c r="B4" s="0" t="inlineStr">
        <is>
          <t>False</t>
        </is>
      </c>
      <c r="C4" s="0" t="inlineStr">
        <is>
          <t>True</t>
        </is>
      </c>
    </row>
    <row r="5" ht="10.5" customHeight="1" s="67">
      <c r="A5" s="0" t="inlineStr">
        <is>
          <t>AUGMENT_BULL_KILL_ENABLED</t>
        </is>
      </c>
      <c r="B5" s="0" t="b">
        <v>1</v>
      </c>
      <c r="C5" s="0" t="inlineStr">
        <is>
          <t>False</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MAX_AUGMENTS_PER_POSITION</t>
        </is>
      </c>
      <c r="B3" s="78" t="inlineStr">
        <is>
          <t>0</t>
        </is>
      </c>
      <c r="G3" s="0">
        <f>IFERROR(VLOOKUP($A4&amp;"_"&amp;$B4,Results_Deltas!$A$2:$P$15000,5,FALSE),"")</f>
        <v/>
      </c>
      <c r="H3" s="0">
        <f>IFERROR(VLOOKUP($A4,Results_30d_Deltas!$A$2:$H$5000,7,FALSE)-E3,"")</f>
        <v/>
      </c>
      <c r="I3" s="0">
        <f>IFERROR(VLOOKUP($A4,Results_30d_Deltas!$A$2:$H$5000,6,FALSE),"")</f>
        <v/>
      </c>
      <c r="L3" s="0" t="inlineStr">
        <is>
          <t>NO</t>
        </is>
      </c>
      <c r="M3" s="69" t="n"/>
      <c r="N3" s="69" t="n"/>
      <c r="O3" s="69" t="n"/>
      <c r="P3" s="69" t="n"/>
      <c r="Q3" s="69" t="n"/>
      <c r="R3" s="69" t="n"/>
      <c r="S3" s="69" t="n"/>
      <c r="T3" s="69" t="n"/>
      <c r="U3" s="69" t="n"/>
      <c r="V3" s="69" t="n"/>
      <c r="W3" s="69" t="n"/>
      <c r="X3" s="69" t="n"/>
      <c r="Y3" s="69" t="n"/>
      <c r="Z3" s="69" t="n"/>
      <c r="AA3" s="69" t="n"/>
      <c r="AB3" s="69" t="n"/>
      <c r="AC3" s="69" t="n"/>
      <c r="AD3" s="69" t="n"/>
      <c r="AE3" s="69" t="n"/>
      <c r="AF3" s="69" t="n"/>
      <c r="AG3" s="69" t="n"/>
      <c r="AH3" s="69" t="n"/>
      <c r="AI3" s="69" t="n"/>
      <c r="AJ3" s="69" t="n"/>
      <c r="AK3" s="69" t="n"/>
      <c r="AL3" s="69" t="n"/>
      <c r="AM3" s="69" t="n"/>
      <c r="AN3" s="69" t="n"/>
      <c r="AO3" s="69" t="n"/>
      <c r="AP3" s="69" t="n"/>
      <c r="AQ3" s="69" t="n"/>
      <c r="AR3" s="69" t="n"/>
      <c r="AS3" s="69" t="n"/>
      <c r="AT3" s="69" t="n"/>
      <c r="AU3" s="69" t="n"/>
      <c r="AV3" s="69" t="n"/>
      <c r="AW3" s="69" t="n"/>
      <c r="AX3" s="69" t="n"/>
      <c r="AY3" s="69" t="n"/>
      <c r="AZ3" s="69" t="n"/>
      <c r="BA3" s="69" t="n"/>
      <c r="BB3" s="69" t="n"/>
      <c r="BC3" s="69" t="n"/>
      <c r="BD3" s="69" t="n"/>
      <c r="BE3" s="69" t="n"/>
      <c r="BF3" s="69" t="n"/>
      <c r="BG3" s="69" t="n"/>
      <c r="BH3" s="69" t="n"/>
      <c r="BI3" s="69" t="n"/>
      <c r="BJ3" s="69" t="n"/>
      <c r="BK3" s="69" t="n"/>
      <c r="BL3" s="69" t="n"/>
      <c r="BM3" s="69" t="n"/>
      <c r="BN3" s="69" t="n"/>
      <c r="BO3" s="69" t="n"/>
      <c r="BP3" s="69" t="n"/>
      <c r="BQ3" s="69" t="n"/>
      <c r="BR3" s="69" t="n"/>
      <c r="BS3" s="69" t="n"/>
      <c r="BT3" s="69" t="n"/>
      <c r="BU3" s="69" t="n"/>
      <c r="BV3" s="69" t="n"/>
      <c r="BW3" s="69" t="n"/>
      <c r="BX3" s="69" t="n"/>
      <c r="BY3" s="69" t="n"/>
      <c r="BZ3" s="69" t="n"/>
      <c r="CA3" s="69" t="n"/>
      <c r="CB3" s="69" t="n"/>
      <c r="CC3" s="69" t="n"/>
      <c r="CD3" s="69" t="n"/>
      <c r="CE3" s="69" t="n"/>
      <c r="CF3" s="69" t="n"/>
      <c r="CG3" s="69" t="n"/>
      <c r="CH3" s="69" t="n"/>
      <c r="CI3" s="69" t="n"/>
      <c r="CJ3" s="69" t="n"/>
      <c r="CK3" s="69" t="n"/>
      <c r="CL3" s="69" t="n"/>
      <c r="CM3" s="69" t="n"/>
      <c r="CN3" s="69" t="n"/>
      <c r="CO3" s="69" t="n"/>
      <c r="CP3" s="69" t="n"/>
      <c r="CQ3" s="69" t="n"/>
      <c r="CR3" s="69" t="n"/>
      <c r="CS3" s="69" t="n"/>
      <c r="CT3" s="69" t="n"/>
      <c r="CU3" s="69" t="n"/>
      <c r="CV3" s="69" t="n"/>
      <c r="CW3" s="69" t="n"/>
      <c r="CX3" s="69" t="n"/>
      <c r="CY3" s="69" t="n"/>
      <c r="CZ3" s="69" t="n"/>
      <c r="DA3" s="69" t="n"/>
      <c r="DB3" s="69" t="n"/>
      <c r="DC3" s="69" t="n"/>
      <c r="DD3" s="69" t="n"/>
      <c r="DE3" s="69" t="n"/>
      <c r="DF3" s="69" t="n"/>
      <c r="DG3" s="69" t="n"/>
      <c r="DH3" s="69" t="n"/>
      <c r="DI3" s="69" t="n"/>
      <c r="DJ3" s="69" t="n"/>
      <c r="DK3" s="69" t="n"/>
      <c r="DL3" s="69" t="n"/>
      <c r="DM3" s="69" t="n"/>
      <c r="DN3" s="69" t="n"/>
      <c r="DO3" s="69" t="n"/>
      <c r="DP3" s="69" t="n"/>
      <c r="DQ3" s="69" t="n"/>
      <c r="DR3" s="69" t="n"/>
      <c r="DS3" s="69" t="n"/>
      <c r="DT3" s="69" t="n"/>
      <c r="DU3" s="69" t="n"/>
      <c r="DV3" s="69" t="n"/>
      <c r="DW3" s="69" t="n"/>
      <c r="DX3" s="69" t="n"/>
      <c r="DY3" s="69" t="n"/>
      <c r="DZ3" s="69" t="n"/>
      <c r="EA3" s="69" t="n"/>
      <c r="EB3" s="69" t="n"/>
      <c r="EC3" s="69" t="n"/>
      <c r="ED3" s="69" t="n"/>
      <c r="EE3" s="69" t="n"/>
      <c r="EF3" s="69" t="n"/>
      <c r="EG3" s="69" t="n"/>
      <c r="EH3" s="69" t="n"/>
      <c r="EI3" s="69" t="n"/>
      <c r="EJ3" s="69" t="n"/>
      <c r="EK3" s="69" t="n"/>
      <c r="EL3" s="69" t="n"/>
      <c r="EM3" s="69" t="n"/>
      <c r="EN3" s="69" t="n"/>
      <c r="EO3" s="69" t="n"/>
      <c r="EP3" s="69" t="n"/>
      <c r="EQ3" s="69" t="n"/>
      <c r="ER3" s="69" t="n"/>
      <c r="ES3" s="69" t="n"/>
      <c r="ET3" s="69" t="n"/>
      <c r="EU3" s="69" t="n"/>
      <c r="EV3" s="69" t="n"/>
      <c r="EW3" s="69" t="n"/>
      <c r="EX3" s="69" t="n"/>
      <c r="EY3" s="69" t="n"/>
      <c r="EZ3" s="69" t="n"/>
      <c r="FA3" s="69" t="n"/>
      <c r="FB3" s="69" t="n"/>
      <c r="FC3" s="69" t="n"/>
      <c r="FD3" s="69" t="n"/>
      <c r="FE3" s="69" t="n"/>
      <c r="FF3" s="69" t="n"/>
      <c r="FG3" s="69" t="n"/>
      <c r="FH3" s="69" t="n"/>
      <c r="FI3" s="69" t="n"/>
      <c r="FJ3" s="69" t="n"/>
      <c r="FK3" s="69" t="n"/>
      <c r="FL3" s="69" t="n"/>
      <c r="FM3" s="69" t="n"/>
      <c r="FN3" s="69" t="n"/>
      <c r="FO3" s="69" t="n"/>
      <c r="FP3" s="69" t="n"/>
      <c r="FQ3" s="69" t="n"/>
      <c r="FR3" s="69" t="n"/>
      <c r="FS3" s="69" t="n"/>
      <c r="FT3" s="69" t="n"/>
      <c r="FU3" s="69" t="n"/>
      <c r="FV3" s="69" t="n"/>
      <c r="FW3" s="69" t="n"/>
      <c r="FX3" s="69" t="n"/>
      <c r="FY3" s="69" t="n"/>
      <c r="FZ3" s="69" t="n"/>
      <c r="GA3" s="69" t="n"/>
      <c r="GB3" s="69" t="n"/>
      <c r="GC3" s="69" t="n"/>
      <c r="GD3" s="69" t="n"/>
      <c r="GE3" s="69" t="n"/>
      <c r="GF3" s="69" t="n"/>
      <c r="GG3" s="69" t="n"/>
      <c r="GH3" s="69" t="n"/>
      <c r="GI3" s="69" t="n"/>
      <c r="GJ3" s="69" t="n"/>
      <c r="GK3" s="69" t="n"/>
      <c r="GL3" s="69" t="n"/>
      <c r="GM3" s="69" t="n"/>
      <c r="GN3" s="69" t="n"/>
      <c r="GO3" s="69" t="n"/>
      <c r="GP3" s="69" t="n"/>
      <c r="GQ3" s="69" t="n"/>
      <c r="GR3" s="69" t="n"/>
      <c r="GS3" s="69" t="n"/>
      <c r="GT3" s="69" t="n"/>
      <c r="GU3" s="69" t="n"/>
      <c r="GV3" s="69" t="n"/>
      <c r="GW3" s="69" t="n"/>
      <c r="GX3" s="69" t="n"/>
      <c r="GY3" s="69" t="n"/>
      <c r="GZ3" s="69" t="n"/>
      <c r="HA3" s="69" t="n"/>
      <c r="HB3" s="69" t="n"/>
      <c r="HC3" s="69" t="n"/>
      <c r="HD3" s="69" t="n"/>
      <c r="HE3" s="69" t="n"/>
      <c r="HF3" s="69" t="n"/>
      <c r="HG3" s="69" t="n"/>
      <c r="HH3" s="69" t="n"/>
      <c r="HI3" s="69" t="n"/>
      <c r="HJ3" s="69" t="n"/>
      <c r="HK3" s="69" t="n"/>
      <c r="HL3" s="69" t="n"/>
      <c r="HM3" s="69" t="n"/>
      <c r="HN3" s="69" t="n"/>
      <c r="HO3" s="69" t="n"/>
      <c r="HP3" s="69" t="n"/>
      <c r="HQ3" s="69" t="n"/>
      <c r="HR3" s="69" t="n"/>
      <c r="HS3" s="69" t="n"/>
      <c r="HT3" s="69" t="n"/>
      <c r="HU3" s="69" t="n"/>
      <c r="HV3" s="69" t="n"/>
      <c r="HW3" s="69" t="n"/>
      <c r="HX3" s="69" t="n"/>
      <c r="HY3" s="69" t="n"/>
      <c r="HZ3" s="69" t="n"/>
      <c r="IA3" s="69" t="n"/>
      <c r="IB3" s="69" t="n"/>
      <c r="IC3" s="69" t="n"/>
      <c r="ID3" s="69" t="n"/>
      <c r="IE3" s="69" t="n"/>
      <c r="IF3" s="69" t="n"/>
      <c r="IG3" s="69" t="n"/>
      <c r="IH3" s="69" t="n"/>
      <c r="II3" s="69" t="n"/>
      <c r="IK3" s="0" t="inlineStr">
        <is>
          <t>ez_manage.py:3521 top()</t>
        </is>
      </c>
      <c r="IL3" s="0" t="inlineStr">
        <is>
          <t>v12_quick_engine.py:2267 x7</t>
        </is>
      </c>
    </row>
    <row r="4" ht="10.5" customHeight="1" s="67">
      <c r="A4" s="0" t="inlineStr">
        <is>
          <t>MAX_AUGMENTS_PER_POSITION</t>
        </is>
      </c>
      <c r="B4" s="0" t="inlineStr">
        <is>
          <t>5</t>
        </is>
      </c>
      <c r="G4" s="0">
        <f>IFERROR(VLOOKUP($A5&amp;"_"&amp;$B5,Results_Deltas!$A$2:$P$15000,5,FALSE),"")</f>
        <v/>
      </c>
      <c r="H4" s="0">
        <f>IFERROR(VLOOKUP($A5,Results_30d_Deltas!$A$2:$H$5000,7,FALSE)-E4,"")</f>
        <v/>
      </c>
      <c r="I4" s="0">
        <f>IFERROR(VLOOKUP($A5,Results_30d_Deltas!$A$2:$H$5000,6,FALSE),"")</f>
        <v/>
      </c>
      <c r="L4" s="0" t="inlineStr">
        <is>
          <t>NO</t>
        </is>
      </c>
      <c r="M4" s="69" t="n"/>
      <c r="N4" s="69" t="n"/>
      <c r="O4" s="69" t="n"/>
      <c r="P4" s="69" t="n"/>
      <c r="Q4" s="69" t="n"/>
      <c r="R4" s="69" t="n"/>
      <c r="S4" s="69" t="n"/>
      <c r="T4" s="69" t="n"/>
      <c r="U4" s="69" t="n"/>
      <c r="V4" s="69" t="n"/>
      <c r="W4" s="69" t="n"/>
      <c r="X4" s="69" t="n"/>
      <c r="Y4" s="69" t="n"/>
      <c r="Z4" s="69" t="n"/>
      <c r="AA4" s="69" t="n"/>
      <c r="AB4" s="69" t="n"/>
      <c r="AC4" s="69" t="n"/>
      <c r="AD4" s="69" t="n"/>
      <c r="AE4" s="69" t="n"/>
      <c r="AF4" s="69" t="n"/>
      <c r="AG4" s="69" t="n"/>
      <c r="AH4" s="69" t="n"/>
      <c r="AI4" s="69" t="n"/>
      <c r="AJ4" s="69" t="n"/>
      <c r="AK4" s="69" t="n"/>
      <c r="AL4" s="69" t="n"/>
      <c r="AM4" s="69" t="n"/>
      <c r="AN4" s="69" t="n"/>
      <c r="AO4" s="69" t="n"/>
      <c r="AP4" s="69" t="n"/>
      <c r="AQ4" s="69" t="n"/>
      <c r="AR4" s="69" t="n"/>
      <c r="AS4" s="69" t="n"/>
      <c r="AT4" s="69" t="n"/>
      <c r="AU4" s="69" t="n"/>
      <c r="AV4" s="69" t="n"/>
      <c r="AW4" s="69" t="n"/>
      <c r="AX4" s="69" t="n"/>
      <c r="AY4" s="69" t="n"/>
      <c r="AZ4" s="69" t="n"/>
      <c r="BA4" s="69" t="n"/>
      <c r="BB4" s="69" t="n"/>
      <c r="BC4" s="69" t="n"/>
      <c r="BD4" s="69" t="n"/>
      <c r="BE4" s="69" t="n"/>
      <c r="BF4" s="69" t="n"/>
      <c r="BG4" s="69" t="n"/>
      <c r="BH4" s="69" t="n"/>
      <c r="BI4" s="69" t="n"/>
      <c r="BJ4" s="69" t="n"/>
      <c r="BK4" s="69" t="n"/>
      <c r="BL4" s="69" t="n"/>
      <c r="BM4" s="69" t="n"/>
      <c r="BN4" s="69" t="n"/>
      <c r="BO4" s="69" t="n"/>
      <c r="BP4" s="69" t="n"/>
      <c r="BQ4" s="69" t="n"/>
      <c r="BR4" s="69" t="n"/>
      <c r="BS4" s="69" t="n"/>
      <c r="BT4" s="69" t="n"/>
      <c r="BU4" s="69" t="n"/>
      <c r="BV4" s="69" t="n"/>
      <c r="BW4" s="69" t="n"/>
      <c r="BX4" s="69" t="n"/>
      <c r="BY4" s="69" t="n"/>
      <c r="BZ4" s="69" t="n"/>
      <c r="CA4" s="69" t="n"/>
      <c r="CB4" s="69" t="n"/>
      <c r="CC4" s="69" t="n"/>
      <c r="CD4" s="69" t="n"/>
      <c r="CE4" s="69" t="n"/>
      <c r="CF4" s="69" t="n"/>
      <c r="CG4" s="69" t="n"/>
      <c r="CH4" s="69" t="n"/>
      <c r="CI4" s="69" t="n"/>
      <c r="CJ4" s="69" t="n"/>
      <c r="CK4" s="69" t="n"/>
      <c r="CL4" s="69" t="n"/>
      <c r="CM4" s="69" t="n"/>
      <c r="CN4" s="69" t="n"/>
      <c r="CO4" s="69" t="n"/>
      <c r="CP4" s="69" t="n"/>
      <c r="CQ4" s="69" t="n"/>
      <c r="CR4" s="69" t="n"/>
      <c r="CS4" s="69" t="n"/>
      <c r="CT4" s="69" t="n"/>
      <c r="CU4" s="69" t="n"/>
      <c r="CV4" s="69" t="n"/>
      <c r="CW4" s="69" t="n"/>
      <c r="CX4" s="69" t="n"/>
      <c r="CY4" s="69" t="n"/>
      <c r="CZ4" s="69" t="n"/>
      <c r="DA4" s="69" t="n"/>
      <c r="DB4" s="69" t="n"/>
      <c r="DC4" s="69" t="n"/>
      <c r="DD4" s="69" t="n"/>
      <c r="DE4" s="69" t="n"/>
      <c r="DF4" s="69" t="n"/>
      <c r="DG4" s="69" t="n"/>
      <c r="DH4" s="69" t="n"/>
      <c r="DI4" s="69" t="n"/>
      <c r="DJ4" s="69" t="n"/>
      <c r="DK4" s="69" t="n"/>
      <c r="DL4" s="69" t="n"/>
      <c r="DM4" s="69" t="n"/>
      <c r="DN4" s="69" t="n"/>
      <c r="DO4" s="69" t="n"/>
      <c r="DP4" s="69" t="n"/>
      <c r="DQ4" s="69" t="n"/>
      <c r="DR4" s="69" t="n"/>
      <c r="DS4" s="69" t="n"/>
      <c r="DT4" s="69" t="n"/>
      <c r="DU4" s="69" t="n"/>
      <c r="DV4" s="69" t="n"/>
      <c r="DW4" s="69" t="n"/>
      <c r="DX4" s="69" t="n"/>
      <c r="DY4" s="69" t="n"/>
      <c r="DZ4" s="69" t="n"/>
      <c r="EA4" s="69" t="n"/>
      <c r="EB4" s="69" t="n"/>
      <c r="EC4" s="69" t="n"/>
      <c r="ED4" s="69" t="n"/>
      <c r="EE4" s="69" t="n"/>
      <c r="EF4" s="69" t="n"/>
      <c r="EG4" s="69" t="n"/>
      <c r="EH4" s="69" t="n"/>
      <c r="EI4" s="69" t="n"/>
      <c r="EJ4" s="69" t="n"/>
      <c r="EK4" s="69" t="n"/>
      <c r="EL4" s="69" t="n"/>
      <c r="EM4" s="69" t="n"/>
      <c r="EN4" s="69" t="n"/>
      <c r="EO4" s="69" t="n"/>
      <c r="EP4" s="69" t="n"/>
      <c r="EQ4" s="69" t="n"/>
      <c r="ER4" s="69" t="n"/>
      <c r="ES4" s="69" t="n"/>
      <c r="ET4" s="69" t="n"/>
      <c r="EU4" s="69" t="n"/>
      <c r="EV4" s="69" t="n"/>
      <c r="EW4" s="69" t="n"/>
      <c r="EX4" s="69" t="n"/>
      <c r="EY4" s="69" t="n"/>
      <c r="EZ4" s="69" t="n"/>
      <c r="FA4" s="69" t="n"/>
      <c r="FB4" s="69" t="n"/>
      <c r="FC4" s="69" t="n"/>
      <c r="FD4" s="69" t="n"/>
      <c r="FE4" s="69" t="n"/>
      <c r="FF4" s="69" t="n"/>
      <c r="FG4" s="69" t="n"/>
      <c r="FH4" s="69" t="n"/>
      <c r="FI4" s="69" t="n"/>
      <c r="FJ4" s="69" t="n"/>
      <c r="FK4" s="69" t="n"/>
      <c r="FL4" s="69" t="n"/>
      <c r="FM4" s="69" t="n"/>
      <c r="FN4" s="69" t="n"/>
      <c r="FO4" s="69" t="n"/>
      <c r="FP4" s="69" t="n"/>
      <c r="FQ4" s="69" t="n"/>
      <c r="FR4" s="69" t="n"/>
      <c r="FS4" s="69" t="n"/>
      <c r="FT4" s="69" t="n"/>
      <c r="FU4" s="69" t="n"/>
      <c r="FV4" s="69" t="n"/>
      <c r="FW4" s="69" t="n"/>
      <c r="FX4" s="69" t="n"/>
      <c r="FY4" s="69" t="n"/>
      <c r="FZ4" s="69" t="n"/>
      <c r="GA4" s="69" t="n"/>
      <c r="GB4" s="69" t="n"/>
      <c r="GC4" s="69" t="n"/>
      <c r="GD4" s="69" t="n"/>
      <c r="GE4" s="69" t="n"/>
      <c r="GF4" s="69" t="n"/>
      <c r="GG4" s="69" t="n"/>
      <c r="GH4" s="69" t="n"/>
      <c r="GI4" s="69" t="n"/>
      <c r="GJ4" s="69" t="n"/>
      <c r="GK4" s="69" t="n"/>
      <c r="GL4" s="69" t="n"/>
      <c r="GM4" s="69" t="n"/>
      <c r="GN4" s="69" t="n"/>
      <c r="GO4" s="69" t="n"/>
      <c r="GP4" s="69" t="n"/>
      <c r="GQ4" s="69" t="n"/>
      <c r="GR4" s="69" t="n"/>
      <c r="GS4" s="69" t="n"/>
      <c r="GT4" s="69" t="n"/>
      <c r="GU4" s="69" t="n"/>
      <c r="GV4" s="69" t="n"/>
      <c r="GW4" s="69" t="n"/>
      <c r="GX4" s="69" t="n"/>
      <c r="GY4" s="69" t="n"/>
      <c r="GZ4" s="69" t="n"/>
      <c r="HA4" s="69" t="n"/>
      <c r="HB4" s="69" t="n"/>
      <c r="HC4" s="69" t="n"/>
      <c r="HD4" s="69" t="n"/>
      <c r="HE4" s="69" t="n"/>
      <c r="HF4" s="69" t="n"/>
      <c r="HG4" s="69" t="n"/>
      <c r="HH4" s="69" t="n"/>
      <c r="HI4" s="69" t="n"/>
      <c r="HJ4" s="69" t="n"/>
      <c r="HK4" s="69" t="n"/>
      <c r="HL4" s="69" t="n"/>
      <c r="HM4" s="69" t="n"/>
      <c r="HN4" s="69" t="n"/>
      <c r="HO4" s="69" t="n"/>
      <c r="HP4" s="69" t="n"/>
      <c r="HQ4" s="69" t="n"/>
      <c r="HR4" s="69" t="n"/>
      <c r="HS4" s="69" t="n"/>
      <c r="HT4" s="69" t="n"/>
      <c r="HU4" s="69" t="n"/>
      <c r="HV4" s="69" t="n"/>
      <c r="HW4" s="69" t="n"/>
      <c r="HX4" s="69" t="n"/>
      <c r="HY4" s="69" t="n"/>
      <c r="HZ4" s="69" t="n"/>
      <c r="IA4" s="69" t="n"/>
      <c r="IB4" s="69" t="n"/>
      <c r="IC4" s="69" t="n"/>
      <c r="ID4" s="69" t="n"/>
      <c r="IE4" s="69" t="n"/>
      <c r="IF4" s="69" t="n"/>
      <c r="IG4" s="69" t="n"/>
      <c r="IH4" s="69" t="n"/>
      <c r="II4" s="69" t="n"/>
      <c r="IK4" s="0" t="inlineStr">
        <is>
          <t>ez_manage.py:3521 top()</t>
        </is>
      </c>
      <c r="IL4" s="0" t="inlineStr">
        <is>
          <t>v12_quick_engine.py:2267 x7</t>
        </is>
      </c>
    </row>
    <row r="5" ht="10.5" customHeight="1" s="67">
      <c r="A5" s="0" t="inlineStr">
        <is>
          <t>MAX_AUGMENTS_PER_POSITION</t>
        </is>
      </c>
      <c r="B5" s="0" t="inlineStr">
        <is>
          <t>1</t>
        </is>
      </c>
      <c r="G5" s="0">
        <f>IFERROR(VLOOKUP($A6&amp;"_"&amp;$B6,Results_Deltas!$A$2:$P$15000,5,FALSE),"")</f>
        <v/>
      </c>
      <c r="H5" s="0">
        <f>IFERROR(VLOOKUP($A6,Results_30d_Deltas!$A$2:$H$5000,7,FALSE)-E5,"")</f>
        <v/>
      </c>
      <c r="I5" s="0">
        <f>IFERROR(VLOOKUP($A6,Results_30d_Deltas!$A$2:$H$5000,6,FALSE),"")</f>
        <v/>
      </c>
      <c r="L5" s="0" t="inlineStr">
        <is>
          <t>NO</t>
        </is>
      </c>
      <c r="M5" s="69" t="n"/>
      <c r="N5" s="69" t="n"/>
      <c r="O5" s="69" t="n"/>
      <c r="P5" s="69" t="n"/>
      <c r="Q5" s="69" t="n"/>
      <c r="R5" s="69" t="n"/>
      <c r="S5" s="69" t="n"/>
      <c r="T5" s="69" t="n"/>
      <c r="U5" s="69" t="n"/>
      <c r="V5" s="69" t="n"/>
      <c r="W5" s="69" t="n"/>
      <c r="X5" s="69" t="n"/>
      <c r="Y5" s="69" t="n"/>
      <c r="Z5" s="69" t="n"/>
      <c r="AA5" s="69" t="n"/>
      <c r="AB5" s="69" t="n"/>
      <c r="AC5" s="69" t="n"/>
      <c r="AD5" s="69" t="n"/>
      <c r="AE5" s="69" t="n"/>
      <c r="AF5" s="69" t="n"/>
      <c r="AG5" s="69" t="n"/>
      <c r="AH5" s="69" t="n"/>
      <c r="AI5" s="69" t="n"/>
      <c r="AJ5" s="69" t="n"/>
      <c r="AK5" s="69" t="n"/>
      <c r="AL5" s="69" t="n"/>
      <c r="AM5" s="69" t="n"/>
      <c r="AN5" s="69" t="n"/>
      <c r="AO5" s="69" t="n"/>
      <c r="AP5" s="69" t="n"/>
      <c r="AQ5" s="69" t="n"/>
      <c r="AR5" s="69" t="n"/>
      <c r="AS5" s="69" t="n"/>
      <c r="AT5" s="69" t="n"/>
      <c r="AU5" s="69" t="n"/>
      <c r="AV5" s="69" t="n"/>
      <c r="AW5" s="69" t="n"/>
      <c r="AX5" s="69" t="n"/>
      <c r="AY5" s="69" t="n"/>
      <c r="AZ5" s="69" t="n"/>
      <c r="BA5" s="69" t="n"/>
      <c r="BB5" s="69" t="n"/>
      <c r="BC5" s="69" t="n"/>
      <c r="BD5" s="69" t="n"/>
      <c r="BE5" s="69" t="n"/>
      <c r="BF5" s="69" t="n"/>
      <c r="BG5" s="69" t="n"/>
      <c r="BH5" s="69" t="n"/>
      <c r="BI5" s="69" t="n"/>
      <c r="BJ5" s="69" t="n"/>
      <c r="BK5" s="69" t="n"/>
      <c r="BL5" s="69" t="n"/>
      <c r="BM5" s="69" t="n"/>
      <c r="BN5" s="69" t="n"/>
      <c r="BO5" s="69" t="n"/>
      <c r="BP5" s="69" t="n"/>
      <c r="BQ5" s="69" t="n"/>
      <c r="BR5" s="69" t="n"/>
      <c r="BS5" s="69" t="n"/>
      <c r="BT5" s="69" t="n"/>
      <c r="BU5" s="69" t="n"/>
      <c r="BV5" s="69" t="n"/>
      <c r="BW5" s="69" t="n"/>
      <c r="BX5" s="69" t="n"/>
      <c r="BY5" s="69" t="n"/>
      <c r="BZ5" s="69" t="n"/>
      <c r="CA5" s="69" t="n"/>
      <c r="CB5" s="69" t="n"/>
      <c r="CC5" s="69" t="n"/>
      <c r="CD5" s="69" t="n"/>
      <c r="CE5" s="69" t="n"/>
      <c r="CF5" s="69" t="n"/>
      <c r="CG5" s="69" t="n"/>
      <c r="CH5" s="69" t="n"/>
      <c r="CI5" s="69" t="n"/>
      <c r="CJ5" s="69" t="n"/>
      <c r="CK5" s="69" t="n"/>
      <c r="CL5" s="69" t="n"/>
      <c r="CM5" s="69" t="n"/>
      <c r="CN5" s="69" t="n"/>
      <c r="CO5" s="69" t="n"/>
      <c r="CP5" s="69" t="n"/>
      <c r="CQ5" s="69" t="n"/>
      <c r="CR5" s="69" t="n"/>
      <c r="CS5" s="69" t="n"/>
      <c r="CT5" s="69" t="n"/>
      <c r="CU5" s="69" t="n"/>
      <c r="CV5" s="69" t="n"/>
      <c r="CW5" s="69" t="n"/>
      <c r="CX5" s="69" t="n"/>
      <c r="CY5" s="69" t="n"/>
      <c r="CZ5" s="69" t="n"/>
      <c r="DA5" s="69" t="n"/>
      <c r="DB5" s="69" t="n"/>
      <c r="DC5" s="69" t="n"/>
      <c r="DD5" s="69" t="n"/>
      <c r="DE5" s="69" t="n"/>
      <c r="DF5" s="69" t="n"/>
      <c r="DG5" s="69" t="n"/>
      <c r="DH5" s="69" t="n"/>
      <c r="DI5" s="69" t="n"/>
      <c r="DJ5" s="69" t="n"/>
      <c r="DK5" s="69" t="n"/>
      <c r="DL5" s="69" t="n"/>
      <c r="DM5" s="69" t="n"/>
      <c r="DN5" s="69" t="n"/>
      <c r="DO5" s="69" t="n"/>
      <c r="DP5" s="69" t="n"/>
      <c r="DQ5" s="69" t="n"/>
      <c r="DR5" s="69" t="n"/>
      <c r="DS5" s="69" t="n"/>
      <c r="DT5" s="69" t="n"/>
      <c r="DU5" s="69" t="n"/>
      <c r="DV5" s="69" t="n"/>
      <c r="DW5" s="69" t="n"/>
      <c r="DX5" s="69" t="n"/>
      <c r="DY5" s="69" t="n"/>
      <c r="DZ5" s="69" t="n"/>
      <c r="EA5" s="69" t="n"/>
      <c r="EB5" s="69" t="n"/>
      <c r="EC5" s="69" t="n"/>
      <c r="ED5" s="69" t="n"/>
      <c r="EE5" s="69" t="n"/>
      <c r="EF5" s="69" t="n"/>
      <c r="EG5" s="69" t="n"/>
      <c r="EH5" s="69" t="n"/>
      <c r="EI5" s="69" t="n"/>
      <c r="EJ5" s="69" t="n"/>
      <c r="EK5" s="69" t="n"/>
      <c r="EL5" s="69" t="n"/>
      <c r="EM5" s="69" t="n"/>
      <c r="EN5" s="69" t="n"/>
      <c r="EO5" s="69" t="n"/>
      <c r="EP5" s="69" t="n"/>
      <c r="EQ5" s="69" t="n"/>
      <c r="ER5" s="69" t="n"/>
      <c r="ES5" s="69" t="n"/>
      <c r="ET5" s="69" t="n"/>
      <c r="EU5" s="69" t="n"/>
      <c r="EV5" s="69" t="n"/>
      <c r="EW5" s="69" t="n"/>
      <c r="EX5" s="69" t="n"/>
      <c r="EY5" s="69" t="n"/>
      <c r="EZ5" s="69" t="n"/>
      <c r="FA5" s="69" t="n"/>
      <c r="FB5" s="69" t="n"/>
      <c r="FC5" s="69" t="n"/>
      <c r="FD5" s="69" t="n"/>
      <c r="FE5" s="69" t="n"/>
      <c r="FF5" s="69" t="n"/>
      <c r="FG5" s="69" t="n"/>
      <c r="FH5" s="69" t="n"/>
      <c r="FI5" s="69" t="n"/>
      <c r="FJ5" s="69" t="n"/>
      <c r="FK5" s="69" t="n"/>
      <c r="FL5" s="69" t="n"/>
      <c r="FM5" s="69" t="n"/>
      <c r="FN5" s="69" t="n"/>
      <c r="FO5" s="69" t="n"/>
      <c r="FP5" s="69" t="n"/>
      <c r="FQ5" s="69" t="n"/>
      <c r="FR5" s="69" t="n"/>
      <c r="FS5" s="69" t="n"/>
      <c r="FT5" s="69" t="n"/>
      <c r="FU5" s="69" t="n"/>
      <c r="FV5" s="69" t="n"/>
      <c r="FW5" s="69" t="n"/>
      <c r="FX5" s="69" t="n"/>
      <c r="FY5" s="69" t="n"/>
      <c r="FZ5" s="69" t="n"/>
      <c r="GA5" s="69" t="n"/>
      <c r="GB5" s="69" t="n"/>
      <c r="GC5" s="69" t="n"/>
      <c r="GD5" s="69" t="n"/>
      <c r="GE5" s="69" t="n"/>
      <c r="GF5" s="69" t="n"/>
      <c r="GG5" s="69" t="n"/>
      <c r="GH5" s="69" t="n"/>
      <c r="GI5" s="69" t="n"/>
      <c r="GJ5" s="69" t="n"/>
      <c r="GK5" s="69" t="n"/>
      <c r="GL5" s="69" t="n"/>
      <c r="GM5" s="69" t="n"/>
      <c r="GN5" s="69" t="n"/>
      <c r="GO5" s="69" t="n"/>
      <c r="GP5" s="69" t="n"/>
      <c r="GQ5" s="69" t="n"/>
      <c r="GR5" s="69" t="n"/>
      <c r="GS5" s="69" t="n"/>
      <c r="GT5" s="69" t="n"/>
      <c r="GU5" s="69" t="n"/>
      <c r="GV5" s="69" t="n"/>
      <c r="GW5" s="69" t="n"/>
      <c r="GX5" s="69" t="n"/>
      <c r="GY5" s="69" t="n"/>
      <c r="GZ5" s="69" t="n"/>
      <c r="HA5" s="69" t="n"/>
      <c r="HB5" s="69" t="n"/>
      <c r="HC5" s="69" t="n"/>
      <c r="HD5" s="69" t="n"/>
      <c r="HE5" s="69" t="n"/>
      <c r="HF5" s="69" t="n"/>
      <c r="HG5" s="69" t="n"/>
      <c r="HH5" s="69" t="n"/>
      <c r="HI5" s="69" t="n"/>
      <c r="HJ5" s="69" t="n"/>
      <c r="HK5" s="69" t="n"/>
      <c r="HL5" s="69" t="n"/>
      <c r="HM5" s="69" t="n"/>
      <c r="HN5" s="69" t="n"/>
      <c r="HO5" s="69" t="n"/>
      <c r="HP5" s="69" t="n"/>
      <c r="HQ5" s="69" t="n"/>
      <c r="HR5" s="69" t="n"/>
      <c r="HS5" s="69" t="n"/>
      <c r="HT5" s="69" t="n"/>
      <c r="HU5" s="69" t="n"/>
      <c r="HV5" s="69" t="n"/>
      <c r="HW5" s="69" t="n"/>
      <c r="HX5" s="69" t="n"/>
      <c r="HY5" s="69" t="n"/>
      <c r="HZ5" s="69" t="n"/>
      <c r="IA5" s="69" t="n"/>
      <c r="IB5" s="69" t="n"/>
      <c r="IC5" s="69" t="n"/>
      <c r="ID5" s="69" t="n"/>
      <c r="IE5" s="69" t="n"/>
      <c r="IF5" s="69" t="n"/>
      <c r="IG5" s="69" t="n"/>
      <c r="IH5" s="69" t="n"/>
      <c r="II5" s="69" t="n"/>
      <c r="IK5" s="0" t="inlineStr">
        <is>
          <t>ez_manage.py:3521 top()</t>
        </is>
      </c>
      <c r="IL5" s="0" t="inlineStr">
        <is>
          <t>v12_quick_engine.py:2267 x7</t>
        </is>
      </c>
    </row>
    <row r="6" ht="10.5" customHeight="1" s="67">
      <c r="A6" s="0" t="inlineStr">
        <is>
          <t>MAX_AUGMENTS_PER_POSITION</t>
        </is>
      </c>
      <c r="B6" s="0" t="inlineStr">
        <is>
          <t>2</t>
        </is>
      </c>
      <c r="G6" s="0">
        <f>IFERROR(VLOOKUP($A7&amp;"_"&amp;$B7,Results_Deltas!$A$2:$P$15000,5,FALSE),"")</f>
        <v/>
      </c>
      <c r="H6" s="0">
        <f>IFERROR(VLOOKUP($A7,Results_30d_Deltas!$A$2:$H$5000,7,FALSE)-E6,"")</f>
        <v/>
      </c>
      <c r="I6" s="0">
        <f>IFERROR(VLOOKUP($A7,Results_30d_Deltas!$A$2:$H$5000,6,FALSE),"")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69" t="n"/>
      <c r="HE6" s="69" t="n"/>
      <c r="HF6" s="69" t="n"/>
      <c r="HG6" s="69" t="n"/>
      <c r="HH6" s="69"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ez_manage.py:3521 top()</t>
        </is>
      </c>
      <c r="IL6" s="0" t="inlineStr">
        <is>
          <t>v12_quick_engine.py:2267 x7</t>
        </is>
      </c>
    </row>
    <row r="7" ht="10.5" customHeight="1" s="67">
      <c r="A7" s="0" t="inlineStr">
        <is>
          <t>MAX_AUGMENTS_PER_POSITION</t>
        </is>
      </c>
      <c r="B7" s="0" t="inlineStr">
        <is>
          <t>999999</t>
        </is>
      </c>
      <c r="C7" s="0" t="inlineStr">
        <is>
          <t>0</t>
        </is>
      </c>
      <c r="L7" s="0" t="inlineStr">
        <is>
          <t>NO</t>
        </is>
      </c>
      <c r="M7" s="69" t="n"/>
      <c r="N7" s="69" t="n"/>
      <c r="O7" s="69" t="n"/>
      <c r="P7" s="69" t="n"/>
      <c r="Q7" s="69" t="n"/>
      <c r="R7" s="69" t="n"/>
      <c r="S7" s="69" t="n"/>
      <c r="T7" s="69" t="n"/>
      <c r="U7" s="69" t="n"/>
      <c r="V7" s="69" t="n"/>
      <c r="W7" s="69" t="n"/>
      <c r="X7" s="69" t="n"/>
      <c r="Y7" s="69" t="n"/>
      <c r="Z7" s="69" t="n"/>
      <c r="AA7" s="69" t="n"/>
      <c r="AB7" s="69" t="n"/>
      <c r="AC7" s="69" t="n"/>
      <c r="AD7" s="69" t="n"/>
      <c r="AE7" s="69" t="n"/>
      <c r="AF7" s="69" t="n"/>
      <c r="AG7" s="69" t="n"/>
      <c r="AH7" s="69" t="n"/>
      <c r="AI7" s="69" t="n"/>
      <c r="AJ7" s="69" t="n"/>
      <c r="AK7" s="69" t="n"/>
      <c r="AL7" s="69" t="n"/>
      <c r="AM7" s="69" t="n"/>
      <c r="AN7" s="69" t="n"/>
      <c r="AO7" s="69" t="n"/>
      <c r="AP7" s="69" t="n"/>
      <c r="AQ7" s="69" t="n"/>
      <c r="AR7" s="69" t="n"/>
      <c r="AS7" s="69" t="n"/>
      <c r="AT7" s="69" t="n"/>
      <c r="AU7" s="69" t="n"/>
      <c r="AV7" s="69" t="n"/>
      <c r="AW7" s="69" t="n"/>
      <c r="AX7" s="69" t="n"/>
      <c r="AY7" s="69" t="n"/>
      <c r="AZ7" s="69" t="n"/>
      <c r="BA7" s="69" t="n"/>
      <c r="BB7" s="69" t="n"/>
      <c r="BC7" s="69" t="n"/>
      <c r="BD7" s="69" t="n"/>
      <c r="BE7" s="69" t="n"/>
      <c r="BF7" s="69" t="n"/>
      <c r="BG7" s="69" t="n"/>
      <c r="BH7" s="69" t="n"/>
      <c r="BI7" s="69" t="n"/>
      <c r="BJ7" s="69" t="n"/>
      <c r="BK7" s="69" t="n"/>
      <c r="BL7" s="69" t="n"/>
      <c r="BM7" s="69" t="n"/>
      <c r="BN7" s="69" t="n"/>
      <c r="BO7" s="69" t="n"/>
      <c r="BP7" s="69" t="n"/>
      <c r="BQ7" s="69" t="n"/>
      <c r="BR7" s="69" t="n"/>
      <c r="BS7" s="69" t="n"/>
      <c r="BT7" s="69" t="n"/>
      <c r="BU7" s="69" t="n"/>
      <c r="BV7" s="69" t="n"/>
      <c r="BW7" s="69" t="n"/>
      <c r="BX7" s="69" t="n"/>
      <c r="BY7" s="69" t="n"/>
      <c r="BZ7" s="69" t="n"/>
      <c r="CA7" s="69" t="n"/>
      <c r="CB7" s="69" t="n"/>
      <c r="CC7" s="69" t="n"/>
      <c r="CD7" s="69" t="n"/>
      <c r="CE7" s="69" t="n"/>
      <c r="CF7" s="69" t="n"/>
      <c r="CG7" s="69" t="n"/>
      <c r="CH7" s="69" t="n"/>
      <c r="CI7" s="69" t="n"/>
      <c r="CJ7" s="69" t="n"/>
      <c r="CK7" s="69" t="n"/>
      <c r="CL7" s="69" t="n"/>
      <c r="CM7" s="69" t="n"/>
      <c r="CN7" s="69" t="n"/>
      <c r="CO7" s="69" t="n"/>
      <c r="CP7" s="69" t="n"/>
      <c r="CQ7" s="69" t="n"/>
      <c r="CR7" s="69" t="n"/>
      <c r="CS7" s="69" t="n"/>
      <c r="CT7" s="69" t="n"/>
      <c r="CU7" s="69" t="n"/>
      <c r="CV7" s="69" t="n"/>
      <c r="CW7" s="69" t="n"/>
      <c r="CX7" s="69" t="n"/>
      <c r="CY7" s="69" t="n"/>
      <c r="CZ7" s="69" t="n"/>
      <c r="DA7" s="69" t="n"/>
      <c r="DB7" s="69" t="n"/>
      <c r="DC7" s="69" t="n"/>
      <c r="DD7" s="69" t="n"/>
      <c r="DE7" s="69" t="n"/>
      <c r="DF7" s="69" t="n"/>
      <c r="DG7" s="69" t="n"/>
      <c r="DH7" s="69" t="n"/>
      <c r="DI7" s="69" t="n"/>
      <c r="DJ7" s="69" t="n"/>
      <c r="DK7" s="69" t="n"/>
      <c r="DL7" s="69" t="n"/>
      <c r="DM7" s="69" t="n"/>
      <c r="DN7" s="69" t="n"/>
      <c r="DO7" s="69" t="n"/>
      <c r="DP7" s="69" t="n"/>
      <c r="DQ7" s="69" t="n"/>
      <c r="DR7" s="69" t="n"/>
      <c r="DS7" s="69" t="n"/>
      <c r="DT7" s="69" t="n"/>
      <c r="DU7" s="69" t="n"/>
      <c r="DV7" s="69" t="n"/>
      <c r="DW7" s="69" t="n"/>
      <c r="DX7" s="69" t="n"/>
      <c r="DY7" s="69" t="n"/>
      <c r="DZ7" s="69" t="n"/>
      <c r="EA7" s="69" t="n"/>
      <c r="EB7" s="69" t="n"/>
      <c r="EC7" s="69" t="n"/>
      <c r="ED7" s="69" t="n"/>
      <c r="EE7" s="69" t="n"/>
      <c r="EF7" s="69" t="n"/>
      <c r="EG7" s="69" t="n"/>
      <c r="EH7" s="69" t="n"/>
      <c r="EI7" s="69" t="n"/>
      <c r="EJ7" s="69" t="n"/>
      <c r="EK7" s="69" t="n"/>
      <c r="EL7" s="69" t="n"/>
      <c r="EM7" s="69" t="n"/>
      <c r="EN7" s="69" t="n"/>
      <c r="EO7" s="69" t="n"/>
      <c r="EP7" s="69" t="n"/>
      <c r="EQ7" s="69" t="n"/>
      <c r="ER7" s="69" t="n"/>
      <c r="ES7" s="69" t="n"/>
      <c r="ET7" s="69" t="n"/>
      <c r="EU7" s="69" t="n"/>
      <c r="EV7" s="69" t="n"/>
      <c r="EW7" s="69" t="n"/>
      <c r="EX7" s="69" t="n"/>
      <c r="EY7" s="69" t="n"/>
      <c r="EZ7" s="69" t="n"/>
      <c r="FA7" s="69" t="n"/>
      <c r="FB7" s="69" t="n"/>
      <c r="FC7" s="69" t="n"/>
      <c r="FD7" s="69" t="n"/>
      <c r="FE7" s="69" t="n"/>
      <c r="FF7" s="69" t="n"/>
      <c r="FG7" s="69" t="n"/>
      <c r="FH7" s="69" t="n"/>
      <c r="FI7" s="69" t="n"/>
      <c r="FJ7" s="69" t="n"/>
      <c r="FK7" s="69" t="n"/>
      <c r="FL7" s="69" t="n"/>
      <c r="FM7" s="69" t="n"/>
      <c r="FN7" s="69" t="n"/>
      <c r="FO7" s="69" t="n"/>
      <c r="FP7" s="69" t="n"/>
      <c r="FQ7" s="69" t="n"/>
      <c r="FR7" s="69" t="n"/>
      <c r="FS7" s="69" t="n"/>
      <c r="FT7" s="69" t="n"/>
      <c r="FU7" s="69" t="n"/>
      <c r="FV7" s="69" t="n"/>
      <c r="FW7" s="69" t="n"/>
      <c r="FX7" s="69" t="n"/>
      <c r="FY7" s="69" t="n"/>
      <c r="FZ7" s="69" t="n"/>
      <c r="GA7" s="69" t="n"/>
      <c r="GB7" s="69" t="n"/>
      <c r="GC7" s="69" t="n"/>
      <c r="GD7" s="69" t="n"/>
      <c r="GE7" s="69" t="n"/>
      <c r="GF7" s="69" t="n"/>
      <c r="GG7" s="69" t="n"/>
      <c r="GH7" s="69" t="n"/>
      <c r="GI7" s="69" t="n"/>
      <c r="GJ7" s="69" t="n"/>
      <c r="GK7" s="69" t="n"/>
      <c r="GL7" s="69" t="n"/>
      <c r="GM7" s="69" t="n"/>
      <c r="GN7" s="69" t="n"/>
      <c r="GO7" s="69" t="n"/>
      <c r="GP7" s="69" t="n"/>
      <c r="GQ7" s="69" t="n"/>
      <c r="GR7" s="69" t="n"/>
      <c r="GS7" s="69" t="n"/>
      <c r="GT7" s="69" t="n"/>
      <c r="GU7" s="69" t="n"/>
      <c r="GV7" s="69" t="n"/>
      <c r="GW7" s="69" t="n"/>
      <c r="GX7" s="69" t="n"/>
      <c r="GY7" s="69" t="n"/>
      <c r="GZ7" s="69" t="n"/>
      <c r="HA7" s="69" t="n"/>
      <c r="HB7" s="69" t="n"/>
      <c r="HC7" s="69" t="n"/>
      <c r="HD7" s="69" t="n"/>
      <c r="HE7" s="69" t="n"/>
      <c r="HF7" s="69" t="n"/>
      <c r="HG7" s="69" t="n"/>
      <c r="HH7" s="69" t="n"/>
      <c r="HI7" s="69" t="n"/>
      <c r="HJ7" s="69" t="n"/>
      <c r="HK7" s="69" t="n"/>
      <c r="HL7" s="69" t="n"/>
      <c r="HM7" s="69" t="n"/>
      <c r="HN7" s="69" t="n"/>
      <c r="HO7" s="69" t="n"/>
      <c r="HP7" s="69" t="n"/>
      <c r="HQ7" s="69" t="n"/>
      <c r="HR7" s="69" t="n"/>
      <c r="HS7" s="69" t="n"/>
      <c r="HT7" s="69" t="n"/>
      <c r="HU7" s="69" t="n"/>
      <c r="HV7" s="69" t="n"/>
      <c r="HW7" s="69" t="n"/>
      <c r="HX7" s="69" t="n"/>
      <c r="HY7" s="69" t="n"/>
      <c r="HZ7" s="69" t="n"/>
      <c r="IA7" s="69" t="n"/>
      <c r="IB7" s="69" t="n"/>
      <c r="IC7" s="69" t="n"/>
      <c r="ID7" s="69" t="n"/>
      <c r="IE7" s="69" t="n"/>
      <c r="IF7" s="69" t="n"/>
      <c r="IG7" s="69" t="n"/>
      <c r="IH7" s="69" t="n"/>
      <c r="II7" s="69" t="n"/>
      <c r="IK7" s="0" t="inlineStr">
        <is>
          <t>ez_manage.py:3521 top()</t>
        </is>
      </c>
      <c r="IL7" s="0" t="inlineStr">
        <is>
          <t>v12_quick_engine.py:2267 x7</t>
        </is>
      </c>
    </row>
    <row r="8" ht="10.5" customHeight="1" s="67">
      <c r="A8" s="0" t="inlineStr">
        <is>
          <t>MAX_AUGMENTS_PER_POSITION</t>
        </is>
      </c>
      <c r="B8" s="0" t="inlineStr">
        <is>
          <t>10</t>
        </is>
      </c>
      <c r="C8" s="0" t="n"/>
      <c r="L8" s="0" t="inlineStr">
        <is>
          <t>NO</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69" t="n"/>
      <c r="HE8" s="69" t="n"/>
      <c r="HF8" s="69" t="n"/>
      <c r="HG8" s="69" t="n"/>
      <c r="HH8" s="69"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ez_manage.py:3521 top()</t>
        </is>
      </c>
      <c r="IL8" s="0" t="inlineStr">
        <is>
          <t>v12_quick_engine.py:2267 x7</t>
        </is>
      </c>
    </row>
    <row r="9" ht="10.5" customHeight="1" s="67">
      <c r="A9" s="78" t="inlineStr">
        <is>
          <t>AUGMENT_BULL_KILL_ENABLED</t>
        </is>
      </c>
      <c r="B9" s="78" t="inlineStr">
        <is>
          <t>False</t>
        </is>
      </c>
      <c r="C9" s="0" t="inlineStr">
        <is>
          <t>False</t>
        </is>
      </c>
    </row>
    <row r="10" ht="10.5" customHeight="1" s="67">
      <c r="A10" s="0" t="inlineStr">
        <is>
          <t>AUGMENT_BULL_KILL_ENABLED</t>
        </is>
      </c>
      <c r="B10" s="0" t="inlineStr">
        <is>
          <t>False</t>
        </is>
      </c>
      <c r="C10" s="0" t="inlineStr">
        <is>
          <t>True</t>
        </is>
      </c>
    </row>
    <row r="11" ht="10.5" customHeight="1" s="67">
      <c r="A11" s="0" t="inlineStr">
        <is>
          <t>AUGMENT_BULL_KILL_ENABLED</t>
        </is>
      </c>
      <c r="B11" s="0" t="b">
        <v>1</v>
      </c>
      <c r="C11" s="0" t="inlineStr">
        <is>
          <t>False</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JC4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84" t="inlineStr">
        <is>
          <t>KINDERGARTEN_EMA_GATE_ENABLED=False</t>
        </is>
      </c>
      <c r="IO2" s="84" t="inlineStr">
        <is>
          <t>KINDERGARTEN_EMA_GATE_ENABLED=True</t>
        </is>
      </c>
      <c r="IP2" s="84" t="inlineStr">
        <is>
          <t>EMA_9_21_FILTER_ENABLED=False</t>
        </is>
      </c>
      <c r="IQ2" s="84" t="inlineStr">
        <is>
          <t>EMA_9_21_FILTER_ENABLED=True</t>
        </is>
      </c>
      <c r="IR2" s="84" t="inlineStr">
        <is>
          <t>EMA_9_21_FILTER_TFS=1h</t>
        </is>
      </c>
      <c r="IS2" s="84" t="inlineStr">
        <is>
          <t>EMA_9_21_FILTER_TFS=1h,D</t>
        </is>
      </c>
      <c r="IT2" s="84" t="inlineStr">
        <is>
          <t>EMA_9_21_FILTER_TFS=15m,1h,4h</t>
        </is>
      </c>
      <c r="IU2" s="84" t="inlineStr">
        <is>
          <t>EMA_9_21_FILTER_TFS=D</t>
        </is>
      </c>
      <c r="IV2" s="84" t="inlineStr">
        <is>
          <t>KINDERGARTEN_CUMULATIVE_MIN_TFS=1</t>
        </is>
      </c>
      <c r="IW2" s="84" t="inlineStr">
        <is>
          <t>KINDERGARTEN_CUMULATIVE_MIN_TFS=2</t>
        </is>
      </c>
      <c r="IX2" s="84" t="inlineStr">
        <is>
          <t>KINDERGARTEN_STRICT_TFS=</t>
        </is>
      </c>
      <c r="IY2" s="84" t="inlineStr">
        <is>
          <t>KINDERGARTEN_STRICT_TFS=1h,D</t>
        </is>
      </c>
      <c r="IZ2" s="84" t="inlineStr">
        <is>
          <t>WT_SIMPLE_GUARANTEE_ENABLED=False</t>
        </is>
      </c>
      <c r="JA2" s="84" t="inlineStr">
        <is>
          <t>WT_SIMPLE_GUARANTEE_ENABLED=True</t>
        </is>
      </c>
      <c r="JB2" s="84" t="inlineStr">
        <is>
          <t>FORCE_MIN_ONE_TRADE=False</t>
        </is>
      </c>
      <c r="JC2" s="84" t="inlineStr">
        <is>
          <t>FORCE_MIN_ONE_TRADE=True</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1</t>
        </is>
      </c>
      <c r="C5" s="0" t="inlineStr">
        <is>
          <t>0</t>
        </is>
      </c>
    </row>
    <row r="6" ht="10.5" customHeight="1" s="67">
      <c r="A6" s="77" t="inlineStr">
        <is>
          <t>COUNTER_TREND_SMA200_BYPASS_ENABLED</t>
        </is>
      </c>
      <c r="B6" s="77" t="inlineStr">
        <is>
          <t>False</t>
        </is>
      </c>
      <c r="G6" s="0">
        <f>IFERROR(VLOOKUP($A13&amp;"_"&amp;$B13,Results_Deltas!$A$2:$P$15000,5,FALSE),"")</f>
        <v/>
      </c>
      <c r="H6" s="0">
        <f>IFERROR(VLOOKUP($A13,Results_30d_Deltas!$A$2:$H$5000,7,FALSE)-E12,"")</f>
        <v/>
      </c>
      <c r="I6" s="0">
        <f>IFERROR(VLOOKUP($A13,Results_30d_Deltas!$A$2:$H$5000,6,FALSE),"")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70" t="n"/>
      <c r="HE6" s="70" t="n"/>
      <c r="HF6" s="70" t="n"/>
      <c r="HG6" s="70" t="n"/>
      <c r="HH6" s="70"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ez_manage.py:3056 top()</t>
        </is>
      </c>
      <c r="IL6" s="0" t="inlineStr">
        <is>
          <t>v12_quick_engine.py:1470 x6</t>
        </is>
      </c>
    </row>
    <row r="7" ht="10.5" customHeight="1" s="67">
      <c r="A7" s="31" t="inlineStr">
        <is>
          <t>COUNTER_TREND_SMA200_BYPASS_ENABLED</t>
        </is>
      </c>
      <c r="B7" s="31" t="inlineStr">
        <is>
          <t>True</t>
        </is>
      </c>
      <c r="C7" s="30" t="n"/>
      <c r="D7" s="30" t="n"/>
      <c r="E7" s="30" t="n"/>
      <c r="F7" s="30" t="n"/>
      <c r="G7" s="30">
        <f>IFERROR(VLOOKUP($A14&amp;"_"&amp;$B14,Results_Deltas!$A$2:$P$15000,5,FALSE),"")</f>
        <v/>
      </c>
      <c r="H7" s="30">
        <f>IFERROR(VLOOKUP($A14,Results_30d_Deltas!$A$2:$H$5000,7,FALSE)-E13,"")</f>
        <v/>
      </c>
      <c r="I7" s="30">
        <f>IFERROR(VLOOKUP($A14,Results_30d_Deltas!$A$2:$H$5000,6,FALSE),"")</f>
        <v/>
      </c>
      <c r="J7" s="30" t="n"/>
      <c r="K7" s="30" t="n"/>
      <c r="L7" s="30" t="inlineStr">
        <is>
          <t>YES</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4" t="n"/>
      <c r="HE7" s="34" t="n"/>
      <c r="HF7" s="34" t="n"/>
      <c r="HG7" s="34" t="n"/>
      <c r="HH7" s="34"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ez_manage.py:3056 top()</t>
        </is>
      </c>
      <c r="IL7" s="30" t="inlineStr">
        <is>
          <t>v12_quick_engine.py:1470 x6</t>
        </is>
      </c>
      <c r="IM7" s="30" t="n"/>
    </row>
    <row r="8" ht="10.5" customHeight="1" s="67">
      <c r="A8" s="77" t="inlineStr">
        <is>
          <t>UNIVERSAL_NOLOSS_GATE</t>
        </is>
      </c>
      <c r="B8" s="77" t="inlineStr">
        <is>
          <t>False</t>
        </is>
      </c>
      <c r="G8" s="0">
        <f>IFERROR(VLOOKUP($A3&amp;"="&amp;$B3,Results_Deltas!$A$2:$P$15000,5,FALSE),"")</f>
        <v/>
      </c>
      <c r="H8" s="0">
        <f>IFERROR(VLOOKUP($A3,Results_30d_Deltas!$A$2:$H$5000,7,FALSE)-E3,"")</f>
        <v/>
      </c>
      <c r="I8" s="0">
        <f>IFERROR(VLOOKUP($A3,Results_30d_Deltas!$A$2:$H$5000,6,FALSE),"")</f>
        <v/>
      </c>
      <c r="L8" s="0" t="inlineStr">
        <is>
          <t>YES</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70" t="n"/>
      <c r="HE8" s="70" t="n"/>
      <c r="HF8" s="70" t="n"/>
      <c r="HG8" s="70" t="n"/>
      <c r="HH8" s="70"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ez_manage.py:4233 top()</t>
        </is>
      </c>
      <c r="IL8" s="0" t="inlineStr">
        <is>
          <t>v12_quick_engine.py:837 x18</t>
        </is>
      </c>
    </row>
    <row r="9" ht="10.5" customHeight="1" s="67">
      <c r="A9" s="0" t="inlineStr">
        <is>
          <t>UNIVERSAL_NOLOSS_GATE</t>
        </is>
      </c>
      <c r="B9" s="0" t="inlineStr">
        <is>
          <t>True</t>
        </is>
      </c>
      <c r="G9" s="0">
        <f>IFERROR(VLOOKUP($A4&amp;"_"&amp;$B4,Results_Deltas!$A$2:$P$15000,5,FALSE),"")</f>
        <v/>
      </c>
      <c r="H9" s="0">
        <f>IFERROR(VLOOKUP($A4,Results_30d_Deltas!$A$2:$H$5000,7,FALSE)-E3,"")</f>
        <v/>
      </c>
      <c r="I9" s="0">
        <f>IFERROR(VLOOKUP($A4,Results_30d_Deltas!$A$2:$H$5000,6,FALSE),"")</f>
        <v/>
      </c>
      <c r="L9" s="0" t="inlineStr">
        <is>
          <t>NO</t>
        </is>
      </c>
      <c r="M9" s="69" t="n"/>
      <c r="N9" s="69" t="n"/>
      <c r="O9" s="69" t="n"/>
      <c r="P9" s="69" t="n"/>
      <c r="Q9" s="69" t="n"/>
      <c r="R9" s="69" t="n"/>
      <c r="S9" s="69" t="n"/>
      <c r="T9" s="69" t="n"/>
      <c r="U9" s="69" t="n"/>
      <c r="V9" s="69" t="n"/>
      <c r="W9" s="69" t="n"/>
      <c r="X9" s="69" t="n"/>
      <c r="Y9" s="69" t="n"/>
      <c r="Z9" s="69" t="n"/>
      <c r="AA9" s="69" t="n"/>
      <c r="AB9" s="69" t="n"/>
      <c r="AC9" s="69" t="n"/>
      <c r="AD9" s="69" t="n"/>
      <c r="AE9" s="69" t="n"/>
      <c r="AF9" s="69" t="n"/>
      <c r="AG9" s="69" t="n"/>
      <c r="AH9" s="69" t="n"/>
      <c r="AI9" s="69" t="n"/>
      <c r="AJ9" s="69" t="n"/>
      <c r="AK9" s="69" t="n"/>
      <c r="AL9" s="69" t="n"/>
      <c r="AM9" s="69" t="n"/>
      <c r="AN9" s="69" t="n"/>
      <c r="AO9" s="69" t="n"/>
      <c r="AP9" s="69" t="n"/>
      <c r="AQ9" s="69" t="n"/>
      <c r="AR9" s="69" t="n"/>
      <c r="AS9" s="69" t="n"/>
      <c r="AT9" s="69" t="n"/>
      <c r="AU9" s="69" t="n"/>
      <c r="AV9" s="69" t="n"/>
      <c r="AW9" s="69" t="n"/>
      <c r="AX9" s="69" t="n"/>
      <c r="AY9" s="69" t="n"/>
      <c r="AZ9" s="69" t="n"/>
      <c r="BA9" s="69" t="n"/>
      <c r="BB9" s="69" t="n"/>
      <c r="BC9" s="69" t="n"/>
      <c r="BD9" s="69" t="n"/>
      <c r="BE9" s="69" t="n"/>
      <c r="BF9" s="69" t="n"/>
      <c r="BG9" s="69" t="n"/>
      <c r="BH9" s="69" t="n"/>
      <c r="BI9" s="69" t="n"/>
      <c r="BJ9" s="69" t="n"/>
      <c r="BK9" s="69" t="n"/>
      <c r="BL9" s="69" t="n"/>
      <c r="BM9" s="69" t="n"/>
      <c r="BN9" s="69" t="n"/>
      <c r="BO9" s="69" t="n"/>
      <c r="BP9" s="69" t="n"/>
      <c r="BQ9" s="69" t="n"/>
      <c r="BR9" s="69" t="n"/>
      <c r="BS9" s="69" t="n"/>
      <c r="BT9" s="69" t="n"/>
      <c r="BU9" s="69" t="n"/>
      <c r="BV9" s="69" t="n"/>
      <c r="BW9" s="69" t="n"/>
      <c r="BX9" s="69" t="n"/>
      <c r="BY9" s="69" t="n"/>
      <c r="BZ9" s="69" t="n"/>
      <c r="CA9" s="69" t="n"/>
      <c r="CB9" s="69" t="n"/>
      <c r="CC9" s="69" t="n"/>
      <c r="CD9" s="69" t="n"/>
      <c r="CE9" s="69" t="n"/>
      <c r="CF9" s="69" t="n"/>
      <c r="CG9" s="69" t="n"/>
      <c r="CH9" s="69" t="n"/>
      <c r="CI9" s="69" t="n"/>
      <c r="CJ9" s="69" t="n"/>
      <c r="CK9" s="69" t="n"/>
      <c r="CL9" s="69" t="n"/>
      <c r="CM9" s="69" t="n"/>
      <c r="CN9" s="69" t="n"/>
      <c r="CO9" s="69" t="n"/>
      <c r="CP9" s="69" t="n"/>
      <c r="CQ9" s="69" t="n"/>
      <c r="CR9" s="69" t="n"/>
      <c r="CS9" s="69" t="n"/>
      <c r="CT9" s="69" t="n"/>
      <c r="CU9" s="69" t="n"/>
      <c r="CV9" s="69" t="n"/>
      <c r="CW9" s="69" t="n"/>
      <c r="CX9" s="69" t="n"/>
      <c r="CY9" s="69" t="n"/>
      <c r="CZ9" s="69" t="n"/>
      <c r="DA9" s="69" t="n"/>
      <c r="DB9" s="69" t="n"/>
      <c r="DC9" s="69" t="n"/>
      <c r="DD9" s="69" t="n"/>
      <c r="DE9" s="69" t="n"/>
      <c r="DF9" s="69" t="n"/>
      <c r="DG9" s="69" t="n"/>
      <c r="DH9" s="69" t="n"/>
      <c r="DI9" s="69" t="n"/>
      <c r="DJ9" s="69" t="n"/>
      <c r="DK9" s="69" t="n"/>
      <c r="DL9" s="69" t="n"/>
      <c r="DM9" s="69" t="n"/>
      <c r="DN9" s="69" t="n"/>
      <c r="DO9" s="69" t="n"/>
      <c r="DP9" s="69" t="n"/>
      <c r="DQ9" s="69" t="n"/>
      <c r="DR9" s="69" t="n"/>
      <c r="DS9" s="69" t="n"/>
      <c r="DT9" s="69" t="n"/>
      <c r="DU9" s="69" t="n"/>
      <c r="DV9" s="69" t="n"/>
      <c r="DW9" s="69" t="n"/>
      <c r="DX9" s="69" t="n"/>
      <c r="DY9" s="69" t="n"/>
      <c r="DZ9" s="69" t="n"/>
      <c r="EA9" s="69" t="n"/>
      <c r="EB9" s="69" t="n"/>
      <c r="EC9" s="69" t="n"/>
      <c r="ED9" s="69" t="n"/>
      <c r="EE9" s="69" t="n"/>
      <c r="EF9" s="69" t="n"/>
      <c r="EG9" s="69" t="n"/>
      <c r="EH9" s="69" t="n"/>
      <c r="EI9" s="69" t="n"/>
      <c r="EJ9" s="69" t="n"/>
      <c r="EK9" s="69" t="n"/>
      <c r="EL9" s="69" t="n"/>
      <c r="EM9" s="69" t="n"/>
      <c r="EN9" s="69" t="n"/>
      <c r="EO9" s="69" t="n"/>
      <c r="EP9" s="69" t="n"/>
      <c r="EQ9" s="69" t="n"/>
      <c r="ER9" s="69" t="n"/>
      <c r="ES9" s="69" t="n"/>
      <c r="ET9" s="69" t="n"/>
      <c r="EU9" s="69" t="n"/>
      <c r="EV9" s="69" t="n"/>
      <c r="EW9" s="69" t="n"/>
      <c r="EX9" s="69" t="n"/>
      <c r="EY9" s="69" t="n"/>
      <c r="EZ9" s="69" t="n"/>
      <c r="FA9" s="69" t="n"/>
      <c r="FB9" s="69" t="n"/>
      <c r="FC9" s="69" t="n"/>
      <c r="FD9" s="69" t="n"/>
      <c r="FE9" s="69" t="n"/>
      <c r="FF9" s="69" t="n"/>
      <c r="FG9" s="69" t="n"/>
      <c r="FH9" s="69" t="n"/>
      <c r="FI9" s="69" t="n"/>
      <c r="FJ9" s="69" t="n"/>
      <c r="FK9" s="69" t="n"/>
      <c r="FL9" s="69" t="n"/>
      <c r="FM9" s="69" t="n"/>
      <c r="FN9" s="69" t="n"/>
      <c r="FO9" s="69" t="n"/>
      <c r="FP9" s="69" t="n"/>
      <c r="FQ9" s="69" t="n"/>
      <c r="FR9" s="69" t="n"/>
      <c r="FS9" s="69" t="n"/>
      <c r="FT9" s="69" t="n"/>
      <c r="FU9" s="69" t="n"/>
      <c r="FV9" s="69" t="n"/>
      <c r="FW9" s="69" t="n"/>
      <c r="FX9" s="69" t="n"/>
      <c r="FY9" s="69" t="n"/>
      <c r="FZ9" s="69" t="n"/>
      <c r="GA9" s="69" t="n"/>
      <c r="GB9" s="69" t="n"/>
      <c r="GC9" s="69" t="n"/>
      <c r="GD9" s="69" t="n"/>
      <c r="GE9" s="69" t="n"/>
      <c r="GF9" s="69" t="n"/>
      <c r="GG9" s="69" t="n"/>
      <c r="GH9" s="69" t="n"/>
      <c r="GI9" s="69" t="n"/>
      <c r="GJ9" s="69" t="n"/>
      <c r="GK9" s="69" t="n"/>
      <c r="GL9" s="69" t="n"/>
      <c r="GM9" s="69" t="n"/>
      <c r="GN9" s="69" t="n"/>
      <c r="GO9" s="69" t="n"/>
      <c r="GP9" s="69" t="n"/>
      <c r="GQ9" s="69" t="n"/>
      <c r="GR9" s="69" t="n"/>
      <c r="GS9" s="69" t="n"/>
      <c r="GT9" s="69" t="n"/>
      <c r="GU9" s="69" t="n"/>
      <c r="GV9" s="69" t="n"/>
      <c r="GW9" s="69" t="n"/>
      <c r="GX9" s="69" t="n"/>
      <c r="GY9" s="69" t="n"/>
      <c r="GZ9" s="69" t="n"/>
      <c r="HA9" s="69" t="n"/>
      <c r="HB9" s="69" t="n"/>
      <c r="HC9" s="69" t="n"/>
      <c r="HD9" s="70" t="n"/>
      <c r="HE9" s="70" t="n"/>
      <c r="HF9" s="70" t="n"/>
      <c r="HG9" s="70" t="n"/>
      <c r="HH9" s="70" t="n"/>
      <c r="HI9" s="69" t="n"/>
      <c r="HJ9" s="69" t="n"/>
      <c r="HK9" s="69" t="n"/>
      <c r="HL9" s="69" t="n"/>
      <c r="HM9" s="69" t="n"/>
      <c r="HN9" s="69" t="n"/>
      <c r="HO9" s="69" t="n"/>
      <c r="HP9" s="69" t="n"/>
      <c r="HQ9" s="69" t="n"/>
      <c r="HR9" s="69" t="n"/>
      <c r="HS9" s="69" t="n"/>
      <c r="HT9" s="69" t="n"/>
      <c r="HU9" s="69" t="n"/>
      <c r="HV9" s="69" t="n"/>
      <c r="HW9" s="69" t="n"/>
      <c r="HX9" s="69" t="n"/>
      <c r="HY9" s="69" t="n"/>
      <c r="HZ9" s="69" t="n"/>
      <c r="IA9" s="69" t="n"/>
      <c r="IB9" s="69" t="n"/>
      <c r="IC9" s="69" t="n"/>
      <c r="ID9" s="69" t="n"/>
      <c r="IE9" s="69" t="n"/>
      <c r="IF9" s="69" t="n"/>
      <c r="IG9" s="69" t="n"/>
      <c r="IH9" s="69" t="n"/>
      <c r="II9" s="69" t="n"/>
      <c r="IK9" s="0" t="inlineStr">
        <is>
          <t>ez_manage.py:4233 top()</t>
        </is>
      </c>
      <c r="IL9" s="0" t="inlineStr">
        <is>
          <t>v12_quick_engine.py:837 x18</t>
        </is>
      </c>
    </row>
    <row r="10" ht="10.5" customHeight="1" s="67">
      <c r="A10" s="0" t="inlineStr">
        <is>
          <t>UNIVERSAL_NOLOSS_GATE</t>
        </is>
      </c>
      <c r="B10" s="0" t="inlineStr">
        <is>
          <t>False</t>
        </is>
      </c>
      <c r="G10" s="0">
        <f>IFERROR(VLOOKUP($A213&amp;"_"&amp;$B213,Results_Deltas!$A$2:$P$15000,5,FALSE),"")</f>
        <v/>
      </c>
      <c r="H10" s="0">
        <f>IFERROR(VLOOKUP($A214,Results_30d_Deltas!$A$2:$H$5000,7,FALSE)-E3,"")</f>
        <v/>
      </c>
      <c r="I10" s="0">
        <f>IFERROR(VLOOKUP($A214,Results_30d_Deltas!$A$2:$H$5000,6,FALSE),"")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69" t="n"/>
      <c r="FK10" s="69" t="n"/>
      <c r="FL10" s="69" t="n"/>
      <c r="FM10" s="69" t="n"/>
      <c r="FN10" s="69"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70" t="n"/>
      <c r="HE10" s="70" t="n"/>
      <c r="HF10" s="70" t="n"/>
      <c r="HG10" s="70" t="n"/>
      <c r="HH10" s="70" t="n"/>
      <c r="HI10" s="69" t="n"/>
      <c r="HJ10" s="69" t="n"/>
      <c r="HK10" s="69" t="n"/>
      <c r="HL10" s="69" t="n"/>
      <c r="HM10" s="69" t="n"/>
      <c r="HN10" s="69" t="n"/>
      <c r="HO10" s="69" t="n"/>
      <c r="HP10" s="69" t="n"/>
      <c r="HQ10" s="69" t="n"/>
      <c r="HR10" s="69" t="n"/>
      <c r="HS10" s="69" t="n"/>
      <c r="HT10" s="69" t="n"/>
      <c r="HU10" s="69" t="n"/>
      <c r="HV10" s="69" t="n"/>
      <c r="HW10" s="69" t="n"/>
      <c r="HX10" s="69" t="n"/>
      <c r="HY10" s="69" t="n"/>
      <c r="HZ10" s="69" t="n"/>
      <c r="IA10" s="69" t="n"/>
      <c r="IB10" s="69" t="n"/>
      <c r="IC10" s="69" t="n"/>
      <c r="ID10" s="69" t="n"/>
      <c r="IE10" s="69" t="n"/>
      <c r="IF10" s="69" t="n"/>
      <c r="IG10" s="69" t="n"/>
      <c r="IH10" s="69" t="n"/>
      <c r="II10" s="69" t="n"/>
      <c r="IK10" s="0" t="inlineStr">
        <is>
          <t>ez_manage.py:4233 top()</t>
        </is>
      </c>
      <c r="IL10" s="0" t="inlineStr">
        <is>
          <t>v12_quick_engine.py:837 x18</t>
        </is>
      </c>
    </row>
    <row r="11" ht="10.5" customHeight="1" s="67">
      <c r="A11" s="78" t="inlineStr">
        <is>
          <t>ABSOLUTE_OPEN_LOCK_SEC</t>
        </is>
      </c>
      <c r="B11" s="49" t="n"/>
      <c r="G11" s="0">
        <f>IFERROR(VLOOKUP($A9&amp;"_"&amp;$B9,Results_Deltas!$A$2:$P$15000,5,FALSE),"")</f>
        <v/>
      </c>
      <c r="H11" s="0">
        <f>IFERROR(VLOOKUP($A9,Results_30d_Deltas!$A$2:$H$5000,7,FALSE)-E8,"")</f>
        <v/>
      </c>
      <c r="I11" s="0">
        <f>IFERROR(VLOOKUP($A9,Results_30d_Deltas!$A$2:$H$5000,6,FALSE),"")</f>
        <v/>
      </c>
      <c r="L11" s="0" t="inlineStr">
        <is>
          <t>YES</t>
        </is>
      </c>
      <c r="M11" s="69" t="n"/>
      <c r="N11" s="69" t="n"/>
      <c r="O11" s="69" t="n"/>
      <c r="P11" s="69" t="n"/>
      <c r="Q11" s="69" t="n"/>
      <c r="R11" s="69" t="n"/>
      <c r="S11" s="69" t="n"/>
      <c r="T11" s="69" t="n"/>
      <c r="U11" s="69" t="n"/>
      <c r="V11" s="69" t="n"/>
      <c r="W11" s="69" t="n"/>
      <c r="X11" s="69" t="n"/>
      <c r="Y11" s="69" t="n"/>
      <c r="Z11" s="69" t="n"/>
      <c r="AA11" s="69" t="n"/>
      <c r="AB11" s="69" t="n"/>
      <c r="AC11" s="69" t="n"/>
      <c r="AD11" s="69" t="n"/>
      <c r="AE11" s="69" t="n"/>
      <c r="AF11" s="69" t="n"/>
      <c r="AG11" s="69" t="n"/>
      <c r="AH11" s="69" t="n"/>
      <c r="AI11" s="69" t="n"/>
      <c r="AJ11" s="69" t="n"/>
      <c r="AK11" s="69" t="n"/>
      <c r="AL11" s="69" t="n"/>
      <c r="AM11" s="69" t="n"/>
      <c r="AN11" s="69" t="n"/>
      <c r="AO11" s="69" t="n"/>
      <c r="AP11" s="69" t="n"/>
      <c r="AQ11" s="69" t="n"/>
      <c r="AR11" s="69" t="n"/>
      <c r="AS11" s="69" t="n"/>
      <c r="AT11" s="69" t="n"/>
      <c r="AU11" s="69" t="n"/>
      <c r="AV11" s="69" t="n"/>
      <c r="AW11" s="69" t="n"/>
      <c r="AX11" s="69" t="n"/>
      <c r="AY11" s="69" t="n"/>
      <c r="AZ11" s="69" t="n"/>
      <c r="BA11" s="69" t="n"/>
      <c r="BB11" s="69" t="n"/>
      <c r="BC11" s="69" t="n"/>
      <c r="BD11" s="69" t="n"/>
      <c r="BE11" s="69" t="n"/>
      <c r="BF11" s="69" t="n"/>
      <c r="BG11" s="69" t="n"/>
      <c r="BH11" s="69" t="n"/>
      <c r="BI11" s="69" t="n"/>
      <c r="BJ11" s="69" t="n"/>
      <c r="BK11" s="69" t="n"/>
      <c r="BL11" s="69" t="n"/>
      <c r="BM11" s="69" t="n"/>
      <c r="BN11" s="69" t="n"/>
      <c r="BO11" s="69" t="n"/>
      <c r="BP11" s="69" t="n"/>
      <c r="BQ11" s="69" t="n"/>
      <c r="BR11" s="69" t="n"/>
      <c r="BS11" s="69" t="n"/>
      <c r="BT11" s="69" t="n"/>
      <c r="BU11" s="69" t="n"/>
      <c r="BV11" s="69" t="n"/>
      <c r="BW11" s="69" t="n"/>
      <c r="BX11" s="69" t="n"/>
      <c r="BY11" s="69" t="n"/>
      <c r="BZ11" s="69" t="n"/>
      <c r="CA11" s="69" t="n"/>
      <c r="CB11" s="69" t="n"/>
      <c r="CC11" s="69" t="n"/>
      <c r="CD11" s="69" t="n"/>
      <c r="CE11" s="69" t="n"/>
      <c r="CF11" s="69" t="n"/>
      <c r="CG11" s="69" t="n"/>
      <c r="CH11" s="69" t="n"/>
      <c r="CI11" s="69" t="n"/>
      <c r="CJ11" s="69" t="n"/>
      <c r="CK11" s="69" t="n"/>
      <c r="CL11" s="69" t="n"/>
      <c r="CM11" s="69" t="n"/>
      <c r="CN11" s="69" t="n"/>
      <c r="CO11" s="69" t="n"/>
      <c r="CP11" s="69" t="n"/>
      <c r="CQ11" s="69" t="n"/>
      <c r="CR11" s="69" t="n"/>
      <c r="CS11" s="69" t="n"/>
      <c r="CT11" s="69" t="n"/>
      <c r="CU11" s="69" t="n"/>
      <c r="CV11" s="69" t="n"/>
      <c r="CW11" s="69" t="n"/>
      <c r="CX11" s="69" t="n"/>
      <c r="CY11" s="69" t="n"/>
      <c r="CZ11" s="69" t="n"/>
      <c r="DA11" s="69" t="n"/>
      <c r="DB11" s="69" t="n"/>
      <c r="DC11" s="69" t="n"/>
      <c r="DD11" s="69" t="n"/>
      <c r="DE11" s="69" t="n"/>
      <c r="DF11" s="69" t="n"/>
      <c r="DG11" s="69" t="n"/>
      <c r="DH11" s="69" t="n"/>
      <c r="DI11" s="69" t="n"/>
      <c r="DJ11" s="69" t="n"/>
      <c r="DK11" s="69" t="n"/>
      <c r="DL11" s="69" t="n"/>
      <c r="DM11" s="69" t="n"/>
      <c r="DN11" s="69" t="n"/>
      <c r="DO11" s="69" t="n"/>
      <c r="DP11" s="69" t="n"/>
      <c r="DQ11" s="69" t="n"/>
      <c r="DR11" s="69" t="n"/>
      <c r="DS11" s="69" t="n"/>
      <c r="DT11" s="69" t="n"/>
      <c r="DU11" s="69" t="n"/>
      <c r="DV11" s="69" t="n"/>
      <c r="DW11" s="69" t="n"/>
      <c r="DX11" s="69" t="n"/>
      <c r="DY11" s="69" t="n"/>
      <c r="DZ11" s="69" t="n"/>
      <c r="EA11" s="69" t="n"/>
      <c r="EB11" s="69" t="n"/>
      <c r="EC11" s="69" t="n"/>
      <c r="ED11" s="69" t="n"/>
      <c r="EE11" s="69" t="n"/>
      <c r="EF11" s="69" t="n"/>
      <c r="EG11" s="69" t="n"/>
      <c r="EH11" s="69" t="n"/>
      <c r="EI11" s="69" t="n"/>
      <c r="EJ11" s="69" t="n"/>
      <c r="EK11" s="69" t="n"/>
      <c r="EL11" s="69" t="n"/>
      <c r="EM11" s="69" t="n"/>
      <c r="EN11" s="69" t="n"/>
      <c r="EO11" s="69" t="n"/>
      <c r="EP11" s="69" t="n"/>
      <c r="EQ11" s="69" t="n"/>
      <c r="ER11" s="69" t="n"/>
      <c r="ES11" s="69" t="n"/>
      <c r="ET11" s="69" t="n"/>
      <c r="EU11" s="69" t="n"/>
      <c r="EV11" s="69" t="n"/>
      <c r="EW11" s="69" t="n"/>
      <c r="EX11" s="69" t="n"/>
      <c r="EY11" s="69" t="n"/>
      <c r="EZ11" s="69" t="n"/>
      <c r="FA11" s="69" t="n"/>
      <c r="FB11" s="69" t="n"/>
      <c r="FC11" s="69" t="n"/>
      <c r="FD11" s="69" t="n"/>
      <c r="FE11" s="69" t="n"/>
      <c r="FF11" s="69" t="n"/>
      <c r="FG11" s="69" t="n"/>
      <c r="FH11" s="69" t="n"/>
      <c r="FI11" s="69" t="n"/>
      <c r="FJ11" s="69" t="n"/>
      <c r="FK11" s="69" t="n"/>
      <c r="FL11" s="69" t="n"/>
      <c r="FM11" s="69" t="n"/>
      <c r="FN11" s="69" t="n"/>
      <c r="FO11" s="69" t="n"/>
      <c r="FP11" s="69" t="n"/>
      <c r="FQ11" s="69" t="n"/>
      <c r="FR11" s="69" t="n"/>
      <c r="FS11" s="69" t="n"/>
      <c r="FT11" s="69" t="n"/>
      <c r="FU11" s="69" t="n"/>
      <c r="FV11" s="69" t="n"/>
      <c r="FW11" s="69" t="n"/>
      <c r="FX11" s="69" t="n"/>
      <c r="FY11" s="69" t="n"/>
      <c r="FZ11" s="69" t="n"/>
      <c r="GA11" s="69" t="n"/>
      <c r="GB11" s="69" t="n"/>
      <c r="GC11" s="69" t="n"/>
      <c r="GD11" s="69" t="n"/>
      <c r="GE11" s="69" t="n"/>
      <c r="GF11" s="69" t="n"/>
      <c r="GG11" s="69" t="n"/>
      <c r="GH11" s="69" t="n"/>
      <c r="GI11" s="69" t="n"/>
      <c r="GJ11" s="69" t="n"/>
      <c r="GK11" s="69" t="n"/>
      <c r="GL11" s="69" t="n"/>
      <c r="GM11" s="69" t="n"/>
      <c r="GN11" s="69" t="n"/>
      <c r="GO11" s="69" t="n"/>
      <c r="GP11" s="69" t="n"/>
      <c r="GQ11" s="69" t="n"/>
      <c r="GR11" s="69" t="n"/>
      <c r="GS11" s="69" t="n"/>
      <c r="GT11" s="69" t="n"/>
      <c r="GU11" s="69" t="n"/>
      <c r="GV11" s="69" t="n"/>
      <c r="GW11" s="69" t="n"/>
      <c r="GX11" s="69" t="n"/>
      <c r="GY11" s="69" t="n"/>
      <c r="GZ11" s="69" t="n"/>
      <c r="HA11" s="69" t="n"/>
      <c r="HB11" s="69" t="n"/>
      <c r="HC11" s="69" t="n"/>
      <c r="HD11" s="69" t="n"/>
      <c r="HE11" s="69" t="n"/>
      <c r="HF11" s="69" t="n"/>
      <c r="HG11" s="69" t="n"/>
      <c r="HH11" s="69" t="n"/>
      <c r="HI11" s="69" t="n"/>
      <c r="HJ11" s="69" t="n"/>
      <c r="HK11" s="69" t="n"/>
      <c r="HL11" s="69" t="n"/>
      <c r="HM11" s="69" t="n"/>
      <c r="HN11" s="69" t="n"/>
      <c r="HO11" s="69" t="n"/>
      <c r="HP11" s="69" t="n"/>
      <c r="HQ11" s="69" t="n"/>
      <c r="HR11" s="69" t="n"/>
      <c r="HS11" s="69" t="n"/>
      <c r="HT11" s="69" t="n"/>
      <c r="HU11" s="69" t="n"/>
      <c r="HV11" s="69" t="n"/>
      <c r="HW11" s="69" t="n"/>
      <c r="HX11" s="69" t="n"/>
      <c r="HY11" s="69" t="n"/>
      <c r="HZ11" s="69" t="n"/>
      <c r="IA11" s="69" t="n"/>
      <c r="IB11" s="69" t="n"/>
      <c r="IC11" s="69" t="n"/>
      <c r="ID11" s="69" t="n"/>
      <c r="IE11" s="69" t="n"/>
      <c r="IF11" s="69" t="n"/>
      <c r="IG11" s="69" t="n"/>
      <c r="IH11" s="69" t="n"/>
      <c r="II11" s="69" t="n"/>
      <c r="IK11" s="0" t="inlineStr">
        <is>
          <t>config only</t>
        </is>
      </c>
      <c r="IL11" s="0" t="inlineStr">
        <is>
          <t>not declared</t>
        </is>
      </c>
    </row>
    <row r="12" ht="10.5" customHeight="1" s="67">
      <c r="A12" s="78" t="inlineStr">
        <is>
          <t>BALANCE_FLOOR_USD</t>
        </is>
      </c>
      <c r="B12" s="49" t="n"/>
      <c r="G12" s="0">
        <f>IFERROR(VLOOKUP($A10&amp;"_"&amp;$B10,Results_Deltas!$A$2:$P$15000,5,FALSE),"")</f>
        <v/>
      </c>
      <c r="H12" s="0">
        <f>IFERROR(VLOOKUP($A10,Results_30d_Deltas!$A$2:$H$5000,7,FALSE)-E9,"")</f>
        <v/>
      </c>
      <c r="I12" s="0">
        <f>IFERROR(VLOOKUP($A10,Results_30d_Deltas!$A$2:$H$5000,6,FALSE),"")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69" t="n"/>
      <c r="DZ12" s="69" t="n"/>
      <c r="EA12" s="69" t="n"/>
      <c r="EB12" s="69" t="n"/>
      <c r="EC12" s="69"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69" t="n"/>
      <c r="HK12" s="69" t="n"/>
      <c r="HL12" s="69" t="n"/>
      <c r="HM12" s="69" t="n"/>
      <c r="HN12" s="69" t="n"/>
      <c r="HO12" s="69" t="n"/>
      <c r="HP12" s="69" t="n"/>
      <c r="HQ12" s="69" t="n"/>
      <c r="HR12" s="69" t="n"/>
      <c r="HS12" s="69" t="n"/>
      <c r="HT12" s="69" t="n"/>
      <c r="HU12" s="69" t="n"/>
      <c r="HV12" s="69" t="n"/>
      <c r="HW12" s="69" t="n"/>
      <c r="HX12" s="69" t="n"/>
      <c r="HY12" s="69" t="n"/>
      <c r="HZ12" s="69" t="n"/>
      <c r="IA12" s="69" t="n"/>
      <c r="IB12" s="69" t="n"/>
      <c r="IC12" s="69" t="n"/>
      <c r="ID12" s="69" t="n"/>
      <c r="IE12" s="69" t="n"/>
      <c r="IF12" s="69" t="n"/>
      <c r="IG12" s="69" t="n"/>
      <c r="IH12" s="69" t="n"/>
      <c r="II12" s="69" t="n"/>
      <c r="IK12" s="0" t="inlineStr">
        <is>
          <t>config only</t>
        </is>
      </c>
      <c r="IL12" s="0" t="inlineStr">
        <is>
          <t>not declared</t>
        </is>
      </c>
    </row>
    <row r="13" ht="10.5" customHeight="1" s="67">
      <c r="A13" s="78" t="inlineStr">
        <is>
          <t>CIRCUIT_BREAKER_THRESHOLD_PCT</t>
        </is>
      </c>
      <c r="B13" s="49" t="n"/>
      <c r="G13" s="0">
        <f>IFERROR(VLOOKUP($A12&amp;"_"&amp;$B12,Results_Deltas!$A$2:$P$15000,5,FALSE),"")</f>
        <v/>
      </c>
      <c r="H13" s="0">
        <f>IFERROR(VLOOKUP($A12,Results_30d_Deltas!$A$2:$H$5000,7,FALSE)-E11,"")</f>
        <v/>
      </c>
      <c r="I13" s="0">
        <f>IFERROR(VLOOKUP($A12,Results_30d_Deltas!$A$2:$H$5000,6,FALSE),"")</f>
        <v/>
      </c>
      <c r="L13" s="0" t="inlineStr">
        <is>
          <t>YES</t>
        </is>
      </c>
      <c r="M13" s="69" t="n"/>
      <c r="N13" s="69" t="n"/>
      <c r="O13" s="69" t="n"/>
      <c r="P13" s="69" t="n"/>
      <c r="Q13" s="69" t="n"/>
      <c r="R13" s="69" t="n"/>
      <c r="S13" s="69" t="n"/>
      <c r="T13" s="69" t="n"/>
      <c r="U13" s="69" t="n"/>
      <c r="V13" s="69" t="n"/>
      <c r="W13" s="69" t="n"/>
      <c r="X13" s="69" t="n"/>
      <c r="Y13" s="69" t="n"/>
      <c r="Z13" s="69" t="n"/>
      <c r="AA13" s="69" t="n"/>
      <c r="AB13" s="69" t="n"/>
      <c r="AC13" s="69" t="n"/>
      <c r="AD13" s="69" t="n"/>
      <c r="AE13" s="69" t="n"/>
      <c r="AF13" s="69" t="n"/>
      <c r="AG13" s="69" t="n"/>
      <c r="AH13" s="69" t="n"/>
      <c r="AI13" s="69" t="n"/>
      <c r="AJ13" s="69" t="n"/>
      <c r="AK13" s="69" t="n"/>
      <c r="AL13" s="69" t="n"/>
      <c r="AM13" s="69" t="n"/>
      <c r="AN13" s="69" t="n"/>
      <c r="AO13" s="69" t="n"/>
      <c r="AP13" s="69" t="n"/>
      <c r="AQ13" s="69" t="n"/>
      <c r="AR13" s="69" t="n"/>
      <c r="AS13" s="69" t="n"/>
      <c r="AT13" s="69" t="n"/>
      <c r="AU13" s="69" t="n"/>
      <c r="AV13" s="69" t="n"/>
      <c r="AW13" s="69" t="n"/>
      <c r="AX13" s="69" t="n"/>
      <c r="AY13" s="69" t="n"/>
      <c r="AZ13" s="69" t="n"/>
      <c r="BA13" s="69" t="n"/>
      <c r="BB13" s="69" t="n"/>
      <c r="BC13" s="69" t="n"/>
      <c r="BD13" s="69" t="n"/>
      <c r="BE13" s="69" t="n"/>
      <c r="BF13" s="69" t="n"/>
      <c r="BG13" s="69" t="n"/>
      <c r="BH13" s="69" t="n"/>
      <c r="BI13" s="69" t="n"/>
      <c r="BJ13" s="69" t="n"/>
      <c r="BK13" s="69" t="n"/>
      <c r="BL13" s="69" t="n"/>
      <c r="BM13" s="69" t="n"/>
      <c r="BN13" s="69" t="n"/>
      <c r="BO13" s="69" t="n"/>
      <c r="BP13" s="69" t="n"/>
      <c r="BQ13" s="69" t="n"/>
      <c r="BR13" s="69" t="n"/>
      <c r="BS13" s="69" t="n"/>
      <c r="BT13" s="69" t="n"/>
      <c r="BU13" s="69" t="n"/>
      <c r="BV13" s="69" t="n"/>
      <c r="BW13" s="69" t="n"/>
      <c r="BX13" s="69" t="n"/>
      <c r="BY13" s="69" t="n"/>
      <c r="BZ13" s="69" t="n"/>
      <c r="CA13" s="69" t="n"/>
      <c r="CB13" s="69" t="n"/>
      <c r="CC13" s="69" t="n"/>
      <c r="CD13" s="69" t="n"/>
      <c r="CE13" s="69" t="n"/>
      <c r="CF13" s="69" t="n"/>
      <c r="CG13" s="69" t="n"/>
      <c r="CH13" s="69" t="n"/>
      <c r="CI13" s="69" t="n"/>
      <c r="CJ13" s="69" t="n"/>
      <c r="CK13" s="69" t="n"/>
      <c r="CL13" s="69" t="n"/>
      <c r="CM13" s="69" t="n"/>
      <c r="CN13" s="69" t="n"/>
      <c r="CO13" s="69" t="n"/>
      <c r="CP13" s="69" t="n"/>
      <c r="CQ13" s="69" t="n"/>
      <c r="CR13" s="69" t="n"/>
      <c r="CS13" s="69" t="n"/>
      <c r="CT13" s="69" t="n"/>
      <c r="CU13" s="69" t="n"/>
      <c r="CV13" s="69" t="n"/>
      <c r="CW13" s="69" t="n"/>
      <c r="CX13" s="69" t="n"/>
      <c r="CY13" s="69" t="n"/>
      <c r="CZ13" s="69" t="n"/>
      <c r="DA13" s="69" t="n"/>
      <c r="DB13" s="69" t="n"/>
      <c r="DC13" s="69" t="n"/>
      <c r="DD13" s="69" t="n"/>
      <c r="DE13" s="69" t="n"/>
      <c r="DF13" s="69" t="n"/>
      <c r="DG13" s="69" t="n"/>
      <c r="DH13" s="69" t="n"/>
      <c r="DI13" s="69" t="n"/>
      <c r="DJ13" s="69" t="n"/>
      <c r="DK13" s="69" t="n"/>
      <c r="DL13" s="69" t="n"/>
      <c r="DM13" s="69" t="n"/>
      <c r="DN13" s="69" t="n"/>
      <c r="DO13" s="69" t="n"/>
      <c r="DP13" s="69" t="n"/>
      <c r="DQ13" s="69" t="n"/>
      <c r="DR13" s="69" t="n"/>
      <c r="DS13" s="69" t="n"/>
      <c r="DT13" s="69" t="n"/>
      <c r="DU13" s="69" t="n"/>
      <c r="DV13" s="69" t="n"/>
      <c r="DW13" s="69" t="n"/>
      <c r="DX13" s="69" t="n"/>
      <c r="DY13" s="69" t="n"/>
      <c r="DZ13" s="69" t="n"/>
      <c r="EA13" s="69" t="n"/>
      <c r="EB13" s="69" t="n"/>
      <c r="EC13" s="69" t="n"/>
      <c r="ED13" s="69" t="n"/>
      <c r="EE13" s="69" t="n"/>
      <c r="EF13" s="69" t="n"/>
      <c r="EG13" s="69" t="n"/>
      <c r="EH13" s="69" t="n"/>
      <c r="EI13" s="69" t="n"/>
      <c r="EJ13" s="69" t="n"/>
      <c r="EK13" s="69" t="n"/>
      <c r="EL13" s="69" t="n"/>
      <c r="EM13" s="69" t="n"/>
      <c r="EN13" s="69" t="n"/>
      <c r="EO13" s="69" t="n"/>
      <c r="EP13" s="69" t="n"/>
      <c r="EQ13" s="69" t="n"/>
      <c r="ER13" s="69" t="n"/>
      <c r="ES13" s="69" t="n"/>
      <c r="ET13" s="69" t="n"/>
      <c r="EU13" s="69" t="n"/>
      <c r="EV13" s="69" t="n"/>
      <c r="EW13" s="69" t="n"/>
      <c r="EX13" s="69" t="n"/>
      <c r="EY13" s="69" t="n"/>
      <c r="EZ13" s="69" t="n"/>
      <c r="FA13" s="69" t="n"/>
      <c r="FB13" s="69" t="n"/>
      <c r="FC13" s="69" t="n"/>
      <c r="FD13" s="69" t="n"/>
      <c r="FE13" s="69" t="n"/>
      <c r="FF13" s="69" t="n"/>
      <c r="FG13" s="69" t="n"/>
      <c r="FH13" s="69" t="n"/>
      <c r="FI13" s="69" t="n"/>
      <c r="FJ13" s="69" t="n"/>
      <c r="FK13" s="69" t="n"/>
      <c r="FL13" s="69" t="n"/>
      <c r="FM13" s="69" t="n"/>
      <c r="FN13" s="69" t="n"/>
      <c r="FO13" s="69" t="n"/>
      <c r="FP13" s="69" t="n"/>
      <c r="FQ13" s="69" t="n"/>
      <c r="FR13" s="69" t="n"/>
      <c r="FS13" s="69" t="n"/>
      <c r="FT13" s="69" t="n"/>
      <c r="FU13" s="69" t="n"/>
      <c r="FV13" s="69" t="n"/>
      <c r="FW13" s="69" t="n"/>
      <c r="FX13" s="69" t="n"/>
      <c r="FY13" s="69" t="n"/>
      <c r="FZ13" s="69" t="n"/>
      <c r="GA13" s="69" t="n"/>
      <c r="GB13" s="69" t="n"/>
      <c r="GC13" s="69" t="n"/>
      <c r="GD13" s="69" t="n"/>
      <c r="GE13" s="69" t="n"/>
      <c r="GF13" s="69" t="n"/>
      <c r="GG13" s="69" t="n"/>
      <c r="GH13" s="69" t="n"/>
      <c r="GI13" s="69" t="n"/>
      <c r="GJ13" s="69" t="n"/>
      <c r="GK13" s="69" t="n"/>
      <c r="GL13" s="69" t="n"/>
      <c r="GM13" s="69" t="n"/>
      <c r="GN13" s="69" t="n"/>
      <c r="GO13" s="69" t="n"/>
      <c r="GP13" s="69" t="n"/>
      <c r="GQ13" s="69" t="n"/>
      <c r="GR13" s="69" t="n"/>
      <c r="GS13" s="69" t="n"/>
      <c r="GT13" s="69" t="n"/>
      <c r="GU13" s="69" t="n"/>
      <c r="GV13" s="69" t="n"/>
      <c r="GW13" s="69" t="n"/>
      <c r="GX13" s="69" t="n"/>
      <c r="GY13" s="69" t="n"/>
      <c r="GZ13" s="69" t="n"/>
      <c r="HA13" s="69" t="n"/>
      <c r="HB13" s="69" t="n"/>
      <c r="HC13" s="69" t="n"/>
      <c r="HD13" s="69" t="n"/>
      <c r="HE13" s="69" t="n"/>
      <c r="HF13" s="69" t="n"/>
      <c r="HG13" s="69" t="n"/>
      <c r="HH13" s="69" t="n"/>
      <c r="HI13" s="69" t="n"/>
      <c r="HJ13" s="69" t="n"/>
      <c r="HK13" s="69" t="n"/>
      <c r="HL13" s="69" t="n"/>
      <c r="HM13" s="69" t="n"/>
      <c r="HN13" s="69" t="n"/>
      <c r="HO13" s="69" t="n"/>
      <c r="HP13" s="69" t="n"/>
      <c r="HQ13" s="69" t="n"/>
      <c r="HR13" s="69" t="n"/>
      <c r="HS13" s="69" t="n"/>
      <c r="HT13" s="69" t="n"/>
      <c r="HU13" s="69" t="n"/>
      <c r="HV13" s="69" t="n"/>
      <c r="HW13" s="69" t="n"/>
      <c r="HX13" s="69" t="n"/>
      <c r="HY13" s="69" t="n"/>
      <c r="HZ13" s="69" t="n"/>
      <c r="IA13" s="69" t="n"/>
      <c r="IB13" s="69" t="n"/>
      <c r="IC13" s="69" t="n"/>
      <c r="ID13" s="69" t="n"/>
      <c r="IE13" s="69" t="n"/>
      <c r="IF13" s="69" t="n"/>
      <c r="IG13" s="69" t="n"/>
      <c r="IH13" s="69" t="n"/>
      <c r="II13" s="69" t="n"/>
      <c r="IK13" s="0" t="inlineStr">
        <is>
          <t>config only</t>
        </is>
      </c>
      <c r="IL13" s="0" t="inlineStr">
        <is>
          <t>not declared</t>
        </is>
      </c>
    </row>
    <row r="14" ht="10.5" customHeight="1" s="67">
      <c r="A14" s="78" t="inlineStr">
        <is>
          <t>HARD_AUGMENT_LOCK_SEC</t>
        </is>
      </c>
      <c r="B14" s="49" t="n"/>
      <c r="G14" s="0">
        <f>IFERROR(VLOOKUP($A20&amp;"_"&amp;$B20,Results_Deltas!$A$2:$P$15000,5,FALSE),"")</f>
        <v/>
      </c>
      <c r="H14" s="0">
        <f>IFERROR(VLOOKUP($A20,Results_30d_Deltas!$A$2:$H$5000,7,FALSE)-E19,"")</f>
        <v/>
      </c>
      <c r="I14" s="0">
        <f>IFERROR(VLOOKUP($A20,Results_30d_Deltas!$A$2:$H$5000,6,FALSE),"")</f>
        <v/>
      </c>
      <c r="L14" s="0" t="inlineStr">
        <is>
          <t>YES</t>
        </is>
      </c>
      <c r="M14" s="69" t="n"/>
      <c r="N14" s="69" t="n"/>
      <c r="O14" s="69" t="n"/>
      <c r="P14" s="69" t="n"/>
      <c r="Q14" s="69" t="n"/>
      <c r="R14" s="69" t="n"/>
      <c r="S14" s="69" t="n"/>
      <c r="T14" s="69" t="n"/>
      <c r="U14" s="69" t="n"/>
      <c r="V14" s="69" t="n"/>
      <c r="W14" s="69" t="n"/>
      <c r="X14" s="69" t="n"/>
      <c r="Y14" s="69" t="n"/>
      <c r="Z14" s="69" t="n"/>
      <c r="AA14" s="69" t="n"/>
      <c r="AB14" s="69" t="n"/>
      <c r="AC14" s="69" t="n"/>
      <c r="AD14" s="69" t="n"/>
      <c r="AE14" s="69" t="n"/>
      <c r="AF14" s="69" t="n"/>
      <c r="AG14" s="69" t="n"/>
      <c r="AH14" s="69" t="n"/>
      <c r="AI14" s="69" t="n"/>
      <c r="AJ14" s="69" t="n"/>
      <c r="AK14" s="69" t="n"/>
      <c r="AL14" s="69" t="n"/>
      <c r="AM14" s="69" t="n"/>
      <c r="AN14" s="69" t="n"/>
      <c r="AO14" s="69" t="n"/>
      <c r="AP14" s="69" t="n"/>
      <c r="AQ14" s="69" t="n"/>
      <c r="AR14" s="69" t="n"/>
      <c r="AS14" s="69" t="n"/>
      <c r="AT14" s="69" t="n"/>
      <c r="AU14" s="69" t="n"/>
      <c r="AV14" s="69" t="n"/>
      <c r="AW14" s="69" t="n"/>
      <c r="AX14" s="69" t="n"/>
      <c r="AY14" s="69" t="n"/>
      <c r="AZ14" s="69" t="n"/>
      <c r="BA14" s="69" t="n"/>
      <c r="BB14" s="69" t="n"/>
      <c r="BC14" s="69" t="n"/>
      <c r="BD14" s="69" t="n"/>
      <c r="BE14" s="69" t="n"/>
      <c r="BF14" s="69" t="n"/>
      <c r="BG14" s="69" t="n"/>
      <c r="BH14" s="69" t="n"/>
      <c r="BI14" s="69" t="n"/>
      <c r="BJ14" s="69" t="n"/>
      <c r="BK14" s="69" t="n"/>
      <c r="BL14" s="69" t="n"/>
      <c r="BM14" s="69" t="n"/>
      <c r="BN14" s="69" t="n"/>
      <c r="BO14" s="69" t="n"/>
      <c r="BP14" s="69" t="n"/>
      <c r="BQ14" s="69" t="n"/>
      <c r="BR14" s="69" t="n"/>
      <c r="BS14" s="69" t="n"/>
      <c r="BT14" s="69" t="n"/>
      <c r="BU14" s="69" t="n"/>
      <c r="BV14" s="69" t="n"/>
      <c r="BW14" s="69" t="n"/>
      <c r="BX14" s="69" t="n"/>
      <c r="BY14" s="69" t="n"/>
      <c r="BZ14" s="69" t="n"/>
      <c r="CA14" s="69" t="n"/>
      <c r="CB14" s="69" t="n"/>
      <c r="CC14" s="69" t="n"/>
      <c r="CD14" s="69" t="n"/>
      <c r="CE14" s="69" t="n"/>
      <c r="CF14" s="69" t="n"/>
      <c r="CG14" s="69" t="n"/>
      <c r="CH14" s="69" t="n"/>
      <c r="CI14" s="69" t="n"/>
      <c r="CJ14" s="69" t="n"/>
      <c r="CK14" s="69" t="n"/>
      <c r="CL14" s="69" t="n"/>
      <c r="CM14" s="69" t="n"/>
      <c r="CN14" s="69" t="n"/>
      <c r="CO14" s="69" t="n"/>
      <c r="CP14" s="69" t="n"/>
      <c r="CQ14" s="69" t="n"/>
      <c r="CR14" s="69" t="n"/>
      <c r="CS14" s="69" t="n"/>
      <c r="CT14" s="69" t="n"/>
      <c r="CU14" s="69" t="n"/>
      <c r="CV14" s="69" t="n"/>
      <c r="CW14" s="69" t="n"/>
      <c r="CX14" s="69" t="n"/>
      <c r="CY14" s="69" t="n"/>
      <c r="CZ14" s="69" t="n"/>
      <c r="DA14" s="69" t="n"/>
      <c r="DB14" s="69" t="n"/>
      <c r="DC14" s="69" t="n"/>
      <c r="DD14" s="69" t="n"/>
      <c r="DE14" s="69" t="n"/>
      <c r="DF14" s="69" t="n"/>
      <c r="DG14" s="69" t="n"/>
      <c r="DH14" s="69" t="n"/>
      <c r="DI14" s="69" t="n"/>
      <c r="DJ14" s="69" t="n"/>
      <c r="DK14" s="69" t="n"/>
      <c r="DL14" s="69" t="n"/>
      <c r="DM14" s="69" t="n"/>
      <c r="DN14" s="69" t="n"/>
      <c r="DO14" s="69" t="n"/>
      <c r="DP14" s="69" t="n"/>
      <c r="DQ14" s="69" t="n"/>
      <c r="DR14" s="69" t="n"/>
      <c r="DS14" s="69" t="n"/>
      <c r="DT14" s="69" t="n"/>
      <c r="DU14" s="69" t="n"/>
      <c r="DV14" s="69" t="n"/>
      <c r="DW14" s="69" t="n"/>
      <c r="DX14" s="69" t="n"/>
      <c r="DY14" s="69" t="n"/>
      <c r="DZ14" s="69" t="n"/>
      <c r="EA14" s="69" t="n"/>
      <c r="EB14" s="69" t="n"/>
      <c r="EC14" s="69" t="n"/>
      <c r="ED14" s="69" t="n"/>
      <c r="EE14" s="69" t="n"/>
      <c r="EF14" s="69" t="n"/>
      <c r="EG14" s="69" t="n"/>
      <c r="EH14" s="69" t="n"/>
      <c r="EI14" s="69" t="n"/>
      <c r="EJ14" s="69" t="n"/>
      <c r="EK14" s="69" t="n"/>
      <c r="EL14" s="69" t="n"/>
      <c r="EM14" s="69" t="n"/>
      <c r="EN14" s="69" t="n"/>
      <c r="EO14" s="69" t="n"/>
      <c r="EP14" s="69" t="n"/>
      <c r="EQ14" s="69" t="n"/>
      <c r="ER14" s="69" t="n"/>
      <c r="ES14" s="69" t="n"/>
      <c r="ET14" s="69" t="n"/>
      <c r="EU14" s="69" t="n"/>
      <c r="EV14" s="69" t="n"/>
      <c r="EW14" s="69" t="n"/>
      <c r="EX14" s="69" t="n"/>
      <c r="EY14" s="69" t="n"/>
      <c r="EZ14" s="69" t="n"/>
      <c r="FA14" s="69" t="n"/>
      <c r="FB14" s="69" t="n"/>
      <c r="FC14" s="69" t="n"/>
      <c r="FD14" s="69" t="n"/>
      <c r="FE14" s="69" t="n"/>
      <c r="FF14" s="69" t="n"/>
      <c r="FG14" s="69" t="n"/>
      <c r="FH14" s="69" t="n"/>
      <c r="FI14" s="69" t="n"/>
      <c r="FJ14" s="69" t="n"/>
      <c r="FK14" s="69" t="n"/>
      <c r="FL14" s="69" t="n"/>
      <c r="FM14" s="69" t="n"/>
      <c r="FN14" s="69" t="n"/>
      <c r="FO14" s="69" t="n"/>
      <c r="FP14" s="69" t="n"/>
      <c r="FQ14" s="69" t="n"/>
      <c r="FR14" s="69" t="n"/>
      <c r="FS14" s="69" t="n"/>
      <c r="FT14" s="69" t="n"/>
      <c r="FU14" s="69" t="n"/>
      <c r="FV14" s="69" t="n"/>
      <c r="FW14" s="69" t="n"/>
      <c r="FX14" s="69" t="n"/>
      <c r="FY14" s="69" t="n"/>
      <c r="FZ14" s="69" t="n"/>
      <c r="GA14" s="69" t="n"/>
      <c r="GB14" s="69" t="n"/>
      <c r="GC14" s="69" t="n"/>
      <c r="GD14" s="69" t="n"/>
      <c r="GE14" s="69" t="n"/>
      <c r="GF14" s="69" t="n"/>
      <c r="GG14" s="69" t="n"/>
      <c r="GH14" s="69" t="n"/>
      <c r="GI14" s="69" t="n"/>
      <c r="GJ14" s="69" t="n"/>
      <c r="GK14" s="69" t="n"/>
      <c r="GL14" s="69" t="n"/>
      <c r="GM14" s="69" t="n"/>
      <c r="GN14" s="69" t="n"/>
      <c r="GO14" s="69" t="n"/>
      <c r="GP14" s="69" t="n"/>
      <c r="GQ14" s="69" t="n"/>
      <c r="GR14" s="69" t="n"/>
      <c r="GS14" s="69" t="n"/>
      <c r="GT14" s="69" t="n"/>
      <c r="GU14" s="69" t="n"/>
      <c r="GV14" s="69" t="n"/>
      <c r="GW14" s="69" t="n"/>
      <c r="GX14" s="69" t="n"/>
      <c r="GY14" s="69" t="n"/>
      <c r="GZ14" s="69" t="n"/>
      <c r="HA14" s="69" t="n"/>
      <c r="HB14" s="69" t="n"/>
      <c r="HC14" s="69" t="n"/>
      <c r="HD14" s="69" t="n"/>
      <c r="HE14" s="69" t="n"/>
      <c r="HF14" s="69" t="n"/>
      <c r="HG14" s="69" t="n"/>
      <c r="HH14" s="69" t="n"/>
      <c r="HI14" s="69" t="n"/>
      <c r="HJ14" s="69" t="n"/>
      <c r="HK14" s="69" t="n"/>
      <c r="HL14" s="69" t="n"/>
      <c r="HM14" s="69" t="n"/>
      <c r="HN14" s="69" t="n"/>
      <c r="HO14" s="69" t="n"/>
      <c r="HP14" s="69" t="n"/>
      <c r="HQ14" s="69" t="n"/>
      <c r="HR14" s="69" t="n"/>
      <c r="HS14" s="69" t="n"/>
      <c r="HT14" s="69" t="n"/>
      <c r="HU14" s="69" t="n"/>
      <c r="HV14" s="69" t="n"/>
      <c r="HW14" s="69" t="n"/>
      <c r="HX14" s="69" t="n"/>
      <c r="HY14" s="69" t="n"/>
      <c r="HZ14" s="69" t="n"/>
      <c r="IA14" s="69" t="n"/>
      <c r="IB14" s="69" t="n"/>
      <c r="IC14" s="69" t="n"/>
      <c r="ID14" s="69" t="n"/>
      <c r="IE14" s="69" t="n"/>
      <c r="IF14" s="69" t="n"/>
      <c r="IG14" s="69" t="n"/>
      <c r="IH14" s="69" t="n"/>
      <c r="II14" s="69" t="n"/>
      <c r="IK14" s="0" t="inlineStr">
        <is>
          <t>config only</t>
        </is>
      </c>
      <c r="IL14" s="0" t="inlineStr">
        <is>
          <t>not declared</t>
        </is>
      </c>
    </row>
    <row r="15" ht="10.5" customHeight="1" s="67">
      <c r="A15" s="78" t="inlineStr">
        <is>
          <t>HARD_REDUCE_LOCK_SEC</t>
        </is>
      </c>
      <c r="B15" s="49" t="n"/>
      <c r="G15" s="0">
        <f>IFERROR(VLOOKUP($A21&amp;"_"&amp;$B21,Results_Deltas!$A$2:$P$15000,5,FALSE),"")</f>
        <v/>
      </c>
      <c r="H15" s="0">
        <f>IFERROR(VLOOKUP($A21,Results_30d_Deltas!$A$2:$H$5000,7,FALSE)-E20,"")</f>
        <v/>
      </c>
      <c r="I15" s="0">
        <f>IFERROR(VLOOKUP($A21,Results_30d_Deltas!$A$2:$H$5000,6,FALSE),"")</f>
        <v/>
      </c>
      <c r="L15" s="0" t="inlineStr">
        <is>
          <t>YES</t>
        </is>
      </c>
      <c r="M15" s="69" t="n"/>
      <c r="N15" s="69" t="n"/>
      <c r="O15" s="69" t="n"/>
      <c r="P15" s="69" t="n"/>
      <c r="Q15" s="69" t="n"/>
      <c r="R15" s="69" t="n"/>
      <c r="S15" s="69" t="n"/>
      <c r="T15" s="69" t="n"/>
      <c r="U15" s="69" t="n"/>
      <c r="V15" s="69" t="n"/>
      <c r="W15" s="69" t="n"/>
      <c r="X15" s="69" t="n"/>
      <c r="Y15" s="69" t="n"/>
      <c r="Z15" s="69" t="n"/>
      <c r="AA15" s="69" t="n"/>
      <c r="AB15" s="69" t="n"/>
      <c r="AC15" s="69" t="n"/>
      <c r="AD15" s="69" t="n"/>
      <c r="AE15" s="69" t="n"/>
      <c r="AF15" s="69" t="n"/>
      <c r="AG15" s="69" t="n"/>
      <c r="AH15" s="69" t="n"/>
      <c r="AI15" s="69" t="n"/>
      <c r="AJ15" s="69" t="n"/>
      <c r="AK15" s="69" t="n"/>
      <c r="AL15" s="69" t="n"/>
      <c r="AM15" s="69" t="n"/>
      <c r="AN15" s="69" t="n"/>
      <c r="AO15" s="69" t="n"/>
      <c r="AP15" s="69" t="n"/>
      <c r="AQ15" s="69" t="n"/>
      <c r="AR15" s="69" t="n"/>
      <c r="AS15" s="69" t="n"/>
      <c r="AT15" s="69" t="n"/>
      <c r="AU15" s="69" t="n"/>
      <c r="AV15" s="69" t="n"/>
      <c r="AW15" s="69" t="n"/>
      <c r="AX15" s="69" t="n"/>
      <c r="AY15" s="69" t="n"/>
      <c r="AZ15" s="69" t="n"/>
      <c r="BA15" s="69" t="n"/>
      <c r="BB15" s="69" t="n"/>
      <c r="BC15" s="69" t="n"/>
      <c r="BD15" s="69" t="n"/>
      <c r="BE15" s="69" t="n"/>
      <c r="BF15" s="69" t="n"/>
      <c r="BG15" s="69" t="n"/>
      <c r="BH15" s="69" t="n"/>
      <c r="BI15" s="69" t="n"/>
      <c r="BJ15" s="69" t="n"/>
      <c r="BK15" s="69" t="n"/>
      <c r="BL15" s="69" t="n"/>
      <c r="BM15" s="69" t="n"/>
      <c r="BN15" s="69" t="n"/>
      <c r="BO15" s="69" t="n"/>
      <c r="BP15" s="69" t="n"/>
      <c r="BQ15" s="69" t="n"/>
      <c r="BR15" s="69" t="n"/>
      <c r="BS15" s="69" t="n"/>
      <c r="BT15" s="69" t="n"/>
      <c r="BU15" s="69" t="n"/>
      <c r="BV15" s="69" t="n"/>
      <c r="BW15" s="69" t="n"/>
      <c r="BX15" s="69" t="n"/>
      <c r="BY15" s="69" t="n"/>
      <c r="BZ15" s="69" t="n"/>
      <c r="CA15" s="69" t="n"/>
      <c r="CB15" s="69" t="n"/>
      <c r="CC15" s="69" t="n"/>
      <c r="CD15" s="69" t="n"/>
      <c r="CE15" s="69" t="n"/>
      <c r="CF15" s="69" t="n"/>
      <c r="CG15" s="69" t="n"/>
      <c r="CH15" s="69" t="n"/>
      <c r="CI15" s="69" t="n"/>
      <c r="CJ15" s="69" t="n"/>
      <c r="CK15" s="69" t="n"/>
      <c r="CL15" s="69" t="n"/>
      <c r="CM15" s="69" t="n"/>
      <c r="CN15" s="69" t="n"/>
      <c r="CO15" s="69" t="n"/>
      <c r="CP15" s="69" t="n"/>
      <c r="CQ15" s="69" t="n"/>
      <c r="CR15" s="69" t="n"/>
      <c r="CS15" s="69" t="n"/>
      <c r="CT15" s="69" t="n"/>
      <c r="CU15" s="69" t="n"/>
      <c r="CV15" s="69" t="n"/>
      <c r="CW15" s="69" t="n"/>
      <c r="CX15" s="69" t="n"/>
      <c r="CY15" s="69" t="n"/>
      <c r="CZ15" s="69" t="n"/>
      <c r="DA15" s="69" t="n"/>
      <c r="DB15" s="69" t="n"/>
      <c r="DC15" s="69" t="n"/>
      <c r="DD15" s="69" t="n"/>
      <c r="DE15" s="69" t="n"/>
      <c r="DF15" s="69" t="n"/>
      <c r="DG15" s="69" t="n"/>
      <c r="DH15" s="69" t="n"/>
      <c r="DI15" s="69" t="n"/>
      <c r="DJ15" s="69" t="n"/>
      <c r="DK15" s="69" t="n"/>
      <c r="DL15" s="69" t="n"/>
      <c r="DM15" s="69" t="n"/>
      <c r="DN15" s="69" t="n"/>
      <c r="DO15" s="69" t="n"/>
      <c r="DP15" s="69" t="n"/>
      <c r="DQ15" s="69" t="n"/>
      <c r="DR15" s="69" t="n"/>
      <c r="DS15" s="69" t="n"/>
      <c r="DT15" s="69" t="n"/>
      <c r="DU15" s="69" t="n"/>
      <c r="DV15" s="69" t="n"/>
      <c r="DW15" s="69" t="n"/>
      <c r="DX15" s="69" t="n"/>
      <c r="DY15" s="69" t="n"/>
      <c r="DZ15" s="69" t="n"/>
      <c r="EA15" s="69" t="n"/>
      <c r="EB15" s="69" t="n"/>
      <c r="EC15" s="69" t="n"/>
      <c r="ED15" s="69" t="n"/>
      <c r="EE15" s="69" t="n"/>
      <c r="EF15" s="69" t="n"/>
      <c r="EG15" s="69" t="n"/>
      <c r="EH15" s="69" t="n"/>
      <c r="EI15" s="69" t="n"/>
      <c r="EJ15" s="69" t="n"/>
      <c r="EK15" s="69" t="n"/>
      <c r="EL15" s="69" t="n"/>
      <c r="EM15" s="69" t="n"/>
      <c r="EN15" s="69" t="n"/>
      <c r="EO15" s="69" t="n"/>
      <c r="EP15" s="69" t="n"/>
      <c r="EQ15" s="69" t="n"/>
      <c r="ER15" s="69" t="n"/>
      <c r="ES15" s="69" t="n"/>
      <c r="ET15" s="69" t="n"/>
      <c r="EU15" s="69" t="n"/>
      <c r="EV15" s="69" t="n"/>
      <c r="EW15" s="69" t="n"/>
      <c r="EX15" s="69" t="n"/>
      <c r="EY15" s="69" t="n"/>
      <c r="EZ15" s="69" t="n"/>
      <c r="FA15" s="69" t="n"/>
      <c r="FB15" s="69" t="n"/>
      <c r="FC15" s="69" t="n"/>
      <c r="FD15" s="69" t="n"/>
      <c r="FE15" s="69" t="n"/>
      <c r="FF15" s="69" t="n"/>
      <c r="FG15" s="69" t="n"/>
      <c r="FH15" s="69" t="n"/>
      <c r="FI15" s="69" t="n"/>
      <c r="FJ15" s="69" t="n"/>
      <c r="FK15" s="69" t="n"/>
      <c r="FL15" s="69" t="n"/>
      <c r="FM15" s="69" t="n"/>
      <c r="FN15" s="69" t="n"/>
      <c r="FO15" s="69" t="n"/>
      <c r="FP15" s="69" t="n"/>
      <c r="FQ15" s="69" t="n"/>
      <c r="FR15" s="69" t="n"/>
      <c r="FS15" s="69" t="n"/>
      <c r="FT15" s="69" t="n"/>
      <c r="FU15" s="69" t="n"/>
      <c r="FV15" s="69" t="n"/>
      <c r="FW15" s="69" t="n"/>
      <c r="FX15" s="69" t="n"/>
      <c r="FY15" s="69" t="n"/>
      <c r="FZ15" s="69" t="n"/>
      <c r="GA15" s="69" t="n"/>
      <c r="GB15" s="69" t="n"/>
      <c r="GC15" s="69" t="n"/>
      <c r="GD15" s="69" t="n"/>
      <c r="GE15" s="69" t="n"/>
      <c r="GF15" s="69" t="n"/>
      <c r="GG15" s="69" t="n"/>
      <c r="GH15" s="69" t="n"/>
      <c r="GI15" s="69" t="n"/>
      <c r="GJ15" s="69" t="n"/>
      <c r="GK15" s="69" t="n"/>
      <c r="GL15" s="69" t="n"/>
      <c r="GM15" s="69" t="n"/>
      <c r="GN15" s="69" t="n"/>
      <c r="GO15" s="69" t="n"/>
      <c r="GP15" s="69" t="n"/>
      <c r="GQ15" s="69" t="n"/>
      <c r="GR15" s="69" t="n"/>
      <c r="GS15" s="69" t="n"/>
      <c r="GT15" s="69" t="n"/>
      <c r="GU15" s="69" t="n"/>
      <c r="GV15" s="69" t="n"/>
      <c r="GW15" s="69" t="n"/>
      <c r="GX15" s="69" t="n"/>
      <c r="GY15" s="69" t="n"/>
      <c r="GZ15" s="69" t="n"/>
      <c r="HA15" s="69" t="n"/>
      <c r="HB15" s="69" t="n"/>
      <c r="HC15" s="69" t="n"/>
      <c r="HD15" s="69" t="n"/>
      <c r="HE15" s="69" t="n"/>
      <c r="HF15" s="69" t="n"/>
      <c r="HG15" s="69" t="n"/>
      <c r="HH15" s="69" t="n"/>
      <c r="HI15" s="69" t="n"/>
      <c r="HJ15" s="69" t="n"/>
      <c r="HK15" s="69" t="n"/>
      <c r="HL15" s="69" t="n"/>
      <c r="HM15" s="69" t="n"/>
      <c r="HN15" s="69" t="n"/>
      <c r="HO15" s="69" t="n"/>
      <c r="HP15" s="69" t="n"/>
      <c r="HQ15" s="69" t="n"/>
      <c r="HR15" s="69" t="n"/>
      <c r="HS15" s="69" t="n"/>
      <c r="HT15" s="69" t="n"/>
      <c r="HU15" s="69" t="n"/>
      <c r="HV15" s="69" t="n"/>
      <c r="HW15" s="69" t="n"/>
      <c r="HX15" s="69" t="n"/>
      <c r="HY15" s="69" t="n"/>
      <c r="HZ15" s="69" t="n"/>
      <c r="IA15" s="69" t="n"/>
      <c r="IB15" s="69" t="n"/>
      <c r="IC15" s="69" t="n"/>
      <c r="ID15" s="69" t="n"/>
      <c r="IE15" s="69" t="n"/>
      <c r="IF15" s="69" t="n"/>
      <c r="IG15" s="69" t="n"/>
      <c r="IH15" s="69" t="n"/>
      <c r="II15" s="69" t="n"/>
      <c r="IK15" s="0" t="inlineStr">
        <is>
          <t>config only</t>
        </is>
      </c>
      <c r="IL15" s="0" t="inlineStr">
        <is>
          <t>not declared</t>
        </is>
      </c>
    </row>
    <row r="16" ht="10.5" customHeight="1" s="67">
      <c r="A16" s="78" t="inlineStr">
        <is>
          <t>STALE_HOLD_ENABLED</t>
        </is>
      </c>
      <c r="B16" s="49" t="n"/>
      <c r="G16" s="0">
        <f>IFERROR(VLOOKUP($A34&amp;"_"&amp;$B34,Results_Deltas!$A$2:$P$15000,5,FALSE),"")</f>
        <v/>
      </c>
      <c r="H16" s="0">
        <f>IFERROR(VLOOKUP($A34,Results_30d_Deltas!$A$2:$H$5000,7,FALSE)-E33,"")</f>
        <v/>
      </c>
      <c r="I16" s="0">
        <f>IFERROR(VLOOKUP($A34,Results_30d_Deltas!$A$2:$H$5000,6,FALSE),"")</f>
        <v/>
      </c>
      <c r="L16" s="0" t="inlineStr">
        <is>
          <t>YES</t>
        </is>
      </c>
      <c r="M16" s="69" t="n"/>
      <c r="N16" s="69" t="n"/>
      <c r="O16" s="69" t="n"/>
      <c r="P16" s="69" t="n"/>
      <c r="Q16" s="69" t="n"/>
      <c r="R16" s="69" t="n"/>
      <c r="S16" s="69" t="n"/>
      <c r="T16" s="69" t="n"/>
      <c r="U16" s="69" t="n"/>
      <c r="V16" s="69" t="n"/>
      <c r="W16" s="69" t="n"/>
      <c r="X16" s="69" t="n"/>
      <c r="Y16" s="69" t="n"/>
      <c r="Z16" s="69" t="n"/>
      <c r="AA16" s="69" t="n"/>
      <c r="AB16" s="69" t="n"/>
      <c r="AC16" s="69" t="n"/>
      <c r="AD16" s="69" t="n"/>
      <c r="AE16" s="69" t="n"/>
      <c r="AF16" s="69" t="n"/>
      <c r="AG16" s="69" t="n"/>
      <c r="AH16" s="69" t="n"/>
      <c r="AI16" s="69" t="n"/>
      <c r="AJ16" s="69" t="n"/>
      <c r="AK16" s="69" t="n"/>
      <c r="AL16" s="69" t="n"/>
      <c r="AM16" s="69" t="n"/>
      <c r="AN16" s="69" t="n"/>
      <c r="AO16" s="69" t="n"/>
      <c r="AP16" s="69" t="n"/>
      <c r="AQ16" s="69" t="n"/>
      <c r="AR16" s="69" t="n"/>
      <c r="AS16" s="69" t="n"/>
      <c r="AT16" s="69" t="n"/>
      <c r="AU16" s="69" t="n"/>
      <c r="AV16" s="69" t="n"/>
      <c r="AW16" s="69" t="n"/>
      <c r="AX16" s="69" t="n"/>
      <c r="AY16" s="69" t="n"/>
      <c r="AZ16" s="69" t="n"/>
      <c r="BA16" s="69" t="n"/>
      <c r="BB16" s="69" t="n"/>
      <c r="BC16" s="69" t="n"/>
      <c r="BD16" s="69" t="n"/>
      <c r="BE16" s="69" t="n"/>
      <c r="BF16" s="69" t="n"/>
      <c r="BG16" s="69" t="n"/>
      <c r="BH16" s="69" t="n"/>
      <c r="BI16" s="69" t="n"/>
      <c r="BJ16" s="69" t="n"/>
      <c r="BK16" s="69" t="n"/>
      <c r="BL16" s="69" t="n"/>
      <c r="BM16" s="69" t="n"/>
      <c r="BN16" s="69" t="n"/>
      <c r="BO16" s="69" t="n"/>
      <c r="BP16" s="69" t="n"/>
      <c r="BQ16" s="69" t="n"/>
      <c r="BR16" s="69" t="n"/>
      <c r="BS16" s="69" t="n"/>
      <c r="BT16" s="69" t="n"/>
      <c r="BU16" s="69" t="n"/>
      <c r="BV16" s="69" t="n"/>
      <c r="BW16" s="69" t="n"/>
      <c r="BX16" s="69" t="n"/>
      <c r="BY16" s="69" t="n"/>
      <c r="BZ16" s="69" t="n"/>
      <c r="CA16" s="69" t="n"/>
      <c r="CB16" s="69" t="n"/>
      <c r="CC16" s="69" t="n"/>
      <c r="CD16" s="69" t="n"/>
      <c r="CE16" s="69" t="n"/>
      <c r="CF16" s="69" t="n"/>
      <c r="CG16" s="69" t="n"/>
      <c r="CH16" s="69" t="n"/>
      <c r="CI16" s="69" t="n"/>
      <c r="CJ16" s="69" t="n"/>
      <c r="CK16" s="69" t="n"/>
      <c r="CL16" s="69" t="n"/>
      <c r="CM16" s="69" t="n"/>
      <c r="CN16" s="69" t="n"/>
      <c r="CO16" s="69" t="n"/>
      <c r="CP16" s="69" t="n"/>
      <c r="CQ16" s="69" t="n"/>
      <c r="CR16" s="69" t="n"/>
      <c r="CS16" s="69" t="n"/>
      <c r="CT16" s="69" t="n"/>
      <c r="CU16" s="69" t="n"/>
      <c r="CV16" s="69" t="n"/>
      <c r="CW16" s="69" t="n"/>
      <c r="CX16" s="69" t="n"/>
      <c r="CY16" s="69" t="n"/>
      <c r="CZ16" s="69" t="n"/>
      <c r="DA16" s="69" t="n"/>
      <c r="DB16" s="69" t="n"/>
      <c r="DC16" s="69" t="n"/>
      <c r="DD16" s="69" t="n"/>
      <c r="DE16" s="69" t="n"/>
      <c r="DF16" s="69" t="n"/>
      <c r="DG16" s="69" t="n"/>
      <c r="DH16" s="69" t="n"/>
      <c r="DI16" s="69" t="n"/>
      <c r="DJ16" s="69" t="n"/>
      <c r="DK16" s="69" t="n"/>
      <c r="DL16" s="69" t="n"/>
      <c r="DM16" s="69" t="n"/>
      <c r="DN16" s="69" t="n"/>
      <c r="DO16" s="69" t="n"/>
      <c r="DP16" s="69" t="n"/>
      <c r="DQ16" s="69" t="n"/>
      <c r="DR16" s="69" t="n"/>
      <c r="DS16" s="69" t="n"/>
      <c r="DT16" s="69" t="n"/>
      <c r="DU16" s="69" t="n"/>
      <c r="DV16" s="69" t="n"/>
      <c r="DW16" s="69" t="n"/>
      <c r="DX16" s="69" t="n"/>
      <c r="DY16" s="69" t="n"/>
      <c r="DZ16" s="69" t="n"/>
      <c r="EA16" s="69" t="n"/>
      <c r="EB16" s="69" t="n"/>
      <c r="EC16" s="69" t="n"/>
      <c r="ED16" s="69" t="n"/>
      <c r="EE16" s="69" t="n"/>
      <c r="EF16" s="69" t="n"/>
      <c r="EG16" s="69" t="n"/>
      <c r="EH16" s="69" t="n"/>
      <c r="EI16" s="69" t="n"/>
      <c r="EJ16" s="69" t="n"/>
      <c r="EK16" s="69" t="n"/>
      <c r="EL16" s="69" t="n"/>
      <c r="EM16" s="69" t="n"/>
      <c r="EN16" s="69" t="n"/>
      <c r="EO16" s="69" t="n"/>
      <c r="EP16" s="69" t="n"/>
      <c r="EQ16" s="69" t="n"/>
      <c r="ER16" s="69" t="n"/>
      <c r="ES16" s="69" t="n"/>
      <c r="ET16" s="69" t="n"/>
      <c r="EU16" s="69" t="n"/>
      <c r="EV16" s="69" t="n"/>
      <c r="EW16" s="69" t="n"/>
      <c r="EX16" s="69" t="n"/>
      <c r="EY16" s="69" t="n"/>
      <c r="EZ16" s="69" t="n"/>
      <c r="FA16" s="69" t="n"/>
      <c r="FB16" s="69" t="n"/>
      <c r="FC16" s="69" t="n"/>
      <c r="FD16" s="69" t="n"/>
      <c r="FE16" s="69" t="n"/>
      <c r="FF16" s="69" t="n"/>
      <c r="FG16" s="69" t="n"/>
      <c r="FH16" s="69" t="n"/>
      <c r="FI16" s="69" t="n"/>
      <c r="FJ16" s="69" t="n"/>
      <c r="FK16" s="69" t="n"/>
      <c r="FL16" s="69" t="n"/>
      <c r="FM16" s="69" t="n"/>
      <c r="FN16" s="69" t="n"/>
      <c r="FO16" s="69" t="n"/>
      <c r="FP16" s="69" t="n"/>
      <c r="FQ16" s="69" t="n"/>
      <c r="FR16" s="69" t="n"/>
      <c r="FS16" s="69" t="n"/>
      <c r="FT16" s="69" t="n"/>
      <c r="FU16" s="69" t="n"/>
      <c r="FV16" s="69" t="n"/>
      <c r="FW16" s="69" t="n"/>
      <c r="FX16" s="69" t="n"/>
      <c r="FY16" s="69" t="n"/>
      <c r="FZ16" s="69" t="n"/>
      <c r="GA16" s="69" t="n"/>
      <c r="GB16" s="69" t="n"/>
      <c r="GC16" s="69" t="n"/>
      <c r="GD16" s="69" t="n"/>
      <c r="GE16" s="69" t="n"/>
      <c r="GF16" s="69" t="n"/>
      <c r="GG16" s="69" t="n"/>
      <c r="GH16" s="69" t="n"/>
      <c r="GI16" s="69" t="n"/>
      <c r="GJ16" s="69" t="n"/>
      <c r="GK16" s="69" t="n"/>
      <c r="GL16" s="69" t="n"/>
      <c r="GM16" s="69" t="n"/>
      <c r="GN16" s="69" t="n"/>
      <c r="GO16" s="69" t="n"/>
      <c r="GP16" s="69" t="n"/>
      <c r="GQ16" s="69" t="n"/>
      <c r="GR16" s="69" t="n"/>
      <c r="GS16" s="69" t="n"/>
      <c r="GT16" s="69" t="n"/>
      <c r="GU16" s="69" t="n"/>
      <c r="GV16" s="69" t="n"/>
      <c r="GW16" s="69" t="n"/>
      <c r="GX16" s="69" t="n"/>
      <c r="GY16" s="69" t="n"/>
      <c r="GZ16" s="69" t="n"/>
      <c r="HA16" s="69" t="n"/>
      <c r="HB16" s="69" t="n"/>
      <c r="HC16" s="69" t="n"/>
      <c r="HD16" s="69" t="n"/>
      <c r="HE16" s="69" t="n"/>
      <c r="HF16" s="69" t="n"/>
      <c r="HG16" s="69" t="n"/>
      <c r="HH16" s="69" t="n"/>
      <c r="HI16" s="69" t="n"/>
      <c r="HJ16" s="69" t="n"/>
      <c r="HK16" s="69" t="n"/>
      <c r="HL16" s="69" t="n"/>
      <c r="HM16" s="69" t="n"/>
      <c r="HN16" s="69" t="n"/>
      <c r="HO16" s="69" t="n"/>
      <c r="HP16" s="69" t="n"/>
      <c r="HQ16" s="69" t="n"/>
      <c r="HR16" s="69" t="n"/>
      <c r="HS16" s="69" t="n"/>
      <c r="HT16" s="69" t="n"/>
      <c r="HU16" s="69" t="n"/>
      <c r="HV16" s="69" t="n"/>
      <c r="HW16" s="69" t="n"/>
      <c r="HX16" s="69" t="n"/>
      <c r="HY16" s="69" t="n"/>
      <c r="HZ16" s="69" t="n"/>
      <c r="IA16" s="69" t="n"/>
      <c r="IB16" s="69" t="n"/>
      <c r="IC16" s="69" t="n"/>
      <c r="ID16" s="69" t="n"/>
      <c r="IE16" s="69" t="n"/>
      <c r="IF16" s="69" t="n"/>
      <c r="IG16" s="69" t="n"/>
      <c r="IH16" s="69" t="n"/>
      <c r="II16" s="69" t="n"/>
      <c r="IK16" s="0" t="inlineStr">
        <is>
          <t>config only</t>
        </is>
      </c>
      <c r="IL16" s="0" t="inlineStr">
        <is>
          <t>not declared</t>
        </is>
      </c>
    </row>
    <row r="17" ht="10.5" customHeight="1" s="67">
      <c r="A17" s="78" t="inlineStr">
        <is>
          <t>UNIVERSAL_NOLOSS_BYPASS_REASONS</t>
        </is>
      </c>
      <c r="B17" s="49" t="n"/>
      <c r="G17" s="0">
        <f>IFERROR(VLOOKUP($A40&amp;"_"&amp;$B40,Results_Deltas!$A$2:$P$15000,5,FALSE),"")</f>
        <v/>
      </c>
      <c r="H17" s="0">
        <f>IFERROR(VLOOKUP($A40,Results_30d_Deltas!$A$2:$H$5000,7,FALSE)-E39,"")</f>
        <v/>
      </c>
      <c r="I17" s="0">
        <f>IFERROR(VLOOKUP($A40,Results_30d_Deltas!$A$2:$H$5000,6,FALSE),"")</f>
        <v/>
      </c>
      <c r="L17" s="0" t="inlineStr">
        <is>
          <t>YES</t>
        </is>
      </c>
      <c r="M17" s="69" t="n"/>
      <c r="N17" s="69" t="n"/>
      <c r="O17" s="69" t="n"/>
      <c r="P17" s="69" t="n"/>
      <c r="Q17" s="69" t="n"/>
      <c r="R17" s="69" t="n"/>
      <c r="S17" s="69" t="n"/>
      <c r="T17" s="69" t="n"/>
      <c r="U17" s="69" t="n"/>
      <c r="V17" s="69" t="n"/>
      <c r="W17" s="69" t="n"/>
      <c r="X17" s="69" t="n"/>
      <c r="Y17" s="69" t="n"/>
      <c r="Z17" s="69" t="n"/>
      <c r="AA17" s="69" t="n"/>
      <c r="AB17" s="69" t="n"/>
      <c r="AC17" s="69" t="n"/>
      <c r="AD17" s="69" t="n"/>
      <c r="AE17" s="69" t="n"/>
      <c r="AF17" s="69" t="n"/>
      <c r="AG17" s="69" t="n"/>
      <c r="AH17" s="69" t="n"/>
      <c r="AI17" s="69" t="n"/>
      <c r="AJ17" s="69" t="n"/>
      <c r="AK17" s="69" t="n"/>
      <c r="AL17" s="69" t="n"/>
      <c r="AM17" s="69" t="n"/>
      <c r="AN17" s="69" t="n"/>
      <c r="AO17" s="69" t="n"/>
      <c r="AP17" s="69" t="n"/>
      <c r="AQ17" s="69" t="n"/>
      <c r="AR17" s="69" t="n"/>
      <c r="AS17" s="69" t="n"/>
      <c r="AT17" s="69" t="n"/>
      <c r="AU17" s="69" t="n"/>
      <c r="AV17" s="69" t="n"/>
      <c r="AW17" s="69" t="n"/>
      <c r="AX17" s="69" t="n"/>
      <c r="AY17" s="69" t="n"/>
      <c r="AZ17" s="69" t="n"/>
      <c r="BA17" s="69" t="n"/>
      <c r="BB17" s="69" t="n"/>
      <c r="BC17" s="69" t="n"/>
      <c r="BD17" s="69" t="n"/>
      <c r="BE17" s="69" t="n"/>
      <c r="BF17" s="69" t="n"/>
      <c r="BG17" s="69" t="n"/>
      <c r="BH17" s="69" t="n"/>
      <c r="BI17" s="69" t="n"/>
      <c r="BJ17" s="69" t="n"/>
      <c r="BK17" s="69" t="n"/>
      <c r="BL17" s="69" t="n"/>
      <c r="BM17" s="69" t="n"/>
      <c r="BN17" s="69" t="n"/>
      <c r="BO17" s="69" t="n"/>
      <c r="BP17" s="69" t="n"/>
      <c r="BQ17" s="69" t="n"/>
      <c r="BR17" s="69" t="n"/>
      <c r="BS17" s="69" t="n"/>
      <c r="BT17" s="69" t="n"/>
      <c r="BU17" s="69" t="n"/>
      <c r="BV17" s="69" t="n"/>
      <c r="BW17" s="69" t="n"/>
      <c r="BX17" s="69" t="n"/>
      <c r="BY17" s="69" t="n"/>
      <c r="BZ17" s="69" t="n"/>
      <c r="CA17" s="69" t="n"/>
      <c r="CB17" s="69" t="n"/>
      <c r="CC17" s="69" t="n"/>
      <c r="CD17" s="69" t="n"/>
      <c r="CE17" s="69" t="n"/>
      <c r="CF17" s="69" t="n"/>
      <c r="CG17" s="69" t="n"/>
      <c r="CH17" s="69" t="n"/>
      <c r="CI17" s="69" t="n"/>
      <c r="CJ17" s="69" t="n"/>
      <c r="CK17" s="69" t="n"/>
      <c r="CL17" s="69" t="n"/>
      <c r="CM17" s="69" t="n"/>
      <c r="CN17" s="69" t="n"/>
      <c r="CO17" s="69" t="n"/>
      <c r="CP17" s="69" t="n"/>
      <c r="CQ17" s="69" t="n"/>
      <c r="CR17" s="69" t="n"/>
      <c r="CS17" s="69" t="n"/>
      <c r="CT17" s="69" t="n"/>
      <c r="CU17" s="69" t="n"/>
      <c r="CV17" s="69" t="n"/>
      <c r="CW17" s="69" t="n"/>
      <c r="CX17" s="69" t="n"/>
      <c r="CY17" s="69" t="n"/>
      <c r="CZ17" s="69" t="n"/>
      <c r="DA17" s="69" t="n"/>
      <c r="DB17" s="69" t="n"/>
      <c r="DC17" s="69" t="n"/>
      <c r="DD17" s="69" t="n"/>
      <c r="DE17" s="69" t="n"/>
      <c r="DF17" s="69" t="n"/>
      <c r="DG17" s="69" t="n"/>
      <c r="DH17" s="69" t="n"/>
      <c r="DI17" s="69" t="n"/>
      <c r="DJ17" s="69" t="n"/>
      <c r="DK17" s="69" t="n"/>
      <c r="DL17" s="69" t="n"/>
      <c r="DM17" s="69" t="n"/>
      <c r="DN17" s="69" t="n"/>
      <c r="DO17" s="69" t="n"/>
      <c r="DP17" s="69" t="n"/>
      <c r="DQ17" s="69" t="n"/>
      <c r="DR17" s="69" t="n"/>
      <c r="DS17" s="69" t="n"/>
      <c r="DT17" s="69" t="n"/>
      <c r="DU17" s="69" t="n"/>
      <c r="DV17" s="69" t="n"/>
      <c r="DW17" s="69" t="n"/>
      <c r="DX17" s="69" t="n"/>
      <c r="DY17" s="69" t="n"/>
      <c r="DZ17" s="69" t="n"/>
      <c r="EA17" s="69" t="n"/>
      <c r="EB17" s="69" t="n"/>
      <c r="EC17" s="69" t="n"/>
      <c r="ED17" s="69" t="n"/>
      <c r="EE17" s="69" t="n"/>
      <c r="EF17" s="69" t="n"/>
      <c r="EG17" s="69" t="n"/>
      <c r="EH17" s="69" t="n"/>
      <c r="EI17" s="69" t="n"/>
      <c r="EJ17" s="69" t="n"/>
      <c r="EK17" s="69" t="n"/>
      <c r="EL17" s="69" t="n"/>
      <c r="EM17" s="69" t="n"/>
      <c r="EN17" s="69" t="n"/>
      <c r="EO17" s="69" t="n"/>
      <c r="EP17" s="69" t="n"/>
      <c r="EQ17" s="69" t="n"/>
      <c r="ER17" s="69" t="n"/>
      <c r="ES17" s="69" t="n"/>
      <c r="ET17" s="69" t="n"/>
      <c r="EU17" s="69" t="n"/>
      <c r="EV17" s="69" t="n"/>
      <c r="EW17" s="69" t="n"/>
      <c r="EX17" s="69" t="n"/>
      <c r="EY17" s="69" t="n"/>
      <c r="EZ17" s="69" t="n"/>
      <c r="FA17" s="69" t="n"/>
      <c r="FB17" s="69" t="n"/>
      <c r="FC17" s="69" t="n"/>
      <c r="FD17" s="69" t="n"/>
      <c r="FE17" s="69" t="n"/>
      <c r="FF17" s="69" t="n"/>
      <c r="FG17" s="69" t="n"/>
      <c r="FH17" s="69" t="n"/>
      <c r="FI17" s="69" t="n"/>
      <c r="FJ17" s="69" t="n"/>
      <c r="FK17" s="69" t="n"/>
      <c r="FL17" s="69" t="n"/>
      <c r="FM17" s="69" t="n"/>
      <c r="FN17" s="69" t="n"/>
      <c r="FO17" s="69" t="n"/>
      <c r="FP17" s="69" t="n"/>
      <c r="FQ17" s="69" t="n"/>
      <c r="FR17" s="69" t="n"/>
      <c r="FS17" s="69" t="n"/>
      <c r="FT17" s="69" t="n"/>
      <c r="FU17" s="69" t="n"/>
      <c r="FV17" s="69" t="n"/>
      <c r="FW17" s="69" t="n"/>
      <c r="FX17" s="69" t="n"/>
      <c r="FY17" s="69" t="n"/>
      <c r="FZ17" s="69" t="n"/>
      <c r="GA17" s="69" t="n"/>
      <c r="GB17" s="69" t="n"/>
      <c r="GC17" s="69" t="n"/>
      <c r="GD17" s="69" t="n"/>
      <c r="GE17" s="69" t="n"/>
      <c r="GF17" s="69" t="n"/>
      <c r="GG17" s="69" t="n"/>
      <c r="GH17" s="69" t="n"/>
      <c r="GI17" s="69" t="n"/>
      <c r="GJ17" s="69" t="n"/>
      <c r="GK17" s="69" t="n"/>
      <c r="GL17" s="69" t="n"/>
      <c r="GM17" s="69" t="n"/>
      <c r="GN17" s="69" t="n"/>
      <c r="GO17" s="69" t="n"/>
      <c r="GP17" s="69" t="n"/>
      <c r="GQ17" s="69" t="n"/>
      <c r="GR17" s="69" t="n"/>
      <c r="GS17" s="69" t="n"/>
      <c r="GT17" s="69" t="n"/>
      <c r="GU17" s="69" t="n"/>
      <c r="GV17" s="69" t="n"/>
      <c r="GW17" s="69" t="n"/>
      <c r="GX17" s="69" t="n"/>
      <c r="GY17" s="69" t="n"/>
      <c r="GZ17" s="69" t="n"/>
      <c r="HA17" s="69" t="n"/>
      <c r="HB17" s="69" t="n"/>
      <c r="HC17" s="69" t="n"/>
      <c r="HD17" s="69" t="n"/>
      <c r="HE17" s="69" t="n"/>
      <c r="HF17" s="69" t="n"/>
      <c r="HG17" s="69" t="n"/>
      <c r="HH17" s="69" t="n"/>
      <c r="HI17" s="69" t="n"/>
      <c r="HJ17" s="69" t="n"/>
      <c r="HK17" s="69" t="n"/>
      <c r="HL17" s="69" t="n"/>
      <c r="HM17" s="69" t="n"/>
      <c r="HN17" s="69" t="n"/>
      <c r="HO17" s="69" t="n"/>
      <c r="HP17" s="69" t="n"/>
      <c r="HQ17" s="69" t="n"/>
      <c r="HR17" s="69" t="n"/>
      <c r="HS17" s="69" t="n"/>
      <c r="HT17" s="69" t="n"/>
      <c r="HU17" s="69" t="n"/>
      <c r="HV17" s="69" t="n"/>
      <c r="HW17" s="69" t="n"/>
      <c r="HX17" s="69" t="n"/>
      <c r="HY17" s="69" t="n"/>
      <c r="HZ17" s="69" t="n"/>
      <c r="IA17" s="69" t="n"/>
      <c r="IB17" s="69" t="n"/>
      <c r="IC17" s="69" t="n"/>
      <c r="ID17" s="69" t="n"/>
      <c r="IE17" s="69" t="n"/>
      <c r="IF17" s="69" t="n"/>
      <c r="IG17" s="69" t="n"/>
      <c r="IH17" s="69" t="n"/>
      <c r="II17" s="69" t="n"/>
      <c r="IK17" s="0" t="inlineStr">
        <is>
          <t>config only</t>
        </is>
      </c>
      <c r="IL17" s="0" t="inlineStr">
        <is>
          <t>not declared</t>
        </is>
      </c>
    </row>
    <row r="18" ht="10.5" customHeight="1" s="67">
      <c r="A18" s="85" t="inlineStr">
        <is>
          <t>HARDCODED_RALLY_REENTRY_ENABLED</t>
        </is>
      </c>
      <c r="B18" s="83" t="inlineStr">
        <is>
          <t>True</t>
        </is>
      </c>
      <c r="C18" s="0" t="inlineStr">
        <is>
          <t>True</t>
        </is>
      </c>
      <c r="D18" s="0" t="inlineStr">
        <is>
          <t>ALWAYS_TESTED</t>
        </is>
      </c>
    </row>
    <row r="19" ht="10.5" customHeight="1" s="67">
      <c r="A19" s="0" t="inlineStr">
        <is>
          <t>HARDCODED_RALLY_REENTRY_ENABLED</t>
        </is>
      </c>
      <c r="B19" s="83" t="inlineStr">
        <is>
          <t>True</t>
        </is>
      </c>
      <c r="C19" s="0" t="inlineStr">
        <is>
          <t>False</t>
        </is>
      </c>
      <c r="D19" s="0" t="inlineStr">
        <is>
          <t>ALWAYS_TESTED</t>
        </is>
      </c>
    </row>
    <row r="20" ht="10.5" customHeight="1" s="67">
      <c r="A20" s="85" t="inlineStr">
        <is>
          <t>HARDCODED_RALLY_REENTRY_BYPASS_COOLDOWN</t>
        </is>
      </c>
      <c r="B20" s="83" t="inlineStr">
        <is>
          <t>True</t>
        </is>
      </c>
      <c r="C20" s="0" t="inlineStr">
        <is>
          <t>True</t>
        </is>
      </c>
      <c r="D20" s="0" t="inlineStr">
        <is>
          <t>ALWAYS_TESTED</t>
        </is>
      </c>
    </row>
    <row r="21" ht="10.5" customHeight="1" s="67">
      <c r="A21" s="0" t="inlineStr">
        <is>
          <t>HARDCODED_RALLY_REENTRY_BYPASS_COOLDOWN</t>
        </is>
      </c>
      <c r="B21" s="83" t="inlineStr">
        <is>
          <t>True</t>
        </is>
      </c>
      <c r="C21" s="0" t="inlineStr">
        <is>
          <t>False</t>
        </is>
      </c>
      <c r="D21" s="0" t="inlineStr">
        <is>
          <t>ALWAYS_TESTED</t>
        </is>
      </c>
    </row>
    <row r="22" ht="10.5" customHeight="1" s="67">
      <c r="A22" s="85" t="inlineStr">
        <is>
          <t>HARDCODED_RALLY_REENTRY_REQUIRE_WT</t>
        </is>
      </c>
      <c r="B22" s="83" t="inlineStr">
        <is>
          <t>False</t>
        </is>
      </c>
      <c r="C22" s="0" t="inlineStr">
        <is>
          <t>False</t>
        </is>
      </c>
      <c r="D22" s="0" t="inlineStr">
        <is>
          <t>ALWAYS_TESTED</t>
        </is>
      </c>
    </row>
    <row r="23" ht="10.5" customHeight="1" s="67">
      <c r="A23" s="0" t="inlineStr">
        <is>
          <t>HARDCODED_RALLY_REENTRY_REQUIRE_WT</t>
        </is>
      </c>
      <c r="B23" s="83" t="inlineStr">
        <is>
          <t>False</t>
        </is>
      </c>
      <c r="C23" s="0" t="inlineStr">
        <is>
          <t>True</t>
        </is>
      </c>
      <c r="D23" s="0" t="inlineStr">
        <is>
          <t>ALWAYS_TESTED</t>
        </is>
      </c>
    </row>
    <row r="24" ht="10.5" customHeight="1" s="67">
      <c r="A24" s="85" t="inlineStr">
        <is>
          <t>BEAR_MARKET_MODE</t>
        </is>
      </c>
      <c r="B24" s="83" t="inlineStr">
        <is>
          <t>True</t>
        </is>
      </c>
      <c r="C24" s="0" t="n"/>
      <c r="D24" s="0" t="n"/>
      <c r="G24" s="0">
        <f>IFERROR(VLOOKUP($A24&amp;"_"&amp;$B24,Results_Deltas!$A$2:$P$15000,5,FALSE),"")</f>
        <v/>
      </c>
      <c r="H24" s="0">
        <f>IFERROR(VLOOKUP($A24,Results_30d_Deltas!$A$2:$H$5000,7,FALSE)-E24,"")</f>
        <v/>
      </c>
      <c r="I24" s="0">
        <f>IFERROR(VLOOKUP($A24,Results_30d_Deltas!$A$2:$H$5000,6,FALSE),"")</f>
        <v/>
      </c>
    </row>
    <row r="25" ht="10.5" customHeight="1" s="67">
      <c r="A25" s="0" t="inlineStr">
        <is>
          <t>BEAR_MARKET_MODE</t>
        </is>
      </c>
      <c r="B25" s="83" t="inlineStr">
        <is>
          <t>False</t>
        </is>
      </c>
      <c r="C25" s="0" t="n"/>
      <c r="D25" s="0" t="n"/>
      <c r="G25" s="0">
        <f>IFERROR(VLOOKUP($A25&amp;"_"&amp;$B25,Results_Deltas!$A$2:$P$15000,5,FALSE),"")</f>
        <v/>
      </c>
      <c r="H25" s="0">
        <f>IFERROR(VLOOKUP($A25,Results_30d_Deltas!$A$2:$H$5000,7,FALSE)-E25,"")</f>
        <v/>
      </c>
      <c r="I25" s="0">
        <f>IFERROR(VLOOKUP($A25,Results_30d_Deltas!$A$2:$H$5000,6,FALSE),"")</f>
        <v/>
      </c>
    </row>
    <row r="26" ht="10.5" customHeight="1" s="67">
      <c r="A26" s="85" t="inlineStr">
        <is>
          <t>KINDERGARTEN_EMA_GATE_ENABLED</t>
        </is>
      </c>
      <c r="B26" s="85" t="inlineStr">
        <is>
          <t>True</t>
        </is>
      </c>
      <c r="C26" s="0" t="inlineStr">
        <is>
          <t>True</t>
        </is>
      </c>
      <c r="D26" s="0" t="inlineStr">
        <is>
          <t>KINDERGARTEN</t>
        </is>
      </c>
      <c r="E26" s="0">
        <f>IF(G25="",E25,IF(G25&gt;0,E25+G25,E25))</f>
        <v/>
      </c>
      <c r="F26" s="0">
        <f>IFERROR(VLOOKUP($A26&amp;"_"&amp;$B26,Results_Deltas!$A$2:$P$15000,5,FALSE),"")</f>
        <v/>
      </c>
      <c r="G26" s="0">
        <f>IFERROR(VLOOKUP($A26&amp;"_"&amp;$B26,Results_Deltas!$A$2:$P$15000,5,FALSE),"")</f>
        <v/>
      </c>
    </row>
    <row r="27" ht="10.5" customHeight="1" s="67">
      <c r="A27" s="0" t="inlineStr">
        <is>
          <t>KINDERGARTEN_EMA_GATE_ENABLED</t>
        </is>
      </c>
      <c r="B27" s="0" t="inlineStr">
        <is>
          <t>True</t>
        </is>
      </c>
      <c r="C27" s="0" t="inlineStr">
        <is>
          <t>False</t>
        </is>
      </c>
      <c r="D27" s="0" t="inlineStr">
        <is>
          <t>KINDERGARTEN</t>
        </is>
      </c>
      <c r="E27" s="0">
        <f>IF(G26="",E26,IF(G26&gt;0,E26+G26,E26))</f>
        <v/>
      </c>
      <c r="F27" s="0">
        <f>IFERROR(VLOOKUP($A27&amp;"_"&amp;$B27,Results_Deltas!$A$2:$P$15000,5,FALSE),"")</f>
        <v/>
      </c>
      <c r="G27" s="0">
        <f>IFERROR(VLOOKUP($A27&amp;"_"&amp;$B27,Results_Deltas!$A$2:$P$15000,5,FALSE),"")</f>
        <v/>
      </c>
    </row>
    <row r="28" ht="10.5" customHeight="1" s="67">
      <c r="A28" s="0" t="inlineStr">
        <is>
          <t>KINDERGARTEN_EMA_GATE_ENABLED</t>
        </is>
      </c>
      <c r="B28" s="0" t="inlineStr">
        <is>
          <t>False</t>
        </is>
      </c>
      <c r="C28" s="0" t="inlineStr">
        <is>
          <t>True</t>
        </is>
      </c>
      <c r="D28" s="0" t="inlineStr">
        <is>
          <t>KINDERGARTEN</t>
        </is>
      </c>
      <c r="E28" s="0">
        <f>IF(G27="",E27,IF(G27&gt;0,E27+G27,E27))</f>
        <v/>
      </c>
      <c r="F28" s="0">
        <f>IFERROR(VLOOKUP($A28&amp;"_"&amp;$B28,Results_Deltas!$A$2:$P$15000,5,FALSE),"")</f>
        <v/>
      </c>
      <c r="G28" s="0">
        <f>IFERROR(VLOOKUP($A28&amp;"_"&amp;$B28,Results_Deltas!$A$2:$P$15000,5,FALSE),"")</f>
        <v/>
      </c>
    </row>
    <row r="29" ht="10.5" customHeight="1" s="67">
      <c r="A29" s="0" t="inlineStr">
        <is>
          <t>KINDERGARTEN_EMA_GATE_ENABLED</t>
        </is>
      </c>
      <c r="B29" s="0" t="inlineStr">
        <is>
          <t>False</t>
        </is>
      </c>
      <c r="C29" s="0" t="inlineStr">
        <is>
          <t>False</t>
        </is>
      </c>
      <c r="D29" s="0" t="inlineStr">
        <is>
          <t>KINDERGARTEN</t>
        </is>
      </c>
      <c r="E29" s="0">
        <f>IF(G28="",E28,IF(G28&gt;0,E28+G28,E28))</f>
        <v/>
      </c>
      <c r="F29" s="0">
        <f>IFERROR(VLOOKUP($A29&amp;"_"&amp;$B29,Results_Deltas!$A$2:$P$15000,5,FALSE),"")</f>
        <v/>
      </c>
      <c r="G29" s="0">
        <f>IFERROR(VLOOKUP($A29&amp;"_"&amp;$B29,Results_Deltas!$A$2:$P$15000,5,FALSE),"")</f>
        <v/>
      </c>
    </row>
    <row r="30" ht="10.5" customHeight="1" s="67">
      <c r="A30" s="85" t="inlineStr">
        <is>
          <t>EMA_9_21_FILTER_ENABLED</t>
        </is>
      </c>
      <c r="B30" s="85" t="inlineStr">
        <is>
          <t>True</t>
        </is>
      </c>
      <c r="C30" s="0" t="inlineStr">
        <is>
          <t>True</t>
        </is>
      </c>
      <c r="D30" s="0" t="inlineStr">
        <is>
          <t>KINDERGARTEN</t>
        </is>
      </c>
      <c r="E30" s="0">
        <f>IF(G29="",E29,IF(G29&gt;0,E29+G29,E29))</f>
        <v/>
      </c>
      <c r="F30" s="0">
        <f>IFERROR(VLOOKUP($A30&amp;"_"&amp;$B30,Results_Deltas!$A$2:$P$15000,5,FALSE),"")</f>
        <v/>
      </c>
      <c r="G30" s="0">
        <f>IFERROR(VLOOKUP($A30&amp;"_"&amp;$B30,Results_Deltas!$A$2:$P$15000,5,FALSE),"")</f>
        <v/>
      </c>
    </row>
    <row r="31" ht="10.5" customHeight="1" s="67">
      <c r="A31" s="0" t="inlineStr">
        <is>
          <t>EMA_9_21_FILTER_ENABLED</t>
        </is>
      </c>
      <c r="B31" s="0" t="inlineStr">
        <is>
          <t>True</t>
        </is>
      </c>
      <c r="C31" s="0" t="inlineStr">
        <is>
          <t>False</t>
        </is>
      </c>
      <c r="D31" s="0" t="inlineStr">
        <is>
          <t>KINDERGARTEN</t>
        </is>
      </c>
      <c r="E31" s="0">
        <f>IF(G30="",E30,IF(G30&gt;0,E30+G30,E30))</f>
        <v/>
      </c>
      <c r="F31" s="0">
        <f>IFERROR(VLOOKUP($A31&amp;"_"&amp;$B31,Results_Deltas!$A$2:$P$15000,5,FALSE),"")</f>
        <v/>
      </c>
      <c r="G31" s="0">
        <f>IFERROR(VLOOKUP($A31&amp;"_"&amp;$B31,Results_Deltas!$A$2:$P$15000,5,FALSE),"")</f>
        <v/>
      </c>
    </row>
    <row r="32" ht="10.5" customHeight="1" s="67">
      <c r="A32" s="0" t="inlineStr">
        <is>
          <t>EMA_9_21_FILTER_ENABLED</t>
        </is>
      </c>
      <c r="B32" s="0" t="inlineStr">
        <is>
          <t>False</t>
        </is>
      </c>
      <c r="C32" s="0" t="inlineStr">
        <is>
          <t>True</t>
        </is>
      </c>
      <c r="D32" s="0" t="inlineStr">
        <is>
          <t>KINDERGARTEN</t>
        </is>
      </c>
      <c r="E32" s="0">
        <f>IF(G31="",E31,IF(G31&gt;0,E31+G31,E31))</f>
        <v/>
      </c>
      <c r="F32" s="0">
        <f>IFERROR(VLOOKUP($A32&amp;"_"&amp;$B32,Results_Deltas!$A$2:$P$15000,5,FALSE),"")</f>
        <v/>
      </c>
      <c r="G32" s="0">
        <f>IFERROR(VLOOKUP($A32&amp;"_"&amp;$B32,Results_Deltas!$A$2:$P$15000,5,FALSE),"")</f>
        <v/>
      </c>
    </row>
    <row r="33" ht="10.5" customHeight="1" s="67">
      <c r="A33" s="85" t="inlineStr">
        <is>
          <t>EMA_9_21_FILTER_TFS</t>
        </is>
      </c>
      <c r="B33" s="85" t="inlineStr">
        <is>
          <t>1h</t>
        </is>
      </c>
      <c r="C33" s="0" t="inlineStr">
        <is>
          <t>1h</t>
        </is>
      </c>
      <c r="D33" s="0" t="inlineStr">
        <is>
          <t>KINDERGARTEN</t>
        </is>
      </c>
      <c r="E33" s="0">
        <f>IF(G32="",E32,IF(G32&gt;0,E32+G32,E32))</f>
        <v/>
      </c>
      <c r="F33" s="0">
        <f>IFERROR(VLOOKUP($A33&amp;"_"&amp;$B33,Results_Deltas!$A$2:$P$15000,5,FALSE),"")</f>
        <v/>
      </c>
      <c r="G33" s="0">
        <f>IFERROR(VLOOKUP($A33&amp;"_"&amp;$B33,Results_Deltas!$A$2:$P$15000,5,FALSE),"")</f>
        <v/>
      </c>
    </row>
    <row r="34" ht="10.5" customHeight="1" s="67">
      <c r="A34" s="0" t="inlineStr">
        <is>
          <t>EMA_9_21_FILTER_TFS</t>
        </is>
      </c>
      <c r="B34" s="0" t="inlineStr">
        <is>
          <t>1h</t>
        </is>
      </c>
      <c r="C34" s="0" t="inlineStr">
        <is>
          <t>1h,D</t>
        </is>
      </c>
      <c r="D34" s="0" t="inlineStr">
        <is>
          <t>KINDERGARTEN</t>
        </is>
      </c>
      <c r="E34" s="0">
        <f>IF(G33="",E33,IF(G33&gt;0,E33+G33,E33))</f>
        <v/>
      </c>
      <c r="F34" s="0">
        <f>IFERROR(VLOOKUP($A34&amp;"_"&amp;$B34,Results_Deltas!$A$2:$P$15000,5,FALSE),"")</f>
        <v/>
      </c>
      <c r="G34" s="0">
        <f>IFERROR(VLOOKUP($A34&amp;"_"&amp;$B34,Results_Deltas!$A$2:$P$15000,5,FALSE),"")</f>
        <v/>
      </c>
    </row>
    <row r="35" ht="10.5" customHeight="1" s="67">
      <c r="A35" s="0" t="inlineStr">
        <is>
          <t>EMA_9_21_FILTER_TFS</t>
        </is>
      </c>
      <c r="B35" s="0" t="inlineStr">
        <is>
          <t>1h</t>
        </is>
      </c>
      <c r="C35" s="0" t="inlineStr">
        <is>
          <t>15m,1h,4h</t>
        </is>
      </c>
      <c r="D35" s="0" t="inlineStr">
        <is>
          <t>KINDERGARTEN</t>
        </is>
      </c>
      <c r="E35" s="0">
        <f>IF(G34="",E34,IF(G34&gt;0,E34+G34,E34))</f>
        <v/>
      </c>
      <c r="F35" s="0">
        <f>IFERROR(VLOOKUP($A35&amp;"_"&amp;$B35,Results_Deltas!$A$2:$P$15000,5,FALSE),"")</f>
        <v/>
      </c>
      <c r="G35" s="0">
        <f>IFERROR(VLOOKUP($A35&amp;"_"&amp;$B35,Results_Deltas!$A$2:$P$15000,5,FALSE),"")</f>
        <v/>
      </c>
    </row>
    <row r="36" ht="10.5" customHeight="1" s="67">
      <c r="A36" s="0" t="inlineStr">
        <is>
          <t>EMA_9_21_FILTER_TFS</t>
        </is>
      </c>
      <c r="B36" s="0" t="inlineStr">
        <is>
          <t>1h</t>
        </is>
      </c>
      <c r="C36" s="0" t="inlineStr">
        <is>
          <t>D</t>
        </is>
      </c>
      <c r="D36" s="0" t="inlineStr">
        <is>
          <t>KINDERGARTEN</t>
        </is>
      </c>
      <c r="E36" s="0">
        <f>IF(G35="",E35,IF(G35&gt;0,E35+G35,E35))</f>
        <v/>
      </c>
      <c r="F36" s="0">
        <f>IFERROR(VLOOKUP($A36&amp;"_"&amp;$B36,Results_Deltas!$A$2:$P$15000,5,FALSE),"")</f>
        <v/>
      </c>
      <c r="G36" s="0">
        <f>IFERROR(VLOOKUP($A36&amp;"_"&amp;$B36,Results_Deltas!$A$2:$P$15000,5,FALSE),"")</f>
        <v/>
      </c>
    </row>
    <row r="37" ht="10.5" customHeight="1" s="67">
      <c r="A37" s="0" t="inlineStr">
        <is>
          <t>EMA_9_21_FILTER_TFS</t>
        </is>
      </c>
      <c r="B37" s="0" t="inlineStr">
        <is>
          <t>1h,D</t>
        </is>
      </c>
      <c r="C37" s="0" t="inlineStr">
        <is>
          <t>1h</t>
        </is>
      </c>
      <c r="D37" s="0" t="inlineStr">
        <is>
          <t>KINDERGARTEN</t>
        </is>
      </c>
      <c r="E37" s="0">
        <f>IF(G36="",E36,IF(G36&gt;0,E36+G36,E36))</f>
        <v/>
      </c>
      <c r="F37" s="0">
        <f>IFERROR(VLOOKUP($A37&amp;"_"&amp;$B37,Results_Deltas!$A$2:$P$15000,5,FALSE),"")</f>
        <v/>
      </c>
      <c r="G37" s="0">
        <f>IFERROR(VLOOKUP($A37&amp;"_"&amp;$B37,Results_Deltas!$A$2:$P$15000,5,FALSE),"")</f>
        <v/>
      </c>
    </row>
    <row r="38" ht="10.5" customHeight="1" s="67">
      <c r="A38" s="85" t="inlineStr">
        <is>
          <t>KINDERGARTEN_CUMULATIVE_MIN_TFS</t>
        </is>
      </c>
      <c r="B38" s="85" t="n">
        <v>1</v>
      </c>
      <c r="C38" s="0" t="n">
        <v>1</v>
      </c>
      <c r="D38" s="0" t="inlineStr">
        <is>
          <t>KINDERGARTEN</t>
        </is>
      </c>
      <c r="E38" s="0">
        <f>IF(G37="",E37,IF(G37&gt;0,E37+G37,E37))</f>
        <v/>
      </c>
      <c r="F38" s="0">
        <f>IFERROR(VLOOKUP($A38&amp;"_"&amp;$B38,Results_Deltas!$A$2:$P$15000,5,FALSE),"")</f>
        <v/>
      </c>
      <c r="G38" s="0">
        <f>IFERROR(VLOOKUP($A38&amp;"_"&amp;$B38,Results_Deltas!$A$2:$P$15000,5,FALSE),"")</f>
        <v/>
      </c>
    </row>
    <row r="39" ht="10.5" customHeight="1" s="67">
      <c r="A39" s="0" t="inlineStr">
        <is>
          <t>KINDERGARTEN_CUMULATIVE_MIN_TFS</t>
        </is>
      </c>
      <c r="B39" s="0" t="n">
        <v>1</v>
      </c>
      <c r="C39" s="0" t="n">
        <v>2</v>
      </c>
      <c r="D39" s="0" t="inlineStr">
        <is>
          <t>KINDERGARTEN</t>
        </is>
      </c>
      <c r="E39" s="0">
        <f>IF(G38="",E38,IF(G38&gt;0,E38+G38,E38))</f>
        <v/>
      </c>
      <c r="F39" s="0">
        <f>IFERROR(VLOOKUP($A39&amp;"_"&amp;$B39,Results_Deltas!$A$2:$P$15000,5,FALSE),"")</f>
        <v/>
      </c>
      <c r="G39" s="0">
        <f>IFERROR(VLOOKUP($A39&amp;"_"&amp;$B39,Results_Deltas!$A$2:$P$15000,5,FALSE),"")</f>
        <v/>
      </c>
    </row>
    <row r="40" ht="10.5" customHeight="1" s="67">
      <c r="A40" s="85" t="inlineStr">
        <is>
          <t>KINDERGARTEN_STRICT_TFS</t>
        </is>
      </c>
      <c r="B40" s="85" t="inlineStr"/>
      <c r="C40" s="0" t="inlineStr">
        <is>
          <t>1h,D</t>
        </is>
      </c>
      <c r="D40" s="0" t="inlineStr">
        <is>
          <t>KINDERGARTEN</t>
        </is>
      </c>
      <c r="E40" s="0">
        <f>IF(G39="",E39,IF(G39&gt;0,E39+G39,E39))</f>
        <v/>
      </c>
      <c r="F40" s="0">
        <f>IFERROR(VLOOKUP($A40&amp;"_"&amp;$B40,Results_Deltas!$A$2:$P$15000,5,FALSE),"")</f>
        <v/>
      </c>
      <c r="G40" s="0">
        <f>IFERROR(VLOOKUP($A40&amp;"_"&amp;$B40,Results_Deltas!$A$2:$P$15000,5,FALSE),"")</f>
        <v/>
      </c>
    </row>
    <row r="41" ht="15.75" customHeight="1" s="67">
      <c r="A41" s="0" t="inlineStr">
        <is>
          <t>KINDERGARTEN_STRICT_TFS</t>
        </is>
      </c>
      <c r="B41" s="0" t="inlineStr">
        <is>
          <t>1h,D</t>
        </is>
      </c>
      <c r="C41" s="0" t="inlineStr"/>
      <c r="D41" s="0" t="inlineStr">
        <is>
          <t>KINDERGARTEN</t>
        </is>
      </c>
      <c r="E41" s="0">
        <f>IF(G40="",E40,IF(G40&gt;0,E40+G40,E40))</f>
        <v/>
      </c>
      <c r="F41" s="0">
        <f>IFERROR(VLOOKUP($A41&amp;"_"&amp;$B41,Results_Deltas!$A$2:$P$15000,5,FALSE),"")</f>
        <v/>
      </c>
      <c r="G41" s="0">
        <f>IFERROR(VLOOKUP($A41&amp;"_"&amp;$B41,Results_Deltas!$A$2:$P$15000,5,FALSE),"")</f>
        <v/>
      </c>
    </row>
    <row r="42" ht="15.75" customHeight="1" s="67">
      <c r="A42" s="85" t="inlineStr">
        <is>
          <t>WT_SIMPLE_GUARANTEE_ENABLED</t>
        </is>
      </c>
      <c r="B42" s="85" t="inlineStr">
        <is>
          <t>False</t>
        </is>
      </c>
      <c r="C42" s="0" t="inlineStr">
        <is>
          <t>False</t>
        </is>
      </c>
      <c r="D42" s="0" t="inlineStr">
        <is>
          <t>KINDERGARTEN</t>
        </is>
      </c>
      <c r="E42" s="0">
        <f>IF(G41="",E41,IF(G41&gt;0,E41+G41,E41))</f>
        <v/>
      </c>
      <c r="F42" s="0">
        <f>IFERROR(VLOOKUP($A42&amp;"_"&amp;$B42,Results_Deltas!$A$2:$P$15000,5,FALSE),"")</f>
        <v/>
      </c>
      <c r="G42" s="0">
        <f>IFERROR(VLOOKUP($A42&amp;"_"&amp;$B42,Results_Deltas!$A$2:$P$15000,5,FALSE),"")</f>
        <v/>
      </c>
    </row>
    <row r="43" ht="15.75" customHeight="1" s="67">
      <c r="A43" s="0" t="inlineStr">
        <is>
          <t>WT_SIMPLE_GUARANTEE_ENABLED</t>
        </is>
      </c>
      <c r="B43" s="0" t="inlineStr">
        <is>
          <t>False</t>
        </is>
      </c>
      <c r="C43" s="0" t="inlineStr">
        <is>
          <t>True</t>
        </is>
      </c>
      <c r="D43" s="0" t="inlineStr">
        <is>
          <t>KINDERGARTEN</t>
        </is>
      </c>
      <c r="E43" s="0">
        <f>IF(G42="",E42,IF(G42&gt;0,E42+G42,E42))</f>
        <v/>
      </c>
      <c r="F43" s="0">
        <f>IFERROR(VLOOKUP($A43&amp;"_"&amp;$B43,Results_Deltas!$A$2:$P$15000,5,FALSE),"")</f>
        <v/>
      </c>
      <c r="G43" s="0">
        <f>IFERROR(VLOOKUP($A43&amp;"_"&amp;$B43,Results_Deltas!$A$2:$P$15000,5,FALSE),"")</f>
        <v/>
      </c>
    </row>
    <row r="44" ht="15.75" customHeight="1" s="67">
      <c r="A44" s="85" t="inlineStr">
        <is>
          <t>FORCE_MIN_ONE_TRADE</t>
        </is>
      </c>
      <c r="B44" s="85" t="inlineStr">
        <is>
          <t>False</t>
        </is>
      </c>
      <c r="C44" s="0" t="inlineStr">
        <is>
          <t>False</t>
        </is>
      </c>
      <c r="D44" s="0" t="inlineStr">
        <is>
          <t>KINDERGARTEN</t>
        </is>
      </c>
      <c r="E44" s="0">
        <f>IF(G43="",E43,IF(G43&gt;0,E43+G43,E43))</f>
        <v/>
      </c>
      <c r="F44" s="0">
        <f>IFERROR(VLOOKUP($A44&amp;"_"&amp;$B44,Results_Deltas!$A$2:$P$15000,5,FALSE),"")</f>
        <v/>
      </c>
      <c r="G44" s="0">
        <f>IFERROR(VLOOKUP($A44&amp;"_"&amp;$B44,Results_Deltas!$A$2:$P$15000,5,FALSE),"")</f>
        <v/>
      </c>
    </row>
    <row r="45" ht="15.75" customHeight="1" s="67">
      <c r="A45" s="0" t="inlineStr">
        <is>
          <t>FORCE_MIN_ONE_TRADE</t>
        </is>
      </c>
      <c r="B45" s="0" t="inlineStr">
        <is>
          <t>False</t>
        </is>
      </c>
      <c r="C45" s="0" t="inlineStr">
        <is>
          <t>True</t>
        </is>
      </c>
      <c r="D45" s="0" t="inlineStr">
        <is>
          <t>KINDERGARTEN</t>
        </is>
      </c>
      <c r="E45" s="0">
        <f>IF(G44="",E44,IF(G44&gt;0,E44+G44,E44))</f>
        <v/>
      </c>
      <c r="F45" s="0">
        <f>IFERROR(VLOOKUP($A45&amp;"_"&amp;$B45,Results_Deltas!$A$2:$P$15000,5,FALSE),"")</f>
        <v/>
      </c>
      <c r="G45" s="0">
        <f>IFERROR(VLOOKUP($A45&amp;"_"&amp;$B45,Results_Deltas!$A$2:$P$15000,5,FALSE),"")</f>
        <v/>
      </c>
    </row>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58"/>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79" t="n">
        <v>1</v>
      </c>
      <c r="B3" s="79" t="inlineStr">
        <is>
          <t>ADX_RANGING_THRESHOLD</t>
        </is>
      </c>
      <c r="C3" s="0" t="inlineStr">
        <is>
          <t>25</t>
        </is>
      </c>
      <c r="D3" s="71" t="inlineStr">
        <is>
          <t>Threshold/gate: ADX_RANGING_THRESHOLD — _adx_thresh = float(getattr(config, "ADX_RANGING_THRESHOLD", 20.0)) | ex: `_adx_thresh = float(getattr(config, "ADX_RANGING_THRESHOLD", 20.0))`</t>
        </is>
      </c>
      <c r="E3" s="71" t="inlineStr">
        <is>
          <t>ENTRY, GLOBAL_CHECK, STOCKS_EXIT</t>
        </is>
      </c>
      <c r="F3" s="71" t="inlineStr">
        <is>
          <t>ENTRY, GLOBAL_CHECK, STOCKS_EXIT</t>
        </is>
      </c>
      <c r="G3" s="71" t="inlineStr">
        <is>
          <t>ADX_RANGING_THRESHOLD</t>
        </is>
      </c>
      <c r="H3" s="71" t="inlineStr">
        <is>
          <t>GENERAL</t>
        </is>
      </c>
      <c r="I3" s="71" t="inlineStr">
        <is>
          <t>LIVE — wired</t>
        </is>
      </c>
      <c r="J3" s="72"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71" t="n">
        <v>1</v>
      </c>
      <c r="B4" s="71" t="inlineStr">
        <is>
          <t>ADX_RANGING_THRESHOLD</t>
        </is>
      </c>
      <c r="C4" s="0" t="inlineStr">
        <is>
          <t>15</t>
        </is>
      </c>
      <c r="D4" s="71" t="inlineStr">
        <is>
          <t>Threshold/gate: ADX_RANGING_THRESHOLD — _adx_thresh = float(getattr(config, "ADX_RANGING_THRESHOLD", 20.0)) | ex: `_adx_thresh = float(getattr(config, "ADX_RANGING_THRESHOLD", 20.0))`</t>
        </is>
      </c>
      <c r="E4" s="71" t="inlineStr">
        <is>
          <t>ENTRY, GLOBAL_CHECK, STOCKS_EXIT</t>
        </is>
      </c>
      <c r="F4" s="71" t="inlineStr">
        <is>
          <t>ENTRY, GLOBAL_CHECK, STOCKS_EXIT</t>
        </is>
      </c>
      <c r="G4" s="71" t="inlineStr">
        <is>
          <t>ADX_RANGING_THRESHOLD</t>
        </is>
      </c>
      <c r="H4" s="71" t="inlineStr">
        <is>
          <t>GENERAL</t>
        </is>
      </c>
      <c r="I4" s="71" t="inlineStr">
        <is>
          <t>LIVE — wired</t>
        </is>
      </c>
      <c r="J4" s="72"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71" t="n">
        <v>1</v>
      </c>
      <c r="B5" s="71" t="inlineStr">
        <is>
          <t>ADX_RANGING_THRESHOLD</t>
        </is>
      </c>
      <c r="C5" s="0" t="inlineStr">
        <is>
          <t>10</t>
        </is>
      </c>
      <c r="D5" s="71" t="inlineStr">
        <is>
          <t>Threshold/gate: ADX_RANGING_THRESHOLD — _adx_thresh = float(getattr(config, "ADX_RANGING_THRESHOLD", 20.0)) | ex: `_adx_thresh = float(getattr(config, "ADX_RANGING_THRESHOLD", 20.0))`</t>
        </is>
      </c>
      <c r="E5" s="71" t="inlineStr">
        <is>
          <t>ENTRY, GLOBAL_CHECK, STOCKS_EXIT</t>
        </is>
      </c>
      <c r="F5" s="71" t="inlineStr">
        <is>
          <t>ENTRY, GLOBAL_CHECK, STOCKS_EXIT</t>
        </is>
      </c>
      <c r="G5" s="71" t="inlineStr">
        <is>
          <t>ADX_RANGING_THRESHOLD</t>
        </is>
      </c>
      <c r="H5" s="71" t="inlineStr">
        <is>
          <t>GENERAL</t>
        </is>
      </c>
      <c r="I5" s="71" t="inlineStr">
        <is>
          <t>LIVE — wired</t>
        </is>
      </c>
      <c r="J5" s="72"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80" t="n">
        <v>2</v>
      </c>
      <c r="B6" s="80" t="inlineStr">
        <is>
          <t>ATR_TRAIL_FILTER_TF</t>
        </is>
      </c>
      <c r="C6" s="0" t="inlineStr">
        <is>
          <t>OFF</t>
        </is>
      </c>
      <c r="D6"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3" t="inlineStr">
        <is>
          <t>GLOBAL_CHECK</t>
        </is>
      </c>
      <c r="F6" s="73" t="inlineStr">
        <is>
          <t>EXIT</t>
        </is>
      </c>
      <c r="G6" s="73" t="inlineStr">
        <is>
          <t>ATR trail exits</t>
        </is>
      </c>
      <c r="H6" s="73" t="inlineStr">
        <is>
          <t>SPECIFIC — only gated switches</t>
        </is>
      </c>
      <c r="I6" s="73" t="inlineStr">
        <is>
          <t>LIVE — wired</t>
        </is>
      </c>
      <c r="J6" s="6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3" t="n">
        <v>2</v>
      </c>
      <c r="B7" s="73" t="inlineStr">
        <is>
          <t>ATR_TRAIL_FILTER_TF</t>
        </is>
      </c>
      <c r="C7" s="0" t="inlineStr">
        <is>
          <t>D</t>
        </is>
      </c>
      <c r="D7"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3" t="inlineStr">
        <is>
          <t>GLOBAL_CHECK</t>
        </is>
      </c>
      <c r="F7" s="73" t="inlineStr">
        <is>
          <t>EXIT</t>
        </is>
      </c>
      <c r="G7" s="73" t="inlineStr">
        <is>
          <t>ATR trail exits</t>
        </is>
      </c>
      <c r="H7" s="73" t="inlineStr">
        <is>
          <t>SPECIFIC — only gated switches</t>
        </is>
      </c>
      <c r="I7" s="73" t="inlineStr">
        <is>
          <t>LIVE — wired</t>
        </is>
      </c>
      <c r="J7" s="6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3" t="n">
        <v>2</v>
      </c>
      <c r="B8" s="73" t="inlineStr">
        <is>
          <t>ATR_TRAIL_FILTER_TF</t>
        </is>
      </c>
      <c r="C8" s="0" t="inlineStr">
        <is>
          <t>4h</t>
        </is>
      </c>
      <c r="D8"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3" t="inlineStr">
        <is>
          <t>GLOBAL_CHECK</t>
        </is>
      </c>
      <c r="F8" s="73" t="inlineStr">
        <is>
          <t>EXIT</t>
        </is>
      </c>
      <c r="G8" s="73" t="inlineStr">
        <is>
          <t>ATR trail exits</t>
        </is>
      </c>
      <c r="H8" s="73" t="inlineStr">
        <is>
          <t>SPECIFIC — only gated switches</t>
        </is>
      </c>
      <c r="I8" s="73" t="inlineStr">
        <is>
          <t>LIVE — wired</t>
        </is>
      </c>
      <c r="J8" s="6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3" t="n">
        <v>2</v>
      </c>
      <c r="B9" s="73" t="inlineStr">
        <is>
          <t>ATR_TRAIL_FILTER_TF</t>
        </is>
      </c>
      <c r="C9" s="0" t="inlineStr">
        <is>
          <t>1h</t>
        </is>
      </c>
      <c r="D9"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3" t="inlineStr">
        <is>
          <t>GLOBAL_CHECK</t>
        </is>
      </c>
      <c r="F9" s="73" t="inlineStr">
        <is>
          <t>EXIT</t>
        </is>
      </c>
      <c r="G9" s="73" t="inlineStr">
        <is>
          <t>ATR trail exits</t>
        </is>
      </c>
      <c r="H9" s="73" t="inlineStr">
        <is>
          <t>SPECIFIC — only gated switches</t>
        </is>
      </c>
      <c r="I9" s="73" t="inlineStr">
        <is>
          <t>LIVE — wired</t>
        </is>
      </c>
      <c r="J9" s="6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3" t="n">
        <v>2</v>
      </c>
      <c r="B10" s="73" t="inlineStr">
        <is>
          <t>ATR_TRAIL_FILTER_TF</t>
        </is>
      </c>
      <c r="C10" s="0" t="inlineStr">
        <is>
          <t>15m</t>
        </is>
      </c>
      <c r="D10"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3" t="inlineStr">
        <is>
          <t>GLOBAL_CHECK</t>
        </is>
      </c>
      <c r="F10" s="73" t="inlineStr">
        <is>
          <t>EXIT</t>
        </is>
      </c>
      <c r="G10" s="73" t="inlineStr">
        <is>
          <t>ATR trail exits</t>
        </is>
      </c>
      <c r="H10" s="73" t="inlineStr">
        <is>
          <t>SPECIFIC — only gated switches</t>
        </is>
      </c>
      <c r="I10" s="73" t="inlineStr">
        <is>
          <t>LIVE — wired</t>
        </is>
      </c>
      <c r="J10" s="6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79" t="n">
        <v>3</v>
      </c>
      <c r="B11" s="79" t="inlineStr">
        <is>
          <t>BANDAID_OFF_LOSER_RECOVER_PCT</t>
        </is>
      </c>
      <c r="C11" s="0" t="inlineStr">
        <is>
          <t>0</t>
        </is>
      </c>
      <c r="D11" s="71" t="inlineStr">
        <is>
          <t>Threshold/gate: BANDAID_OFF_LOSER_RECOVER_PCT — 'AUG_COOLDOWN_S', 'AVAILABLE_IPS', 'BACKUP_KLINES_CACHE', 'BANDAID_OFF_LOSER_RECOVER_PCT', 'BAND_FILE', 'BASE_TF', | ex: `'AUG_COOLDOWN_S', 'AVAILABLE_IPS', 'BACKUP_KLINES_CACHE', 'BANDAID_OFF_LOSER_REC`</t>
        </is>
      </c>
      <c r="E11" s="71" t="inlineStr">
        <is>
          <t>AUGMENT, ENTRY, EXIT, GLOBAL_CHECK, REDUCE, STOCKS_EXIT</t>
        </is>
      </c>
      <c r="F11" s="71" t="inlineStr">
        <is>
          <t>AUGMENT, ENTRY, EXIT, GLOBAL_CHECK, REDUCE, STOCKS_EXIT</t>
        </is>
      </c>
      <c r="G11" s="71" t="inlineStr">
        <is>
          <t>BANDAID_OFF_LOSER_RECOVER_PCT</t>
        </is>
      </c>
      <c r="H11" s="71" t="inlineStr">
        <is>
          <t>GENERAL</t>
        </is>
      </c>
      <c r="I11" s="71" t="inlineStr">
        <is>
          <t>LIVE — wired</t>
        </is>
      </c>
      <c r="J11" s="72"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71" t="n">
        <v>3</v>
      </c>
      <c r="B12" s="71" t="inlineStr">
        <is>
          <t>BANDAID_OFF_LOSER_RECOVER_PCT</t>
        </is>
      </c>
      <c r="C12" s="0" t="inlineStr">
        <is>
          <t>2.0</t>
        </is>
      </c>
      <c r="D12" s="71" t="inlineStr">
        <is>
          <t>Threshold/gate: BANDAID_OFF_LOSER_RECOVER_PCT — 'AUG_COOLDOWN_S', 'AVAILABLE_IPS', 'BACKUP_KLINES_CACHE', 'BANDAID_OFF_LOSER_RECOVER_PCT', 'BAND_FILE', 'BASE_TF', | ex: `'AUG_COOLDOWN_S', 'AVAILABLE_IPS', 'BACKUP_KLINES_CACHE', 'BANDAID_OFF_LOSER_REC`</t>
        </is>
      </c>
      <c r="E12" s="71" t="inlineStr">
        <is>
          <t>AUGMENT, ENTRY, EXIT, GLOBAL_CHECK, REDUCE, STOCKS_EXIT</t>
        </is>
      </c>
      <c r="F12" s="71" t="inlineStr">
        <is>
          <t>AUGMENT, ENTRY, EXIT, GLOBAL_CHECK, REDUCE, STOCKS_EXIT</t>
        </is>
      </c>
      <c r="G12" s="71" t="inlineStr">
        <is>
          <t>BANDAID_OFF_LOSER_RECOVER_PCT</t>
        </is>
      </c>
      <c r="H12" s="71" t="inlineStr">
        <is>
          <t>GENERAL</t>
        </is>
      </c>
      <c r="I12" s="71" t="inlineStr">
        <is>
          <t>LIVE — wired</t>
        </is>
      </c>
      <c r="J12" s="72"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71" t="n">
        <v>3</v>
      </c>
      <c r="B13" s="71" t="inlineStr">
        <is>
          <t>BANDAID_OFF_LOSER_RECOVER_PCT</t>
        </is>
      </c>
      <c r="C13" s="0" t="inlineStr">
        <is>
          <t>1.0</t>
        </is>
      </c>
      <c r="D13" s="71" t="inlineStr">
        <is>
          <t>Threshold/gate: BANDAID_OFF_LOSER_RECOVER_PCT — 'AUG_COOLDOWN_S', 'AVAILABLE_IPS', 'BACKUP_KLINES_CACHE', 'BANDAID_OFF_LOSER_RECOVER_PCT', 'BAND_FILE', 'BASE_TF', | ex: `'AUG_COOLDOWN_S', 'AVAILABLE_IPS', 'BACKUP_KLINES_CACHE', 'BANDAID_OFF_LOSER_REC`</t>
        </is>
      </c>
      <c r="E13" s="71" t="inlineStr">
        <is>
          <t>AUGMENT, ENTRY, EXIT, GLOBAL_CHECK, REDUCE, STOCKS_EXIT</t>
        </is>
      </c>
      <c r="F13" s="71" t="inlineStr">
        <is>
          <t>AUGMENT, ENTRY, EXIT, GLOBAL_CHECK, REDUCE, STOCKS_EXIT</t>
        </is>
      </c>
      <c r="G13" s="71" t="inlineStr">
        <is>
          <t>BANDAID_OFF_LOSER_RECOVER_PCT</t>
        </is>
      </c>
      <c r="H13" s="71" t="inlineStr">
        <is>
          <t>GENERAL</t>
        </is>
      </c>
      <c r="I13" s="71" t="inlineStr">
        <is>
          <t>LIVE — wired</t>
        </is>
      </c>
      <c r="J13" s="72"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71" t="n">
        <v>3</v>
      </c>
      <c r="B14" s="71" t="inlineStr">
        <is>
          <t>BANDAID_OFF_LOSER_RECOVER_PCT</t>
        </is>
      </c>
      <c r="C14" s="0" t="inlineStr">
        <is>
          <t>0.5</t>
        </is>
      </c>
      <c r="D14" s="71" t="inlineStr">
        <is>
          <t>Threshold/gate: BANDAID_OFF_LOSER_RECOVER_PCT — 'AUG_COOLDOWN_S', 'AVAILABLE_IPS', 'BACKUP_KLINES_CACHE', 'BANDAID_OFF_LOSER_RECOVER_PCT', 'BAND_FILE', 'BASE_TF', | ex: `'AUG_COOLDOWN_S', 'AVAILABLE_IPS', 'BACKUP_KLINES_CACHE', 'BANDAID_OFF_LOSER_REC`</t>
        </is>
      </c>
      <c r="E14" s="71" t="inlineStr">
        <is>
          <t>AUGMENT, ENTRY, EXIT, GLOBAL_CHECK, REDUCE, STOCKS_EXIT</t>
        </is>
      </c>
      <c r="F14" s="71" t="inlineStr">
        <is>
          <t>AUGMENT, ENTRY, EXIT, GLOBAL_CHECK, REDUCE, STOCKS_EXIT</t>
        </is>
      </c>
      <c r="G14" s="71" t="inlineStr">
        <is>
          <t>BANDAID_OFF_LOSER_RECOVER_PCT</t>
        </is>
      </c>
      <c r="H14" s="71" t="inlineStr">
        <is>
          <t>GENERAL</t>
        </is>
      </c>
      <c r="I14" s="71" t="inlineStr">
        <is>
          <t>LIVE — wired</t>
        </is>
      </c>
      <c r="J14" s="72"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79" t="n">
        <v>4</v>
      </c>
      <c r="B15" s="79" t="inlineStr">
        <is>
          <t>BAND_ARROW_ENABLED</t>
        </is>
      </c>
      <c r="C15" s="0" t="inlineStr">
        <is>
          <t>False</t>
        </is>
      </c>
      <c r="D15" s="71" t="inlineStr">
        <is>
          <t>Enables BAND+ARROW confluence entry (Donchian/BB + WT arrow). When OFF, that entry path is skipped. | Live read: `_EXHAUSTIVE_FILTER_LIST_LIVE = ['ADAPTIVE_REGIME_DC_BREAKDOWN_THRESHOLD', 'ADAPT`</t>
        </is>
      </c>
      <c r="E15" s="71" t="inlineStr">
        <is>
          <t>GLOBAL_CHECK, STOCKS_EXIT</t>
        </is>
      </c>
      <c r="F15" s="71" t="inlineStr">
        <is>
          <t>GLOBAL_CHECK, STOCKS_EXIT</t>
        </is>
      </c>
      <c r="G15" s="71" t="inlineStr">
        <is>
          <t>BAND_ARROW_ENABLED</t>
        </is>
      </c>
      <c r="H15" s="71" t="inlineStr">
        <is>
          <t>GENERAL</t>
        </is>
      </c>
      <c r="I15" s="71" t="inlineStr">
        <is>
          <t>LIVE — wired</t>
        </is>
      </c>
      <c r="J15" s="72"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71" t="n">
        <v>4</v>
      </c>
      <c r="B16" s="71" t="inlineStr">
        <is>
          <t>BAND_ARROW_ENABLED</t>
        </is>
      </c>
      <c r="C16" s="0" t="inlineStr">
        <is>
          <t>True</t>
        </is>
      </c>
      <c r="D16" s="71" t="inlineStr">
        <is>
          <t>Enables BAND+ARROW confluence entry (Donchian/BB + WT arrow). When OFF, that entry path is skipped. | Live read: `_EXHAUSTIVE_FILTER_LIST_LIVE = ['ADAPTIVE_REGIME_DC_BREAKDOWN_THRESHOLD', 'ADAPT`</t>
        </is>
      </c>
      <c r="E16" s="71" t="inlineStr">
        <is>
          <t>GLOBAL_CHECK, STOCKS_EXIT</t>
        </is>
      </c>
      <c r="F16" s="71" t="inlineStr">
        <is>
          <t>GLOBAL_CHECK, STOCKS_EXIT</t>
        </is>
      </c>
      <c r="G16" s="71" t="inlineStr">
        <is>
          <t>BAND_ARROW_ENABLED</t>
        </is>
      </c>
      <c r="H16" s="71" t="inlineStr">
        <is>
          <t>GENERAL</t>
        </is>
      </c>
      <c r="I16" s="71" t="inlineStr">
        <is>
          <t>LIVE — wired</t>
        </is>
      </c>
      <c r="J16" s="72"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80" t="n">
        <v>5</v>
      </c>
      <c r="B17" s="80" t="inlineStr">
        <is>
          <t>BAR_PATTERNS_FILTER_TF</t>
        </is>
      </c>
      <c r="C17" s="0" t="inlineStr">
        <is>
          <t>OFF</t>
        </is>
      </c>
      <c r="D17" s="73" t="inlineStr">
        <is>
          <t>Requires bar-pattern (engulfing/pin) confirmation on given TFs before entry. | Live read: `_EXHAUSTIVE_FILTER_LIST_LIVE = ['ADAPTIVE_REGIME_DC_BREAKDOWN_THRESHOLD', 'ADAPT`</t>
        </is>
      </c>
      <c r="E17" s="73" t="inlineStr">
        <is>
          <t>GLOBAL_CHECK</t>
        </is>
      </c>
      <c r="F17" s="73" t="inlineStr">
        <is>
          <t>GLOBAL_CHECK</t>
        </is>
      </c>
      <c r="G17" s="73" t="inlineStr">
        <is>
          <t>BAR_PATTERNS</t>
        </is>
      </c>
      <c r="H17" s="73" t="inlineStr">
        <is>
          <t>SPECIFIC — only gated switches</t>
        </is>
      </c>
      <c r="I17" s="73" t="inlineStr">
        <is>
          <t>LIVE — wired</t>
        </is>
      </c>
      <c r="J17" s="6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3" t="n">
        <v>5</v>
      </c>
      <c r="B18" s="73" t="inlineStr">
        <is>
          <t>BAR_PATTERNS_FILTER_TF</t>
        </is>
      </c>
      <c r="C18" s="0" t="inlineStr">
        <is>
          <t>D</t>
        </is>
      </c>
      <c r="D18" s="73" t="inlineStr">
        <is>
          <t>Requires bar-pattern (engulfing/pin) confirmation on given TFs before entry. | Live read: `_EXHAUSTIVE_FILTER_LIST_LIVE = ['ADAPTIVE_REGIME_DC_BREAKDOWN_THRESHOLD', 'ADAPT`</t>
        </is>
      </c>
      <c r="E18" s="73" t="inlineStr">
        <is>
          <t>GLOBAL_CHECK</t>
        </is>
      </c>
      <c r="F18" s="73" t="inlineStr">
        <is>
          <t>GLOBAL_CHECK</t>
        </is>
      </c>
      <c r="G18" s="73" t="inlineStr">
        <is>
          <t>BAR_PATTERNS</t>
        </is>
      </c>
      <c r="H18" s="73" t="inlineStr">
        <is>
          <t>SPECIFIC — only gated switches</t>
        </is>
      </c>
      <c r="I18" s="73" t="inlineStr">
        <is>
          <t>LIVE — wired</t>
        </is>
      </c>
      <c r="J18" s="6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3" t="n">
        <v>5</v>
      </c>
      <c r="B19" s="73" t="inlineStr">
        <is>
          <t>BAR_PATTERNS_FILTER_TF</t>
        </is>
      </c>
      <c r="C19" s="0" t="inlineStr">
        <is>
          <t>4h</t>
        </is>
      </c>
      <c r="D19" s="73" t="inlineStr">
        <is>
          <t>Requires bar-pattern (engulfing/pin) confirmation on given TFs before entry. | Live read: `_EXHAUSTIVE_FILTER_LIST_LIVE = ['ADAPTIVE_REGIME_DC_BREAKDOWN_THRESHOLD', 'ADAPT`</t>
        </is>
      </c>
      <c r="E19" s="73" t="inlineStr">
        <is>
          <t>GLOBAL_CHECK</t>
        </is>
      </c>
      <c r="F19" s="73" t="inlineStr">
        <is>
          <t>GLOBAL_CHECK</t>
        </is>
      </c>
      <c r="G19" s="73" t="inlineStr">
        <is>
          <t>BAR_PATTERNS</t>
        </is>
      </c>
      <c r="H19" s="73" t="inlineStr">
        <is>
          <t>SPECIFIC — only gated switches</t>
        </is>
      </c>
      <c r="I19" s="73" t="inlineStr">
        <is>
          <t>LIVE — wired</t>
        </is>
      </c>
      <c r="J19" s="6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3" t="n">
        <v>5</v>
      </c>
      <c r="B20" s="73" t="inlineStr">
        <is>
          <t>BAR_PATTERNS_FILTER_TF</t>
        </is>
      </c>
      <c r="C20" s="0" t="inlineStr">
        <is>
          <t>1h</t>
        </is>
      </c>
      <c r="D20" s="73" t="inlineStr">
        <is>
          <t>Requires bar-pattern (engulfing/pin) confirmation on given TFs before entry. | Live read: `_EXHAUSTIVE_FILTER_LIST_LIVE = ['ADAPTIVE_REGIME_DC_BREAKDOWN_THRESHOLD', 'ADAPT`</t>
        </is>
      </c>
      <c r="E20" s="73" t="inlineStr">
        <is>
          <t>GLOBAL_CHECK</t>
        </is>
      </c>
      <c r="F20" s="73" t="inlineStr">
        <is>
          <t>GLOBAL_CHECK</t>
        </is>
      </c>
      <c r="G20" s="73" t="inlineStr">
        <is>
          <t>BAR_PATTERNS</t>
        </is>
      </c>
      <c r="H20" s="73" t="inlineStr">
        <is>
          <t>SPECIFIC — only gated switches</t>
        </is>
      </c>
      <c r="I20" s="73" t="inlineStr">
        <is>
          <t>LIVE — wired</t>
        </is>
      </c>
      <c r="J20" s="6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3" t="n">
        <v>5</v>
      </c>
      <c r="B21" s="73" t="inlineStr">
        <is>
          <t>BAR_PATTERNS_FILTER_TF</t>
        </is>
      </c>
      <c r="C21" s="0" t="inlineStr">
        <is>
          <t>15m</t>
        </is>
      </c>
      <c r="D21" s="73" t="inlineStr">
        <is>
          <t>Requires bar-pattern (engulfing/pin) confirmation on given TFs before entry. | Live read: `_EXHAUSTIVE_FILTER_LIST_LIVE = ['ADAPTIVE_REGIME_DC_BREAKDOWN_THRESHOLD', 'ADAPT`</t>
        </is>
      </c>
      <c r="E21" s="73" t="inlineStr">
        <is>
          <t>GLOBAL_CHECK</t>
        </is>
      </c>
      <c r="F21" s="73" t="inlineStr">
        <is>
          <t>GLOBAL_CHECK</t>
        </is>
      </c>
      <c r="G21" s="73" t="inlineStr">
        <is>
          <t>BAR_PATTERNS</t>
        </is>
      </c>
      <c r="H21" s="73" t="inlineStr">
        <is>
          <t>SPECIFIC — only gated switches</t>
        </is>
      </c>
      <c r="I21" s="73" t="inlineStr">
        <is>
          <t>LIVE — wired</t>
        </is>
      </c>
      <c r="J21" s="6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80" t="n">
        <v>6</v>
      </c>
      <c r="B22" s="80" t="inlineStr">
        <is>
          <t>BB_PULLBACK_GATE_FILTER_TF</t>
        </is>
      </c>
      <c r="C22" s="0" t="inlineStr">
        <is>
          <t>OFF</t>
        </is>
      </c>
      <c r="D22" s="73" t="inlineStr">
        <is>
          <t>Pullback filter — blocks pullback entries unless BB position confirms oversold/bounce on FILTER_TF. | Live read: `_EXHAUSTIVE_FILTER_LIST_LIVE = ['ADAPTIVE_REGIME_DC_BREAKDOWN_THRESHOLD', 'ADAPT`</t>
        </is>
      </c>
      <c r="E22" s="73" t="inlineStr">
        <is>
          <t>GLOBAL_CHECK</t>
        </is>
      </c>
      <c r="F22" s="73" t="inlineStr">
        <is>
          <t>GLOBAL_CHECK</t>
        </is>
      </c>
      <c r="G22" s="73" t="inlineStr">
        <is>
          <t>BB pullback entries</t>
        </is>
      </c>
      <c r="H22" s="73" t="inlineStr">
        <is>
          <t>SPECIFIC — only gated switches</t>
        </is>
      </c>
      <c r="I22" s="73" t="inlineStr">
        <is>
          <t>LIVE — wired</t>
        </is>
      </c>
      <c r="J22" s="6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3" t="n">
        <v>6</v>
      </c>
      <c r="B23" s="73" t="inlineStr">
        <is>
          <t>BB_PULLBACK_GATE_FILTER_TF</t>
        </is>
      </c>
      <c r="C23" s="0" t="inlineStr">
        <is>
          <t>D</t>
        </is>
      </c>
      <c r="D23" s="73" t="inlineStr">
        <is>
          <t>Pullback filter — blocks pullback entries unless BB position confirms oversold/bounce on FILTER_TF. | Live read: `_EXHAUSTIVE_FILTER_LIST_LIVE = ['ADAPTIVE_REGIME_DC_BREAKDOWN_THRESHOLD', 'ADAPT`</t>
        </is>
      </c>
      <c r="E23" s="73" t="inlineStr">
        <is>
          <t>GLOBAL_CHECK</t>
        </is>
      </c>
      <c r="F23" s="73" t="inlineStr">
        <is>
          <t>GLOBAL_CHECK</t>
        </is>
      </c>
      <c r="G23" s="73" t="inlineStr">
        <is>
          <t>BB pullback entries</t>
        </is>
      </c>
      <c r="H23" s="73" t="inlineStr">
        <is>
          <t>SPECIFIC — only gated switches</t>
        </is>
      </c>
      <c r="I23" s="73" t="inlineStr">
        <is>
          <t>LIVE — wired</t>
        </is>
      </c>
      <c r="J23" s="6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3" t="n">
        <v>6</v>
      </c>
      <c r="B24" s="73" t="inlineStr">
        <is>
          <t>BB_PULLBACK_GATE_FILTER_TF</t>
        </is>
      </c>
      <c r="C24" s="0" t="inlineStr">
        <is>
          <t>4h</t>
        </is>
      </c>
      <c r="D24" s="73" t="inlineStr">
        <is>
          <t>Pullback filter — blocks pullback entries unless BB position confirms oversold/bounce on FILTER_TF. | Live read: `_EXHAUSTIVE_FILTER_LIST_LIVE = ['ADAPTIVE_REGIME_DC_BREAKDOWN_THRESHOLD', 'ADAPT`</t>
        </is>
      </c>
      <c r="E24" s="73" t="inlineStr">
        <is>
          <t>GLOBAL_CHECK</t>
        </is>
      </c>
      <c r="F24" s="73" t="inlineStr">
        <is>
          <t>GLOBAL_CHECK</t>
        </is>
      </c>
      <c r="G24" s="73" t="inlineStr">
        <is>
          <t>BB pullback entries</t>
        </is>
      </c>
      <c r="H24" s="73" t="inlineStr">
        <is>
          <t>SPECIFIC — only gated switches</t>
        </is>
      </c>
      <c r="I24" s="73" t="inlineStr">
        <is>
          <t>LIVE — wired</t>
        </is>
      </c>
      <c r="J24" s="6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3" t="n">
        <v>6</v>
      </c>
      <c r="B25" s="73" t="inlineStr">
        <is>
          <t>BB_PULLBACK_GATE_FILTER_TF</t>
        </is>
      </c>
      <c r="C25" s="0" t="inlineStr">
        <is>
          <t>1h</t>
        </is>
      </c>
      <c r="D25" s="73" t="inlineStr">
        <is>
          <t>Pullback filter — blocks pullback entries unless BB position confirms oversold/bounce on FILTER_TF. | Live read: `_EXHAUSTIVE_FILTER_LIST_LIVE = ['ADAPTIVE_REGIME_DC_BREAKDOWN_THRESHOLD', 'ADAPT`</t>
        </is>
      </c>
      <c r="E25" s="73" t="inlineStr">
        <is>
          <t>GLOBAL_CHECK</t>
        </is>
      </c>
      <c r="F25" s="73" t="inlineStr">
        <is>
          <t>GLOBAL_CHECK</t>
        </is>
      </c>
      <c r="G25" s="73" t="inlineStr">
        <is>
          <t>BB pullback entries</t>
        </is>
      </c>
      <c r="H25" s="73" t="inlineStr">
        <is>
          <t>SPECIFIC — only gated switches</t>
        </is>
      </c>
      <c r="I25" s="73" t="inlineStr">
        <is>
          <t>LIVE — wired</t>
        </is>
      </c>
      <c r="J25" s="6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3" t="n">
        <v>6</v>
      </c>
      <c r="B26" s="73" t="inlineStr">
        <is>
          <t>BB_PULLBACK_GATE_FILTER_TF</t>
        </is>
      </c>
      <c r="C26" s="0" t="inlineStr">
        <is>
          <t>15m</t>
        </is>
      </c>
      <c r="D26" s="73" t="inlineStr">
        <is>
          <t>Pullback filter — blocks pullback entries unless BB position confirms oversold/bounce on FILTER_TF. | Live read: `_EXHAUSTIVE_FILTER_LIST_LIVE = ['ADAPTIVE_REGIME_DC_BREAKDOWN_THRESHOLD', 'ADAPT`</t>
        </is>
      </c>
      <c r="E26" s="73" t="inlineStr">
        <is>
          <t>GLOBAL_CHECK</t>
        </is>
      </c>
      <c r="F26" s="73" t="inlineStr">
        <is>
          <t>GLOBAL_CHECK</t>
        </is>
      </c>
      <c r="G26" s="73" t="inlineStr">
        <is>
          <t>BB pullback entries</t>
        </is>
      </c>
      <c r="H26" s="73" t="inlineStr">
        <is>
          <t>SPECIFIC — only gated switches</t>
        </is>
      </c>
      <c r="I26" s="73" t="inlineStr">
        <is>
          <t>LIVE — wired</t>
        </is>
      </c>
      <c r="J26" s="6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80" t="n">
        <v>7</v>
      </c>
      <c r="B27" s="80" t="inlineStr">
        <is>
          <t>BB_RECOVERY_ENTRY_FILTER_TF</t>
        </is>
      </c>
      <c r="C27" s="0" t="inlineStr">
        <is>
          <t>OFF</t>
        </is>
      </c>
      <c r="D27" s="73" t="inlineStr">
        <is>
          <t>Requires BB recovery (price reclaiming mid-band) on FILTER_TF before pullback entry. | Live read: `_EXHAUSTIVE_ENTRY_LIST_LIVE = ['ADAPTIVE_REGIME_DC_BREAKOUT_THRESHOLD', 'BAND_AR`</t>
        </is>
      </c>
      <c r="E27" s="73" t="inlineStr">
        <is>
          <t>GLOBAL_CHECK</t>
        </is>
      </c>
      <c r="F27" s="73" t="inlineStr">
        <is>
          <t>GLOBAL_CHECK</t>
        </is>
      </c>
      <c r="G27" s="73" t="inlineStr">
        <is>
          <t>BB recovery</t>
        </is>
      </c>
      <c r="H27" s="73" t="inlineStr">
        <is>
          <t>SPECIFIC — only gated switches</t>
        </is>
      </c>
      <c r="I27" s="73" t="inlineStr">
        <is>
          <t>LIVE — wired</t>
        </is>
      </c>
      <c r="J27" s="6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3" t="n">
        <v>7</v>
      </c>
      <c r="B28" s="73" t="inlineStr">
        <is>
          <t>BB_RECOVERY_ENTRY_FILTER_TF</t>
        </is>
      </c>
      <c r="C28" s="0" t="inlineStr">
        <is>
          <t>D</t>
        </is>
      </c>
      <c r="D28" s="73" t="inlineStr">
        <is>
          <t>Requires BB recovery (price reclaiming mid-band) on FILTER_TF before pullback entry. | Live read: `_EXHAUSTIVE_ENTRY_LIST_LIVE = ['ADAPTIVE_REGIME_DC_BREAKOUT_THRESHOLD', 'BAND_AR`</t>
        </is>
      </c>
      <c r="E28" s="73" t="inlineStr">
        <is>
          <t>GLOBAL_CHECK</t>
        </is>
      </c>
      <c r="F28" s="73" t="inlineStr">
        <is>
          <t>GLOBAL_CHECK</t>
        </is>
      </c>
      <c r="G28" s="73" t="inlineStr">
        <is>
          <t>BB recovery</t>
        </is>
      </c>
      <c r="H28" s="73" t="inlineStr">
        <is>
          <t>SPECIFIC — only gated switches</t>
        </is>
      </c>
      <c r="I28" s="73" t="inlineStr">
        <is>
          <t>LIVE — wired</t>
        </is>
      </c>
      <c r="J28" s="6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3" t="n">
        <v>7</v>
      </c>
      <c r="B29" s="73" t="inlineStr">
        <is>
          <t>BB_RECOVERY_ENTRY_FILTER_TF</t>
        </is>
      </c>
      <c r="C29" s="0" t="inlineStr">
        <is>
          <t>4h</t>
        </is>
      </c>
      <c r="D29" s="73" t="inlineStr">
        <is>
          <t>Requires BB recovery (price reclaiming mid-band) on FILTER_TF before pullback entry. | Live read: `_EXHAUSTIVE_ENTRY_LIST_LIVE = ['ADAPTIVE_REGIME_DC_BREAKOUT_THRESHOLD', 'BAND_AR`</t>
        </is>
      </c>
      <c r="E29" s="73" t="inlineStr">
        <is>
          <t>GLOBAL_CHECK</t>
        </is>
      </c>
      <c r="F29" s="73" t="inlineStr">
        <is>
          <t>GLOBAL_CHECK</t>
        </is>
      </c>
      <c r="G29" s="73" t="inlineStr">
        <is>
          <t>BB recovery</t>
        </is>
      </c>
      <c r="H29" s="73" t="inlineStr">
        <is>
          <t>SPECIFIC — only gated switches</t>
        </is>
      </c>
      <c r="I29" s="73" t="inlineStr">
        <is>
          <t>LIVE — wired</t>
        </is>
      </c>
      <c r="J29" s="6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3" t="n">
        <v>7</v>
      </c>
      <c r="B30" s="73" t="inlineStr">
        <is>
          <t>BB_RECOVERY_ENTRY_FILTER_TF</t>
        </is>
      </c>
      <c r="C30" s="0" t="inlineStr">
        <is>
          <t>1h</t>
        </is>
      </c>
      <c r="D30" s="73" t="inlineStr">
        <is>
          <t>Requires BB recovery (price reclaiming mid-band) on FILTER_TF before pullback entry. | Live read: `_EXHAUSTIVE_ENTRY_LIST_LIVE = ['ADAPTIVE_REGIME_DC_BREAKOUT_THRESHOLD', 'BAND_AR`</t>
        </is>
      </c>
      <c r="E30" s="73" t="inlineStr">
        <is>
          <t>GLOBAL_CHECK</t>
        </is>
      </c>
      <c r="F30" s="73" t="inlineStr">
        <is>
          <t>GLOBAL_CHECK</t>
        </is>
      </c>
      <c r="G30" s="73" t="inlineStr">
        <is>
          <t>BB recovery</t>
        </is>
      </c>
      <c r="H30" s="73" t="inlineStr">
        <is>
          <t>SPECIFIC — only gated switches</t>
        </is>
      </c>
      <c r="I30" s="73" t="inlineStr">
        <is>
          <t>LIVE — wired</t>
        </is>
      </c>
      <c r="J30" s="6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3" t="n">
        <v>7</v>
      </c>
      <c r="B31" s="73" t="inlineStr">
        <is>
          <t>BB_RECOVERY_ENTRY_FILTER_TF</t>
        </is>
      </c>
      <c r="C31" s="0" t="inlineStr">
        <is>
          <t>15m</t>
        </is>
      </c>
      <c r="D31" s="73" t="inlineStr">
        <is>
          <t>Requires BB recovery (price reclaiming mid-band) on FILTER_TF before pullback entry. | Live read: `_EXHAUSTIVE_ENTRY_LIST_LIVE = ['ADAPTIVE_REGIME_DC_BREAKOUT_THRESHOLD', 'BAND_AR`</t>
        </is>
      </c>
      <c r="E31" s="73" t="inlineStr">
        <is>
          <t>GLOBAL_CHECK</t>
        </is>
      </c>
      <c r="F31" s="73" t="inlineStr">
        <is>
          <t>GLOBAL_CHECK</t>
        </is>
      </c>
      <c r="G31" s="73" t="inlineStr">
        <is>
          <t>BB recovery</t>
        </is>
      </c>
      <c r="H31" s="73" t="inlineStr">
        <is>
          <t>SPECIFIC — only gated switches</t>
        </is>
      </c>
      <c r="I31" s="73" t="inlineStr">
        <is>
          <t>LIVE — wired</t>
        </is>
      </c>
      <c r="J31" s="6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80" t="n">
        <v>8</v>
      </c>
      <c r="B32" s="80" t="inlineStr">
        <is>
          <t>BB_RECOVERY_FILTER_TF</t>
        </is>
      </c>
      <c r="C32" s="0" t="inlineStr">
        <is>
          <t>OFF</t>
        </is>
      </c>
      <c r="D32" s="73" t="inlineStr">
        <is>
          <t>Same as above but generic BB recovery gate (covers both entry &amp; reentry). | Live read: `_EXHAUSTIVE_FILTER_LIST_LIVE = ['ADAPTIVE_REGIME_DC_BREAKDOWN_THRESHOLD', 'ADAPT`</t>
        </is>
      </c>
      <c r="E32" s="73" t="inlineStr">
        <is>
          <t>GLOBAL_CHECK</t>
        </is>
      </c>
      <c r="F32" s="73" t="inlineStr">
        <is>
          <t>GLOBAL_CHECK</t>
        </is>
      </c>
      <c r="G32" s="73" t="inlineStr">
        <is>
          <t>BB recovery</t>
        </is>
      </c>
      <c r="H32" s="73" t="inlineStr">
        <is>
          <t>SPECIFIC — only gated switches</t>
        </is>
      </c>
      <c r="I32" s="73" t="inlineStr">
        <is>
          <t>LIVE — wired</t>
        </is>
      </c>
      <c r="J32" s="6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3" t="n">
        <v>8</v>
      </c>
      <c r="B33" s="73" t="inlineStr">
        <is>
          <t>BB_RECOVERY_FILTER_TF</t>
        </is>
      </c>
      <c r="C33" s="0" t="inlineStr">
        <is>
          <t>D</t>
        </is>
      </c>
      <c r="D33" s="73" t="inlineStr">
        <is>
          <t>Same as above but generic BB recovery gate (covers both entry &amp; reentry). | Live read: `_EXHAUSTIVE_FILTER_LIST_LIVE = ['ADAPTIVE_REGIME_DC_BREAKDOWN_THRESHOLD', 'ADAPT`</t>
        </is>
      </c>
      <c r="E33" s="73" t="inlineStr">
        <is>
          <t>GLOBAL_CHECK</t>
        </is>
      </c>
      <c r="F33" s="73" t="inlineStr">
        <is>
          <t>GLOBAL_CHECK</t>
        </is>
      </c>
      <c r="G33" s="73" t="inlineStr">
        <is>
          <t>BB recovery</t>
        </is>
      </c>
      <c r="H33" s="73" t="inlineStr">
        <is>
          <t>SPECIFIC — only gated switches</t>
        </is>
      </c>
      <c r="I33" s="73" t="inlineStr">
        <is>
          <t>LIVE — wired</t>
        </is>
      </c>
      <c r="J33" s="6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3" t="n">
        <v>8</v>
      </c>
      <c r="B34" s="73" t="inlineStr">
        <is>
          <t>BB_RECOVERY_FILTER_TF</t>
        </is>
      </c>
      <c r="C34" s="0" t="inlineStr">
        <is>
          <t>4h</t>
        </is>
      </c>
      <c r="D34" s="73" t="inlineStr">
        <is>
          <t>Same as above but generic BB recovery gate (covers both entry &amp; reentry). | Live read: `_EXHAUSTIVE_FILTER_LIST_LIVE = ['ADAPTIVE_REGIME_DC_BREAKDOWN_THRESHOLD', 'ADAPT`</t>
        </is>
      </c>
      <c r="E34" s="73" t="inlineStr">
        <is>
          <t>GLOBAL_CHECK</t>
        </is>
      </c>
      <c r="F34" s="73" t="inlineStr">
        <is>
          <t>GLOBAL_CHECK</t>
        </is>
      </c>
      <c r="G34" s="73" t="inlineStr">
        <is>
          <t>BB recovery</t>
        </is>
      </c>
      <c r="H34" s="73" t="inlineStr">
        <is>
          <t>SPECIFIC — only gated switches</t>
        </is>
      </c>
      <c r="I34" s="73" t="inlineStr">
        <is>
          <t>LIVE — wired</t>
        </is>
      </c>
      <c r="J34" s="6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3" t="n">
        <v>8</v>
      </c>
      <c r="B35" s="73" t="inlineStr">
        <is>
          <t>BB_RECOVERY_FILTER_TF</t>
        </is>
      </c>
      <c r="C35" s="0" t="inlineStr">
        <is>
          <t>1h</t>
        </is>
      </c>
      <c r="D35" s="73" t="inlineStr">
        <is>
          <t>Same as above but generic BB recovery gate (covers both entry &amp; reentry). | Live read: `_EXHAUSTIVE_FILTER_LIST_LIVE = ['ADAPTIVE_REGIME_DC_BREAKDOWN_THRESHOLD', 'ADAPT`</t>
        </is>
      </c>
      <c r="E35" s="73" t="inlineStr">
        <is>
          <t>GLOBAL_CHECK</t>
        </is>
      </c>
      <c r="F35" s="73" t="inlineStr">
        <is>
          <t>GLOBAL_CHECK</t>
        </is>
      </c>
      <c r="G35" s="73" t="inlineStr">
        <is>
          <t>BB recovery</t>
        </is>
      </c>
      <c r="H35" s="73" t="inlineStr">
        <is>
          <t>SPECIFIC — only gated switches</t>
        </is>
      </c>
      <c r="I35" s="73" t="inlineStr">
        <is>
          <t>LIVE — wired</t>
        </is>
      </c>
      <c r="J35" s="6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3" t="n">
        <v>8</v>
      </c>
      <c r="B36" s="73" t="inlineStr">
        <is>
          <t>BB_RECOVERY_FILTER_TF</t>
        </is>
      </c>
      <c r="C36" s="0" t="inlineStr">
        <is>
          <t>15m</t>
        </is>
      </c>
      <c r="D36" s="73" t="inlineStr">
        <is>
          <t>Same as above but generic BB recovery gate (covers both entry &amp; reentry). | Live read: `_EXHAUSTIVE_FILTER_LIST_LIVE = ['ADAPTIVE_REGIME_DC_BREAKDOWN_THRESHOLD', 'ADAPT`</t>
        </is>
      </c>
      <c r="E36" s="73" t="inlineStr">
        <is>
          <t>GLOBAL_CHECK</t>
        </is>
      </c>
      <c r="F36" s="73" t="inlineStr">
        <is>
          <t>GLOBAL_CHECK</t>
        </is>
      </c>
      <c r="G36" s="73" t="inlineStr">
        <is>
          <t>BB recovery</t>
        </is>
      </c>
      <c r="H36" s="73" t="inlineStr">
        <is>
          <t>SPECIFIC — only gated switches</t>
        </is>
      </c>
      <c r="I36" s="73" t="inlineStr">
        <is>
          <t>LIVE — wired</t>
        </is>
      </c>
      <c r="J36" s="6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80" t="n">
        <v>9</v>
      </c>
      <c r="B37" s="80" t="inlineStr">
        <is>
          <t>BREAKEVEN_GAIN_EROSION_FILTER_TF</t>
        </is>
      </c>
      <c r="C37" s="0" t="inlineStr">
        <is>
          <t>OFF</t>
        </is>
      </c>
      <c r="D37" s="73" t="inlineStr">
        <is>
          <t>Exit gate: when peak gain erodes toward breakeven, requires FILTER_TF confirmation before closing at breakeven. | Live read: `LOPE_DEADBAND', 'BB4H_BREAKOUT_LADDER_TARGET_USD', 'BB_FROZEN_STOP_FIELD', 'BB_F`</t>
        </is>
      </c>
      <c r="E37" s="73" t="inlineStr">
        <is>
          <t>GLOBAL_CHECK</t>
        </is>
      </c>
      <c r="F37" s="73" t="inlineStr">
        <is>
          <t>GLOBAL_CHECK</t>
        </is>
      </c>
      <c r="G37" s="73" t="inlineStr">
        <is>
          <t>BREAKEVEN_GAIN_EROSION</t>
        </is>
      </c>
      <c r="H37" s="73" t="inlineStr">
        <is>
          <t>SPECIFIC — only gated switches</t>
        </is>
      </c>
      <c r="I37" s="73" t="inlineStr">
        <is>
          <t>LIVE — wired</t>
        </is>
      </c>
      <c r="J37" s="6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3" t="n">
        <v>9</v>
      </c>
      <c r="B38" s="73" t="inlineStr">
        <is>
          <t>BREAKEVEN_GAIN_EROSION_FILTER_TF</t>
        </is>
      </c>
      <c r="C38" s="0" t="inlineStr">
        <is>
          <t>D</t>
        </is>
      </c>
      <c r="D38" s="73" t="inlineStr">
        <is>
          <t>Exit gate: when peak gain erodes toward breakeven, requires FILTER_TF confirmation before closing at breakeven. | Live read: `LOPE_DEADBAND', 'BB4H_BREAKOUT_LADDER_TARGET_USD', 'BB_FROZEN_STOP_FIELD', 'BB_F`</t>
        </is>
      </c>
      <c r="E38" s="73" t="inlineStr">
        <is>
          <t>GLOBAL_CHECK</t>
        </is>
      </c>
      <c r="F38" s="73" t="inlineStr">
        <is>
          <t>GLOBAL_CHECK</t>
        </is>
      </c>
      <c r="G38" s="73" t="inlineStr">
        <is>
          <t>BREAKEVEN_GAIN_EROSION</t>
        </is>
      </c>
      <c r="H38" s="73" t="inlineStr">
        <is>
          <t>SPECIFIC — only gated switches</t>
        </is>
      </c>
      <c r="I38" s="73" t="inlineStr">
        <is>
          <t>LIVE — wired</t>
        </is>
      </c>
      <c r="J38" s="6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3" t="n">
        <v>9</v>
      </c>
      <c r="B39" s="73" t="inlineStr">
        <is>
          <t>BREAKEVEN_GAIN_EROSION_FILTER_TF</t>
        </is>
      </c>
      <c r="C39" s="0" t="inlineStr">
        <is>
          <t>4h</t>
        </is>
      </c>
      <c r="D39" s="73" t="inlineStr">
        <is>
          <t>Exit gate: when peak gain erodes toward breakeven, requires FILTER_TF confirmation before closing at breakeven. | Live read: `LOPE_DEADBAND', 'BB4H_BREAKOUT_LADDER_TARGET_USD', 'BB_FROZEN_STOP_FIELD', 'BB_F`</t>
        </is>
      </c>
      <c r="E39" s="73" t="inlineStr">
        <is>
          <t>GLOBAL_CHECK</t>
        </is>
      </c>
      <c r="F39" s="73" t="inlineStr">
        <is>
          <t>GLOBAL_CHECK</t>
        </is>
      </c>
      <c r="G39" s="73" t="inlineStr">
        <is>
          <t>BREAKEVEN_GAIN_EROSION</t>
        </is>
      </c>
      <c r="H39" s="73" t="inlineStr">
        <is>
          <t>SPECIFIC — only gated switches</t>
        </is>
      </c>
      <c r="I39" s="73" t="inlineStr">
        <is>
          <t>LIVE — wired</t>
        </is>
      </c>
      <c r="J39" s="6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3" t="n">
        <v>9</v>
      </c>
      <c r="B40" s="73" t="inlineStr">
        <is>
          <t>BREAKEVEN_GAIN_EROSION_FILTER_TF</t>
        </is>
      </c>
      <c r="C40" s="0" t="inlineStr">
        <is>
          <t>1h</t>
        </is>
      </c>
      <c r="D40" s="73" t="inlineStr">
        <is>
          <t>Exit gate: when peak gain erodes toward breakeven, requires FILTER_TF confirmation before closing at breakeven. | Live read: `LOPE_DEADBAND', 'BB4H_BREAKOUT_LADDER_TARGET_USD', 'BB_FROZEN_STOP_FIELD', 'BB_F`</t>
        </is>
      </c>
      <c r="E40" s="73" t="inlineStr">
        <is>
          <t>GLOBAL_CHECK</t>
        </is>
      </c>
      <c r="F40" s="73" t="inlineStr">
        <is>
          <t>GLOBAL_CHECK</t>
        </is>
      </c>
      <c r="G40" s="73" t="inlineStr">
        <is>
          <t>BREAKEVEN_GAIN_EROSION</t>
        </is>
      </c>
      <c r="H40" s="73" t="inlineStr">
        <is>
          <t>SPECIFIC — only gated switches</t>
        </is>
      </c>
      <c r="I40" s="73" t="inlineStr">
        <is>
          <t>LIVE — wired</t>
        </is>
      </c>
      <c r="J40" s="6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3" t="n">
        <v>9</v>
      </c>
      <c r="B41" s="73" t="inlineStr">
        <is>
          <t>BREAKEVEN_GAIN_EROSION_FILTER_TF</t>
        </is>
      </c>
      <c r="C41" s="0" t="inlineStr">
        <is>
          <t>15m</t>
        </is>
      </c>
      <c r="D41" s="73" t="inlineStr">
        <is>
          <t>Exit gate: when peak gain erodes toward breakeven, requires FILTER_TF confirmation before closing at breakeven. | Live read: `LOPE_DEADBAND', 'BB4H_BREAKOUT_LADDER_TARGET_USD', 'BB_FROZEN_STOP_FIELD', 'BB_F`</t>
        </is>
      </c>
      <c r="E41" s="73" t="inlineStr">
        <is>
          <t>GLOBAL_CHECK</t>
        </is>
      </c>
      <c r="F41" s="73" t="inlineStr">
        <is>
          <t>GLOBAL_CHECK</t>
        </is>
      </c>
      <c r="G41" s="73" t="inlineStr">
        <is>
          <t>BREAKEVEN_GAIN_EROSION</t>
        </is>
      </c>
      <c r="H41" s="73" t="inlineStr">
        <is>
          <t>SPECIFIC — only gated switches</t>
        </is>
      </c>
      <c r="I41" s="73" t="inlineStr">
        <is>
          <t>LIVE — wired</t>
        </is>
      </c>
      <c r="J41" s="6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80" t="n">
        <v>10</v>
      </c>
      <c r="B42" s="80" t="inlineStr">
        <is>
          <t>BREAKOUT_RETEST_FILTER_TF</t>
        </is>
      </c>
      <c r="C42" s="0" t="inlineStr">
        <is>
          <t>OFF</t>
        </is>
      </c>
      <c r="D42" s="73" t="inlineStr">
        <is>
          <t>Breakout filter: after DC/BB breakout, requires retest hold on FILTER_TF before entry. | Live read: `UM_CHECK_ENABLED', 'BREAKOUT_HTF_MIN_ALIGNED', 'BREAKOUT_INJECT_LIVE', 'BREAKOUT`</t>
        </is>
      </c>
      <c r="E42" s="73" t="inlineStr">
        <is>
          <t>GLOBAL_CHECK</t>
        </is>
      </c>
      <c r="F42" s="73" t="inlineStr">
        <is>
          <t>GLOBAL_CHECK</t>
        </is>
      </c>
      <c r="G42" s="73" t="inlineStr">
        <is>
          <t>Breakout retest</t>
        </is>
      </c>
      <c r="H42" s="73" t="inlineStr">
        <is>
          <t>SPECIFIC — only gated switches</t>
        </is>
      </c>
      <c r="I42" s="73" t="inlineStr">
        <is>
          <t>LIVE — wired</t>
        </is>
      </c>
      <c r="J42" s="6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3" t="n">
        <v>10</v>
      </c>
      <c r="B43" s="73" t="inlineStr">
        <is>
          <t>BREAKOUT_RETEST_FILTER_TF</t>
        </is>
      </c>
      <c r="C43" s="0" t="inlineStr">
        <is>
          <t>D</t>
        </is>
      </c>
      <c r="D43" s="73" t="inlineStr">
        <is>
          <t>Breakout filter: after DC/BB breakout, requires retest hold on FILTER_TF before entry. | Live read: `UM_CHECK_ENABLED', 'BREAKOUT_HTF_MIN_ALIGNED', 'BREAKOUT_INJECT_LIVE', 'BREAKOUT`</t>
        </is>
      </c>
      <c r="E43" s="73" t="inlineStr">
        <is>
          <t>GLOBAL_CHECK</t>
        </is>
      </c>
      <c r="F43" s="73" t="inlineStr">
        <is>
          <t>GLOBAL_CHECK</t>
        </is>
      </c>
      <c r="G43" s="73" t="inlineStr">
        <is>
          <t>Breakout retest</t>
        </is>
      </c>
      <c r="H43" s="73" t="inlineStr">
        <is>
          <t>SPECIFIC — only gated switches</t>
        </is>
      </c>
      <c r="I43" s="73" t="inlineStr">
        <is>
          <t>LIVE — wired</t>
        </is>
      </c>
      <c r="J43" s="6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3" t="n">
        <v>10</v>
      </c>
      <c r="B44" s="73" t="inlineStr">
        <is>
          <t>BREAKOUT_RETEST_FILTER_TF</t>
        </is>
      </c>
      <c r="C44" s="0" t="inlineStr">
        <is>
          <t>4h</t>
        </is>
      </c>
      <c r="D44" s="73" t="inlineStr">
        <is>
          <t>Breakout filter: after DC/BB breakout, requires retest hold on FILTER_TF before entry. | Live read: `UM_CHECK_ENABLED', 'BREAKOUT_HTF_MIN_ALIGNED', 'BREAKOUT_INJECT_LIVE', 'BREAKOUT`</t>
        </is>
      </c>
      <c r="E44" s="73" t="inlineStr">
        <is>
          <t>GLOBAL_CHECK</t>
        </is>
      </c>
      <c r="F44" s="73" t="inlineStr">
        <is>
          <t>GLOBAL_CHECK</t>
        </is>
      </c>
      <c r="G44" s="73" t="inlineStr">
        <is>
          <t>Breakout retest</t>
        </is>
      </c>
      <c r="H44" s="73" t="inlineStr">
        <is>
          <t>SPECIFIC — only gated switches</t>
        </is>
      </c>
      <c r="I44" s="73" t="inlineStr">
        <is>
          <t>LIVE — wired</t>
        </is>
      </c>
      <c r="J44" s="6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3" t="n">
        <v>10</v>
      </c>
      <c r="B45" s="73" t="inlineStr">
        <is>
          <t>BREAKOUT_RETEST_FILTER_TF</t>
        </is>
      </c>
      <c r="C45" s="0" t="inlineStr">
        <is>
          <t>1h</t>
        </is>
      </c>
      <c r="D45" s="73" t="inlineStr">
        <is>
          <t>Breakout filter: after DC/BB breakout, requires retest hold on FILTER_TF before entry. | Live read: `UM_CHECK_ENABLED', 'BREAKOUT_HTF_MIN_ALIGNED', 'BREAKOUT_INJECT_LIVE', 'BREAKOUT`</t>
        </is>
      </c>
      <c r="E45" s="73" t="inlineStr">
        <is>
          <t>GLOBAL_CHECK</t>
        </is>
      </c>
      <c r="F45" s="73" t="inlineStr">
        <is>
          <t>GLOBAL_CHECK</t>
        </is>
      </c>
      <c r="G45" s="73" t="inlineStr">
        <is>
          <t>Breakout retest</t>
        </is>
      </c>
      <c r="H45" s="73" t="inlineStr">
        <is>
          <t>SPECIFIC — only gated switches</t>
        </is>
      </c>
      <c r="I45" s="73" t="inlineStr">
        <is>
          <t>LIVE — wired</t>
        </is>
      </c>
      <c r="J45" s="6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3" t="n">
        <v>10</v>
      </c>
      <c r="B46" s="73" t="inlineStr">
        <is>
          <t>BREAKOUT_RETEST_FILTER_TF</t>
        </is>
      </c>
      <c r="C46" s="0" t="inlineStr">
        <is>
          <t>15m</t>
        </is>
      </c>
      <c r="D46" s="73" t="inlineStr">
        <is>
          <t>Breakout filter: after DC/BB breakout, requires retest hold on FILTER_TF before entry. | Live read: `UM_CHECK_ENABLED', 'BREAKOUT_HTF_MIN_ALIGNED', 'BREAKOUT_INJECT_LIVE', 'BREAKOUT`</t>
        </is>
      </c>
      <c r="E46" s="73" t="inlineStr">
        <is>
          <t>GLOBAL_CHECK</t>
        </is>
      </c>
      <c r="F46" s="73" t="inlineStr">
        <is>
          <t>GLOBAL_CHECK</t>
        </is>
      </c>
      <c r="G46" s="73" t="inlineStr">
        <is>
          <t>Breakout retest</t>
        </is>
      </c>
      <c r="H46" s="73" t="inlineStr">
        <is>
          <t>SPECIFIC — only gated switches</t>
        </is>
      </c>
      <c r="I46" s="73" t="inlineStr">
        <is>
          <t>LIVE — wired</t>
        </is>
      </c>
      <c r="J46" s="6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81" t="n">
        <v>11</v>
      </c>
      <c r="B47" s="81" t="inlineStr">
        <is>
          <t>BTC_ACCEL_RAMP_REQUIRE_POSITIVE</t>
        </is>
      </c>
      <c r="C47" s="0" t="inlineStr">
        <is>
          <t>0.0</t>
        </is>
      </c>
      <c r="D47"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74" t="inlineStr">
        <is>
          <t>UNIVERSAL (ex-BTC) — ENTRY/EXIT/REENTRY</t>
        </is>
      </c>
      <c r="F47" s="74" t="inlineStr">
        <is>
          <t>UNIVERSAL (ex-BTC) — ENTRY/EXIT/REENTRY</t>
        </is>
      </c>
      <c r="G47" s="74" t="inlineStr">
        <is>
          <t>Accel ramp (UNIVERSAL) — UNIVERSAL</t>
        </is>
      </c>
      <c r="H47" s="74" t="inlineStr">
        <is>
          <t>GENERAL</t>
        </is>
      </c>
      <c r="I47" s="74" t="inlineStr">
        <is>
          <t>LIVE — UNIVERSAL (ex-BTC)</t>
        </is>
      </c>
      <c r="J47" s="74"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74" t="n">
        <v>11</v>
      </c>
      <c r="B48" s="74" t="inlineStr">
        <is>
          <t>BTC_ACCEL_RAMP_REQUIRE_POSITIVE</t>
        </is>
      </c>
      <c r="C48" s="0" t="inlineStr">
        <is>
          <t>0.0_ALT</t>
        </is>
      </c>
      <c r="D48"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74" t="inlineStr">
        <is>
          <t>UNIVERSAL (ex-BTC) — ENTRY/EXIT/REENTRY</t>
        </is>
      </c>
      <c r="F48" s="74" t="inlineStr">
        <is>
          <t>UNIVERSAL (ex-BTC) — ENTRY/EXIT/REENTRY</t>
        </is>
      </c>
      <c r="G48" s="74" t="inlineStr">
        <is>
          <t>Accel ramp (UNIVERSAL) — UNIVERSAL</t>
        </is>
      </c>
      <c r="H48" s="74" t="inlineStr">
        <is>
          <t>GENERAL</t>
        </is>
      </c>
      <c r="I48" s="74" t="inlineStr">
        <is>
          <t>LIVE — UNIVERSAL (ex-BTC)</t>
        </is>
      </c>
      <c r="J48" s="74"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81" t="n">
        <v>12</v>
      </c>
      <c r="B49" s="81" t="inlineStr">
        <is>
          <t>BTC_DEDICATED_FILTER_TF</t>
        </is>
      </c>
      <c r="C49" s="0" t="inlineStr">
        <is>
          <t>OFF</t>
        </is>
      </c>
      <c r="D49" s="74" t="inlineStr">
        <is>
          <t>UNIVERSAL gate (BTCUSDC/BTCUSDT) — requires dedicated BTC momentum alignment. | Live read: `_EXHAUSTIVE_FILTER_LIST_LIVE = ['ADAPTIVE_REGIME_DC_BREAKDOWN_THRESHOLD', 'ADAPT` | UNIVERSAL per 2026-08-28 — applies to ALL symbols, not BTC-only.</t>
        </is>
      </c>
      <c r="E49" s="74" t="inlineStr">
        <is>
          <t>UNIVERSAL (ex-BTC) — ENTRY/EXIT/REENTRY</t>
        </is>
      </c>
      <c r="F49" s="74" t="inlineStr">
        <is>
          <t>UNIVERSAL (ex-BTC) — ENTRY/EXIT/REENTRY</t>
        </is>
      </c>
      <c r="G49" s="74" t="inlineStr">
        <is>
          <t>Dedicated (UNIVERSAL) — UNIVERSAL</t>
        </is>
      </c>
      <c r="H49" s="74" t="inlineStr">
        <is>
          <t>SPECIFIC — only gated switches</t>
        </is>
      </c>
      <c r="I49" s="74" t="inlineStr">
        <is>
          <t>LIVE — UNIVERSAL (ex-BTC)</t>
        </is>
      </c>
      <c r="J49" s="74"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74" t="n">
        <v>12</v>
      </c>
      <c r="B50" s="74" t="inlineStr">
        <is>
          <t>BTC_DEDICATED_FILTER_TF</t>
        </is>
      </c>
      <c r="C50" s="0" t="inlineStr">
        <is>
          <t>D</t>
        </is>
      </c>
      <c r="D50" s="74" t="inlineStr">
        <is>
          <t>UNIVERSAL gate (BTCUSDC/BTCUSDT) — requires dedicated BTC momentum alignment. | Live read: `_EXHAUSTIVE_FILTER_LIST_LIVE = ['ADAPTIVE_REGIME_DC_BREAKDOWN_THRESHOLD', 'ADAPT` | UNIVERSAL per 2026-08-28 — applies to ALL symbols, not BTC-only.</t>
        </is>
      </c>
      <c r="E50" s="74" t="inlineStr">
        <is>
          <t>UNIVERSAL (ex-BTC) — ENTRY/EXIT/REENTRY</t>
        </is>
      </c>
      <c r="F50" s="74" t="inlineStr">
        <is>
          <t>UNIVERSAL (ex-BTC) — ENTRY/EXIT/REENTRY</t>
        </is>
      </c>
      <c r="G50" s="74" t="inlineStr">
        <is>
          <t>Dedicated (UNIVERSAL) — UNIVERSAL</t>
        </is>
      </c>
      <c r="H50" s="74" t="inlineStr">
        <is>
          <t>SPECIFIC — only gated switches</t>
        </is>
      </c>
      <c r="I50" s="74" t="inlineStr">
        <is>
          <t>LIVE — UNIVERSAL (ex-BTC)</t>
        </is>
      </c>
      <c r="J50" s="74"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74" t="n">
        <v>12</v>
      </c>
      <c r="B51" s="74" t="inlineStr">
        <is>
          <t>BTC_DEDICATED_FILTER_TF</t>
        </is>
      </c>
      <c r="C51" s="0" t="inlineStr">
        <is>
          <t>4h</t>
        </is>
      </c>
      <c r="D51" s="74" t="inlineStr">
        <is>
          <t>UNIVERSAL gate (BTCUSDC/BTCUSDT) — requires dedicated BTC momentum alignment. | Live read: `_EXHAUSTIVE_FILTER_LIST_LIVE = ['ADAPTIVE_REGIME_DC_BREAKDOWN_THRESHOLD', 'ADAPT` | UNIVERSAL per 2026-08-28 — applies to ALL symbols, not BTC-only.</t>
        </is>
      </c>
      <c r="E51" s="74" t="inlineStr">
        <is>
          <t>UNIVERSAL (ex-BTC) — ENTRY/EXIT/REENTRY</t>
        </is>
      </c>
      <c r="F51" s="74" t="inlineStr">
        <is>
          <t>UNIVERSAL (ex-BTC) — ENTRY/EXIT/REENTRY</t>
        </is>
      </c>
      <c r="G51" s="74" t="inlineStr">
        <is>
          <t>Dedicated (UNIVERSAL) — UNIVERSAL</t>
        </is>
      </c>
      <c r="H51" s="74" t="inlineStr">
        <is>
          <t>SPECIFIC — only gated switches</t>
        </is>
      </c>
      <c r="I51" s="74" t="inlineStr">
        <is>
          <t>LIVE — UNIVERSAL (ex-BTC)</t>
        </is>
      </c>
      <c r="J51" s="74"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74" t="n">
        <v>12</v>
      </c>
      <c r="B52" s="74" t="inlineStr">
        <is>
          <t>BTC_DEDICATED_FILTER_TF</t>
        </is>
      </c>
      <c r="C52" s="0" t="inlineStr">
        <is>
          <t>1h</t>
        </is>
      </c>
      <c r="D52" s="74" t="inlineStr">
        <is>
          <t>UNIVERSAL gate (BTCUSDC/BTCUSDT) — requires dedicated BTC momentum alignment. | Live read: `_EXHAUSTIVE_FILTER_LIST_LIVE = ['ADAPTIVE_REGIME_DC_BREAKDOWN_THRESHOLD', 'ADAPT` | UNIVERSAL per 2026-08-28 — applies to ALL symbols, not BTC-only.</t>
        </is>
      </c>
      <c r="E52" s="74" t="inlineStr">
        <is>
          <t>UNIVERSAL (ex-BTC) — ENTRY/EXIT/REENTRY</t>
        </is>
      </c>
      <c r="F52" s="74" t="inlineStr">
        <is>
          <t>UNIVERSAL (ex-BTC) — ENTRY/EXIT/REENTRY</t>
        </is>
      </c>
      <c r="G52" s="74" t="inlineStr">
        <is>
          <t>Dedicated (UNIVERSAL) — UNIVERSAL</t>
        </is>
      </c>
      <c r="H52" s="74" t="inlineStr">
        <is>
          <t>SPECIFIC — only gated switches</t>
        </is>
      </c>
      <c r="I52" s="74" t="inlineStr">
        <is>
          <t>LIVE — UNIVERSAL (ex-BTC)</t>
        </is>
      </c>
      <c r="J52" s="74"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74" t="n">
        <v>12</v>
      </c>
      <c r="B53" s="74" t="inlineStr">
        <is>
          <t>BTC_DEDICATED_FILTER_TF</t>
        </is>
      </c>
      <c r="C53" s="0" t="inlineStr">
        <is>
          <t>15m</t>
        </is>
      </c>
      <c r="D53" s="74" t="inlineStr">
        <is>
          <t>UNIVERSAL gate (BTCUSDC/BTCUSDT) — requires dedicated BTC momentum alignment. | Live read: `_EXHAUSTIVE_FILTER_LIST_LIVE = ['ADAPTIVE_REGIME_DC_BREAKDOWN_THRESHOLD', 'ADAPT` | UNIVERSAL per 2026-08-28 — applies to ALL symbols, not BTC-only.</t>
        </is>
      </c>
      <c r="E53" s="74" t="inlineStr">
        <is>
          <t>UNIVERSAL (ex-BTC) — ENTRY/EXIT/REENTRY</t>
        </is>
      </c>
      <c r="F53" s="74" t="inlineStr">
        <is>
          <t>UNIVERSAL (ex-BTC) — ENTRY/EXIT/REENTRY</t>
        </is>
      </c>
      <c r="G53" s="74" t="inlineStr">
        <is>
          <t>Dedicated (UNIVERSAL) — UNIVERSAL</t>
        </is>
      </c>
      <c r="H53" s="74" t="inlineStr">
        <is>
          <t>SPECIFIC — only gated switches</t>
        </is>
      </c>
      <c r="I53" s="74" t="inlineStr">
        <is>
          <t>LIVE — UNIVERSAL (ex-BTC)</t>
        </is>
      </c>
      <c r="J53" s="74"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81" t="n">
        <v>13</v>
      </c>
      <c r="B54" s="81" t="inlineStr">
        <is>
          <t>BTC_HARD_BLOCK_OTHER_ACCOUNTS</t>
        </is>
      </c>
      <c r="C54" s="0" t="inlineStr">
        <is>
          <t>0.0</t>
        </is>
      </c>
      <c r="D54" s="74" t="inlineStr">
        <is>
          <t>Global kill: when BTC regime is adverse, blocks non-BTC accounts. | Live read: `_EXHAUSTIVE_FILTER_LIST_LIVE = ['ADAPTIVE_REGIME_DC_BREAKDOWN_THRESHOLD', 'ADAPT` | UNIVERSAL per 2026-08-28 — applies to ALL symbols, not BTC-only.</t>
        </is>
      </c>
      <c r="E54" s="74" t="inlineStr">
        <is>
          <t>UNIVERSAL (ex-BTC) — ENTRY/EXIT/REENTRY</t>
        </is>
      </c>
      <c r="F54" s="74" t="inlineStr">
        <is>
          <t>UNIVERSAL (ex-BTC) — ENTRY/EXIT/REENTRY</t>
        </is>
      </c>
      <c r="G54" s="74" t="inlineStr">
        <is>
          <t>Global block (UNIVERSAL) — UNIVERSAL</t>
        </is>
      </c>
      <c r="H54" s="74" t="inlineStr">
        <is>
          <t>GENERAL</t>
        </is>
      </c>
      <c r="I54" s="74" t="inlineStr">
        <is>
          <t>LIVE — UNIVERSAL (ex-BTC)</t>
        </is>
      </c>
      <c r="J54" s="74"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74" t="n">
        <v>13</v>
      </c>
      <c r="B55" s="74" t="inlineStr">
        <is>
          <t>BTC_HARD_BLOCK_OTHER_ACCOUNTS</t>
        </is>
      </c>
      <c r="C55" s="0" t="inlineStr">
        <is>
          <t>0.0_ALT</t>
        </is>
      </c>
      <c r="D55" s="74" t="inlineStr">
        <is>
          <t>Global kill: when BTC regime is adverse, blocks non-BTC accounts. | Live read: `_EXHAUSTIVE_FILTER_LIST_LIVE = ['ADAPTIVE_REGIME_DC_BREAKDOWN_THRESHOLD', 'ADAPT` | UNIVERSAL per 2026-08-28 — applies to ALL symbols, not BTC-only.</t>
        </is>
      </c>
      <c r="E55" s="74" t="inlineStr">
        <is>
          <t>UNIVERSAL (ex-BTC) — ENTRY/EXIT/REENTRY</t>
        </is>
      </c>
      <c r="F55" s="74" t="inlineStr">
        <is>
          <t>UNIVERSAL (ex-BTC) — ENTRY/EXIT/REENTRY</t>
        </is>
      </c>
      <c r="G55" s="74" t="inlineStr">
        <is>
          <t>Global block (UNIVERSAL) — UNIVERSAL</t>
        </is>
      </c>
      <c r="H55" s="74" t="inlineStr">
        <is>
          <t>GENERAL</t>
        </is>
      </c>
      <c r="I55" s="74" t="inlineStr">
        <is>
          <t>LIVE — UNIVERSAL (ex-BTC)</t>
        </is>
      </c>
      <c r="J55" s="74"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81" t="n">
        <v>14</v>
      </c>
      <c r="B56" s="81" t="inlineStr">
        <is>
          <t>BTC_ROUND_BANDS_EACH_SIDE</t>
        </is>
      </c>
      <c r="C56" s="0" t="inlineStr">
        <is>
          <t>0.0</t>
        </is>
      </c>
      <c r="D56" s="74" t="inlineStr">
        <is>
          <t>Risk shape: round bands per side for BTC sizing. | Live read: `_EXHAUSTIVE_FILTER_LIST_LIVE = ['ADAPTIVE_REGIME_DC_BREAKDOWN_THRESHOLD', 'ADAPT` | UNIVERSAL per 2026-08-28 — applies to ALL symbols, not BTC-only.</t>
        </is>
      </c>
      <c r="E56" s="74" t="inlineStr">
        <is>
          <t>UNIVERSAL (ex-BTC) — ENTRY/EXIT/REENTRY</t>
        </is>
      </c>
      <c r="F56" s="74" t="inlineStr">
        <is>
          <t>UNIVERSAL (ex-BTC) — ENTRY/EXIT/REENTRY</t>
        </is>
      </c>
      <c r="G56" s="74" t="inlineStr">
        <is>
          <t>Band sizing (UNIVERSAL) — UNIVERSAL</t>
        </is>
      </c>
      <c r="H56" s="74" t="inlineStr">
        <is>
          <t>GENERAL</t>
        </is>
      </c>
      <c r="I56" s="74" t="inlineStr">
        <is>
          <t>LIVE — UNIVERSAL (ex-BTC)</t>
        </is>
      </c>
      <c r="J56" s="74"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74" t="n">
        <v>14</v>
      </c>
      <c r="B57" s="74" t="inlineStr">
        <is>
          <t>BTC_ROUND_BANDS_EACH_SIDE</t>
        </is>
      </c>
      <c r="C57" s="0" t="inlineStr">
        <is>
          <t>0.0_ALT</t>
        </is>
      </c>
      <c r="D57" s="74" t="inlineStr">
        <is>
          <t>Risk shape: round bands per side for BTC sizing. | Live read: `_EXHAUSTIVE_FILTER_LIST_LIVE = ['ADAPTIVE_REGIME_DC_BREAKDOWN_THRESHOLD', 'ADAPT` | UNIVERSAL per 2026-08-28 — applies to ALL symbols, not BTC-only.</t>
        </is>
      </c>
      <c r="E57" s="74" t="inlineStr">
        <is>
          <t>UNIVERSAL (ex-BTC) — ENTRY/EXIT/REENTRY</t>
        </is>
      </c>
      <c r="F57" s="74" t="inlineStr">
        <is>
          <t>UNIVERSAL (ex-BTC) — ENTRY/EXIT/REENTRY</t>
        </is>
      </c>
      <c r="G57" s="74" t="inlineStr">
        <is>
          <t>Band sizing (UNIVERSAL) — UNIVERSAL</t>
        </is>
      </c>
      <c r="H57" s="74" t="inlineStr">
        <is>
          <t>GENERAL</t>
        </is>
      </c>
      <c r="I57" s="74" t="inlineStr">
        <is>
          <t>LIVE — UNIVERSAL (ex-BTC)</t>
        </is>
      </c>
      <c r="J57" s="74"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80" t="n">
        <v>15</v>
      </c>
      <c r="B58" s="80" t="inlineStr">
        <is>
          <t>BT_WT_CROSS_LADDER_FILTER_TF</t>
        </is>
      </c>
      <c r="C58" s="0" t="inlineStr">
        <is>
          <t>OFF</t>
        </is>
      </c>
      <c r="D58" s="73" t="inlineStr">
        <is>
          <t>WT cross ladder confirmation on FILTER_TF. | Live read: `_EXHAUSTIVE_FILTER_LIST_LIVE = ['ADAPTIVE_REGIME_DC_BREAKDOWN_THRESHOLD', 'ADAPT`</t>
        </is>
      </c>
      <c r="E58" s="73" t="inlineStr">
        <is>
          <t>GLOBAL_CHECK</t>
        </is>
      </c>
      <c r="F58" s="73" t="inlineStr">
        <is>
          <t>GLOBAL_CHECK</t>
        </is>
      </c>
      <c r="G58" s="73" t="inlineStr">
        <is>
          <t>BT_WT_CROSS_LADDER</t>
        </is>
      </c>
      <c r="H58" s="73" t="inlineStr">
        <is>
          <t>SPECIFIC — only gated switches</t>
        </is>
      </c>
      <c r="I58" s="73" t="inlineStr">
        <is>
          <t>LIVE — wired</t>
        </is>
      </c>
      <c r="J58" s="6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3" t="n">
        <v>15</v>
      </c>
      <c r="B59" s="73" t="inlineStr">
        <is>
          <t>BT_WT_CROSS_LADDER_FILTER_TF</t>
        </is>
      </c>
      <c r="C59" s="0" t="inlineStr">
        <is>
          <t>D</t>
        </is>
      </c>
      <c r="D59" s="73" t="inlineStr">
        <is>
          <t>WT cross ladder confirmation on FILTER_TF. | Live read: `_EXHAUSTIVE_FILTER_LIST_LIVE = ['ADAPTIVE_REGIME_DC_BREAKDOWN_THRESHOLD', 'ADAPT`</t>
        </is>
      </c>
      <c r="E59" s="73" t="inlineStr">
        <is>
          <t>GLOBAL_CHECK</t>
        </is>
      </c>
      <c r="F59" s="73" t="inlineStr">
        <is>
          <t>GLOBAL_CHECK</t>
        </is>
      </c>
      <c r="G59" s="73" t="inlineStr">
        <is>
          <t>BT_WT_CROSS_LADDER</t>
        </is>
      </c>
      <c r="H59" s="73" t="inlineStr">
        <is>
          <t>SPECIFIC — only gated switches</t>
        </is>
      </c>
      <c r="I59" s="73" t="inlineStr">
        <is>
          <t>LIVE — wired</t>
        </is>
      </c>
      <c r="J59" s="6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3" t="n">
        <v>15</v>
      </c>
      <c r="B60" s="73" t="inlineStr">
        <is>
          <t>BT_WT_CROSS_LADDER_FILTER_TF</t>
        </is>
      </c>
      <c r="C60" s="0" t="inlineStr">
        <is>
          <t>4h</t>
        </is>
      </c>
      <c r="D60" s="73" t="inlineStr">
        <is>
          <t>WT cross ladder confirmation on FILTER_TF. | Live read: `_EXHAUSTIVE_FILTER_LIST_LIVE = ['ADAPTIVE_REGIME_DC_BREAKDOWN_THRESHOLD', 'ADAPT`</t>
        </is>
      </c>
      <c r="E60" s="73" t="inlineStr">
        <is>
          <t>GLOBAL_CHECK</t>
        </is>
      </c>
      <c r="F60" s="73" t="inlineStr">
        <is>
          <t>GLOBAL_CHECK</t>
        </is>
      </c>
      <c r="G60" s="73" t="inlineStr">
        <is>
          <t>BT_WT_CROSS_LADDER</t>
        </is>
      </c>
      <c r="H60" s="73" t="inlineStr">
        <is>
          <t>SPECIFIC — only gated switches</t>
        </is>
      </c>
      <c r="I60" s="73" t="inlineStr">
        <is>
          <t>LIVE — wired</t>
        </is>
      </c>
      <c r="J60" s="6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3" t="n">
        <v>15</v>
      </c>
      <c r="B61" s="73" t="inlineStr">
        <is>
          <t>BT_WT_CROSS_LADDER_FILTER_TF</t>
        </is>
      </c>
      <c r="C61" s="0" t="inlineStr">
        <is>
          <t>1h</t>
        </is>
      </c>
      <c r="D61" s="73" t="inlineStr">
        <is>
          <t>WT cross ladder confirmation on FILTER_TF. | Live read: `_EXHAUSTIVE_FILTER_LIST_LIVE = ['ADAPTIVE_REGIME_DC_BREAKDOWN_THRESHOLD', 'ADAPT`</t>
        </is>
      </c>
      <c r="E61" s="73" t="inlineStr">
        <is>
          <t>GLOBAL_CHECK</t>
        </is>
      </c>
      <c r="F61" s="73" t="inlineStr">
        <is>
          <t>GLOBAL_CHECK</t>
        </is>
      </c>
      <c r="G61" s="73" t="inlineStr">
        <is>
          <t>BT_WT_CROSS_LADDER</t>
        </is>
      </c>
      <c r="H61" s="73" t="inlineStr">
        <is>
          <t>SPECIFIC — only gated switches</t>
        </is>
      </c>
      <c r="I61" s="73" t="inlineStr">
        <is>
          <t>LIVE — wired</t>
        </is>
      </c>
      <c r="J61" s="6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3" t="n">
        <v>15</v>
      </c>
      <c r="B62" s="73" t="inlineStr">
        <is>
          <t>BT_WT_CROSS_LADDER_FILTER_TF</t>
        </is>
      </c>
      <c r="C62" s="0" t="inlineStr">
        <is>
          <t>15m</t>
        </is>
      </c>
      <c r="D62" s="73" t="inlineStr">
        <is>
          <t>WT cross ladder confirmation on FILTER_TF. | Live read: `_EXHAUSTIVE_FILTER_LIST_LIVE = ['ADAPTIVE_REGIME_DC_BREAKDOWN_THRESHOLD', 'ADAPT`</t>
        </is>
      </c>
      <c r="E62" s="73" t="inlineStr">
        <is>
          <t>GLOBAL_CHECK</t>
        </is>
      </c>
      <c r="F62" s="73" t="inlineStr">
        <is>
          <t>GLOBAL_CHECK</t>
        </is>
      </c>
      <c r="G62" s="73" t="inlineStr">
        <is>
          <t>BT_WT_CROSS_LADDER</t>
        </is>
      </c>
      <c r="H62" s="73" t="inlineStr">
        <is>
          <t>SPECIFIC — only gated switches</t>
        </is>
      </c>
      <c r="I62" s="73" t="inlineStr">
        <is>
          <t>LIVE — wired</t>
        </is>
      </c>
      <c r="J62" s="6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80" t="n">
        <v>16</v>
      </c>
      <c r="B63" s="80" t="inlineStr">
        <is>
          <t>CANDLE_PATTERN_STOPS_FILTER_TF</t>
        </is>
      </c>
      <c r="C63" s="0" t="inlineStr">
        <is>
          <t>OFF</t>
        </is>
      </c>
      <c r="D63" s="73" t="inlineStr">
        <is>
          <t>Exit stops driven by candle patterns; FILTER_TF selects confirmation TF. | Live read: `QUIRE_WT_3M_AND_1H', 'BTC_HEDGE_SAMESYM_ENABLED', 'BTC_HEDGE_SAMESYM_HEDGE_HARD_`</t>
        </is>
      </c>
      <c r="E63" s="73" t="inlineStr">
        <is>
          <t>GLOBAL_CHECK</t>
        </is>
      </c>
      <c r="F63" s="73" t="inlineStr">
        <is>
          <t>GLOBAL_CHECK</t>
        </is>
      </c>
      <c r="G63" s="73" t="inlineStr">
        <is>
          <t>CANDLE_PATTERN_STOPS</t>
        </is>
      </c>
      <c r="H63" s="73" t="inlineStr">
        <is>
          <t>SPECIFIC — only gated switches</t>
        </is>
      </c>
      <c r="I63" s="73" t="inlineStr">
        <is>
          <t>LIVE — wired</t>
        </is>
      </c>
      <c r="J63" s="6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3" t="n">
        <v>16</v>
      </c>
      <c r="B64" s="73" t="inlineStr">
        <is>
          <t>CANDLE_PATTERN_STOPS_FILTER_TF</t>
        </is>
      </c>
      <c r="C64" s="0" t="inlineStr">
        <is>
          <t>D</t>
        </is>
      </c>
      <c r="D64" s="73" t="inlineStr">
        <is>
          <t>Exit stops driven by candle patterns; FILTER_TF selects confirmation TF. | Live read: `QUIRE_WT_3M_AND_1H', 'BTC_HEDGE_SAMESYM_ENABLED', 'BTC_HEDGE_SAMESYM_HEDGE_HARD_`</t>
        </is>
      </c>
      <c r="E64" s="73" t="inlineStr">
        <is>
          <t>GLOBAL_CHECK</t>
        </is>
      </c>
      <c r="F64" s="73" t="inlineStr">
        <is>
          <t>GLOBAL_CHECK</t>
        </is>
      </c>
      <c r="G64" s="73" t="inlineStr">
        <is>
          <t>CANDLE_PATTERN_STOPS</t>
        </is>
      </c>
      <c r="H64" s="73" t="inlineStr">
        <is>
          <t>SPECIFIC — only gated switches</t>
        </is>
      </c>
      <c r="I64" s="73" t="inlineStr">
        <is>
          <t>LIVE — wired</t>
        </is>
      </c>
      <c r="J64" s="6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3" t="n">
        <v>16</v>
      </c>
      <c r="B65" s="73" t="inlineStr">
        <is>
          <t>CANDLE_PATTERN_STOPS_FILTER_TF</t>
        </is>
      </c>
      <c r="C65" s="0" t="inlineStr">
        <is>
          <t>4h</t>
        </is>
      </c>
      <c r="D65" s="73" t="inlineStr">
        <is>
          <t>Exit stops driven by candle patterns; FILTER_TF selects confirmation TF. | Live read: `QUIRE_WT_3M_AND_1H', 'BTC_HEDGE_SAMESYM_ENABLED', 'BTC_HEDGE_SAMESYM_HEDGE_HARD_`</t>
        </is>
      </c>
      <c r="E65" s="73" t="inlineStr">
        <is>
          <t>GLOBAL_CHECK</t>
        </is>
      </c>
      <c r="F65" s="73" t="inlineStr">
        <is>
          <t>GLOBAL_CHECK</t>
        </is>
      </c>
      <c r="G65" s="73" t="inlineStr">
        <is>
          <t>CANDLE_PATTERN_STOPS</t>
        </is>
      </c>
      <c r="H65" s="73" t="inlineStr">
        <is>
          <t>SPECIFIC — only gated switches</t>
        </is>
      </c>
      <c r="I65" s="73" t="inlineStr">
        <is>
          <t>LIVE — wired</t>
        </is>
      </c>
      <c r="J65" s="6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3" t="n">
        <v>16</v>
      </c>
      <c r="B66" s="73" t="inlineStr">
        <is>
          <t>CANDLE_PATTERN_STOPS_FILTER_TF</t>
        </is>
      </c>
      <c r="C66" s="0" t="inlineStr">
        <is>
          <t>1h</t>
        </is>
      </c>
      <c r="D66" s="73" t="inlineStr">
        <is>
          <t>Exit stops driven by candle patterns; FILTER_TF selects confirmation TF. | Live read: `QUIRE_WT_3M_AND_1H', 'BTC_HEDGE_SAMESYM_ENABLED', 'BTC_HEDGE_SAMESYM_HEDGE_HARD_`</t>
        </is>
      </c>
      <c r="E66" s="73" t="inlineStr">
        <is>
          <t>GLOBAL_CHECK</t>
        </is>
      </c>
      <c r="F66" s="73" t="inlineStr">
        <is>
          <t>GLOBAL_CHECK</t>
        </is>
      </c>
      <c r="G66" s="73" t="inlineStr">
        <is>
          <t>CANDLE_PATTERN_STOPS</t>
        </is>
      </c>
      <c r="H66" s="73" t="inlineStr">
        <is>
          <t>SPECIFIC — only gated switches</t>
        </is>
      </c>
      <c r="I66" s="73" t="inlineStr">
        <is>
          <t>LIVE — wired</t>
        </is>
      </c>
      <c r="J66" s="6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3" t="n">
        <v>16</v>
      </c>
      <c r="B67" s="73" t="inlineStr">
        <is>
          <t>CANDLE_PATTERN_STOPS_FILTER_TF</t>
        </is>
      </c>
      <c r="C67" s="0" t="inlineStr">
        <is>
          <t>15m</t>
        </is>
      </c>
      <c r="D67" s="73" t="inlineStr">
        <is>
          <t>Exit stops driven by candle patterns; FILTER_TF selects confirmation TF. | Live read: `QUIRE_WT_3M_AND_1H', 'BTC_HEDGE_SAMESYM_ENABLED', 'BTC_HEDGE_SAMESYM_HEDGE_HARD_`</t>
        </is>
      </c>
      <c r="E67" s="73" t="inlineStr">
        <is>
          <t>GLOBAL_CHECK</t>
        </is>
      </c>
      <c r="F67" s="73" t="inlineStr">
        <is>
          <t>GLOBAL_CHECK</t>
        </is>
      </c>
      <c r="G67" s="73" t="inlineStr">
        <is>
          <t>CANDLE_PATTERN_STOPS</t>
        </is>
      </c>
      <c r="H67" s="73" t="inlineStr">
        <is>
          <t>SPECIFIC — only gated switches</t>
        </is>
      </c>
      <c r="I67" s="73" t="inlineStr">
        <is>
          <t>LIVE — wired</t>
        </is>
      </c>
      <c r="J67" s="6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80" t="n">
        <v>17</v>
      </c>
      <c r="B68" s="80" t="inlineStr">
        <is>
          <t>CIRCUIT_SHARPE_GATES_FILTER_TF</t>
        </is>
      </c>
      <c r="C68" s="0" t="inlineStr">
        <is>
          <t>OFF</t>
        </is>
      </c>
      <c r="D68" s="73" t="inlineStr">
        <is>
          <t>Circuit breaker gated by rolling Sharpe on FILTER_TF. | Live read: `THRESHOLD', 'ADAPTIVE_REGIME_DECAY_HALFLIFE_H', 'ADAPTIVE_REGIME_HEAT_TRIGGER', `</t>
        </is>
      </c>
      <c r="E68" s="73" t="inlineStr">
        <is>
          <t>GLOBAL_CHECK</t>
        </is>
      </c>
      <c r="F68" s="73" t="inlineStr">
        <is>
          <t>GLOBAL_CHECK</t>
        </is>
      </c>
      <c r="G68" s="73" t="inlineStr">
        <is>
          <t>CIRCUIT_SHARPE_GATES</t>
        </is>
      </c>
      <c r="H68" s="73" t="inlineStr">
        <is>
          <t>SPECIFIC — only gated switches</t>
        </is>
      </c>
      <c r="I68" s="73" t="inlineStr">
        <is>
          <t>LIVE — wired</t>
        </is>
      </c>
      <c r="J68" s="6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3" t="n">
        <v>17</v>
      </c>
      <c r="B69" s="73" t="inlineStr">
        <is>
          <t>CIRCUIT_SHARPE_GATES_FILTER_TF</t>
        </is>
      </c>
      <c r="C69" s="0" t="inlineStr">
        <is>
          <t>D</t>
        </is>
      </c>
      <c r="D69" s="73" t="inlineStr">
        <is>
          <t>Circuit breaker gated by rolling Sharpe on FILTER_TF. | Live read: `THRESHOLD', 'ADAPTIVE_REGIME_DECAY_HALFLIFE_H', 'ADAPTIVE_REGIME_HEAT_TRIGGER', `</t>
        </is>
      </c>
      <c r="E69" s="73" t="inlineStr">
        <is>
          <t>GLOBAL_CHECK</t>
        </is>
      </c>
      <c r="F69" s="73" t="inlineStr">
        <is>
          <t>GLOBAL_CHECK</t>
        </is>
      </c>
      <c r="G69" s="73" t="inlineStr">
        <is>
          <t>CIRCUIT_SHARPE_GATES</t>
        </is>
      </c>
      <c r="H69" s="73" t="inlineStr">
        <is>
          <t>SPECIFIC — only gated switches</t>
        </is>
      </c>
      <c r="I69" s="73" t="inlineStr">
        <is>
          <t>LIVE — wired</t>
        </is>
      </c>
      <c r="J69" s="6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3" t="n">
        <v>17</v>
      </c>
      <c r="B70" s="73" t="inlineStr">
        <is>
          <t>CIRCUIT_SHARPE_GATES_FILTER_TF</t>
        </is>
      </c>
      <c r="C70" s="0" t="inlineStr">
        <is>
          <t>4h</t>
        </is>
      </c>
      <c r="D70" s="73" t="inlineStr">
        <is>
          <t>Circuit breaker gated by rolling Sharpe on FILTER_TF. | Live read: `THRESHOLD', 'ADAPTIVE_REGIME_DECAY_HALFLIFE_H', 'ADAPTIVE_REGIME_HEAT_TRIGGER', `</t>
        </is>
      </c>
      <c r="E70" s="73" t="inlineStr">
        <is>
          <t>GLOBAL_CHECK</t>
        </is>
      </c>
      <c r="F70" s="73" t="inlineStr">
        <is>
          <t>GLOBAL_CHECK</t>
        </is>
      </c>
      <c r="G70" s="73" t="inlineStr">
        <is>
          <t>CIRCUIT_SHARPE_GATES</t>
        </is>
      </c>
      <c r="H70" s="73" t="inlineStr">
        <is>
          <t>SPECIFIC — only gated switches</t>
        </is>
      </c>
      <c r="I70" s="73" t="inlineStr">
        <is>
          <t>LIVE — wired</t>
        </is>
      </c>
      <c r="J70" s="6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3" t="n">
        <v>17</v>
      </c>
      <c r="B71" s="73" t="inlineStr">
        <is>
          <t>CIRCUIT_SHARPE_GATES_FILTER_TF</t>
        </is>
      </c>
      <c r="C71" s="0" t="inlineStr">
        <is>
          <t>1h</t>
        </is>
      </c>
      <c r="D71" s="73" t="inlineStr">
        <is>
          <t>Circuit breaker gated by rolling Sharpe on FILTER_TF. | Live read: `THRESHOLD', 'ADAPTIVE_REGIME_DECAY_HALFLIFE_H', 'ADAPTIVE_REGIME_HEAT_TRIGGER', `</t>
        </is>
      </c>
      <c r="E71" s="73" t="inlineStr">
        <is>
          <t>GLOBAL_CHECK</t>
        </is>
      </c>
      <c r="F71" s="73" t="inlineStr">
        <is>
          <t>GLOBAL_CHECK</t>
        </is>
      </c>
      <c r="G71" s="73" t="inlineStr">
        <is>
          <t>CIRCUIT_SHARPE_GATES</t>
        </is>
      </c>
      <c r="H71" s="73" t="inlineStr">
        <is>
          <t>SPECIFIC — only gated switches</t>
        </is>
      </c>
      <c r="I71" s="73" t="inlineStr">
        <is>
          <t>LIVE — wired</t>
        </is>
      </c>
      <c r="J71" s="6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3" t="n">
        <v>17</v>
      </c>
      <c r="B72" s="73" t="inlineStr">
        <is>
          <t>CIRCUIT_SHARPE_GATES_FILTER_TF</t>
        </is>
      </c>
      <c r="C72" s="0" t="inlineStr">
        <is>
          <t>15m</t>
        </is>
      </c>
      <c r="D72" s="73" t="inlineStr">
        <is>
          <t>Circuit breaker gated by rolling Sharpe on FILTER_TF. | Live read: `THRESHOLD', 'ADAPTIVE_REGIME_DECAY_HALFLIFE_H', 'ADAPTIVE_REGIME_HEAT_TRIGGER', `</t>
        </is>
      </c>
      <c r="E72" s="73" t="inlineStr">
        <is>
          <t>GLOBAL_CHECK</t>
        </is>
      </c>
      <c r="F72" s="73" t="inlineStr">
        <is>
          <t>GLOBAL_CHECK</t>
        </is>
      </c>
      <c r="G72" s="73" t="inlineStr">
        <is>
          <t>CIRCUIT_SHARPE_GATES</t>
        </is>
      </c>
      <c r="H72" s="73" t="inlineStr">
        <is>
          <t>SPECIFIC — only gated switches</t>
        </is>
      </c>
      <c r="I72" s="73" t="inlineStr">
        <is>
          <t>LIVE — wired</t>
        </is>
      </c>
      <c r="J72" s="6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79" t="n">
        <v>18</v>
      </c>
      <c r="B73" s="79" t="inlineStr">
        <is>
          <t>COOLDOWN_LOCKS_FILTER_TF</t>
        </is>
      </c>
      <c r="C73" s="0" t="inlineStr">
        <is>
          <t>OFF</t>
        </is>
      </c>
      <c r="D73" s="71" t="inlineStr">
        <is>
          <t>Cooldown lockout after recent trade on FILTER_TF. | Live read: `EAT_TRIGGER', 'ADAPTIVE_REGIME_LOOKBACK_DAYS', 'ADAPTIVE_REGIME_MIN_SIGNALS', 'A`</t>
        </is>
      </c>
      <c r="E73" s="71" t="inlineStr">
        <is>
          <t>GLOBAL_CHECK</t>
        </is>
      </c>
      <c r="F73" s="71" t="inlineStr">
        <is>
          <t>GLOBAL_CHECK</t>
        </is>
      </c>
      <c r="G73" s="71" t="inlineStr">
        <is>
          <t>COOLDOWN_LOCKS</t>
        </is>
      </c>
      <c r="H73" s="71" t="inlineStr">
        <is>
          <t>GENERAL — uniform</t>
        </is>
      </c>
      <c r="I73" s="71" t="inlineStr">
        <is>
          <t>LIVE — wired</t>
        </is>
      </c>
      <c r="J73" s="72"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71" t="n">
        <v>18</v>
      </c>
      <c r="B74" s="71" t="inlineStr">
        <is>
          <t>COOLDOWN_LOCKS_FILTER_TF</t>
        </is>
      </c>
      <c r="C74" s="0" t="inlineStr">
        <is>
          <t>D</t>
        </is>
      </c>
      <c r="D74" s="71" t="inlineStr">
        <is>
          <t>Cooldown lockout after recent trade on FILTER_TF. | Live read: `EAT_TRIGGER', 'ADAPTIVE_REGIME_LOOKBACK_DAYS', 'ADAPTIVE_REGIME_MIN_SIGNALS', 'A`</t>
        </is>
      </c>
      <c r="E74" s="71" t="inlineStr">
        <is>
          <t>GLOBAL_CHECK</t>
        </is>
      </c>
      <c r="F74" s="71" t="inlineStr">
        <is>
          <t>GLOBAL_CHECK</t>
        </is>
      </c>
      <c r="G74" s="71" t="inlineStr">
        <is>
          <t>COOLDOWN_LOCKS</t>
        </is>
      </c>
      <c r="H74" s="71" t="inlineStr">
        <is>
          <t>GENERAL — uniform</t>
        </is>
      </c>
      <c r="I74" s="71" t="inlineStr">
        <is>
          <t>LIVE — wired</t>
        </is>
      </c>
      <c r="J74" s="72"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71" t="n">
        <v>18</v>
      </c>
      <c r="B75" s="71" t="inlineStr">
        <is>
          <t>COOLDOWN_LOCKS_FILTER_TF</t>
        </is>
      </c>
      <c r="C75" s="0" t="inlineStr">
        <is>
          <t>4h</t>
        </is>
      </c>
      <c r="D75" s="71" t="inlineStr">
        <is>
          <t>Cooldown lockout after recent trade on FILTER_TF. | Live read: `EAT_TRIGGER', 'ADAPTIVE_REGIME_LOOKBACK_DAYS', 'ADAPTIVE_REGIME_MIN_SIGNALS', 'A`</t>
        </is>
      </c>
      <c r="E75" s="71" t="inlineStr">
        <is>
          <t>GLOBAL_CHECK</t>
        </is>
      </c>
      <c r="F75" s="71" t="inlineStr">
        <is>
          <t>GLOBAL_CHECK</t>
        </is>
      </c>
      <c r="G75" s="71" t="inlineStr">
        <is>
          <t>COOLDOWN_LOCKS</t>
        </is>
      </c>
      <c r="H75" s="71" t="inlineStr">
        <is>
          <t>GENERAL — uniform</t>
        </is>
      </c>
      <c r="I75" s="71" t="inlineStr">
        <is>
          <t>LIVE — wired</t>
        </is>
      </c>
      <c r="J75" s="72"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71" t="n">
        <v>18</v>
      </c>
      <c r="B76" s="71" t="inlineStr">
        <is>
          <t>COOLDOWN_LOCKS_FILTER_TF</t>
        </is>
      </c>
      <c r="C76" s="0" t="inlineStr">
        <is>
          <t>1h</t>
        </is>
      </c>
      <c r="D76" s="71" t="inlineStr">
        <is>
          <t>Cooldown lockout after recent trade on FILTER_TF. | Live read: `EAT_TRIGGER', 'ADAPTIVE_REGIME_LOOKBACK_DAYS', 'ADAPTIVE_REGIME_MIN_SIGNALS', 'A`</t>
        </is>
      </c>
      <c r="E76" s="71" t="inlineStr">
        <is>
          <t>GLOBAL_CHECK</t>
        </is>
      </c>
      <c r="F76" s="71" t="inlineStr">
        <is>
          <t>GLOBAL_CHECK</t>
        </is>
      </c>
      <c r="G76" s="71" t="inlineStr">
        <is>
          <t>COOLDOWN_LOCKS</t>
        </is>
      </c>
      <c r="H76" s="71" t="inlineStr">
        <is>
          <t>GENERAL — uniform</t>
        </is>
      </c>
      <c r="I76" s="71" t="inlineStr">
        <is>
          <t>LIVE — wired</t>
        </is>
      </c>
      <c r="J76" s="72"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71" t="n">
        <v>18</v>
      </c>
      <c r="B77" s="71" t="inlineStr">
        <is>
          <t>COOLDOWN_LOCKS_FILTER_TF</t>
        </is>
      </c>
      <c r="C77" s="0" t="inlineStr">
        <is>
          <t>15m</t>
        </is>
      </c>
      <c r="D77" s="71" t="inlineStr">
        <is>
          <t>Cooldown lockout after recent trade on FILTER_TF. | Live read: `EAT_TRIGGER', 'ADAPTIVE_REGIME_LOOKBACK_DAYS', 'ADAPTIVE_REGIME_MIN_SIGNALS', 'A`</t>
        </is>
      </c>
      <c r="E77" s="71" t="inlineStr">
        <is>
          <t>GLOBAL_CHECK</t>
        </is>
      </c>
      <c r="F77" s="71" t="inlineStr">
        <is>
          <t>GLOBAL_CHECK</t>
        </is>
      </c>
      <c r="G77" s="71" t="inlineStr">
        <is>
          <t>COOLDOWN_LOCKS</t>
        </is>
      </c>
      <c r="H77" s="71" t="inlineStr">
        <is>
          <t>GENERAL — uniform</t>
        </is>
      </c>
      <c r="I77" s="71" t="inlineStr">
        <is>
          <t>LIVE — wired</t>
        </is>
      </c>
      <c r="J77" s="72"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79" t="n">
        <v>19</v>
      </c>
      <c r="B78" s="79" t="inlineStr">
        <is>
          <t>CRYPTO_SPIKE_FADE_THRESHOLD_PCT</t>
        </is>
      </c>
      <c r="C78" s="0" t="inlineStr">
        <is>
          <t>10</t>
        </is>
      </c>
      <c r="D78" s="71" t="inlineStr">
        <is>
          <t>Blocks entries after crypto spike &gt; threshold (fade the spike). | Live read: `ME_LOOKBACK_DAYS', 'ADAPTIVE_REGIME_MIN_SIGNALS', 'ADAPTIVE_REGIME_NPZ_CACHE_HOU`</t>
        </is>
      </c>
      <c r="E78" s="71" t="inlineStr">
        <is>
          <t>GLOBAL_CHECK, STOCKS_EXIT</t>
        </is>
      </c>
      <c r="F78" s="71" t="inlineStr">
        <is>
          <t>GLOBAL_CHECK, STOCKS_EXIT</t>
        </is>
      </c>
      <c r="G78" s="71" t="inlineStr">
        <is>
          <t>CRYPTO_SPIKE_FADE_THRESHOLD_PCT</t>
        </is>
      </c>
      <c r="H78" s="71" t="inlineStr">
        <is>
          <t>GENERAL</t>
        </is>
      </c>
      <c r="I78" s="71" t="inlineStr">
        <is>
          <t>LIVE — wired</t>
        </is>
      </c>
      <c r="J78" s="72"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71" t="n">
        <v>19</v>
      </c>
      <c r="B79" s="71" t="inlineStr">
        <is>
          <t>CRYPTO_SPIKE_FADE_THRESHOLD_PCT</t>
        </is>
      </c>
      <c r="C79" s="0" t="inlineStr">
        <is>
          <t>12.5</t>
        </is>
      </c>
      <c r="D79" s="71" t="inlineStr">
        <is>
          <t>Blocks entries after crypto spike &gt; threshold (fade the spike). | Live read: `ME_LOOKBACK_DAYS', 'ADAPTIVE_REGIME_MIN_SIGNALS', 'ADAPTIVE_REGIME_NPZ_CACHE_HOU`</t>
        </is>
      </c>
      <c r="E79" s="71" t="inlineStr">
        <is>
          <t>GLOBAL_CHECK, STOCKS_EXIT</t>
        </is>
      </c>
      <c r="F79" s="71" t="inlineStr">
        <is>
          <t>GLOBAL_CHECK, STOCKS_EXIT</t>
        </is>
      </c>
      <c r="G79" s="71" t="inlineStr">
        <is>
          <t>CRYPTO_SPIKE_FADE_THRESHOLD_PCT</t>
        </is>
      </c>
      <c r="H79" s="71" t="inlineStr">
        <is>
          <t>GENERAL</t>
        </is>
      </c>
      <c r="I79" s="71" t="inlineStr">
        <is>
          <t>LIVE — wired</t>
        </is>
      </c>
      <c r="J79" s="72"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71" t="n">
        <v>19</v>
      </c>
      <c r="B80" s="71" t="inlineStr">
        <is>
          <t>CRYPTO_SPIKE_FADE_THRESHOLD_PCT</t>
        </is>
      </c>
      <c r="C80" s="0" t="inlineStr">
        <is>
          <t>7.5</t>
        </is>
      </c>
      <c r="D80" s="71" t="inlineStr">
        <is>
          <t>Blocks entries after crypto spike &gt; threshold (fade the spike). | Live read: `ME_LOOKBACK_DAYS', 'ADAPTIVE_REGIME_MIN_SIGNALS', 'ADAPTIVE_REGIME_NPZ_CACHE_HOU`</t>
        </is>
      </c>
      <c r="E80" s="71" t="inlineStr">
        <is>
          <t>GLOBAL_CHECK, STOCKS_EXIT</t>
        </is>
      </c>
      <c r="F80" s="71" t="inlineStr">
        <is>
          <t>GLOBAL_CHECK, STOCKS_EXIT</t>
        </is>
      </c>
      <c r="G80" s="71" t="inlineStr">
        <is>
          <t>CRYPTO_SPIKE_FADE_THRESHOLD_PCT</t>
        </is>
      </c>
      <c r="H80" s="71" t="inlineStr">
        <is>
          <t>GENERAL</t>
        </is>
      </c>
      <c r="I80" s="71" t="inlineStr">
        <is>
          <t>LIVE — wired</t>
        </is>
      </c>
      <c r="J80" s="72"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71" t="n">
        <v>19</v>
      </c>
      <c r="B81" s="71" t="inlineStr">
        <is>
          <t>CRYPTO_SPIKE_FADE_THRESHOLD_PCT</t>
        </is>
      </c>
      <c r="C81" s="0" t="inlineStr">
        <is>
          <t>5</t>
        </is>
      </c>
      <c r="D81" s="71" t="inlineStr">
        <is>
          <t>Blocks entries after crypto spike &gt; threshold (fade the spike). | Live read: `ME_LOOKBACK_DAYS', 'ADAPTIVE_REGIME_MIN_SIGNALS', 'ADAPTIVE_REGIME_NPZ_CACHE_HOU`</t>
        </is>
      </c>
      <c r="E81" s="71" t="inlineStr">
        <is>
          <t>GLOBAL_CHECK, STOCKS_EXIT</t>
        </is>
      </c>
      <c r="F81" s="71" t="inlineStr">
        <is>
          <t>GLOBAL_CHECK, STOCKS_EXIT</t>
        </is>
      </c>
      <c r="G81" s="71" t="inlineStr">
        <is>
          <t>CRYPTO_SPIKE_FADE_THRESHOLD_PCT</t>
        </is>
      </c>
      <c r="H81" s="71" t="inlineStr">
        <is>
          <t>GENERAL</t>
        </is>
      </c>
      <c r="I81" s="71" t="inlineStr">
        <is>
          <t>LIVE — wired</t>
        </is>
      </c>
      <c r="J81" s="72"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80" t="n">
        <v>20</v>
      </c>
      <c r="B82" s="80" t="inlineStr">
        <is>
          <t>DC_BREACH_REDUCE_FILTER_TF</t>
        </is>
      </c>
      <c r="C82" s="0" t="inlineStr">
        <is>
          <t>OFF</t>
        </is>
      </c>
      <c r="D82" s="73" t="inlineStr">
        <is>
          <t>Reduce: when DC channel is breached against position, requires FILTER_TF confirm before partial reduce. | Live read: `_EXHAUSTIVE_REDUCE_LIST_LIVE = ['DC_BREACH_REDUCE_ENABLED', 'DC_BREACH_REDUCE_FI`</t>
        </is>
      </c>
      <c r="E82" s="73" t="inlineStr">
        <is>
          <t>GLOBAL_CHECK</t>
        </is>
      </c>
      <c r="F82" s="73" t="inlineStr">
        <is>
          <t>GLOBAL_CHECK</t>
        </is>
      </c>
      <c r="G82" s="73" t="inlineStr">
        <is>
          <t>DC breach reduce</t>
        </is>
      </c>
      <c r="H82" s="73" t="inlineStr">
        <is>
          <t>SPECIFIC — only gated switches</t>
        </is>
      </c>
      <c r="I82" s="73" t="inlineStr">
        <is>
          <t>LIVE — wired</t>
        </is>
      </c>
      <c r="J82" s="6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3" t="n">
        <v>20</v>
      </c>
      <c r="B83" s="73" t="inlineStr">
        <is>
          <t>DC_BREACH_REDUCE_FILTER_TF</t>
        </is>
      </c>
      <c r="C83" s="0" t="inlineStr">
        <is>
          <t>D</t>
        </is>
      </c>
      <c r="D83" s="73" t="inlineStr">
        <is>
          <t>Reduce: when DC channel is breached against position, requires FILTER_TF confirm before partial reduce. | Live read: `_EXHAUSTIVE_REDUCE_LIST_LIVE = ['DC_BREACH_REDUCE_ENABLED', 'DC_BREACH_REDUCE_FI`</t>
        </is>
      </c>
      <c r="E83" s="73" t="inlineStr">
        <is>
          <t>GLOBAL_CHECK</t>
        </is>
      </c>
      <c r="F83" s="73" t="inlineStr">
        <is>
          <t>GLOBAL_CHECK</t>
        </is>
      </c>
      <c r="G83" s="73" t="inlineStr">
        <is>
          <t>DC breach reduce</t>
        </is>
      </c>
      <c r="H83" s="73" t="inlineStr">
        <is>
          <t>SPECIFIC — only gated switches</t>
        </is>
      </c>
      <c r="I83" s="73" t="inlineStr">
        <is>
          <t>LIVE — wired</t>
        </is>
      </c>
      <c r="J83" s="6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3" t="n">
        <v>20</v>
      </c>
      <c r="B84" s="73" t="inlineStr">
        <is>
          <t>DC_BREACH_REDUCE_FILTER_TF</t>
        </is>
      </c>
      <c r="C84" s="0" t="inlineStr">
        <is>
          <t>4h</t>
        </is>
      </c>
      <c r="D84" s="73" t="inlineStr">
        <is>
          <t>Reduce: when DC channel is breached against position, requires FILTER_TF confirm before partial reduce. | Live read: `_EXHAUSTIVE_REDUCE_LIST_LIVE = ['DC_BREACH_REDUCE_ENABLED', 'DC_BREACH_REDUCE_FI`</t>
        </is>
      </c>
      <c r="E84" s="73" t="inlineStr">
        <is>
          <t>GLOBAL_CHECK</t>
        </is>
      </c>
      <c r="F84" s="73" t="inlineStr">
        <is>
          <t>GLOBAL_CHECK</t>
        </is>
      </c>
      <c r="G84" s="73" t="inlineStr">
        <is>
          <t>DC breach reduce</t>
        </is>
      </c>
      <c r="H84" s="73" t="inlineStr">
        <is>
          <t>SPECIFIC — only gated switches</t>
        </is>
      </c>
      <c r="I84" s="73" t="inlineStr">
        <is>
          <t>LIVE — wired</t>
        </is>
      </c>
      <c r="J84" s="6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3" t="n">
        <v>20</v>
      </c>
      <c r="B85" s="73" t="inlineStr">
        <is>
          <t>DC_BREACH_REDUCE_FILTER_TF</t>
        </is>
      </c>
      <c r="C85" s="0" t="inlineStr">
        <is>
          <t>1h</t>
        </is>
      </c>
      <c r="D85" s="73" t="inlineStr">
        <is>
          <t>Reduce: when DC channel is breached against position, requires FILTER_TF confirm before partial reduce. | Live read: `_EXHAUSTIVE_REDUCE_LIST_LIVE = ['DC_BREACH_REDUCE_ENABLED', 'DC_BREACH_REDUCE_FI`</t>
        </is>
      </c>
      <c r="E85" s="73" t="inlineStr">
        <is>
          <t>GLOBAL_CHECK</t>
        </is>
      </c>
      <c r="F85" s="73" t="inlineStr">
        <is>
          <t>GLOBAL_CHECK</t>
        </is>
      </c>
      <c r="G85" s="73" t="inlineStr">
        <is>
          <t>DC breach reduce</t>
        </is>
      </c>
      <c r="H85" s="73" t="inlineStr">
        <is>
          <t>SPECIFIC — only gated switches</t>
        </is>
      </c>
      <c r="I85" s="73" t="inlineStr">
        <is>
          <t>LIVE — wired</t>
        </is>
      </c>
      <c r="J85" s="6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3" t="n">
        <v>20</v>
      </c>
      <c r="B86" s="73" t="inlineStr">
        <is>
          <t>DC_BREACH_REDUCE_FILTER_TF</t>
        </is>
      </c>
      <c r="C86" s="0" t="inlineStr">
        <is>
          <t>15m</t>
        </is>
      </c>
      <c r="D86" s="73" t="inlineStr">
        <is>
          <t>Reduce: when DC channel is breached against position, requires FILTER_TF confirm before partial reduce. | Live read: `_EXHAUSTIVE_REDUCE_LIST_LIVE = ['DC_BREACH_REDUCE_ENABLED', 'DC_BREACH_REDUCE_FI`</t>
        </is>
      </c>
      <c r="E86" s="73" t="inlineStr">
        <is>
          <t>GLOBAL_CHECK</t>
        </is>
      </c>
      <c r="F86" s="73" t="inlineStr">
        <is>
          <t>GLOBAL_CHECK</t>
        </is>
      </c>
      <c r="G86" s="73" t="inlineStr">
        <is>
          <t>DC breach reduce</t>
        </is>
      </c>
      <c r="H86" s="73" t="inlineStr">
        <is>
          <t>SPECIFIC — only gated switches</t>
        </is>
      </c>
      <c r="I86" s="73" t="inlineStr">
        <is>
          <t>LIVE — wired</t>
        </is>
      </c>
      <c r="J86" s="6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80" t="n">
        <v>21</v>
      </c>
      <c r="B87" s="80" t="inlineStr">
        <is>
          <t>DC_BREAK_FILTER_TF</t>
        </is>
      </c>
      <c r="C87" s="0" t="inlineStr">
        <is>
          <t>OFF</t>
        </is>
      </c>
      <c r="D87" s="73" t="inlineStr">
        <is>
          <t>Donchian break confirmation on FILTER_TF before breakout entry. | Live read: `RY_REENTRY_K15_HIGH_SIZE_FRAC', 'OBLIGATORY_REENTRY_LONG_ENABLED', 'OBLIGATORY_R`</t>
        </is>
      </c>
      <c r="E87" s="73" t="inlineStr">
        <is>
          <t>ENTRY, GLOBAL_CHECK, REENTRY, STOCKS_EXIT</t>
        </is>
      </c>
      <c r="F87" s="73" t="inlineStr">
        <is>
          <t>ENTRY, GLOBAL_CHECK, REENTRY, STOCKS_EXIT</t>
        </is>
      </c>
      <c r="G87" s="73" t="inlineStr">
        <is>
          <t>Donchian breakout</t>
        </is>
      </c>
      <c r="H87" s="73" t="inlineStr">
        <is>
          <t>SPECIFIC — only gated switches</t>
        </is>
      </c>
      <c r="I87" s="73" t="inlineStr">
        <is>
          <t>LIVE — wired</t>
        </is>
      </c>
      <c r="J87" s="6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3" t="n">
        <v>21</v>
      </c>
      <c r="B88" s="73" t="inlineStr">
        <is>
          <t>DC_BREAK_FILTER_TF</t>
        </is>
      </c>
      <c r="C88" s="0" t="inlineStr">
        <is>
          <t>D</t>
        </is>
      </c>
      <c r="D88" s="73" t="inlineStr">
        <is>
          <t>Donchian break confirmation on FILTER_TF before breakout entry. | Live read: `RY_REENTRY_K15_HIGH_SIZE_FRAC', 'OBLIGATORY_REENTRY_LONG_ENABLED', 'OBLIGATORY_R`</t>
        </is>
      </c>
      <c r="E88" s="73" t="inlineStr">
        <is>
          <t>ENTRY, GLOBAL_CHECK, REENTRY, STOCKS_EXIT</t>
        </is>
      </c>
      <c r="F88" s="73" t="inlineStr">
        <is>
          <t>ENTRY, GLOBAL_CHECK, REENTRY, STOCKS_EXIT</t>
        </is>
      </c>
      <c r="G88" s="73" t="inlineStr">
        <is>
          <t>Donchian breakout</t>
        </is>
      </c>
      <c r="H88" s="73" t="inlineStr">
        <is>
          <t>SPECIFIC — only gated switches</t>
        </is>
      </c>
      <c r="I88" s="73" t="inlineStr">
        <is>
          <t>LIVE — wired</t>
        </is>
      </c>
      <c r="J88" s="6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3" t="n">
        <v>21</v>
      </c>
      <c r="B89" s="73" t="inlineStr">
        <is>
          <t>DC_BREAK_FILTER_TF</t>
        </is>
      </c>
      <c r="C89" s="0" t="inlineStr">
        <is>
          <t>4h</t>
        </is>
      </c>
      <c r="D89" s="73" t="inlineStr">
        <is>
          <t>Donchian break confirmation on FILTER_TF before breakout entry. | Live read: `RY_REENTRY_K15_HIGH_SIZE_FRAC', 'OBLIGATORY_REENTRY_LONG_ENABLED', 'OBLIGATORY_R`</t>
        </is>
      </c>
      <c r="E89" s="73" t="inlineStr">
        <is>
          <t>ENTRY, GLOBAL_CHECK, REENTRY, STOCKS_EXIT</t>
        </is>
      </c>
      <c r="F89" s="73" t="inlineStr">
        <is>
          <t>ENTRY, GLOBAL_CHECK, REENTRY, STOCKS_EXIT</t>
        </is>
      </c>
      <c r="G89" s="73" t="inlineStr">
        <is>
          <t>Donchian breakout</t>
        </is>
      </c>
      <c r="H89" s="73" t="inlineStr">
        <is>
          <t>SPECIFIC — only gated switches</t>
        </is>
      </c>
      <c r="I89" s="73" t="inlineStr">
        <is>
          <t>LIVE — wired</t>
        </is>
      </c>
      <c r="J89" s="6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3" t="n">
        <v>21</v>
      </c>
      <c r="B90" s="73" t="inlineStr">
        <is>
          <t>DC_BREAK_FILTER_TF</t>
        </is>
      </c>
      <c r="C90" s="0" t="inlineStr">
        <is>
          <t>1h</t>
        </is>
      </c>
      <c r="D90" s="73" t="inlineStr">
        <is>
          <t>Donchian break confirmation on FILTER_TF before breakout entry. | Live read: `RY_REENTRY_K15_HIGH_SIZE_FRAC', 'OBLIGATORY_REENTRY_LONG_ENABLED', 'OBLIGATORY_R`</t>
        </is>
      </c>
      <c r="E90" s="73" t="inlineStr">
        <is>
          <t>ENTRY, GLOBAL_CHECK, REENTRY, STOCKS_EXIT</t>
        </is>
      </c>
      <c r="F90" s="73" t="inlineStr">
        <is>
          <t>ENTRY, GLOBAL_CHECK, REENTRY, STOCKS_EXIT</t>
        </is>
      </c>
      <c r="G90" s="73" t="inlineStr">
        <is>
          <t>Donchian breakout</t>
        </is>
      </c>
      <c r="H90" s="73" t="inlineStr">
        <is>
          <t>SPECIFIC — only gated switches</t>
        </is>
      </c>
      <c r="I90" s="73" t="inlineStr">
        <is>
          <t>LIVE — wired</t>
        </is>
      </c>
      <c r="J90" s="6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3" t="n">
        <v>21</v>
      </c>
      <c r="B91" s="73" t="inlineStr">
        <is>
          <t>DC_BREAK_FILTER_TF</t>
        </is>
      </c>
      <c r="C91" s="0" t="inlineStr">
        <is>
          <t>15m</t>
        </is>
      </c>
      <c r="D91" s="73" t="inlineStr">
        <is>
          <t>Donchian break confirmation on FILTER_TF before breakout entry. | Live read: `RY_REENTRY_K15_HIGH_SIZE_FRAC', 'OBLIGATORY_REENTRY_LONG_ENABLED', 'OBLIGATORY_R`</t>
        </is>
      </c>
      <c r="E91" s="73" t="inlineStr">
        <is>
          <t>ENTRY, GLOBAL_CHECK, REENTRY, STOCKS_EXIT</t>
        </is>
      </c>
      <c r="F91" s="73" t="inlineStr">
        <is>
          <t>ENTRY, GLOBAL_CHECK, REENTRY, STOCKS_EXIT</t>
        </is>
      </c>
      <c r="G91" s="73" t="inlineStr">
        <is>
          <t>Donchian breakout</t>
        </is>
      </c>
      <c r="H91" s="73" t="inlineStr">
        <is>
          <t>SPECIFIC — only gated switches</t>
        </is>
      </c>
      <c r="I91" s="73" t="inlineStr">
        <is>
          <t>LIVE — wired</t>
        </is>
      </c>
      <c r="J91" s="6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80" t="n">
        <v>22</v>
      </c>
      <c r="B92" s="80" t="inlineStr">
        <is>
          <t>DC_MOMENTUM_BOTA_SCORER_FILTER_TF</t>
        </is>
      </c>
      <c r="C92" s="0" t="inlineStr">
        <is>
          <t>OFF</t>
        </is>
      </c>
      <c r="D92" s="73" t="inlineStr">
        <is>
          <t>BOTA momentum scorer confirmation on FILTER_TF. | Live read: `APTIVE_REGIME_SHARPE_FLOOR', 'BAND_ARROW_ENABLED', 'BAR_PATTERNS_FILTER_TF', 'BB`</t>
        </is>
      </c>
      <c r="E92" s="73" t="inlineStr">
        <is>
          <t>GLOBAL_CHECK</t>
        </is>
      </c>
      <c r="F92" s="73" t="inlineStr">
        <is>
          <t>GLOBAL_CHECK</t>
        </is>
      </c>
      <c r="G92" s="73" t="inlineStr">
        <is>
          <t>DC_MOMENTUM_BOTA_SCORER</t>
        </is>
      </c>
      <c r="H92" s="73" t="inlineStr">
        <is>
          <t>SPECIFIC — only gated switches</t>
        </is>
      </c>
      <c r="I92" s="73" t="inlineStr">
        <is>
          <t>LIVE — wired</t>
        </is>
      </c>
      <c r="J92" s="6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3" t="n">
        <v>22</v>
      </c>
      <c r="B93" s="73" t="inlineStr">
        <is>
          <t>DC_MOMENTUM_BOTA_SCORER_FILTER_TF</t>
        </is>
      </c>
      <c r="C93" s="0" t="inlineStr">
        <is>
          <t>D</t>
        </is>
      </c>
      <c r="D93" s="73" t="inlineStr">
        <is>
          <t>BOTA momentum scorer confirmation on FILTER_TF. | Live read: `APTIVE_REGIME_SHARPE_FLOOR', 'BAND_ARROW_ENABLED', 'BAR_PATTERNS_FILTER_TF', 'BB`</t>
        </is>
      </c>
      <c r="E93" s="73" t="inlineStr">
        <is>
          <t>GLOBAL_CHECK</t>
        </is>
      </c>
      <c r="F93" s="73" t="inlineStr">
        <is>
          <t>GLOBAL_CHECK</t>
        </is>
      </c>
      <c r="G93" s="73" t="inlineStr">
        <is>
          <t>DC_MOMENTUM_BOTA_SCORER</t>
        </is>
      </c>
      <c r="H93" s="73" t="inlineStr">
        <is>
          <t>SPECIFIC — only gated switches</t>
        </is>
      </c>
      <c r="I93" s="73" t="inlineStr">
        <is>
          <t>LIVE — wired</t>
        </is>
      </c>
      <c r="J93" s="6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3" t="n">
        <v>22</v>
      </c>
      <c r="B94" s="73" t="inlineStr">
        <is>
          <t>DC_MOMENTUM_BOTA_SCORER_FILTER_TF</t>
        </is>
      </c>
      <c r="C94" s="0" t="inlineStr">
        <is>
          <t>4h</t>
        </is>
      </c>
      <c r="D94" s="73" t="inlineStr">
        <is>
          <t>BOTA momentum scorer confirmation on FILTER_TF. | Live read: `APTIVE_REGIME_SHARPE_FLOOR', 'BAND_ARROW_ENABLED', 'BAR_PATTERNS_FILTER_TF', 'BB`</t>
        </is>
      </c>
      <c r="E94" s="73" t="inlineStr">
        <is>
          <t>GLOBAL_CHECK</t>
        </is>
      </c>
      <c r="F94" s="73" t="inlineStr">
        <is>
          <t>GLOBAL_CHECK</t>
        </is>
      </c>
      <c r="G94" s="73" t="inlineStr">
        <is>
          <t>DC_MOMENTUM_BOTA_SCORER</t>
        </is>
      </c>
      <c r="H94" s="73" t="inlineStr">
        <is>
          <t>SPECIFIC — only gated switches</t>
        </is>
      </c>
      <c r="I94" s="73" t="inlineStr">
        <is>
          <t>LIVE — wired</t>
        </is>
      </c>
      <c r="J94" s="6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3" t="n">
        <v>22</v>
      </c>
      <c r="B95" s="73" t="inlineStr">
        <is>
          <t>DC_MOMENTUM_BOTA_SCORER_FILTER_TF</t>
        </is>
      </c>
      <c r="C95" s="0" t="inlineStr">
        <is>
          <t>1h</t>
        </is>
      </c>
      <c r="D95" s="73" t="inlineStr">
        <is>
          <t>BOTA momentum scorer confirmation on FILTER_TF. | Live read: `APTIVE_REGIME_SHARPE_FLOOR', 'BAND_ARROW_ENABLED', 'BAR_PATTERNS_FILTER_TF', 'BB`</t>
        </is>
      </c>
      <c r="E95" s="73" t="inlineStr">
        <is>
          <t>GLOBAL_CHECK</t>
        </is>
      </c>
      <c r="F95" s="73" t="inlineStr">
        <is>
          <t>GLOBAL_CHECK</t>
        </is>
      </c>
      <c r="G95" s="73" t="inlineStr">
        <is>
          <t>DC_MOMENTUM_BOTA_SCORER</t>
        </is>
      </c>
      <c r="H95" s="73" t="inlineStr">
        <is>
          <t>SPECIFIC — only gated switches</t>
        </is>
      </c>
      <c r="I95" s="73" t="inlineStr">
        <is>
          <t>LIVE — wired</t>
        </is>
      </c>
      <c r="J95" s="6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3" t="n">
        <v>22</v>
      </c>
      <c r="B96" s="73" t="inlineStr">
        <is>
          <t>DC_MOMENTUM_BOTA_SCORER_FILTER_TF</t>
        </is>
      </c>
      <c r="C96" s="0" t="inlineStr">
        <is>
          <t>15m</t>
        </is>
      </c>
      <c r="D96" s="73" t="inlineStr">
        <is>
          <t>BOTA momentum scorer confirmation on FILTER_TF. | Live read: `APTIVE_REGIME_SHARPE_FLOOR', 'BAND_ARROW_ENABLED', 'BAR_PATTERNS_FILTER_TF', 'BB`</t>
        </is>
      </c>
      <c r="E96" s="73" t="inlineStr">
        <is>
          <t>GLOBAL_CHECK</t>
        </is>
      </c>
      <c r="F96" s="73" t="inlineStr">
        <is>
          <t>GLOBAL_CHECK</t>
        </is>
      </c>
      <c r="G96" s="73" t="inlineStr">
        <is>
          <t>DC_MOMENTUM_BOTA_SCORER</t>
        </is>
      </c>
      <c r="H96" s="73" t="inlineStr">
        <is>
          <t>SPECIFIC — only gated switches</t>
        </is>
      </c>
      <c r="I96" s="73" t="inlineStr">
        <is>
          <t>LIVE — wired</t>
        </is>
      </c>
      <c r="J96" s="6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79" t="n">
        <v>23</v>
      </c>
      <c r="B97" s="79" t="inlineStr">
        <is>
          <t>DC_MOMENT_STRONG_THRESHOLD</t>
        </is>
      </c>
      <c r="C97" s="0" t="inlineStr">
        <is>
          <t>40</t>
        </is>
      </c>
      <c r="D97" s="71" t="inlineStr">
        <is>
          <t>Threshold for strong momentum regime (DC momentum). | Live read: `ROW_ENABLED', 'BAR_PATTERNS_FILTER_TF', 'BB_PULLBACK_GATE_FILTER_TF', 'BB_PULLBA`</t>
        </is>
      </c>
      <c r="E97" s="71" t="inlineStr">
        <is>
          <t>ENTRY, GLOBAL_CHECK, STOCKS_EXIT</t>
        </is>
      </c>
      <c r="F97" s="71" t="inlineStr">
        <is>
          <t>ENTRY, GLOBAL_CHECK, STOCKS_EXIT</t>
        </is>
      </c>
      <c r="G97" s="71" t="inlineStr">
        <is>
          <t>DC_MOMENT_STRONG_THRESHOLD</t>
        </is>
      </c>
      <c r="H97" s="71" t="inlineStr">
        <is>
          <t>GENERAL</t>
        </is>
      </c>
      <c r="I97" s="71" t="inlineStr">
        <is>
          <t>LIVE — wired</t>
        </is>
      </c>
      <c r="J97" s="72"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71" t="n">
        <v>23</v>
      </c>
      <c r="B98" s="71" t="inlineStr">
        <is>
          <t>DC_MOMENT_STRONG_THRESHOLD</t>
        </is>
      </c>
      <c r="C98" s="0" t="inlineStr">
        <is>
          <t>50</t>
        </is>
      </c>
      <c r="D98" s="71" t="inlineStr">
        <is>
          <t>Threshold for strong momentum regime (DC momentum). | Live read: `ROW_ENABLED', 'BAR_PATTERNS_FILTER_TF', 'BB_PULLBACK_GATE_FILTER_TF', 'BB_PULLBA`</t>
        </is>
      </c>
      <c r="E98" s="71" t="inlineStr">
        <is>
          <t>ENTRY, GLOBAL_CHECK, STOCKS_EXIT</t>
        </is>
      </c>
      <c r="F98" s="71" t="inlineStr">
        <is>
          <t>ENTRY, GLOBAL_CHECK, STOCKS_EXIT</t>
        </is>
      </c>
      <c r="G98" s="71" t="inlineStr">
        <is>
          <t>DC_MOMENT_STRONG_THRESHOLD</t>
        </is>
      </c>
      <c r="H98" s="71" t="inlineStr">
        <is>
          <t>GENERAL</t>
        </is>
      </c>
      <c r="I98" s="71" t="inlineStr">
        <is>
          <t>LIVE — wired</t>
        </is>
      </c>
      <c r="J98" s="72"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71" t="n">
        <v>23</v>
      </c>
      <c r="B99" s="71" t="inlineStr">
        <is>
          <t>DC_MOMENT_STRONG_THRESHOLD</t>
        </is>
      </c>
      <c r="C99" s="0" t="inlineStr">
        <is>
          <t>30</t>
        </is>
      </c>
      <c r="D99" s="71" t="inlineStr">
        <is>
          <t>Threshold for strong momentum regime (DC momentum). | Live read: `ROW_ENABLED', 'BAR_PATTERNS_FILTER_TF', 'BB_PULLBACK_GATE_FILTER_TF', 'BB_PULLBA`</t>
        </is>
      </c>
      <c r="E99" s="71" t="inlineStr">
        <is>
          <t>ENTRY, GLOBAL_CHECK, STOCKS_EXIT</t>
        </is>
      </c>
      <c r="F99" s="71" t="inlineStr">
        <is>
          <t>ENTRY, GLOBAL_CHECK, STOCKS_EXIT</t>
        </is>
      </c>
      <c r="G99" s="71" t="inlineStr">
        <is>
          <t>DC_MOMENT_STRONG_THRESHOLD</t>
        </is>
      </c>
      <c r="H99" s="71" t="inlineStr">
        <is>
          <t>GENERAL</t>
        </is>
      </c>
      <c r="I99" s="71" t="inlineStr">
        <is>
          <t>LIVE — wired</t>
        </is>
      </c>
      <c r="J99" s="72"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71" t="n">
        <v>23</v>
      </c>
      <c r="B100" s="71" t="inlineStr">
        <is>
          <t>DC_MOMENT_STRONG_THRESHOLD</t>
        </is>
      </c>
      <c r="C100" s="0" t="inlineStr">
        <is>
          <t>20</t>
        </is>
      </c>
      <c r="D100" s="71" t="inlineStr">
        <is>
          <t>Threshold for strong momentum regime (DC momentum). | Live read: `ROW_ENABLED', 'BAR_PATTERNS_FILTER_TF', 'BB_PULLBACK_GATE_FILTER_TF', 'BB_PULLBA`</t>
        </is>
      </c>
      <c r="E100" s="71" t="inlineStr">
        <is>
          <t>ENTRY, GLOBAL_CHECK, STOCKS_EXIT</t>
        </is>
      </c>
      <c r="F100" s="71" t="inlineStr">
        <is>
          <t>ENTRY, GLOBAL_CHECK, STOCKS_EXIT</t>
        </is>
      </c>
      <c r="G100" s="71" t="inlineStr">
        <is>
          <t>DC_MOMENT_STRONG_THRESHOLD</t>
        </is>
      </c>
      <c r="H100" s="71" t="inlineStr">
        <is>
          <t>GENERAL</t>
        </is>
      </c>
      <c r="I100" s="71" t="inlineStr">
        <is>
          <t>LIVE — wired</t>
        </is>
      </c>
      <c r="J100" s="72"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80" t="n">
        <v>24</v>
      </c>
      <c r="B101" s="80" t="inlineStr">
        <is>
          <t>DELTA_ENGINE_FILTER_TF</t>
        </is>
      </c>
      <c r="C101" s="0" t="inlineStr">
        <is>
          <t>OFF</t>
        </is>
      </c>
      <c r="D101" s="73" t="inlineStr">
        <is>
          <t>Delta (order-flow) engine confirmation TF. | Live read: `LTER_TF', 'BB_PULLBACK_GATE_FILTER_TF', 'BB_PULLBACK_GATE_MIN_TFS', 'BB_RECOVERY`</t>
        </is>
      </c>
      <c r="E101" s="73" t="inlineStr">
        <is>
          <t>GLOBAL_CHECK</t>
        </is>
      </c>
      <c r="F101" s="73" t="inlineStr">
        <is>
          <t>GLOBAL_CHECK</t>
        </is>
      </c>
      <c r="G101" s="73" t="inlineStr">
        <is>
          <t>DELTA_ENGINE</t>
        </is>
      </c>
      <c r="H101" s="73" t="inlineStr">
        <is>
          <t>SPECIFIC — only gated switches</t>
        </is>
      </c>
      <c r="I101" s="73" t="inlineStr">
        <is>
          <t>LIVE — wired</t>
        </is>
      </c>
      <c r="J101" s="6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3" t="n">
        <v>24</v>
      </c>
      <c r="B102" s="73" t="inlineStr">
        <is>
          <t>DELTA_ENGINE_FILTER_TF</t>
        </is>
      </c>
      <c r="C102" s="0" t="inlineStr">
        <is>
          <t>D</t>
        </is>
      </c>
      <c r="D102" s="73" t="inlineStr">
        <is>
          <t>Delta (order-flow) engine confirmation TF. | Live read: `LTER_TF', 'BB_PULLBACK_GATE_FILTER_TF', 'BB_PULLBACK_GATE_MIN_TFS', 'BB_RECOVERY`</t>
        </is>
      </c>
      <c r="E102" s="73" t="inlineStr">
        <is>
          <t>GLOBAL_CHECK</t>
        </is>
      </c>
      <c r="F102" s="73" t="inlineStr">
        <is>
          <t>GLOBAL_CHECK</t>
        </is>
      </c>
      <c r="G102" s="73" t="inlineStr">
        <is>
          <t>DELTA_ENGINE</t>
        </is>
      </c>
      <c r="H102" s="73" t="inlineStr">
        <is>
          <t>SPECIFIC — only gated switches</t>
        </is>
      </c>
      <c r="I102" s="73" t="inlineStr">
        <is>
          <t>LIVE — wired</t>
        </is>
      </c>
      <c r="J102" s="6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3" t="n">
        <v>24</v>
      </c>
      <c r="B103" s="73" t="inlineStr">
        <is>
          <t>DELTA_ENGINE_FILTER_TF</t>
        </is>
      </c>
      <c r="C103" s="0" t="inlineStr">
        <is>
          <t>4h</t>
        </is>
      </c>
      <c r="D103" s="73" t="inlineStr">
        <is>
          <t>Delta (order-flow) engine confirmation TF. | Live read: `LTER_TF', 'BB_PULLBACK_GATE_FILTER_TF', 'BB_PULLBACK_GATE_MIN_TFS', 'BB_RECOVERY`</t>
        </is>
      </c>
      <c r="E103" s="73" t="inlineStr">
        <is>
          <t>GLOBAL_CHECK</t>
        </is>
      </c>
      <c r="F103" s="73" t="inlineStr">
        <is>
          <t>GLOBAL_CHECK</t>
        </is>
      </c>
      <c r="G103" s="73" t="inlineStr">
        <is>
          <t>DELTA_ENGINE</t>
        </is>
      </c>
      <c r="H103" s="73" t="inlineStr">
        <is>
          <t>SPECIFIC — only gated switches</t>
        </is>
      </c>
      <c r="I103" s="73" t="inlineStr">
        <is>
          <t>LIVE — wired</t>
        </is>
      </c>
      <c r="J103" s="6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3" t="n">
        <v>24</v>
      </c>
      <c r="B104" s="73" t="inlineStr">
        <is>
          <t>DELTA_ENGINE_FILTER_TF</t>
        </is>
      </c>
      <c r="C104" s="0" t="inlineStr">
        <is>
          <t>1h</t>
        </is>
      </c>
      <c r="D104" s="73" t="inlineStr">
        <is>
          <t>Delta (order-flow) engine confirmation TF. | Live read: `LTER_TF', 'BB_PULLBACK_GATE_FILTER_TF', 'BB_PULLBACK_GATE_MIN_TFS', 'BB_RECOVERY`</t>
        </is>
      </c>
      <c r="E104" s="73" t="inlineStr">
        <is>
          <t>GLOBAL_CHECK</t>
        </is>
      </c>
      <c r="F104" s="73" t="inlineStr">
        <is>
          <t>GLOBAL_CHECK</t>
        </is>
      </c>
      <c r="G104" s="73" t="inlineStr">
        <is>
          <t>DELTA_ENGINE</t>
        </is>
      </c>
      <c r="H104" s="73" t="inlineStr">
        <is>
          <t>SPECIFIC — only gated switches</t>
        </is>
      </c>
      <c r="I104" s="73" t="inlineStr">
        <is>
          <t>LIVE — wired</t>
        </is>
      </c>
      <c r="J104" s="6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3" t="n">
        <v>24</v>
      </c>
      <c r="B105" s="73" t="inlineStr">
        <is>
          <t>DELTA_ENGINE_FILTER_TF</t>
        </is>
      </c>
      <c r="C105" s="0" t="inlineStr">
        <is>
          <t>15m</t>
        </is>
      </c>
      <c r="D105" s="73" t="inlineStr">
        <is>
          <t>Delta (order-flow) engine confirmation TF. | Live read: `LTER_TF', 'BB_PULLBACK_GATE_FILTER_TF', 'BB_PULLBACK_GATE_MIN_TFS', 'BB_RECOVERY`</t>
        </is>
      </c>
      <c r="E105" s="73" t="inlineStr">
        <is>
          <t>GLOBAL_CHECK</t>
        </is>
      </c>
      <c r="F105" s="73" t="inlineStr">
        <is>
          <t>GLOBAL_CHECK</t>
        </is>
      </c>
      <c r="G105" s="73" t="inlineStr">
        <is>
          <t>DELTA_ENGINE</t>
        </is>
      </c>
      <c r="H105" s="73" t="inlineStr">
        <is>
          <t>SPECIFIC — only gated switches</t>
        </is>
      </c>
      <c r="I105" s="73" t="inlineStr">
        <is>
          <t>LIVE — wired</t>
        </is>
      </c>
      <c r="J105" s="6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79" t="n">
        <v>25</v>
      </c>
      <c r="B106" s="79" t="inlineStr">
        <is>
          <t>DELTA_HTF_GATE</t>
        </is>
      </c>
      <c r="C106" s="0" t="inlineStr">
        <is>
          <t>4h</t>
        </is>
      </c>
      <c r="D106" s="71" t="inlineStr">
        <is>
          <t>Delta HTF alignment gate (requires HTF delta agreement). | Live read: `N_TFS', 'BB_RECOVERY_FILTER_TF', 'BTC_DEDICATED_FILTER_TF', 'BTC_DIVERGENCE_REQU`</t>
        </is>
      </c>
      <c r="E106" s="71" t="inlineStr">
        <is>
          <t>ENTRY, GLOBAL_CHECK, STOCKS_EXIT</t>
        </is>
      </c>
      <c r="F106" s="71" t="inlineStr">
        <is>
          <t>ENTRY, GLOBAL_CHECK, STOCKS_EXIT</t>
        </is>
      </c>
      <c r="G106" s="71" t="inlineStr">
        <is>
          <t>DELTA_HTF_GATE</t>
        </is>
      </c>
      <c r="H106" s="71" t="inlineStr">
        <is>
          <t>GENERAL</t>
        </is>
      </c>
      <c r="I106" s="71" t="inlineStr">
        <is>
          <t>LIVE — wired</t>
        </is>
      </c>
      <c r="J106" s="72"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71" t="n">
        <v>25</v>
      </c>
      <c r="B107" s="71" t="inlineStr">
        <is>
          <t>DELTA_HTF_GATE</t>
        </is>
      </c>
      <c r="C107" s="0" t="inlineStr">
        <is>
          <t>4h_ALT</t>
        </is>
      </c>
      <c r="D107" s="71" t="inlineStr">
        <is>
          <t>Delta HTF alignment gate (requires HTF delta agreement). | Live read: `N_TFS', 'BB_RECOVERY_FILTER_TF', 'BTC_DEDICATED_FILTER_TF', 'BTC_DIVERGENCE_REQU`</t>
        </is>
      </c>
      <c r="E107" s="71" t="inlineStr">
        <is>
          <t>ENTRY, GLOBAL_CHECK, STOCKS_EXIT</t>
        </is>
      </c>
      <c r="F107" s="71" t="inlineStr">
        <is>
          <t>ENTRY, GLOBAL_CHECK, STOCKS_EXIT</t>
        </is>
      </c>
      <c r="G107" s="71" t="inlineStr">
        <is>
          <t>DELTA_HTF_GATE</t>
        </is>
      </c>
      <c r="H107" s="71" t="inlineStr">
        <is>
          <t>GENERAL</t>
        </is>
      </c>
      <c r="I107" s="71" t="inlineStr">
        <is>
          <t>LIVE — wired</t>
        </is>
      </c>
      <c r="J107" s="72"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79" t="n">
        <v>26</v>
      </c>
      <c r="B108" s="79" t="inlineStr">
        <is>
          <t>DELTA_REENTRY_FILTER_ENABLED</t>
        </is>
      </c>
      <c r="C108" s="0" t="inlineStr">
        <is>
          <t>False</t>
        </is>
      </c>
      <c r="D108" s="71" t="inlineStr">
        <is>
          <t>When OFF, disables delta-based reentry gating. | Live read: `Y_REQUIRE_TREND', 'BTC_ENTRY_PRIMARY_REQUIRE_ACCEL_RAMP', 'BTC_ENTRY_PRIMARY_REQ`</t>
        </is>
      </c>
      <c r="E108" s="71" t="inlineStr">
        <is>
          <t>ENTRY, GLOBAL_CHECK, STOCKS_EXIT</t>
        </is>
      </c>
      <c r="F108" s="71" t="inlineStr">
        <is>
          <t>ENTRY, GLOBAL_CHECK, STOCKS_EXIT</t>
        </is>
      </c>
      <c r="G108" s="71" t="inlineStr">
        <is>
          <t>DELTA_REENTRY_FILTER_ENABLED</t>
        </is>
      </c>
      <c r="H108" s="71" t="inlineStr">
        <is>
          <t>GENERAL</t>
        </is>
      </c>
      <c r="I108" s="71" t="inlineStr">
        <is>
          <t>LIVE — wired</t>
        </is>
      </c>
      <c r="J108" s="72"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71" t="n">
        <v>26</v>
      </c>
      <c r="B109" s="71" t="inlineStr">
        <is>
          <t>DELTA_REENTRY_FILTER_ENABLED</t>
        </is>
      </c>
      <c r="C109" s="0" t="inlineStr">
        <is>
          <t>True</t>
        </is>
      </c>
      <c r="D109" s="71" t="inlineStr">
        <is>
          <t>When OFF, disables delta-based reentry gating. | Live read: `Y_REQUIRE_TREND', 'BTC_ENTRY_PRIMARY_REQUIRE_ACCEL_RAMP', 'BTC_ENTRY_PRIMARY_REQ`</t>
        </is>
      </c>
      <c r="E109" s="71" t="inlineStr">
        <is>
          <t>ENTRY, GLOBAL_CHECK, STOCKS_EXIT</t>
        </is>
      </c>
      <c r="F109" s="71" t="inlineStr">
        <is>
          <t>ENTRY, GLOBAL_CHECK, STOCKS_EXIT</t>
        </is>
      </c>
      <c r="G109" s="71" t="inlineStr">
        <is>
          <t>DELTA_REENTRY_FILTER_ENABLED</t>
        </is>
      </c>
      <c r="H109" s="71" t="inlineStr">
        <is>
          <t>GENERAL</t>
        </is>
      </c>
      <c r="I109" s="71" t="inlineStr">
        <is>
          <t>LIVE — wired</t>
        </is>
      </c>
      <c r="J109" s="72"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79" t="n">
        <v>27</v>
      </c>
      <c r="B110" s="79" t="inlineStr">
        <is>
          <t>DUP_GUARD_FILTER_TF</t>
        </is>
      </c>
      <c r="C110" s="0" t="inlineStr">
        <is>
          <t>OFF</t>
        </is>
      </c>
      <c r="D110" s="71" t="inlineStr">
        <is>
          <t>Duplicate guard — prevents re-entering same signal on FILTER_TF. | Live read: `DIVERGENCE_REQUIRE_D_CONFIRM_BARS', 'BTC_HARD_BLOCK_OTHER_ACCOUNTS', 'BTC_REGIME`</t>
        </is>
      </c>
      <c r="E110" s="71" t="inlineStr">
        <is>
          <t>GLOBAL_CHECK</t>
        </is>
      </c>
      <c r="F110" s="71" t="inlineStr">
        <is>
          <t>GLOBAL_CHECK</t>
        </is>
      </c>
      <c r="G110" s="71" t="inlineStr">
        <is>
          <t>DUP_GUARD</t>
        </is>
      </c>
      <c r="H110" s="71" t="inlineStr">
        <is>
          <t>GENERAL — uniform</t>
        </is>
      </c>
      <c r="I110" s="71" t="inlineStr">
        <is>
          <t>LIVE — wired</t>
        </is>
      </c>
      <c r="J110" s="72"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71" t="n">
        <v>27</v>
      </c>
      <c r="B111" s="71" t="inlineStr">
        <is>
          <t>DUP_GUARD_FILTER_TF</t>
        </is>
      </c>
      <c r="C111" s="0" t="inlineStr">
        <is>
          <t>D</t>
        </is>
      </c>
      <c r="D111" s="71" t="inlineStr">
        <is>
          <t>Duplicate guard — prevents re-entering same signal on FILTER_TF. | Live read: `DIVERGENCE_REQUIRE_D_CONFIRM_BARS', 'BTC_HARD_BLOCK_OTHER_ACCOUNTS', 'BTC_REGIME`</t>
        </is>
      </c>
      <c r="E111" s="71" t="inlineStr">
        <is>
          <t>GLOBAL_CHECK</t>
        </is>
      </c>
      <c r="F111" s="71" t="inlineStr">
        <is>
          <t>GLOBAL_CHECK</t>
        </is>
      </c>
      <c r="G111" s="71" t="inlineStr">
        <is>
          <t>DUP_GUARD</t>
        </is>
      </c>
      <c r="H111" s="71" t="inlineStr">
        <is>
          <t>GENERAL — uniform</t>
        </is>
      </c>
      <c r="I111" s="71" t="inlineStr">
        <is>
          <t>LIVE — wired</t>
        </is>
      </c>
      <c r="J111" s="72"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71" t="n">
        <v>27</v>
      </c>
      <c r="B112" s="71" t="inlineStr">
        <is>
          <t>DUP_GUARD_FILTER_TF</t>
        </is>
      </c>
      <c r="C112" s="0" t="inlineStr">
        <is>
          <t>4h</t>
        </is>
      </c>
      <c r="D112" s="71" t="inlineStr">
        <is>
          <t>Duplicate guard — prevents re-entering same signal on FILTER_TF. | Live read: `DIVERGENCE_REQUIRE_D_CONFIRM_BARS', 'BTC_HARD_BLOCK_OTHER_ACCOUNTS', 'BTC_REGIME`</t>
        </is>
      </c>
      <c r="E112" s="71" t="inlineStr">
        <is>
          <t>GLOBAL_CHECK</t>
        </is>
      </c>
      <c r="F112" s="71" t="inlineStr">
        <is>
          <t>GLOBAL_CHECK</t>
        </is>
      </c>
      <c r="G112" s="71" t="inlineStr">
        <is>
          <t>DUP_GUARD</t>
        </is>
      </c>
      <c r="H112" s="71" t="inlineStr">
        <is>
          <t>GENERAL — uniform</t>
        </is>
      </c>
      <c r="I112" s="71" t="inlineStr">
        <is>
          <t>LIVE — wired</t>
        </is>
      </c>
      <c r="J112" s="72"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71" t="n">
        <v>27</v>
      </c>
      <c r="B113" s="71" t="inlineStr">
        <is>
          <t>DUP_GUARD_FILTER_TF</t>
        </is>
      </c>
      <c r="C113" s="0" t="inlineStr">
        <is>
          <t>1h</t>
        </is>
      </c>
      <c r="D113" s="71" t="inlineStr">
        <is>
          <t>Duplicate guard — prevents re-entering same signal on FILTER_TF. | Live read: `DIVERGENCE_REQUIRE_D_CONFIRM_BARS', 'BTC_HARD_BLOCK_OTHER_ACCOUNTS', 'BTC_REGIME`</t>
        </is>
      </c>
      <c r="E113" s="71" t="inlineStr">
        <is>
          <t>GLOBAL_CHECK</t>
        </is>
      </c>
      <c r="F113" s="71" t="inlineStr">
        <is>
          <t>GLOBAL_CHECK</t>
        </is>
      </c>
      <c r="G113" s="71" t="inlineStr">
        <is>
          <t>DUP_GUARD</t>
        </is>
      </c>
      <c r="H113" s="71" t="inlineStr">
        <is>
          <t>GENERAL — uniform</t>
        </is>
      </c>
      <c r="I113" s="71" t="inlineStr">
        <is>
          <t>LIVE — wired</t>
        </is>
      </c>
      <c r="J113" s="72"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71" t="n">
        <v>27</v>
      </c>
      <c r="B114" s="71" t="inlineStr">
        <is>
          <t>DUP_GUARD_FILTER_TF</t>
        </is>
      </c>
      <c r="C114" s="0" t="inlineStr">
        <is>
          <t>15m</t>
        </is>
      </c>
      <c r="D114" s="71" t="inlineStr">
        <is>
          <t>Duplicate guard — prevents re-entering same signal on FILTER_TF. | Live read: `DIVERGENCE_REQUIRE_D_CONFIRM_BARS', 'BTC_HARD_BLOCK_OTHER_ACCOUNTS', 'BTC_REGIME`</t>
        </is>
      </c>
      <c r="E114" s="71" t="inlineStr">
        <is>
          <t>GLOBAL_CHECK</t>
        </is>
      </c>
      <c r="F114" s="71" t="inlineStr">
        <is>
          <t>GLOBAL_CHECK</t>
        </is>
      </c>
      <c r="G114" s="71" t="inlineStr">
        <is>
          <t>DUP_GUARD</t>
        </is>
      </c>
      <c r="H114" s="71" t="inlineStr">
        <is>
          <t>GENERAL — uniform</t>
        </is>
      </c>
      <c r="I114" s="71" t="inlineStr">
        <is>
          <t>LIVE — wired</t>
        </is>
      </c>
      <c r="J114" s="72"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82" t="n">
        <v>28</v>
      </c>
      <c r="B115" s="82" t="inlineStr">
        <is>
          <t>E2E_REPLAY_VALIDATOR_FILTER_TF</t>
        </is>
      </c>
      <c r="C115" s="0" t="inlineStr">
        <is>
          <t>OFF</t>
        </is>
      </c>
      <c r="D115" s="75" t="inlineStr">
        <is>
          <t>Dead/misnamed filter — no read in ez_manage/ez_positions_quick/tradier_manage. Appears 0x; likely legacy or typo.</t>
        </is>
      </c>
      <c r="E115" s="75" t="inlineStr">
        <is>
          <t>DEAD</t>
        </is>
      </c>
      <c r="F115" s="75" t="inlineStr">
        <is>
          <t>DEAD</t>
        </is>
      </c>
      <c r="G115" s="75" t="inlineStr">
        <is>
          <t>E2E_REPLAY_VALIDATOR</t>
        </is>
      </c>
      <c r="H115" s="75" t="inlineStr">
        <is>
          <t>SPECIFIC — only gated switches</t>
        </is>
      </c>
      <c r="I115" s="75" t="inlineStr">
        <is>
          <t>DEAD — REMOVE</t>
        </is>
      </c>
      <c r="J115" s="76"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75" t="n">
        <v>28</v>
      </c>
      <c r="B116" s="75" t="inlineStr">
        <is>
          <t>E2E_REPLAY_VALIDATOR_FILTER_TF</t>
        </is>
      </c>
      <c r="C116" s="0" t="inlineStr">
        <is>
          <t>D</t>
        </is>
      </c>
      <c r="D116" s="75" t="inlineStr">
        <is>
          <t>Dead/misnamed filter — no read in ez_manage/ez_positions_quick/tradier_manage. Appears 0x; likely legacy or typo.</t>
        </is>
      </c>
      <c r="E116" s="75" t="inlineStr">
        <is>
          <t>DEAD</t>
        </is>
      </c>
      <c r="F116" s="75" t="inlineStr">
        <is>
          <t>DEAD</t>
        </is>
      </c>
      <c r="G116" s="75" t="inlineStr">
        <is>
          <t>E2E_REPLAY_VALIDATOR</t>
        </is>
      </c>
      <c r="H116" s="75" t="inlineStr">
        <is>
          <t>SPECIFIC — only gated switches</t>
        </is>
      </c>
      <c r="I116" s="75" t="inlineStr">
        <is>
          <t>DEAD — REMOVE</t>
        </is>
      </c>
      <c r="J116" s="76"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75" t="n">
        <v>28</v>
      </c>
      <c r="B117" s="75" t="inlineStr">
        <is>
          <t>E2E_REPLAY_VALIDATOR_FILTER_TF</t>
        </is>
      </c>
      <c r="C117" s="0" t="inlineStr">
        <is>
          <t>4h</t>
        </is>
      </c>
      <c r="D117" s="75" t="inlineStr">
        <is>
          <t>Dead/misnamed filter — no read in ez_manage/ez_positions_quick/tradier_manage. Appears 0x; likely legacy or typo.</t>
        </is>
      </c>
      <c r="E117" s="75" t="inlineStr">
        <is>
          <t>DEAD</t>
        </is>
      </c>
      <c r="F117" s="75" t="inlineStr">
        <is>
          <t>DEAD</t>
        </is>
      </c>
      <c r="G117" s="75" t="inlineStr">
        <is>
          <t>E2E_REPLAY_VALIDATOR</t>
        </is>
      </c>
      <c r="H117" s="75" t="inlineStr">
        <is>
          <t>SPECIFIC — only gated switches</t>
        </is>
      </c>
      <c r="I117" s="75" t="inlineStr">
        <is>
          <t>DEAD — REMOVE</t>
        </is>
      </c>
      <c r="J117" s="76"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75" t="n">
        <v>28</v>
      </c>
      <c r="B118" s="75" t="inlineStr">
        <is>
          <t>E2E_REPLAY_VALIDATOR_FILTER_TF</t>
        </is>
      </c>
      <c r="C118" s="0" t="inlineStr">
        <is>
          <t>1h</t>
        </is>
      </c>
      <c r="D118" s="75" t="inlineStr">
        <is>
          <t>Dead/misnamed filter — no read in ez_manage/ez_positions_quick/tradier_manage. Appears 0x; likely legacy or typo.</t>
        </is>
      </c>
      <c r="E118" s="75" t="inlineStr">
        <is>
          <t>DEAD</t>
        </is>
      </c>
      <c r="F118" s="75" t="inlineStr">
        <is>
          <t>DEAD</t>
        </is>
      </c>
      <c r="G118" s="75" t="inlineStr">
        <is>
          <t>E2E_REPLAY_VALIDATOR</t>
        </is>
      </c>
      <c r="H118" s="75" t="inlineStr">
        <is>
          <t>SPECIFIC — only gated switches</t>
        </is>
      </c>
      <c r="I118" s="75" t="inlineStr">
        <is>
          <t>DEAD — REMOVE</t>
        </is>
      </c>
      <c r="J118" s="76"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75" t="n">
        <v>28</v>
      </c>
      <c r="B119" s="75" t="inlineStr">
        <is>
          <t>E2E_REPLAY_VALIDATOR_FILTER_TF</t>
        </is>
      </c>
      <c r="C119" s="0" t="inlineStr">
        <is>
          <t>15m</t>
        </is>
      </c>
      <c r="D119" s="75" t="inlineStr">
        <is>
          <t>Dead/misnamed filter — no read in ez_manage/ez_positions_quick/tradier_manage. Appears 0x; likely legacy or typo.</t>
        </is>
      </c>
      <c r="E119" s="75" t="inlineStr">
        <is>
          <t>DEAD</t>
        </is>
      </c>
      <c r="F119" s="75" t="inlineStr">
        <is>
          <t>DEAD</t>
        </is>
      </c>
      <c r="G119" s="75" t="inlineStr">
        <is>
          <t>E2E_REPLAY_VALIDATOR</t>
        </is>
      </c>
      <c r="H119" s="75" t="inlineStr">
        <is>
          <t>SPECIFIC — only gated switches</t>
        </is>
      </c>
      <c r="I119" s="75" t="inlineStr">
        <is>
          <t>DEAD — REMOVE</t>
        </is>
      </c>
      <c r="J119" s="76"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80" t="n">
        <v>29</v>
      </c>
      <c r="B120" s="80" t="inlineStr">
        <is>
          <t>EMA_9_21_FILTER_FILTER_TF</t>
        </is>
      </c>
      <c r="C120" s="0" t="inlineStr">
        <is>
          <t>OFF</t>
        </is>
      </c>
      <c r="D120" s="73" t="inlineStr">
        <is>
          <t>EMA 9/21 cross filter on FILTER_TF. | Live read: `NFIRM_BARS', 'BTC_HARD_BLOCK_OTHER_ACCOUNTS', 'BTC_REGIME_PAUSE_ENABLED', 'BTC_R`</t>
        </is>
      </c>
      <c r="E120" s="73" t="inlineStr">
        <is>
          <t>GLOBAL_CHECK</t>
        </is>
      </c>
      <c r="F120" s="73" t="inlineStr">
        <is>
          <t>GLOBAL_CHECK</t>
        </is>
      </c>
      <c r="G120" s="73" t="inlineStr">
        <is>
          <t>EMA_9_21_FILTER</t>
        </is>
      </c>
      <c r="H120" s="73" t="inlineStr">
        <is>
          <t>SPECIFIC — only gated switches</t>
        </is>
      </c>
      <c r="I120" s="73" t="inlineStr">
        <is>
          <t>LIVE — wired</t>
        </is>
      </c>
      <c r="J120" s="6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3" t="n">
        <v>29</v>
      </c>
      <c r="B121" s="73" t="inlineStr">
        <is>
          <t>EMA_9_21_FILTER_FILTER_TF</t>
        </is>
      </c>
      <c r="C121" s="0" t="inlineStr">
        <is>
          <t>D</t>
        </is>
      </c>
      <c r="D121" s="73" t="inlineStr">
        <is>
          <t>EMA 9/21 cross filter on FILTER_TF. | Live read: `NFIRM_BARS', 'BTC_HARD_BLOCK_OTHER_ACCOUNTS', 'BTC_REGIME_PAUSE_ENABLED', 'BTC_R`</t>
        </is>
      </c>
      <c r="E121" s="73" t="inlineStr">
        <is>
          <t>GLOBAL_CHECK</t>
        </is>
      </c>
      <c r="F121" s="73" t="inlineStr">
        <is>
          <t>GLOBAL_CHECK</t>
        </is>
      </c>
      <c r="G121" s="73" t="inlineStr">
        <is>
          <t>EMA_9_21_FILTER</t>
        </is>
      </c>
      <c r="H121" s="73" t="inlineStr">
        <is>
          <t>SPECIFIC — only gated switches</t>
        </is>
      </c>
      <c r="I121" s="73" t="inlineStr">
        <is>
          <t>LIVE — wired</t>
        </is>
      </c>
      <c r="J121" s="6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3" t="n">
        <v>29</v>
      </c>
      <c r="B122" s="73" t="inlineStr">
        <is>
          <t>EMA_9_21_FILTER_FILTER_TF</t>
        </is>
      </c>
      <c r="C122" s="0" t="inlineStr">
        <is>
          <t>4h</t>
        </is>
      </c>
      <c r="D122" s="73" t="inlineStr">
        <is>
          <t>EMA 9/21 cross filter on FILTER_TF. | Live read: `NFIRM_BARS', 'BTC_HARD_BLOCK_OTHER_ACCOUNTS', 'BTC_REGIME_PAUSE_ENABLED', 'BTC_R`</t>
        </is>
      </c>
      <c r="E122" s="73" t="inlineStr">
        <is>
          <t>GLOBAL_CHECK</t>
        </is>
      </c>
      <c r="F122" s="73" t="inlineStr">
        <is>
          <t>GLOBAL_CHECK</t>
        </is>
      </c>
      <c r="G122" s="73" t="inlineStr">
        <is>
          <t>EMA_9_21_FILTER</t>
        </is>
      </c>
      <c r="H122" s="73" t="inlineStr">
        <is>
          <t>SPECIFIC — only gated switches</t>
        </is>
      </c>
      <c r="I122" s="73" t="inlineStr">
        <is>
          <t>LIVE — wired</t>
        </is>
      </c>
      <c r="J122" s="6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3" t="n">
        <v>29</v>
      </c>
      <c r="B123" s="73" t="inlineStr">
        <is>
          <t>EMA_9_21_FILTER_FILTER_TF</t>
        </is>
      </c>
      <c r="C123" s="0" t="inlineStr">
        <is>
          <t>1h</t>
        </is>
      </c>
      <c r="D123" s="73" t="inlineStr">
        <is>
          <t>EMA 9/21 cross filter on FILTER_TF. | Live read: `NFIRM_BARS', 'BTC_HARD_BLOCK_OTHER_ACCOUNTS', 'BTC_REGIME_PAUSE_ENABLED', 'BTC_R`</t>
        </is>
      </c>
      <c r="E123" s="73" t="inlineStr">
        <is>
          <t>GLOBAL_CHECK</t>
        </is>
      </c>
      <c r="F123" s="73" t="inlineStr">
        <is>
          <t>GLOBAL_CHECK</t>
        </is>
      </c>
      <c r="G123" s="73" t="inlineStr">
        <is>
          <t>EMA_9_21_FILTER</t>
        </is>
      </c>
      <c r="H123" s="73" t="inlineStr">
        <is>
          <t>SPECIFIC — only gated switches</t>
        </is>
      </c>
      <c r="I123" s="73" t="inlineStr">
        <is>
          <t>LIVE — wired</t>
        </is>
      </c>
      <c r="J123" s="6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3" t="n">
        <v>29</v>
      </c>
      <c r="B124" s="73" t="inlineStr">
        <is>
          <t>EMA_9_21_FILTER_FILTER_TF</t>
        </is>
      </c>
      <c r="C124" s="0" t="inlineStr">
        <is>
          <t>15m</t>
        </is>
      </c>
      <c r="D124" s="73" t="inlineStr">
        <is>
          <t>EMA 9/21 cross filter on FILTER_TF. | Live read: `NFIRM_BARS', 'BTC_HARD_BLOCK_OTHER_ACCOUNTS', 'BTC_REGIME_PAUSE_ENABLED', 'BTC_R`</t>
        </is>
      </c>
      <c r="E124" s="73" t="inlineStr">
        <is>
          <t>GLOBAL_CHECK</t>
        </is>
      </c>
      <c r="F124" s="73" t="inlineStr">
        <is>
          <t>GLOBAL_CHECK</t>
        </is>
      </c>
      <c r="G124" s="73" t="inlineStr">
        <is>
          <t>EMA_9_21_FILTER</t>
        </is>
      </c>
      <c r="H124" s="73" t="inlineStr">
        <is>
          <t>SPECIFIC — only gated switches</t>
        </is>
      </c>
      <c r="I124" s="73" t="inlineStr">
        <is>
          <t>LIVE — wired</t>
        </is>
      </c>
      <c r="J124" s="6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79" t="n">
        <v>30</v>
      </c>
      <c r="B125" s="79" t="inlineStr">
        <is>
          <t>EMA_9_21_FILTER_MIN_TFS</t>
        </is>
      </c>
      <c r="C125" s="0" t="inlineStr">
        <is>
          <t>0</t>
        </is>
      </c>
      <c r="D125" s="71" t="inlineStr">
        <is>
          <t>Threshold/gate: EMA_9_21_FILTER_MIN_TFS — OTHER_ACCOUNTS', 'BTC_REGIME_PAUSE_ENABLED', 'BTC_REVERSE_REQUIRE_HTF_ALIGNED', 'BTC_ROUND_BANDS_EACH_SIDE', 'BT_WT_CROS | ex: `OTHER_ACCOUNTS', 'BTC_REGIME_PAUSE_ENABLED', 'BTC_REVERSE_REQUIRE_HTF_ALIGNED', `</t>
        </is>
      </c>
      <c r="E125" s="71" t="inlineStr">
        <is>
          <t>GLOBAL_CHECK</t>
        </is>
      </c>
      <c r="F125" s="71" t="inlineStr">
        <is>
          <t>GLOBAL_CHECK</t>
        </is>
      </c>
      <c r="G125" s="71" t="inlineStr">
        <is>
          <t>EMA_9_21_FILTER_MIN_TFS</t>
        </is>
      </c>
      <c r="H125" s="71" t="inlineStr">
        <is>
          <t>GENERAL</t>
        </is>
      </c>
      <c r="I125" s="71" t="inlineStr">
        <is>
          <t>LIVE — wired</t>
        </is>
      </c>
      <c r="J125" s="72"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71" t="n">
        <v>30</v>
      </c>
      <c r="B126" s="71" t="inlineStr">
        <is>
          <t>EMA_9_21_FILTER_MIN_TFS</t>
        </is>
      </c>
      <c r="C126" s="0" t="inlineStr">
        <is>
          <t>2</t>
        </is>
      </c>
      <c r="D126" s="71" t="inlineStr">
        <is>
          <t>Threshold/gate: EMA_9_21_FILTER_MIN_TFS — OTHER_ACCOUNTS', 'BTC_REGIME_PAUSE_ENABLED', 'BTC_REVERSE_REQUIRE_HTF_ALIGNED', 'BTC_ROUND_BANDS_EACH_SIDE', 'BT_WT_CROS | ex: `OTHER_ACCOUNTS', 'BTC_REGIME_PAUSE_ENABLED', 'BTC_REVERSE_REQUIRE_HTF_ALIGNED', `</t>
        </is>
      </c>
      <c r="E126" s="71" t="inlineStr">
        <is>
          <t>GLOBAL_CHECK</t>
        </is>
      </c>
      <c r="F126" s="71" t="inlineStr">
        <is>
          <t>GLOBAL_CHECK</t>
        </is>
      </c>
      <c r="G126" s="71" t="inlineStr">
        <is>
          <t>EMA_9_21_FILTER_MIN_TFS</t>
        </is>
      </c>
      <c r="H126" s="71" t="inlineStr">
        <is>
          <t>GENERAL</t>
        </is>
      </c>
      <c r="I126" s="71" t="inlineStr">
        <is>
          <t>LIVE — wired</t>
        </is>
      </c>
      <c r="J126" s="72"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71" t="n">
        <v>30</v>
      </c>
      <c r="B127" s="71" t="inlineStr">
        <is>
          <t>EMA_9_21_FILTER_MIN_TFS</t>
        </is>
      </c>
      <c r="C127" s="0" t="inlineStr">
        <is>
          <t>1</t>
        </is>
      </c>
      <c r="D127" s="71" t="inlineStr">
        <is>
          <t>Threshold/gate: EMA_9_21_FILTER_MIN_TFS — OTHER_ACCOUNTS', 'BTC_REGIME_PAUSE_ENABLED', 'BTC_REVERSE_REQUIRE_HTF_ALIGNED', 'BTC_ROUND_BANDS_EACH_SIDE', 'BT_WT_CROS | ex: `OTHER_ACCOUNTS', 'BTC_REGIME_PAUSE_ENABLED', 'BTC_REVERSE_REQUIRE_HTF_ALIGNED', `</t>
        </is>
      </c>
      <c r="E127" s="71" t="inlineStr">
        <is>
          <t>GLOBAL_CHECK</t>
        </is>
      </c>
      <c r="F127" s="71" t="inlineStr">
        <is>
          <t>GLOBAL_CHECK</t>
        </is>
      </c>
      <c r="G127" s="71" t="inlineStr">
        <is>
          <t>EMA_9_21_FILTER_MIN_TFS</t>
        </is>
      </c>
      <c r="H127" s="71" t="inlineStr">
        <is>
          <t>GENERAL</t>
        </is>
      </c>
      <c r="I127" s="71" t="inlineStr">
        <is>
          <t>LIVE — wired</t>
        </is>
      </c>
      <c r="J127" s="72"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79" t="n">
        <v>31</v>
      </c>
      <c r="B128" s="79" t="inlineStr">
        <is>
          <t>EMA_BLANKET_FILTER_ENABLED</t>
        </is>
      </c>
      <c r="C128" s="0" t="inlineStr">
        <is>
          <t>False</t>
        </is>
      </c>
      <c r="D128" s="71" t="inlineStr">
        <is>
          <t>Blanket EMA filter (price above/below EMA blanket). | Live read: `E_PAUSE_ENABLED', 'BTC_REVERSE_REQUIRE_HTF_ALIGNED', 'BTC_ROUND_BANDS_EACH_SIDE'`</t>
        </is>
      </c>
      <c r="E128" s="71" t="inlineStr">
        <is>
          <t>GLOBAL_CHECK</t>
        </is>
      </c>
      <c r="F128" s="71" t="inlineStr">
        <is>
          <t>GLOBAL_CHECK</t>
        </is>
      </c>
      <c r="G128" s="71" t="inlineStr">
        <is>
          <t>EMA_BLANKET_FILTER_ENABLED</t>
        </is>
      </c>
      <c r="H128" s="71" t="inlineStr">
        <is>
          <t>GENERAL</t>
        </is>
      </c>
      <c r="I128" s="71" t="inlineStr">
        <is>
          <t>LIVE — wired</t>
        </is>
      </c>
      <c r="J128" s="72"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71" t="n">
        <v>31</v>
      </c>
      <c r="B129" s="71" t="inlineStr">
        <is>
          <t>EMA_BLANKET_FILTER_ENABLED</t>
        </is>
      </c>
      <c r="C129" s="0" t="inlineStr">
        <is>
          <t>True</t>
        </is>
      </c>
      <c r="D129" s="71" t="inlineStr">
        <is>
          <t>Blanket EMA filter (price above/below EMA blanket). | Live read: `E_PAUSE_ENABLED', 'BTC_REVERSE_REQUIRE_HTF_ALIGNED', 'BTC_ROUND_BANDS_EACH_SIDE'`</t>
        </is>
      </c>
      <c r="E129" s="71" t="inlineStr">
        <is>
          <t>GLOBAL_CHECK</t>
        </is>
      </c>
      <c r="F129" s="71" t="inlineStr">
        <is>
          <t>GLOBAL_CHECK</t>
        </is>
      </c>
      <c r="G129" s="71" t="inlineStr">
        <is>
          <t>EMA_BLANKET_FILTER_ENABLED</t>
        </is>
      </c>
      <c r="H129" s="71" t="inlineStr">
        <is>
          <t>GENERAL</t>
        </is>
      </c>
      <c r="I129" s="71" t="inlineStr">
        <is>
          <t>LIVE — wired</t>
        </is>
      </c>
      <c r="J129" s="72"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80" t="n">
        <v>32</v>
      </c>
      <c r="B130" s="80" t="inlineStr">
        <is>
          <t>EMA_BLANKET_FILTER_FILTER_TF</t>
        </is>
      </c>
      <c r="C130" s="0" t="inlineStr">
        <is>
          <t>OFF</t>
        </is>
      </c>
      <c r="D130"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3" t="inlineStr">
        <is>
          <t>GLOBAL_CHECK</t>
        </is>
      </c>
      <c r="F130" s="73" t="inlineStr">
        <is>
          <t>GLOBAL_CHECK</t>
        </is>
      </c>
      <c r="G130" s="73" t="inlineStr">
        <is>
          <t>EMA_BLANKET_FILTER</t>
        </is>
      </c>
      <c r="H130" s="73" t="inlineStr">
        <is>
          <t>SPECIFIC — only gated switches</t>
        </is>
      </c>
      <c r="I130" s="73" t="inlineStr">
        <is>
          <t>LIVE — wired</t>
        </is>
      </c>
      <c r="J130" s="6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3" t="n">
        <v>32</v>
      </c>
      <c r="B131" s="73" t="inlineStr">
        <is>
          <t>EMA_BLANKET_FILTER_FILTER_TF</t>
        </is>
      </c>
      <c r="C131" s="0" t="inlineStr">
        <is>
          <t>D</t>
        </is>
      </c>
      <c r="D131"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3" t="inlineStr">
        <is>
          <t>GLOBAL_CHECK</t>
        </is>
      </c>
      <c r="F131" s="73" t="inlineStr">
        <is>
          <t>GLOBAL_CHECK</t>
        </is>
      </c>
      <c r="G131" s="73" t="inlineStr">
        <is>
          <t>EMA_BLANKET_FILTER</t>
        </is>
      </c>
      <c r="H131" s="73" t="inlineStr">
        <is>
          <t>SPECIFIC — only gated switches</t>
        </is>
      </c>
      <c r="I131" s="73" t="inlineStr">
        <is>
          <t>LIVE — wired</t>
        </is>
      </c>
      <c r="J131" s="6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3" t="n">
        <v>32</v>
      </c>
      <c r="B132" s="73" t="inlineStr">
        <is>
          <t>EMA_BLANKET_FILTER_FILTER_TF</t>
        </is>
      </c>
      <c r="C132" s="0" t="inlineStr">
        <is>
          <t>4h</t>
        </is>
      </c>
      <c r="D132"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3" t="inlineStr">
        <is>
          <t>GLOBAL_CHECK</t>
        </is>
      </c>
      <c r="F132" s="73" t="inlineStr">
        <is>
          <t>GLOBAL_CHECK</t>
        </is>
      </c>
      <c r="G132" s="73" t="inlineStr">
        <is>
          <t>EMA_BLANKET_FILTER</t>
        </is>
      </c>
      <c r="H132" s="73" t="inlineStr">
        <is>
          <t>SPECIFIC — only gated switches</t>
        </is>
      </c>
      <c r="I132" s="73" t="inlineStr">
        <is>
          <t>LIVE — wired</t>
        </is>
      </c>
      <c r="J132" s="6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3" t="n">
        <v>32</v>
      </c>
      <c r="B133" s="73" t="inlineStr">
        <is>
          <t>EMA_BLANKET_FILTER_FILTER_TF</t>
        </is>
      </c>
      <c r="C133" s="0" t="inlineStr">
        <is>
          <t>1h</t>
        </is>
      </c>
      <c r="D133"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3" t="inlineStr">
        <is>
          <t>GLOBAL_CHECK</t>
        </is>
      </c>
      <c r="F133" s="73" t="inlineStr">
        <is>
          <t>GLOBAL_CHECK</t>
        </is>
      </c>
      <c r="G133" s="73" t="inlineStr">
        <is>
          <t>EMA_BLANKET_FILTER</t>
        </is>
      </c>
      <c r="H133" s="73" t="inlineStr">
        <is>
          <t>SPECIFIC — only gated switches</t>
        </is>
      </c>
      <c r="I133" s="73" t="inlineStr">
        <is>
          <t>LIVE — wired</t>
        </is>
      </c>
      <c r="J133" s="6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3" t="n">
        <v>32</v>
      </c>
      <c r="B134" s="73" t="inlineStr">
        <is>
          <t>EMA_BLANKET_FILTER_FILTER_TF</t>
        </is>
      </c>
      <c r="C134" s="0" t="inlineStr">
        <is>
          <t>15m</t>
        </is>
      </c>
      <c r="D134"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3" t="inlineStr">
        <is>
          <t>GLOBAL_CHECK</t>
        </is>
      </c>
      <c r="F134" s="73" t="inlineStr">
        <is>
          <t>GLOBAL_CHECK</t>
        </is>
      </c>
      <c r="G134" s="73" t="inlineStr">
        <is>
          <t>EMA_BLANKET_FILTER</t>
        </is>
      </c>
      <c r="H134" s="73" t="inlineStr">
        <is>
          <t>SPECIFIC — only gated switches</t>
        </is>
      </c>
      <c r="I134" s="73" t="inlineStr">
        <is>
          <t>LIVE — wired</t>
        </is>
      </c>
      <c r="J134" s="6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79" t="n">
        <v>33</v>
      </c>
      <c r="B135" s="79" t="inlineStr">
        <is>
          <t>EMA_BLANKET_FILTER_MIN_TFS</t>
        </is>
      </c>
      <c r="C135" s="0" t="inlineStr">
        <is>
          <t>0</t>
        </is>
      </c>
      <c r="D135" s="71" t="inlineStr">
        <is>
          <t>Threshold/gate: EMA_BLANKET_FILTER_MIN_TFS — D_BANDS_EACH_SIDE', 'BT_WT_CROSS_LADDER_FILTER_TF', 'CIRCUIT_SHARPE_GATES_ENABLED', 'CIRCUIT_SHARPE_GATES_FILTER_TF', 'C | ex: `D_BANDS_EACH_SIDE', 'BT_WT_CROSS_LADDER_FILTER_TF', 'CIRCUIT_SHARPE_GATES_ENABLE`</t>
        </is>
      </c>
      <c r="E135" s="71" t="inlineStr">
        <is>
          <t>GLOBAL_CHECK</t>
        </is>
      </c>
      <c r="F135" s="71" t="inlineStr">
        <is>
          <t>GLOBAL_CHECK</t>
        </is>
      </c>
      <c r="G135" s="71" t="inlineStr">
        <is>
          <t>EMA_BLANKET_FILTER_MIN_TFS</t>
        </is>
      </c>
      <c r="H135" s="71" t="inlineStr">
        <is>
          <t>GENERAL</t>
        </is>
      </c>
      <c r="I135" s="71" t="inlineStr">
        <is>
          <t>LIVE — wired</t>
        </is>
      </c>
      <c r="J135" s="72"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71" t="n">
        <v>33</v>
      </c>
      <c r="B136" s="71" t="inlineStr">
        <is>
          <t>EMA_BLANKET_FILTER_MIN_TFS</t>
        </is>
      </c>
      <c r="C136" s="0" t="inlineStr">
        <is>
          <t>2</t>
        </is>
      </c>
      <c r="D136" s="71" t="inlineStr">
        <is>
          <t>Threshold/gate: EMA_BLANKET_FILTER_MIN_TFS — D_BANDS_EACH_SIDE', 'BT_WT_CROSS_LADDER_FILTER_TF', 'CIRCUIT_SHARPE_GATES_ENABLED', 'CIRCUIT_SHARPE_GATES_FILTER_TF', 'C | ex: `D_BANDS_EACH_SIDE', 'BT_WT_CROSS_LADDER_FILTER_TF', 'CIRCUIT_SHARPE_GATES_ENABLE`</t>
        </is>
      </c>
      <c r="E136" s="71" t="inlineStr">
        <is>
          <t>GLOBAL_CHECK</t>
        </is>
      </c>
      <c r="F136" s="71" t="inlineStr">
        <is>
          <t>GLOBAL_CHECK</t>
        </is>
      </c>
      <c r="G136" s="71" t="inlineStr">
        <is>
          <t>EMA_BLANKET_FILTER_MIN_TFS</t>
        </is>
      </c>
      <c r="H136" s="71" t="inlineStr">
        <is>
          <t>GENERAL</t>
        </is>
      </c>
      <c r="I136" s="71" t="inlineStr">
        <is>
          <t>LIVE — wired</t>
        </is>
      </c>
      <c r="J136" s="72"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71" t="n">
        <v>33</v>
      </c>
      <c r="B137" s="71" t="inlineStr">
        <is>
          <t>EMA_BLANKET_FILTER_MIN_TFS</t>
        </is>
      </c>
      <c r="C137" s="0" t="inlineStr">
        <is>
          <t>1</t>
        </is>
      </c>
      <c r="D137" s="71" t="inlineStr">
        <is>
          <t>Threshold/gate: EMA_BLANKET_FILTER_MIN_TFS — D_BANDS_EACH_SIDE', 'BT_WT_CROSS_LADDER_FILTER_TF', 'CIRCUIT_SHARPE_GATES_ENABLED', 'CIRCUIT_SHARPE_GATES_FILTER_TF', 'C | ex: `D_BANDS_EACH_SIDE', 'BT_WT_CROSS_LADDER_FILTER_TF', 'CIRCUIT_SHARPE_GATES_ENABLE`</t>
        </is>
      </c>
      <c r="E137" s="71" t="inlineStr">
        <is>
          <t>GLOBAL_CHECK</t>
        </is>
      </c>
      <c r="F137" s="71" t="inlineStr">
        <is>
          <t>GLOBAL_CHECK</t>
        </is>
      </c>
      <c r="G137" s="71" t="inlineStr">
        <is>
          <t>EMA_BLANKET_FILTER_MIN_TFS</t>
        </is>
      </c>
      <c r="H137" s="71" t="inlineStr">
        <is>
          <t>GENERAL</t>
        </is>
      </c>
      <c r="I137" s="71" t="inlineStr">
        <is>
          <t>LIVE — wired</t>
        </is>
      </c>
      <c r="J137" s="72"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80" t="n">
        <v>34</v>
      </c>
      <c r="B138" s="80" t="inlineStr">
        <is>
          <t>EMERGENCY_BRAKE_FILTER_TF</t>
        </is>
      </c>
      <c r="C138" s="0" t="inlineStr">
        <is>
          <t>OFF</t>
        </is>
      </c>
      <c r="D138" s="73" t="inlineStr">
        <is>
          <t>Emergency brake (kill switch) confirmation TF. | Live read: `SS_LADDER_FILTER_TF', 'CIRCUIT_SHARPE_GATES_ENABLED', 'CIRCUIT_SHARPE_GATES_FILT`</t>
        </is>
      </c>
      <c r="E138" s="73" t="inlineStr">
        <is>
          <t>GLOBAL_CHECK</t>
        </is>
      </c>
      <c r="F138" s="73" t="inlineStr">
        <is>
          <t>GLOBAL_CHECK</t>
        </is>
      </c>
      <c r="G138" s="73" t="inlineStr">
        <is>
          <t>EMERGENCY_BRAKE</t>
        </is>
      </c>
      <c r="H138" s="73" t="inlineStr">
        <is>
          <t>SPECIFIC — only gated switches</t>
        </is>
      </c>
      <c r="I138" s="73" t="inlineStr">
        <is>
          <t>LIVE — wired</t>
        </is>
      </c>
      <c r="J138" s="6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3" t="n">
        <v>34</v>
      </c>
      <c r="B139" s="73" t="inlineStr">
        <is>
          <t>EMERGENCY_BRAKE_FILTER_TF</t>
        </is>
      </c>
      <c r="C139" s="0" t="inlineStr">
        <is>
          <t>D</t>
        </is>
      </c>
      <c r="D139" s="73" t="inlineStr">
        <is>
          <t>Emergency brake (kill switch) confirmation TF. | Live read: `SS_LADDER_FILTER_TF', 'CIRCUIT_SHARPE_GATES_ENABLED', 'CIRCUIT_SHARPE_GATES_FILT`</t>
        </is>
      </c>
      <c r="E139" s="73" t="inlineStr">
        <is>
          <t>GLOBAL_CHECK</t>
        </is>
      </c>
      <c r="F139" s="73" t="inlineStr">
        <is>
          <t>GLOBAL_CHECK</t>
        </is>
      </c>
      <c r="G139" s="73" t="inlineStr">
        <is>
          <t>EMERGENCY_BRAKE</t>
        </is>
      </c>
      <c r="H139" s="73" t="inlineStr">
        <is>
          <t>SPECIFIC — only gated switches</t>
        </is>
      </c>
      <c r="I139" s="73" t="inlineStr">
        <is>
          <t>LIVE — wired</t>
        </is>
      </c>
      <c r="J139" s="6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3" t="n">
        <v>34</v>
      </c>
      <c r="B140" s="73" t="inlineStr">
        <is>
          <t>EMERGENCY_BRAKE_FILTER_TF</t>
        </is>
      </c>
      <c r="C140" s="0" t="inlineStr">
        <is>
          <t>4h</t>
        </is>
      </c>
      <c r="D140" s="73" t="inlineStr">
        <is>
          <t>Emergency brake (kill switch) confirmation TF. | Live read: `SS_LADDER_FILTER_TF', 'CIRCUIT_SHARPE_GATES_ENABLED', 'CIRCUIT_SHARPE_GATES_FILT`</t>
        </is>
      </c>
      <c r="E140" s="73" t="inlineStr">
        <is>
          <t>GLOBAL_CHECK</t>
        </is>
      </c>
      <c r="F140" s="73" t="inlineStr">
        <is>
          <t>GLOBAL_CHECK</t>
        </is>
      </c>
      <c r="G140" s="73" t="inlineStr">
        <is>
          <t>EMERGENCY_BRAKE</t>
        </is>
      </c>
      <c r="H140" s="73" t="inlineStr">
        <is>
          <t>SPECIFIC — only gated switches</t>
        </is>
      </c>
      <c r="I140" s="73" t="inlineStr">
        <is>
          <t>LIVE — wired</t>
        </is>
      </c>
      <c r="J140" s="6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3" t="n">
        <v>34</v>
      </c>
      <c r="B141" s="73" t="inlineStr">
        <is>
          <t>EMERGENCY_BRAKE_FILTER_TF</t>
        </is>
      </c>
      <c r="C141" s="0" t="inlineStr">
        <is>
          <t>1h</t>
        </is>
      </c>
      <c r="D141" s="73" t="inlineStr">
        <is>
          <t>Emergency brake (kill switch) confirmation TF. | Live read: `SS_LADDER_FILTER_TF', 'CIRCUIT_SHARPE_GATES_ENABLED', 'CIRCUIT_SHARPE_GATES_FILT`</t>
        </is>
      </c>
      <c r="E141" s="73" t="inlineStr">
        <is>
          <t>GLOBAL_CHECK</t>
        </is>
      </c>
      <c r="F141" s="73" t="inlineStr">
        <is>
          <t>GLOBAL_CHECK</t>
        </is>
      </c>
      <c r="G141" s="73" t="inlineStr">
        <is>
          <t>EMERGENCY_BRAKE</t>
        </is>
      </c>
      <c r="H141" s="73" t="inlineStr">
        <is>
          <t>SPECIFIC — only gated switches</t>
        </is>
      </c>
      <c r="I141" s="73" t="inlineStr">
        <is>
          <t>LIVE — wired</t>
        </is>
      </c>
      <c r="J141" s="6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3" t="n">
        <v>34</v>
      </c>
      <c r="B142" s="73" t="inlineStr">
        <is>
          <t>EMERGENCY_BRAKE_FILTER_TF</t>
        </is>
      </c>
      <c r="C142" s="0" t="inlineStr">
        <is>
          <t>15m</t>
        </is>
      </c>
      <c r="D142" s="73" t="inlineStr">
        <is>
          <t>Emergency brake (kill switch) confirmation TF. | Live read: `SS_LADDER_FILTER_TF', 'CIRCUIT_SHARPE_GATES_ENABLED', 'CIRCUIT_SHARPE_GATES_FILT`</t>
        </is>
      </c>
      <c r="E142" s="73" t="inlineStr">
        <is>
          <t>GLOBAL_CHECK</t>
        </is>
      </c>
      <c r="F142" s="73" t="inlineStr">
        <is>
          <t>GLOBAL_CHECK</t>
        </is>
      </c>
      <c r="G142" s="73" t="inlineStr">
        <is>
          <t>EMERGENCY_BRAKE</t>
        </is>
      </c>
      <c r="H142" s="73" t="inlineStr">
        <is>
          <t>SPECIFIC — only gated switches</t>
        </is>
      </c>
      <c r="I142" s="73" t="inlineStr">
        <is>
          <t>LIVE — wired</t>
        </is>
      </c>
      <c r="J142" s="6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79" t="n">
        <v>35</v>
      </c>
      <c r="B143" s="79" t="inlineStr">
        <is>
          <t>EXECUTE_NOW_SINGLE_GATE_ENFORCE</t>
        </is>
      </c>
      <c r="C143" s="0" t="inlineStr">
        <is>
          <t>0.0</t>
        </is>
      </c>
      <c r="D143" s="71" t="inlineStr">
        <is>
          <t>Enforces single-gate through execute_now (THE ONLY gate). | Live read: `'EXECUTE_NOW_SINGLE_GATE_ENFORCE', 'EXECUTE_NOW_WIRE_TRIPWIRE_MAX_LAG_S', 'EXECU`</t>
        </is>
      </c>
      <c r="E143" s="71" t="inlineStr">
        <is>
          <t>ENTRY, GLOBAL_CHECK, STOCKS_EXIT</t>
        </is>
      </c>
      <c r="F143" s="71" t="inlineStr">
        <is>
          <t>ENTRY, GLOBAL_CHECK, STOCKS_EXIT</t>
        </is>
      </c>
      <c r="G143" s="71" t="inlineStr">
        <is>
          <t>EXECUTE_NOW_SINGLE_GATE_ENFORCE</t>
        </is>
      </c>
      <c r="H143" s="71" t="inlineStr">
        <is>
          <t>GENERAL</t>
        </is>
      </c>
      <c r="I143" s="71" t="inlineStr">
        <is>
          <t>LIVE — wired</t>
        </is>
      </c>
      <c r="J143" s="72"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71" t="n">
        <v>35</v>
      </c>
      <c r="B144" s="71" t="inlineStr">
        <is>
          <t>EXECUTE_NOW_SINGLE_GATE_ENFORCE</t>
        </is>
      </c>
      <c r="C144" s="0" t="inlineStr">
        <is>
          <t>0.0_ALT</t>
        </is>
      </c>
      <c r="D144" s="71" t="inlineStr">
        <is>
          <t>Enforces single-gate through execute_now (THE ONLY gate). | Live read: `'EXECUTE_NOW_SINGLE_GATE_ENFORCE', 'EXECUTE_NOW_WIRE_TRIPWIRE_MAX_LAG_S', 'EXECU`</t>
        </is>
      </c>
      <c r="E144" s="71" t="inlineStr">
        <is>
          <t>ENTRY, GLOBAL_CHECK, STOCKS_EXIT</t>
        </is>
      </c>
      <c r="F144" s="71" t="inlineStr">
        <is>
          <t>ENTRY, GLOBAL_CHECK, STOCKS_EXIT</t>
        </is>
      </c>
      <c r="G144" s="71" t="inlineStr">
        <is>
          <t>EXECUTE_NOW_SINGLE_GATE_ENFORCE</t>
        </is>
      </c>
      <c r="H144" s="71" t="inlineStr">
        <is>
          <t>GENERAL</t>
        </is>
      </c>
      <c r="I144" s="71" t="inlineStr">
        <is>
          <t>LIVE — wired</t>
        </is>
      </c>
      <c r="J144" s="72"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82" t="n">
        <v>36</v>
      </c>
      <c r="B145" s="82" t="inlineStr">
        <is>
          <t>EXHAUSTION_EXIT_FILTER_TF</t>
        </is>
      </c>
      <c r="C145" s="0" t="inlineStr">
        <is>
          <t>OFF</t>
        </is>
      </c>
      <c r="D145" s="75" t="inlineStr">
        <is>
          <t>Dead/misnamed filter — no read in ez_manage/ez_positions_quick/tradier_manage. Appears 0x; likely legacy or typo.</t>
        </is>
      </c>
      <c r="E145" s="75" t="inlineStr">
        <is>
          <t>DEAD</t>
        </is>
      </c>
      <c r="F145" s="75" t="inlineStr">
        <is>
          <t>DEAD</t>
        </is>
      </c>
      <c r="G145" s="75" t="inlineStr">
        <is>
          <t>EXHAUSTION_EXIT</t>
        </is>
      </c>
      <c r="H145" s="75" t="inlineStr">
        <is>
          <t>SPECIFIC — only gated switches</t>
        </is>
      </c>
      <c r="I145" s="75" t="inlineStr">
        <is>
          <t>DEAD — REMOVE</t>
        </is>
      </c>
      <c r="J145" s="76"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75" t="n">
        <v>36</v>
      </c>
      <c r="B146" s="75" t="inlineStr">
        <is>
          <t>EXHAUSTION_EXIT_FILTER_TF</t>
        </is>
      </c>
      <c r="C146" s="0" t="inlineStr">
        <is>
          <t>D</t>
        </is>
      </c>
      <c r="D146" s="75" t="inlineStr">
        <is>
          <t>Dead/misnamed filter — no read in ez_manage/ez_positions_quick/tradier_manage. Appears 0x; likely legacy or typo.</t>
        </is>
      </c>
      <c r="E146" s="75" t="inlineStr">
        <is>
          <t>DEAD</t>
        </is>
      </c>
      <c r="F146" s="75" t="inlineStr">
        <is>
          <t>DEAD</t>
        </is>
      </c>
      <c r="G146" s="75" t="inlineStr">
        <is>
          <t>EXHAUSTION_EXIT</t>
        </is>
      </c>
      <c r="H146" s="75" t="inlineStr">
        <is>
          <t>SPECIFIC — only gated switches</t>
        </is>
      </c>
      <c r="I146" s="75" t="inlineStr">
        <is>
          <t>DEAD — REMOVE</t>
        </is>
      </c>
      <c r="J146" s="76"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75" t="n">
        <v>36</v>
      </c>
      <c r="B147" s="75" t="inlineStr">
        <is>
          <t>EXHAUSTION_EXIT_FILTER_TF</t>
        </is>
      </c>
      <c r="C147" s="0" t="inlineStr">
        <is>
          <t>4h</t>
        </is>
      </c>
      <c r="D147" s="75" t="inlineStr">
        <is>
          <t>Dead/misnamed filter — no read in ez_manage/ez_positions_quick/tradier_manage. Appears 0x; likely legacy or typo.</t>
        </is>
      </c>
      <c r="E147" s="75" t="inlineStr">
        <is>
          <t>DEAD</t>
        </is>
      </c>
      <c r="F147" s="75" t="inlineStr">
        <is>
          <t>DEAD</t>
        </is>
      </c>
      <c r="G147" s="75" t="inlineStr">
        <is>
          <t>EXHAUSTION_EXIT</t>
        </is>
      </c>
      <c r="H147" s="75" t="inlineStr">
        <is>
          <t>SPECIFIC — only gated switches</t>
        </is>
      </c>
      <c r="I147" s="75" t="inlineStr">
        <is>
          <t>DEAD — REMOVE</t>
        </is>
      </c>
      <c r="J147" s="76"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75" t="n">
        <v>36</v>
      </c>
      <c r="B148" s="75" t="inlineStr">
        <is>
          <t>EXHAUSTION_EXIT_FILTER_TF</t>
        </is>
      </c>
      <c r="C148" s="0" t="inlineStr">
        <is>
          <t>1h</t>
        </is>
      </c>
      <c r="D148" s="75" t="inlineStr">
        <is>
          <t>Dead/misnamed filter — no read in ez_manage/ez_positions_quick/tradier_manage. Appears 0x; likely legacy or typo.</t>
        </is>
      </c>
      <c r="E148" s="75" t="inlineStr">
        <is>
          <t>DEAD</t>
        </is>
      </c>
      <c r="F148" s="75" t="inlineStr">
        <is>
          <t>DEAD</t>
        </is>
      </c>
      <c r="G148" s="75" t="inlineStr">
        <is>
          <t>EXHAUSTION_EXIT</t>
        </is>
      </c>
      <c r="H148" s="75" t="inlineStr">
        <is>
          <t>SPECIFIC — only gated switches</t>
        </is>
      </c>
      <c r="I148" s="75" t="inlineStr">
        <is>
          <t>DEAD — REMOVE</t>
        </is>
      </c>
      <c r="J148" s="76"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75" t="n">
        <v>36</v>
      </c>
      <c r="B149" s="75" t="inlineStr">
        <is>
          <t>EXHAUSTION_EXIT_FILTER_TF</t>
        </is>
      </c>
      <c r="C149" s="0" t="inlineStr">
        <is>
          <t>15m</t>
        </is>
      </c>
      <c r="D149" s="75" t="inlineStr">
        <is>
          <t>Dead/misnamed filter — no read in ez_manage/ez_positions_quick/tradier_manage. Appears 0x; likely legacy or typo.</t>
        </is>
      </c>
      <c r="E149" s="75" t="inlineStr">
        <is>
          <t>DEAD</t>
        </is>
      </c>
      <c r="F149" s="75" t="inlineStr">
        <is>
          <t>DEAD</t>
        </is>
      </c>
      <c r="G149" s="75" t="inlineStr">
        <is>
          <t>EXHAUSTION_EXIT</t>
        </is>
      </c>
      <c r="H149" s="75" t="inlineStr">
        <is>
          <t>SPECIFIC — only gated switches</t>
        </is>
      </c>
      <c r="I149" s="75" t="inlineStr">
        <is>
          <t>DEAD — REMOVE</t>
        </is>
      </c>
      <c r="J149" s="76"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80" t="n">
        <v>37</v>
      </c>
      <c r="B150" s="80" t="inlineStr">
        <is>
          <t>EXIT_R1_R2_FILTER_TF</t>
        </is>
      </c>
      <c r="C150" s="0" t="inlineStr">
        <is>
          <t>OFF</t>
        </is>
      </c>
      <c r="D150" s="73" t="inlineStr">
        <is>
          <t>Exit R1/R2 level confirmation TF. | Live read: `LESS_EXIT_ENABLED', 'DC_HOPELESS_EXIT_MIN_AGE_S', 'DC_LOW_FROZEN_STOP_TF', 'DC_R`</t>
        </is>
      </c>
      <c r="E150" s="73" t="inlineStr">
        <is>
          <t>GLOBAL_CHECK</t>
        </is>
      </c>
      <c r="F150" s="73" t="inlineStr">
        <is>
          <t>GLOBAL_CHECK</t>
        </is>
      </c>
      <c r="G150" s="73" t="inlineStr">
        <is>
          <t>EXIT_R1_R2</t>
        </is>
      </c>
      <c r="H150" s="73" t="inlineStr">
        <is>
          <t>SPECIFIC — only gated switches</t>
        </is>
      </c>
      <c r="I150" s="73" t="inlineStr">
        <is>
          <t>LIVE — wired</t>
        </is>
      </c>
      <c r="J150" s="6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3" t="n">
        <v>37</v>
      </c>
      <c r="B151" s="73" t="inlineStr">
        <is>
          <t>EXIT_R1_R2_FILTER_TF</t>
        </is>
      </c>
      <c r="C151" s="0" t="inlineStr">
        <is>
          <t>D</t>
        </is>
      </c>
      <c r="D151" s="73" t="inlineStr">
        <is>
          <t>Exit R1/R2 level confirmation TF. | Live read: `LESS_EXIT_ENABLED', 'DC_HOPELESS_EXIT_MIN_AGE_S', 'DC_LOW_FROZEN_STOP_TF', 'DC_R`</t>
        </is>
      </c>
      <c r="E151" s="73" t="inlineStr">
        <is>
          <t>GLOBAL_CHECK</t>
        </is>
      </c>
      <c r="F151" s="73" t="inlineStr">
        <is>
          <t>GLOBAL_CHECK</t>
        </is>
      </c>
      <c r="G151" s="73" t="inlineStr">
        <is>
          <t>EXIT_R1_R2</t>
        </is>
      </c>
      <c r="H151" s="73" t="inlineStr">
        <is>
          <t>SPECIFIC — only gated switches</t>
        </is>
      </c>
      <c r="I151" s="73" t="inlineStr">
        <is>
          <t>LIVE — wired</t>
        </is>
      </c>
      <c r="J151" s="6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3" t="n">
        <v>37</v>
      </c>
      <c r="B152" s="73" t="inlineStr">
        <is>
          <t>EXIT_R1_R2_FILTER_TF</t>
        </is>
      </c>
      <c r="C152" s="0" t="inlineStr">
        <is>
          <t>4h</t>
        </is>
      </c>
      <c r="D152" s="73" t="inlineStr">
        <is>
          <t>Exit R1/R2 level confirmation TF. | Live read: `LESS_EXIT_ENABLED', 'DC_HOPELESS_EXIT_MIN_AGE_S', 'DC_LOW_FROZEN_STOP_TF', 'DC_R`</t>
        </is>
      </c>
      <c r="E152" s="73" t="inlineStr">
        <is>
          <t>GLOBAL_CHECK</t>
        </is>
      </c>
      <c r="F152" s="73" t="inlineStr">
        <is>
          <t>GLOBAL_CHECK</t>
        </is>
      </c>
      <c r="G152" s="73" t="inlineStr">
        <is>
          <t>EXIT_R1_R2</t>
        </is>
      </c>
      <c r="H152" s="73" t="inlineStr">
        <is>
          <t>SPECIFIC — only gated switches</t>
        </is>
      </c>
      <c r="I152" s="73" t="inlineStr">
        <is>
          <t>LIVE — wired</t>
        </is>
      </c>
      <c r="J152" s="6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3" t="n">
        <v>37</v>
      </c>
      <c r="B153" s="73" t="inlineStr">
        <is>
          <t>EXIT_R1_R2_FILTER_TF</t>
        </is>
      </c>
      <c r="C153" s="0" t="inlineStr">
        <is>
          <t>1h</t>
        </is>
      </c>
      <c r="D153" s="73" t="inlineStr">
        <is>
          <t>Exit R1/R2 level confirmation TF. | Live read: `LESS_EXIT_ENABLED', 'DC_HOPELESS_EXIT_MIN_AGE_S', 'DC_LOW_FROZEN_STOP_TF', 'DC_R`</t>
        </is>
      </c>
      <c r="E153" s="73" t="inlineStr">
        <is>
          <t>GLOBAL_CHECK</t>
        </is>
      </c>
      <c r="F153" s="73" t="inlineStr">
        <is>
          <t>GLOBAL_CHECK</t>
        </is>
      </c>
      <c r="G153" s="73" t="inlineStr">
        <is>
          <t>EXIT_R1_R2</t>
        </is>
      </c>
      <c r="H153" s="73" t="inlineStr">
        <is>
          <t>SPECIFIC — only gated switches</t>
        </is>
      </c>
      <c r="I153" s="73" t="inlineStr">
        <is>
          <t>LIVE — wired</t>
        </is>
      </c>
      <c r="J153" s="6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3" t="n">
        <v>37</v>
      </c>
      <c r="B154" s="73" t="inlineStr">
        <is>
          <t>EXIT_R1_R2_FILTER_TF</t>
        </is>
      </c>
      <c r="C154" s="0" t="inlineStr">
        <is>
          <t>15m</t>
        </is>
      </c>
      <c r="D154" s="73" t="inlineStr">
        <is>
          <t>Exit R1/R2 level confirmation TF. | Live read: `LESS_EXIT_ENABLED', 'DC_HOPELESS_EXIT_MIN_AGE_S', 'DC_LOW_FROZEN_STOP_TF', 'DC_R`</t>
        </is>
      </c>
      <c r="E154" s="73" t="inlineStr">
        <is>
          <t>GLOBAL_CHECK</t>
        </is>
      </c>
      <c r="F154" s="73" t="inlineStr">
        <is>
          <t>GLOBAL_CHECK</t>
        </is>
      </c>
      <c r="G154" s="73" t="inlineStr">
        <is>
          <t>EXIT_R1_R2</t>
        </is>
      </c>
      <c r="H154" s="73" t="inlineStr">
        <is>
          <t>SPECIFIC — only gated switches</t>
        </is>
      </c>
      <c r="I154" s="73" t="inlineStr">
        <is>
          <t>LIVE — wired</t>
        </is>
      </c>
      <c r="J154" s="6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80" t="n">
        <v>38</v>
      </c>
      <c r="B155" s="80" t="inlineStr">
        <is>
          <t>EXIT_TIGHT_BREAKOUT_SCORER_FILTER_TF</t>
        </is>
      </c>
      <c r="C155" s="0" t="inlineStr">
        <is>
          <t>OFF</t>
        </is>
      </c>
      <c r="D155" s="73" t="inlineStr">
        <is>
          <t>Tight breakout scorer exit confirmation TF. | Live read: `T_SCORE_BONUS', 'DELTA_EXIT_SPEED_DECAY_MIN_GAIN', 'DELTA_EXIT_SPEED_DECAY_MIN_T`</t>
        </is>
      </c>
      <c r="E155" s="73" t="inlineStr">
        <is>
          <t>GLOBAL_CHECK</t>
        </is>
      </c>
      <c r="F155" s="73" t="inlineStr">
        <is>
          <t>GLOBAL_CHECK</t>
        </is>
      </c>
      <c r="G155" s="73" t="inlineStr">
        <is>
          <t>EXIT_TIGHT_BREAKOUT_SCORER</t>
        </is>
      </c>
      <c r="H155" s="73" t="inlineStr">
        <is>
          <t>SPECIFIC — only gated switches</t>
        </is>
      </c>
      <c r="I155" s="73" t="inlineStr">
        <is>
          <t>LIVE — wired</t>
        </is>
      </c>
      <c r="J155" s="6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3" t="n">
        <v>38</v>
      </c>
      <c r="B156" s="73" t="inlineStr">
        <is>
          <t>EXIT_TIGHT_BREAKOUT_SCORER_FILTER_TF</t>
        </is>
      </c>
      <c r="C156" s="0" t="inlineStr">
        <is>
          <t>D</t>
        </is>
      </c>
      <c r="D156" s="73" t="inlineStr">
        <is>
          <t>Tight breakout scorer exit confirmation TF. | Live read: `T_SCORE_BONUS', 'DELTA_EXIT_SPEED_DECAY_MIN_GAIN', 'DELTA_EXIT_SPEED_DECAY_MIN_T`</t>
        </is>
      </c>
      <c r="E156" s="73" t="inlineStr">
        <is>
          <t>GLOBAL_CHECK</t>
        </is>
      </c>
      <c r="F156" s="73" t="inlineStr">
        <is>
          <t>GLOBAL_CHECK</t>
        </is>
      </c>
      <c r="G156" s="73" t="inlineStr">
        <is>
          <t>EXIT_TIGHT_BREAKOUT_SCORER</t>
        </is>
      </c>
      <c r="H156" s="73" t="inlineStr">
        <is>
          <t>SPECIFIC — only gated switches</t>
        </is>
      </c>
      <c r="I156" s="73" t="inlineStr">
        <is>
          <t>LIVE — wired</t>
        </is>
      </c>
      <c r="J156" s="6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3" t="n">
        <v>38</v>
      </c>
      <c r="B157" s="73" t="inlineStr">
        <is>
          <t>EXIT_TIGHT_BREAKOUT_SCORER_FILTER_TF</t>
        </is>
      </c>
      <c r="C157" s="0" t="inlineStr">
        <is>
          <t>4h</t>
        </is>
      </c>
      <c r="D157" s="73" t="inlineStr">
        <is>
          <t>Tight breakout scorer exit confirmation TF. | Live read: `T_SCORE_BONUS', 'DELTA_EXIT_SPEED_DECAY_MIN_GAIN', 'DELTA_EXIT_SPEED_DECAY_MIN_T`</t>
        </is>
      </c>
      <c r="E157" s="73" t="inlineStr">
        <is>
          <t>GLOBAL_CHECK</t>
        </is>
      </c>
      <c r="F157" s="73" t="inlineStr">
        <is>
          <t>GLOBAL_CHECK</t>
        </is>
      </c>
      <c r="G157" s="73" t="inlineStr">
        <is>
          <t>EXIT_TIGHT_BREAKOUT_SCORER</t>
        </is>
      </c>
      <c r="H157" s="73" t="inlineStr">
        <is>
          <t>SPECIFIC — only gated switches</t>
        </is>
      </c>
      <c r="I157" s="73" t="inlineStr">
        <is>
          <t>LIVE — wired</t>
        </is>
      </c>
      <c r="J157" s="6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3" t="n">
        <v>38</v>
      </c>
      <c r="B158" s="73" t="inlineStr">
        <is>
          <t>EXIT_TIGHT_BREAKOUT_SCORER_FILTER_TF</t>
        </is>
      </c>
      <c r="C158" s="0" t="inlineStr">
        <is>
          <t>1h</t>
        </is>
      </c>
      <c r="D158" s="73" t="inlineStr">
        <is>
          <t>Tight breakout scorer exit confirmation TF. | Live read: `T_SCORE_BONUS', 'DELTA_EXIT_SPEED_DECAY_MIN_GAIN', 'DELTA_EXIT_SPEED_DECAY_MIN_T`</t>
        </is>
      </c>
      <c r="E158" s="73" t="inlineStr">
        <is>
          <t>GLOBAL_CHECK</t>
        </is>
      </c>
      <c r="F158" s="73" t="inlineStr">
        <is>
          <t>GLOBAL_CHECK</t>
        </is>
      </c>
      <c r="G158" s="73" t="inlineStr">
        <is>
          <t>EXIT_TIGHT_BREAKOUT_SCORER</t>
        </is>
      </c>
      <c r="H158" s="73" t="inlineStr">
        <is>
          <t>SPECIFIC — only gated switches</t>
        </is>
      </c>
      <c r="I158" s="73" t="inlineStr">
        <is>
          <t>LIVE — wired</t>
        </is>
      </c>
      <c r="J158" s="6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3" t="n">
        <v>38</v>
      </c>
      <c r="B159" s="73" t="inlineStr">
        <is>
          <t>EXIT_TIGHT_BREAKOUT_SCORER_FILTER_TF</t>
        </is>
      </c>
      <c r="C159" s="0" t="inlineStr">
        <is>
          <t>15m</t>
        </is>
      </c>
      <c r="D159" s="73" t="inlineStr">
        <is>
          <t>Tight breakout scorer exit confirmation TF. | Live read: `T_SCORE_BONUS', 'DELTA_EXIT_SPEED_DECAY_MIN_GAIN', 'DELTA_EXIT_SPEED_DECAY_MIN_T`</t>
        </is>
      </c>
      <c r="E159" s="73" t="inlineStr">
        <is>
          <t>GLOBAL_CHECK</t>
        </is>
      </c>
      <c r="F159" s="73" t="inlineStr">
        <is>
          <t>GLOBAL_CHECK</t>
        </is>
      </c>
      <c r="G159" s="73" t="inlineStr">
        <is>
          <t>EXIT_TIGHT_BREAKOUT_SCORER</t>
        </is>
      </c>
      <c r="H159" s="73" t="inlineStr">
        <is>
          <t>SPECIFIC — only gated switches</t>
        </is>
      </c>
      <c r="I159" s="73" t="inlineStr">
        <is>
          <t>LIVE — wired</t>
        </is>
      </c>
      <c r="J159" s="6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80" t="n">
        <v>39</v>
      </c>
      <c r="B160" s="80" t="inlineStr">
        <is>
          <t>EXIT_TOP_FADE_FILTER_TF</t>
        </is>
      </c>
      <c r="C160" s="0" t="inlineStr">
        <is>
          <t>OFF</t>
        </is>
      </c>
      <c r="D160" s="73" t="inlineStr">
        <is>
          <t>Top-fade exit confirmation TF. | Live read: `DECAY_VEC_ENABLED', 'DELTA_EXIT_TF', 'DELTA_LT_EXIT_SPEED_PCT', 'DELTA_LT_EXIT_T`</t>
        </is>
      </c>
      <c r="E160" s="73" t="inlineStr">
        <is>
          <t>GLOBAL_CHECK</t>
        </is>
      </c>
      <c r="F160" s="73" t="inlineStr">
        <is>
          <t>GLOBAL_CHECK</t>
        </is>
      </c>
      <c r="G160" s="73" t="inlineStr">
        <is>
          <t>EXIT_TOP_FADE</t>
        </is>
      </c>
      <c r="H160" s="73" t="inlineStr">
        <is>
          <t>SPECIFIC — only gated switches</t>
        </is>
      </c>
      <c r="I160" s="73" t="inlineStr">
        <is>
          <t>LIVE — wired</t>
        </is>
      </c>
      <c r="J160" s="6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3" t="n">
        <v>39</v>
      </c>
      <c r="B161" s="73" t="inlineStr">
        <is>
          <t>EXIT_TOP_FADE_FILTER_TF</t>
        </is>
      </c>
      <c r="C161" s="0" t="inlineStr">
        <is>
          <t>D</t>
        </is>
      </c>
      <c r="D161" s="73" t="inlineStr">
        <is>
          <t>Top-fade exit confirmation TF. | Live read: `DECAY_VEC_ENABLED', 'DELTA_EXIT_TF', 'DELTA_LT_EXIT_SPEED_PCT', 'DELTA_LT_EXIT_T`</t>
        </is>
      </c>
      <c r="E161" s="73" t="inlineStr">
        <is>
          <t>GLOBAL_CHECK</t>
        </is>
      </c>
      <c r="F161" s="73" t="inlineStr">
        <is>
          <t>GLOBAL_CHECK</t>
        </is>
      </c>
      <c r="G161" s="73" t="inlineStr">
        <is>
          <t>EXIT_TOP_FADE</t>
        </is>
      </c>
      <c r="H161" s="73" t="inlineStr">
        <is>
          <t>SPECIFIC — only gated switches</t>
        </is>
      </c>
      <c r="I161" s="73" t="inlineStr">
        <is>
          <t>LIVE — wired</t>
        </is>
      </c>
      <c r="J161" s="6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3" t="n">
        <v>39</v>
      </c>
      <c r="B162" s="73" t="inlineStr">
        <is>
          <t>EXIT_TOP_FADE_FILTER_TF</t>
        </is>
      </c>
      <c r="C162" s="0" t="inlineStr">
        <is>
          <t>4h</t>
        </is>
      </c>
      <c r="D162" s="73" t="inlineStr">
        <is>
          <t>Top-fade exit confirmation TF. | Live read: `DECAY_VEC_ENABLED', 'DELTA_EXIT_TF', 'DELTA_LT_EXIT_SPEED_PCT', 'DELTA_LT_EXIT_T`</t>
        </is>
      </c>
      <c r="E162" s="73" t="inlineStr">
        <is>
          <t>GLOBAL_CHECK</t>
        </is>
      </c>
      <c r="F162" s="73" t="inlineStr">
        <is>
          <t>GLOBAL_CHECK</t>
        </is>
      </c>
      <c r="G162" s="73" t="inlineStr">
        <is>
          <t>EXIT_TOP_FADE</t>
        </is>
      </c>
      <c r="H162" s="73" t="inlineStr">
        <is>
          <t>SPECIFIC — only gated switches</t>
        </is>
      </c>
      <c r="I162" s="73" t="inlineStr">
        <is>
          <t>LIVE — wired</t>
        </is>
      </c>
      <c r="J162" s="6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3" t="n">
        <v>39</v>
      </c>
      <c r="B163" s="73" t="inlineStr">
        <is>
          <t>EXIT_TOP_FADE_FILTER_TF</t>
        </is>
      </c>
      <c r="C163" s="0" t="inlineStr">
        <is>
          <t>1h</t>
        </is>
      </c>
      <c r="D163" s="73" t="inlineStr">
        <is>
          <t>Top-fade exit confirmation TF. | Live read: `DECAY_VEC_ENABLED', 'DELTA_EXIT_TF', 'DELTA_LT_EXIT_SPEED_PCT', 'DELTA_LT_EXIT_T`</t>
        </is>
      </c>
      <c r="E163" s="73" t="inlineStr">
        <is>
          <t>GLOBAL_CHECK</t>
        </is>
      </c>
      <c r="F163" s="73" t="inlineStr">
        <is>
          <t>GLOBAL_CHECK</t>
        </is>
      </c>
      <c r="G163" s="73" t="inlineStr">
        <is>
          <t>EXIT_TOP_FADE</t>
        </is>
      </c>
      <c r="H163" s="73" t="inlineStr">
        <is>
          <t>SPECIFIC — only gated switches</t>
        </is>
      </c>
      <c r="I163" s="73" t="inlineStr">
        <is>
          <t>LIVE — wired</t>
        </is>
      </c>
      <c r="J163" s="6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3" t="n">
        <v>39</v>
      </c>
      <c r="B164" s="73" t="inlineStr">
        <is>
          <t>EXIT_TOP_FADE_FILTER_TF</t>
        </is>
      </c>
      <c r="C164" s="0" t="inlineStr">
        <is>
          <t>15m</t>
        </is>
      </c>
      <c r="D164" s="73" t="inlineStr">
        <is>
          <t>Top-fade exit confirmation TF. | Live read: `DECAY_VEC_ENABLED', 'DELTA_EXIT_TF', 'DELTA_LT_EXIT_SPEED_PCT', 'DELTA_LT_EXIT_T`</t>
        </is>
      </c>
      <c r="E164" s="73" t="inlineStr">
        <is>
          <t>GLOBAL_CHECK</t>
        </is>
      </c>
      <c r="F164" s="73" t="inlineStr">
        <is>
          <t>GLOBAL_CHECK</t>
        </is>
      </c>
      <c r="G164" s="73" t="inlineStr">
        <is>
          <t>EXIT_TOP_FADE</t>
        </is>
      </c>
      <c r="H164" s="73" t="inlineStr">
        <is>
          <t>SPECIFIC — only gated switches</t>
        </is>
      </c>
      <c r="I164" s="73" t="inlineStr">
        <is>
          <t>LIVE — wired</t>
        </is>
      </c>
      <c r="J164" s="6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80" t="n">
        <v>40</v>
      </c>
      <c r="B165" s="80" t="inlineStr">
        <is>
          <t>EXIT_TO_REDUCE_ADAPTER_FILTER_TF</t>
        </is>
      </c>
      <c r="C165" s="0" t="inlineStr">
        <is>
          <t>OFF</t>
        </is>
      </c>
      <c r="D165" s="73" t="inlineStr">
        <is>
          <t>Adapts exit signal into reduce (partial) on FILTER_TF. | Live read: `ELTA_LT_EXIT_TYPE', 'DELTA_OPTIONS_EXIT_TYPE', 'DYN_STRUCT_TRAIL_ENABLED', 'EMER`</t>
        </is>
      </c>
      <c r="E165" s="73" t="inlineStr">
        <is>
          <t>GLOBAL_CHECK</t>
        </is>
      </c>
      <c r="F165" s="73" t="inlineStr">
        <is>
          <t>GLOBAL_CHECK</t>
        </is>
      </c>
      <c r="G165" s="73" t="inlineStr">
        <is>
          <t>EXIT_TO_REDUCE_ADAPTER</t>
        </is>
      </c>
      <c r="H165" s="73" t="inlineStr">
        <is>
          <t>SPECIFIC — only gated switches</t>
        </is>
      </c>
      <c r="I165" s="73" t="inlineStr">
        <is>
          <t>LIVE — wired</t>
        </is>
      </c>
      <c r="J165" s="6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3" t="n">
        <v>40</v>
      </c>
      <c r="B166" s="73" t="inlineStr">
        <is>
          <t>EXIT_TO_REDUCE_ADAPTER_FILTER_TF</t>
        </is>
      </c>
      <c r="C166" s="0" t="inlineStr">
        <is>
          <t>D</t>
        </is>
      </c>
      <c r="D166" s="73" t="inlineStr">
        <is>
          <t>Adapts exit signal into reduce (partial) on FILTER_TF. | Live read: `ELTA_LT_EXIT_TYPE', 'DELTA_OPTIONS_EXIT_TYPE', 'DYN_STRUCT_TRAIL_ENABLED', 'EMER`</t>
        </is>
      </c>
      <c r="E166" s="73" t="inlineStr">
        <is>
          <t>GLOBAL_CHECK</t>
        </is>
      </c>
      <c r="F166" s="73" t="inlineStr">
        <is>
          <t>GLOBAL_CHECK</t>
        </is>
      </c>
      <c r="G166" s="73" t="inlineStr">
        <is>
          <t>EXIT_TO_REDUCE_ADAPTER</t>
        </is>
      </c>
      <c r="H166" s="73" t="inlineStr">
        <is>
          <t>SPECIFIC — only gated switches</t>
        </is>
      </c>
      <c r="I166" s="73" t="inlineStr">
        <is>
          <t>LIVE — wired</t>
        </is>
      </c>
      <c r="J166" s="6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3" t="n">
        <v>40</v>
      </c>
      <c r="B167" s="73" t="inlineStr">
        <is>
          <t>EXIT_TO_REDUCE_ADAPTER_FILTER_TF</t>
        </is>
      </c>
      <c r="C167" s="0" t="inlineStr">
        <is>
          <t>4h</t>
        </is>
      </c>
      <c r="D167" s="73" t="inlineStr">
        <is>
          <t>Adapts exit signal into reduce (partial) on FILTER_TF. | Live read: `ELTA_LT_EXIT_TYPE', 'DELTA_OPTIONS_EXIT_TYPE', 'DYN_STRUCT_TRAIL_ENABLED', 'EMER`</t>
        </is>
      </c>
      <c r="E167" s="73" t="inlineStr">
        <is>
          <t>GLOBAL_CHECK</t>
        </is>
      </c>
      <c r="F167" s="73" t="inlineStr">
        <is>
          <t>GLOBAL_CHECK</t>
        </is>
      </c>
      <c r="G167" s="73" t="inlineStr">
        <is>
          <t>EXIT_TO_REDUCE_ADAPTER</t>
        </is>
      </c>
      <c r="H167" s="73" t="inlineStr">
        <is>
          <t>SPECIFIC — only gated switches</t>
        </is>
      </c>
      <c r="I167" s="73" t="inlineStr">
        <is>
          <t>LIVE — wired</t>
        </is>
      </c>
      <c r="J167" s="6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3" t="n">
        <v>40</v>
      </c>
      <c r="B168" s="73" t="inlineStr">
        <is>
          <t>EXIT_TO_REDUCE_ADAPTER_FILTER_TF</t>
        </is>
      </c>
      <c r="C168" s="0" t="inlineStr">
        <is>
          <t>1h</t>
        </is>
      </c>
      <c r="D168" s="73" t="inlineStr">
        <is>
          <t>Adapts exit signal into reduce (partial) on FILTER_TF. | Live read: `ELTA_LT_EXIT_TYPE', 'DELTA_OPTIONS_EXIT_TYPE', 'DYN_STRUCT_TRAIL_ENABLED', 'EMER`</t>
        </is>
      </c>
      <c r="E168" s="73" t="inlineStr">
        <is>
          <t>GLOBAL_CHECK</t>
        </is>
      </c>
      <c r="F168" s="73" t="inlineStr">
        <is>
          <t>GLOBAL_CHECK</t>
        </is>
      </c>
      <c r="G168" s="73" t="inlineStr">
        <is>
          <t>EXIT_TO_REDUCE_ADAPTER</t>
        </is>
      </c>
      <c r="H168" s="73" t="inlineStr">
        <is>
          <t>SPECIFIC — only gated switches</t>
        </is>
      </c>
      <c r="I168" s="73" t="inlineStr">
        <is>
          <t>LIVE — wired</t>
        </is>
      </c>
      <c r="J168" s="6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3" t="n">
        <v>40</v>
      </c>
      <c r="B169" s="73" t="inlineStr">
        <is>
          <t>EXIT_TO_REDUCE_ADAPTER_FILTER_TF</t>
        </is>
      </c>
      <c r="C169" s="0" t="inlineStr">
        <is>
          <t>15m</t>
        </is>
      </c>
      <c r="D169" s="73" t="inlineStr">
        <is>
          <t>Adapts exit signal into reduce (partial) on FILTER_TF. | Live read: `ELTA_LT_EXIT_TYPE', 'DELTA_OPTIONS_EXIT_TYPE', 'DYN_STRUCT_TRAIL_ENABLED', 'EMER`</t>
        </is>
      </c>
      <c r="E169" s="73" t="inlineStr">
        <is>
          <t>GLOBAL_CHECK</t>
        </is>
      </c>
      <c r="F169" s="73" t="inlineStr">
        <is>
          <t>GLOBAL_CHECK</t>
        </is>
      </c>
      <c r="G169" s="73" t="inlineStr">
        <is>
          <t>EXIT_TO_REDUCE_ADAPTER</t>
        </is>
      </c>
      <c r="H169" s="73" t="inlineStr">
        <is>
          <t>SPECIFIC — only gated switches</t>
        </is>
      </c>
      <c r="I169" s="73" t="inlineStr">
        <is>
          <t>LIVE — wired</t>
        </is>
      </c>
      <c r="J169" s="6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79" t="n">
        <v>41</v>
      </c>
      <c r="B170" s="79" t="inlineStr">
        <is>
          <t>EZ_MANAGE_THROTTLER_RATE</t>
        </is>
      </c>
      <c r="C170" s="0" t="inlineStr">
        <is>
          <t>0.0</t>
        </is>
      </c>
      <c r="D170" s="71" t="inlineStr">
        <is>
          <t>Throttler: max decisions per second for ez_manage loop. | Live read: `'EZ_KLINES_SEMAPHORE', 'EZ_MANAGE_CONCURRENCY_LIMIT', 'EZ_MANAGE_MAKER_SEMAPHORE`</t>
        </is>
      </c>
      <c r="E170" s="71" t="inlineStr">
        <is>
          <t>GLOBAL_CHECK, STOCKS_EXIT</t>
        </is>
      </c>
      <c r="F170" s="71" t="inlineStr">
        <is>
          <t>GLOBAL_CHECK, STOCKS_EXIT</t>
        </is>
      </c>
      <c r="G170" s="71" t="inlineStr">
        <is>
          <t>EZ_MANAGE_THROTTLER_RATE</t>
        </is>
      </c>
      <c r="H170" s="71" t="inlineStr">
        <is>
          <t>GENERAL</t>
        </is>
      </c>
      <c r="I170" s="71" t="inlineStr">
        <is>
          <t>LIVE — wired</t>
        </is>
      </c>
      <c r="J170" s="72"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71" t="n">
        <v>41</v>
      </c>
      <c r="B171" s="71" t="inlineStr">
        <is>
          <t>EZ_MANAGE_THROTTLER_RATE</t>
        </is>
      </c>
      <c r="C171" s="0" t="inlineStr">
        <is>
          <t>0.0_ALT</t>
        </is>
      </c>
      <c r="D171" s="71" t="inlineStr">
        <is>
          <t>Throttler: max decisions per second for ez_manage loop. | Live read: `'EZ_KLINES_SEMAPHORE', 'EZ_MANAGE_CONCURRENCY_LIMIT', 'EZ_MANAGE_MAKER_SEMAPHORE`</t>
        </is>
      </c>
      <c r="E171" s="71" t="inlineStr">
        <is>
          <t>GLOBAL_CHECK, STOCKS_EXIT</t>
        </is>
      </c>
      <c r="F171" s="71" t="inlineStr">
        <is>
          <t>GLOBAL_CHECK, STOCKS_EXIT</t>
        </is>
      </c>
      <c r="G171" s="71" t="inlineStr">
        <is>
          <t>EZ_MANAGE_THROTTLER_RATE</t>
        </is>
      </c>
      <c r="H171" s="71" t="inlineStr">
        <is>
          <t>GENERAL</t>
        </is>
      </c>
      <c r="I171" s="71" t="inlineStr">
        <is>
          <t>LIVE — wired</t>
        </is>
      </c>
      <c r="J171" s="72"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80" t="n">
        <v>42</v>
      </c>
      <c r="B172" s="80" t="inlineStr">
        <is>
          <t>FAST_RISER_FILTER_TF</t>
        </is>
      </c>
      <c r="C172" s="0" t="inlineStr">
        <is>
          <t>OFF</t>
        </is>
      </c>
      <c r="D172" s="73" t="inlineStr">
        <is>
          <t>Fast-riser filter (parabolic move) on FILTER_TF. | Live read: `T_SHARPE_GATES_ENABLED', 'CIRCUIT_SHARPE_GATES_FILTER_TF', 'CIRCUIT_SHARPE_GATES`</t>
        </is>
      </c>
      <c r="E172" s="73" t="inlineStr">
        <is>
          <t>GLOBAL_CHECK</t>
        </is>
      </c>
      <c r="F172" s="73" t="inlineStr">
        <is>
          <t>GLOBAL_CHECK</t>
        </is>
      </c>
      <c r="G172" s="73" t="inlineStr">
        <is>
          <t>FAST_RISER</t>
        </is>
      </c>
      <c r="H172" s="73" t="inlineStr">
        <is>
          <t>SPECIFIC — only gated switches</t>
        </is>
      </c>
      <c r="I172" s="73" t="inlineStr">
        <is>
          <t>LIVE — wired</t>
        </is>
      </c>
      <c r="J172" s="6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3" t="n">
        <v>42</v>
      </c>
      <c r="B173" s="73" t="inlineStr">
        <is>
          <t>FAST_RISER_FILTER_TF</t>
        </is>
      </c>
      <c r="C173" s="0" t="inlineStr">
        <is>
          <t>D</t>
        </is>
      </c>
      <c r="D173" s="73" t="inlineStr">
        <is>
          <t>Fast-riser filter (parabolic move) on FILTER_TF. | Live read: `T_SHARPE_GATES_ENABLED', 'CIRCUIT_SHARPE_GATES_FILTER_TF', 'CIRCUIT_SHARPE_GATES`</t>
        </is>
      </c>
      <c r="E173" s="73" t="inlineStr">
        <is>
          <t>GLOBAL_CHECK</t>
        </is>
      </c>
      <c r="F173" s="73" t="inlineStr">
        <is>
          <t>GLOBAL_CHECK</t>
        </is>
      </c>
      <c r="G173" s="73" t="inlineStr">
        <is>
          <t>FAST_RISER</t>
        </is>
      </c>
      <c r="H173" s="73" t="inlineStr">
        <is>
          <t>SPECIFIC — only gated switches</t>
        </is>
      </c>
      <c r="I173" s="73" t="inlineStr">
        <is>
          <t>LIVE — wired</t>
        </is>
      </c>
      <c r="J173" s="6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3" t="n">
        <v>42</v>
      </c>
      <c r="B174" s="73" t="inlineStr">
        <is>
          <t>FAST_RISER_FILTER_TF</t>
        </is>
      </c>
      <c r="C174" s="0" t="inlineStr">
        <is>
          <t>4h</t>
        </is>
      </c>
      <c r="D174" s="73" t="inlineStr">
        <is>
          <t>Fast-riser filter (parabolic move) on FILTER_TF. | Live read: `T_SHARPE_GATES_ENABLED', 'CIRCUIT_SHARPE_GATES_FILTER_TF', 'CIRCUIT_SHARPE_GATES`</t>
        </is>
      </c>
      <c r="E174" s="73" t="inlineStr">
        <is>
          <t>GLOBAL_CHECK</t>
        </is>
      </c>
      <c r="F174" s="73" t="inlineStr">
        <is>
          <t>GLOBAL_CHECK</t>
        </is>
      </c>
      <c r="G174" s="73" t="inlineStr">
        <is>
          <t>FAST_RISER</t>
        </is>
      </c>
      <c r="H174" s="73" t="inlineStr">
        <is>
          <t>SPECIFIC — only gated switches</t>
        </is>
      </c>
      <c r="I174" s="73" t="inlineStr">
        <is>
          <t>LIVE — wired</t>
        </is>
      </c>
      <c r="J174" s="6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3" t="n">
        <v>42</v>
      </c>
      <c r="B175" s="73" t="inlineStr">
        <is>
          <t>FAST_RISER_FILTER_TF</t>
        </is>
      </c>
      <c r="C175" s="0" t="inlineStr">
        <is>
          <t>1h</t>
        </is>
      </c>
      <c r="D175" s="73" t="inlineStr">
        <is>
          <t>Fast-riser filter (parabolic move) on FILTER_TF. | Live read: `T_SHARPE_GATES_ENABLED', 'CIRCUIT_SHARPE_GATES_FILTER_TF', 'CIRCUIT_SHARPE_GATES`</t>
        </is>
      </c>
      <c r="E175" s="73" t="inlineStr">
        <is>
          <t>GLOBAL_CHECK</t>
        </is>
      </c>
      <c r="F175" s="73" t="inlineStr">
        <is>
          <t>GLOBAL_CHECK</t>
        </is>
      </c>
      <c r="G175" s="73" t="inlineStr">
        <is>
          <t>FAST_RISER</t>
        </is>
      </c>
      <c r="H175" s="73" t="inlineStr">
        <is>
          <t>SPECIFIC — only gated switches</t>
        </is>
      </c>
      <c r="I175" s="73" t="inlineStr">
        <is>
          <t>LIVE — wired</t>
        </is>
      </c>
      <c r="J175" s="6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3" t="n">
        <v>42</v>
      </c>
      <c r="B176" s="73" t="inlineStr">
        <is>
          <t>FAST_RISER_FILTER_TF</t>
        </is>
      </c>
      <c r="C176" s="0" t="inlineStr">
        <is>
          <t>15m</t>
        </is>
      </c>
      <c r="D176" s="73" t="inlineStr">
        <is>
          <t>Fast-riser filter (parabolic move) on FILTER_TF. | Live read: `T_SHARPE_GATES_ENABLED', 'CIRCUIT_SHARPE_GATES_FILTER_TF', 'CIRCUIT_SHARPE_GATES`</t>
        </is>
      </c>
      <c r="E176" s="73" t="inlineStr">
        <is>
          <t>GLOBAL_CHECK</t>
        </is>
      </c>
      <c r="F176" s="73" t="inlineStr">
        <is>
          <t>GLOBAL_CHECK</t>
        </is>
      </c>
      <c r="G176" s="73" t="inlineStr">
        <is>
          <t>FAST_RISER</t>
        </is>
      </c>
      <c r="H176" s="73" t="inlineStr">
        <is>
          <t>SPECIFIC — only gated switches</t>
        </is>
      </c>
      <c r="I176" s="73" t="inlineStr">
        <is>
          <t>LIVE — wired</t>
        </is>
      </c>
      <c r="J176" s="6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79" t="n">
        <v>43</v>
      </c>
      <c r="B177" s="79" t="inlineStr">
        <is>
          <t>FG_FEAR_THRESHOLD</t>
        </is>
      </c>
      <c r="C177" s="0" t="inlineStr">
        <is>
          <t>25</t>
        </is>
      </c>
      <c r="D177" s="71" t="inlineStr">
        <is>
          <t>Fear/Greed index fear threshold. | Live read: `'CIRCUIT_SHARPE_GATES_FILTER_TF', 'CIRCUIT_SHARPE_GATES_MIN_TFS', 'COOLDOWN_LOCK`</t>
        </is>
      </c>
      <c r="E177" s="71" t="inlineStr">
        <is>
          <t>GLOBAL_CHECK, STOCKS_EXIT</t>
        </is>
      </c>
      <c r="F177" s="71" t="inlineStr">
        <is>
          <t>GLOBAL_CHECK, STOCKS_EXIT</t>
        </is>
      </c>
      <c r="G177" s="71" t="inlineStr">
        <is>
          <t>FG_FEAR_THRESHOLD</t>
        </is>
      </c>
      <c r="H177" s="71" t="inlineStr">
        <is>
          <t>GENERAL</t>
        </is>
      </c>
      <c r="I177" s="71" t="inlineStr">
        <is>
          <t>LIVE — wired</t>
        </is>
      </c>
      <c r="J177" s="72"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71" t="n">
        <v>43</v>
      </c>
      <c r="B178" s="71" t="inlineStr">
        <is>
          <t>FG_FEAR_THRESHOLD</t>
        </is>
      </c>
      <c r="C178" s="0" t="inlineStr">
        <is>
          <t>31.25</t>
        </is>
      </c>
      <c r="D178" s="71" t="inlineStr">
        <is>
          <t>Fear/Greed index fear threshold. | Live read: `'CIRCUIT_SHARPE_GATES_FILTER_TF', 'CIRCUIT_SHARPE_GATES_MIN_TFS', 'COOLDOWN_LOCK`</t>
        </is>
      </c>
      <c r="E178" s="71" t="inlineStr">
        <is>
          <t>GLOBAL_CHECK, STOCKS_EXIT</t>
        </is>
      </c>
      <c r="F178" s="71" t="inlineStr">
        <is>
          <t>GLOBAL_CHECK, STOCKS_EXIT</t>
        </is>
      </c>
      <c r="G178" s="71" t="inlineStr">
        <is>
          <t>FG_FEAR_THRESHOLD</t>
        </is>
      </c>
      <c r="H178" s="71" t="inlineStr">
        <is>
          <t>GENERAL</t>
        </is>
      </c>
      <c r="I178" s="71" t="inlineStr">
        <is>
          <t>LIVE — wired</t>
        </is>
      </c>
      <c r="J178" s="72"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71" t="n">
        <v>43</v>
      </c>
      <c r="B179" s="71" t="inlineStr">
        <is>
          <t>FG_FEAR_THRESHOLD</t>
        </is>
      </c>
      <c r="C179" s="0" t="inlineStr">
        <is>
          <t>18.75</t>
        </is>
      </c>
      <c r="D179" s="71" t="inlineStr">
        <is>
          <t>Fear/Greed index fear threshold. | Live read: `'CIRCUIT_SHARPE_GATES_FILTER_TF', 'CIRCUIT_SHARPE_GATES_MIN_TFS', 'COOLDOWN_LOCK`</t>
        </is>
      </c>
      <c r="E179" s="71" t="inlineStr">
        <is>
          <t>GLOBAL_CHECK, STOCKS_EXIT</t>
        </is>
      </c>
      <c r="F179" s="71" t="inlineStr">
        <is>
          <t>GLOBAL_CHECK, STOCKS_EXIT</t>
        </is>
      </c>
      <c r="G179" s="71" t="inlineStr">
        <is>
          <t>FG_FEAR_THRESHOLD</t>
        </is>
      </c>
      <c r="H179" s="71" t="inlineStr">
        <is>
          <t>GENERAL</t>
        </is>
      </c>
      <c r="I179" s="71" t="inlineStr">
        <is>
          <t>LIVE — wired</t>
        </is>
      </c>
      <c r="J179" s="72"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71" t="n">
        <v>43</v>
      </c>
      <c r="B180" s="71" t="inlineStr">
        <is>
          <t>FG_FEAR_THRESHOLD</t>
        </is>
      </c>
      <c r="C180" s="0" t="inlineStr">
        <is>
          <t>12.5</t>
        </is>
      </c>
      <c r="D180" s="71" t="inlineStr">
        <is>
          <t>Fear/Greed index fear threshold. | Live read: `'CIRCUIT_SHARPE_GATES_FILTER_TF', 'CIRCUIT_SHARPE_GATES_MIN_TFS', 'COOLDOWN_LOCK`</t>
        </is>
      </c>
      <c r="E180" s="71" t="inlineStr">
        <is>
          <t>GLOBAL_CHECK, STOCKS_EXIT</t>
        </is>
      </c>
      <c r="F180" s="71" t="inlineStr">
        <is>
          <t>GLOBAL_CHECK, STOCKS_EXIT</t>
        </is>
      </c>
      <c r="G180" s="71" t="inlineStr">
        <is>
          <t>FG_FEAR_THRESHOLD</t>
        </is>
      </c>
      <c r="H180" s="71" t="inlineStr">
        <is>
          <t>GENERAL</t>
        </is>
      </c>
      <c r="I180" s="71" t="inlineStr">
        <is>
          <t>LIVE — wired</t>
        </is>
      </c>
      <c r="J180" s="72"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79" t="n">
        <v>44</v>
      </c>
      <c r="B181" s="79" t="inlineStr">
        <is>
          <t>FG_GREED_THRESHOLD</t>
        </is>
      </c>
      <c r="C181" s="0" t="inlineStr">
        <is>
          <t>75</t>
        </is>
      </c>
      <c r="D181" s="71" t="inlineStr">
        <is>
          <t>Fear/Greed greed threshold. | Live read: `S_FILTER_TF', 'CIRCUIT_SHARPE_GATES_MIN_TFS', 'COOLDOWN_LOCKS_FILTER_TF', 'CRYPT`</t>
        </is>
      </c>
      <c r="E181" s="71" t="inlineStr">
        <is>
          <t>GLOBAL_CHECK, STOCKS_EXIT</t>
        </is>
      </c>
      <c r="F181" s="71" t="inlineStr">
        <is>
          <t>GLOBAL_CHECK, STOCKS_EXIT</t>
        </is>
      </c>
      <c r="G181" s="71" t="inlineStr">
        <is>
          <t>FG_GREED_THRESHOLD</t>
        </is>
      </c>
      <c r="H181" s="71" t="inlineStr">
        <is>
          <t>GENERAL</t>
        </is>
      </c>
      <c r="I181" s="71" t="inlineStr">
        <is>
          <t>LIVE — wired</t>
        </is>
      </c>
      <c r="J181" s="72"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71" t="n">
        <v>44</v>
      </c>
      <c r="B182" s="71" t="inlineStr">
        <is>
          <t>FG_GREED_THRESHOLD</t>
        </is>
      </c>
      <c r="C182" s="0" t="inlineStr">
        <is>
          <t>93.75</t>
        </is>
      </c>
      <c r="D182" s="71" t="inlineStr">
        <is>
          <t>Fear/Greed greed threshold. | Live read: `S_FILTER_TF', 'CIRCUIT_SHARPE_GATES_MIN_TFS', 'COOLDOWN_LOCKS_FILTER_TF', 'CRYPT`</t>
        </is>
      </c>
      <c r="E182" s="71" t="inlineStr">
        <is>
          <t>GLOBAL_CHECK, STOCKS_EXIT</t>
        </is>
      </c>
      <c r="F182" s="71" t="inlineStr">
        <is>
          <t>GLOBAL_CHECK, STOCKS_EXIT</t>
        </is>
      </c>
      <c r="G182" s="71" t="inlineStr">
        <is>
          <t>FG_GREED_THRESHOLD</t>
        </is>
      </c>
      <c r="H182" s="71" t="inlineStr">
        <is>
          <t>GENERAL</t>
        </is>
      </c>
      <c r="I182" s="71" t="inlineStr">
        <is>
          <t>LIVE — wired</t>
        </is>
      </c>
      <c r="J182" s="72"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71" t="n">
        <v>44</v>
      </c>
      <c r="B183" s="71" t="inlineStr">
        <is>
          <t>FG_GREED_THRESHOLD</t>
        </is>
      </c>
      <c r="C183" s="0" t="inlineStr">
        <is>
          <t>56.25</t>
        </is>
      </c>
      <c r="D183" s="71" t="inlineStr">
        <is>
          <t>Fear/Greed greed threshold. | Live read: `S_FILTER_TF', 'CIRCUIT_SHARPE_GATES_MIN_TFS', 'COOLDOWN_LOCKS_FILTER_TF', 'CRYPT`</t>
        </is>
      </c>
      <c r="E183" s="71" t="inlineStr">
        <is>
          <t>GLOBAL_CHECK, STOCKS_EXIT</t>
        </is>
      </c>
      <c r="F183" s="71" t="inlineStr">
        <is>
          <t>GLOBAL_CHECK, STOCKS_EXIT</t>
        </is>
      </c>
      <c r="G183" s="71" t="inlineStr">
        <is>
          <t>FG_GREED_THRESHOLD</t>
        </is>
      </c>
      <c r="H183" s="71" t="inlineStr">
        <is>
          <t>GENERAL</t>
        </is>
      </c>
      <c r="I183" s="71" t="inlineStr">
        <is>
          <t>LIVE — wired</t>
        </is>
      </c>
      <c r="J183" s="72"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71" t="n">
        <v>44</v>
      </c>
      <c r="B184" s="71" t="inlineStr">
        <is>
          <t>FG_GREED_THRESHOLD</t>
        </is>
      </c>
      <c r="C184" s="0" t="inlineStr">
        <is>
          <t>37.5</t>
        </is>
      </c>
      <c r="D184" s="71" t="inlineStr">
        <is>
          <t>Fear/Greed greed threshold. | Live read: `S_FILTER_TF', 'CIRCUIT_SHARPE_GATES_MIN_TFS', 'COOLDOWN_LOCKS_FILTER_TF', 'CRYPT`</t>
        </is>
      </c>
      <c r="E184" s="71" t="inlineStr">
        <is>
          <t>GLOBAL_CHECK, STOCKS_EXIT</t>
        </is>
      </c>
      <c r="F184" s="71" t="inlineStr">
        <is>
          <t>GLOBAL_CHECK, STOCKS_EXIT</t>
        </is>
      </c>
      <c r="G184" s="71" t="inlineStr">
        <is>
          <t>FG_GREED_THRESHOLD</t>
        </is>
      </c>
      <c r="H184" s="71" t="inlineStr">
        <is>
          <t>GENERAL</t>
        </is>
      </c>
      <c r="I184" s="71" t="inlineStr">
        <is>
          <t>LIVE — wired</t>
        </is>
      </c>
      <c r="J184" s="72"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80" t="n">
        <v>45</v>
      </c>
      <c r="B185" s="80" t="inlineStr">
        <is>
          <t>FH_MOMENTUM_FILTER_TF</t>
        </is>
      </c>
      <c r="C185" s="0" t="inlineStr">
        <is>
          <t>OFF</t>
        </is>
      </c>
      <c r="D185" s="73" t="inlineStr">
        <is>
          <t>FH momentum confirmation TF. | Live read: `_SHARPE_GATES_MIN_TFS', 'COOLDOWN_LOCKS_FILTER_TF', 'CRYPTO_SPIKE_FADE_THRESHOLD`</t>
        </is>
      </c>
      <c r="E185" s="73" t="inlineStr">
        <is>
          <t>GLOBAL_CHECK</t>
        </is>
      </c>
      <c r="F185" s="73" t="inlineStr">
        <is>
          <t>GLOBAL_CHECK</t>
        </is>
      </c>
      <c r="G185" s="73" t="inlineStr">
        <is>
          <t>FH_MOMENTUM</t>
        </is>
      </c>
      <c r="H185" s="73" t="inlineStr">
        <is>
          <t>SPECIFIC — only gated switches</t>
        </is>
      </c>
      <c r="I185" s="73" t="inlineStr">
        <is>
          <t>LIVE — wired</t>
        </is>
      </c>
      <c r="J185" s="6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3" t="n">
        <v>45</v>
      </c>
      <c r="B186" s="73" t="inlineStr">
        <is>
          <t>FH_MOMENTUM_FILTER_TF</t>
        </is>
      </c>
      <c r="C186" s="0" t="inlineStr">
        <is>
          <t>D</t>
        </is>
      </c>
      <c r="D186" s="73" t="inlineStr">
        <is>
          <t>FH momentum confirmation TF. | Live read: `_SHARPE_GATES_MIN_TFS', 'COOLDOWN_LOCKS_FILTER_TF', 'CRYPTO_SPIKE_FADE_THRESHOLD`</t>
        </is>
      </c>
      <c r="E186" s="73" t="inlineStr">
        <is>
          <t>GLOBAL_CHECK</t>
        </is>
      </c>
      <c r="F186" s="73" t="inlineStr">
        <is>
          <t>GLOBAL_CHECK</t>
        </is>
      </c>
      <c r="G186" s="73" t="inlineStr">
        <is>
          <t>FH_MOMENTUM</t>
        </is>
      </c>
      <c r="H186" s="73" t="inlineStr">
        <is>
          <t>SPECIFIC — only gated switches</t>
        </is>
      </c>
      <c r="I186" s="73" t="inlineStr">
        <is>
          <t>LIVE — wired</t>
        </is>
      </c>
      <c r="J186" s="6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3" t="n">
        <v>45</v>
      </c>
      <c r="B187" s="73" t="inlineStr">
        <is>
          <t>FH_MOMENTUM_FILTER_TF</t>
        </is>
      </c>
      <c r="C187" s="0" t="inlineStr">
        <is>
          <t>4h</t>
        </is>
      </c>
      <c r="D187" s="73" t="inlineStr">
        <is>
          <t>FH momentum confirmation TF. | Live read: `_SHARPE_GATES_MIN_TFS', 'COOLDOWN_LOCKS_FILTER_TF', 'CRYPTO_SPIKE_FADE_THRESHOLD`</t>
        </is>
      </c>
      <c r="E187" s="73" t="inlineStr">
        <is>
          <t>GLOBAL_CHECK</t>
        </is>
      </c>
      <c r="F187" s="73" t="inlineStr">
        <is>
          <t>GLOBAL_CHECK</t>
        </is>
      </c>
      <c r="G187" s="73" t="inlineStr">
        <is>
          <t>FH_MOMENTUM</t>
        </is>
      </c>
      <c r="H187" s="73" t="inlineStr">
        <is>
          <t>SPECIFIC — only gated switches</t>
        </is>
      </c>
      <c r="I187" s="73" t="inlineStr">
        <is>
          <t>LIVE — wired</t>
        </is>
      </c>
      <c r="J187" s="6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3" t="n">
        <v>45</v>
      </c>
      <c r="B188" s="73" t="inlineStr">
        <is>
          <t>FH_MOMENTUM_FILTER_TF</t>
        </is>
      </c>
      <c r="C188" s="0" t="inlineStr">
        <is>
          <t>1h</t>
        </is>
      </c>
      <c r="D188" s="73" t="inlineStr">
        <is>
          <t>FH momentum confirmation TF. | Live read: `_SHARPE_GATES_MIN_TFS', 'COOLDOWN_LOCKS_FILTER_TF', 'CRYPTO_SPIKE_FADE_THRESHOLD`</t>
        </is>
      </c>
      <c r="E188" s="73" t="inlineStr">
        <is>
          <t>GLOBAL_CHECK</t>
        </is>
      </c>
      <c r="F188" s="73" t="inlineStr">
        <is>
          <t>GLOBAL_CHECK</t>
        </is>
      </c>
      <c r="G188" s="73" t="inlineStr">
        <is>
          <t>FH_MOMENTUM</t>
        </is>
      </c>
      <c r="H188" s="73" t="inlineStr">
        <is>
          <t>SPECIFIC — only gated switches</t>
        </is>
      </c>
      <c r="I188" s="73" t="inlineStr">
        <is>
          <t>LIVE — wired</t>
        </is>
      </c>
      <c r="J188" s="6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3" t="n">
        <v>45</v>
      </c>
      <c r="B189" s="73" t="inlineStr">
        <is>
          <t>FH_MOMENTUM_FILTER_TF</t>
        </is>
      </c>
      <c r="C189" s="0" t="inlineStr">
        <is>
          <t>15m</t>
        </is>
      </c>
      <c r="D189" s="73" t="inlineStr">
        <is>
          <t>FH momentum confirmation TF. | Live read: `_SHARPE_GATES_MIN_TFS', 'COOLDOWN_LOCKS_FILTER_TF', 'CRYPTO_SPIKE_FADE_THRESHOLD`</t>
        </is>
      </c>
      <c r="E189" s="73" t="inlineStr">
        <is>
          <t>GLOBAL_CHECK</t>
        </is>
      </c>
      <c r="F189" s="73" t="inlineStr">
        <is>
          <t>GLOBAL_CHECK</t>
        </is>
      </c>
      <c r="G189" s="73" t="inlineStr">
        <is>
          <t>FH_MOMENTUM</t>
        </is>
      </c>
      <c r="H189" s="73" t="inlineStr">
        <is>
          <t>SPECIFIC — only gated switches</t>
        </is>
      </c>
      <c r="I189" s="73" t="inlineStr">
        <is>
          <t>LIVE — wired</t>
        </is>
      </c>
      <c r="J189" s="6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80" t="n">
        <v>46</v>
      </c>
      <c r="B190" s="80" t="inlineStr">
        <is>
          <t>FIRST_OPEN_THROTTLE_FILTER_TF</t>
        </is>
      </c>
      <c r="C190" s="0" t="inlineStr">
        <is>
          <t>OFF</t>
        </is>
      </c>
      <c r="D190" s="73" t="inlineStr">
        <is>
          <t>Throttles first open after cooldown on FILTER_TF. | Live read: `SHOLD', 'ENTRY_BB_SQUEEZE_LOOKBACK', 'ENTRY_BB_SQUEEZE_RATIO', 'ENTRY_BB_SQUEEZE`</t>
        </is>
      </c>
      <c r="E190" s="73" t="inlineStr">
        <is>
          <t>GLOBAL_CHECK</t>
        </is>
      </c>
      <c r="F190" s="73" t="inlineStr">
        <is>
          <t>GLOBAL_CHECK</t>
        </is>
      </c>
      <c r="G190" s="73" t="inlineStr">
        <is>
          <t>FIRST_OPEN_THROTTLE</t>
        </is>
      </c>
      <c r="H190" s="73" t="inlineStr">
        <is>
          <t>SPECIFIC — only gated switches</t>
        </is>
      </c>
      <c r="I190" s="73" t="inlineStr">
        <is>
          <t>LIVE — wired</t>
        </is>
      </c>
      <c r="J190" s="6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3" t="n">
        <v>46</v>
      </c>
      <c r="B191" s="73" t="inlineStr">
        <is>
          <t>FIRST_OPEN_THROTTLE_FILTER_TF</t>
        </is>
      </c>
      <c r="C191" s="0" t="inlineStr">
        <is>
          <t>D</t>
        </is>
      </c>
      <c r="D191" s="73" t="inlineStr">
        <is>
          <t>Throttles first open after cooldown on FILTER_TF. | Live read: `SHOLD', 'ENTRY_BB_SQUEEZE_LOOKBACK', 'ENTRY_BB_SQUEEZE_RATIO', 'ENTRY_BB_SQUEEZE`</t>
        </is>
      </c>
      <c r="E191" s="73" t="inlineStr">
        <is>
          <t>GLOBAL_CHECK</t>
        </is>
      </c>
      <c r="F191" s="73" t="inlineStr">
        <is>
          <t>GLOBAL_CHECK</t>
        </is>
      </c>
      <c r="G191" s="73" t="inlineStr">
        <is>
          <t>FIRST_OPEN_THROTTLE</t>
        </is>
      </c>
      <c r="H191" s="73" t="inlineStr">
        <is>
          <t>SPECIFIC — only gated switches</t>
        </is>
      </c>
      <c r="I191" s="73" t="inlineStr">
        <is>
          <t>LIVE — wired</t>
        </is>
      </c>
      <c r="J191" s="6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3" t="n">
        <v>46</v>
      </c>
      <c r="B192" s="73" t="inlineStr">
        <is>
          <t>FIRST_OPEN_THROTTLE_FILTER_TF</t>
        </is>
      </c>
      <c r="C192" s="0" t="inlineStr">
        <is>
          <t>4h</t>
        </is>
      </c>
      <c r="D192" s="73" t="inlineStr">
        <is>
          <t>Throttles first open after cooldown on FILTER_TF. | Live read: `SHOLD', 'ENTRY_BB_SQUEEZE_LOOKBACK', 'ENTRY_BB_SQUEEZE_RATIO', 'ENTRY_BB_SQUEEZE`</t>
        </is>
      </c>
      <c r="E192" s="73" t="inlineStr">
        <is>
          <t>GLOBAL_CHECK</t>
        </is>
      </c>
      <c r="F192" s="73" t="inlineStr">
        <is>
          <t>GLOBAL_CHECK</t>
        </is>
      </c>
      <c r="G192" s="73" t="inlineStr">
        <is>
          <t>FIRST_OPEN_THROTTLE</t>
        </is>
      </c>
      <c r="H192" s="73" t="inlineStr">
        <is>
          <t>SPECIFIC — only gated switches</t>
        </is>
      </c>
      <c r="I192" s="73" t="inlineStr">
        <is>
          <t>LIVE — wired</t>
        </is>
      </c>
      <c r="J192" s="6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3" t="n">
        <v>46</v>
      </c>
      <c r="B193" s="73" t="inlineStr">
        <is>
          <t>FIRST_OPEN_THROTTLE_FILTER_TF</t>
        </is>
      </c>
      <c r="C193" s="0" t="inlineStr">
        <is>
          <t>1h</t>
        </is>
      </c>
      <c r="D193" s="73" t="inlineStr">
        <is>
          <t>Throttles first open after cooldown on FILTER_TF. | Live read: `SHOLD', 'ENTRY_BB_SQUEEZE_LOOKBACK', 'ENTRY_BB_SQUEEZE_RATIO', 'ENTRY_BB_SQUEEZE`</t>
        </is>
      </c>
      <c r="E193" s="73" t="inlineStr">
        <is>
          <t>GLOBAL_CHECK</t>
        </is>
      </c>
      <c r="F193" s="73" t="inlineStr">
        <is>
          <t>GLOBAL_CHECK</t>
        </is>
      </c>
      <c r="G193" s="73" t="inlineStr">
        <is>
          <t>FIRST_OPEN_THROTTLE</t>
        </is>
      </c>
      <c r="H193" s="73" t="inlineStr">
        <is>
          <t>SPECIFIC — only gated switches</t>
        </is>
      </c>
      <c r="I193" s="73" t="inlineStr">
        <is>
          <t>LIVE — wired</t>
        </is>
      </c>
      <c r="J193" s="6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3" t="n">
        <v>46</v>
      </c>
      <c r="B194" s="73" t="inlineStr">
        <is>
          <t>FIRST_OPEN_THROTTLE_FILTER_TF</t>
        </is>
      </c>
      <c r="C194" s="0" t="inlineStr">
        <is>
          <t>15m</t>
        </is>
      </c>
      <c r="D194" s="73" t="inlineStr">
        <is>
          <t>Throttles first open after cooldown on FILTER_TF. | Live read: `SHOLD', 'ENTRY_BB_SQUEEZE_LOOKBACK', 'ENTRY_BB_SQUEEZE_RATIO', 'ENTRY_BB_SQUEEZE`</t>
        </is>
      </c>
      <c r="E194" s="73" t="inlineStr">
        <is>
          <t>GLOBAL_CHECK</t>
        </is>
      </c>
      <c r="F194" s="73" t="inlineStr">
        <is>
          <t>GLOBAL_CHECK</t>
        </is>
      </c>
      <c r="G194" s="73" t="inlineStr">
        <is>
          <t>FIRST_OPEN_THROTTLE</t>
        </is>
      </c>
      <c r="H194" s="73" t="inlineStr">
        <is>
          <t>SPECIFIC — only gated switches</t>
        </is>
      </c>
      <c r="I194" s="73" t="inlineStr">
        <is>
          <t>LIVE — wired</t>
        </is>
      </c>
      <c r="J194" s="6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80" t="n">
        <v>47</v>
      </c>
      <c r="B195" s="80" t="inlineStr">
        <is>
          <t>FROZEN_STOP_FILTER_TF</t>
        </is>
      </c>
      <c r="C195" s="0" t="inlineStr">
        <is>
          <t>OFF</t>
        </is>
      </c>
      <c r="D195" s="73" t="inlineStr">
        <is>
          <t>Frozen (stale) stop — avoids stop triggered on stale DC/BB. | Live read: `TIGHT_BREAKOUT_SCORER_FILTER_TF', 'EXIT_TIGHT_BREAKOUT_SCORER_MIN_TFS', 'EXIT_TO`</t>
        </is>
      </c>
      <c r="E195" s="73" t="inlineStr">
        <is>
          <t>GLOBAL_CHECK</t>
        </is>
      </c>
      <c r="F195" s="73" t="inlineStr">
        <is>
          <t>GLOBAL_CHECK</t>
        </is>
      </c>
      <c r="G195" s="73" t="inlineStr">
        <is>
          <t>FROZEN_STOP</t>
        </is>
      </c>
      <c r="H195" s="73" t="inlineStr">
        <is>
          <t>SPECIFIC — only gated switches</t>
        </is>
      </c>
      <c r="I195" s="73" t="inlineStr">
        <is>
          <t>LIVE — wired</t>
        </is>
      </c>
      <c r="J195" s="6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3" t="n">
        <v>47</v>
      </c>
      <c r="B196" s="73" t="inlineStr">
        <is>
          <t>FROZEN_STOP_FILTER_TF</t>
        </is>
      </c>
      <c r="C196" s="0" t="inlineStr">
        <is>
          <t>D</t>
        </is>
      </c>
      <c r="D196" s="73" t="inlineStr">
        <is>
          <t>Frozen (stale) stop — avoids stop triggered on stale DC/BB. | Live read: `TIGHT_BREAKOUT_SCORER_FILTER_TF', 'EXIT_TIGHT_BREAKOUT_SCORER_MIN_TFS', 'EXIT_TO`</t>
        </is>
      </c>
      <c r="E196" s="73" t="inlineStr">
        <is>
          <t>GLOBAL_CHECK</t>
        </is>
      </c>
      <c r="F196" s="73" t="inlineStr">
        <is>
          <t>GLOBAL_CHECK</t>
        </is>
      </c>
      <c r="G196" s="73" t="inlineStr">
        <is>
          <t>FROZEN_STOP</t>
        </is>
      </c>
      <c r="H196" s="73" t="inlineStr">
        <is>
          <t>SPECIFIC — only gated switches</t>
        </is>
      </c>
      <c r="I196" s="73" t="inlineStr">
        <is>
          <t>LIVE — wired</t>
        </is>
      </c>
      <c r="J196" s="6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3" t="n">
        <v>47</v>
      </c>
      <c r="B197" s="73" t="inlineStr">
        <is>
          <t>FROZEN_STOP_FILTER_TF</t>
        </is>
      </c>
      <c r="C197" s="0" t="inlineStr">
        <is>
          <t>4h</t>
        </is>
      </c>
      <c r="D197" s="73" t="inlineStr">
        <is>
          <t>Frozen (stale) stop — avoids stop triggered on stale DC/BB. | Live read: `TIGHT_BREAKOUT_SCORER_FILTER_TF', 'EXIT_TIGHT_BREAKOUT_SCORER_MIN_TFS', 'EXIT_TO`</t>
        </is>
      </c>
      <c r="E197" s="73" t="inlineStr">
        <is>
          <t>GLOBAL_CHECK</t>
        </is>
      </c>
      <c r="F197" s="73" t="inlineStr">
        <is>
          <t>GLOBAL_CHECK</t>
        </is>
      </c>
      <c r="G197" s="73" t="inlineStr">
        <is>
          <t>FROZEN_STOP</t>
        </is>
      </c>
      <c r="H197" s="73" t="inlineStr">
        <is>
          <t>SPECIFIC — only gated switches</t>
        </is>
      </c>
      <c r="I197" s="73" t="inlineStr">
        <is>
          <t>LIVE — wired</t>
        </is>
      </c>
      <c r="J197" s="6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3" t="n">
        <v>47</v>
      </c>
      <c r="B198" s="73" t="inlineStr">
        <is>
          <t>FROZEN_STOP_FILTER_TF</t>
        </is>
      </c>
      <c r="C198" s="0" t="inlineStr">
        <is>
          <t>1h</t>
        </is>
      </c>
      <c r="D198" s="73" t="inlineStr">
        <is>
          <t>Frozen (stale) stop — avoids stop triggered on stale DC/BB. | Live read: `TIGHT_BREAKOUT_SCORER_FILTER_TF', 'EXIT_TIGHT_BREAKOUT_SCORER_MIN_TFS', 'EXIT_TO`</t>
        </is>
      </c>
      <c r="E198" s="73" t="inlineStr">
        <is>
          <t>GLOBAL_CHECK</t>
        </is>
      </c>
      <c r="F198" s="73" t="inlineStr">
        <is>
          <t>GLOBAL_CHECK</t>
        </is>
      </c>
      <c r="G198" s="73" t="inlineStr">
        <is>
          <t>FROZEN_STOP</t>
        </is>
      </c>
      <c r="H198" s="73" t="inlineStr">
        <is>
          <t>SPECIFIC — only gated switches</t>
        </is>
      </c>
      <c r="I198" s="73" t="inlineStr">
        <is>
          <t>LIVE — wired</t>
        </is>
      </c>
      <c r="J198" s="6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3" t="n">
        <v>47</v>
      </c>
      <c r="B199" s="73" t="inlineStr">
        <is>
          <t>FROZEN_STOP_FILTER_TF</t>
        </is>
      </c>
      <c r="C199" s="0" t="inlineStr">
        <is>
          <t>15m</t>
        </is>
      </c>
      <c r="D199" s="73" t="inlineStr">
        <is>
          <t>Frozen (stale) stop — avoids stop triggered on stale DC/BB. | Live read: `TIGHT_BREAKOUT_SCORER_FILTER_TF', 'EXIT_TIGHT_BREAKOUT_SCORER_MIN_TFS', 'EXIT_TO`</t>
        </is>
      </c>
      <c r="E199" s="73" t="inlineStr">
        <is>
          <t>GLOBAL_CHECK</t>
        </is>
      </c>
      <c r="F199" s="73" t="inlineStr">
        <is>
          <t>GLOBAL_CHECK</t>
        </is>
      </c>
      <c r="G199" s="73" t="inlineStr">
        <is>
          <t>FROZEN_STOP</t>
        </is>
      </c>
      <c r="H199" s="73" t="inlineStr">
        <is>
          <t>SPECIFIC — only gated switches</t>
        </is>
      </c>
      <c r="I199" s="73" t="inlineStr">
        <is>
          <t>LIVE — wired</t>
        </is>
      </c>
      <c r="J199" s="6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79" t="n">
        <v>48</v>
      </c>
      <c r="B200" s="79" t="inlineStr">
        <is>
          <t>FUNDING_GATE_FILTER_TF</t>
        </is>
      </c>
      <c r="C200" s="0" t="inlineStr">
        <is>
          <t>OFF</t>
        </is>
      </c>
      <c r="D200" s="71" t="inlineStr">
        <is>
          <t>Funding rate gate on FILTER_TF (perp funding). | Live read: `COOLDOWN_LOCKS_FILTER_TF', 'CRYPTO_SPIKE_FADE_THRESHOLD_PCT', 'DC_BREAK_FILTER_T`</t>
        </is>
      </c>
      <c r="E200" s="71" t="inlineStr">
        <is>
          <t>GLOBAL_CHECK</t>
        </is>
      </c>
      <c r="F200" s="71" t="inlineStr">
        <is>
          <t>GLOBAL_CHECK</t>
        </is>
      </c>
      <c r="G200" s="71" t="inlineStr">
        <is>
          <t>Funding gate</t>
        </is>
      </c>
      <c r="H200" s="71" t="inlineStr">
        <is>
          <t>GENERAL — uniform</t>
        </is>
      </c>
      <c r="I200" s="71" t="inlineStr">
        <is>
          <t>LIVE — wired</t>
        </is>
      </c>
      <c r="J200" s="72"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71" t="n">
        <v>48</v>
      </c>
      <c r="B201" s="71" t="inlineStr">
        <is>
          <t>FUNDING_GATE_FILTER_TF</t>
        </is>
      </c>
      <c r="C201" s="0" t="inlineStr">
        <is>
          <t>D</t>
        </is>
      </c>
      <c r="D201" s="71" t="inlineStr">
        <is>
          <t>Funding rate gate on FILTER_TF (perp funding). | Live read: `COOLDOWN_LOCKS_FILTER_TF', 'CRYPTO_SPIKE_FADE_THRESHOLD_PCT', 'DC_BREAK_FILTER_T`</t>
        </is>
      </c>
      <c r="E201" s="71" t="inlineStr">
        <is>
          <t>GLOBAL_CHECK</t>
        </is>
      </c>
      <c r="F201" s="71" t="inlineStr">
        <is>
          <t>GLOBAL_CHECK</t>
        </is>
      </c>
      <c r="G201" s="71" t="inlineStr">
        <is>
          <t>Funding gate</t>
        </is>
      </c>
      <c r="H201" s="71" t="inlineStr">
        <is>
          <t>GENERAL — uniform</t>
        </is>
      </c>
      <c r="I201" s="71" t="inlineStr">
        <is>
          <t>LIVE — wired</t>
        </is>
      </c>
      <c r="J201" s="72"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71" t="n">
        <v>48</v>
      </c>
      <c r="B202" s="71" t="inlineStr">
        <is>
          <t>FUNDING_GATE_FILTER_TF</t>
        </is>
      </c>
      <c r="C202" s="0" t="inlineStr">
        <is>
          <t>4h</t>
        </is>
      </c>
      <c r="D202" s="71" t="inlineStr">
        <is>
          <t>Funding rate gate on FILTER_TF (perp funding). | Live read: `COOLDOWN_LOCKS_FILTER_TF', 'CRYPTO_SPIKE_FADE_THRESHOLD_PCT', 'DC_BREAK_FILTER_T`</t>
        </is>
      </c>
      <c r="E202" s="71" t="inlineStr">
        <is>
          <t>GLOBAL_CHECK</t>
        </is>
      </c>
      <c r="F202" s="71" t="inlineStr">
        <is>
          <t>GLOBAL_CHECK</t>
        </is>
      </c>
      <c r="G202" s="71" t="inlineStr">
        <is>
          <t>Funding gate</t>
        </is>
      </c>
      <c r="H202" s="71" t="inlineStr">
        <is>
          <t>GENERAL — uniform</t>
        </is>
      </c>
      <c r="I202" s="71" t="inlineStr">
        <is>
          <t>LIVE — wired</t>
        </is>
      </c>
      <c r="J202" s="72"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71" t="n">
        <v>48</v>
      </c>
      <c r="B203" s="71" t="inlineStr">
        <is>
          <t>FUNDING_GATE_FILTER_TF</t>
        </is>
      </c>
      <c r="C203" s="0" t="inlineStr">
        <is>
          <t>1h</t>
        </is>
      </c>
      <c r="D203" s="71" t="inlineStr">
        <is>
          <t>Funding rate gate on FILTER_TF (perp funding). | Live read: `COOLDOWN_LOCKS_FILTER_TF', 'CRYPTO_SPIKE_FADE_THRESHOLD_PCT', 'DC_BREAK_FILTER_T`</t>
        </is>
      </c>
      <c r="E203" s="71" t="inlineStr">
        <is>
          <t>GLOBAL_CHECK</t>
        </is>
      </c>
      <c r="F203" s="71" t="inlineStr">
        <is>
          <t>GLOBAL_CHECK</t>
        </is>
      </c>
      <c r="G203" s="71" t="inlineStr">
        <is>
          <t>Funding gate</t>
        </is>
      </c>
      <c r="H203" s="71" t="inlineStr">
        <is>
          <t>GENERAL — uniform</t>
        </is>
      </c>
      <c r="I203" s="71" t="inlineStr">
        <is>
          <t>LIVE — wired</t>
        </is>
      </c>
      <c r="J203" s="72"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71" t="n">
        <v>48</v>
      </c>
      <c r="B204" s="71" t="inlineStr">
        <is>
          <t>FUNDING_GATE_FILTER_TF</t>
        </is>
      </c>
      <c r="C204" s="0" t="inlineStr">
        <is>
          <t>15m</t>
        </is>
      </c>
      <c r="D204" s="71" t="inlineStr">
        <is>
          <t>Funding rate gate on FILTER_TF (perp funding). | Live read: `COOLDOWN_LOCKS_FILTER_TF', 'CRYPTO_SPIKE_FADE_THRESHOLD_PCT', 'DC_BREAK_FILTER_T`</t>
        </is>
      </c>
      <c r="E204" s="71" t="inlineStr">
        <is>
          <t>GLOBAL_CHECK</t>
        </is>
      </c>
      <c r="F204" s="71" t="inlineStr">
        <is>
          <t>GLOBAL_CHECK</t>
        </is>
      </c>
      <c r="G204" s="71" t="inlineStr">
        <is>
          <t>Funding gate</t>
        </is>
      </c>
      <c r="H204" s="71" t="inlineStr">
        <is>
          <t>GENERAL — uniform</t>
        </is>
      </c>
      <c r="I204" s="71" t="inlineStr">
        <is>
          <t>LIVE — wired</t>
        </is>
      </c>
      <c r="J204" s="72"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79" t="n">
        <v>49</v>
      </c>
      <c r="B205" s="79" t="inlineStr">
        <is>
          <t>FUNDING_GATE_LONG_MAX</t>
        </is>
      </c>
      <c r="C205" s="0" t="inlineStr">
        <is>
          <t>0.0</t>
        </is>
      </c>
      <c r="D205" s="71" t="inlineStr">
        <is>
          <t>Max funding to allow longs (above blocks longs). | Live read: `LED', 'ENTRY_VOL_SPIKE_LOOKBACK', 'ENTRY_VOL_SPIKE_RATIO', 'ENTRY_WILLR_ENABLED'`</t>
        </is>
      </c>
      <c r="E205" s="71" t="inlineStr">
        <is>
          <t>ENTRY, GLOBAL_CHECK, STOCKS_EXIT</t>
        </is>
      </c>
      <c r="F205" s="71" t="inlineStr">
        <is>
          <t>ENTRY, GLOBAL_CHECK, STOCKS_EXIT</t>
        </is>
      </c>
      <c r="G205" s="71" t="inlineStr">
        <is>
          <t>Funding gate</t>
        </is>
      </c>
      <c r="H205" s="71" t="inlineStr">
        <is>
          <t>GENERAL — uniform</t>
        </is>
      </c>
      <c r="I205" s="71" t="inlineStr">
        <is>
          <t>LIVE — wired</t>
        </is>
      </c>
      <c r="J205" s="72"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71" t="n">
        <v>49</v>
      </c>
      <c r="B206" s="71" t="inlineStr">
        <is>
          <t>FUNDING_GATE_LONG_MAX</t>
        </is>
      </c>
      <c r="C206" s="0" t="inlineStr">
        <is>
          <t>0.0_ALT</t>
        </is>
      </c>
      <c r="D206" s="71" t="inlineStr">
        <is>
          <t>Max funding to allow longs (above blocks longs). | Live read: `LED', 'ENTRY_VOL_SPIKE_LOOKBACK', 'ENTRY_VOL_SPIKE_RATIO', 'ENTRY_WILLR_ENABLED'`</t>
        </is>
      </c>
      <c r="E206" s="71" t="inlineStr">
        <is>
          <t>ENTRY, GLOBAL_CHECK, STOCKS_EXIT</t>
        </is>
      </c>
      <c r="F206" s="71" t="inlineStr">
        <is>
          <t>ENTRY, GLOBAL_CHECK, STOCKS_EXIT</t>
        </is>
      </c>
      <c r="G206" s="71" t="inlineStr">
        <is>
          <t>Funding gate</t>
        </is>
      </c>
      <c r="H206" s="71" t="inlineStr">
        <is>
          <t>GENERAL — uniform</t>
        </is>
      </c>
      <c r="I206" s="71" t="inlineStr">
        <is>
          <t>LIVE — wired</t>
        </is>
      </c>
      <c r="J206" s="72"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79" t="n">
        <v>50</v>
      </c>
      <c r="B207" s="79" t="inlineStr">
        <is>
          <t>FUNDING_GATE_MTF_REQUIRED</t>
        </is>
      </c>
      <c r="C207" s="0" t="inlineStr">
        <is>
          <t>0.0</t>
        </is>
      </c>
      <c r="D207" s="71" t="inlineStr">
        <is>
          <t>Requires funding gate on N TFs. | Live read: `RY_WILLR_ENABLED', 'ENTRY_WILLR_LOOKBACK', 'ENTRY_WILLR_OB_THRESHOLD', 'ENTRY_WI`</t>
        </is>
      </c>
      <c r="E207" s="71" t="inlineStr">
        <is>
          <t>ENTRY, GLOBAL_CHECK, STOCKS_EXIT</t>
        </is>
      </c>
      <c r="F207" s="71" t="inlineStr">
        <is>
          <t>ENTRY, GLOBAL_CHECK, STOCKS_EXIT</t>
        </is>
      </c>
      <c r="G207" s="71" t="inlineStr">
        <is>
          <t>Funding gate</t>
        </is>
      </c>
      <c r="H207" s="71" t="inlineStr">
        <is>
          <t>GENERAL — uniform</t>
        </is>
      </c>
      <c r="I207" s="71" t="inlineStr">
        <is>
          <t>LIVE — wired</t>
        </is>
      </c>
      <c r="J207" s="72"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71" t="n">
        <v>50</v>
      </c>
      <c r="B208" s="71" t="inlineStr">
        <is>
          <t>FUNDING_GATE_MTF_REQUIRED</t>
        </is>
      </c>
      <c r="C208" s="0" t="inlineStr">
        <is>
          <t>0.0_ALT</t>
        </is>
      </c>
      <c r="D208" s="71" t="inlineStr">
        <is>
          <t>Requires funding gate on N TFs. | Live read: `RY_WILLR_ENABLED', 'ENTRY_WILLR_LOOKBACK', 'ENTRY_WILLR_OB_THRESHOLD', 'ENTRY_WI`</t>
        </is>
      </c>
      <c r="E208" s="71" t="inlineStr">
        <is>
          <t>ENTRY, GLOBAL_CHECK, STOCKS_EXIT</t>
        </is>
      </c>
      <c r="F208" s="71" t="inlineStr">
        <is>
          <t>ENTRY, GLOBAL_CHECK, STOCKS_EXIT</t>
        </is>
      </c>
      <c r="G208" s="71" t="inlineStr">
        <is>
          <t>Funding gate</t>
        </is>
      </c>
      <c r="H208" s="71" t="inlineStr">
        <is>
          <t>GENERAL — uniform</t>
        </is>
      </c>
      <c r="I208" s="71" t="inlineStr">
        <is>
          <t>LIVE — wired</t>
        </is>
      </c>
      <c r="J208" s="72"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79" t="n">
        <v>51</v>
      </c>
      <c r="B209" s="79" t="inlineStr">
        <is>
          <t>FUNDING_GATE_SHORT_MIN</t>
        </is>
      </c>
      <c r="C209" s="0" t="inlineStr">
        <is>
          <t>0.0</t>
        </is>
      </c>
      <c r="D209" s="71" t="inlineStr">
        <is>
          <t>Min funding to allow shorts. | Live read: `', 'ENTRY_WILLR_OS_THRESHOLD', 'ENTRY_WILLR_THRESHOLD', 'ENTRY_WT_CROSS_EVENT_EN`</t>
        </is>
      </c>
      <c r="E209" s="71" t="inlineStr">
        <is>
          <t>ENTRY, GLOBAL_CHECK, STOCKS_EXIT</t>
        </is>
      </c>
      <c r="F209" s="71" t="inlineStr">
        <is>
          <t>ENTRY, GLOBAL_CHECK, STOCKS_EXIT</t>
        </is>
      </c>
      <c r="G209" s="71" t="inlineStr">
        <is>
          <t>Funding gate</t>
        </is>
      </c>
      <c r="H209" s="71" t="inlineStr">
        <is>
          <t>GENERAL — uniform</t>
        </is>
      </c>
      <c r="I209" s="71" t="inlineStr">
        <is>
          <t>LIVE — wired</t>
        </is>
      </c>
      <c r="J209" s="72"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71" t="n">
        <v>51</v>
      </c>
      <c r="B210" s="71" t="inlineStr">
        <is>
          <t>FUNDING_GATE_SHORT_MIN</t>
        </is>
      </c>
      <c r="C210" s="0" t="inlineStr">
        <is>
          <t>0.0_ALT</t>
        </is>
      </c>
      <c r="D210" s="71" t="inlineStr">
        <is>
          <t>Min funding to allow shorts. | Live read: `', 'ENTRY_WILLR_OS_THRESHOLD', 'ENTRY_WILLR_THRESHOLD', 'ENTRY_WT_CROSS_EVENT_EN`</t>
        </is>
      </c>
      <c r="E210" s="71" t="inlineStr">
        <is>
          <t>ENTRY, GLOBAL_CHECK, STOCKS_EXIT</t>
        </is>
      </c>
      <c r="F210" s="71" t="inlineStr">
        <is>
          <t>ENTRY, GLOBAL_CHECK, STOCKS_EXIT</t>
        </is>
      </c>
      <c r="G210" s="71" t="inlineStr">
        <is>
          <t>Funding gate</t>
        </is>
      </c>
      <c r="H210" s="71" t="inlineStr">
        <is>
          <t>GENERAL — uniform</t>
        </is>
      </c>
      <c r="I210" s="71" t="inlineStr">
        <is>
          <t>LIVE — wired</t>
        </is>
      </c>
      <c r="J210" s="72"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79" t="n">
        <v>52</v>
      </c>
      <c r="B211" s="79" t="inlineStr">
        <is>
          <t>GOLDEN_RULE_BASE_USD</t>
        </is>
      </c>
      <c r="C211" s="0" t="inlineStr">
        <is>
          <t>0.0</t>
        </is>
      </c>
      <c r="D211" s="71" t="inlineStr">
        <is>
          <t>Golden Rule base notional USD. | Live read: `RY_WT_CROSS_EVENT_ENABLED', 'ENTRY_WT_CROSS_LOOKBACK', 'FIRST_OPEN_THROTTLE_ENAB`</t>
        </is>
      </c>
      <c r="E211" s="71" t="inlineStr">
        <is>
          <t>GLOBAL_CHECK, STOCKS_EXIT</t>
        </is>
      </c>
      <c r="F211" s="71" t="inlineStr">
        <is>
          <t>GLOBAL_CHECK, STOCKS_EXIT</t>
        </is>
      </c>
      <c r="G211" s="71" t="inlineStr">
        <is>
          <t>GOLDEN_RULE_BASE_USD</t>
        </is>
      </c>
      <c r="H211" s="71" t="inlineStr">
        <is>
          <t>GENERAL</t>
        </is>
      </c>
      <c r="I211" s="71" t="inlineStr">
        <is>
          <t>LIVE — wired</t>
        </is>
      </c>
      <c r="J211" s="72"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71" t="n">
        <v>52</v>
      </c>
      <c r="B212" s="71" t="inlineStr">
        <is>
          <t>GOLDEN_RULE_BASE_USD</t>
        </is>
      </c>
      <c r="C212" s="0" t="inlineStr">
        <is>
          <t>0.0_ALT</t>
        </is>
      </c>
      <c r="D212" s="71" t="inlineStr">
        <is>
          <t>Golden Rule base notional USD. | Live read: `RY_WT_CROSS_EVENT_ENABLED', 'ENTRY_WT_CROSS_LOOKBACK', 'FIRST_OPEN_THROTTLE_ENAB`</t>
        </is>
      </c>
      <c r="E212" s="71" t="inlineStr">
        <is>
          <t>GLOBAL_CHECK, STOCKS_EXIT</t>
        </is>
      </c>
      <c r="F212" s="71" t="inlineStr">
        <is>
          <t>GLOBAL_CHECK, STOCKS_EXIT</t>
        </is>
      </c>
      <c r="G212" s="71" t="inlineStr">
        <is>
          <t>GOLDEN_RULE_BASE_USD</t>
        </is>
      </c>
      <c r="H212" s="71" t="inlineStr">
        <is>
          <t>GENERAL</t>
        </is>
      </c>
      <c r="I212" s="71" t="inlineStr">
        <is>
          <t>LIVE — wired</t>
        </is>
      </c>
      <c r="J212" s="72"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80" t="n">
        <v>53</v>
      </c>
      <c r="B213" s="80" t="inlineStr">
        <is>
          <t>GOLDEN_RULE_ENFORCE_FILTER_TF</t>
        </is>
      </c>
      <c r="C213" s="0" t="inlineStr">
        <is>
          <t>OFF</t>
        </is>
      </c>
      <c r="D213" s="73" t="inlineStr">
        <is>
          <t>Golden Rule enforcement TF. | Live read: `SHOLD_PCT', 'DC_BREAK_FILTER_TF', 'DC_LOW4_BYPASS_USE_STANDARD', 'DC_MOMENTUM_BO`</t>
        </is>
      </c>
      <c r="E213" s="73" t="inlineStr">
        <is>
          <t>GLOBAL_CHECK</t>
        </is>
      </c>
      <c r="F213" s="73" t="inlineStr">
        <is>
          <t>GLOBAL_CHECK</t>
        </is>
      </c>
      <c r="G213" s="73" t="inlineStr">
        <is>
          <t>GOLDEN_RULE_ENFORCE</t>
        </is>
      </c>
      <c r="H213" s="73" t="inlineStr">
        <is>
          <t>SPECIFIC — only gated switches</t>
        </is>
      </c>
      <c r="I213" s="73" t="inlineStr">
        <is>
          <t>LIVE — wired</t>
        </is>
      </c>
      <c r="J213" s="6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3" t="n">
        <v>53</v>
      </c>
      <c r="B214" s="73" t="inlineStr">
        <is>
          <t>GOLDEN_RULE_ENFORCE_FILTER_TF</t>
        </is>
      </c>
      <c r="C214" s="0" t="inlineStr">
        <is>
          <t>D</t>
        </is>
      </c>
      <c r="D214" s="73" t="inlineStr">
        <is>
          <t>Golden Rule enforcement TF. | Live read: `SHOLD_PCT', 'DC_BREAK_FILTER_TF', 'DC_LOW4_BYPASS_USE_STANDARD', 'DC_MOMENTUM_BO`</t>
        </is>
      </c>
      <c r="E214" s="73" t="inlineStr">
        <is>
          <t>GLOBAL_CHECK</t>
        </is>
      </c>
      <c r="F214" s="73" t="inlineStr">
        <is>
          <t>GLOBAL_CHECK</t>
        </is>
      </c>
      <c r="G214" s="73" t="inlineStr">
        <is>
          <t>GOLDEN_RULE_ENFORCE</t>
        </is>
      </c>
      <c r="H214" s="73" t="inlineStr">
        <is>
          <t>SPECIFIC — only gated switches</t>
        </is>
      </c>
      <c r="I214" s="73" t="inlineStr">
        <is>
          <t>LIVE — wired</t>
        </is>
      </c>
      <c r="J214" s="6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3" t="n">
        <v>53</v>
      </c>
      <c r="B215" s="73" t="inlineStr">
        <is>
          <t>GOLDEN_RULE_ENFORCE_FILTER_TF</t>
        </is>
      </c>
      <c r="C215" s="0" t="inlineStr">
        <is>
          <t>4h</t>
        </is>
      </c>
      <c r="D215" s="73" t="inlineStr">
        <is>
          <t>Golden Rule enforcement TF. | Live read: `SHOLD_PCT', 'DC_BREAK_FILTER_TF', 'DC_LOW4_BYPASS_USE_STANDARD', 'DC_MOMENTUM_BO`</t>
        </is>
      </c>
      <c r="E215" s="73" t="inlineStr">
        <is>
          <t>GLOBAL_CHECK</t>
        </is>
      </c>
      <c r="F215" s="73" t="inlineStr">
        <is>
          <t>GLOBAL_CHECK</t>
        </is>
      </c>
      <c r="G215" s="73" t="inlineStr">
        <is>
          <t>GOLDEN_RULE_ENFORCE</t>
        </is>
      </c>
      <c r="H215" s="73" t="inlineStr">
        <is>
          <t>SPECIFIC — only gated switches</t>
        </is>
      </c>
      <c r="I215" s="73" t="inlineStr">
        <is>
          <t>LIVE — wired</t>
        </is>
      </c>
      <c r="J215" s="6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3" t="n">
        <v>53</v>
      </c>
      <c r="B216" s="73" t="inlineStr">
        <is>
          <t>GOLDEN_RULE_ENFORCE_FILTER_TF</t>
        </is>
      </c>
      <c r="C216" s="0" t="inlineStr">
        <is>
          <t>1h</t>
        </is>
      </c>
      <c r="D216" s="73" t="inlineStr">
        <is>
          <t>Golden Rule enforcement TF. | Live read: `SHOLD_PCT', 'DC_BREAK_FILTER_TF', 'DC_LOW4_BYPASS_USE_STANDARD', 'DC_MOMENTUM_BO`</t>
        </is>
      </c>
      <c r="E216" s="73" t="inlineStr">
        <is>
          <t>GLOBAL_CHECK</t>
        </is>
      </c>
      <c r="F216" s="73" t="inlineStr">
        <is>
          <t>GLOBAL_CHECK</t>
        </is>
      </c>
      <c r="G216" s="73" t="inlineStr">
        <is>
          <t>GOLDEN_RULE_ENFORCE</t>
        </is>
      </c>
      <c r="H216" s="73" t="inlineStr">
        <is>
          <t>SPECIFIC — only gated switches</t>
        </is>
      </c>
      <c r="I216" s="73" t="inlineStr">
        <is>
          <t>LIVE — wired</t>
        </is>
      </c>
      <c r="J216" s="6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3" t="n">
        <v>53</v>
      </c>
      <c r="B217" s="73" t="inlineStr">
        <is>
          <t>GOLDEN_RULE_ENFORCE_FILTER_TF</t>
        </is>
      </c>
      <c r="C217" s="0" t="inlineStr">
        <is>
          <t>15m</t>
        </is>
      </c>
      <c r="D217" s="73" t="inlineStr">
        <is>
          <t>Golden Rule enforcement TF. | Live read: `SHOLD_PCT', 'DC_BREAK_FILTER_TF', 'DC_LOW4_BYPASS_USE_STANDARD', 'DC_MOMENTUM_BO`</t>
        </is>
      </c>
      <c r="E217" s="73" t="inlineStr">
        <is>
          <t>GLOBAL_CHECK</t>
        </is>
      </c>
      <c r="F217" s="73" t="inlineStr">
        <is>
          <t>GLOBAL_CHECK</t>
        </is>
      </c>
      <c r="G217" s="73" t="inlineStr">
        <is>
          <t>GOLDEN_RULE_ENFORCE</t>
        </is>
      </c>
      <c r="H217" s="73" t="inlineStr">
        <is>
          <t>SPECIFIC — only gated switches</t>
        </is>
      </c>
      <c r="I217" s="73" t="inlineStr">
        <is>
          <t>LIVE — wired</t>
        </is>
      </c>
      <c r="J217" s="6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80" t="n">
        <v>54</v>
      </c>
      <c r="B218" s="80" t="inlineStr">
        <is>
          <t>GOLDEN_RULE_HTF_VOTE_FILTER_TF</t>
        </is>
      </c>
      <c r="C218" s="0" t="inlineStr">
        <is>
          <t>OFF</t>
        </is>
      </c>
      <c r="D218" s="73" t="inlineStr">
        <is>
          <t>Golden Rule HTF vote TF. | Live read: `'DC_LOW4_BYPASS_USE_STANDARD', 'DC_MOMENTUM_BOTA_SCORER_FILTER_TF', 'DC_MOMENT_S`</t>
        </is>
      </c>
      <c r="E218" s="73" t="inlineStr">
        <is>
          <t>GLOBAL_CHECK</t>
        </is>
      </c>
      <c r="F218" s="73" t="inlineStr">
        <is>
          <t>GLOBAL_CHECK</t>
        </is>
      </c>
      <c r="G218" s="73" t="inlineStr">
        <is>
          <t>GOLDEN_RULE_HTF_VOTE</t>
        </is>
      </c>
      <c r="H218" s="73" t="inlineStr">
        <is>
          <t>SPECIFIC — only gated switches</t>
        </is>
      </c>
      <c r="I218" s="73" t="inlineStr">
        <is>
          <t>LIVE — wired</t>
        </is>
      </c>
      <c r="J218" s="6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3" t="n">
        <v>54</v>
      </c>
      <c r="B219" s="73" t="inlineStr">
        <is>
          <t>GOLDEN_RULE_HTF_VOTE_FILTER_TF</t>
        </is>
      </c>
      <c r="C219" s="0" t="inlineStr">
        <is>
          <t>D</t>
        </is>
      </c>
      <c r="D219" s="73" t="inlineStr">
        <is>
          <t>Golden Rule HTF vote TF. | Live read: `'DC_LOW4_BYPASS_USE_STANDARD', 'DC_MOMENTUM_BOTA_SCORER_FILTER_TF', 'DC_MOMENT_S`</t>
        </is>
      </c>
      <c r="E219" s="73" t="inlineStr">
        <is>
          <t>GLOBAL_CHECK</t>
        </is>
      </c>
      <c r="F219" s="73" t="inlineStr">
        <is>
          <t>GLOBAL_CHECK</t>
        </is>
      </c>
      <c r="G219" s="73" t="inlineStr">
        <is>
          <t>GOLDEN_RULE_HTF_VOTE</t>
        </is>
      </c>
      <c r="H219" s="73" t="inlineStr">
        <is>
          <t>SPECIFIC — only gated switches</t>
        </is>
      </c>
      <c r="I219" s="73" t="inlineStr">
        <is>
          <t>LIVE — wired</t>
        </is>
      </c>
      <c r="J219" s="6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3" t="n">
        <v>54</v>
      </c>
      <c r="B220" s="73" t="inlineStr">
        <is>
          <t>GOLDEN_RULE_HTF_VOTE_FILTER_TF</t>
        </is>
      </c>
      <c r="C220" s="0" t="inlineStr">
        <is>
          <t>4h</t>
        </is>
      </c>
      <c r="D220" s="73" t="inlineStr">
        <is>
          <t>Golden Rule HTF vote TF. | Live read: `'DC_LOW4_BYPASS_USE_STANDARD', 'DC_MOMENTUM_BOTA_SCORER_FILTER_TF', 'DC_MOMENT_S`</t>
        </is>
      </c>
      <c r="E220" s="73" t="inlineStr">
        <is>
          <t>GLOBAL_CHECK</t>
        </is>
      </c>
      <c r="F220" s="73" t="inlineStr">
        <is>
          <t>GLOBAL_CHECK</t>
        </is>
      </c>
      <c r="G220" s="73" t="inlineStr">
        <is>
          <t>GOLDEN_RULE_HTF_VOTE</t>
        </is>
      </c>
      <c r="H220" s="73" t="inlineStr">
        <is>
          <t>SPECIFIC — only gated switches</t>
        </is>
      </c>
      <c r="I220" s="73" t="inlineStr">
        <is>
          <t>LIVE — wired</t>
        </is>
      </c>
      <c r="J220" s="6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3" t="n">
        <v>54</v>
      </c>
      <c r="B221" s="73" t="inlineStr">
        <is>
          <t>GOLDEN_RULE_HTF_VOTE_FILTER_TF</t>
        </is>
      </c>
      <c r="C221" s="0" t="inlineStr">
        <is>
          <t>1h</t>
        </is>
      </c>
      <c r="D221" s="73" t="inlineStr">
        <is>
          <t>Golden Rule HTF vote TF. | Live read: `'DC_LOW4_BYPASS_USE_STANDARD', 'DC_MOMENTUM_BOTA_SCORER_FILTER_TF', 'DC_MOMENT_S`</t>
        </is>
      </c>
      <c r="E221" s="73" t="inlineStr">
        <is>
          <t>GLOBAL_CHECK</t>
        </is>
      </c>
      <c r="F221" s="73" t="inlineStr">
        <is>
          <t>GLOBAL_CHECK</t>
        </is>
      </c>
      <c r="G221" s="73" t="inlineStr">
        <is>
          <t>GOLDEN_RULE_HTF_VOTE</t>
        </is>
      </c>
      <c r="H221" s="73" t="inlineStr">
        <is>
          <t>SPECIFIC — only gated switches</t>
        </is>
      </c>
      <c r="I221" s="73" t="inlineStr">
        <is>
          <t>LIVE — wired</t>
        </is>
      </c>
      <c r="J221" s="6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3" t="n">
        <v>54</v>
      </c>
      <c r="B222" s="73" t="inlineStr">
        <is>
          <t>GOLDEN_RULE_HTF_VOTE_FILTER_TF</t>
        </is>
      </c>
      <c r="C222" s="0" t="inlineStr">
        <is>
          <t>15m</t>
        </is>
      </c>
      <c r="D222" s="73" t="inlineStr">
        <is>
          <t>Golden Rule HTF vote TF. | Live read: `'DC_LOW4_BYPASS_USE_STANDARD', 'DC_MOMENTUM_BOTA_SCORER_FILTER_TF', 'DC_MOMENT_S`</t>
        </is>
      </c>
      <c r="E222" s="73" t="inlineStr">
        <is>
          <t>GLOBAL_CHECK</t>
        </is>
      </c>
      <c r="F222" s="73" t="inlineStr">
        <is>
          <t>GLOBAL_CHECK</t>
        </is>
      </c>
      <c r="G222" s="73" t="inlineStr">
        <is>
          <t>GOLDEN_RULE_HTF_VOTE</t>
        </is>
      </c>
      <c r="H222" s="73" t="inlineStr">
        <is>
          <t>SPECIFIC — only gated switches</t>
        </is>
      </c>
      <c r="I222" s="73" t="inlineStr">
        <is>
          <t>LIVE — wired</t>
        </is>
      </c>
      <c r="J222" s="6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79" t="n">
        <v>55</v>
      </c>
      <c r="B223" s="79" t="inlineStr">
        <is>
          <t>GR_FILTER_ALL_ENTRIES</t>
        </is>
      </c>
      <c r="C223" s="0" t="inlineStr">
        <is>
          <t>0.0</t>
        </is>
      </c>
      <c r="D223" s="71" t="inlineStr">
        <is>
          <t>When True, Golden Rule filters ALL entries (otherwise only breakouts). | Live read: `G_GATE_MTF_REQUIRED', 'FUNDING_GATE_MTF_SHORT_MAX_BEAR_TFS', 'FUNDING_GATE_SHORT`</t>
        </is>
      </c>
      <c r="E223" s="71" t="inlineStr">
        <is>
          <t>GLOBAL_CHECK, STOCKS_EXIT</t>
        </is>
      </c>
      <c r="F223" s="71" t="inlineStr">
        <is>
          <t>GLOBAL_CHECK, STOCKS_EXIT</t>
        </is>
      </c>
      <c r="G223" s="71" t="inlineStr">
        <is>
          <t>GR_FILTER_ALL_ENTRIES</t>
        </is>
      </c>
      <c r="H223" s="71" t="inlineStr">
        <is>
          <t>GENERAL — uniform</t>
        </is>
      </c>
      <c r="I223" s="71" t="inlineStr">
        <is>
          <t>LIVE — wired</t>
        </is>
      </c>
      <c r="J223" s="72"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71" t="n">
        <v>55</v>
      </c>
      <c r="B224" s="71" t="inlineStr">
        <is>
          <t>GR_FILTER_ALL_ENTRIES</t>
        </is>
      </c>
      <c r="C224" s="0" t="inlineStr">
        <is>
          <t>0.0_ALT</t>
        </is>
      </c>
      <c r="D224" s="71" t="inlineStr">
        <is>
          <t>When True, Golden Rule filters ALL entries (otherwise only breakouts). | Live read: `G_GATE_MTF_REQUIRED', 'FUNDING_GATE_MTF_SHORT_MAX_BEAR_TFS', 'FUNDING_GATE_SHORT`</t>
        </is>
      </c>
      <c r="E224" s="71" t="inlineStr">
        <is>
          <t>GLOBAL_CHECK, STOCKS_EXIT</t>
        </is>
      </c>
      <c r="F224" s="71" t="inlineStr">
        <is>
          <t>GLOBAL_CHECK, STOCKS_EXIT</t>
        </is>
      </c>
      <c r="G224" s="71" t="inlineStr">
        <is>
          <t>GR_FILTER_ALL_ENTRIES</t>
        </is>
      </c>
      <c r="H224" s="71" t="inlineStr">
        <is>
          <t>GENERAL — uniform</t>
        </is>
      </c>
      <c r="I224" s="71" t="inlineStr">
        <is>
          <t>LIVE — wired</t>
        </is>
      </c>
      <c r="J224" s="72"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79" t="n">
        <v>56</v>
      </c>
      <c r="B225" s="79" t="inlineStr">
        <is>
          <t>GR_FILTER_VEC_ENABLED</t>
        </is>
      </c>
      <c r="C225" s="0" t="inlineStr">
        <is>
          <t>False</t>
        </is>
      </c>
      <c r="D225" s="71" t="inlineStr">
        <is>
          <t>Vector Golden Rule filter enabled. | Live read: `C_MOMENTUM_BOTA_SCORER_FILTER_TF', 'DC_MOMENT_STRONG_THRESHOLD', 'DELTA_ENGINE_F`</t>
        </is>
      </c>
      <c r="E225" s="71" t="inlineStr">
        <is>
          <t>GLOBAL_CHECK</t>
        </is>
      </c>
      <c r="F225" s="71" t="inlineStr">
        <is>
          <t>GLOBAL_CHECK</t>
        </is>
      </c>
      <c r="G225" s="71" t="inlineStr">
        <is>
          <t>GR_FILTER_VEC_ENABLED</t>
        </is>
      </c>
      <c r="H225" s="71" t="inlineStr">
        <is>
          <t>GENERAL</t>
        </is>
      </c>
      <c r="I225" s="71" t="inlineStr">
        <is>
          <t>LIVE — wired</t>
        </is>
      </c>
      <c r="J225" s="72"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71" t="n">
        <v>56</v>
      </c>
      <c r="B226" s="71" t="inlineStr">
        <is>
          <t>GR_FILTER_VEC_ENABLED</t>
        </is>
      </c>
      <c r="C226" s="0" t="inlineStr">
        <is>
          <t>True</t>
        </is>
      </c>
      <c r="D226" s="71" t="inlineStr">
        <is>
          <t>Vector Golden Rule filter enabled. | Live read: `C_MOMENTUM_BOTA_SCORER_FILTER_TF', 'DC_MOMENT_STRONG_THRESHOLD', 'DELTA_ENGINE_F`</t>
        </is>
      </c>
      <c r="E226" s="71" t="inlineStr">
        <is>
          <t>GLOBAL_CHECK</t>
        </is>
      </c>
      <c r="F226" s="71" t="inlineStr">
        <is>
          <t>GLOBAL_CHECK</t>
        </is>
      </c>
      <c r="G226" s="71" t="inlineStr">
        <is>
          <t>GR_FILTER_VEC_ENABLED</t>
        </is>
      </c>
      <c r="H226" s="71" t="inlineStr">
        <is>
          <t>GENERAL</t>
        </is>
      </c>
      <c r="I226" s="71" t="inlineStr">
        <is>
          <t>LIVE — wired</t>
        </is>
      </c>
      <c r="J226" s="72"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80" t="n">
        <v>57</v>
      </c>
      <c r="B227" s="80" t="inlineStr">
        <is>
          <t>GR_FILTER_VEC_FILTER_TF</t>
        </is>
      </c>
      <c r="C227" s="0" t="inlineStr">
        <is>
          <t>OFF</t>
        </is>
      </c>
      <c r="D227"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3" t="inlineStr">
        <is>
          <t>GLOBAL_CHECK</t>
        </is>
      </c>
      <c r="F227" s="73" t="inlineStr">
        <is>
          <t>GLOBAL_CHECK</t>
        </is>
      </c>
      <c r="G227" s="73" t="inlineStr">
        <is>
          <t>GR_FILTER_VEC</t>
        </is>
      </c>
      <c r="H227" s="73" t="inlineStr">
        <is>
          <t>SPECIFIC — only gated switches</t>
        </is>
      </c>
      <c r="I227" s="73" t="inlineStr">
        <is>
          <t>LIVE — wired</t>
        </is>
      </c>
      <c r="J227" s="6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3" t="n">
        <v>57</v>
      </c>
      <c r="B228" s="73" t="inlineStr">
        <is>
          <t>GR_FILTER_VEC_FILTER_TF</t>
        </is>
      </c>
      <c r="C228" s="0" t="inlineStr">
        <is>
          <t>D</t>
        </is>
      </c>
      <c r="D228"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3" t="inlineStr">
        <is>
          <t>GLOBAL_CHECK</t>
        </is>
      </c>
      <c r="F228" s="73" t="inlineStr">
        <is>
          <t>GLOBAL_CHECK</t>
        </is>
      </c>
      <c r="G228" s="73" t="inlineStr">
        <is>
          <t>GR_FILTER_VEC</t>
        </is>
      </c>
      <c r="H228" s="73" t="inlineStr">
        <is>
          <t>SPECIFIC — only gated switches</t>
        </is>
      </c>
      <c r="I228" s="73" t="inlineStr">
        <is>
          <t>LIVE — wired</t>
        </is>
      </c>
      <c r="J228" s="6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3" t="n">
        <v>57</v>
      </c>
      <c r="B229" s="73" t="inlineStr">
        <is>
          <t>GR_FILTER_VEC_FILTER_TF</t>
        </is>
      </c>
      <c r="C229" s="0" t="inlineStr">
        <is>
          <t>4h</t>
        </is>
      </c>
      <c r="D229"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3" t="inlineStr">
        <is>
          <t>GLOBAL_CHECK</t>
        </is>
      </c>
      <c r="F229" s="73" t="inlineStr">
        <is>
          <t>GLOBAL_CHECK</t>
        </is>
      </c>
      <c r="G229" s="73" t="inlineStr">
        <is>
          <t>GR_FILTER_VEC</t>
        </is>
      </c>
      <c r="H229" s="73" t="inlineStr">
        <is>
          <t>SPECIFIC — only gated switches</t>
        </is>
      </c>
      <c r="I229" s="73" t="inlineStr">
        <is>
          <t>LIVE — wired</t>
        </is>
      </c>
      <c r="J229" s="6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3" t="n">
        <v>57</v>
      </c>
      <c r="B230" s="73" t="inlineStr">
        <is>
          <t>GR_FILTER_VEC_FILTER_TF</t>
        </is>
      </c>
      <c r="C230" s="0" t="inlineStr">
        <is>
          <t>1h</t>
        </is>
      </c>
      <c r="D230"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3" t="inlineStr">
        <is>
          <t>GLOBAL_CHECK</t>
        </is>
      </c>
      <c r="F230" s="73" t="inlineStr">
        <is>
          <t>GLOBAL_CHECK</t>
        </is>
      </c>
      <c r="G230" s="73" t="inlineStr">
        <is>
          <t>GR_FILTER_VEC</t>
        </is>
      </c>
      <c r="H230" s="73" t="inlineStr">
        <is>
          <t>SPECIFIC — only gated switches</t>
        </is>
      </c>
      <c r="I230" s="73" t="inlineStr">
        <is>
          <t>LIVE — wired</t>
        </is>
      </c>
      <c r="J230" s="6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3" t="n">
        <v>57</v>
      </c>
      <c r="B231" s="73" t="inlineStr">
        <is>
          <t>GR_FILTER_VEC_FILTER_TF</t>
        </is>
      </c>
      <c r="C231" s="0" t="inlineStr">
        <is>
          <t>15m</t>
        </is>
      </c>
      <c r="D231"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3" t="inlineStr">
        <is>
          <t>GLOBAL_CHECK</t>
        </is>
      </c>
      <c r="F231" s="73" t="inlineStr">
        <is>
          <t>GLOBAL_CHECK</t>
        </is>
      </c>
      <c r="G231" s="73" t="inlineStr">
        <is>
          <t>GR_FILTER_VEC</t>
        </is>
      </c>
      <c r="H231" s="73" t="inlineStr">
        <is>
          <t>SPECIFIC — only gated switches</t>
        </is>
      </c>
      <c r="I231" s="73" t="inlineStr">
        <is>
          <t>LIVE — wired</t>
        </is>
      </c>
      <c r="J231" s="6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79" t="n">
        <v>58</v>
      </c>
      <c r="B232" s="79" t="inlineStr">
        <is>
          <t>GR_FILTER_VEC_MIN_TFS</t>
        </is>
      </c>
      <c r="C232" s="0" t="inlineStr">
        <is>
          <t>0</t>
        </is>
      </c>
      <c r="D232" s="71" t="inlineStr">
        <is>
          <t>Threshold/gate: GR_FILTER_VEC_MIN_TFS — _THRESHOLD', 'DELTA_ENGINE_FILTER_TF', 'DELTA_GATE_DIRECTION_FAVORABLE', 'DELTA_HTF_GATE', 'DELTA_LT_HTF_GATE', 'DELTA_O | ex: `_THRESHOLD', 'DELTA_ENGINE_FILTER_TF', 'DELTA_GATE_DIRECTION_FAVORABLE', 'DELTA_`</t>
        </is>
      </c>
      <c r="E232" s="71" t="inlineStr">
        <is>
          <t>GLOBAL_CHECK</t>
        </is>
      </c>
      <c r="F232" s="71" t="inlineStr">
        <is>
          <t>GLOBAL_CHECK</t>
        </is>
      </c>
      <c r="G232" s="71" t="inlineStr">
        <is>
          <t>GR_FILTER_VEC_MIN_TFS</t>
        </is>
      </c>
      <c r="H232" s="71" t="inlineStr">
        <is>
          <t>GENERAL</t>
        </is>
      </c>
      <c r="I232" s="71" t="inlineStr">
        <is>
          <t>LIVE — wired</t>
        </is>
      </c>
      <c r="J232" s="72"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71" t="n">
        <v>58</v>
      </c>
      <c r="B233" s="71" t="inlineStr">
        <is>
          <t>GR_FILTER_VEC_MIN_TFS</t>
        </is>
      </c>
      <c r="C233" s="0" t="inlineStr">
        <is>
          <t>2</t>
        </is>
      </c>
      <c r="D233" s="71" t="inlineStr">
        <is>
          <t>Threshold/gate: GR_FILTER_VEC_MIN_TFS — _THRESHOLD', 'DELTA_ENGINE_FILTER_TF', 'DELTA_GATE_DIRECTION_FAVORABLE', 'DELTA_HTF_GATE', 'DELTA_LT_HTF_GATE', 'DELTA_O | ex: `_THRESHOLD', 'DELTA_ENGINE_FILTER_TF', 'DELTA_GATE_DIRECTION_FAVORABLE', 'DELTA_`</t>
        </is>
      </c>
      <c r="E233" s="71" t="inlineStr">
        <is>
          <t>GLOBAL_CHECK</t>
        </is>
      </c>
      <c r="F233" s="71" t="inlineStr">
        <is>
          <t>GLOBAL_CHECK</t>
        </is>
      </c>
      <c r="G233" s="71" t="inlineStr">
        <is>
          <t>GR_FILTER_VEC_MIN_TFS</t>
        </is>
      </c>
      <c r="H233" s="71" t="inlineStr">
        <is>
          <t>GENERAL</t>
        </is>
      </c>
      <c r="I233" s="71" t="inlineStr">
        <is>
          <t>LIVE — wired</t>
        </is>
      </c>
      <c r="J233" s="72"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71" t="n">
        <v>58</v>
      </c>
      <c r="B234" s="71" t="inlineStr">
        <is>
          <t>GR_FILTER_VEC_MIN_TFS</t>
        </is>
      </c>
      <c r="C234" s="0" t="inlineStr">
        <is>
          <t>1</t>
        </is>
      </c>
      <c r="D234" s="71" t="inlineStr">
        <is>
          <t>Threshold/gate: GR_FILTER_VEC_MIN_TFS — _THRESHOLD', 'DELTA_ENGINE_FILTER_TF', 'DELTA_GATE_DIRECTION_FAVORABLE', 'DELTA_HTF_GATE', 'DELTA_LT_HTF_GATE', 'DELTA_O | ex: `_THRESHOLD', 'DELTA_ENGINE_FILTER_TF', 'DELTA_GATE_DIRECTION_FAVORABLE', 'DELTA_`</t>
        </is>
      </c>
      <c r="E234" s="71" t="inlineStr">
        <is>
          <t>GLOBAL_CHECK</t>
        </is>
      </c>
      <c r="F234" s="71" t="inlineStr">
        <is>
          <t>GLOBAL_CHECK</t>
        </is>
      </c>
      <c r="G234" s="71" t="inlineStr">
        <is>
          <t>GR_FILTER_VEC_MIN_TFS</t>
        </is>
      </c>
      <c r="H234" s="71" t="inlineStr">
        <is>
          <t>GENERAL</t>
        </is>
      </c>
      <c r="I234" s="71" t="inlineStr">
        <is>
          <t>LIVE — wired</t>
        </is>
      </c>
      <c r="J234" s="72"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80" t="n">
        <v>59</v>
      </c>
      <c r="B235" s="80" t="inlineStr">
        <is>
          <t>GR_V5_STATE_FILTER_TF</t>
        </is>
      </c>
      <c r="C235" s="0" t="inlineStr">
        <is>
          <t>OFF</t>
        </is>
      </c>
      <c r="D235" s="73" t="inlineStr">
        <is>
          <t>GR v5 state machine filter TF. | Live read: `, 'DELTA_HTF_GATE', 'DELTA_LT_HTF_GATE', 'DELTA_OPTIONS_HTF_GATE', 'DUP_GUARD_FI`</t>
        </is>
      </c>
      <c r="E235" s="73" t="inlineStr">
        <is>
          <t>GLOBAL_CHECK</t>
        </is>
      </c>
      <c r="F235" s="73" t="inlineStr">
        <is>
          <t>GLOBAL_CHECK</t>
        </is>
      </c>
      <c r="G235" s="73" t="inlineStr">
        <is>
          <t>GR_V5_STATE</t>
        </is>
      </c>
      <c r="H235" s="73" t="inlineStr">
        <is>
          <t>SPECIFIC — only gated switches</t>
        </is>
      </c>
      <c r="I235" s="73" t="inlineStr">
        <is>
          <t>LIVE — wired</t>
        </is>
      </c>
      <c r="J235" s="6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3" t="n">
        <v>59</v>
      </c>
      <c r="B236" s="73" t="inlineStr">
        <is>
          <t>GR_V5_STATE_FILTER_TF</t>
        </is>
      </c>
      <c r="C236" s="0" t="inlineStr">
        <is>
          <t>D</t>
        </is>
      </c>
      <c r="D236" s="73" t="inlineStr">
        <is>
          <t>GR v5 state machine filter TF. | Live read: `, 'DELTA_HTF_GATE', 'DELTA_LT_HTF_GATE', 'DELTA_OPTIONS_HTF_GATE', 'DUP_GUARD_FI`</t>
        </is>
      </c>
      <c r="E236" s="73" t="inlineStr">
        <is>
          <t>GLOBAL_CHECK</t>
        </is>
      </c>
      <c r="F236" s="73" t="inlineStr">
        <is>
          <t>GLOBAL_CHECK</t>
        </is>
      </c>
      <c r="G236" s="73" t="inlineStr">
        <is>
          <t>GR_V5_STATE</t>
        </is>
      </c>
      <c r="H236" s="73" t="inlineStr">
        <is>
          <t>SPECIFIC — only gated switches</t>
        </is>
      </c>
      <c r="I236" s="73" t="inlineStr">
        <is>
          <t>LIVE — wired</t>
        </is>
      </c>
      <c r="J236" s="6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3" t="n">
        <v>59</v>
      </c>
      <c r="B237" s="73" t="inlineStr">
        <is>
          <t>GR_V5_STATE_FILTER_TF</t>
        </is>
      </c>
      <c r="C237" s="0" t="inlineStr">
        <is>
          <t>4h</t>
        </is>
      </c>
      <c r="D237" s="73" t="inlineStr">
        <is>
          <t>GR v5 state machine filter TF. | Live read: `, 'DELTA_HTF_GATE', 'DELTA_LT_HTF_GATE', 'DELTA_OPTIONS_HTF_GATE', 'DUP_GUARD_FI`</t>
        </is>
      </c>
      <c r="E237" s="73" t="inlineStr">
        <is>
          <t>GLOBAL_CHECK</t>
        </is>
      </c>
      <c r="F237" s="73" t="inlineStr">
        <is>
          <t>GLOBAL_CHECK</t>
        </is>
      </c>
      <c r="G237" s="73" t="inlineStr">
        <is>
          <t>GR_V5_STATE</t>
        </is>
      </c>
      <c r="H237" s="73" t="inlineStr">
        <is>
          <t>SPECIFIC — only gated switches</t>
        </is>
      </c>
      <c r="I237" s="73" t="inlineStr">
        <is>
          <t>LIVE — wired</t>
        </is>
      </c>
      <c r="J237" s="6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3" t="n">
        <v>59</v>
      </c>
      <c r="B238" s="73" t="inlineStr">
        <is>
          <t>GR_V5_STATE_FILTER_TF</t>
        </is>
      </c>
      <c r="C238" s="0" t="inlineStr">
        <is>
          <t>1h</t>
        </is>
      </c>
      <c r="D238" s="73" t="inlineStr">
        <is>
          <t>GR v5 state machine filter TF. | Live read: `, 'DELTA_HTF_GATE', 'DELTA_LT_HTF_GATE', 'DELTA_OPTIONS_HTF_GATE', 'DUP_GUARD_FI`</t>
        </is>
      </c>
      <c r="E238" s="73" t="inlineStr">
        <is>
          <t>GLOBAL_CHECK</t>
        </is>
      </c>
      <c r="F238" s="73" t="inlineStr">
        <is>
          <t>GLOBAL_CHECK</t>
        </is>
      </c>
      <c r="G238" s="73" t="inlineStr">
        <is>
          <t>GR_V5_STATE</t>
        </is>
      </c>
      <c r="H238" s="73" t="inlineStr">
        <is>
          <t>SPECIFIC — only gated switches</t>
        </is>
      </c>
      <c r="I238" s="73" t="inlineStr">
        <is>
          <t>LIVE — wired</t>
        </is>
      </c>
      <c r="J238" s="6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3" t="n">
        <v>59</v>
      </c>
      <c r="B239" s="73" t="inlineStr">
        <is>
          <t>GR_V5_STATE_FILTER_TF</t>
        </is>
      </c>
      <c r="C239" s="0" t="inlineStr">
        <is>
          <t>15m</t>
        </is>
      </c>
      <c r="D239" s="73" t="inlineStr">
        <is>
          <t>GR v5 state machine filter TF. | Live read: `, 'DELTA_HTF_GATE', 'DELTA_LT_HTF_GATE', 'DELTA_OPTIONS_HTF_GATE', 'DUP_GUARD_FI`</t>
        </is>
      </c>
      <c r="E239" s="73" t="inlineStr">
        <is>
          <t>GLOBAL_CHECK</t>
        </is>
      </c>
      <c r="F239" s="73" t="inlineStr">
        <is>
          <t>GLOBAL_CHECK</t>
        </is>
      </c>
      <c r="G239" s="73" t="inlineStr">
        <is>
          <t>GR_V5_STATE</t>
        </is>
      </c>
      <c r="H239" s="73" t="inlineStr">
        <is>
          <t>SPECIFIC — only gated switches</t>
        </is>
      </c>
      <c r="I239" s="73" t="inlineStr">
        <is>
          <t>LIVE — wired</t>
        </is>
      </c>
      <c r="J239" s="6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80" t="n">
        <v>60</v>
      </c>
      <c r="B240" s="80" t="inlineStr">
        <is>
          <t>HAIKU_WINNER_FILTER_TF</t>
        </is>
      </c>
      <c r="C240" s="0" t="inlineStr">
        <is>
          <t>OFF</t>
        </is>
      </c>
      <c r="D240" s="73" t="inlineStr">
        <is>
          <t>Haiku winner (streak) filter TF. | Live read: `A_LT_HTF_GATE', 'DELTA_OPTIONS_HTF_GATE', 'DUP_GUARD_FILTER_TF', 'EMA_9_21_FILTE`</t>
        </is>
      </c>
      <c r="E240" s="73" t="inlineStr">
        <is>
          <t>GLOBAL_CHECK</t>
        </is>
      </c>
      <c r="F240" s="73" t="inlineStr">
        <is>
          <t>GLOBAL_CHECK</t>
        </is>
      </c>
      <c r="G240" s="73" t="inlineStr">
        <is>
          <t>HAIKU_WINNER</t>
        </is>
      </c>
      <c r="H240" s="73" t="inlineStr">
        <is>
          <t>SPECIFIC — only gated switches</t>
        </is>
      </c>
      <c r="I240" s="73" t="inlineStr">
        <is>
          <t>LIVE — wired</t>
        </is>
      </c>
      <c r="J240" s="6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3" t="n">
        <v>60</v>
      </c>
      <c r="B241" s="73" t="inlineStr">
        <is>
          <t>HAIKU_WINNER_FILTER_TF</t>
        </is>
      </c>
      <c r="C241" s="0" t="inlineStr">
        <is>
          <t>D</t>
        </is>
      </c>
      <c r="D241" s="73" t="inlineStr">
        <is>
          <t>Haiku winner (streak) filter TF. | Live read: `A_LT_HTF_GATE', 'DELTA_OPTIONS_HTF_GATE', 'DUP_GUARD_FILTER_TF', 'EMA_9_21_FILTE`</t>
        </is>
      </c>
      <c r="E241" s="73" t="inlineStr">
        <is>
          <t>GLOBAL_CHECK</t>
        </is>
      </c>
      <c r="F241" s="73" t="inlineStr">
        <is>
          <t>GLOBAL_CHECK</t>
        </is>
      </c>
      <c r="G241" s="73" t="inlineStr">
        <is>
          <t>HAIKU_WINNER</t>
        </is>
      </c>
      <c r="H241" s="73" t="inlineStr">
        <is>
          <t>SPECIFIC — only gated switches</t>
        </is>
      </c>
      <c r="I241" s="73" t="inlineStr">
        <is>
          <t>LIVE — wired</t>
        </is>
      </c>
      <c r="J241" s="6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3" t="n">
        <v>60</v>
      </c>
      <c r="B242" s="73" t="inlineStr">
        <is>
          <t>HAIKU_WINNER_FILTER_TF</t>
        </is>
      </c>
      <c r="C242" s="0" t="inlineStr">
        <is>
          <t>4h</t>
        </is>
      </c>
      <c r="D242" s="73" t="inlineStr">
        <is>
          <t>Haiku winner (streak) filter TF. | Live read: `A_LT_HTF_GATE', 'DELTA_OPTIONS_HTF_GATE', 'DUP_GUARD_FILTER_TF', 'EMA_9_21_FILTE`</t>
        </is>
      </c>
      <c r="E242" s="73" t="inlineStr">
        <is>
          <t>GLOBAL_CHECK</t>
        </is>
      </c>
      <c r="F242" s="73" t="inlineStr">
        <is>
          <t>GLOBAL_CHECK</t>
        </is>
      </c>
      <c r="G242" s="73" t="inlineStr">
        <is>
          <t>HAIKU_WINNER</t>
        </is>
      </c>
      <c r="H242" s="73" t="inlineStr">
        <is>
          <t>SPECIFIC — only gated switches</t>
        </is>
      </c>
      <c r="I242" s="73" t="inlineStr">
        <is>
          <t>LIVE — wired</t>
        </is>
      </c>
      <c r="J242" s="6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3" t="n">
        <v>60</v>
      </c>
      <c r="B243" s="73" t="inlineStr">
        <is>
          <t>HAIKU_WINNER_FILTER_TF</t>
        </is>
      </c>
      <c r="C243" s="0" t="inlineStr">
        <is>
          <t>1h</t>
        </is>
      </c>
      <c r="D243" s="73" t="inlineStr">
        <is>
          <t>Haiku winner (streak) filter TF. | Live read: `A_LT_HTF_GATE', 'DELTA_OPTIONS_HTF_GATE', 'DUP_GUARD_FILTER_TF', 'EMA_9_21_FILTE`</t>
        </is>
      </c>
      <c r="E243" s="73" t="inlineStr">
        <is>
          <t>GLOBAL_CHECK</t>
        </is>
      </c>
      <c r="F243" s="73" t="inlineStr">
        <is>
          <t>GLOBAL_CHECK</t>
        </is>
      </c>
      <c r="G243" s="73" t="inlineStr">
        <is>
          <t>HAIKU_WINNER</t>
        </is>
      </c>
      <c r="H243" s="73" t="inlineStr">
        <is>
          <t>SPECIFIC — only gated switches</t>
        </is>
      </c>
      <c r="I243" s="73" t="inlineStr">
        <is>
          <t>LIVE — wired</t>
        </is>
      </c>
      <c r="J243" s="6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3" t="n">
        <v>60</v>
      </c>
      <c r="B244" s="73" t="inlineStr">
        <is>
          <t>HAIKU_WINNER_FILTER_TF</t>
        </is>
      </c>
      <c r="C244" s="0" t="inlineStr">
        <is>
          <t>15m</t>
        </is>
      </c>
      <c r="D244" s="73" t="inlineStr">
        <is>
          <t>Haiku winner (streak) filter TF. | Live read: `A_LT_HTF_GATE', 'DELTA_OPTIONS_HTF_GATE', 'DUP_GUARD_FILTER_TF', 'EMA_9_21_FILTE`</t>
        </is>
      </c>
      <c r="E244" s="73" t="inlineStr">
        <is>
          <t>GLOBAL_CHECK</t>
        </is>
      </c>
      <c r="F244" s="73" t="inlineStr">
        <is>
          <t>GLOBAL_CHECK</t>
        </is>
      </c>
      <c r="G244" s="73" t="inlineStr">
        <is>
          <t>HAIKU_WINNER</t>
        </is>
      </c>
      <c r="H244" s="73" t="inlineStr">
        <is>
          <t>SPECIFIC — only gated switches</t>
        </is>
      </c>
      <c r="I244" s="73" t="inlineStr">
        <is>
          <t>LIVE — wired</t>
        </is>
      </c>
      <c r="J244" s="6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79" t="n">
        <v>61</v>
      </c>
      <c r="B245" s="79" t="inlineStr">
        <is>
          <t>HA_WICK_QUALITY_ENABLED</t>
        </is>
      </c>
      <c r="C245" s="0" t="inlineStr">
        <is>
          <t>False</t>
        </is>
      </c>
      <c r="D245" s="71" t="inlineStr">
        <is>
          <t>HA wick quality gate enabled (Heikin-Ashi). | Live read: `BLED', 'DC_BREAKOUT_TF', 'DELTA_ENTRY_MIN_TF', 'DELTA_EXIT_MANDATORY_REENTRY_ENA`</t>
        </is>
      </c>
      <c r="E245" s="71" t="inlineStr">
        <is>
          <t>ENTRY, GLOBAL_CHECK, STOCKS_EXIT</t>
        </is>
      </c>
      <c r="F245" s="71" t="inlineStr">
        <is>
          <t>ENTRY, GLOBAL_CHECK, STOCKS_EXIT</t>
        </is>
      </c>
      <c r="G245" s="71" t="inlineStr">
        <is>
          <t>HA_WICK_QUALITY_ENABLED</t>
        </is>
      </c>
      <c r="H245" s="71" t="inlineStr">
        <is>
          <t>GENERAL</t>
        </is>
      </c>
      <c r="I245" s="71" t="inlineStr">
        <is>
          <t>LIVE — wired</t>
        </is>
      </c>
      <c r="J245" s="72"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71" t="n">
        <v>61</v>
      </c>
      <c r="B246" s="71" t="inlineStr">
        <is>
          <t>HA_WICK_QUALITY_ENABLED</t>
        </is>
      </c>
      <c r="C246" s="0" t="inlineStr">
        <is>
          <t>True</t>
        </is>
      </c>
      <c r="D246" s="71" t="inlineStr">
        <is>
          <t>HA wick quality gate enabled (Heikin-Ashi). | Live read: `BLED', 'DC_BREAKOUT_TF', 'DELTA_ENTRY_MIN_TF', 'DELTA_EXIT_MANDATORY_REENTRY_ENA`</t>
        </is>
      </c>
      <c r="E246" s="71" t="inlineStr">
        <is>
          <t>ENTRY, GLOBAL_CHECK, STOCKS_EXIT</t>
        </is>
      </c>
      <c r="F246" s="71" t="inlineStr">
        <is>
          <t>ENTRY, GLOBAL_CHECK, STOCKS_EXIT</t>
        </is>
      </c>
      <c r="G246" s="71" t="inlineStr">
        <is>
          <t>HA_WICK_QUALITY_ENABLED</t>
        </is>
      </c>
      <c r="H246" s="71" t="inlineStr">
        <is>
          <t>GENERAL</t>
        </is>
      </c>
      <c r="I246" s="71" t="inlineStr">
        <is>
          <t>LIVE — wired</t>
        </is>
      </c>
      <c r="J246" s="72"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79" t="n">
        <v>62</v>
      </c>
      <c r="B247" s="79" t="inlineStr">
        <is>
          <t>HA_WICK_QUALITY_SCORE</t>
        </is>
      </c>
      <c r="C247" s="0" t="inlineStr">
        <is>
          <t>15</t>
        </is>
      </c>
      <c r="D247" s="71" t="inlineStr">
        <is>
          <t>Threshold/gate: HA_WICK_QUALITY_SCORE — RULE_BASE_USD', 'GOLDEN_RULE_BB_15M_ENABLED', 'GOLDEN_RULE_BB_1H_ENABLED', 'GOLDEN_RULE_BB_4H_ENABLED', 'GOLDEN_RULE_BB_ | ex: `RULE_BASE_USD', 'GOLDEN_RULE_BB_15M_ENABLED', 'GOLDEN_RULE_BB_1H_ENABLED', 'GOLD`</t>
        </is>
      </c>
      <c r="E247" s="71" t="inlineStr">
        <is>
          <t>ENTRY, GLOBAL_CHECK, STOCKS_EXIT</t>
        </is>
      </c>
      <c r="F247" s="71" t="inlineStr">
        <is>
          <t>ENTRY, GLOBAL_CHECK, STOCKS_EXIT</t>
        </is>
      </c>
      <c r="G247" s="71" t="inlineStr">
        <is>
          <t>HA_WICK_QUALITY_SCORE</t>
        </is>
      </c>
      <c r="H247" s="71" t="inlineStr">
        <is>
          <t>GENERAL</t>
        </is>
      </c>
      <c r="I247" s="71" t="inlineStr">
        <is>
          <t>LIVE — wired</t>
        </is>
      </c>
      <c r="J247" s="72"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71" t="n">
        <v>62</v>
      </c>
      <c r="B248" s="71" t="inlineStr">
        <is>
          <t>HA_WICK_QUALITY_SCORE</t>
        </is>
      </c>
      <c r="C248" s="0" t="inlineStr">
        <is>
          <t>15_ALT</t>
        </is>
      </c>
      <c r="D248" s="71" t="inlineStr">
        <is>
          <t>Threshold/gate: HA_WICK_QUALITY_SCORE — RULE_BASE_USD', 'GOLDEN_RULE_BB_15M_ENABLED', 'GOLDEN_RULE_BB_1H_ENABLED', 'GOLDEN_RULE_BB_4H_ENABLED', 'GOLDEN_RULE_BB_ | ex: `RULE_BASE_USD', 'GOLDEN_RULE_BB_15M_ENABLED', 'GOLDEN_RULE_BB_1H_ENABLED', 'GOLD`</t>
        </is>
      </c>
      <c r="E248" s="71" t="inlineStr">
        <is>
          <t>ENTRY, GLOBAL_CHECK, STOCKS_EXIT</t>
        </is>
      </c>
      <c r="F248" s="71" t="inlineStr">
        <is>
          <t>ENTRY, GLOBAL_CHECK, STOCKS_EXIT</t>
        </is>
      </c>
      <c r="G248" s="71" t="inlineStr">
        <is>
          <t>HA_WICK_QUALITY_SCORE</t>
        </is>
      </c>
      <c r="H248" s="71" t="inlineStr">
        <is>
          <t>GENERAL</t>
        </is>
      </c>
      <c r="I248" s="71" t="inlineStr">
        <is>
          <t>LIVE — wired</t>
        </is>
      </c>
      <c r="J248" s="72"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79" t="n">
        <v>63</v>
      </c>
      <c r="B249" s="79" t="inlineStr">
        <is>
          <t>HA_WICK_QUALITY_TF</t>
        </is>
      </c>
      <c r="C249" s="0" t="inlineStr">
        <is>
          <t>OFF</t>
        </is>
      </c>
      <c r="D249" s="71" t="inlineStr">
        <is>
          <t>Threshold/gate: HA_WICK_QUALITY_TF — ELTA_ENTRY_MIN_TF', 'DELTA_EXIT_MANDATORY_REENTRY_ENABLED', 'DELTA_REENTRY_FILTER_ENABLED', 'DIRECTION_FAVORABLE_REENTRY | ex: `ELTA_ENTRY_MIN_TF', 'DELTA_EXIT_MANDATORY_REENTRY_ENABLED', 'DELTA_REENTRY_FILTE`</t>
        </is>
      </c>
      <c r="E249" s="71" t="inlineStr">
        <is>
          <t>ENTRY, GLOBAL_CHECK, STOCKS_EXIT</t>
        </is>
      </c>
      <c r="F249" s="71" t="inlineStr">
        <is>
          <t>ENTRY, GLOBAL_CHECK, STOCKS_EXIT</t>
        </is>
      </c>
      <c r="G249" s="71" t="inlineStr">
        <is>
          <t>HA_WICK_QUALITY_TF</t>
        </is>
      </c>
      <c r="H249" s="71" t="inlineStr">
        <is>
          <t>GENERAL</t>
        </is>
      </c>
      <c r="I249" s="71" t="inlineStr">
        <is>
          <t>LIVE — wired</t>
        </is>
      </c>
      <c r="J249" s="72"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71" t="n">
        <v>63</v>
      </c>
      <c r="B250" s="71" t="inlineStr">
        <is>
          <t>HA_WICK_QUALITY_TF</t>
        </is>
      </c>
      <c r="C250" s="0" t="inlineStr">
        <is>
          <t>D</t>
        </is>
      </c>
      <c r="D250" s="71" t="inlineStr">
        <is>
          <t>Threshold/gate: HA_WICK_QUALITY_TF — ELTA_ENTRY_MIN_TF', 'DELTA_EXIT_MANDATORY_REENTRY_ENABLED', 'DELTA_REENTRY_FILTER_ENABLED', 'DIRECTION_FAVORABLE_REENTRY | ex: `ELTA_ENTRY_MIN_TF', 'DELTA_EXIT_MANDATORY_REENTRY_ENABLED', 'DELTA_REENTRY_FILTE`</t>
        </is>
      </c>
      <c r="E250" s="71" t="inlineStr">
        <is>
          <t>ENTRY, GLOBAL_CHECK, STOCKS_EXIT</t>
        </is>
      </c>
      <c r="F250" s="71" t="inlineStr">
        <is>
          <t>ENTRY, GLOBAL_CHECK, STOCKS_EXIT</t>
        </is>
      </c>
      <c r="G250" s="71" t="inlineStr">
        <is>
          <t>HA_WICK_QUALITY_TF</t>
        </is>
      </c>
      <c r="H250" s="71" t="inlineStr">
        <is>
          <t>GENERAL</t>
        </is>
      </c>
      <c r="I250" s="71" t="inlineStr">
        <is>
          <t>LIVE — wired</t>
        </is>
      </c>
      <c r="J250" s="72"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71" t="n">
        <v>63</v>
      </c>
      <c r="B251" s="71" t="inlineStr">
        <is>
          <t>HA_WICK_QUALITY_TF</t>
        </is>
      </c>
      <c r="C251" s="0" t="inlineStr">
        <is>
          <t>4h</t>
        </is>
      </c>
      <c r="D251" s="71" t="inlineStr">
        <is>
          <t>Threshold/gate: HA_WICK_QUALITY_TF — ELTA_ENTRY_MIN_TF', 'DELTA_EXIT_MANDATORY_REENTRY_ENABLED', 'DELTA_REENTRY_FILTER_ENABLED', 'DIRECTION_FAVORABLE_REENTRY | ex: `ELTA_ENTRY_MIN_TF', 'DELTA_EXIT_MANDATORY_REENTRY_ENABLED', 'DELTA_REENTRY_FILTE`</t>
        </is>
      </c>
      <c r="E251" s="71" t="inlineStr">
        <is>
          <t>ENTRY, GLOBAL_CHECK, STOCKS_EXIT</t>
        </is>
      </c>
      <c r="F251" s="71" t="inlineStr">
        <is>
          <t>ENTRY, GLOBAL_CHECK, STOCKS_EXIT</t>
        </is>
      </c>
      <c r="G251" s="71" t="inlineStr">
        <is>
          <t>HA_WICK_QUALITY_TF</t>
        </is>
      </c>
      <c r="H251" s="71" t="inlineStr">
        <is>
          <t>GENERAL</t>
        </is>
      </c>
      <c r="I251" s="71" t="inlineStr">
        <is>
          <t>LIVE — wired</t>
        </is>
      </c>
      <c r="J251" s="72"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71" t="n">
        <v>63</v>
      </c>
      <c r="B252" s="71" t="inlineStr">
        <is>
          <t>HA_WICK_QUALITY_TF</t>
        </is>
      </c>
      <c r="C252" s="0" t="inlineStr">
        <is>
          <t>1h</t>
        </is>
      </c>
      <c r="D252" s="71" t="inlineStr">
        <is>
          <t>Threshold/gate: HA_WICK_QUALITY_TF — ELTA_ENTRY_MIN_TF', 'DELTA_EXIT_MANDATORY_REENTRY_ENABLED', 'DELTA_REENTRY_FILTER_ENABLED', 'DIRECTION_FAVORABLE_REENTRY | ex: `ELTA_ENTRY_MIN_TF', 'DELTA_EXIT_MANDATORY_REENTRY_ENABLED', 'DELTA_REENTRY_FILTE`</t>
        </is>
      </c>
      <c r="E252" s="71" t="inlineStr">
        <is>
          <t>ENTRY, GLOBAL_CHECK, STOCKS_EXIT</t>
        </is>
      </c>
      <c r="F252" s="71" t="inlineStr">
        <is>
          <t>ENTRY, GLOBAL_CHECK, STOCKS_EXIT</t>
        </is>
      </c>
      <c r="G252" s="71" t="inlineStr">
        <is>
          <t>HA_WICK_QUALITY_TF</t>
        </is>
      </c>
      <c r="H252" s="71" t="inlineStr">
        <is>
          <t>GENERAL</t>
        </is>
      </c>
      <c r="I252" s="71" t="inlineStr">
        <is>
          <t>LIVE — wired</t>
        </is>
      </c>
      <c r="J252" s="72"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71" t="n">
        <v>63</v>
      </c>
      <c r="B253" s="71" t="inlineStr">
        <is>
          <t>HA_WICK_QUALITY_TF</t>
        </is>
      </c>
      <c r="C253" s="0" t="inlineStr">
        <is>
          <t>15m</t>
        </is>
      </c>
      <c r="D253" s="71" t="inlineStr">
        <is>
          <t>Threshold/gate: HA_WICK_QUALITY_TF — ELTA_ENTRY_MIN_TF', 'DELTA_EXIT_MANDATORY_REENTRY_ENABLED', 'DELTA_REENTRY_FILTER_ENABLED', 'DIRECTION_FAVORABLE_REENTRY | ex: `ELTA_ENTRY_MIN_TF', 'DELTA_EXIT_MANDATORY_REENTRY_ENABLED', 'DELTA_REENTRY_FILTE`</t>
        </is>
      </c>
      <c r="E253" s="71" t="inlineStr">
        <is>
          <t>ENTRY, GLOBAL_CHECK, STOCKS_EXIT</t>
        </is>
      </c>
      <c r="F253" s="71" t="inlineStr">
        <is>
          <t>ENTRY, GLOBAL_CHECK, STOCKS_EXIT</t>
        </is>
      </c>
      <c r="G253" s="71" t="inlineStr">
        <is>
          <t>HA_WICK_QUALITY_TF</t>
        </is>
      </c>
      <c r="H253" s="71" t="inlineStr">
        <is>
          <t>GENERAL</t>
        </is>
      </c>
      <c r="I253" s="71" t="inlineStr">
        <is>
          <t>LIVE — wired</t>
        </is>
      </c>
      <c r="J253" s="72"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79" t="n">
        <v>64</v>
      </c>
      <c r="B254" s="79" t="inlineStr">
        <is>
          <t>HLR_SMA_BAND_PCT</t>
        </is>
      </c>
      <c r="C254" s="0" t="inlineStr">
        <is>
          <t>0</t>
        </is>
      </c>
      <c r="D254" s="71" t="inlineStr">
        <is>
          <t>HLR band pct around SMA. | Live read: `'HLR_REENTRY_MULT_1H', 'HLR_REENTRY_MULT_4H', 'HLR_REENTRY_MULT_D', 'HLR_REENTRY`</t>
        </is>
      </c>
      <c r="E254" s="71" t="inlineStr">
        <is>
          <t>ENTRY, GLOBAL_CHECK, STOCKS_EXIT</t>
        </is>
      </c>
      <c r="F254" s="71" t="inlineStr">
        <is>
          <t>ENTRY, GLOBAL_CHECK, STOCKS_EXIT</t>
        </is>
      </c>
      <c r="G254" s="71" t="inlineStr">
        <is>
          <t>HLR_SMA_BAND_PCT</t>
        </is>
      </c>
      <c r="H254" s="71" t="inlineStr">
        <is>
          <t>GENERAL</t>
        </is>
      </c>
      <c r="I254" s="71" t="inlineStr">
        <is>
          <t>LIVE — wired</t>
        </is>
      </c>
      <c r="J254" s="72"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71" t="n">
        <v>64</v>
      </c>
      <c r="B255" s="71" t="inlineStr">
        <is>
          <t>HLR_SMA_BAND_PCT</t>
        </is>
      </c>
      <c r="C255" s="0" t="inlineStr">
        <is>
          <t>2.0</t>
        </is>
      </c>
      <c r="D255" s="71" t="inlineStr">
        <is>
          <t>HLR band pct around SMA. | Live read: `'HLR_REENTRY_MULT_1H', 'HLR_REENTRY_MULT_4H', 'HLR_REENTRY_MULT_D', 'HLR_REENTRY`</t>
        </is>
      </c>
      <c r="E255" s="71" t="inlineStr">
        <is>
          <t>ENTRY, GLOBAL_CHECK, STOCKS_EXIT</t>
        </is>
      </c>
      <c r="F255" s="71" t="inlineStr">
        <is>
          <t>ENTRY, GLOBAL_CHECK, STOCKS_EXIT</t>
        </is>
      </c>
      <c r="G255" s="71" t="inlineStr">
        <is>
          <t>HLR_SMA_BAND_PCT</t>
        </is>
      </c>
      <c r="H255" s="71" t="inlineStr">
        <is>
          <t>GENERAL</t>
        </is>
      </c>
      <c r="I255" s="71" t="inlineStr">
        <is>
          <t>LIVE — wired</t>
        </is>
      </c>
      <c r="J255" s="72"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71" t="n">
        <v>64</v>
      </c>
      <c r="B256" s="71" t="inlineStr">
        <is>
          <t>HLR_SMA_BAND_PCT</t>
        </is>
      </c>
      <c r="C256" s="0" t="inlineStr">
        <is>
          <t>1.0</t>
        </is>
      </c>
      <c r="D256" s="71" t="inlineStr">
        <is>
          <t>HLR band pct around SMA. | Live read: `'HLR_REENTRY_MULT_1H', 'HLR_REENTRY_MULT_4H', 'HLR_REENTRY_MULT_D', 'HLR_REENTRY`</t>
        </is>
      </c>
      <c r="E256" s="71" t="inlineStr">
        <is>
          <t>ENTRY, GLOBAL_CHECK, STOCKS_EXIT</t>
        </is>
      </c>
      <c r="F256" s="71" t="inlineStr">
        <is>
          <t>ENTRY, GLOBAL_CHECK, STOCKS_EXIT</t>
        </is>
      </c>
      <c r="G256" s="71" t="inlineStr">
        <is>
          <t>HLR_SMA_BAND_PCT</t>
        </is>
      </c>
      <c r="H256" s="71" t="inlineStr">
        <is>
          <t>GENERAL</t>
        </is>
      </c>
      <c r="I256" s="71" t="inlineStr">
        <is>
          <t>LIVE — wired</t>
        </is>
      </c>
      <c r="J256" s="72"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71" t="n">
        <v>64</v>
      </c>
      <c r="B257" s="71" t="inlineStr">
        <is>
          <t>HLR_SMA_BAND_PCT</t>
        </is>
      </c>
      <c r="C257" s="0" t="inlineStr">
        <is>
          <t>0.5</t>
        </is>
      </c>
      <c r="D257" s="71" t="inlineStr">
        <is>
          <t>HLR band pct around SMA. | Live read: `'HLR_REENTRY_MULT_1H', 'HLR_REENTRY_MULT_4H', 'HLR_REENTRY_MULT_D', 'HLR_REENTRY`</t>
        </is>
      </c>
      <c r="E257" s="71" t="inlineStr">
        <is>
          <t>ENTRY, GLOBAL_CHECK, STOCKS_EXIT</t>
        </is>
      </c>
      <c r="F257" s="71" t="inlineStr">
        <is>
          <t>ENTRY, GLOBAL_CHECK, STOCKS_EXIT</t>
        </is>
      </c>
      <c r="G257" s="71" t="inlineStr">
        <is>
          <t>HLR_SMA_BAND_PCT</t>
        </is>
      </c>
      <c r="H257" s="71" t="inlineStr">
        <is>
          <t>GENERAL</t>
        </is>
      </c>
      <c r="I257" s="71" t="inlineStr">
        <is>
          <t>LIVE — wired</t>
        </is>
      </c>
      <c r="J257" s="72"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79" t="n">
        <v>65</v>
      </c>
      <c r="B258" s="79" t="inlineStr">
        <is>
          <t>HLR_TOP_MIN_TFS</t>
        </is>
      </c>
      <c r="C258" s="0" t="inlineStr">
        <is>
          <t>0</t>
        </is>
      </c>
      <c r="D258" s="71" t="inlineStr">
        <is>
          <t>Min TFs for HLR top confirmation. | Live read: `'HLR_TOP_EXIT_ENABLED', 'HLR_TOP_MIN_GAIN_PCT', 'HLR_TOP_MIN_TFS', 'HLR_TOP_VEL_`</t>
        </is>
      </c>
      <c r="E258" s="71" t="inlineStr">
        <is>
          <t>GLOBAL_CHECK, REENTRY, STOCKS_EXIT</t>
        </is>
      </c>
      <c r="F258" s="71" t="inlineStr">
        <is>
          <t>GLOBAL_CHECK, REENTRY, STOCKS_EXIT</t>
        </is>
      </c>
      <c r="G258" s="71" t="inlineStr">
        <is>
          <t>HLR_TOP_MIN_TFS</t>
        </is>
      </c>
      <c r="H258" s="71" t="inlineStr">
        <is>
          <t>GENERAL</t>
        </is>
      </c>
      <c r="I258" s="71" t="inlineStr">
        <is>
          <t>LIVE — wired</t>
        </is>
      </c>
      <c r="J258" s="72"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71" t="n">
        <v>65</v>
      </c>
      <c r="B259" s="71" t="inlineStr">
        <is>
          <t>HLR_TOP_MIN_TFS</t>
        </is>
      </c>
      <c r="C259" s="0" t="inlineStr">
        <is>
          <t>2</t>
        </is>
      </c>
      <c r="D259" s="71" t="inlineStr">
        <is>
          <t>Min TFs for HLR top confirmation. | Live read: `'HLR_TOP_EXIT_ENABLED', 'HLR_TOP_MIN_GAIN_PCT', 'HLR_TOP_MIN_TFS', 'HLR_TOP_VEL_`</t>
        </is>
      </c>
      <c r="E259" s="71" t="inlineStr">
        <is>
          <t>GLOBAL_CHECK, REENTRY, STOCKS_EXIT</t>
        </is>
      </c>
      <c r="F259" s="71" t="inlineStr">
        <is>
          <t>GLOBAL_CHECK, REENTRY, STOCKS_EXIT</t>
        </is>
      </c>
      <c r="G259" s="71" t="inlineStr">
        <is>
          <t>HLR_TOP_MIN_TFS</t>
        </is>
      </c>
      <c r="H259" s="71" t="inlineStr">
        <is>
          <t>GENERAL</t>
        </is>
      </c>
      <c r="I259" s="71" t="inlineStr">
        <is>
          <t>LIVE — wired</t>
        </is>
      </c>
      <c r="J259" s="72"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71" t="n">
        <v>65</v>
      </c>
      <c r="B260" s="71" t="inlineStr">
        <is>
          <t>HLR_TOP_MIN_TFS</t>
        </is>
      </c>
      <c r="C260" s="0" t="inlineStr">
        <is>
          <t>1</t>
        </is>
      </c>
      <c r="D260" s="71" t="inlineStr">
        <is>
          <t>Min TFs for HLR top confirmation. | Live read: `'HLR_TOP_EXIT_ENABLED', 'HLR_TOP_MIN_GAIN_PCT', 'HLR_TOP_MIN_TFS', 'HLR_TOP_VEL_`</t>
        </is>
      </c>
      <c r="E260" s="71" t="inlineStr">
        <is>
          <t>GLOBAL_CHECK, REENTRY, STOCKS_EXIT</t>
        </is>
      </c>
      <c r="F260" s="71" t="inlineStr">
        <is>
          <t>GLOBAL_CHECK, REENTRY, STOCKS_EXIT</t>
        </is>
      </c>
      <c r="G260" s="71" t="inlineStr">
        <is>
          <t>HLR_TOP_MIN_TFS</t>
        </is>
      </c>
      <c r="H260" s="71" t="inlineStr">
        <is>
          <t>GENERAL</t>
        </is>
      </c>
      <c r="I260" s="71" t="inlineStr">
        <is>
          <t>LIVE — wired</t>
        </is>
      </c>
      <c r="J260" s="72"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79" t="n">
        <v>66</v>
      </c>
      <c r="B261" s="79" t="inlineStr">
        <is>
          <t>HTF4_CONF</t>
        </is>
      </c>
      <c r="C261" s="0" t="inlineStr">
        <is>
          <t>False</t>
        </is>
      </c>
      <c r="D261" s="71" t="inlineStr">
        <is>
          <t>HTF 4h confirmation threshold. | Live read: `ILTER_TF', 'EMA_9_21_FILTER_FILTER_TF', 'EMA_9_21_FILTER_MIN_TFS', 'EMA_BLANKET_`</t>
        </is>
      </c>
      <c r="E261" s="71" t="inlineStr">
        <is>
          <t>GLOBAL_CHECK, STOCKS_EXIT</t>
        </is>
      </c>
      <c r="F261" s="71" t="inlineStr">
        <is>
          <t>GLOBAL_CHECK, STOCKS_EXIT</t>
        </is>
      </c>
      <c r="G261" s="71" t="inlineStr">
        <is>
          <t>HTF4_CONF</t>
        </is>
      </c>
      <c r="H261" s="71" t="inlineStr">
        <is>
          <t>GENERAL — uniform</t>
        </is>
      </c>
      <c r="I261" s="71" t="inlineStr">
        <is>
          <t>LIVE — wired</t>
        </is>
      </c>
      <c r="J261" s="72"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71" t="n">
        <v>66</v>
      </c>
      <c r="B262" s="71" t="inlineStr">
        <is>
          <t>HTF4_CONF</t>
        </is>
      </c>
      <c r="C262" s="0" t="inlineStr">
        <is>
          <t>False_ALT</t>
        </is>
      </c>
      <c r="D262" s="71" t="inlineStr">
        <is>
          <t>HTF 4h confirmation threshold. | Live read: `ILTER_TF', 'EMA_9_21_FILTER_FILTER_TF', 'EMA_9_21_FILTER_MIN_TFS', 'EMA_BLANKET_`</t>
        </is>
      </c>
      <c r="E262" s="71" t="inlineStr">
        <is>
          <t>GLOBAL_CHECK, STOCKS_EXIT</t>
        </is>
      </c>
      <c r="F262" s="71" t="inlineStr">
        <is>
          <t>GLOBAL_CHECK, STOCKS_EXIT</t>
        </is>
      </c>
      <c r="G262" s="71" t="inlineStr">
        <is>
          <t>HTF4_CONF</t>
        </is>
      </c>
      <c r="H262" s="71" t="inlineStr">
        <is>
          <t>GENERAL — uniform</t>
        </is>
      </c>
      <c r="I262" s="71" t="inlineStr">
        <is>
          <t>LIVE — wired</t>
        </is>
      </c>
      <c r="J262" s="72"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79" t="n">
        <v>67</v>
      </c>
      <c r="B263" s="79" t="inlineStr">
        <is>
          <t>HTF_DIRECTION_GATE_ENABLED</t>
        </is>
      </c>
      <c r="C263" s="0" t="inlineStr">
        <is>
          <t>False</t>
        </is>
      </c>
      <c r="D263" s="71" t="inlineStr">
        <is>
          <t>HTF direction gate (requires HTF trend alignment). | Live read: `NABLED', 'GOLDEN_RULE_BB_D_ENABLED', 'GOLDEN_RULE_BB_W_ENABLED', 'GOLDEN_RULE_DC`</t>
        </is>
      </c>
      <c r="E263" s="71" t="inlineStr">
        <is>
          <t>ENTRY, GLOBAL_CHECK, STOCKS_EXIT</t>
        </is>
      </c>
      <c r="F263" s="71" t="inlineStr">
        <is>
          <t>ENTRY, GLOBAL_CHECK, STOCKS_EXIT</t>
        </is>
      </c>
      <c r="G263" s="71" t="inlineStr">
        <is>
          <t>HTF direction</t>
        </is>
      </c>
      <c r="H263" s="71" t="inlineStr">
        <is>
          <t>GENERAL — uniform</t>
        </is>
      </c>
      <c r="I263" s="71" t="inlineStr">
        <is>
          <t>LIVE — wired</t>
        </is>
      </c>
      <c r="J263" s="72"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71" t="n">
        <v>67</v>
      </c>
      <c r="B264" s="71" t="inlineStr">
        <is>
          <t>HTF_DIRECTION_GATE_ENABLED</t>
        </is>
      </c>
      <c r="C264" s="0" t="inlineStr">
        <is>
          <t>True</t>
        </is>
      </c>
      <c r="D264" s="71" t="inlineStr">
        <is>
          <t>HTF direction gate (requires HTF trend alignment). | Live read: `NABLED', 'GOLDEN_RULE_BB_D_ENABLED', 'GOLDEN_RULE_BB_W_ENABLED', 'GOLDEN_RULE_DC`</t>
        </is>
      </c>
      <c r="E264" s="71" t="inlineStr">
        <is>
          <t>ENTRY, GLOBAL_CHECK, STOCKS_EXIT</t>
        </is>
      </c>
      <c r="F264" s="71" t="inlineStr">
        <is>
          <t>ENTRY, GLOBAL_CHECK, STOCKS_EXIT</t>
        </is>
      </c>
      <c r="G264" s="71" t="inlineStr">
        <is>
          <t>HTF direction</t>
        </is>
      </c>
      <c r="H264" s="71" t="inlineStr">
        <is>
          <t>GENERAL — uniform</t>
        </is>
      </c>
      <c r="I264" s="71" t="inlineStr">
        <is>
          <t>LIVE — wired</t>
        </is>
      </c>
      <c r="J264" s="72"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79" t="n">
        <v>68</v>
      </c>
      <c r="B265" s="79" t="inlineStr">
        <is>
          <t>HTF_GATE_BYPASS_RZ</t>
        </is>
      </c>
      <c r="C265" s="0" t="inlineStr">
        <is>
          <t>0.0</t>
        </is>
      </c>
      <c r="D265" s="71" t="inlineStr">
        <is>
          <t>Threshold/gate: HTF_GATE_BYPASS_RZ — NABLED', 'GOLDEN_RULE_DC_15M_ENABLED', 'GOLDEN_RULE_DC_1H_ENABLED', 'GOLDEN_RULE_DC_4H_ENABLED', 'GOLDEN_RULE_DC_D_ENABL | ex: `NABLED', 'GOLDEN_RULE_DC_15M_ENABLED', 'GOLDEN_RULE_DC_1H_ENABLED', 'GOLDEN_RULE`</t>
        </is>
      </c>
      <c r="E265" s="71" t="inlineStr">
        <is>
          <t>ENTRY, GLOBAL_CHECK, STOCKS_EXIT</t>
        </is>
      </c>
      <c r="F265" s="71" t="inlineStr">
        <is>
          <t>ENTRY, GLOBAL_CHECK, STOCKS_EXIT</t>
        </is>
      </c>
      <c r="G265" s="71" t="inlineStr">
        <is>
          <t>HTF_GATE_BYPASS_RZ</t>
        </is>
      </c>
      <c r="H265" s="71" t="inlineStr">
        <is>
          <t>GENERAL — uniform</t>
        </is>
      </c>
      <c r="I265" s="71" t="inlineStr">
        <is>
          <t>LIVE — wired</t>
        </is>
      </c>
      <c r="J265" s="72"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71" t="n">
        <v>68</v>
      </c>
      <c r="B266" s="71" t="inlineStr">
        <is>
          <t>HTF_GATE_BYPASS_RZ</t>
        </is>
      </c>
      <c r="C266" s="0" t="inlineStr">
        <is>
          <t>0.0_ALT</t>
        </is>
      </c>
      <c r="D266" s="71" t="inlineStr">
        <is>
          <t>Threshold/gate: HTF_GATE_BYPASS_RZ — NABLED', 'GOLDEN_RULE_DC_15M_ENABLED', 'GOLDEN_RULE_DC_1H_ENABLED', 'GOLDEN_RULE_DC_4H_ENABLED', 'GOLDEN_RULE_DC_D_ENABL | ex: `NABLED', 'GOLDEN_RULE_DC_15M_ENABLED', 'GOLDEN_RULE_DC_1H_ENABLED', 'GOLDEN_RULE`</t>
        </is>
      </c>
      <c r="E266" s="71" t="inlineStr">
        <is>
          <t>ENTRY, GLOBAL_CHECK, STOCKS_EXIT</t>
        </is>
      </c>
      <c r="F266" s="71" t="inlineStr">
        <is>
          <t>ENTRY, GLOBAL_CHECK, STOCKS_EXIT</t>
        </is>
      </c>
      <c r="G266" s="71" t="inlineStr">
        <is>
          <t>HTF_GATE_BYPASS_RZ</t>
        </is>
      </c>
      <c r="H266" s="71" t="inlineStr">
        <is>
          <t>GENERAL — uniform</t>
        </is>
      </c>
      <c r="I266" s="71" t="inlineStr">
        <is>
          <t>LIVE — wired</t>
        </is>
      </c>
      <c r="J266" s="72"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79" t="n">
        <v>69</v>
      </c>
      <c r="B267" s="79" t="inlineStr">
        <is>
          <t>HTF_GATE_D_MANDATORY</t>
        </is>
      </c>
      <c r="C267" s="0" t="inlineStr">
        <is>
          <t>0.0</t>
        </is>
      </c>
      <c r="D267" s="71" t="inlineStr">
        <is>
          <t>Threshold/gate: HTF_GATE_D_MANDATORY — DC_15M_ENABLED', 'GOLDEN_RULE_DC_1H_ENABLED', 'GOLDEN_RULE_DC_4H_ENABLED', 'GOLDEN_RULE_DC_D_ENABLED', 'GOLDEN_RULE_DC_W | ex: `DC_15M_ENABLED', 'GOLDEN_RULE_DC_1H_ENABLED', 'GOLDEN_RULE_DC_4H_ENABLED', 'GOLD`</t>
        </is>
      </c>
      <c r="E267" s="71" t="inlineStr">
        <is>
          <t>ENTRY, GLOBAL_CHECK, STOCKS_EXIT</t>
        </is>
      </c>
      <c r="F267" s="71" t="inlineStr">
        <is>
          <t>ENTRY, GLOBAL_CHECK, STOCKS_EXIT</t>
        </is>
      </c>
      <c r="G267" s="71" t="inlineStr">
        <is>
          <t>HTF_GATE_D_MANDATORY</t>
        </is>
      </c>
      <c r="H267" s="71" t="inlineStr">
        <is>
          <t>GENERAL — uniform</t>
        </is>
      </c>
      <c r="I267" s="71" t="inlineStr">
        <is>
          <t>LIVE — wired</t>
        </is>
      </c>
      <c r="J267" s="72"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71" t="n">
        <v>69</v>
      </c>
      <c r="B268" s="71" t="inlineStr">
        <is>
          <t>HTF_GATE_D_MANDATORY</t>
        </is>
      </c>
      <c r="C268" s="0" t="inlineStr">
        <is>
          <t>0.0_ALT</t>
        </is>
      </c>
      <c r="D268" s="71" t="inlineStr">
        <is>
          <t>Threshold/gate: HTF_GATE_D_MANDATORY — DC_15M_ENABLED', 'GOLDEN_RULE_DC_1H_ENABLED', 'GOLDEN_RULE_DC_4H_ENABLED', 'GOLDEN_RULE_DC_D_ENABLED', 'GOLDEN_RULE_DC_W | ex: `DC_15M_ENABLED', 'GOLDEN_RULE_DC_1H_ENABLED', 'GOLDEN_RULE_DC_4H_ENABLED', 'GOLD`</t>
        </is>
      </c>
      <c r="E268" s="71" t="inlineStr">
        <is>
          <t>ENTRY, GLOBAL_CHECK, STOCKS_EXIT</t>
        </is>
      </c>
      <c r="F268" s="71" t="inlineStr">
        <is>
          <t>ENTRY, GLOBAL_CHECK, STOCKS_EXIT</t>
        </is>
      </c>
      <c r="G268" s="71" t="inlineStr">
        <is>
          <t>HTF_GATE_D_MANDATORY</t>
        </is>
      </c>
      <c r="H268" s="71" t="inlineStr">
        <is>
          <t>GENERAL — uniform</t>
        </is>
      </c>
      <c r="I268" s="71" t="inlineStr">
        <is>
          <t>LIVE — wired</t>
        </is>
      </c>
      <c r="J268" s="72"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79" t="n">
        <v>70</v>
      </c>
      <c r="B269" s="79" t="inlineStr">
        <is>
          <t>HTF_GATE_MIN_CONFIRMATIONS</t>
        </is>
      </c>
      <c r="C269" s="0" t="inlineStr">
        <is>
          <t>0.0</t>
        </is>
      </c>
      <c r="D269" s="71" t="inlineStr">
        <is>
          <t>Threshold/gate: HTF_GATE_MIN_CONFIRMATIONS — _RULE_DC_1H_ENABLED', 'GOLDEN_RULE_DC_4H_ENABLED', 'GOLDEN_RULE_DC_D_ENABLED', 'GOLDEN_RULE_DC_W_ENABLED', 'GOLDEN_RULE_ | ex: `_RULE_DC_1H_ENABLED', 'GOLDEN_RULE_DC_4H_ENABLED', 'GOLDEN_RULE_DC_D_ENABLED', '`</t>
        </is>
      </c>
      <c r="E269" s="71" t="inlineStr">
        <is>
          <t>ENTRY, GLOBAL_CHECK, STOCKS_EXIT</t>
        </is>
      </c>
      <c r="F269" s="71" t="inlineStr">
        <is>
          <t>ENTRY, GLOBAL_CHECK, STOCKS_EXIT</t>
        </is>
      </c>
      <c r="G269" s="71" t="inlineStr">
        <is>
          <t>HTF_GATE_MIN_CONFIRMATIONS</t>
        </is>
      </c>
      <c r="H269" s="71" t="inlineStr">
        <is>
          <t>GENERAL — uniform</t>
        </is>
      </c>
      <c r="I269" s="71" t="inlineStr">
        <is>
          <t>LIVE — wired</t>
        </is>
      </c>
      <c r="J269" s="72"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71" t="n">
        <v>70</v>
      </c>
      <c r="B270" s="71" t="inlineStr">
        <is>
          <t>HTF_GATE_MIN_CONFIRMATIONS</t>
        </is>
      </c>
      <c r="C270" s="0" t="inlineStr">
        <is>
          <t>0.0_ALT</t>
        </is>
      </c>
      <c r="D270" s="71" t="inlineStr">
        <is>
          <t>Threshold/gate: HTF_GATE_MIN_CONFIRMATIONS — _RULE_DC_1H_ENABLED', 'GOLDEN_RULE_DC_4H_ENABLED', 'GOLDEN_RULE_DC_D_ENABLED', 'GOLDEN_RULE_DC_W_ENABLED', 'GOLDEN_RULE_ | ex: `_RULE_DC_1H_ENABLED', 'GOLDEN_RULE_DC_4H_ENABLED', 'GOLDEN_RULE_DC_D_ENABLED', '`</t>
        </is>
      </c>
      <c r="E270" s="71" t="inlineStr">
        <is>
          <t>ENTRY, GLOBAL_CHECK, STOCKS_EXIT</t>
        </is>
      </c>
      <c r="F270" s="71" t="inlineStr">
        <is>
          <t>ENTRY, GLOBAL_CHECK, STOCKS_EXIT</t>
        </is>
      </c>
      <c r="G270" s="71" t="inlineStr">
        <is>
          <t>HTF_GATE_MIN_CONFIRMATIONS</t>
        </is>
      </c>
      <c r="H270" s="71" t="inlineStr">
        <is>
          <t>GENERAL — uniform</t>
        </is>
      </c>
      <c r="I270" s="71" t="inlineStr">
        <is>
          <t>LIVE — wired</t>
        </is>
      </c>
      <c r="J270" s="72"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79" t="n">
        <v>71</v>
      </c>
      <c r="B271" s="79" t="inlineStr">
        <is>
          <t>HTF_TREND_VETO_BYPASS_ENABLED</t>
        </is>
      </c>
      <c r="C271" s="0" t="inlineStr">
        <is>
          <t>False</t>
        </is>
      </c>
      <c r="D271" s="71" t="inlineStr">
        <is>
          <t>Threshold/gate: HTF_TREND_VETO_BYPASS_ENABLED — TF', 'FG_FEAR_THRESHOLD', 'FG_GREED_THRESHOLD', 'FH_MOMENTUM_FILTER_TF', 'FUNDING_GATE_FILTER_TF', 'FUNDING_GATE_MIN_TFS | ex: `TF', 'FG_FEAR_THRESHOLD', 'FG_GREED_THRESHOLD', 'FH_MOMENTUM_FILTER_TF', 'FUNDIN`</t>
        </is>
      </c>
      <c r="E271" s="71" t="inlineStr">
        <is>
          <t>GLOBAL_CHECK, STOCKS_EXIT</t>
        </is>
      </c>
      <c r="F271" s="71" t="inlineStr">
        <is>
          <t>GLOBAL_CHECK, STOCKS_EXIT</t>
        </is>
      </c>
      <c r="G271" s="71" t="inlineStr">
        <is>
          <t>HTF_TREND_VETO_BYPASS_ENABLED</t>
        </is>
      </c>
      <c r="H271" s="71" t="inlineStr">
        <is>
          <t>GENERAL</t>
        </is>
      </c>
      <c r="I271" s="71" t="inlineStr">
        <is>
          <t>LIVE — wired</t>
        </is>
      </c>
      <c r="J271" s="72"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71" t="n">
        <v>71</v>
      </c>
      <c r="B272" s="71" t="inlineStr">
        <is>
          <t>HTF_TREND_VETO_BYPASS_ENABLED</t>
        </is>
      </c>
      <c r="C272" s="0" t="inlineStr">
        <is>
          <t>True</t>
        </is>
      </c>
      <c r="D272" s="71" t="inlineStr">
        <is>
          <t>Threshold/gate: HTF_TREND_VETO_BYPASS_ENABLED — TF', 'FG_FEAR_THRESHOLD', 'FG_GREED_THRESHOLD', 'FH_MOMENTUM_FILTER_TF', 'FUNDING_GATE_FILTER_TF', 'FUNDING_GATE_MIN_TFS | ex: `TF', 'FG_FEAR_THRESHOLD', 'FG_GREED_THRESHOLD', 'FH_MOMENTUM_FILTER_TF', 'FUNDIN`</t>
        </is>
      </c>
      <c r="E272" s="71" t="inlineStr">
        <is>
          <t>GLOBAL_CHECK, STOCKS_EXIT</t>
        </is>
      </c>
      <c r="F272" s="71" t="inlineStr">
        <is>
          <t>GLOBAL_CHECK, STOCKS_EXIT</t>
        </is>
      </c>
      <c r="G272" s="71" t="inlineStr">
        <is>
          <t>HTF_TREND_VETO_BYPASS_ENABLED</t>
        </is>
      </c>
      <c r="H272" s="71" t="inlineStr">
        <is>
          <t>GENERAL</t>
        </is>
      </c>
      <c r="I272" s="71" t="inlineStr">
        <is>
          <t>LIVE — wired</t>
        </is>
      </c>
      <c r="J272" s="72"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79" t="n">
        <v>72</v>
      </c>
      <c r="B273" s="79" t="inlineStr">
        <is>
          <t>HTF_TREND_VETO_BYPASS_REASONS</t>
        </is>
      </c>
      <c r="C273" s="0" t="inlineStr">
        <is>
          <t>0.0</t>
        </is>
      </c>
      <c r="D273" s="71" t="inlineStr">
        <is>
          <t>Threshold/gate: HTF_TREND_VETO_BYPASS_REASONS — ED_THRESHOLD', 'FH_MOMENTUM_FILTER_TF', 'FUNDING_GATE_FILTER_TF', 'FUNDING_GATE_MIN_TFS', 'GOLDEN_RULE_ENFORCE_FILTER_TF | ex: `ED_THRESHOLD', 'FH_MOMENTUM_FILTER_TF', 'FUNDING_GATE_FILTER_TF', 'FUNDING_GATE_`</t>
        </is>
      </c>
      <c r="E273" s="71" t="inlineStr">
        <is>
          <t>GLOBAL_CHECK, STOCKS_EXIT</t>
        </is>
      </c>
      <c r="F273" s="71" t="inlineStr">
        <is>
          <t>GLOBAL_CHECK, STOCKS_EXIT</t>
        </is>
      </c>
      <c r="G273" s="71" t="inlineStr">
        <is>
          <t>HTF_TREND_VETO_BYPASS_REASONS</t>
        </is>
      </c>
      <c r="H273" s="71" t="inlineStr">
        <is>
          <t>GENERAL</t>
        </is>
      </c>
      <c r="I273" s="71" t="inlineStr">
        <is>
          <t>LIVE — wired</t>
        </is>
      </c>
      <c r="J273" s="72"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71" t="n">
        <v>72</v>
      </c>
      <c r="B274" s="71" t="inlineStr">
        <is>
          <t>HTF_TREND_VETO_BYPASS_REASONS</t>
        </is>
      </c>
      <c r="C274" s="0" t="inlineStr">
        <is>
          <t>0.0_ALT</t>
        </is>
      </c>
      <c r="D274" s="71" t="inlineStr">
        <is>
          <t>Threshold/gate: HTF_TREND_VETO_BYPASS_REASONS — ED_THRESHOLD', 'FH_MOMENTUM_FILTER_TF', 'FUNDING_GATE_FILTER_TF', 'FUNDING_GATE_MIN_TFS', 'GOLDEN_RULE_ENFORCE_FILTER_TF | ex: `ED_THRESHOLD', 'FH_MOMENTUM_FILTER_TF', 'FUNDING_GATE_FILTER_TF', 'FUNDING_GATE_`</t>
        </is>
      </c>
      <c r="E274" s="71" t="inlineStr">
        <is>
          <t>GLOBAL_CHECK, STOCKS_EXIT</t>
        </is>
      </c>
      <c r="F274" s="71" t="inlineStr">
        <is>
          <t>GLOBAL_CHECK, STOCKS_EXIT</t>
        </is>
      </c>
      <c r="G274" s="71" t="inlineStr">
        <is>
          <t>HTF_TREND_VETO_BYPASS_REASONS</t>
        </is>
      </c>
      <c r="H274" s="71" t="inlineStr">
        <is>
          <t>GENERAL</t>
        </is>
      </c>
      <c r="I274" s="71" t="inlineStr">
        <is>
          <t>LIVE — wired</t>
        </is>
      </c>
      <c r="J274" s="72"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82" t="n">
        <v>73</v>
      </c>
      <c r="B275" s="82" t="inlineStr">
        <is>
          <t>KILLER_KNOB_FINDER_FILTER_TF</t>
        </is>
      </c>
      <c r="C275" s="0" t="inlineStr">
        <is>
          <t>OFF</t>
        </is>
      </c>
      <c r="D275" s="75" t="inlineStr">
        <is>
          <t>Dead/misnamed filter — no read in ez_manage/ez_positions_quick/tradier_manage. Appears 0x; likely legacy or typo.</t>
        </is>
      </c>
      <c r="E275" s="75" t="inlineStr">
        <is>
          <t>DEAD</t>
        </is>
      </c>
      <c r="F275" s="75" t="inlineStr">
        <is>
          <t>DEAD</t>
        </is>
      </c>
      <c r="G275" s="75" t="inlineStr">
        <is>
          <t>KILLER_KNOB_FINDER</t>
        </is>
      </c>
      <c r="H275" s="75" t="inlineStr">
        <is>
          <t>SPECIFIC — only gated switches</t>
        </is>
      </c>
      <c r="I275" s="75" t="inlineStr">
        <is>
          <t>DEAD — REMOVE</t>
        </is>
      </c>
      <c r="J275" s="76"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75" t="n">
        <v>73</v>
      </c>
      <c r="B276" s="75" t="inlineStr">
        <is>
          <t>KILLER_KNOB_FINDER_FILTER_TF</t>
        </is>
      </c>
      <c r="C276" s="0" t="inlineStr">
        <is>
          <t>D</t>
        </is>
      </c>
      <c r="D276" s="75" t="inlineStr">
        <is>
          <t>Dead/misnamed filter — no read in ez_manage/ez_positions_quick/tradier_manage. Appears 0x; likely legacy or typo.</t>
        </is>
      </c>
      <c r="E276" s="75" t="inlineStr">
        <is>
          <t>DEAD</t>
        </is>
      </c>
      <c r="F276" s="75" t="inlineStr">
        <is>
          <t>DEAD</t>
        </is>
      </c>
      <c r="G276" s="75" t="inlineStr">
        <is>
          <t>KILLER_KNOB_FINDER</t>
        </is>
      </c>
      <c r="H276" s="75" t="inlineStr">
        <is>
          <t>SPECIFIC — only gated switches</t>
        </is>
      </c>
      <c r="I276" s="75" t="inlineStr">
        <is>
          <t>DEAD — REMOVE</t>
        </is>
      </c>
      <c r="J276" s="76"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75" t="n">
        <v>73</v>
      </c>
      <c r="B277" s="75" t="inlineStr">
        <is>
          <t>KILLER_KNOB_FINDER_FILTER_TF</t>
        </is>
      </c>
      <c r="C277" s="0" t="inlineStr">
        <is>
          <t>4h</t>
        </is>
      </c>
      <c r="D277" s="75" t="inlineStr">
        <is>
          <t>Dead/misnamed filter — no read in ez_manage/ez_positions_quick/tradier_manage. Appears 0x; likely legacy or typo.</t>
        </is>
      </c>
      <c r="E277" s="75" t="inlineStr">
        <is>
          <t>DEAD</t>
        </is>
      </c>
      <c r="F277" s="75" t="inlineStr">
        <is>
          <t>DEAD</t>
        </is>
      </c>
      <c r="G277" s="75" t="inlineStr">
        <is>
          <t>KILLER_KNOB_FINDER</t>
        </is>
      </c>
      <c r="H277" s="75" t="inlineStr">
        <is>
          <t>SPECIFIC — only gated switches</t>
        </is>
      </c>
      <c r="I277" s="75" t="inlineStr">
        <is>
          <t>DEAD — REMOVE</t>
        </is>
      </c>
      <c r="J277" s="76"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75" t="n">
        <v>73</v>
      </c>
      <c r="B278" s="75" t="inlineStr">
        <is>
          <t>KILLER_KNOB_FINDER_FILTER_TF</t>
        </is>
      </c>
      <c r="C278" s="0" t="inlineStr">
        <is>
          <t>1h</t>
        </is>
      </c>
      <c r="D278" s="75" t="inlineStr">
        <is>
          <t>Dead/misnamed filter — no read in ez_manage/ez_positions_quick/tradier_manage. Appears 0x; likely legacy or typo.</t>
        </is>
      </c>
      <c r="E278" s="75" t="inlineStr">
        <is>
          <t>DEAD</t>
        </is>
      </c>
      <c r="F278" s="75" t="inlineStr">
        <is>
          <t>DEAD</t>
        </is>
      </c>
      <c r="G278" s="75" t="inlineStr">
        <is>
          <t>KILLER_KNOB_FINDER</t>
        </is>
      </c>
      <c r="H278" s="75" t="inlineStr">
        <is>
          <t>SPECIFIC — only gated switches</t>
        </is>
      </c>
      <c r="I278" s="75" t="inlineStr">
        <is>
          <t>DEAD — REMOVE</t>
        </is>
      </c>
      <c r="J278" s="76"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75" t="n">
        <v>73</v>
      </c>
      <c r="B279" s="75" t="inlineStr">
        <is>
          <t>KILLER_KNOB_FINDER_FILTER_TF</t>
        </is>
      </c>
      <c r="C279" s="0" t="inlineStr">
        <is>
          <t>15m</t>
        </is>
      </c>
      <c r="D279" s="75" t="inlineStr">
        <is>
          <t>Dead/misnamed filter — no read in ez_manage/ez_positions_quick/tradier_manage. Appears 0x; likely legacy or typo.</t>
        </is>
      </c>
      <c r="E279" s="75" t="inlineStr">
        <is>
          <t>DEAD</t>
        </is>
      </c>
      <c r="F279" s="75" t="inlineStr">
        <is>
          <t>DEAD</t>
        </is>
      </c>
      <c r="G279" s="75" t="inlineStr">
        <is>
          <t>KILLER_KNOB_FINDER</t>
        </is>
      </c>
      <c r="H279" s="75" t="inlineStr">
        <is>
          <t>SPECIFIC — only gated switches</t>
        </is>
      </c>
      <c r="I279" s="75" t="inlineStr">
        <is>
          <t>DEAD — REMOVE</t>
        </is>
      </c>
      <c r="J279" s="76"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79" t="n">
        <v>74</v>
      </c>
      <c r="B280" s="79" t="inlineStr">
        <is>
          <t>LEADERBOARD_FILTER</t>
        </is>
      </c>
      <c r="C280" s="0" t="inlineStr">
        <is>
          <t>False</t>
        </is>
      </c>
      <c r="D280" s="71" t="inlineStr">
        <is>
          <t>Leaderboard regime filter (top-N symbols). | Live read: `ILTER_TF', 'FUNDING_GATE_MIN_TFS', 'GOLDEN_RULE_ENFORCE_FILTER_TF', 'GOLDEN_RULE`</t>
        </is>
      </c>
      <c r="E280" s="71" t="inlineStr">
        <is>
          <t>AUGMENT, ENTRY, EXIT, GLOBAL_CHECK, REDUCE, STOCKS_EXIT</t>
        </is>
      </c>
      <c r="F280" s="71" t="inlineStr">
        <is>
          <t>AUGMENT, ENTRY, EXIT, GLOBAL_CHECK, REDUCE, STOCKS_EXIT</t>
        </is>
      </c>
      <c r="G280" s="71" t="inlineStr">
        <is>
          <t>Leaderboard</t>
        </is>
      </c>
      <c r="H280" s="71" t="inlineStr">
        <is>
          <t>GENERAL — uniform</t>
        </is>
      </c>
      <c r="I280" s="71" t="inlineStr">
        <is>
          <t>LIVE — wired</t>
        </is>
      </c>
      <c r="J280" s="72"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71" t="n">
        <v>74</v>
      </c>
      <c r="B281" s="71" t="inlineStr">
        <is>
          <t>LEADERBOARD_FILTER</t>
        </is>
      </c>
      <c r="C281" s="0" t="inlineStr">
        <is>
          <t>False_ALT</t>
        </is>
      </c>
      <c r="D281" s="71" t="inlineStr">
        <is>
          <t>Leaderboard regime filter (top-N symbols). | Live read: `ILTER_TF', 'FUNDING_GATE_MIN_TFS', 'GOLDEN_RULE_ENFORCE_FILTER_TF', 'GOLDEN_RULE`</t>
        </is>
      </c>
      <c r="E281" s="71" t="inlineStr">
        <is>
          <t>AUGMENT, ENTRY, EXIT, GLOBAL_CHECK, REDUCE, STOCKS_EXIT</t>
        </is>
      </c>
      <c r="F281" s="71" t="inlineStr">
        <is>
          <t>AUGMENT, ENTRY, EXIT, GLOBAL_CHECK, REDUCE, STOCKS_EXIT</t>
        </is>
      </c>
      <c r="G281" s="71" t="inlineStr">
        <is>
          <t>Leaderboard</t>
        </is>
      </c>
      <c r="H281" s="71" t="inlineStr">
        <is>
          <t>GENERAL — uniform</t>
        </is>
      </c>
      <c r="I281" s="71" t="inlineStr">
        <is>
          <t>LIVE — wired</t>
        </is>
      </c>
      <c r="J281" s="72"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79" t="n">
        <v>75</v>
      </c>
      <c r="B282" s="79" t="inlineStr">
        <is>
          <t>LH_HL_FILTER_ENABLED</t>
        </is>
      </c>
      <c r="C282" s="0" t="inlineStr">
        <is>
          <t>False</t>
        </is>
      </c>
      <c r="D282" s="71" t="inlineStr">
        <is>
          <t>Lower-high / Higher-low structure filter (SMA200D replacement). | Live read: `N_RULE_ENTRY_TF_LIST', 'GOLDEN_RULE_MULT_15M', 'GOLDEN_RULE_MULT_1H', 'GOLDEN_RU`</t>
        </is>
      </c>
      <c r="E282" s="71" t="inlineStr">
        <is>
          <t>ENTRY, GLOBAL_CHECK, STOCKS_EXIT</t>
        </is>
      </c>
      <c r="F282" s="71" t="inlineStr">
        <is>
          <t>ENTRY, GLOBAL_CHECK, STOCKS_EXIT</t>
        </is>
      </c>
      <c r="G282" s="71" t="inlineStr">
        <is>
          <t>LH/HL filter</t>
        </is>
      </c>
      <c r="H282" s="71" t="inlineStr">
        <is>
          <t>GENERAL</t>
        </is>
      </c>
      <c r="I282" s="71" t="inlineStr">
        <is>
          <t>LIVE — wired</t>
        </is>
      </c>
      <c r="J282" s="72"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71" t="n">
        <v>75</v>
      </c>
      <c r="B283" s="71" t="inlineStr">
        <is>
          <t>LH_HL_FILTER_ENABLED</t>
        </is>
      </c>
      <c r="C283" s="0" t="inlineStr">
        <is>
          <t>True</t>
        </is>
      </c>
      <c r="D283" s="71" t="inlineStr">
        <is>
          <t>Lower-high / Higher-low structure filter (SMA200D replacement). | Live read: `N_RULE_ENTRY_TF_LIST', 'GOLDEN_RULE_MULT_15M', 'GOLDEN_RULE_MULT_1H', 'GOLDEN_RU`</t>
        </is>
      </c>
      <c r="E283" s="71" t="inlineStr">
        <is>
          <t>ENTRY, GLOBAL_CHECK, STOCKS_EXIT</t>
        </is>
      </c>
      <c r="F283" s="71" t="inlineStr">
        <is>
          <t>ENTRY, GLOBAL_CHECK, STOCKS_EXIT</t>
        </is>
      </c>
      <c r="G283" s="71" t="inlineStr">
        <is>
          <t>LH/HL filter</t>
        </is>
      </c>
      <c r="H283" s="71" t="inlineStr">
        <is>
          <t>GENERAL</t>
        </is>
      </c>
      <c r="I283" s="71" t="inlineStr">
        <is>
          <t>LIVE — wired</t>
        </is>
      </c>
      <c r="J283" s="72"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79" t="n">
        <v>76</v>
      </c>
      <c r="B284" s="79" t="inlineStr">
        <is>
          <t>LH_HL_FILTER_MODE</t>
        </is>
      </c>
      <c r="C284" s="0" t="inlineStr">
        <is>
          <t>STRICT_2BAR</t>
        </is>
      </c>
      <c r="D284" s="71" t="inlineStr">
        <is>
          <t>Threshold/gate: LH_HL_FILTER_MODE — _MULT_1H', 'GOLDEN_RULE_MULT_4H', 'GOLDEN_RULE_MULT_D', 'GOLDEN_RULE_MULT_W', 'GR_FILTER_ALL_ENTRIES', 'GR_OPEN_COOLDOWN | ex: `_MULT_1H', 'GOLDEN_RULE_MULT_4H', 'GOLDEN_RULE_MULT_D', 'GOLDEN_RULE_MULT_W', 'G`</t>
        </is>
      </c>
      <c r="E284" s="71" t="inlineStr">
        <is>
          <t>ENTRY, GLOBAL_CHECK, STOCKS_EXIT</t>
        </is>
      </c>
      <c r="F284" s="71" t="inlineStr">
        <is>
          <t>ENTRY, GLOBAL_CHECK, STOCKS_EXIT</t>
        </is>
      </c>
      <c r="G284" s="71" t="inlineStr">
        <is>
          <t>LH/HL filter</t>
        </is>
      </c>
      <c r="H284" s="71" t="inlineStr">
        <is>
          <t>GENERAL</t>
        </is>
      </c>
      <c r="I284" s="71" t="inlineStr">
        <is>
          <t>LIVE — wired</t>
        </is>
      </c>
      <c r="J284" s="72"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71" t="n">
        <v>76</v>
      </c>
      <c r="B285" s="71" t="inlineStr">
        <is>
          <t>LH_HL_FILTER_MODE</t>
        </is>
      </c>
      <c r="C285" s="0" t="inlineStr">
        <is>
          <t>STRICT_2BAR_ALT</t>
        </is>
      </c>
      <c r="D285" s="71" t="inlineStr">
        <is>
          <t>Threshold/gate: LH_HL_FILTER_MODE — _MULT_1H', 'GOLDEN_RULE_MULT_4H', 'GOLDEN_RULE_MULT_D', 'GOLDEN_RULE_MULT_W', 'GR_FILTER_ALL_ENTRIES', 'GR_OPEN_COOLDOWN | ex: `_MULT_1H', 'GOLDEN_RULE_MULT_4H', 'GOLDEN_RULE_MULT_D', 'GOLDEN_RULE_MULT_W', 'G`</t>
        </is>
      </c>
      <c r="E285" s="71" t="inlineStr">
        <is>
          <t>ENTRY, GLOBAL_CHECK, STOCKS_EXIT</t>
        </is>
      </c>
      <c r="F285" s="71" t="inlineStr">
        <is>
          <t>ENTRY, GLOBAL_CHECK, STOCKS_EXIT</t>
        </is>
      </c>
      <c r="G285" s="71" t="inlineStr">
        <is>
          <t>LH/HL filter</t>
        </is>
      </c>
      <c r="H285" s="71" t="inlineStr">
        <is>
          <t>GENERAL</t>
        </is>
      </c>
      <c r="I285" s="71" t="inlineStr">
        <is>
          <t>LIVE — wired</t>
        </is>
      </c>
      <c r="J285" s="72"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79" t="n">
        <v>77</v>
      </c>
      <c r="B286" s="79" t="inlineStr">
        <is>
          <t>LH_HL_FILTER_REQUIRE_BOTH</t>
        </is>
      </c>
      <c r="C286" s="0" t="inlineStr">
        <is>
          <t>False</t>
        </is>
      </c>
      <c r="D286" s="71" t="inlineStr">
        <is>
          <t>Threshold/gate: LH_HL_FILTER_REQUIRE_BOTH — LE_MULT_4H', 'GOLDEN_RULE_MULT_D', 'GOLDEN_RULE_MULT_W', 'GR_FILTER_ALL_ENTRIES', 'GR_OPEN_COOLDOWN_S', 'GR_TOTAL_VOTE_S | ex: `LE_MULT_4H', 'GOLDEN_RULE_MULT_D', 'GOLDEN_RULE_MULT_W', 'GR_FILTER_ALL_ENTRIES'`</t>
        </is>
      </c>
      <c r="E286" s="71" t="inlineStr">
        <is>
          <t>ENTRY, GLOBAL_CHECK, STOCKS_EXIT</t>
        </is>
      </c>
      <c r="F286" s="71" t="inlineStr">
        <is>
          <t>ENTRY, GLOBAL_CHECK, STOCKS_EXIT</t>
        </is>
      </c>
      <c r="G286" s="71" t="inlineStr">
        <is>
          <t>LH/HL filter</t>
        </is>
      </c>
      <c r="H286" s="71" t="inlineStr">
        <is>
          <t>GENERAL</t>
        </is>
      </c>
      <c r="I286" s="71" t="inlineStr">
        <is>
          <t>LIVE — wired</t>
        </is>
      </c>
      <c r="J286" s="72"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71" t="n">
        <v>77</v>
      </c>
      <c r="B287" s="71" t="inlineStr">
        <is>
          <t>LH_HL_FILTER_REQUIRE_BOTH</t>
        </is>
      </c>
      <c r="C287" s="0" t="inlineStr">
        <is>
          <t>False_ALT</t>
        </is>
      </c>
      <c r="D287" s="71" t="inlineStr">
        <is>
          <t>Threshold/gate: LH_HL_FILTER_REQUIRE_BOTH — LE_MULT_4H', 'GOLDEN_RULE_MULT_D', 'GOLDEN_RULE_MULT_W', 'GR_FILTER_ALL_ENTRIES', 'GR_OPEN_COOLDOWN_S', 'GR_TOTAL_VOTE_S | ex: `LE_MULT_4H', 'GOLDEN_RULE_MULT_D', 'GOLDEN_RULE_MULT_W', 'GR_FILTER_ALL_ENTRIES'`</t>
        </is>
      </c>
      <c r="E287" s="71" t="inlineStr">
        <is>
          <t>ENTRY, GLOBAL_CHECK, STOCKS_EXIT</t>
        </is>
      </c>
      <c r="F287" s="71" t="inlineStr">
        <is>
          <t>ENTRY, GLOBAL_CHECK, STOCKS_EXIT</t>
        </is>
      </c>
      <c r="G287" s="71" t="inlineStr">
        <is>
          <t>LH/HL filter</t>
        </is>
      </c>
      <c r="H287" s="71" t="inlineStr">
        <is>
          <t>GENERAL</t>
        </is>
      </c>
      <c r="I287" s="71" t="inlineStr">
        <is>
          <t>LIVE — wired</t>
        </is>
      </c>
      <c r="J287" s="72"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80" t="n">
        <v>78</v>
      </c>
      <c r="B288" s="80" t="inlineStr">
        <is>
          <t>LH_HL_FILTER_TF_REQ</t>
        </is>
      </c>
      <c r="C288" s="0" t="inlineStr">
        <is>
          <t>2</t>
        </is>
      </c>
      <c r="D288"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3" t="inlineStr">
        <is>
          <t>ENTRY, GLOBAL_CHECK, STOCKS_EXIT</t>
        </is>
      </c>
      <c r="F288" s="73" t="inlineStr">
        <is>
          <t>ENTRY, GLOBAL_CHECK, STOCKS_EXIT</t>
        </is>
      </c>
      <c r="G288" s="73" t="inlineStr">
        <is>
          <t>LH/HL filter</t>
        </is>
      </c>
      <c r="H288" s="73" t="inlineStr">
        <is>
          <t>SPECIFIC — only gated switches</t>
        </is>
      </c>
      <c r="I288" s="73" t="inlineStr">
        <is>
          <t>LIVE — wired</t>
        </is>
      </c>
      <c r="J288" s="6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3" t="n">
        <v>78</v>
      </c>
      <c r="B289" s="73" t="inlineStr">
        <is>
          <t>LH_HL_FILTER_TF_REQ</t>
        </is>
      </c>
      <c r="C289" s="0" t="inlineStr">
        <is>
          <t>2_ALT</t>
        </is>
      </c>
      <c r="D289"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3" t="inlineStr">
        <is>
          <t>ENTRY, GLOBAL_CHECK, STOCKS_EXIT</t>
        </is>
      </c>
      <c r="F289" s="73" t="inlineStr">
        <is>
          <t>ENTRY, GLOBAL_CHECK, STOCKS_EXIT</t>
        </is>
      </c>
      <c r="G289" s="73" t="inlineStr">
        <is>
          <t>LH/HL filter</t>
        </is>
      </c>
      <c r="H289" s="73" t="inlineStr">
        <is>
          <t>SPECIFIC — only gated switches</t>
        </is>
      </c>
      <c r="I289" s="73" t="inlineStr">
        <is>
          <t>LIVE — wired</t>
        </is>
      </c>
      <c r="J289" s="6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80" t="n">
        <v>79</v>
      </c>
      <c r="B290" s="80" t="inlineStr">
        <is>
          <t>LIVE_ENTRY_ENGINE_FILTER_TF</t>
        </is>
      </c>
      <c r="C290" s="0" t="inlineStr">
        <is>
          <t>OFF</t>
        </is>
      </c>
      <c r="D290" s="73" t="inlineStr">
        <is>
          <t>Live entry engine confirmation TF. | Live read: `_W', 'GR_FILTER_ALL_ENTRIES', 'GR_OPEN_COOLDOWN_S', 'GR_TOTAL_VOTE_SCORE_MIN', '`</t>
        </is>
      </c>
      <c r="E290" s="73" t="inlineStr">
        <is>
          <t>GLOBAL_CHECK</t>
        </is>
      </c>
      <c r="F290" s="73" t="inlineStr">
        <is>
          <t>GLOBAL_CHECK</t>
        </is>
      </c>
      <c r="G290" s="73" t="inlineStr">
        <is>
          <t>LIVE_ENTRY_ENGINE</t>
        </is>
      </c>
      <c r="H290" s="73" t="inlineStr">
        <is>
          <t>SPECIFIC — only gated switches</t>
        </is>
      </c>
      <c r="I290" s="73" t="inlineStr">
        <is>
          <t>LIVE — wired</t>
        </is>
      </c>
      <c r="J290" s="6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3" t="n">
        <v>79</v>
      </c>
      <c r="B291" s="73" t="inlineStr">
        <is>
          <t>LIVE_ENTRY_ENGINE_FILTER_TF</t>
        </is>
      </c>
      <c r="C291" s="0" t="inlineStr">
        <is>
          <t>D</t>
        </is>
      </c>
      <c r="D291" s="73" t="inlineStr">
        <is>
          <t>Live entry engine confirmation TF. | Live read: `_W', 'GR_FILTER_ALL_ENTRIES', 'GR_OPEN_COOLDOWN_S', 'GR_TOTAL_VOTE_SCORE_MIN', '`</t>
        </is>
      </c>
      <c r="E291" s="73" t="inlineStr">
        <is>
          <t>GLOBAL_CHECK</t>
        </is>
      </c>
      <c r="F291" s="73" t="inlineStr">
        <is>
          <t>GLOBAL_CHECK</t>
        </is>
      </c>
      <c r="G291" s="73" t="inlineStr">
        <is>
          <t>LIVE_ENTRY_ENGINE</t>
        </is>
      </c>
      <c r="H291" s="73" t="inlineStr">
        <is>
          <t>SPECIFIC — only gated switches</t>
        </is>
      </c>
      <c r="I291" s="73" t="inlineStr">
        <is>
          <t>LIVE — wired</t>
        </is>
      </c>
      <c r="J291" s="6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3" t="n">
        <v>79</v>
      </c>
      <c r="B292" s="73" t="inlineStr">
        <is>
          <t>LIVE_ENTRY_ENGINE_FILTER_TF</t>
        </is>
      </c>
      <c r="C292" s="0" t="inlineStr">
        <is>
          <t>4h</t>
        </is>
      </c>
      <c r="D292" s="73" t="inlineStr">
        <is>
          <t>Live entry engine confirmation TF. | Live read: `_W', 'GR_FILTER_ALL_ENTRIES', 'GR_OPEN_COOLDOWN_S', 'GR_TOTAL_VOTE_SCORE_MIN', '`</t>
        </is>
      </c>
      <c r="E292" s="73" t="inlineStr">
        <is>
          <t>GLOBAL_CHECK</t>
        </is>
      </c>
      <c r="F292" s="73" t="inlineStr">
        <is>
          <t>GLOBAL_CHECK</t>
        </is>
      </c>
      <c r="G292" s="73" t="inlineStr">
        <is>
          <t>LIVE_ENTRY_ENGINE</t>
        </is>
      </c>
      <c r="H292" s="73" t="inlineStr">
        <is>
          <t>SPECIFIC — only gated switches</t>
        </is>
      </c>
      <c r="I292" s="73" t="inlineStr">
        <is>
          <t>LIVE — wired</t>
        </is>
      </c>
      <c r="J292" s="6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3" t="n">
        <v>79</v>
      </c>
      <c r="B293" s="73" t="inlineStr">
        <is>
          <t>LIVE_ENTRY_ENGINE_FILTER_TF</t>
        </is>
      </c>
      <c r="C293" s="0" t="inlineStr">
        <is>
          <t>1h</t>
        </is>
      </c>
      <c r="D293" s="73" t="inlineStr">
        <is>
          <t>Live entry engine confirmation TF. | Live read: `_W', 'GR_FILTER_ALL_ENTRIES', 'GR_OPEN_COOLDOWN_S', 'GR_TOTAL_VOTE_SCORE_MIN', '`</t>
        </is>
      </c>
      <c r="E293" s="73" t="inlineStr">
        <is>
          <t>GLOBAL_CHECK</t>
        </is>
      </c>
      <c r="F293" s="73" t="inlineStr">
        <is>
          <t>GLOBAL_CHECK</t>
        </is>
      </c>
      <c r="G293" s="73" t="inlineStr">
        <is>
          <t>LIVE_ENTRY_ENGINE</t>
        </is>
      </c>
      <c r="H293" s="73" t="inlineStr">
        <is>
          <t>SPECIFIC — only gated switches</t>
        </is>
      </c>
      <c r="I293" s="73" t="inlineStr">
        <is>
          <t>LIVE — wired</t>
        </is>
      </c>
      <c r="J293" s="6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3" t="n">
        <v>79</v>
      </c>
      <c r="B294" s="73" t="inlineStr">
        <is>
          <t>LIVE_ENTRY_ENGINE_FILTER_TF</t>
        </is>
      </c>
      <c r="C294" s="0" t="inlineStr">
        <is>
          <t>15m</t>
        </is>
      </c>
      <c r="D294" s="73" t="inlineStr">
        <is>
          <t>Live entry engine confirmation TF. | Live read: `_W', 'GR_FILTER_ALL_ENTRIES', 'GR_OPEN_COOLDOWN_S', 'GR_TOTAL_VOTE_SCORE_MIN', '`</t>
        </is>
      </c>
      <c r="E294" s="73" t="inlineStr">
        <is>
          <t>GLOBAL_CHECK</t>
        </is>
      </c>
      <c r="F294" s="73" t="inlineStr">
        <is>
          <t>GLOBAL_CHECK</t>
        </is>
      </c>
      <c r="G294" s="73" t="inlineStr">
        <is>
          <t>LIVE_ENTRY_ENGINE</t>
        </is>
      </c>
      <c r="H294" s="73" t="inlineStr">
        <is>
          <t>SPECIFIC — only gated switches</t>
        </is>
      </c>
      <c r="I294" s="73" t="inlineStr">
        <is>
          <t>LIVE — wired</t>
        </is>
      </c>
      <c r="J294" s="6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80" t="n">
        <v>80</v>
      </c>
      <c r="B295" s="80" t="inlineStr">
        <is>
          <t>LIVE_ONLY_SIGNALS_BATCH5_FILTER_TF</t>
        </is>
      </c>
      <c r="C295" s="0" t="inlineStr">
        <is>
          <t>OFF</t>
        </is>
      </c>
      <c r="D295" s="73" t="inlineStr">
        <is>
          <t>Batch-5 live-only signals filter TF. | Live read: `TE_MIN_TFS', 'GOLDEN_RULE_ENFORCE_FILTER_TF', 'GOLDEN_RULE_HTF_VOTE_FILTER_TF', `</t>
        </is>
      </c>
      <c r="E295" s="73" t="inlineStr">
        <is>
          <t>GLOBAL_CHECK</t>
        </is>
      </c>
      <c r="F295" s="73" t="inlineStr">
        <is>
          <t>GLOBAL_CHECK</t>
        </is>
      </c>
      <c r="G295" s="73" t="inlineStr">
        <is>
          <t>LIVE_ONLY_SIGNALS_BATCH5</t>
        </is>
      </c>
      <c r="H295" s="73" t="inlineStr">
        <is>
          <t>SPECIFIC — only gated switches</t>
        </is>
      </c>
      <c r="I295" s="73" t="inlineStr">
        <is>
          <t>LIVE — wired</t>
        </is>
      </c>
      <c r="J295" s="6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3" t="n">
        <v>80</v>
      </c>
      <c r="B296" s="73" t="inlineStr">
        <is>
          <t>LIVE_ONLY_SIGNALS_BATCH5_FILTER_TF</t>
        </is>
      </c>
      <c r="C296" s="0" t="inlineStr">
        <is>
          <t>D</t>
        </is>
      </c>
      <c r="D296" s="73" t="inlineStr">
        <is>
          <t>Batch-5 live-only signals filter TF. | Live read: `TE_MIN_TFS', 'GOLDEN_RULE_ENFORCE_FILTER_TF', 'GOLDEN_RULE_HTF_VOTE_FILTER_TF', `</t>
        </is>
      </c>
      <c r="E296" s="73" t="inlineStr">
        <is>
          <t>GLOBAL_CHECK</t>
        </is>
      </c>
      <c r="F296" s="73" t="inlineStr">
        <is>
          <t>GLOBAL_CHECK</t>
        </is>
      </c>
      <c r="G296" s="73" t="inlineStr">
        <is>
          <t>LIVE_ONLY_SIGNALS_BATCH5</t>
        </is>
      </c>
      <c r="H296" s="73" t="inlineStr">
        <is>
          <t>SPECIFIC — only gated switches</t>
        </is>
      </c>
      <c r="I296" s="73" t="inlineStr">
        <is>
          <t>LIVE — wired</t>
        </is>
      </c>
      <c r="J296" s="6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3" t="n">
        <v>80</v>
      </c>
      <c r="B297" s="73" t="inlineStr">
        <is>
          <t>LIVE_ONLY_SIGNALS_BATCH5_FILTER_TF</t>
        </is>
      </c>
      <c r="C297" s="0" t="inlineStr">
        <is>
          <t>4h</t>
        </is>
      </c>
      <c r="D297" s="73" t="inlineStr">
        <is>
          <t>Batch-5 live-only signals filter TF. | Live read: `TE_MIN_TFS', 'GOLDEN_RULE_ENFORCE_FILTER_TF', 'GOLDEN_RULE_HTF_VOTE_FILTER_TF', `</t>
        </is>
      </c>
      <c r="E297" s="73" t="inlineStr">
        <is>
          <t>GLOBAL_CHECK</t>
        </is>
      </c>
      <c r="F297" s="73" t="inlineStr">
        <is>
          <t>GLOBAL_CHECK</t>
        </is>
      </c>
      <c r="G297" s="73" t="inlineStr">
        <is>
          <t>LIVE_ONLY_SIGNALS_BATCH5</t>
        </is>
      </c>
      <c r="H297" s="73" t="inlineStr">
        <is>
          <t>SPECIFIC — only gated switches</t>
        </is>
      </c>
      <c r="I297" s="73" t="inlineStr">
        <is>
          <t>LIVE — wired</t>
        </is>
      </c>
      <c r="J297" s="6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3" t="n">
        <v>80</v>
      </c>
      <c r="B298" s="73" t="inlineStr">
        <is>
          <t>LIVE_ONLY_SIGNALS_BATCH5_FILTER_TF</t>
        </is>
      </c>
      <c r="C298" s="0" t="inlineStr">
        <is>
          <t>1h</t>
        </is>
      </c>
      <c r="D298" s="73" t="inlineStr">
        <is>
          <t>Batch-5 live-only signals filter TF. | Live read: `TE_MIN_TFS', 'GOLDEN_RULE_ENFORCE_FILTER_TF', 'GOLDEN_RULE_HTF_VOTE_FILTER_TF', `</t>
        </is>
      </c>
      <c r="E298" s="73" t="inlineStr">
        <is>
          <t>GLOBAL_CHECK</t>
        </is>
      </c>
      <c r="F298" s="73" t="inlineStr">
        <is>
          <t>GLOBAL_CHECK</t>
        </is>
      </c>
      <c r="G298" s="73" t="inlineStr">
        <is>
          <t>LIVE_ONLY_SIGNALS_BATCH5</t>
        </is>
      </c>
      <c r="H298" s="73" t="inlineStr">
        <is>
          <t>SPECIFIC — only gated switches</t>
        </is>
      </c>
      <c r="I298" s="73" t="inlineStr">
        <is>
          <t>LIVE — wired</t>
        </is>
      </c>
      <c r="J298" s="6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3" t="n">
        <v>80</v>
      </c>
      <c r="B299" s="73" t="inlineStr">
        <is>
          <t>LIVE_ONLY_SIGNALS_BATCH5_FILTER_TF</t>
        </is>
      </c>
      <c r="C299" s="0" t="inlineStr">
        <is>
          <t>15m</t>
        </is>
      </c>
      <c r="D299" s="73" t="inlineStr">
        <is>
          <t>Batch-5 live-only signals filter TF. | Live read: `TE_MIN_TFS', 'GOLDEN_RULE_ENFORCE_FILTER_TF', 'GOLDEN_RULE_HTF_VOTE_FILTER_TF', `</t>
        </is>
      </c>
      <c r="E299" s="73" t="inlineStr">
        <is>
          <t>GLOBAL_CHECK</t>
        </is>
      </c>
      <c r="F299" s="73" t="inlineStr">
        <is>
          <t>GLOBAL_CHECK</t>
        </is>
      </c>
      <c r="G299" s="73" t="inlineStr">
        <is>
          <t>LIVE_ONLY_SIGNALS_BATCH5</t>
        </is>
      </c>
      <c r="H299" s="73" t="inlineStr">
        <is>
          <t>SPECIFIC — only gated switches</t>
        </is>
      </c>
      <c r="I299" s="73" t="inlineStr">
        <is>
          <t>LIVE — wired</t>
        </is>
      </c>
      <c r="J299" s="6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79" t="n">
        <v>81</v>
      </c>
      <c r="B300" s="79" t="inlineStr">
        <is>
          <t>LIVE_VEC_EMERGENCY_BRAKE_ENABLED</t>
        </is>
      </c>
      <c r="C300" s="0" t="inlineStr">
        <is>
          <t>False</t>
        </is>
      </c>
      <c r="D300" s="71" t="inlineStr">
        <is>
          <t>Emergency brake enabled in live vector path. | Live read: `ER_TF', 'GOLDEN_RULE_HTF_VOTE_FILTER_TF', 'GR_FILTER_VEC_ENABLED', 'GR_FILTER_VE`</t>
        </is>
      </c>
      <c r="E300" s="71" t="inlineStr">
        <is>
          <t>GLOBAL_CHECK, STOCKS_EXIT</t>
        </is>
      </c>
      <c r="F300" s="71" t="inlineStr">
        <is>
          <t>GLOBAL_CHECK, STOCKS_EXIT</t>
        </is>
      </c>
      <c r="G300" s="71" t="inlineStr">
        <is>
          <t>LIVE_VEC_EMERGENCY_BRAKE_ENABLED</t>
        </is>
      </c>
      <c r="H300" s="71" t="inlineStr">
        <is>
          <t>GENERAL</t>
        </is>
      </c>
      <c r="I300" s="71" t="inlineStr">
        <is>
          <t>LIVE — wired</t>
        </is>
      </c>
      <c r="J300" s="72"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71" t="n">
        <v>81</v>
      </c>
      <c r="B301" s="71" t="inlineStr">
        <is>
          <t>LIVE_VEC_EMERGENCY_BRAKE_ENABLED</t>
        </is>
      </c>
      <c r="C301" s="0" t="inlineStr">
        <is>
          <t>True</t>
        </is>
      </c>
      <c r="D301" s="71" t="inlineStr">
        <is>
          <t>Emergency brake enabled in live vector path. | Live read: `ER_TF', 'GOLDEN_RULE_HTF_VOTE_FILTER_TF', 'GR_FILTER_VEC_ENABLED', 'GR_FILTER_VE`</t>
        </is>
      </c>
      <c r="E301" s="71" t="inlineStr">
        <is>
          <t>GLOBAL_CHECK, STOCKS_EXIT</t>
        </is>
      </c>
      <c r="F301" s="71" t="inlineStr">
        <is>
          <t>GLOBAL_CHECK, STOCKS_EXIT</t>
        </is>
      </c>
      <c r="G301" s="71" t="inlineStr">
        <is>
          <t>LIVE_VEC_EMERGENCY_BRAKE_ENABLED</t>
        </is>
      </c>
      <c r="H301" s="71" t="inlineStr">
        <is>
          <t>GENERAL</t>
        </is>
      </c>
      <c r="I301" s="71" t="inlineStr">
        <is>
          <t>LIVE — wired</t>
        </is>
      </c>
      <c r="J301" s="72"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79" t="n">
        <v>82</v>
      </c>
      <c r="B302" s="79" t="inlineStr">
        <is>
          <t>LR_BAND_LADDER_STOCH_EXTREME</t>
        </is>
      </c>
      <c r="C302" s="0" t="inlineStr">
        <is>
          <t>30.0</t>
        </is>
      </c>
      <c r="D302" s="71" t="inlineStr">
        <is>
          <t>Threshold/gate: LR_BAND_LADDER_STOCH_EXTREME — _TF', 'GR_FILTER_VEC_ENABLED', 'GR_FILTER_VEC_FILTER_TF', 'GR_FILTER_VEC_MIN_TFS', 'GR_V5_HTF_MIN_ALIGN', 'GR_V5_LTF_MIN | ex: `_TF', 'GR_FILTER_VEC_ENABLED', 'GR_FILTER_VEC_FILTER_TF', 'GR_FILTER_VEC_MIN_TFS`</t>
        </is>
      </c>
      <c r="E302" s="71" t="inlineStr">
        <is>
          <t>GLOBAL_CHECK, STOCKS_EXIT</t>
        </is>
      </c>
      <c r="F302" s="71" t="inlineStr">
        <is>
          <t>GLOBAL_CHECK, STOCKS_EXIT</t>
        </is>
      </c>
      <c r="G302" s="71" t="inlineStr">
        <is>
          <t>LR_BAND_LADDER_STOCH_EXTREME</t>
        </is>
      </c>
      <c r="H302" s="71" t="inlineStr">
        <is>
          <t>GENERAL</t>
        </is>
      </c>
      <c r="I302" s="71" t="inlineStr">
        <is>
          <t>LIVE — wired</t>
        </is>
      </c>
      <c r="J302" s="72"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71" t="n">
        <v>82</v>
      </c>
      <c r="B303" s="71" t="inlineStr">
        <is>
          <t>LR_BAND_LADDER_STOCH_EXTREME</t>
        </is>
      </c>
      <c r="C303" s="0" t="inlineStr">
        <is>
          <t>30.0_ALT</t>
        </is>
      </c>
      <c r="D303" s="71" t="inlineStr">
        <is>
          <t>Threshold/gate: LR_BAND_LADDER_STOCH_EXTREME — _TF', 'GR_FILTER_VEC_ENABLED', 'GR_FILTER_VEC_FILTER_TF', 'GR_FILTER_VEC_MIN_TFS', 'GR_V5_HTF_MIN_ALIGN', 'GR_V5_LTF_MIN | ex: `_TF', 'GR_FILTER_VEC_ENABLED', 'GR_FILTER_VEC_FILTER_TF', 'GR_FILTER_VEC_MIN_TFS`</t>
        </is>
      </c>
      <c r="E303" s="71" t="inlineStr">
        <is>
          <t>GLOBAL_CHECK, STOCKS_EXIT</t>
        </is>
      </c>
      <c r="F303" s="71" t="inlineStr">
        <is>
          <t>GLOBAL_CHECK, STOCKS_EXIT</t>
        </is>
      </c>
      <c r="G303" s="71" t="inlineStr">
        <is>
          <t>LR_BAND_LADDER_STOCH_EXTREME</t>
        </is>
      </c>
      <c r="H303" s="71" t="inlineStr">
        <is>
          <t>GENERAL</t>
        </is>
      </c>
      <c r="I303" s="71" t="inlineStr">
        <is>
          <t>LIVE — wired</t>
        </is>
      </c>
      <c r="J303" s="72"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79" t="n">
        <v>83</v>
      </c>
      <c r="B304" s="79" t="inlineStr">
        <is>
          <t>LR_BAND_LADDER_TF_BOTTOM</t>
        </is>
      </c>
      <c r="C304" s="0" t="inlineStr">
        <is>
          <t>0</t>
        </is>
      </c>
      <c r="D304" s="71" t="inlineStr">
        <is>
          <t>Threshold/gate: LR_BAND_LADDER_TF_BOTTOM — GR_FILTER_VEC_FILTER_TF', 'GR_FILTER_VEC_MIN_TFS', 'GR_V5_HTF_MIN_ALIGN', 'GR_V5_LTF_MIN_ALIGN', 'GR_V5_STATE_FILTER_TF' | ex: `GR_FILTER_VEC_FILTER_TF', 'GR_FILTER_VEC_MIN_TFS', 'GR_V5_HTF_MIN_ALIGN', 'GR_V5`</t>
        </is>
      </c>
      <c r="E304" s="71" t="inlineStr">
        <is>
          <t>GLOBAL_CHECK, STOCKS_EXIT</t>
        </is>
      </c>
      <c r="F304" s="71" t="inlineStr">
        <is>
          <t>GLOBAL_CHECK, STOCKS_EXIT</t>
        </is>
      </c>
      <c r="G304" s="71" t="inlineStr">
        <is>
          <t>LR_BAND_LADDER_TF_BOTTOM</t>
        </is>
      </c>
      <c r="H304" s="71" t="inlineStr">
        <is>
          <t>GENERAL</t>
        </is>
      </c>
      <c r="I304" s="71" t="inlineStr">
        <is>
          <t>LIVE — wired</t>
        </is>
      </c>
      <c r="J304" s="72"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71" t="n">
        <v>83</v>
      </c>
      <c r="B305" s="71" t="inlineStr">
        <is>
          <t>LR_BAND_LADDER_TF_BOTTOM</t>
        </is>
      </c>
      <c r="C305" s="0" t="inlineStr">
        <is>
          <t>1</t>
        </is>
      </c>
      <c r="D305" s="71" t="inlineStr">
        <is>
          <t>Threshold/gate: LR_BAND_LADDER_TF_BOTTOM — GR_FILTER_VEC_FILTER_TF', 'GR_FILTER_VEC_MIN_TFS', 'GR_V5_HTF_MIN_ALIGN', 'GR_V5_LTF_MIN_ALIGN', 'GR_V5_STATE_FILTER_TF' | ex: `GR_FILTER_VEC_FILTER_TF', 'GR_FILTER_VEC_MIN_TFS', 'GR_V5_HTF_MIN_ALIGN', 'GR_V5`</t>
        </is>
      </c>
      <c r="E305" s="71" t="inlineStr">
        <is>
          <t>GLOBAL_CHECK, STOCKS_EXIT</t>
        </is>
      </c>
      <c r="F305" s="71" t="inlineStr">
        <is>
          <t>GLOBAL_CHECK, STOCKS_EXIT</t>
        </is>
      </c>
      <c r="G305" s="71" t="inlineStr">
        <is>
          <t>LR_BAND_LADDER_TF_BOTTOM</t>
        </is>
      </c>
      <c r="H305" s="71" t="inlineStr">
        <is>
          <t>GENERAL</t>
        </is>
      </c>
      <c r="I305" s="71" t="inlineStr">
        <is>
          <t>LIVE — wired</t>
        </is>
      </c>
      <c r="J305" s="72"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79" t="n">
        <v>84</v>
      </c>
      <c r="B306" s="79" t="inlineStr">
        <is>
          <t>LR_BAND_LADDER_TF_TOP</t>
        </is>
      </c>
      <c r="C306" s="0" t="inlineStr">
        <is>
          <t>0</t>
        </is>
      </c>
      <c r="D306" s="71" t="inlineStr">
        <is>
          <t>Threshold/gate: LR_BAND_LADDER_TF_TOP — R_FILTER_VEC_MIN_TFS', 'GR_V5_HTF_MIN_ALIGN', 'GR_V5_LTF_MIN_ALIGN', 'GR_V5_STATE_FILTER_TF', 'HAIKU_WINNER_FILTER_TF',  | ex: `R_FILTER_VEC_MIN_TFS', 'GR_V5_HTF_MIN_ALIGN', 'GR_V5_LTF_MIN_ALIGN', 'GR_V5_STAT`</t>
        </is>
      </c>
      <c r="E306" s="71" t="inlineStr">
        <is>
          <t>GLOBAL_CHECK, STOCKS_EXIT</t>
        </is>
      </c>
      <c r="F306" s="71" t="inlineStr">
        <is>
          <t>GLOBAL_CHECK, STOCKS_EXIT</t>
        </is>
      </c>
      <c r="G306" s="71" t="inlineStr">
        <is>
          <t>LR_BAND_LADDER_TF_TOP</t>
        </is>
      </c>
      <c r="H306" s="71" t="inlineStr">
        <is>
          <t>GENERAL</t>
        </is>
      </c>
      <c r="I306" s="71" t="inlineStr">
        <is>
          <t>LIVE — wired</t>
        </is>
      </c>
      <c r="J306" s="72"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71" t="n">
        <v>84</v>
      </c>
      <c r="B307" s="71" t="inlineStr">
        <is>
          <t>LR_BAND_LADDER_TF_TOP</t>
        </is>
      </c>
      <c r="C307" s="0" t="inlineStr">
        <is>
          <t>1</t>
        </is>
      </c>
      <c r="D307" s="71" t="inlineStr">
        <is>
          <t>Threshold/gate: LR_BAND_LADDER_TF_TOP — R_FILTER_VEC_MIN_TFS', 'GR_V5_HTF_MIN_ALIGN', 'GR_V5_LTF_MIN_ALIGN', 'GR_V5_STATE_FILTER_TF', 'HAIKU_WINNER_FILTER_TF',  | ex: `R_FILTER_VEC_MIN_TFS', 'GR_V5_HTF_MIN_ALIGN', 'GR_V5_LTF_MIN_ALIGN', 'GR_V5_STAT`</t>
        </is>
      </c>
      <c r="E307" s="71" t="inlineStr">
        <is>
          <t>GLOBAL_CHECK, STOCKS_EXIT</t>
        </is>
      </c>
      <c r="F307" s="71" t="inlineStr">
        <is>
          <t>GLOBAL_CHECK, STOCKS_EXIT</t>
        </is>
      </c>
      <c r="G307" s="71" t="inlineStr">
        <is>
          <t>LR_BAND_LADDER_TF_TOP</t>
        </is>
      </c>
      <c r="H307" s="71" t="inlineStr">
        <is>
          <t>GENERAL</t>
        </is>
      </c>
      <c r="I307" s="71" t="inlineStr">
        <is>
          <t>LIVE — wired</t>
        </is>
      </c>
      <c r="J307" s="72"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79" t="n">
        <v>85</v>
      </c>
      <c r="B308" s="79" t="inlineStr">
        <is>
          <t>MANDATORY_REENTRY_WT_FILTER_MIN_TFS</t>
        </is>
      </c>
      <c r="C308" s="0" t="inlineStr">
        <is>
          <t>1</t>
        </is>
      </c>
      <c r="D308"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8" s="71" t="inlineStr">
        <is>
          <t>GLOBAL_CHECK, STOCKS_EXIT</t>
        </is>
      </c>
      <c r="F308" s="71" t="inlineStr">
        <is>
          <t>GLOBAL_CHECK, STOCKS_EXIT</t>
        </is>
      </c>
      <c r="G308" s="71" t="inlineStr">
        <is>
          <t>MANDATORY_REENTRY_WT_FILTER_MIN_</t>
        </is>
      </c>
      <c r="H308" s="71" t="inlineStr">
        <is>
          <t>GENERAL</t>
        </is>
      </c>
      <c r="I308" s="71" t="inlineStr">
        <is>
          <t>LIVE — wired</t>
        </is>
      </c>
      <c r="J308" s="72"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71" t="n">
        <v>85</v>
      </c>
      <c r="B309" s="71" t="inlineStr">
        <is>
          <t>MANDATORY_REENTRY_WT_FILTER_MIN_TFS</t>
        </is>
      </c>
      <c r="C309" s="0" t="inlineStr">
        <is>
          <t>3</t>
        </is>
      </c>
      <c r="D309"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9" s="71" t="inlineStr">
        <is>
          <t>GLOBAL_CHECK, STOCKS_EXIT</t>
        </is>
      </c>
      <c r="F309" s="71" t="inlineStr">
        <is>
          <t>GLOBAL_CHECK, STOCKS_EXIT</t>
        </is>
      </c>
      <c r="G309" s="71" t="inlineStr">
        <is>
          <t>MANDATORY_REENTRY_WT_FILTER_MIN_</t>
        </is>
      </c>
      <c r="H309" s="71" t="inlineStr">
        <is>
          <t>GENERAL</t>
        </is>
      </c>
      <c r="I309" s="71" t="inlineStr">
        <is>
          <t>LIVE — wired</t>
        </is>
      </c>
      <c r="J309" s="72"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71" t="n">
        <v>85</v>
      </c>
      <c r="B310" s="71" t="inlineStr">
        <is>
          <t>MANDATORY_REENTRY_WT_FILTER_MIN_TFS</t>
        </is>
      </c>
      <c r="C310" s="0" t="inlineStr">
        <is>
          <t>2</t>
        </is>
      </c>
      <c r="D310" s="71" t="inlineStr">
        <is>
          <t>Threshold/gate: MANDATORY_REENTRY_WT_FILTER_MIN_TFS — EED_PRICE_CROSS_REENTRY_DISK_VEC_ENABLED', 'GUARANTEED_REENTRY_DELTA_GATE_ENABLED', 'GUARANTEED_REENTRY_K_FAVORABLE_HIGH | ex: `EED_PRICE_CROSS_REENTRY_DISK_VEC_ENABLED', 'GUARANTEED_REENTRY_DELTA_GATE_ENABLE`</t>
        </is>
      </c>
      <c r="E310" s="71" t="inlineStr">
        <is>
          <t>GLOBAL_CHECK, STOCKS_EXIT</t>
        </is>
      </c>
      <c r="F310" s="71" t="inlineStr">
        <is>
          <t>GLOBAL_CHECK, STOCKS_EXIT</t>
        </is>
      </c>
      <c r="G310" s="71" t="inlineStr">
        <is>
          <t>MANDATORY_REENTRY_WT_FILTER_MIN_</t>
        </is>
      </c>
      <c r="H310" s="71" t="inlineStr">
        <is>
          <t>GENERAL</t>
        </is>
      </c>
      <c r="I310" s="71" t="inlineStr">
        <is>
          <t>LIVE — wired</t>
        </is>
      </c>
      <c r="J310" s="72"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79" t="n">
        <v>86</v>
      </c>
      <c r="B311" s="79" t="inlineStr">
        <is>
          <t>MANDATORY_REENTRY_WT_FILTER_MIN_VELOCITY</t>
        </is>
      </c>
      <c r="C311" s="0" t="inlineStr">
        <is>
          <t>0.0</t>
        </is>
      </c>
      <c r="D311" s="71" t="inlineStr">
        <is>
          <t>Threshold/gate: MANDATORY_REENTRY_WT_FILTER_MIN_VELOCITY — D', 'GUARANTEED_REENTRY_DELTA_GATE_ENABLED', 'GUARANTEED_REENTRY_K_FAVORABLE_HIGH', 'GUARANTEED_REENTRY_K_FAVORABLE_LOW' | ex: `D', 'GUARANTEED_REENTRY_DELTA_GATE_ENABLED', 'GUARANTEED_REENTRY_K_FAVORABLE_HIG`</t>
        </is>
      </c>
      <c r="E311" s="71" t="inlineStr">
        <is>
          <t>GLOBAL_CHECK, STOCKS_EXIT</t>
        </is>
      </c>
      <c r="F311" s="71" t="inlineStr">
        <is>
          <t>GLOBAL_CHECK, STOCKS_EXIT</t>
        </is>
      </c>
      <c r="G311" s="71" t="inlineStr">
        <is>
          <t>MANDATORY_REENTRY_WT_FILTER_MIN_</t>
        </is>
      </c>
      <c r="H311" s="71" t="inlineStr">
        <is>
          <t>GENERAL</t>
        </is>
      </c>
      <c r="I311" s="71" t="inlineStr">
        <is>
          <t>LIVE — wired</t>
        </is>
      </c>
      <c r="J311" s="72"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71" t="n">
        <v>86</v>
      </c>
      <c r="B312" s="71" t="inlineStr">
        <is>
          <t>MANDATORY_REENTRY_WT_FILTER_MIN_VELOCITY</t>
        </is>
      </c>
      <c r="C312" s="0" t="inlineStr">
        <is>
          <t>0.0_ALT</t>
        </is>
      </c>
      <c r="D312" s="71" t="inlineStr">
        <is>
          <t>Threshold/gate: MANDATORY_REENTRY_WT_FILTER_MIN_VELOCITY — D', 'GUARANTEED_REENTRY_DELTA_GATE_ENABLED', 'GUARANTEED_REENTRY_K_FAVORABLE_HIGH', 'GUARANTEED_REENTRY_K_FAVORABLE_LOW' | ex: `D', 'GUARANTEED_REENTRY_DELTA_GATE_ENABLED', 'GUARANTEED_REENTRY_K_FAVORABLE_HIG`</t>
        </is>
      </c>
      <c r="E312" s="71" t="inlineStr">
        <is>
          <t>GLOBAL_CHECK, STOCKS_EXIT</t>
        </is>
      </c>
      <c r="F312" s="71" t="inlineStr">
        <is>
          <t>GLOBAL_CHECK, STOCKS_EXIT</t>
        </is>
      </c>
      <c r="G312" s="71" t="inlineStr">
        <is>
          <t>MANDATORY_REENTRY_WT_FILTER_MIN_</t>
        </is>
      </c>
      <c r="H312" s="71" t="inlineStr">
        <is>
          <t>GENERAL</t>
        </is>
      </c>
      <c r="I312" s="71" t="inlineStr">
        <is>
          <t>LIVE — wired</t>
        </is>
      </c>
      <c r="J312" s="72"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79" t="n">
        <v>87</v>
      </c>
      <c r="B313" s="79" t="inlineStr">
        <is>
          <t>MANDATORY_REENTRY_WT_FILTER_REQUIRE_FLIP</t>
        </is>
      </c>
      <c r="C313" s="0" t="inlineStr">
        <is>
          <t>False</t>
        </is>
      </c>
      <c r="D313" s="71" t="inlineStr">
        <is>
          <t>Threshold/gate: MANDATORY_REENTRY_WT_FILTER_REQUIRE_FLIP — 'GUARANTEED_REENTRY_K_FAVORABLE_HIGH', 'GUARANTEED_REENTRY_K_FAVORABLE_LOW', 'GUARANTEED_REENTRY_K_HIGH_BLOCK', 'GUARANT | ex: `'GUARANTEED_REENTRY_K_FAVORABLE_HIGH', 'GUARANTEED_REENTRY_K_FAVORABLE_LOW', 'GU`</t>
        </is>
      </c>
      <c r="E313" s="71" t="inlineStr">
        <is>
          <t>GLOBAL_CHECK, STOCKS_EXIT</t>
        </is>
      </c>
      <c r="F313" s="71" t="inlineStr">
        <is>
          <t>GLOBAL_CHECK, STOCKS_EXIT</t>
        </is>
      </c>
      <c r="G313" s="71" t="inlineStr">
        <is>
          <t>MANDATORY_REENTRY_WT_FILTER_REQU</t>
        </is>
      </c>
      <c r="H313" s="71" t="inlineStr">
        <is>
          <t>GENERAL</t>
        </is>
      </c>
      <c r="I313" s="71" t="inlineStr">
        <is>
          <t>LIVE — wired</t>
        </is>
      </c>
      <c r="J313" s="72"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71" t="n">
        <v>87</v>
      </c>
      <c r="B314" s="71" t="inlineStr">
        <is>
          <t>MANDATORY_REENTRY_WT_FILTER_REQUIRE_FLIP</t>
        </is>
      </c>
      <c r="C314" s="0" t="inlineStr">
        <is>
          <t>False_ALT</t>
        </is>
      </c>
      <c r="D314" s="71" t="inlineStr">
        <is>
          <t>Threshold/gate: MANDATORY_REENTRY_WT_FILTER_REQUIRE_FLIP — 'GUARANTEED_REENTRY_K_FAVORABLE_HIGH', 'GUARANTEED_REENTRY_K_FAVORABLE_LOW', 'GUARANTEED_REENTRY_K_HIGH_BLOCK', 'GUARANT | ex: `'GUARANTEED_REENTRY_K_FAVORABLE_HIGH', 'GUARANTEED_REENTRY_K_FAVORABLE_LOW', 'GU`</t>
        </is>
      </c>
      <c r="E314" s="71" t="inlineStr">
        <is>
          <t>GLOBAL_CHECK, STOCKS_EXIT</t>
        </is>
      </c>
      <c r="F314" s="71" t="inlineStr">
        <is>
          <t>GLOBAL_CHECK, STOCKS_EXIT</t>
        </is>
      </c>
      <c r="G314" s="71" t="inlineStr">
        <is>
          <t>MANDATORY_REENTRY_WT_FILTER_REQU</t>
        </is>
      </c>
      <c r="H314" s="71" t="inlineStr">
        <is>
          <t>GENERAL</t>
        </is>
      </c>
      <c r="I314" s="71" t="inlineStr">
        <is>
          <t>LIVE — wired</t>
        </is>
      </c>
      <c r="J314" s="72"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80" t="n">
        <v>88</v>
      </c>
      <c r="B315" s="80" t="inlineStr">
        <is>
          <t>MANDATORY_REENTRY_WT_FILTER_TF_MODE</t>
        </is>
      </c>
      <c r="C315" s="0" t="inlineStr">
        <is>
          <t>15m_only</t>
        </is>
      </c>
      <c r="D315" s="73" t="inlineStr">
        <is>
          <t>WT filter mode for mandatory reentry (e.g. 5m_or_15m). | Live read: `RANTEED_REENTRY_K_FAVORABLE_LOW', 'GUARANTEED_REENTRY_K_HIGH_BLOCK', 'GUARANTEED`</t>
        </is>
      </c>
      <c r="E315" s="73" t="inlineStr">
        <is>
          <t>GLOBAL_CHECK, STOCKS_EXIT</t>
        </is>
      </c>
      <c r="F315" s="73" t="inlineStr">
        <is>
          <t>GLOBAL_CHECK, STOCKS_EXIT</t>
        </is>
      </c>
      <c r="G315" s="73" t="inlineStr">
        <is>
          <t>MANDATORY_REENTRY_WT_MODE</t>
        </is>
      </c>
      <c r="H315" s="73" t="inlineStr">
        <is>
          <t>SPECIFIC — only gated switches</t>
        </is>
      </c>
      <c r="I315" s="73" t="inlineStr">
        <is>
          <t>LIVE — wired</t>
        </is>
      </c>
      <c r="J315" s="6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3" t="n">
        <v>88</v>
      </c>
      <c r="B316" s="73" t="inlineStr">
        <is>
          <t>MANDATORY_REENTRY_WT_FILTER_TF_MODE</t>
        </is>
      </c>
      <c r="C316" s="0" t="inlineStr">
        <is>
          <t>15m_only_ALT</t>
        </is>
      </c>
      <c r="D316" s="73" t="inlineStr">
        <is>
          <t>WT filter mode for mandatory reentry (e.g. 5m_or_15m). | Live read: `RANTEED_REENTRY_K_FAVORABLE_LOW', 'GUARANTEED_REENTRY_K_HIGH_BLOCK', 'GUARANTEED`</t>
        </is>
      </c>
      <c r="E316" s="73" t="inlineStr">
        <is>
          <t>GLOBAL_CHECK, STOCKS_EXIT</t>
        </is>
      </c>
      <c r="F316" s="73" t="inlineStr">
        <is>
          <t>GLOBAL_CHECK, STOCKS_EXIT</t>
        </is>
      </c>
      <c r="G316" s="73" t="inlineStr">
        <is>
          <t>MANDATORY_REENTRY_WT_MODE</t>
        </is>
      </c>
      <c r="H316" s="73" t="inlineStr">
        <is>
          <t>SPECIFIC — only gated switches</t>
        </is>
      </c>
      <c r="I316" s="73" t="inlineStr">
        <is>
          <t>LIVE — wired</t>
        </is>
      </c>
      <c r="J316" s="6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79" t="n">
        <v>89</v>
      </c>
      <c r="B317" s="79" t="inlineStr">
        <is>
          <t>MANDATORY_REENTRY_WT_FILTER_VELOCITY_RATIO</t>
        </is>
      </c>
      <c r="C317" s="0" t="inlineStr">
        <is>
          <t>0.90</t>
        </is>
      </c>
      <c r="D317"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71" t="inlineStr">
        <is>
          <t>GLOBAL_CHECK, STOCKS_EXIT</t>
        </is>
      </c>
      <c r="F317" s="71" t="inlineStr">
        <is>
          <t>GLOBAL_CHECK, STOCKS_EXIT</t>
        </is>
      </c>
      <c r="G317" s="71" t="inlineStr">
        <is>
          <t>MANDATORY_REENTRY_WT_FILTER_VELO</t>
        </is>
      </c>
      <c r="H317" s="71" t="inlineStr">
        <is>
          <t>GENERAL</t>
        </is>
      </c>
      <c r="I317" s="71" t="inlineStr">
        <is>
          <t>LIVE — wired</t>
        </is>
      </c>
      <c r="J317" s="72"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71" t="n">
        <v>89</v>
      </c>
      <c r="B318" s="71" t="inlineStr">
        <is>
          <t>MANDATORY_REENTRY_WT_FILTER_VELOCITY_RATIO</t>
        </is>
      </c>
      <c r="C318" s="0" t="inlineStr">
        <is>
          <t>0.90_ALT</t>
        </is>
      </c>
      <c r="D318"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71" t="inlineStr">
        <is>
          <t>GLOBAL_CHECK, STOCKS_EXIT</t>
        </is>
      </c>
      <c r="F318" s="71" t="inlineStr">
        <is>
          <t>GLOBAL_CHECK, STOCKS_EXIT</t>
        </is>
      </c>
      <c r="G318" s="71" t="inlineStr">
        <is>
          <t>MANDATORY_REENTRY_WT_FILTER_VELO</t>
        </is>
      </c>
      <c r="H318" s="71" t="inlineStr">
        <is>
          <t>GENERAL</t>
        </is>
      </c>
      <c r="I318" s="71" t="inlineStr">
        <is>
          <t>LIVE — wired</t>
        </is>
      </c>
      <c r="J318" s="72"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79" t="n">
        <v>90</v>
      </c>
      <c r="B319" s="79" t="inlineStr">
        <is>
          <t>MARKET_QUALITY_SCORE_ENABLED</t>
        </is>
      </c>
      <c r="C319" s="0" t="inlineStr">
        <is>
          <t>False</t>
        </is>
      </c>
      <c r="D319" s="71" t="inlineStr">
        <is>
          <t>Market quality score gate (choppiness). | Live read: `'MARKET_QUALITY_SCORE_ENABLED_TRADIER', 'MARK_PRICE_MAX_STALENESS', 'MAX_ALLOWED`</t>
        </is>
      </c>
      <c r="E319" s="71" t="inlineStr">
        <is>
          <t>ENTRY, GLOBAL_CHECK, STOCKS_EXIT</t>
        </is>
      </c>
      <c r="F319" s="71" t="inlineStr">
        <is>
          <t>ENTRY, GLOBAL_CHECK, STOCKS_EXIT</t>
        </is>
      </c>
      <c r="G319" s="71" t="inlineStr">
        <is>
          <t>MARKET_QUALITY_SCORE_ENABLED</t>
        </is>
      </c>
      <c r="H319" s="71" t="inlineStr">
        <is>
          <t>GENERAL — uniform</t>
        </is>
      </c>
      <c r="I319" s="71" t="inlineStr">
        <is>
          <t>LIVE — wired</t>
        </is>
      </c>
      <c r="J319" s="72"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71" t="n">
        <v>90</v>
      </c>
      <c r="B320" s="71" t="inlineStr">
        <is>
          <t>MARKET_QUALITY_SCORE_ENABLED</t>
        </is>
      </c>
      <c r="C320" s="0" t="inlineStr">
        <is>
          <t>True</t>
        </is>
      </c>
      <c r="D320" s="71" t="inlineStr">
        <is>
          <t>Market quality score gate (choppiness). | Live read: `'MARKET_QUALITY_SCORE_ENABLED_TRADIER', 'MARK_PRICE_MAX_STALENESS', 'MAX_ALLOWED`</t>
        </is>
      </c>
      <c r="E320" s="71" t="inlineStr">
        <is>
          <t>ENTRY, GLOBAL_CHECK, STOCKS_EXIT</t>
        </is>
      </c>
      <c r="F320" s="71" t="inlineStr">
        <is>
          <t>ENTRY, GLOBAL_CHECK, STOCKS_EXIT</t>
        </is>
      </c>
      <c r="G320" s="71" t="inlineStr">
        <is>
          <t>MARKET_QUALITY_SCORE_ENABLED</t>
        </is>
      </c>
      <c r="H320" s="71" t="inlineStr">
        <is>
          <t>GENERAL — uniform</t>
        </is>
      </c>
      <c r="I320" s="71" t="inlineStr">
        <is>
          <t>LIVE — wired</t>
        </is>
      </c>
      <c r="J320" s="72"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79" t="n">
        <v>91</v>
      </c>
      <c r="B321" s="79" t="inlineStr">
        <is>
          <t>MI_TF_AGREE_MIN</t>
        </is>
      </c>
      <c r="C321" s="0" t="inlineStr">
        <is>
          <t>0.0</t>
        </is>
      </c>
      <c r="D321" s="71" t="inlineStr">
        <is>
          <t>Market internals: min TFs agreeing. | Live read: `STATE_FILTER_TF', 'HAIKU_WINNER_FILTER_TF', 'HOUR_OF_DAY_GATE_ENABLED', 'HTF4_CO`</t>
        </is>
      </c>
      <c r="E321" s="71" t="inlineStr">
        <is>
          <t>ENTRY, GLOBAL_CHECK, STOCKS_EXIT</t>
        </is>
      </c>
      <c r="F321" s="71" t="inlineStr">
        <is>
          <t>ENTRY, GLOBAL_CHECK, STOCKS_EXIT</t>
        </is>
      </c>
      <c r="G321" s="71" t="inlineStr">
        <is>
          <t>MI_TF_AGREE_MIN</t>
        </is>
      </c>
      <c r="H321" s="71" t="inlineStr">
        <is>
          <t>GENERAL</t>
        </is>
      </c>
      <c r="I321" s="71" t="inlineStr">
        <is>
          <t>LIVE — wired</t>
        </is>
      </c>
      <c r="J321" s="72"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71" t="n">
        <v>91</v>
      </c>
      <c r="B322" s="71" t="inlineStr">
        <is>
          <t>MI_TF_AGREE_MIN</t>
        </is>
      </c>
      <c r="C322" s="0" t="inlineStr">
        <is>
          <t>0.0_ALT</t>
        </is>
      </c>
      <c r="D322" s="71" t="inlineStr">
        <is>
          <t>Market internals: min TFs agreeing. | Live read: `STATE_FILTER_TF', 'HAIKU_WINNER_FILTER_TF', 'HOUR_OF_DAY_GATE_ENABLED', 'HTF4_CO`</t>
        </is>
      </c>
      <c r="E322" s="71" t="inlineStr">
        <is>
          <t>ENTRY, GLOBAL_CHECK, STOCKS_EXIT</t>
        </is>
      </c>
      <c r="F322" s="71" t="inlineStr">
        <is>
          <t>ENTRY, GLOBAL_CHECK, STOCKS_EXIT</t>
        </is>
      </c>
      <c r="G322" s="71" t="inlineStr">
        <is>
          <t>MI_TF_AGREE_MIN</t>
        </is>
      </c>
      <c r="H322" s="71" t="inlineStr">
        <is>
          <t>GENERAL</t>
        </is>
      </c>
      <c r="I322" s="71" t="inlineStr">
        <is>
          <t>LIVE — wired</t>
        </is>
      </c>
      <c r="J322" s="72"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80" t="n">
        <v>92</v>
      </c>
      <c r="B323" s="80" t="inlineStr">
        <is>
          <t>MOM3_FILTER_TF</t>
        </is>
      </c>
      <c r="C323" s="0" t="inlineStr">
        <is>
          <t>OFF</t>
        </is>
      </c>
      <c r="D323" s="73" t="inlineStr">
        <is>
          <t>MOM3 momentum gate TF. | Live read: `HAIKU_WINNER_FILTER_TF', 'HOUR_OF_DAY_GATE_ENABLED', 'HTF4_CONF', 'HTF_ALIGN_REQ`</t>
        </is>
      </c>
      <c r="E323" s="73" t="inlineStr">
        <is>
          <t>GLOBAL_CHECK</t>
        </is>
      </c>
      <c r="F323" s="73" t="inlineStr">
        <is>
          <t>GLOBAL_CHECK</t>
        </is>
      </c>
      <c r="G323" s="73" t="inlineStr">
        <is>
          <t>MOM3</t>
        </is>
      </c>
      <c r="H323" s="73" t="inlineStr">
        <is>
          <t>SPECIFIC — only gated switches</t>
        </is>
      </c>
      <c r="I323" s="73" t="inlineStr">
        <is>
          <t>LIVE — wired</t>
        </is>
      </c>
      <c r="J323" s="6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3" t="n">
        <v>92</v>
      </c>
      <c r="B324" s="73" t="inlineStr">
        <is>
          <t>MOM3_FILTER_TF</t>
        </is>
      </c>
      <c r="C324" s="0" t="inlineStr">
        <is>
          <t>D</t>
        </is>
      </c>
      <c r="D324" s="73" t="inlineStr">
        <is>
          <t>MOM3 momentum gate TF. | Live read: `HAIKU_WINNER_FILTER_TF', 'HOUR_OF_DAY_GATE_ENABLED', 'HTF4_CONF', 'HTF_ALIGN_REQ`</t>
        </is>
      </c>
      <c r="E324" s="73" t="inlineStr">
        <is>
          <t>GLOBAL_CHECK</t>
        </is>
      </c>
      <c r="F324" s="73" t="inlineStr">
        <is>
          <t>GLOBAL_CHECK</t>
        </is>
      </c>
      <c r="G324" s="73" t="inlineStr">
        <is>
          <t>MOM3</t>
        </is>
      </c>
      <c r="H324" s="73" t="inlineStr">
        <is>
          <t>SPECIFIC — only gated switches</t>
        </is>
      </c>
      <c r="I324" s="73" t="inlineStr">
        <is>
          <t>LIVE — wired</t>
        </is>
      </c>
      <c r="J324" s="6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3" t="n">
        <v>92</v>
      </c>
      <c r="B325" s="73" t="inlineStr">
        <is>
          <t>MOM3_FILTER_TF</t>
        </is>
      </c>
      <c r="C325" s="0" t="inlineStr">
        <is>
          <t>4h</t>
        </is>
      </c>
      <c r="D325" s="73" t="inlineStr">
        <is>
          <t>MOM3 momentum gate TF. | Live read: `HAIKU_WINNER_FILTER_TF', 'HOUR_OF_DAY_GATE_ENABLED', 'HTF4_CONF', 'HTF_ALIGN_REQ`</t>
        </is>
      </c>
      <c r="E325" s="73" t="inlineStr">
        <is>
          <t>GLOBAL_CHECK</t>
        </is>
      </c>
      <c r="F325" s="73" t="inlineStr">
        <is>
          <t>GLOBAL_CHECK</t>
        </is>
      </c>
      <c r="G325" s="73" t="inlineStr">
        <is>
          <t>MOM3</t>
        </is>
      </c>
      <c r="H325" s="73" t="inlineStr">
        <is>
          <t>SPECIFIC — only gated switches</t>
        </is>
      </c>
      <c r="I325" s="73" t="inlineStr">
        <is>
          <t>LIVE — wired</t>
        </is>
      </c>
      <c r="J325" s="6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3" t="n">
        <v>92</v>
      </c>
      <c r="B326" s="73" t="inlineStr">
        <is>
          <t>MOM3_FILTER_TF</t>
        </is>
      </c>
      <c r="C326" s="0" t="inlineStr">
        <is>
          <t>1h</t>
        </is>
      </c>
      <c r="D326" s="73" t="inlineStr">
        <is>
          <t>MOM3 momentum gate TF. | Live read: `HAIKU_WINNER_FILTER_TF', 'HOUR_OF_DAY_GATE_ENABLED', 'HTF4_CONF', 'HTF_ALIGN_REQ`</t>
        </is>
      </c>
      <c r="E326" s="73" t="inlineStr">
        <is>
          <t>GLOBAL_CHECK</t>
        </is>
      </c>
      <c r="F326" s="73" t="inlineStr">
        <is>
          <t>GLOBAL_CHECK</t>
        </is>
      </c>
      <c r="G326" s="73" t="inlineStr">
        <is>
          <t>MOM3</t>
        </is>
      </c>
      <c r="H326" s="73" t="inlineStr">
        <is>
          <t>SPECIFIC — only gated switches</t>
        </is>
      </c>
      <c r="I326" s="73" t="inlineStr">
        <is>
          <t>LIVE — wired</t>
        </is>
      </c>
      <c r="J326" s="6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3" t="n">
        <v>92</v>
      </c>
      <c r="B327" s="73" t="inlineStr">
        <is>
          <t>MOM3_FILTER_TF</t>
        </is>
      </c>
      <c r="C327" s="0" t="inlineStr">
        <is>
          <t>15m</t>
        </is>
      </c>
      <c r="D327" s="73" t="inlineStr">
        <is>
          <t>MOM3 momentum gate TF. | Live read: `HAIKU_WINNER_FILTER_TF', 'HOUR_OF_DAY_GATE_ENABLED', 'HTF4_CONF', 'HTF_ALIGN_REQ`</t>
        </is>
      </c>
      <c r="E327" s="73" t="inlineStr">
        <is>
          <t>GLOBAL_CHECK</t>
        </is>
      </c>
      <c r="F327" s="73" t="inlineStr">
        <is>
          <t>GLOBAL_CHECK</t>
        </is>
      </c>
      <c r="G327" s="73" t="inlineStr">
        <is>
          <t>MOM3</t>
        </is>
      </c>
      <c r="H327" s="73" t="inlineStr">
        <is>
          <t>SPECIFIC — only gated switches</t>
        </is>
      </c>
      <c r="I327" s="73" t="inlineStr">
        <is>
          <t>LIVE — wired</t>
        </is>
      </c>
      <c r="J327" s="6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80" t="n">
        <v>93</v>
      </c>
      <c r="B328" s="80" t="inlineStr">
        <is>
          <t>MOMENTUM_BREAKOUT_FILTER_TF</t>
        </is>
      </c>
      <c r="C328" s="0" t="inlineStr">
        <is>
          <t>OFF</t>
        </is>
      </c>
      <c r="D328" s="73" t="inlineStr">
        <is>
          <t>Momentum breakout confirmation TF. | Live read: `PLY_TO_OPEN', 'HTF_GATE_BYPASS_RZ', 'HTF_GATE_D_MANDATORY', 'HTF_GATE_MIN_CONFIR`</t>
        </is>
      </c>
      <c r="E328" s="73" t="inlineStr">
        <is>
          <t>GLOBAL_CHECK</t>
        </is>
      </c>
      <c r="F328" s="73" t="inlineStr">
        <is>
          <t>GLOBAL_CHECK</t>
        </is>
      </c>
      <c r="G328" s="73" t="inlineStr">
        <is>
          <t>MOMENTUM_BREAKOUT</t>
        </is>
      </c>
      <c r="H328" s="73" t="inlineStr">
        <is>
          <t>SPECIFIC — only gated switches</t>
        </is>
      </c>
      <c r="I328" s="73" t="inlineStr">
        <is>
          <t>LIVE — wired</t>
        </is>
      </c>
      <c r="J328" s="6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3" t="n">
        <v>93</v>
      </c>
      <c r="B329" s="73" t="inlineStr">
        <is>
          <t>MOMENTUM_BREAKOUT_FILTER_TF</t>
        </is>
      </c>
      <c r="C329" s="0" t="inlineStr">
        <is>
          <t>D</t>
        </is>
      </c>
      <c r="D329" s="73" t="inlineStr">
        <is>
          <t>Momentum breakout confirmation TF. | Live read: `PLY_TO_OPEN', 'HTF_GATE_BYPASS_RZ', 'HTF_GATE_D_MANDATORY', 'HTF_GATE_MIN_CONFIR`</t>
        </is>
      </c>
      <c r="E329" s="73" t="inlineStr">
        <is>
          <t>GLOBAL_CHECK</t>
        </is>
      </c>
      <c r="F329" s="73" t="inlineStr">
        <is>
          <t>GLOBAL_CHECK</t>
        </is>
      </c>
      <c r="G329" s="73" t="inlineStr">
        <is>
          <t>MOMENTUM_BREAKOUT</t>
        </is>
      </c>
      <c r="H329" s="73" t="inlineStr">
        <is>
          <t>SPECIFIC — only gated switches</t>
        </is>
      </c>
      <c r="I329" s="73" t="inlineStr">
        <is>
          <t>LIVE — wired</t>
        </is>
      </c>
      <c r="J329" s="6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3" t="n">
        <v>93</v>
      </c>
      <c r="B330" s="73" t="inlineStr">
        <is>
          <t>MOMENTUM_BREAKOUT_FILTER_TF</t>
        </is>
      </c>
      <c r="C330" s="0" t="inlineStr">
        <is>
          <t>4h</t>
        </is>
      </c>
      <c r="D330" s="73" t="inlineStr">
        <is>
          <t>Momentum breakout confirmation TF. | Live read: `PLY_TO_OPEN', 'HTF_GATE_BYPASS_RZ', 'HTF_GATE_D_MANDATORY', 'HTF_GATE_MIN_CONFIR`</t>
        </is>
      </c>
      <c r="E330" s="73" t="inlineStr">
        <is>
          <t>GLOBAL_CHECK</t>
        </is>
      </c>
      <c r="F330" s="73" t="inlineStr">
        <is>
          <t>GLOBAL_CHECK</t>
        </is>
      </c>
      <c r="G330" s="73" t="inlineStr">
        <is>
          <t>MOMENTUM_BREAKOUT</t>
        </is>
      </c>
      <c r="H330" s="73" t="inlineStr">
        <is>
          <t>SPECIFIC — only gated switches</t>
        </is>
      </c>
      <c r="I330" s="73" t="inlineStr">
        <is>
          <t>LIVE — wired</t>
        </is>
      </c>
      <c r="J330" s="6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3" t="n">
        <v>93</v>
      </c>
      <c r="B331" s="73" t="inlineStr">
        <is>
          <t>MOMENTUM_BREAKOUT_FILTER_TF</t>
        </is>
      </c>
      <c r="C331" s="0" t="inlineStr">
        <is>
          <t>1h</t>
        </is>
      </c>
      <c r="D331" s="73" t="inlineStr">
        <is>
          <t>Momentum breakout confirmation TF. | Live read: `PLY_TO_OPEN', 'HTF_GATE_BYPASS_RZ', 'HTF_GATE_D_MANDATORY', 'HTF_GATE_MIN_CONFIR`</t>
        </is>
      </c>
      <c r="E331" s="73" t="inlineStr">
        <is>
          <t>GLOBAL_CHECK</t>
        </is>
      </c>
      <c r="F331" s="73" t="inlineStr">
        <is>
          <t>GLOBAL_CHECK</t>
        </is>
      </c>
      <c r="G331" s="73" t="inlineStr">
        <is>
          <t>MOMENTUM_BREAKOUT</t>
        </is>
      </c>
      <c r="H331" s="73" t="inlineStr">
        <is>
          <t>SPECIFIC — only gated switches</t>
        </is>
      </c>
      <c r="I331" s="73" t="inlineStr">
        <is>
          <t>LIVE — wired</t>
        </is>
      </c>
      <c r="J331" s="6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3" t="n">
        <v>93</v>
      </c>
      <c r="B332" s="73" t="inlineStr">
        <is>
          <t>MOMENTUM_BREAKOUT_FILTER_TF</t>
        </is>
      </c>
      <c r="C332" s="0" t="inlineStr">
        <is>
          <t>15m</t>
        </is>
      </c>
      <c r="D332" s="73" t="inlineStr">
        <is>
          <t>Momentum breakout confirmation TF. | Live read: `PLY_TO_OPEN', 'HTF_GATE_BYPASS_RZ', 'HTF_GATE_D_MANDATORY', 'HTF_GATE_MIN_CONFIR`</t>
        </is>
      </c>
      <c r="E332" s="73" t="inlineStr">
        <is>
          <t>GLOBAL_CHECK</t>
        </is>
      </c>
      <c r="F332" s="73" t="inlineStr">
        <is>
          <t>GLOBAL_CHECK</t>
        </is>
      </c>
      <c r="G332" s="73" t="inlineStr">
        <is>
          <t>MOMENTUM_BREAKOUT</t>
        </is>
      </c>
      <c r="H332" s="73" t="inlineStr">
        <is>
          <t>SPECIFIC — only gated switches</t>
        </is>
      </c>
      <c r="I332" s="73" t="inlineStr">
        <is>
          <t>LIVE — wired</t>
        </is>
      </c>
      <c r="J332" s="6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79" t="n">
        <v>94</v>
      </c>
      <c r="B333" s="79" t="inlineStr">
        <is>
          <t>MOVER_THRESHOLD</t>
        </is>
      </c>
      <c r="C333" s="0" t="inlineStr">
        <is>
          <t>5</t>
        </is>
      </c>
      <c r="D333" s="71" t="inlineStr">
        <is>
          <t>Mover threshold (volatility). | Live read: `_ = getattr(config, "MOVER_THRESHOLD", None)`</t>
        </is>
      </c>
      <c r="E333" s="71" t="inlineStr">
        <is>
          <t>ENTRY, GLOBAL_CHECK, STOCKS_EXIT</t>
        </is>
      </c>
      <c r="F333" s="71" t="inlineStr">
        <is>
          <t>ENTRY, GLOBAL_CHECK, STOCKS_EXIT</t>
        </is>
      </c>
      <c r="G333" s="71" t="inlineStr">
        <is>
          <t>MOVER_THRESHOLD</t>
        </is>
      </c>
      <c r="H333" s="71" t="inlineStr">
        <is>
          <t>GENERAL</t>
        </is>
      </c>
      <c r="I333" s="71" t="inlineStr">
        <is>
          <t>LIVE — wired</t>
        </is>
      </c>
      <c r="J333" s="72"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71" t="n">
        <v>94</v>
      </c>
      <c r="B334" s="71" t="inlineStr">
        <is>
          <t>MOVER_THRESHOLD</t>
        </is>
      </c>
      <c r="C334" s="0" t="inlineStr">
        <is>
          <t>6.25</t>
        </is>
      </c>
      <c r="D334" s="71" t="inlineStr">
        <is>
          <t>Mover threshold (volatility). | Live read: `_ = getattr(config, "MOVER_THRESHOLD", None)`</t>
        </is>
      </c>
      <c r="E334" s="71" t="inlineStr">
        <is>
          <t>ENTRY, GLOBAL_CHECK, STOCKS_EXIT</t>
        </is>
      </c>
      <c r="F334" s="71" t="inlineStr">
        <is>
          <t>ENTRY, GLOBAL_CHECK, STOCKS_EXIT</t>
        </is>
      </c>
      <c r="G334" s="71" t="inlineStr">
        <is>
          <t>MOVER_THRESHOLD</t>
        </is>
      </c>
      <c r="H334" s="71" t="inlineStr">
        <is>
          <t>GENERAL</t>
        </is>
      </c>
      <c r="I334" s="71" t="inlineStr">
        <is>
          <t>LIVE — wired</t>
        </is>
      </c>
      <c r="J334" s="72"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71" t="n">
        <v>94</v>
      </c>
      <c r="B335" s="71" t="inlineStr">
        <is>
          <t>MOVER_THRESHOLD</t>
        </is>
      </c>
      <c r="C335" s="0" t="inlineStr">
        <is>
          <t>3.75</t>
        </is>
      </c>
      <c r="D335" s="71" t="inlineStr">
        <is>
          <t>Mover threshold (volatility). | Live read: `_ = getattr(config, "MOVER_THRESHOLD", None)`</t>
        </is>
      </c>
      <c r="E335" s="71" t="inlineStr">
        <is>
          <t>ENTRY, GLOBAL_CHECK, STOCKS_EXIT</t>
        </is>
      </c>
      <c r="F335" s="71" t="inlineStr">
        <is>
          <t>ENTRY, GLOBAL_CHECK, STOCKS_EXIT</t>
        </is>
      </c>
      <c r="G335" s="71" t="inlineStr">
        <is>
          <t>MOVER_THRESHOLD</t>
        </is>
      </c>
      <c r="H335" s="71" t="inlineStr">
        <is>
          <t>GENERAL</t>
        </is>
      </c>
      <c r="I335" s="71" t="inlineStr">
        <is>
          <t>LIVE — wired</t>
        </is>
      </c>
      <c r="J335" s="72"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71" t="n">
        <v>94</v>
      </c>
      <c r="B336" s="71" t="inlineStr">
        <is>
          <t>MOVER_THRESHOLD</t>
        </is>
      </c>
      <c r="C336" s="0" t="inlineStr">
        <is>
          <t>2.5</t>
        </is>
      </c>
      <c r="D336" s="71" t="inlineStr">
        <is>
          <t>Mover threshold (volatility). | Live read: `_ = getattr(config, "MOVER_THRESHOLD", None)`</t>
        </is>
      </c>
      <c r="E336" s="71" t="inlineStr">
        <is>
          <t>ENTRY, GLOBAL_CHECK, STOCKS_EXIT</t>
        </is>
      </c>
      <c r="F336" s="71" t="inlineStr">
        <is>
          <t>ENTRY, GLOBAL_CHECK, STOCKS_EXIT</t>
        </is>
      </c>
      <c r="G336" s="71" t="inlineStr">
        <is>
          <t>MOVER_THRESHOLD</t>
        </is>
      </c>
      <c r="H336" s="71" t="inlineStr">
        <is>
          <t>GENERAL</t>
        </is>
      </c>
      <c r="I336" s="71" t="inlineStr">
        <is>
          <t>LIVE — wired</t>
        </is>
      </c>
      <c r="J336" s="72"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80" t="n">
        <v>95</v>
      </c>
      <c r="B337" s="80" t="inlineStr">
        <is>
          <t>MTF_ARMED_ENTRIES_FILTER_TF</t>
        </is>
      </c>
      <c r="C337" s="0" t="inlineStr">
        <is>
          <t>OFF</t>
        </is>
      </c>
      <c r="D337" s="73" t="inlineStr">
        <is>
          <t>MTF armed entries confirmation TF. | Live read: `G_VETO_FIX_ENABLED', 'HTF_REGIME_ADD_MULT_PER_SMA', 'HTF_REGIME_ENABLED', 'HTF_R`</t>
        </is>
      </c>
      <c r="E337" s="73" t="inlineStr">
        <is>
          <t>GLOBAL_CHECK</t>
        </is>
      </c>
      <c r="F337" s="73" t="inlineStr">
        <is>
          <t>GLOBAL_CHECK</t>
        </is>
      </c>
      <c r="G337" s="73" t="inlineStr">
        <is>
          <t>MTF_ARMED_ENTRIES</t>
        </is>
      </c>
      <c r="H337" s="73" t="inlineStr">
        <is>
          <t>SPECIFIC — only gated switches</t>
        </is>
      </c>
      <c r="I337" s="73" t="inlineStr">
        <is>
          <t>LIVE — wired</t>
        </is>
      </c>
      <c r="J337" s="6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3" t="n">
        <v>95</v>
      </c>
      <c r="B338" s="73" t="inlineStr">
        <is>
          <t>MTF_ARMED_ENTRIES_FILTER_TF</t>
        </is>
      </c>
      <c r="C338" s="0" t="inlineStr">
        <is>
          <t>D</t>
        </is>
      </c>
      <c r="D338" s="73" t="inlineStr">
        <is>
          <t>MTF armed entries confirmation TF. | Live read: `G_VETO_FIX_ENABLED', 'HTF_REGIME_ADD_MULT_PER_SMA', 'HTF_REGIME_ENABLED', 'HTF_R`</t>
        </is>
      </c>
      <c r="E338" s="73" t="inlineStr">
        <is>
          <t>GLOBAL_CHECK</t>
        </is>
      </c>
      <c r="F338" s="73" t="inlineStr">
        <is>
          <t>GLOBAL_CHECK</t>
        </is>
      </c>
      <c r="G338" s="73" t="inlineStr">
        <is>
          <t>MTF_ARMED_ENTRIES</t>
        </is>
      </c>
      <c r="H338" s="73" t="inlineStr">
        <is>
          <t>SPECIFIC — only gated switches</t>
        </is>
      </c>
      <c r="I338" s="73" t="inlineStr">
        <is>
          <t>LIVE — wired</t>
        </is>
      </c>
      <c r="J338" s="6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3" t="n">
        <v>95</v>
      </c>
      <c r="B339" s="73" t="inlineStr">
        <is>
          <t>MTF_ARMED_ENTRIES_FILTER_TF</t>
        </is>
      </c>
      <c r="C339" s="0" t="inlineStr">
        <is>
          <t>4h</t>
        </is>
      </c>
      <c r="D339" s="73" t="inlineStr">
        <is>
          <t>MTF armed entries confirmation TF. | Live read: `G_VETO_FIX_ENABLED', 'HTF_REGIME_ADD_MULT_PER_SMA', 'HTF_REGIME_ENABLED', 'HTF_R`</t>
        </is>
      </c>
      <c r="E339" s="73" t="inlineStr">
        <is>
          <t>GLOBAL_CHECK</t>
        </is>
      </c>
      <c r="F339" s="73" t="inlineStr">
        <is>
          <t>GLOBAL_CHECK</t>
        </is>
      </c>
      <c r="G339" s="73" t="inlineStr">
        <is>
          <t>MTF_ARMED_ENTRIES</t>
        </is>
      </c>
      <c r="H339" s="73" t="inlineStr">
        <is>
          <t>SPECIFIC — only gated switches</t>
        </is>
      </c>
      <c r="I339" s="73" t="inlineStr">
        <is>
          <t>LIVE — wired</t>
        </is>
      </c>
      <c r="J339" s="6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3" t="n">
        <v>95</v>
      </c>
      <c r="B340" s="73" t="inlineStr">
        <is>
          <t>MTF_ARMED_ENTRIES_FILTER_TF</t>
        </is>
      </c>
      <c r="C340" s="0" t="inlineStr">
        <is>
          <t>1h</t>
        </is>
      </c>
      <c r="D340" s="73" t="inlineStr">
        <is>
          <t>MTF armed entries confirmation TF. | Live read: `G_VETO_FIX_ENABLED', 'HTF_REGIME_ADD_MULT_PER_SMA', 'HTF_REGIME_ENABLED', 'HTF_R`</t>
        </is>
      </c>
      <c r="E340" s="73" t="inlineStr">
        <is>
          <t>GLOBAL_CHECK</t>
        </is>
      </c>
      <c r="F340" s="73" t="inlineStr">
        <is>
          <t>GLOBAL_CHECK</t>
        </is>
      </c>
      <c r="G340" s="73" t="inlineStr">
        <is>
          <t>MTF_ARMED_ENTRIES</t>
        </is>
      </c>
      <c r="H340" s="73" t="inlineStr">
        <is>
          <t>SPECIFIC — only gated switches</t>
        </is>
      </c>
      <c r="I340" s="73" t="inlineStr">
        <is>
          <t>LIVE — wired</t>
        </is>
      </c>
      <c r="J340" s="6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3" t="n">
        <v>95</v>
      </c>
      <c r="B341" s="73" t="inlineStr">
        <is>
          <t>MTF_ARMED_ENTRIES_FILTER_TF</t>
        </is>
      </c>
      <c r="C341" s="0" t="inlineStr">
        <is>
          <t>15m</t>
        </is>
      </c>
      <c r="D341" s="73" t="inlineStr">
        <is>
          <t>MTF armed entries confirmation TF. | Live read: `G_VETO_FIX_ENABLED', 'HTF_REGIME_ADD_MULT_PER_SMA', 'HTF_REGIME_ENABLED', 'HTF_R`</t>
        </is>
      </c>
      <c r="E341" s="73" t="inlineStr">
        <is>
          <t>GLOBAL_CHECK</t>
        </is>
      </c>
      <c r="F341" s="73" t="inlineStr">
        <is>
          <t>GLOBAL_CHECK</t>
        </is>
      </c>
      <c r="G341" s="73" t="inlineStr">
        <is>
          <t>MTF_ARMED_ENTRIES</t>
        </is>
      </c>
      <c r="H341" s="73" t="inlineStr">
        <is>
          <t>SPECIFIC — only gated switches</t>
        </is>
      </c>
      <c r="I341" s="73" t="inlineStr">
        <is>
          <t>LIVE — wired</t>
        </is>
      </c>
      <c r="J341" s="6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80" t="n">
        <v>96</v>
      </c>
      <c r="B342" s="80" t="inlineStr">
        <is>
          <t>MTF_ATR_TRAIL_FILTER_TF</t>
        </is>
      </c>
      <c r="C342" s="0" t="inlineStr">
        <is>
          <t>OFF</t>
        </is>
      </c>
      <c r="D342" s="73" t="inlineStr">
        <is>
          <t>MTF ATR trail confirmation TF. | Live read: `_TF', 'HTF_W_REVERSAL_EXIT', 'HYBRID_STRUCT_EXIT_ENABLED', 'LONG_STRUCT_EXIT_TF'`</t>
        </is>
      </c>
      <c r="E342" s="73" t="inlineStr">
        <is>
          <t>GLOBAL_CHECK</t>
        </is>
      </c>
      <c r="F342" s="73" t="inlineStr">
        <is>
          <t>EXIT</t>
        </is>
      </c>
      <c r="G342" s="73" t="inlineStr">
        <is>
          <t>ATR trail exits</t>
        </is>
      </c>
      <c r="H342" s="73" t="inlineStr">
        <is>
          <t>SPECIFIC — only gated switches</t>
        </is>
      </c>
      <c r="I342" s="73" t="inlineStr">
        <is>
          <t>LIVE — wired</t>
        </is>
      </c>
      <c r="J342" s="6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3" t="n">
        <v>96</v>
      </c>
      <c r="B343" s="73" t="inlineStr">
        <is>
          <t>MTF_ATR_TRAIL_FILTER_TF</t>
        </is>
      </c>
      <c r="C343" s="0" t="inlineStr">
        <is>
          <t>D</t>
        </is>
      </c>
      <c r="D343" s="73" t="inlineStr">
        <is>
          <t>MTF ATR trail confirmation TF. | Live read: `_TF', 'HTF_W_REVERSAL_EXIT', 'HYBRID_STRUCT_EXIT_ENABLED', 'LONG_STRUCT_EXIT_TF'`</t>
        </is>
      </c>
      <c r="E343" s="73" t="inlineStr">
        <is>
          <t>GLOBAL_CHECK</t>
        </is>
      </c>
      <c r="F343" s="73" t="inlineStr">
        <is>
          <t>EXIT</t>
        </is>
      </c>
      <c r="G343" s="73" t="inlineStr">
        <is>
          <t>ATR trail exits</t>
        </is>
      </c>
      <c r="H343" s="73" t="inlineStr">
        <is>
          <t>SPECIFIC — only gated switches</t>
        </is>
      </c>
      <c r="I343" s="73" t="inlineStr">
        <is>
          <t>LIVE — wired</t>
        </is>
      </c>
      <c r="J343" s="6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3" t="n">
        <v>96</v>
      </c>
      <c r="B344" s="73" t="inlineStr">
        <is>
          <t>MTF_ATR_TRAIL_FILTER_TF</t>
        </is>
      </c>
      <c r="C344" s="0" t="inlineStr">
        <is>
          <t>4h</t>
        </is>
      </c>
      <c r="D344" s="73" t="inlineStr">
        <is>
          <t>MTF ATR trail confirmation TF. | Live read: `_TF', 'HTF_W_REVERSAL_EXIT', 'HYBRID_STRUCT_EXIT_ENABLED', 'LONG_STRUCT_EXIT_TF'`</t>
        </is>
      </c>
      <c r="E344" s="73" t="inlineStr">
        <is>
          <t>GLOBAL_CHECK</t>
        </is>
      </c>
      <c r="F344" s="73" t="inlineStr">
        <is>
          <t>EXIT</t>
        </is>
      </c>
      <c r="G344" s="73" t="inlineStr">
        <is>
          <t>ATR trail exits</t>
        </is>
      </c>
      <c r="H344" s="73" t="inlineStr">
        <is>
          <t>SPECIFIC — only gated switches</t>
        </is>
      </c>
      <c r="I344" s="73" t="inlineStr">
        <is>
          <t>LIVE — wired</t>
        </is>
      </c>
      <c r="J344" s="6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3" t="n">
        <v>96</v>
      </c>
      <c r="B345" s="73" t="inlineStr">
        <is>
          <t>MTF_ATR_TRAIL_FILTER_TF</t>
        </is>
      </c>
      <c r="C345" s="0" t="inlineStr">
        <is>
          <t>1h</t>
        </is>
      </c>
      <c r="D345" s="73" t="inlineStr">
        <is>
          <t>MTF ATR trail confirmation TF. | Live read: `_TF', 'HTF_W_REVERSAL_EXIT', 'HYBRID_STRUCT_EXIT_ENABLED', 'LONG_STRUCT_EXIT_TF'`</t>
        </is>
      </c>
      <c r="E345" s="73" t="inlineStr">
        <is>
          <t>GLOBAL_CHECK</t>
        </is>
      </c>
      <c r="F345" s="73" t="inlineStr">
        <is>
          <t>EXIT</t>
        </is>
      </c>
      <c r="G345" s="73" t="inlineStr">
        <is>
          <t>ATR trail exits</t>
        </is>
      </c>
      <c r="H345" s="73" t="inlineStr">
        <is>
          <t>SPECIFIC — only gated switches</t>
        </is>
      </c>
      <c r="I345" s="73" t="inlineStr">
        <is>
          <t>LIVE — wired</t>
        </is>
      </c>
      <c r="J345" s="6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3" t="n">
        <v>96</v>
      </c>
      <c r="B346" s="73" t="inlineStr">
        <is>
          <t>MTF_ATR_TRAIL_FILTER_TF</t>
        </is>
      </c>
      <c r="C346" s="0" t="inlineStr">
        <is>
          <t>15m</t>
        </is>
      </c>
      <c r="D346" s="73" t="inlineStr">
        <is>
          <t>MTF ATR trail confirmation TF. | Live read: `_TF', 'HTF_W_REVERSAL_EXIT', 'HYBRID_STRUCT_EXIT_ENABLED', 'LONG_STRUCT_EXIT_TF'`</t>
        </is>
      </c>
      <c r="E346" s="73" t="inlineStr">
        <is>
          <t>GLOBAL_CHECK</t>
        </is>
      </c>
      <c r="F346" s="73" t="inlineStr">
        <is>
          <t>EXIT</t>
        </is>
      </c>
      <c r="G346" s="73" t="inlineStr">
        <is>
          <t>ATR trail exits</t>
        </is>
      </c>
      <c r="H346" s="73" t="inlineStr">
        <is>
          <t>SPECIFIC — only gated switches</t>
        </is>
      </c>
      <c r="I346" s="73" t="inlineStr">
        <is>
          <t>LIVE — wired</t>
        </is>
      </c>
      <c r="J346" s="6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80" t="n">
        <v>97</v>
      </c>
      <c r="B347" s="80" t="inlineStr">
        <is>
          <t>MTF_DC_REJECT_FILTER_TF</t>
        </is>
      </c>
      <c r="C347" s="0" t="inlineStr">
        <is>
          <t>OFF</t>
        </is>
      </c>
      <c r="D347" s="73" t="inlineStr">
        <is>
          <t>Rejects DC breaks that fail MTF confirmation. | Live read: `TF_REGIME_LEDGER_PATH', 'HTF_REGIME_SIZE_CAP', 'HTF_REGIME_TF', 'HTF_REGIME_VOL_`</t>
        </is>
      </c>
      <c r="E347" s="73" t="inlineStr">
        <is>
          <t>GLOBAL_CHECK</t>
        </is>
      </c>
      <c r="F347" s="73" t="inlineStr">
        <is>
          <t>GLOBAL_CHECK</t>
        </is>
      </c>
      <c r="G347" s="73" t="inlineStr">
        <is>
          <t>MTF_DC_REJECT</t>
        </is>
      </c>
      <c r="H347" s="73" t="inlineStr">
        <is>
          <t>SPECIFIC — only gated switches</t>
        </is>
      </c>
      <c r="I347" s="73" t="inlineStr">
        <is>
          <t>LIVE — wired</t>
        </is>
      </c>
      <c r="J347" s="6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3" t="n">
        <v>97</v>
      </c>
      <c r="B348" s="73" t="inlineStr">
        <is>
          <t>MTF_DC_REJECT_FILTER_TF</t>
        </is>
      </c>
      <c r="C348" s="0" t="inlineStr">
        <is>
          <t>D</t>
        </is>
      </c>
      <c r="D348" s="73" t="inlineStr">
        <is>
          <t>Rejects DC breaks that fail MTF confirmation. | Live read: `TF_REGIME_LEDGER_PATH', 'HTF_REGIME_SIZE_CAP', 'HTF_REGIME_TF', 'HTF_REGIME_VOL_`</t>
        </is>
      </c>
      <c r="E348" s="73" t="inlineStr">
        <is>
          <t>GLOBAL_CHECK</t>
        </is>
      </c>
      <c r="F348" s="73" t="inlineStr">
        <is>
          <t>GLOBAL_CHECK</t>
        </is>
      </c>
      <c r="G348" s="73" t="inlineStr">
        <is>
          <t>MTF_DC_REJECT</t>
        </is>
      </c>
      <c r="H348" s="73" t="inlineStr">
        <is>
          <t>SPECIFIC — only gated switches</t>
        </is>
      </c>
      <c r="I348" s="73" t="inlineStr">
        <is>
          <t>LIVE — wired</t>
        </is>
      </c>
      <c r="J348" s="6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3" t="n">
        <v>97</v>
      </c>
      <c r="B349" s="73" t="inlineStr">
        <is>
          <t>MTF_DC_REJECT_FILTER_TF</t>
        </is>
      </c>
      <c r="C349" s="0" t="inlineStr">
        <is>
          <t>4h</t>
        </is>
      </c>
      <c r="D349" s="73" t="inlineStr">
        <is>
          <t>Rejects DC breaks that fail MTF confirmation. | Live read: `TF_REGIME_LEDGER_PATH', 'HTF_REGIME_SIZE_CAP', 'HTF_REGIME_TF', 'HTF_REGIME_VOL_`</t>
        </is>
      </c>
      <c r="E349" s="73" t="inlineStr">
        <is>
          <t>GLOBAL_CHECK</t>
        </is>
      </c>
      <c r="F349" s="73" t="inlineStr">
        <is>
          <t>GLOBAL_CHECK</t>
        </is>
      </c>
      <c r="G349" s="73" t="inlineStr">
        <is>
          <t>MTF_DC_REJECT</t>
        </is>
      </c>
      <c r="H349" s="73" t="inlineStr">
        <is>
          <t>SPECIFIC — only gated switches</t>
        </is>
      </c>
      <c r="I349" s="73" t="inlineStr">
        <is>
          <t>LIVE — wired</t>
        </is>
      </c>
      <c r="J349" s="6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3" t="n">
        <v>97</v>
      </c>
      <c r="B350" s="73" t="inlineStr">
        <is>
          <t>MTF_DC_REJECT_FILTER_TF</t>
        </is>
      </c>
      <c r="C350" s="0" t="inlineStr">
        <is>
          <t>1h</t>
        </is>
      </c>
      <c r="D350" s="73" t="inlineStr">
        <is>
          <t>Rejects DC breaks that fail MTF confirmation. | Live read: `TF_REGIME_LEDGER_PATH', 'HTF_REGIME_SIZE_CAP', 'HTF_REGIME_TF', 'HTF_REGIME_VOL_`</t>
        </is>
      </c>
      <c r="E350" s="73" t="inlineStr">
        <is>
          <t>GLOBAL_CHECK</t>
        </is>
      </c>
      <c r="F350" s="73" t="inlineStr">
        <is>
          <t>GLOBAL_CHECK</t>
        </is>
      </c>
      <c r="G350" s="73" t="inlineStr">
        <is>
          <t>MTF_DC_REJECT</t>
        </is>
      </c>
      <c r="H350" s="73" t="inlineStr">
        <is>
          <t>SPECIFIC — only gated switches</t>
        </is>
      </c>
      <c r="I350" s="73" t="inlineStr">
        <is>
          <t>LIVE — wired</t>
        </is>
      </c>
      <c r="J350" s="6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3" t="n">
        <v>97</v>
      </c>
      <c r="B351" s="73" t="inlineStr">
        <is>
          <t>MTF_DC_REJECT_FILTER_TF</t>
        </is>
      </c>
      <c r="C351" s="0" t="inlineStr">
        <is>
          <t>15m</t>
        </is>
      </c>
      <c r="D351" s="73" t="inlineStr">
        <is>
          <t>Rejects DC breaks that fail MTF confirmation. | Live read: `TF_REGIME_LEDGER_PATH', 'HTF_REGIME_SIZE_CAP', 'HTF_REGIME_TF', 'HTF_REGIME_VOL_`</t>
        </is>
      </c>
      <c r="E351" s="73" t="inlineStr">
        <is>
          <t>GLOBAL_CHECK</t>
        </is>
      </c>
      <c r="F351" s="73" t="inlineStr">
        <is>
          <t>GLOBAL_CHECK</t>
        </is>
      </c>
      <c r="G351" s="73" t="inlineStr">
        <is>
          <t>MTF_DC_REJECT</t>
        </is>
      </c>
      <c r="H351" s="73" t="inlineStr">
        <is>
          <t>SPECIFIC — only gated switches</t>
        </is>
      </c>
      <c r="I351" s="73" t="inlineStr">
        <is>
          <t>LIVE — wired</t>
        </is>
      </c>
      <c r="J351" s="6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79" t="n">
        <v>98</v>
      </c>
      <c r="B352" s="79" t="inlineStr">
        <is>
          <t>MTF_FILTER_STRONG_BUY_QUICK_BYPASS</t>
        </is>
      </c>
      <c r="C352" s="0" t="inlineStr">
        <is>
          <t>0.0</t>
        </is>
      </c>
      <c r="D352" s="71" t="inlineStr">
        <is>
          <t>Bypasses MTF filter for strong buys in quick path. | Live read: `ABLED', 'LH_HL_FILTER_ENABLED', 'LH_HL_FILTER_HEDGE_GATE_ENABLED', 'LH_HL_FILTER`</t>
        </is>
      </c>
      <c r="E352" s="71" t="inlineStr">
        <is>
          <t>GLOBAL_CHECK, STOCKS_EXIT</t>
        </is>
      </c>
      <c r="F352" s="71" t="inlineStr">
        <is>
          <t>GLOBAL_CHECK, STOCKS_EXIT</t>
        </is>
      </c>
      <c r="G352" s="71" t="inlineStr">
        <is>
          <t>MTF_FILTER_STRONG_BUY_QUICK_BYPA</t>
        </is>
      </c>
      <c r="H352" s="71" t="inlineStr">
        <is>
          <t>GENERAL</t>
        </is>
      </c>
      <c r="I352" s="71" t="inlineStr">
        <is>
          <t>LIVE — wired</t>
        </is>
      </c>
      <c r="J352" s="72"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71" t="n">
        <v>98</v>
      </c>
      <c r="B353" s="71" t="inlineStr">
        <is>
          <t>MTF_FILTER_STRONG_BUY_QUICK_BYPASS</t>
        </is>
      </c>
      <c r="C353" s="0" t="inlineStr">
        <is>
          <t>0.0_ALT</t>
        </is>
      </c>
      <c r="D353" s="71" t="inlineStr">
        <is>
          <t>Bypasses MTF filter for strong buys in quick path. | Live read: `ABLED', 'LH_HL_FILTER_ENABLED', 'LH_HL_FILTER_HEDGE_GATE_ENABLED', 'LH_HL_FILTER`</t>
        </is>
      </c>
      <c r="E353" s="71" t="inlineStr">
        <is>
          <t>GLOBAL_CHECK, STOCKS_EXIT</t>
        </is>
      </c>
      <c r="F353" s="71" t="inlineStr">
        <is>
          <t>GLOBAL_CHECK, STOCKS_EXIT</t>
        </is>
      </c>
      <c r="G353" s="71" t="inlineStr">
        <is>
          <t>MTF_FILTER_STRONG_BUY_QUICK_BYPA</t>
        </is>
      </c>
      <c r="H353" s="71" t="inlineStr">
        <is>
          <t>GENERAL</t>
        </is>
      </c>
      <c r="I353" s="71" t="inlineStr">
        <is>
          <t>LIVE — wired</t>
        </is>
      </c>
      <c r="J353" s="72"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79" t="n">
        <v>99</v>
      </c>
      <c r="B354" s="79" t="inlineStr">
        <is>
          <t>MTF_GR_MIN_IND</t>
        </is>
      </c>
      <c r="C354" s="0" t="inlineStr">
        <is>
          <t>5</t>
        </is>
      </c>
      <c r="D354" s="71" t="inlineStr">
        <is>
          <t>Threshold/gate: MTF_GR_MIN_IND — _FILTER_HEDGE_GATE_ENABLED', 'LH_HL_FILTER_MODE', 'LH_HL_FILTER_REQUIRE_BOTH', 'LH_HL_FILTER_TF_REQ', 'LIVE_ENTRY_ENGINE | ex: `_FILTER_HEDGE_GATE_ENABLED', 'LH_HL_FILTER_MODE', 'LH_HL_FILTER_REQUIRE_BOTH', '`</t>
        </is>
      </c>
      <c r="E354" s="71" t="inlineStr">
        <is>
          <t>GLOBAL_CHECK, STOCKS_EXIT</t>
        </is>
      </c>
      <c r="F354" s="71" t="inlineStr">
        <is>
          <t>GLOBAL_CHECK, STOCKS_EXIT</t>
        </is>
      </c>
      <c r="G354" s="71" t="inlineStr">
        <is>
          <t>MTF_GR_MIN_IND</t>
        </is>
      </c>
      <c r="H354" s="71" t="inlineStr">
        <is>
          <t>GENERAL</t>
        </is>
      </c>
      <c r="I354" s="71" t="inlineStr">
        <is>
          <t>LIVE — wired</t>
        </is>
      </c>
      <c r="J354" s="72"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71" t="n">
        <v>99</v>
      </c>
      <c r="B355" s="71" t="inlineStr">
        <is>
          <t>MTF_GR_MIN_IND</t>
        </is>
      </c>
      <c r="C355" s="0" t="inlineStr">
        <is>
          <t>5_ALT</t>
        </is>
      </c>
      <c r="D355" s="71" t="inlineStr">
        <is>
          <t>Threshold/gate: MTF_GR_MIN_IND — _FILTER_HEDGE_GATE_ENABLED', 'LH_HL_FILTER_MODE', 'LH_HL_FILTER_REQUIRE_BOTH', 'LH_HL_FILTER_TF_REQ', 'LIVE_ENTRY_ENGINE | ex: `_FILTER_HEDGE_GATE_ENABLED', 'LH_HL_FILTER_MODE', 'LH_HL_FILTER_REQUIRE_BOTH', '`</t>
        </is>
      </c>
      <c r="E355" s="71" t="inlineStr">
        <is>
          <t>GLOBAL_CHECK, STOCKS_EXIT</t>
        </is>
      </c>
      <c r="F355" s="71" t="inlineStr">
        <is>
          <t>GLOBAL_CHECK, STOCKS_EXIT</t>
        </is>
      </c>
      <c r="G355" s="71" t="inlineStr">
        <is>
          <t>MTF_GR_MIN_IND</t>
        </is>
      </c>
      <c r="H355" s="71" t="inlineStr">
        <is>
          <t>GENERAL</t>
        </is>
      </c>
      <c r="I355" s="71" t="inlineStr">
        <is>
          <t>LIVE — wired</t>
        </is>
      </c>
      <c r="J355" s="72"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79" t="n">
        <v>100</v>
      </c>
      <c r="B356" s="79" t="inlineStr">
        <is>
          <t>MTS_BOTTOM_BONUS_THRESHOLD</t>
        </is>
      </c>
      <c r="C356" s="0" t="inlineStr">
        <is>
          <t>25</t>
        </is>
      </c>
      <c r="D356" s="71" t="inlineStr">
        <is>
          <t>MTS bottom bonus threshold. | Live read: `F_REGIME_SIZE_CAP', 'HTF_REGIME_TF', 'HTF_REGIME_VOL_TARGET', 'HTF_TREND_VETO_BY`</t>
        </is>
      </c>
      <c r="E356" s="71" t="inlineStr">
        <is>
          <t>ENTRY, GLOBAL_CHECK, STOCKS_EXIT</t>
        </is>
      </c>
      <c r="F356" s="71" t="inlineStr">
        <is>
          <t>ENTRY, GLOBAL_CHECK, STOCKS_EXIT</t>
        </is>
      </c>
      <c r="G356" s="71" t="inlineStr">
        <is>
          <t>MTS_BOTTOM_BONUS_THRESHOLD</t>
        </is>
      </c>
      <c r="H356" s="71" t="inlineStr">
        <is>
          <t>GENERAL</t>
        </is>
      </c>
      <c r="I356" s="71" t="inlineStr">
        <is>
          <t>LIVE — wired</t>
        </is>
      </c>
      <c r="J356" s="72"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71" t="n">
        <v>100</v>
      </c>
      <c r="B357" s="71" t="inlineStr">
        <is>
          <t>MTS_BOTTOM_BONUS_THRESHOLD</t>
        </is>
      </c>
      <c r="C357" s="0" t="inlineStr">
        <is>
          <t>31.25</t>
        </is>
      </c>
      <c r="D357" s="71" t="inlineStr">
        <is>
          <t>MTS bottom bonus threshold. | Live read: `F_REGIME_SIZE_CAP', 'HTF_REGIME_TF', 'HTF_REGIME_VOL_TARGET', 'HTF_TREND_VETO_BY`</t>
        </is>
      </c>
      <c r="E357" s="71" t="inlineStr">
        <is>
          <t>ENTRY, GLOBAL_CHECK, STOCKS_EXIT</t>
        </is>
      </c>
      <c r="F357" s="71" t="inlineStr">
        <is>
          <t>ENTRY, GLOBAL_CHECK, STOCKS_EXIT</t>
        </is>
      </c>
      <c r="G357" s="71" t="inlineStr">
        <is>
          <t>MTS_BOTTOM_BONUS_THRESHOLD</t>
        </is>
      </c>
      <c r="H357" s="71" t="inlineStr">
        <is>
          <t>GENERAL</t>
        </is>
      </c>
      <c r="I357" s="71" t="inlineStr">
        <is>
          <t>LIVE — wired</t>
        </is>
      </c>
      <c r="J357" s="72"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71" t="n">
        <v>100</v>
      </c>
      <c r="B358" s="71" t="inlineStr">
        <is>
          <t>MTS_BOTTOM_BONUS_THRESHOLD</t>
        </is>
      </c>
      <c r="C358" s="0" t="inlineStr">
        <is>
          <t>18.75</t>
        </is>
      </c>
      <c r="D358" s="71" t="inlineStr">
        <is>
          <t>MTS bottom bonus threshold. | Live read: `F_REGIME_SIZE_CAP', 'HTF_REGIME_TF', 'HTF_REGIME_VOL_TARGET', 'HTF_TREND_VETO_BY`</t>
        </is>
      </c>
      <c r="E358" s="71" t="inlineStr">
        <is>
          <t>ENTRY, GLOBAL_CHECK, STOCKS_EXIT</t>
        </is>
      </c>
      <c r="F358" s="71" t="inlineStr">
        <is>
          <t>ENTRY, GLOBAL_CHECK, STOCKS_EXIT</t>
        </is>
      </c>
      <c r="G358" s="71" t="inlineStr">
        <is>
          <t>MTS_BOTTOM_BONUS_THRESHOLD</t>
        </is>
      </c>
      <c r="H358" s="71" t="inlineStr">
        <is>
          <t>GENERAL</t>
        </is>
      </c>
      <c r="I358" s="71" t="inlineStr">
        <is>
          <t>LIVE — wired</t>
        </is>
      </c>
      <c r="J358" s="72"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71" t="n">
        <v>100</v>
      </c>
      <c r="B359" s="71" t="inlineStr">
        <is>
          <t>MTS_BOTTOM_BONUS_THRESHOLD</t>
        </is>
      </c>
      <c r="C359" s="0" t="inlineStr">
        <is>
          <t>12.5</t>
        </is>
      </c>
      <c r="D359" s="71" t="inlineStr">
        <is>
          <t>MTS bottom bonus threshold. | Live read: `F_REGIME_SIZE_CAP', 'HTF_REGIME_TF', 'HTF_REGIME_VOL_TARGET', 'HTF_TREND_VETO_BY`</t>
        </is>
      </c>
      <c r="E359" s="71" t="inlineStr">
        <is>
          <t>ENTRY, GLOBAL_CHECK, STOCKS_EXIT</t>
        </is>
      </c>
      <c r="F359" s="71" t="inlineStr">
        <is>
          <t>ENTRY, GLOBAL_CHECK, STOCKS_EXIT</t>
        </is>
      </c>
      <c r="G359" s="71" t="inlineStr">
        <is>
          <t>MTS_BOTTOM_BONUS_THRESHOLD</t>
        </is>
      </c>
      <c r="H359" s="71" t="inlineStr">
        <is>
          <t>GENERAL</t>
        </is>
      </c>
      <c r="I359" s="71" t="inlineStr">
        <is>
          <t>LIVE — wired</t>
        </is>
      </c>
      <c r="J359" s="72"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79" t="n">
        <v>101</v>
      </c>
      <c r="B360" s="79" t="inlineStr">
        <is>
          <t>MTS_BOTTOM_STRONG_THRESHOLD</t>
        </is>
      </c>
      <c r="C360" s="0" t="inlineStr">
        <is>
          <t>40</t>
        </is>
      </c>
      <c r="D360" s="71" t="inlineStr">
        <is>
          <t>Threshold/gate: MTS_BOTTOM_STRONG_THRESHOLD — E_TF', 'HTF_REGIME_VOL_TARGET', 'HTF_TREND_VETO_BYPASS_ENABLED', 'HTF_TREND_VETO_BYPASS_REASONS', 'HTF_W_M_ALIGN_GATE',  | ex: `E_TF', 'HTF_REGIME_VOL_TARGET', 'HTF_TREND_VETO_BYPASS_ENABLED', 'HTF_TREND_VETO`</t>
        </is>
      </c>
      <c r="E360" s="71" t="inlineStr">
        <is>
          <t>ENTRY, GLOBAL_CHECK, STOCKS_EXIT</t>
        </is>
      </c>
      <c r="F360" s="71" t="inlineStr">
        <is>
          <t>ENTRY, GLOBAL_CHECK, STOCKS_EXIT</t>
        </is>
      </c>
      <c r="G360" s="71" t="inlineStr">
        <is>
          <t>MTS_BOTTOM_STRONG_THRESHOLD</t>
        </is>
      </c>
      <c r="H360" s="71" t="inlineStr">
        <is>
          <t>GENERAL</t>
        </is>
      </c>
      <c r="I360" s="71" t="inlineStr">
        <is>
          <t>LIVE — wired</t>
        </is>
      </c>
      <c r="J360" s="72"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71" t="n">
        <v>101</v>
      </c>
      <c r="B361" s="71" t="inlineStr">
        <is>
          <t>MTS_BOTTOM_STRONG_THRESHOLD</t>
        </is>
      </c>
      <c r="C361" s="0" t="inlineStr">
        <is>
          <t>50</t>
        </is>
      </c>
      <c r="D361" s="71" t="inlineStr">
        <is>
          <t>Threshold/gate: MTS_BOTTOM_STRONG_THRESHOLD — E_TF', 'HTF_REGIME_VOL_TARGET', 'HTF_TREND_VETO_BYPASS_ENABLED', 'HTF_TREND_VETO_BYPASS_REASONS', 'HTF_W_M_ALIGN_GATE',  | ex: `E_TF', 'HTF_REGIME_VOL_TARGET', 'HTF_TREND_VETO_BYPASS_ENABLED', 'HTF_TREND_VETO`</t>
        </is>
      </c>
      <c r="E361" s="71" t="inlineStr">
        <is>
          <t>ENTRY, GLOBAL_CHECK, STOCKS_EXIT</t>
        </is>
      </c>
      <c r="F361" s="71" t="inlineStr">
        <is>
          <t>ENTRY, GLOBAL_CHECK, STOCKS_EXIT</t>
        </is>
      </c>
      <c r="G361" s="71" t="inlineStr">
        <is>
          <t>MTS_BOTTOM_STRONG_THRESHOLD</t>
        </is>
      </c>
      <c r="H361" s="71" t="inlineStr">
        <is>
          <t>GENERAL</t>
        </is>
      </c>
      <c r="I361" s="71" t="inlineStr">
        <is>
          <t>LIVE — wired</t>
        </is>
      </c>
      <c r="J361" s="72"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71" t="n">
        <v>101</v>
      </c>
      <c r="B362" s="71" t="inlineStr">
        <is>
          <t>MTS_BOTTOM_STRONG_THRESHOLD</t>
        </is>
      </c>
      <c r="C362" s="0" t="inlineStr">
        <is>
          <t>30</t>
        </is>
      </c>
      <c r="D362" s="71" t="inlineStr">
        <is>
          <t>Threshold/gate: MTS_BOTTOM_STRONG_THRESHOLD — E_TF', 'HTF_REGIME_VOL_TARGET', 'HTF_TREND_VETO_BYPASS_ENABLED', 'HTF_TREND_VETO_BYPASS_REASONS', 'HTF_W_M_ALIGN_GATE',  | ex: `E_TF', 'HTF_REGIME_VOL_TARGET', 'HTF_TREND_VETO_BYPASS_ENABLED', 'HTF_TREND_VETO`</t>
        </is>
      </c>
      <c r="E362" s="71" t="inlineStr">
        <is>
          <t>ENTRY, GLOBAL_CHECK, STOCKS_EXIT</t>
        </is>
      </c>
      <c r="F362" s="71" t="inlineStr">
        <is>
          <t>ENTRY, GLOBAL_CHECK, STOCKS_EXIT</t>
        </is>
      </c>
      <c r="G362" s="71" t="inlineStr">
        <is>
          <t>MTS_BOTTOM_STRONG_THRESHOLD</t>
        </is>
      </c>
      <c r="H362" s="71" t="inlineStr">
        <is>
          <t>GENERAL</t>
        </is>
      </c>
      <c r="I362" s="71" t="inlineStr">
        <is>
          <t>LIVE — wired</t>
        </is>
      </c>
      <c r="J362" s="72"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71" t="n">
        <v>101</v>
      </c>
      <c r="B363" s="71" t="inlineStr">
        <is>
          <t>MTS_BOTTOM_STRONG_THRESHOLD</t>
        </is>
      </c>
      <c r="C363" s="0" t="inlineStr">
        <is>
          <t>20</t>
        </is>
      </c>
      <c r="D363" s="71" t="inlineStr">
        <is>
          <t>Threshold/gate: MTS_BOTTOM_STRONG_THRESHOLD — E_TF', 'HTF_REGIME_VOL_TARGET', 'HTF_TREND_VETO_BYPASS_ENABLED', 'HTF_TREND_VETO_BYPASS_REASONS', 'HTF_W_M_ALIGN_GATE',  | ex: `E_TF', 'HTF_REGIME_VOL_TARGET', 'HTF_TREND_VETO_BYPASS_ENABLED', 'HTF_TREND_VETO`</t>
        </is>
      </c>
      <c r="E363" s="71" t="inlineStr">
        <is>
          <t>ENTRY, GLOBAL_CHECK, STOCKS_EXIT</t>
        </is>
      </c>
      <c r="F363" s="71" t="inlineStr">
        <is>
          <t>ENTRY, GLOBAL_CHECK, STOCKS_EXIT</t>
        </is>
      </c>
      <c r="G363" s="71" t="inlineStr">
        <is>
          <t>MTS_BOTTOM_STRONG_THRESHOLD</t>
        </is>
      </c>
      <c r="H363" s="71" t="inlineStr">
        <is>
          <t>GENERAL</t>
        </is>
      </c>
      <c r="I363" s="71" t="inlineStr">
        <is>
          <t>LIVE — wired</t>
        </is>
      </c>
      <c r="J363" s="72"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79" t="n">
        <v>102</v>
      </c>
      <c r="B364" s="79" t="inlineStr">
        <is>
          <t>MTS_GATE_ENABLED</t>
        </is>
      </c>
      <c r="C364" s="0" t="inlineStr">
        <is>
          <t>False</t>
        </is>
      </c>
      <c r="D364" s="71" t="inlineStr">
        <is>
          <t>MTS (Mayer) gate enabled. | Live read: `'HTF_TREND_VETO_BYPASS_ENABLED', 'HTF_TREND_VETO_BYPASS_REASONS', 'HTF_W_M_ALIGN`</t>
        </is>
      </c>
      <c r="E364" s="71" t="inlineStr">
        <is>
          <t>ENTRY, GLOBAL_CHECK, STOCKS_EXIT</t>
        </is>
      </c>
      <c r="F364" s="71" t="inlineStr">
        <is>
          <t>ENTRY, GLOBAL_CHECK, STOCKS_EXIT</t>
        </is>
      </c>
      <c r="G364" s="71" t="inlineStr">
        <is>
          <t>MTS_GATE_ENABLED</t>
        </is>
      </c>
      <c r="H364" s="71" t="inlineStr">
        <is>
          <t>GENERAL</t>
        </is>
      </c>
      <c r="I364" s="71" t="inlineStr">
        <is>
          <t>LIVE — wired</t>
        </is>
      </c>
      <c r="J364" s="72"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71" t="n">
        <v>102</v>
      </c>
      <c r="B365" s="71" t="inlineStr">
        <is>
          <t>MTS_GATE_ENABLED</t>
        </is>
      </c>
      <c r="C365" s="0" t="inlineStr">
        <is>
          <t>True</t>
        </is>
      </c>
      <c r="D365" s="71" t="inlineStr">
        <is>
          <t>MTS (Mayer) gate enabled. | Live read: `'HTF_TREND_VETO_BYPASS_ENABLED', 'HTF_TREND_VETO_BYPASS_REASONS', 'HTF_W_M_ALIGN`</t>
        </is>
      </c>
      <c r="E365" s="71" t="inlineStr">
        <is>
          <t>ENTRY, GLOBAL_CHECK, STOCKS_EXIT</t>
        </is>
      </c>
      <c r="F365" s="71" t="inlineStr">
        <is>
          <t>ENTRY, GLOBAL_CHECK, STOCKS_EXIT</t>
        </is>
      </c>
      <c r="G365" s="71" t="inlineStr">
        <is>
          <t>MTS_GATE_ENABLED</t>
        </is>
      </c>
      <c r="H365" s="71" t="inlineStr">
        <is>
          <t>GENERAL</t>
        </is>
      </c>
      <c r="I365" s="71" t="inlineStr">
        <is>
          <t>LIVE — wired</t>
        </is>
      </c>
      <c r="J365" s="72"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80" t="n">
        <v>103</v>
      </c>
      <c r="B366" s="80" t="inlineStr">
        <is>
          <t>NEWBORN_LOSS_KILL_FILTER_TF</t>
        </is>
      </c>
      <c r="C366" s="0" t="inlineStr">
        <is>
          <t>OFF</t>
        </is>
      </c>
      <c r="D366" s="73" t="inlineStr">
        <is>
          <t>Kills newborn losers when velocity confirms against on FILTER_TF. | Live read: `ASS_ENABLED', 'HTF_TREND_VETO_BYPASS_REASONS', 'HTF_W_M_ALIGN_GATE', 'LEADERBOAR`</t>
        </is>
      </c>
      <c r="E366" s="73" t="inlineStr">
        <is>
          <t>GLOBAL_CHECK</t>
        </is>
      </c>
      <c r="F366" s="73" t="inlineStr">
        <is>
          <t>GLOBAL_CHECK</t>
        </is>
      </c>
      <c r="G366" s="73" t="inlineStr">
        <is>
          <t>NEWBORN_LOSS_KILL</t>
        </is>
      </c>
      <c r="H366" s="73" t="inlineStr">
        <is>
          <t>SPECIFIC — only gated switches</t>
        </is>
      </c>
      <c r="I366" s="73" t="inlineStr">
        <is>
          <t>LIVE — wired</t>
        </is>
      </c>
      <c r="J366" s="6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3" t="n">
        <v>103</v>
      </c>
      <c r="B367" s="73" t="inlineStr">
        <is>
          <t>NEWBORN_LOSS_KILL_FILTER_TF</t>
        </is>
      </c>
      <c r="C367" s="0" t="inlineStr">
        <is>
          <t>D</t>
        </is>
      </c>
      <c r="D367" s="73" t="inlineStr">
        <is>
          <t>Kills newborn losers when velocity confirms against on FILTER_TF. | Live read: `ASS_ENABLED', 'HTF_TREND_VETO_BYPASS_REASONS', 'HTF_W_M_ALIGN_GATE', 'LEADERBOAR`</t>
        </is>
      </c>
      <c r="E367" s="73" t="inlineStr">
        <is>
          <t>GLOBAL_CHECK</t>
        </is>
      </c>
      <c r="F367" s="73" t="inlineStr">
        <is>
          <t>GLOBAL_CHECK</t>
        </is>
      </c>
      <c r="G367" s="73" t="inlineStr">
        <is>
          <t>NEWBORN_LOSS_KILL</t>
        </is>
      </c>
      <c r="H367" s="73" t="inlineStr">
        <is>
          <t>SPECIFIC — only gated switches</t>
        </is>
      </c>
      <c r="I367" s="73" t="inlineStr">
        <is>
          <t>LIVE — wired</t>
        </is>
      </c>
      <c r="J367" s="6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3" t="n">
        <v>103</v>
      </c>
      <c r="B368" s="73" t="inlineStr">
        <is>
          <t>NEWBORN_LOSS_KILL_FILTER_TF</t>
        </is>
      </c>
      <c r="C368" s="0" t="inlineStr">
        <is>
          <t>4h</t>
        </is>
      </c>
      <c r="D368" s="73" t="inlineStr">
        <is>
          <t>Kills newborn losers when velocity confirms against on FILTER_TF. | Live read: `ASS_ENABLED', 'HTF_TREND_VETO_BYPASS_REASONS', 'HTF_W_M_ALIGN_GATE', 'LEADERBOAR`</t>
        </is>
      </c>
      <c r="E368" s="73" t="inlineStr">
        <is>
          <t>GLOBAL_CHECK</t>
        </is>
      </c>
      <c r="F368" s="73" t="inlineStr">
        <is>
          <t>GLOBAL_CHECK</t>
        </is>
      </c>
      <c r="G368" s="73" t="inlineStr">
        <is>
          <t>NEWBORN_LOSS_KILL</t>
        </is>
      </c>
      <c r="H368" s="73" t="inlineStr">
        <is>
          <t>SPECIFIC — only gated switches</t>
        </is>
      </c>
      <c r="I368" s="73" t="inlineStr">
        <is>
          <t>LIVE — wired</t>
        </is>
      </c>
      <c r="J368" s="6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3" t="n">
        <v>103</v>
      </c>
      <c r="B369" s="73" t="inlineStr">
        <is>
          <t>NEWBORN_LOSS_KILL_FILTER_TF</t>
        </is>
      </c>
      <c r="C369" s="0" t="inlineStr">
        <is>
          <t>1h</t>
        </is>
      </c>
      <c r="D369" s="73" t="inlineStr">
        <is>
          <t>Kills newborn losers when velocity confirms against on FILTER_TF. | Live read: `ASS_ENABLED', 'HTF_TREND_VETO_BYPASS_REASONS', 'HTF_W_M_ALIGN_GATE', 'LEADERBOAR`</t>
        </is>
      </c>
      <c r="E369" s="73" t="inlineStr">
        <is>
          <t>GLOBAL_CHECK</t>
        </is>
      </c>
      <c r="F369" s="73" t="inlineStr">
        <is>
          <t>GLOBAL_CHECK</t>
        </is>
      </c>
      <c r="G369" s="73" t="inlineStr">
        <is>
          <t>NEWBORN_LOSS_KILL</t>
        </is>
      </c>
      <c r="H369" s="73" t="inlineStr">
        <is>
          <t>SPECIFIC — only gated switches</t>
        </is>
      </c>
      <c r="I369" s="73" t="inlineStr">
        <is>
          <t>LIVE — wired</t>
        </is>
      </c>
      <c r="J369" s="6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3" t="n">
        <v>103</v>
      </c>
      <c r="B370" s="73" t="inlineStr">
        <is>
          <t>NEWBORN_LOSS_KILL_FILTER_TF</t>
        </is>
      </c>
      <c r="C370" s="0" t="inlineStr">
        <is>
          <t>15m</t>
        </is>
      </c>
      <c r="D370" s="73" t="inlineStr">
        <is>
          <t>Kills newborn losers when velocity confirms against on FILTER_TF. | Live read: `ASS_ENABLED', 'HTF_TREND_VETO_BYPASS_REASONS', 'HTF_W_M_ALIGN_GATE', 'LEADERBOAR`</t>
        </is>
      </c>
      <c r="E370" s="73" t="inlineStr">
        <is>
          <t>GLOBAL_CHECK</t>
        </is>
      </c>
      <c r="F370" s="73" t="inlineStr">
        <is>
          <t>GLOBAL_CHECK</t>
        </is>
      </c>
      <c r="G370" s="73" t="inlineStr">
        <is>
          <t>NEWBORN_LOSS_KILL</t>
        </is>
      </c>
      <c r="H370" s="73" t="inlineStr">
        <is>
          <t>SPECIFIC — only gated switches</t>
        </is>
      </c>
      <c r="I370" s="73" t="inlineStr">
        <is>
          <t>LIVE — wired</t>
        </is>
      </c>
      <c r="J370" s="6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79" t="n">
        <v>104</v>
      </c>
      <c r="B371" s="79" t="inlineStr">
        <is>
          <t>NEWBORN_LOSS_KILL_GAIN_THRESHOLD_PCT</t>
        </is>
      </c>
      <c r="C371" s="0" t="inlineStr">
        <is>
          <t>0</t>
        </is>
      </c>
      <c r="D371" s="71" t="inlineStr">
        <is>
          <t>Threshold/gate: NEWBORN_LOSS_KILL_GAIN_THRESHOLD_PCT — _PCT', 'MANDATORY_HEDGE_HARD_THRESHOLD_PCT', 'MANDATORY_HEDGE_ON_NEGATIVE_ENABLED', 'MIN_TFS_AGREE_EXIT', 'MI_DIV_EXIT_E | ex: `_PCT', 'MANDATORY_HEDGE_HARD_THRESHOLD_PCT', 'MANDATORY_HEDGE_ON_NEGATIVE_ENABLE`</t>
        </is>
      </c>
      <c r="E371" s="71" t="inlineStr">
        <is>
          <t>AUGMENT, EXIT, GLOBAL_CHECK, REDUCE, STOCKS_EXIT</t>
        </is>
      </c>
      <c r="F371" s="71" t="inlineStr">
        <is>
          <t>AUGMENT, EXIT, GLOBAL_CHECK, REDUCE, STOCKS_EXIT</t>
        </is>
      </c>
      <c r="G371" s="71" t="inlineStr">
        <is>
          <t>NEWBORN_LOSS_KILL_GAIN_THRESHOLD</t>
        </is>
      </c>
      <c r="H371" s="71" t="inlineStr">
        <is>
          <t>GENERAL</t>
        </is>
      </c>
      <c r="I371" s="71" t="inlineStr">
        <is>
          <t>LIVE — wired</t>
        </is>
      </c>
      <c r="J371" s="72"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71" t="n">
        <v>104</v>
      </c>
      <c r="B372" s="71" t="inlineStr">
        <is>
          <t>NEWBORN_LOSS_KILL_GAIN_THRESHOLD_PCT</t>
        </is>
      </c>
      <c r="C372" s="0" t="inlineStr">
        <is>
          <t>2.0</t>
        </is>
      </c>
      <c r="D372" s="71" t="inlineStr">
        <is>
          <t>Threshold/gate: NEWBORN_LOSS_KILL_GAIN_THRESHOLD_PCT — _PCT', 'MANDATORY_HEDGE_HARD_THRESHOLD_PCT', 'MANDATORY_HEDGE_ON_NEGATIVE_ENABLED', 'MIN_TFS_AGREE_EXIT', 'MI_DIV_EXIT_E | ex: `_PCT', 'MANDATORY_HEDGE_HARD_THRESHOLD_PCT', 'MANDATORY_HEDGE_ON_NEGATIVE_ENABLE`</t>
        </is>
      </c>
      <c r="E372" s="71" t="inlineStr">
        <is>
          <t>AUGMENT, EXIT, GLOBAL_CHECK, REDUCE, STOCKS_EXIT</t>
        </is>
      </c>
      <c r="F372" s="71" t="inlineStr">
        <is>
          <t>AUGMENT, EXIT, GLOBAL_CHECK, REDUCE, STOCKS_EXIT</t>
        </is>
      </c>
      <c r="G372" s="71" t="inlineStr">
        <is>
          <t>NEWBORN_LOSS_KILL_GAIN_THRESHOLD</t>
        </is>
      </c>
      <c r="H372" s="71" t="inlineStr">
        <is>
          <t>GENERAL</t>
        </is>
      </c>
      <c r="I372" s="71" t="inlineStr">
        <is>
          <t>LIVE — wired</t>
        </is>
      </c>
      <c r="J372" s="72"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71" t="n">
        <v>104</v>
      </c>
      <c r="B373" s="71" t="inlineStr">
        <is>
          <t>NEWBORN_LOSS_KILL_GAIN_THRESHOLD_PCT</t>
        </is>
      </c>
      <c r="C373" s="0" t="inlineStr">
        <is>
          <t>1.0</t>
        </is>
      </c>
      <c r="D373" s="71" t="inlineStr">
        <is>
          <t>Threshold/gate: NEWBORN_LOSS_KILL_GAIN_THRESHOLD_PCT — _PCT', 'MANDATORY_HEDGE_HARD_THRESHOLD_PCT', 'MANDATORY_HEDGE_ON_NEGATIVE_ENABLED', 'MIN_TFS_AGREE_EXIT', 'MI_DIV_EXIT_E | ex: `_PCT', 'MANDATORY_HEDGE_HARD_THRESHOLD_PCT', 'MANDATORY_HEDGE_ON_NEGATIVE_ENABLE`</t>
        </is>
      </c>
      <c r="E373" s="71" t="inlineStr">
        <is>
          <t>AUGMENT, EXIT, GLOBAL_CHECK, REDUCE, STOCKS_EXIT</t>
        </is>
      </c>
      <c r="F373" s="71" t="inlineStr">
        <is>
          <t>AUGMENT, EXIT, GLOBAL_CHECK, REDUCE, STOCKS_EXIT</t>
        </is>
      </c>
      <c r="G373" s="71" t="inlineStr">
        <is>
          <t>NEWBORN_LOSS_KILL_GAIN_THRESHOLD</t>
        </is>
      </c>
      <c r="H373" s="71" t="inlineStr">
        <is>
          <t>GENERAL</t>
        </is>
      </c>
      <c r="I373" s="71" t="inlineStr">
        <is>
          <t>LIVE — wired</t>
        </is>
      </c>
      <c r="J373" s="72"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71" t="n">
        <v>104</v>
      </c>
      <c r="B374" s="71" t="inlineStr">
        <is>
          <t>NEWBORN_LOSS_KILL_GAIN_THRESHOLD_PCT</t>
        </is>
      </c>
      <c r="C374" s="0" t="inlineStr">
        <is>
          <t>0.5</t>
        </is>
      </c>
      <c r="D374" s="71" t="inlineStr">
        <is>
          <t>Threshold/gate: NEWBORN_LOSS_KILL_GAIN_THRESHOLD_PCT — _PCT', 'MANDATORY_HEDGE_HARD_THRESHOLD_PCT', 'MANDATORY_HEDGE_ON_NEGATIVE_ENABLED', 'MIN_TFS_AGREE_EXIT', 'MI_DIV_EXIT_E | ex: `_PCT', 'MANDATORY_HEDGE_HARD_THRESHOLD_PCT', 'MANDATORY_HEDGE_ON_NEGATIVE_ENABLE`</t>
        </is>
      </c>
      <c r="E374" s="71" t="inlineStr">
        <is>
          <t>AUGMENT, EXIT, GLOBAL_CHECK, REDUCE, STOCKS_EXIT</t>
        </is>
      </c>
      <c r="F374" s="71" t="inlineStr">
        <is>
          <t>AUGMENT, EXIT, GLOBAL_CHECK, REDUCE, STOCKS_EXIT</t>
        </is>
      </c>
      <c r="G374" s="71" t="inlineStr">
        <is>
          <t>NEWBORN_LOSS_KILL_GAIN_THRESHOLD</t>
        </is>
      </c>
      <c r="H374" s="71" t="inlineStr">
        <is>
          <t>GENERAL</t>
        </is>
      </c>
      <c r="I374" s="71" t="inlineStr">
        <is>
          <t>LIVE — wired</t>
        </is>
      </c>
      <c r="J374" s="72"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79" t="n">
        <v>105</v>
      </c>
      <c r="B375" s="79" t="inlineStr">
        <is>
          <t>NEWBORN_LOSS_KILL_REQUIRE_VEL_AGAINST</t>
        </is>
      </c>
      <c r="C375" s="0" t="inlineStr">
        <is>
          <t>0.0</t>
        </is>
      </c>
      <c r="D375" s="71" t="inlineStr">
        <is>
          <t>Threshold/gate: NEWBORN_LOSS_KILL_REQUIRE_VEL_AGAINST — CT', 'MANDATORY_HEDGE_ON_NEGATIVE_ENABLED', 'MIN_TFS_AGREE_EXIT', 'MI_DIV_EXIT_ENABLED', 'MI_EXHAUST_EXIT_ENABLED', 'MI_ | ex: `CT', 'MANDATORY_HEDGE_ON_NEGATIVE_ENABLED', 'MIN_TFS_AGREE_EXIT', 'MI_DIV_EXIT_E`</t>
        </is>
      </c>
      <c r="E375" s="71" t="inlineStr">
        <is>
          <t>AUGMENT, EXIT, GLOBAL_CHECK, REDUCE, STOCKS_EXIT</t>
        </is>
      </c>
      <c r="F375" s="71" t="inlineStr">
        <is>
          <t>AUGMENT, EXIT, GLOBAL_CHECK, REDUCE, STOCKS_EXIT</t>
        </is>
      </c>
      <c r="G375" s="71" t="inlineStr">
        <is>
          <t>NEWBORN_LOSS_KILL_REQUIRE_VEL_AG</t>
        </is>
      </c>
      <c r="H375" s="71" t="inlineStr">
        <is>
          <t>GENERAL</t>
        </is>
      </c>
      <c r="I375" s="71" t="inlineStr">
        <is>
          <t>LIVE — wired</t>
        </is>
      </c>
      <c r="J375" s="72"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71" t="n">
        <v>105</v>
      </c>
      <c r="B376" s="71" t="inlineStr">
        <is>
          <t>NEWBORN_LOSS_KILL_REQUIRE_VEL_AGAINST</t>
        </is>
      </c>
      <c r="C376" s="0" t="inlineStr">
        <is>
          <t>0.0_ALT</t>
        </is>
      </c>
      <c r="D376" s="71" t="inlineStr">
        <is>
          <t>Threshold/gate: NEWBORN_LOSS_KILL_REQUIRE_VEL_AGAINST — CT', 'MANDATORY_HEDGE_ON_NEGATIVE_ENABLED', 'MIN_TFS_AGREE_EXIT', 'MI_DIV_EXIT_ENABLED', 'MI_EXHAUST_EXIT_ENABLED', 'MI_ | ex: `CT', 'MANDATORY_HEDGE_ON_NEGATIVE_ENABLED', 'MIN_TFS_AGREE_EXIT', 'MI_DIV_EXIT_E`</t>
        </is>
      </c>
      <c r="E376" s="71" t="inlineStr">
        <is>
          <t>AUGMENT, EXIT, GLOBAL_CHECK, REDUCE, STOCKS_EXIT</t>
        </is>
      </c>
      <c r="F376" s="71" t="inlineStr">
        <is>
          <t>AUGMENT, EXIT, GLOBAL_CHECK, REDUCE, STOCKS_EXIT</t>
        </is>
      </c>
      <c r="G376" s="71" t="inlineStr">
        <is>
          <t>NEWBORN_LOSS_KILL_REQUIRE_VEL_AG</t>
        </is>
      </c>
      <c r="H376" s="71" t="inlineStr">
        <is>
          <t>GENERAL</t>
        </is>
      </c>
      <c r="I376" s="71" t="inlineStr">
        <is>
          <t>LIVE — wired</t>
        </is>
      </c>
      <c r="J376" s="72"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80" t="n">
        <v>106</v>
      </c>
      <c r="B377" s="80" t="inlineStr">
        <is>
          <t>NEWBORN_PROTECT_FILTER_TF</t>
        </is>
      </c>
      <c r="C377" s="0" t="inlineStr">
        <is>
          <t>OFF</t>
        </is>
      </c>
      <c r="D377"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3" t="inlineStr">
        <is>
          <t>GLOBAL_CHECK</t>
        </is>
      </c>
      <c r="F377" s="73" t="inlineStr">
        <is>
          <t>GLOBAL_CHECK</t>
        </is>
      </c>
      <c r="G377" s="73" t="inlineStr">
        <is>
          <t>NEWBORN_PROTECT</t>
        </is>
      </c>
      <c r="H377" s="73" t="inlineStr">
        <is>
          <t>SPECIFIC — only gated switches</t>
        </is>
      </c>
      <c r="I377" s="73" t="inlineStr">
        <is>
          <t>LIVE — wired</t>
        </is>
      </c>
      <c r="J377" s="6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3" t="n">
        <v>106</v>
      </c>
      <c r="B378" s="73" t="inlineStr">
        <is>
          <t>NEWBORN_PROTECT_FILTER_TF</t>
        </is>
      </c>
      <c r="C378" s="0" t="inlineStr">
        <is>
          <t>D</t>
        </is>
      </c>
      <c r="D378"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3" t="inlineStr">
        <is>
          <t>GLOBAL_CHECK</t>
        </is>
      </c>
      <c r="F378" s="73" t="inlineStr">
        <is>
          <t>GLOBAL_CHECK</t>
        </is>
      </c>
      <c r="G378" s="73" t="inlineStr">
        <is>
          <t>NEWBORN_PROTECT</t>
        </is>
      </c>
      <c r="H378" s="73" t="inlineStr">
        <is>
          <t>SPECIFIC — only gated switches</t>
        </is>
      </c>
      <c r="I378" s="73" t="inlineStr">
        <is>
          <t>LIVE — wired</t>
        </is>
      </c>
      <c r="J378" s="6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3" t="n">
        <v>106</v>
      </c>
      <c r="B379" s="73" t="inlineStr">
        <is>
          <t>NEWBORN_PROTECT_FILTER_TF</t>
        </is>
      </c>
      <c r="C379" s="0" t="inlineStr">
        <is>
          <t>4h</t>
        </is>
      </c>
      <c r="D379"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3" t="inlineStr">
        <is>
          <t>GLOBAL_CHECK</t>
        </is>
      </c>
      <c r="F379" s="73" t="inlineStr">
        <is>
          <t>GLOBAL_CHECK</t>
        </is>
      </c>
      <c r="G379" s="73" t="inlineStr">
        <is>
          <t>NEWBORN_PROTECT</t>
        </is>
      </c>
      <c r="H379" s="73" t="inlineStr">
        <is>
          <t>SPECIFIC — only gated switches</t>
        </is>
      </c>
      <c r="I379" s="73" t="inlineStr">
        <is>
          <t>LIVE — wired</t>
        </is>
      </c>
      <c r="J379" s="6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3" t="n">
        <v>106</v>
      </c>
      <c r="B380" s="73" t="inlineStr">
        <is>
          <t>NEWBORN_PROTECT_FILTER_TF</t>
        </is>
      </c>
      <c r="C380" s="0" t="inlineStr">
        <is>
          <t>1h</t>
        </is>
      </c>
      <c r="D380"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3" t="inlineStr">
        <is>
          <t>GLOBAL_CHECK</t>
        </is>
      </c>
      <c r="F380" s="73" t="inlineStr">
        <is>
          <t>GLOBAL_CHECK</t>
        </is>
      </c>
      <c r="G380" s="73" t="inlineStr">
        <is>
          <t>NEWBORN_PROTECT</t>
        </is>
      </c>
      <c r="H380" s="73" t="inlineStr">
        <is>
          <t>SPECIFIC — only gated switches</t>
        </is>
      </c>
      <c r="I380" s="73" t="inlineStr">
        <is>
          <t>LIVE — wired</t>
        </is>
      </c>
      <c r="J380" s="6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3" t="n">
        <v>106</v>
      </c>
      <c r="B381" s="73" t="inlineStr">
        <is>
          <t>NEWBORN_PROTECT_FILTER_TF</t>
        </is>
      </c>
      <c r="C381" s="0" t="inlineStr">
        <is>
          <t>15m</t>
        </is>
      </c>
      <c r="D381"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3" t="inlineStr">
        <is>
          <t>GLOBAL_CHECK</t>
        </is>
      </c>
      <c r="F381" s="73" t="inlineStr">
        <is>
          <t>GLOBAL_CHECK</t>
        </is>
      </c>
      <c r="G381" s="73" t="inlineStr">
        <is>
          <t>NEWBORN_PROTECT</t>
        </is>
      </c>
      <c r="H381" s="73" t="inlineStr">
        <is>
          <t>SPECIFIC — only gated switches</t>
        </is>
      </c>
      <c r="I381" s="73" t="inlineStr">
        <is>
          <t>LIVE — wired</t>
        </is>
      </c>
      <c r="J381" s="6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79" t="n">
        <v>107</v>
      </c>
      <c r="B382" s="79" t="inlineStr">
        <is>
          <t>NEW_POSITION_MAX_LOSS_THRESHOLD</t>
        </is>
      </c>
      <c r="C382" s="0" t="inlineStr">
        <is>
          <t>0</t>
        </is>
      </c>
      <c r="D382" s="71" t="inlineStr">
        <is>
          <t>Threshold/gate: NEW_POSITION_MAX_LOSS_THRESHOLD — _EXHAUSTIVE_REDUCE_LIST_LIVE = ['DC_BREACH_REDUCE_ENABLED', 'DC_BREACH_REDUCE_FILTER_TF', 'DC_BREACH_REDUCE_MIN_TFS', 'D | ex: `_EXHAUSTIVE_REDUCE_LIST_LIVE = ['DC_BREACH_REDUCE_ENABLED', 'DC_BREACH_REDUCE_FI`</t>
        </is>
      </c>
      <c r="E382" s="71" t="inlineStr">
        <is>
          <t>AUGMENT, EXIT, GLOBAL_CHECK, REDUCE, STOCKS_EXIT</t>
        </is>
      </c>
      <c r="F382" s="71" t="inlineStr">
        <is>
          <t>AUGMENT, EXIT, GLOBAL_CHECK, REDUCE, STOCKS_EXIT</t>
        </is>
      </c>
      <c r="G382" s="71" t="inlineStr">
        <is>
          <t>NEW_POSITION_MAX_LOSS_THRESHOLD</t>
        </is>
      </c>
      <c r="H382" s="71" t="inlineStr">
        <is>
          <t>GENERAL</t>
        </is>
      </c>
      <c r="I382" s="71" t="inlineStr">
        <is>
          <t>LIVE — wired</t>
        </is>
      </c>
      <c r="J382" s="72"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71" t="n">
        <v>107</v>
      </c>
      <c r="B383" s="71" t="inlineStr">
        <is>
          <t>NEW_POSITION_MAX_LOSS_THRESHOLD</t>
        </is>
      </c>
      <c r="C383" s="0" t="inlineStr">
        <is>
          <t>2.0</t>
        </is>
      </c>
      <c r="D383" s="71" t="inlineStr">
        <is>
          <t>Threshold/gate: NEW_POSITION_MAX_LOSS_THRESHOLD — _EXHAUSTIVE_REDUCE_LIST_LIVE = ['DC_BREACH_REDUCE_ENABLED', 'DC_BREACH_REDUCE_FILTER_TF', 'DC_BREACH_REDUCE_MIN_TFS', 'D | ex: `_EXHAUSTIVE_REDUCE_LIST_LIVE = ['DC_BREACH_REDUCE_ENABLED', 'DC_BREACH_REDUCE_FI`</t>
        </is>
      </c>
      <c r="E383" s="71" t="inlineStr">
        <is>
          <t>AUGMENT, EXIT, GLOBAL_CHECK, REDUCE, STOCKS_EXIT</t>
        </is>
      </c>
      <c r="F383" s="71" t="inlineStr">
        <is>
          <t>AUGMENT, EXIT, GLOBAL_CHECK, REDUCE, STOCKS_EXIT</t>
        </is>
      </c>
      <c r="G383" s="71" t="inlineStr">
        <is>
          <t>NEW_POSITION_MAX_LOSS_THRESHOLD</t>
        </is>
      </c>
      <c r="H383" s="71" t="inlineStr">
        <is>
          <t>GENERAL</t>
        </is>
      </c>
      <c r="I383" s="71" t="inlineStr">
        <is>
          <t>LIVE — wired</t>
        </is>
      </c>
      <c r="J383" s="72"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71" t="n">
        <v>107</v>
      </c>
      <c r="B384" s="71" t="inlineStr">
        <is>
          <t>NEW_POSITION_MAX_LOSS_THRESHOLD</t>
        </is>
      </c>
      <c r="C384" s="0" t="inlineStr">
        <is>
          <t>1.0</t>
        </is>
      </c>
      <c r="D384" s="71" t="inlineStr">
        <is>
          <t>Threshold/gate: NEW_POSITION_MAX_LOSS_THRESHOLD — _EXHAUSTIVE_REDUCE_LIST_LIVE = ['DC_BREACH_REDUCE_ENABLED', 'DC_BREACH_REDUCE_FILTER_TF', 'DC_BREACH_REDUCE_MIN_TFS', 'D | ex: `_EXHAUSTIVE_REDUCE_LIST_LIVE = ['DC_BREACH_REDUCE_ENABLED', 'DC_BREACH_REDUCE_FI`</t>
        </is>
      </c>
      <c r="E384" s="71" t="inlineStr">
        <is>
          <t>AUGMENT, EXIT, GLOBAL_CHECK, REDUCE, STOCKS_EXIT</t>
        </is>
      </c>
      <c r="F384" s="71" t="inlineStr">
        <is>
          <t>AUGMENT, EXIT, GLOBAL_CHECK, REDUCE, STOCKS_EXIT</t>
        </is>
      </c>
      <c r="G384" s="71" t="inlineStr">
        <is>
          <t>NEW_POSITION_MAX_LOSS_THRESHOLD</t>
        </is>
      </c>
      <c r="H384" s="71" t="inlineStr">
        <is>
          <t>GENERAL</t>
        </is>
      </c>
      <c r="I384" s="71" t="inlineStr">
        <is>
          <t>LIVE — wired</t>
        </is>
      </c>
      <c r="J384" s="72"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71" t="n">
        <v>107</v>
      </c>
      <c r="B385" s="71" t="inlineStr">
        <is>
          <t>NEW_POSITION_MAX_LOSS_THRESHOLD</t>
        </is>
      </c>
      <c r="C385" s="0" t="inlineStr">
        <is>
          <t>0.5</t>
        </is>
      </c>
      <c r="D385" s="71" t="inlineStr">
        <is>
          <t>Threshold/gate: NEW_POSITION_MAX_LOSS_THRESHOLD — _EXHAUSTIVE_REDUCE_LIST_LIVE = ['DC_BREACH_REDUCE_ENABLED', 'DC_BREACH_REDUCE_FILTER_TF', 'DC_BREACH_REDUCE_MIN_TFS', 'D | ex: `_EXHAUSTIVE_REDUCE_LIST_LIVE = ['DC_BREACH_REDUCE_ENABLED', 'DC_BREACH_REDUCE_FI`</t>
        </is>
      </c>
      <c r="E385" s="71" t="inlineStr">
        <is>
          <t>AUGMENT, EXIT, GLOBAL_CHECK, REDUCE, STOCKS_EXIT</t>
        </is>
      </c>
      <c r="F385" s="71" t="inlineStr">
        <is>
          <t>AUGMENT, EXIT, GLOBAL_CHECK, REDUCE, STOCKS_EXIT</t>
        </is>
      </c>
      <c r="G385" s="71" t="inlineStr">
        <is>
          <t>NEW_POSITION_MAX_LOSS_THRESHOLD</t>
        </is>
      </c>
      <c r="H385" s="71" t="inlineStr">
        <is>
          <t>GENERAL</t>
        </is>
      </c>
      <c r="I385" s="71" t="inlineStr">
        <is>
          <t>LIVE — wired</t>
        </is>
      </c>
      <c r="J385" s="72"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80" t="n">
        <v>108</v>
      </c>
      <c r="B386" s="80" t="inlineStr">
        <is>
          <t>NOLOSS_BYPASS_WT5OF5_FILTER_TF</t>
        </is>
      </c>
      <c r="C386" s="0" t="inlineStr">
        <is>
          <t>OFF</t>
        </is>
      </c>
      <c r="D386" s="73" t="inlineStr">
        <is>
          <t>Bypasses no-loss gate when WT 5of5 confirms (all WT TFs). | Live read: `', 'MI_STRUCT_EXIT_ENABLED', 'MI_VELOCITY_EXIT_ENABLED', 'MI_WAVE_EXIT_ENABLED',`</t>
        </is>
      </c>
      <c r="E386" s="73" t="inlineStr">
        <is>
          <t>GLOBAL_CHECK</t>
        </is>
      </c>
      <c r="F386" s="73" t="inlineStr">
        <is>
          <t>GLOBAL_CHECK</t>
        </is>
      </c>
      <c r="G386" s="73" t="inlineStr">
        <is>
          <t>NOLOSS_BYPASS_WT5OF5</t>
        </is>
      </c>
      <c r="H386" s="73" t="inlineStr">
        <is>
          <t>SPECIFIC — only gated switches</t>
        </is>
      </c>
      <c r="I386" s="73" t="inlineStr">
        <is>
          <t>LIVE — wired</t>
        </is>
      </c>
      <c r="J386" s="6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3" t="n">
        <v>108</v>
      </c>
      <c r="B387" s="73" t="inlineStr">
        <is>
          <t>NOLOSS_BYPASS_WT5OF5_FILTER_TF</t>
        </is>
      </c>
      <c r="C387" s="0" t="inlineStr">
        <is>
          <t>D</t>
        </is>
      </c>
      <c r="D387" s="73" t="inlineStr">
        <is>
          <t>Bypasses no-loss gate when WT 5of5 confirms (all WT TFs). | Live read: `', 'MI_STRUCT_EXIT_ENABLED', 'MI_VELOCITY_EXIT_ENABLED', 'MI_WAVE_EXIT_ENABLED',`</t>
        </is>
      </c>
      <c r="E387" s="73" t="inlineStr">
        <is>
          <t>GLOBAL_CHECK</t>
        </is>
      </c>
      <c r="F387" s="73" t="inlineStr">
        <is>
          <t>GLOBAL_CHECK</t>
        </is>
      </c>
      <c r="G387" s="73" t="inlineStr">
        <is>
          <t>NOLOSS_BYPASS_WT5OF5</t>
        </is>
      </c>
      <c r="H387" s="73" t="inlineStr">
        <is>
          <t>SPECIFIC — only gated switches</t>
        </is>
      </c>
      <c r="I387" s="73" t="inlineStr">
        <is>
          <t>LIVE — wired</t>
        </is>
      </c>
      <c r="J387" s="6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3" t="n">
        <v>108</v>
      </c>
      <c r="B388" s="73" t="inlineStr">
        <is>
          <t>NOLOSS_BYPASS_WT5OF5_FILTER_TF</t>
        </is>
      </c>
      <c r="C388" s="0" t="inlineStr">
        <is>
          <t>4h</t>
        </is>
      </c>
      <c r="D388" s="73" t="inlineStr">
        <is>
          <t>Bypasses no-loss gate when WT 5of5 confirms (all WT TFs). | Live read: `', 'MI_STRUCT_EXIT_ENABLED', 'MI_VELOCITY_EXIT_ENABLED', 'MI_WAVE_EXIT_ENABLED',`</t>
        </is>
      </c>
      <c r="E388" s="73" t="inlineStr">
        <is>
          <t>GLOBAL_CHECK</t>
        </is>
      </c>
      <c r="F388" s="73" t="inlineStr">
        <is>
          <t>GLOBAL_CHECK</t>
        </is>
      </c>
      <c r="G388" s="73" t="inlineStr">
        <is>
          <t>NOLOSS_BYPASS_WT5OF5</t>
        </is>
      </c>
      <c r="H388" s="73" t="inlineStr">
        <is>
          <t>SPECIFIC — only gated switches</t>
        </is>
      </c>
      <c r="I388" s="73" t="inlineStr">
        <is>
          <t>LIVE — wired</t>
        </is>
      </c>
      <c r="J388" s="6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3" t="n">
        <v>108</v>
      </c>
      <c r="B389" s="73" t="inlineStr">
        <is>
          <t>NOLOSS_BYPASS_WT5OF5_FILTER_TF</t>
        </is>
      </c>
      <c r="C389" s="0" t="inlineStr">
        <is>
          <t>1h</t>
        </is>
      </c>
      <c r="D389" s="73" t="inlineStr">
        <is>
          <t>Bypasses no-loss gate when WT 5of5 confirms (all WT TFs). | Live read: `', 'MI_STRUCT_EXIT_ENABLED', 'MI_VELOCITY_EXIT_ENABLED', 'MI_WAVE_EXIT_ENABLED',`</t>
        </is>
      </c>
      <c r="E389" s="73" t="inlineStr">
        <is>
          <t>GLOBAL_CHECK</t>
        </is>
      </c>
      <c r="F389" s="73" t="inlineStr">
        <is>
          <t>GLOBAL_CHECK</t>
        </is>
      </c>
      <c r="G389" s="73" t="inlineStr">
        <is>
          <t>NOLOSS_BYPASS_WT5OF5</t>
        </is>
      </c>
      <c r="H389" s="73" t="inlineStr">
        <is>
          <t>SPECIFIC — only gated switches</t>
        </is>
      </c>
      <c r="I389" s="73" t="inlineStr">
        <is>
          <t>LIVE — wired</t>
        </is>
      </c>
      <c r="J389" s="6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3" t="n">
        <v>108</v>
      </c>
      <c r="B390" s="73" t="inlineStr">
        <is>
          <t>NOLOSS_BYPASS_WT5OF5_FILTER_TF</t>
        </is>
      </c>
      <c r="C390" s="0" t="inlineStr">
        <is>
          <t>15m</t>
        </is>
      </c>
      <c r="D390" s="73" t="inlineStr">
        <is>
          <t>Bypasses no-loss gate when WT 5of5 confirms (all WT TFs). | Live read: `', 'MI_STRUCT_EXIT_ENABLED', 'MI_VELOCITY_EXIT_ENABLED', 'MI_WAVE_EXIT_ENABLED',`</t>
        </is>
      </c>
      <c r="E390" s="73" t="inlineStr">
        <is>
          <t>GLOBAL_CHECK</t>
        </is>
      </c>
      <c r="F390" s="73" t="inlineStr">
        <is>
          <t>GLOBAL_CHECK</t>
        </is>
      </c>
      <c r="G390" s="73" t="inlineStr">
        <is>
          <t>NOLOSS_BYPASS_WT5OF5</t>
        </is>
      </c>
      <c r="H390" s="73" t="inlineStr">
        <is>
          <t>SPECIFIC — only gated switches</t>
        </is>
      </c>
      <c r="I390" s="73" t="inlineStr">
        <is>
          <t>LIVE — wired</t>
        </is>
      </c>
      <c r="J390" s="6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79" t="n">
        <v>109</v>
      </c>
      <c r="B391" s="79" t="inlineStr">
        <is>
          <t>OI_CONFIRM_ENABLED</t>
        </is>
      </c>
      <c r="C391" s="0" t="inlineStr">
        <is>
          <t>False</t>
        </is>
      </c>
      <c r="D391" s="71" t="inlineStr">
        <is>
          <t>Open Interest confirmation enabled. | Live read: `N_GATE', 'LEADERBOARD_FILTER', 'LIVE_ONLY_SIGNALS_BATCH5_FILTER_TF', 'LIVE_VEC_E`</t>
        </is>
      </c>
      <c r="E391" s="71" t="inlineStr">
        <is>
          <t>ENTRY, GLOBAL_CHECK, STOCKS_EXIT</t>
        </is>
      </c>
      <c r="F391" s="71" t="inlineStr">
        <is>
          <t>ENTRY, GLOBAL_CHECK, STOCKS_EXIT</t>
        </is>
      </c>
      <c r="G391" s="71" t="inlineStr">
        <is>
          <t>OI_CONFIRM_ENABLED</t>
        </is>
      </c>
      <c r="H391" s="71" t="inlineStr">
        <is>
          <t>GENERAL</t>
        </is>
      </c>
      <c r="I391" s="71" t="inlineStr">
        <is>
          <t>LIVE — wired</t>
        </is>
      </c>
      <c r="J391" s="72"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71" t="n">
        <v>109</v>
      </c>
      <c r="B392" s="71" t="inlineStr">
        <is>
          <t>OI_CONFIRM_ENABLED</t>
        </is>
      </c>
      <c r="C392" s="0" t="inlineStr">
        <is>
          <t>True</t>
        </is>
      </c>
      <c r="D392" s="71" t="inlineStr">
        <is>
          <t>Open Interest confirmation enabled. | Live read: `N_GATE', 'LEADERBOARD_FILTER', 'LIVE_ONLY_SIGNALS_BATCH5_FILTER_TF', 'LIVE_VEC_E`</t>
        </is>
      </c>
      <c r="E392" s="71" t="inlineStr">
        <is>
          <t>ENTRY, GLOBAL_CHECK, STOCKS_EXIT</t>
        </is>
      </c>
      <c r="F392" s="71" t="inlineStr">
        <is>
          <t>ENTRY, GLOBAL_CHECK, STOCKS_EXIT</t>
        </is>
      </c>
      <c r="G392" s="71" t="inlineStr">
        <is>
          <t>OI_CONFIRM_ENABLED</t>
        </is>
      </c>
      <c r="H392" s="71" t="inlineStr">
        <is>
          <t>GENERAL</t>
        </is>
      </c>
      <c r="I392" s="71" t="inlineStr">
        <is>
          <t>LIVE — wired</t>
        </is>
      </c>
      <c r="J392" s="72"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79" t="n">
        <v>110</v>
      </c>
      <c r="B393" s="79" t="inlineStr">
        <is>
          <t>OI_CONFIRM_MIN_CHANGE_PCT</t>
        </is>
      </c>
      <c r="C393" s="0" t="inlineStr">
        <is>
          <t>0</t>
        </is>
      </c>
      <c r="D393" s="71" t="inlineStr">
        <is>
          <t>Threshold/gate: OI_CONFIRM_MIN_CHANGE_PCT — FILTER', 'LIVE_ONLY_SIGNALS_BATCH5_FILTER_TF', 'LIVE_VEC_EMERGENCY_BRAKE_ENABLED', 'LR_BAND_LADDER_STOCH_EXTREME', 'LR_B | ex: `FILTER', 'LIVE_ONLY_SIGNALS_BATCH5_FILTER_TF', 'LIVE_VEC_EMERGENCY_BRAKE_ENABLED`</t>
        </is>
      </c>
      <c r="E393" s="71" t="inlineStr">
        <is>
          <t>ENTRY, GLOBAL_CHECK, STOCKS_EXIT</t>
        </is>
      </c>
      <c r="F393" s="71" t="inlineStr">
        <is>
          <t>ENTRY, GLOBAL_CHECK, STOCKS_EXIT</t>
        </is>
      </c>
      <c r="G393" s="71" t="inlineStr">
        <is>
          <t>OI_CONFIRM_MIN_CHANGE_PCT</t>
        </is>
      </c>
      <c r="H393" s="71" t="inlineStr">
        <is>
          <t>GENERAL</t>
        </is>
      </c>
      <c r="I393" s="71" t="inlineStr">
        <is>
          <t>LIVE — wired</t>
        </is>
      </c>
      <c r="J393" s="72"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71" t="n">
        <v>110</v>
      </c>
      <c r="B394" s="71" t="inlineStr">
        <is>
          <t>OI_CONFIRM_MIN_CHANGE_PCT</t>
        </is>
      </c>
      <c r="C394" s="0" t="inlineStr">
        <is>
          <t>2.0</t>
        </is>
      </c>
      <c r="D394" s="71" t="inlineStr">
        <is>
          <t>Threshold/gate: OI_CONFIRM_MIN_CHANGE_PCT — FILTER', 'LIVE_ONLY_SIGNALS_BATCH5_FILTER_TF', 'LIVE_VEC_EMERGENCY_BRAKE_ENABLED', 'LR_BAND_LADDER_STOCH_EXTREME', 'LR_B | ex: `FILTER', 'LIVE_ONLY_SIGNALS_BATCH5_FILTER_TF', 'LIVE_VEC_EMERGENCY_BRAKE_ENABLED`</t>
        </is>
      </c>
      <c r="E394" s="71" t="inlineStr">
        <is>
          <t>ENTRY, GLOBAL_CHECK, STOCKS_EXIT</t>
        </is>
      </c>
      <c r="F394" s="71" t="inlineStr">
        <is>
          <t>ENTRY, GLOBAL_CHECK, STOCKS_EXIT</t>
        </is>
      </c>
      <c r="G394" s="71" t="inlineStr">
        <is>
          <t>OI_CONFIRM_MIN_CHANGE_PCT</t>
        </is>
      </c>
      <c r="H394" s="71" t="inlineStr">
        <is>
          <t>GENERAL</t>
        </is>
      </c>
      <c r="I394" s="71" t="inlineStr">
        <is>
          <t>LIVE — wired</t>
        </is>
      </c>
      <c r="J394" s="72"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71" t="n">
        <v>110</v>
      </c>
      <c r="B395" s="71" t="inlineStr">
        <is>
          <t>OI_CONFIRM_MIN_CHANGE_PCT</t>
        </is>
      </c>
      <c r="C395" s="0" t="inlineStr">
        <is>
          <t>1.0</t>
        </is>
      </c>
      <c r="D395" s="71" t="inlineStr">
        <is>
          <t>Threshold/gate: OI_CONFIRM_MIN_CHANGE_PCT — FILTER', 'LIVE_ONLY_SIGNALS_BATCH5_FILTER_TF', 'LIVE_VEC_EMERGENCY_BRAKE_ENABLED', 'LR_BAND_LADDER_STOCH_EXTREME', 'LR_B | ex: `FILTER', 'LIVE_ONLY_SIGNALS_BATCH5_FILTER_TF', 'LIVE_VEC_EMERGENCY_BRAKE_ENABLED`</t>
        </is>
      </c>
      <c r="E395" s="71" t="inlineStr">
        <is>
          <t>ENTRY, GLOBAL_CHECK, STOCKS_EXIT</t>
        </is>
      </c>
      <c r="F395" s="71" t="inlineStr">
        <is>
          <t>ENTRY, GLOBAL_CHECK, STOCKS_EXIT</t>
        </is>
      </c>
      <c r="G395" s="71" t="inlineStr">
        <is>
          <t>OI_CONFIRM_MIN_CHANGE_PCT</t>
        </is>
      </c>
      <c r="H395" s="71" t="inlineStr">
        <is>
          <t>GENERAL</t>
        </is>
      </c>
      <c r="I395" s="71" t="inlineStr">
        <is>
          <t>LIVE — wired</t>
        </is>
      </c>
      <c r="J395" s="72"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71" t="n">
        <v>110</v>
      </c>
      <c r="B396" s="71" t="inlineStr">
        <is>
          <t>OI_CONFIRM_MIN_CHANGE_PCT</t>
        </is>
      </c>
      <c r="C396" s="0" t="inlineStr">
        <is>
          <t>0.5</t>
        </is>
      </c>
      <c r="D396" s="71" t="inlineStr">
        <is>
          <t>Threshold/gate: OI_CONFIRM_MIN_CHANGE_PCT — FILTER', 'LIVE_ONLY_SIGNALS_BATCH5_FILTER_TF', 'LIVE_VEC_EMERGENCY_BRAKE_ENABLED', 'LR_BAND_LADDER_STOCH_EXTREME', 'LR_B | ex: `FILTER', 'LIVE_ONLY_SIGNALS_BATCH5_FILTER_TF', 'LIVE_VEC_EMERGENCY_BRAKE_ENABLED`</t>
        </is>
      </c>
      <c r="E396" s="71" t="inlineStr">
        <is>
          <t>ENTRY, GLOBAL_CHECK, STOCKS_EXIT</t>
        </is>
      </c>
      <c r="F396" s="71" t="inlineStr">
        <is>
          <t>ENTRY, GLOBAL_CHECK, STOCKS_EXIT</t>
        </is>
      </c>
      <c r="G396" s="71" t="inlineStr">
        <is>
          <t>OI_CONFIRM_MIN_CHANGE_PCT</t>
        </is>
      </c>
      <c r="H396" s="71" t="inlineStr">
        <is>
          <t>GENERAL</t>
        </is>
      </c>
      <c r="I396" s="71" t="inlineStr">
        <is>
          <t>LIVE — wired</t>
        </is>
      </c>
      <c r="J396" s="72"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79" t="n">
        <v>111</v>
      </c>
      <c r="B397" s="79" t="inlineStr">
        <is>
          <t>OI_CONFIRM_MIN_PRICE_PCT</t>
        </is>
      </c>
      <c r="C397" s="0" t="inlineStr">
        <is>
          <t>0</t>
        </is>
      </c>
      <c r="D397" s="71" t="inlineStr">
        <is>
          <t>Threshold/gate: OI_CONFIRM_MIN_PRICE_PCT — ATCH5_FILTER_TF', 'LIVE_VEC_EMERGENCY_BRAKE_ENABLED', 'LR_BAND_LADDER_STOCH_EXTREME', 'LR_BAND_LADDER_TF_BOTTOM', 'LR_BA | ex: `ATCH5_FILTER_TF', 'LIVE_VEC_EMERGENCY_BRAKE_ENABLED', 'LR_BAND_LADDER_STOCH_EXTR`</t>
        </is>
      </c>
      <c r="E397" s="71" t="inlineStr">
        <is>
          <t>ENTRY, GLOBAL_CHECK, STOCKS_EXIT</t>
        </is>
      </c>
      <c r="F397" s="71" t="inlineStr">
        <is>
          <t>ENTRY, GLOBAL_CHECK, STOCKS_EXIT</t>
        </is>
      </c>
      <c r="G397" s="71" t="inlineStr">
        <is>
          <t>OI_CONFIRM_MIN_PRICE_PCT</t>
        </is>
      </c>
      <c r="H397" s="71" t="inlineStr">
        <is>
          <t>GENERAL</t>
        </is>
      </c>
      <c r="I397" s="71" t="inlineStr">
        <is>
          <t>LIVE — wired</t>
        </is>
      </c>
      <c r="J397" s="72"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71" t="n">
        <v>111</v>
      </c>
      <c r="B398" s="71" t="inlineStr">
        <is>
          <t>OI_CONFIRM_MIN_PRICE_PCT</t>
        </is>
      </c>
      <c r="C398" s="0" t="inlineStr">
        <is>
          <t>2.0</t>
        </is>
      </c>
      <c r="D398" s="71" t="inlineStr">
        <is>
          <t>Threshold/gate: OI_CONFIRM_MIN_PRICE_PCT — ATCH5_FILTER_TF', 'LIVE_VEC_EMERGENCY_BRAKE_ENABLED', 'LR_BAND_LADDER_STOCH_EXTREME', 'LR_BAND_LADDER_TF_BOTTOM', 'LR_BA | ex: `ATCH5_FILTER_TF', 'LIVE_VEC_EMERGENCY_BRAKE_ENABLED', 'LR_BAND_LADDER_STOCH_EXTR`</t>
        </is>
      </c>
      <c r="E398" s="71" t="inlineStr">
        <is>
          <t>ENTRY, GLOBAL_CHECK, STOCKS_EXIT</t>
        </is>
      </c>
      <c r="F398" s="71" t="inlineStr">
        <is>
          <t>ENTRY, GLOBAL_CHECK, STOCKS_EXIT</t>
        </is>
      </c>
      <c r="G398" s="71" t="inlineStr">
        <is>
          <t>OI_CONFIRM_MIN_PRICE_PCT</t>
        </is>
      </c>
      <c r="H398" s="71" t="inlineStr">
        <is>
          <t>GENERAL</t>
        </is>
      </c>
      <c r="I398" s="71" t="inlineStr">
        <is>
          <t>LIVE — wired</t>
        </is>
      </c>
      <c r="J398" s="72"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71" t="n">
        <v>111</v>
      </c>
      <c r="B399" s="71" t="inlineStr">
        <is>
          <t>OI_CONFIRM_MIN_PRICE_PCT</t>
        </is>
      </c>
      <c r="C399" s="0" t="inlineStr">
        <is>
          <t>1.0</t>
        </is>
      </c>
      <c r="D399" s="71" t="inlineStr">
        <is>
          <t>Threshold/gate: OI_CONFIRM_MIN_PRICE_PCT — ATCH5_FILTER_TF', 'LIVE_VEC_EMERGENCY_BRAKE_ENABLED', 'LR_BAND_LADDER_STOCH_EXTREME', 'LR_BAND_LADDER_TF_BOTTOM', 'LR_BA | ex: `ATCH5_FILTER_TF', 'LIVE_VEC_EMERGENCY_BRAKE_ENABLED', 'LR_BAND_LADDER_STOCH_EXTR`</t>
        </is>
      </c>
      <c r="E399" s="71" t="inlineStr">
        <is>
          <t>ENTRY, GLOBAL_CHECK, STOCKS_EXIT</t>
        </is>
      </c>
      <c r="F399" s="71" t="inlineStr">
        <is>
          <t>ENTRY, GLOBAL_CHECK, STOCKS_EXIT</t>
        </is>
      </c>
      <c r="G399" s="71" t="inlineStr">
        <is>
          <t>OI_CONFIRM_MIN_PRICE_PCT</t>
        </is>
      </c>
      <c r="H399" s="71" t="inlineStr">
        <is>
          <t>GENERAL</t>
        </is>
      </c>
      <c r="I399" s="71" t="inlineStr">
        <is>
          <t>LIVE — wired</t>
        </is>
      </c>
      <c r="J399" s="72"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71" t="n">
        <v>111</v>
      </c>
      <c r="B400" s="71" t="inlineStr">
        <is>
          <t>OI_CONFIRM_MIN_PRICE_PCT</t>
        </is>
      </c>
      <c r="C400" s="0" t="inlineStr">
        <is>
          <t>0.5</t>
        </is>
      </c>
      <c r="D400" s="71" t="inlineStr">
        <is>
          <t>Threshold/gate: OI_CONFIRM_MIN_PRICE_PCT — ATCH5_FILTER_TF', 'LIVE_VEC_EMERGENCY_BRAKE_ENABLED', 'LR_BAND_LADDER_STOCH_EXTREME', 'LR_BAND_LADDER_TF_BOTTOM', 'LR_BA | ex: `ATCH5_FILTER_TF', 'LIVE_VEC_EMERGENCY_BRAKE_ENABLED', 'LR_BAND_LADDER_STOCH_EXTR`</t>
        </is>
      </c>
      <c r="E400" s="71" t="inlineStr">
        <is>
          <t>ENTRY, GLOBAL_CHECK, STOCKS_EXIT</t>
        </is>
      </c>
      <c r="F400" s="71" t="inlineStr">
        <is>
          <t>ENTRY, GLOBAL_CHECK, STOCKS_EXIT</t>
        </is>
      </c>
      <c r="G400" s="71" t="inlineStr">
        <is>
          <t>OI_CONFIRM_MIN_PRICE_PCT</t>
        </is>
      </c>
      <c r="H400" s="71" t="inlineStr">
        <is>
          <t>GENERAL</t>
        </is>
      </c>
      <c r="I400" s="71" t="inlineStr">
        <is>
          <t>LIVE — wired</t>
        </is>
      </c>
      <c r="J400" s="72"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80" t="n">
        <v>112</v>
      </c>
      <c r="B401" s="80" t="inlineStr">
        <is>
          <t>OPEN_INTENT_SIZE_GATES_FILTER_TF</t>
        </is>
      </c>
      <c r="C401" s="0" t="inlineStr">
        <is>
          <t>OFF</t>
        </is>
      </c>
      <c r="D401" s="73" t="inlineStr">
        <is>
          <t>Size gates for open intent on FILTER_TF. | Live read: `MOMENTUM_BREAKOUT_FILTER_TF', 'MOMENTUM_BREAKOUT_MIN_TFS', 'MTF_ARMED_BANDTYPES'`</t>
        </is>
      </c>
      <c r="E401" s="73" t="inlineStr">
        <is>
          <t>GLOBAL_CHECK</t>
        </is>
      </c>
      <c r="F401" s="73" t="inlineStr">
        <is>
          <t>GLOBAL_CHECK</t>
        </is>
      </c>
      <c r="G401" s="73" t="inlineStr">
        <is>
          <t>OPEN_INTENT_SIZE_GATES</t>
        </is>
      </c>
      <c r="H401" s="73" t="inlineStr">
        <is>
          <t>SPECIFIC — only gated switches</t>
        </is>
      </c>
      <c r="I401" s="73" t="inlineStr">
        <is>
          <t>LIVE — wired</t>
        </is>
      </c>
      <c r="J401" s="6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3" t="n">
        <v>112</v>
      </c>
      <c r="B402" s="73" t="inlineStr">
        <is>
          <t>OPEN_INTENT_SIZE_GATES_FILTER_TF</t>
        </is>
      </c>
      <c r="C402" s="0" t="inlineStr">
        <is>
          <t>D</t>
        </is>
      </c>
      <c r="D402" s="73" t="inlineStr">
        <is>
          <t>Size gates for open intent on FILTER_TF. | Live read: `MOMENTUM_BREAKOUT_FILTER_TF', 'MOMENTUM_BREAKOUT_MIN_TFS', 'MTF_ARMED_BANDTYPES'`</t>
        </is>
      </c>
      <c r="E402" s="73" t="inlineStr">
        <is>
          <t>GLOBAL_CHECK</t>
        </is>
      </c>
      <c r="F402" s="73" t="inlineStr">
        <is>
          <t>GLOBAL_CHECK</t>
        </is>
      </c>
      <c r="G402" s="73" t="inlineStr">
        <is>
          <t>OPEN_INTENT_SIZE_GATES</t>
        </is>
      </c>
      <c r="H402" s="73" t="inlineStr">
        <is>
          <t>SPECIFIC — only gated switches</t>
        </is>
      </c>
      <c r="I402" s="73" t="inlineStr">
        <is>
          <t>LIVE — wired</t>
        </is>
      </c>
      <c r="J402" s="6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3" t="n">
        <v>112</v>
      </c>
      <c r="B403" s="73" t="inlineStr">
        <is>
          <t>OPEN_INTENT_SIZE_GATES_FILTER_TF</t>
        </is>
      </c>
      <c r="C403" s="0" t="inlineStr">
        <is>
          <t>4h</t>
        </is>
      </c>
      <c r="D403" s="73" t="inlineStr">
        <is>
          <t>Size gates for open intent on FILTER_TF. | Live read: `MOMENTUM_BREAKOUT_FILTER_TF', 'MOMENTUM_BREAKOUT_MIN_TFS', 'MTF_ARMED_BANDTYPES'`</t>
        </is>
      </c>
      <c r="E403" s="73" t="inlineStr">
        <is>
          <t>GLOBAL_CHECK</t>
        </is>
      </c>
      <c r="F403" s="73" t="inlineStr">
        <is>
          <t>GLOBAL_CHECK</t>
        </is>
      </c>
      <c r="G403" s="73" t="inlineStr">
        <is>
          <t>OPEN_INTENT_SIZE_GATES</t>
        </is>
      </c>
      <c r="H403" s="73" t="inlineStr">
        <is>
          <t>SPECIFIC — only gated switches</t>
        </is>
      </c>
      <c r="I403" s="73" t="inlineStr">
        <is>
          <t>LIVE — wired</t>
        </is>
      </c>
      <c r="J403" s="6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3" t="n">
        <v>112</v>
      </c>
      <c r="B404" s="73" t="inlineStr">
        <is>
          <t>OPEN_INTENT_SIZE_GATES_FILTER_TF</t>
        </is>
      </c>
      <c r="C404" s="0" t="inlineStr">
        <is>
          <t>1h</t>
        </is>
      </c>
      <c r="D404" s="73" t="inlineStr">
        <is>
          <t>Size gates for open intent on FILTER_TF. | Live read: `MOMENTUM_BREAKOUT_FILTER_TF', 'MOMENTUM_BREAKOUT_MIN_TFS', 'MTF_ARMED_BANDTYPES'`</t>
        </is>
      </c>
      <c r="E404" s="73" t="inlineStr">
        <is>
          <t>GLOBAL_CHECK</t>
        </is>
      </c>
      <c r="F404" s="73" t="inlineStr">
        <is>
          <t>GLOBAL_CHECK</t>
        </is>
      </c>
      <c r="G404" s="73" t="inlineStr">
        <is>
          <t>OPEN_INTENT_SIZE_GATES</t>
        </is>
      </c>
      <c r="H404" s="73" t="inlineStr">
        <is>
          <t>SPECIFIC — only gated switches</t>
        </is>
      </c>
      <c r="I404" s="73" t="inlineStr">
        <is>
          <t>LIVE — wired</t>
        </is>
      </c>
      <c r="J404" s="6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3" t="n">
        <v>112</v>
      </c>
      <c r="B405" s="73" t="inlineStr">
        <is>
          <t>OPEN_INTENT_SIZE_GATES_FILTER_TF</t>
        </is>
      </c>
      <c r="C405" s="0" t="inlineStr">
        <is>
          <t>15m</t>
        </is>
      </c>
      <c r="D405" s="73" t="inlineStr">
        <is>
          <t>Size gates for open intent on FILTER_TF. | Live read: `MOMENTUM_BREAKOUT_FILTER_TF', 'MOMENTUM_BREAKOUT_MIN_TFS', 'MTF_ARMED_BANDTYPES'`</t>
        </is>
      </c>
      <c r="E405" s="73" t="inlineStr">
        <is>
          <t>GLOBAL_CHECK</t>
        </is>
      </c>
      <c r="F405" s="73" t="inlineStr">
        <is>
          <t>GLOBAL_CHECK</t>
        </is>
      </c>
      <c r="G405" s="73" t="inlineStr">
        <is>
          <t>OPEN_INTENT_SIZE_GATES</t>
        </is>
      </c>
      <c r="H405" s="73" t="inlineStr">
        <is>
          <t>SPECIFIC — only gated switches</t>
        </is>
      </c>
      <c r="I405" s="73" t="inlineStr">
        <is>
          <t>LIVE — wired</t>
        </is>
      </c>
      <c r="J405" s="6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80" t="n">
        <v>113</v>
      </c>
      <c r="B406" s="80" t="inlineStr">
        <is>
          <t>PARTIAL_PROFIT_LOCK_V2_FILTER_TF</t>
        </is>
      </c>
      <c r="C406" s="0" t="inlineStr">
        <is>
          <t>OFF</t>
        </is>
      </c>
      <c r="D406" s="73" t="inlineStr">
        <is>
          <t>Partial profit lock v2 confirmation TF. | Live read: `OUNCE_ENABLED', 'ENABLE_FAST_RISER_REDUCE', 'HAIKU_AUGMENT_FRACTION', 'HAIKU_AUG`</t>
        </is>
      </c>
      <c r="E406" s="73" t="inlineStr">
        <is>
          <t>GLOBAL_CHECK</t>
        </is>
      </c>
      <c r="F406" s="73" t="inlineStr">
        <is>
          <t>GLOBAL_CHECK</t>
        </is>
      </c>
      <c r="G406" s="73" t="inlineStr">
        <is>
          <t>PARTIAL_PROFIT_LOCK_V2</t>
        </is>
      </c>
      <c r="H406" s="73" t="inlineStr">
        <is>
          <t>SPECIFIC — only gated switches</t>
        </is>
      </c>
      <c r="I406" s="73" t="inlineStr">
        <is>
          <t>LIVE — wired</t>
        </is>
      </c>
      <c r="J406" s="6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3" t="n">
        <v>113</v>
      </c>
      <c r="B407" s="73" t="inlineStr">
        <is>
          <t>PARTIAL_PROFIT_LOCK_V2_FILTER_TF</t>
        </is>
      </c>
      <c r="C407" s="0" t="inlineStr">
        <is>
          <t>D</t>
        </is>
      </c>
      <c r="D407" s="73" t="inlineStr">
        <is>
          <t>Partial profit lock v2 confirmation TF. | Live read: `OUNCE_ENABLED', 'ENABLE_FAST_RISER_REDUCE', 'HAIKU_AUGMENT_FRACTION', 'HAIKU_AUG`</t>
        </is>
      </c>
      <c r="E407" s="73" t="inlineStr">
        <is>
          <t>GLOBAL_CHECK</t>
        </is>
      </c>
      <c r="F407" s="73" t="inlineStr">
        <is>
          <t>GLOBAL_CHECK</t>
        </is>
      </c>
      <c r="G407" s="73" t="inlineStr">
        <is>
          <t>PARTIAL_PROFIT_LOCK_V2</t>
        </is>
      </c>
      <c r="H407" s="73" t="inlineStr">
        <is>
          <t>SPECIFIC — only gated switches</t>
        </is>
      </c>
      <c r="I407" s="73" t="inlineStr">
        <is>
          <t>LIVE — wired</t>
        </is>
      </c>
      <c r="J407" s="6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3" t="n">
        <v>113</v>
      </c>
      <c r="B408" s="73" t="inlineStr">
        <is>
          <t>PARTIAL_PROFIT_LOCK_V2_FILTER_TF</t>
        </is>
      </c>
      <c r="C408" s="0" t="inlineStr">
        <is>
          <t>4h</t>
        </is>
      </c>
      <c r="D408" s="73" t="inlineStr">
        <is>
          <t>Partial profit lock v2 confirmation TF. | Live read: `OUNCE_ENABLED', 'ENABLE_FAST_RISER_REDUCE', 'HAIKU_AUGMENT_FRACTION', 'HAIKU_AUG`</t>
        </is>
      </c>
      <c r="E408" s="73" t="inlineStr">
        <is>
          <t>GLOBAL_CHECK</t>
        </is>
      </c>
      <c r="F408" s="73" t="inlineStr">
        <is>
          <t>GLOBAL_CHECK</t>
        </is>
      </c>
      <c r="G408" s="73" t="inlineStr">
        <is>
          <t>PARTIAL_PROFIT_LOCK_V2</t>
        </is>
      </c>
      <c r="H408" s="73" t="inlineStr">
        <is>
          <t>SPECIFIC — only gated switches</t>
        </is>
      </c>
      <c r="I408" s="73" t="inlineStr">
        <is>
          <t>LIVE — wired</t>
        </is>
      </c>
      <c r="J408" s="6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3" t="n">
        <v>113</v>
      </c>
      <c r="B409" s="73" t="inlineStr">
        <is>
          <t>PARTIAL_PROFIT_LOCK_V2_FILTER_TF</t>
        </is>
      </c>
      <c r="C409" s="0" t="inlineStr">
        <is>
          <t>1h</t>
        </is>
      </c>
      <c r="D409" s="73" t="inlineStr">
        <is>
          <t>Partial profit lock v2 confirmation TF. | Live read: `OUNCE_ENABLED', 'ENABLE_FAST_RISER_REDUCE', 'HAIKU_AUGMENT_FRACTION', 'HAIKU_AUG`</t>
        </is>
      </c>
      <c r="E409" s="73" t="inlineStr">
        <is>
          <t>GLOBAL_CHECK</t>
        </is>
      </c>
      <c r="F409" s="73" t="inlineStr">
        <is>
          <t>GLOBAL_CHECK</t>
        </is>
      </c>
      <c r="G409" s="73" t="inlineStr">
        <is>
          <t>PARTIAL_PROFIT_LOCK_V2</t>
        </is>
      </c>
      <c r="H409" s="73" t="inlineStr">
        <is>
          <t>SPECIFIC — only gated switches</t>
        </is>
      </c>
      <c r="I409" s="73" t="inlineStr">
        <is>
          <t>LIVE — wired</t>
        </is>
      </c>
      <c r="J409" s="6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3" t="n">
        <v>113</v>
      </c>
      <c r="B410" s="73" t="inlineStr">
        <is>
          <t>PARTIAL_PROFIT_LOCK_V2_FILTER_TF</t>
        </is>
      </c>
      <c r="C410" s="0" t="inlineStr">
        <is>
          <t>15m</t>
        </is>
      </c>
      <c r="D410" s="73" t="inlineStr">
        <is>
          <t>Partial profit lock v2 confirmation TF. | Live read: `OUNCE_ENABLED', 'ENABLE_FAST_RISER_REDUCE', 'HAIKU_AUGMENT_FRACTION', 'HAIKU_AUG`</t>
        </is>
      </c>
      <c r="E410" s="73" t="inlineStr">
        <is>
          <t>GLOBAL_CHECK</t>
        </is>
      </c>
      <c r="F410" s="73" t="inlineStr">
        <is>
          <t>GLOBAL_CHECK</t>
        </is>
      </c>
      <c r="G410" s="73" t="inlineStr">
        <is>
          <t>PARTIAL_PROFIT_LOCK_V2</t>
        </is>
      </c>
      <c r="H410" s="73" t="inlineStr">
        <is>
          <t>SPECIFIC — only gated switches</t>
        </is>
      </c>
      <c r="I410" s="73" t="inlineStr">
        <is>
          <t>LIVE — wired</t>
        </is>
      </c>
      <c r="J410" s="6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80" t="n">
        <v>114</v>
      </c>
      <c r="B411" s="80" t="inlineStr">
        <is>
          <t>PEAK_GIVEBACK_BE_EROSION_FILTER_TF</t>
        </is>
      </c>
      <c r="C411" s="0" t="inlineStr">
        <is>
          <t>OFF</t>
        </is>
      </c>
      <c r="D411" s="73" t="inlineStr">
        <is>
          <t>Peak giveback / breakeven erosion filter TF. | Live read: `OCH_EXTREME', 'LR_BAND_LADDER_TF_BOTTOM', 'LR_BAND_LADDER_TF_TOP', 'LTF_ALIGN_GA`</t>
        </is>
      </c>
      <c r="E411" s="73" t="inlineStr">
        <is>
          <t>GLOBAL_CHECK</t>
        </is>
      </c>
      <c r="F411" s="73" t="inlineStr">
        <is>
          <t>GLOBAL_CHECK</t>
        </is>
      </c>
      <c r="G411" s="73" t="inlineStr">
        <is>
          <t>PEAK_GIVEBACK_BE_EROSION</t>
        </is>
      </c>
      <c r="H411" s="73" t="inlineStr">
        <is>
          <t>SPECIFIC — only gated switches</t>
        </is>
      </c>
      <c r="I411" s="73" t="inlineStr">
        <is>
          <t>LIVE — wired</t>
        </is>
      </c>
      <c r="J411" s="6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3" t="n">
        <v>114</v>
      </c>
      <c r="B412" s="73" t="inlineStr">
        <is>
          <t>PEAK_GIVEBACK_BE_EROSION_FILTER_TF</t>
        </is>
      </c>
      <c r="C412" s="0" t="inlineStr">
        <is>
          <t>D</t>
        </is>
      </c>
      <c r="D412" s="73" t="inlineStr">
        <is>
          <t>Peak giveback / breakeven erosion filter TF. | Live read: `OCH_EXTREME', 'LR_BAND_LADDER_TF_BOTTOM', 'LR_BAND_LADDER_TF_TOP', 'LTF_ALIGN_GA`</t>
        </is>
      </c>
      <c r="E412" s="73" t="inlineStr">
        <is>
          <t>GLOBAL_CHECK</t>
        </is>
      </c>
      <c r="F412" s="73" t="inlineStr">
        <is>
          <t>GLOBAL_CHECK</t>
        </is>
      </c>
      <c r="G412" s="73" t="inlineStr">
        <is>
          <t>PEAK_GIVEBACK_BE_EROSION</t>
        </is>
      </c>
      <c r="H412" s="73" t="inlineStr">
        <is>
          <t>SPECIFIC — only gated switches</t>
        </is>
      </c>
      <c r="I412" s="73" t="inlineStr">
        <is>
          <t>LIVE — wired</t>
        </is>
      </c>
      <c r="J412" s="6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3" t="n">
        <v>114</v>
      </c>
      <c r="B413" s="73" t="inlineStr">
        <is>
          <t>PEAK_GIVEBACK_BE_EROSION_FILTER_TF</t>
        </is>
      </c>
      <c r="C413" s="0" t="inlineStr">
        <is>
          <t>4h</t>
        </is>
      </c>
      <c r="D413" s="73" t="inlineStr">
        <is>
          <t>Peak giveback / breakeven erosion filter TF. | Live read: `OCH_EXTREME', 'LR_BAND_LADDER_TF_BOTTOM', 'LR_BAND_LADDER_TF_TOP', 'LTF_ALIGN_GA`</t>
        </is>
      </c>
      <c r="E413" s="73" t="inlineStr">
        <is>
          <t>GLOBAL_CHECK</t>
        </is>
      </c>
      <c r="F413" s="73" t="inlineStr">
        <is>
          <t>GLOBAL_CHECK</t>
        </is>
      </c>
      <c r="G413" s="73" t="inlineStr">
        <is>
          <t>PEAK_GIVEBACK_BE_EROSION</t>
        </is>
      </c>
      <c r="H413" s="73" t="inlineStr">
        <is>
          <t>SPECIFIC — only gated switches</t>
        </is>
      </c>
      <c r="I413" s="73" t="inlineStr">
        <is>
          <t>LIVE — wired</t>
        </is>
      </c>
      <c r="J413" s="6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3" t="n">
        <v>114</v>
      </c>
      <c r="B414" s="73" t="inlineStr">
        <is>
          <t>PEAK_GIVEBACK_BE_EROSION_FILTER_TF</t>
        </is>
      </c>
      <c r="C414" s="0" t="inlineStr">
        <is>
          <t>1h</t>
        </is>
      </c>
      <c r="D414" s="73" t="inlineStr">
        <is>
          <t>Peak giveback / breakeven erosion filter TF. | Live read: `OCH_EXTREME', 'LR_BAND_LADDER_TF_BOTTOM', 'LR_BAND_LADDER_TF_TOP', 'LTF_ALIGN_GA`</t>
        </is>
      </c>
      <c r="E414" s="73" t="inlineStr">
        <is>
          <t>GLOBAL_CHECK</t>
        </is>
      </c>
      <c r="F414" s="73" t="inlineStr">
        <is>
          <t>GLOBAL_CHECK</t>
        </is>
      </c>
      <c r="G414" s="73" t="inlineStr">
        <is>
          <t>PEAK_GIVEBACK_BE_EROSION</t>
        </is>
      </c>
      <c r="H414" s="73" t="inlineStr">
        <is>
          <t>SPECIFIC — only gated switches</t>
        </is>
      </c>
      <c r="I414" s="73" t="inlineStr">
        <is>
          <t>LIVE — wired</t>
        </is>
      </c>
      <c r="J414" s="6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3" t="n">
        <v>114</v>
      </c>
      <c r="B415" s="73" t="inlineStr">
        <is>
          <t>PEAK_GIVEBACK_BE_EROSION_FILTER_TF</t>
        </is>
      </c>
      <c r="C415" s="0" t="inlineStr">
        <is>
          <t>15m</t>
        </is>
      </c>
      <c r="D415" s="73" t="inlineStr">
        <is>
          <t>Peak giveback / breakeven erosion filter TF. | Live read: `OCH_EXTREME', 'LR_BAND_LADDER_TF_BOTTOM', 'LR_BAND_LADDER_TF_TOP', 'LTF_ALIGN_GA`</t>
        </is>
      </c>
      <c r="E415" s="73" t="inlineStr">
        <is>
          <t>GLOBAL_CHECK</t>
        </is>
      </c>
      <c r="F415" s="73" t="inlineStr">
        <is>
          <t>GLOBAL_CHECK</t>
        </is>
      </c>
      <c r="G415" s="73" t="inlineStr">
        <is>
          <t>PEAK_GIVEBACK_BE_EROSION</t>
        </is>
      </c>
      <c r="H415" s="73" t="inlineStr">
        <is>
          <t>SPECIFIC — only gated switches</t>
        </is>
      </c>
      <c r="I415" s="73" t="inlineStr">
        <is>
          <t>LIVE — wired</t>
        </is>
      </c>
      <c r="J415" s="6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78" t="n">
        <v>421</v>
      </c>
      <c r="B416" s="78"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78" t="n">
        <v>422</v>
      </c>
      <c r="B417" s="78"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78" t="n">
        <v>423</v>
      </c>
      <c r="B418" s="78"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78" t="n">
        <v>424</v>
      </c>
      <c r="B419" s="78"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78" t="n">
        <v>425</v>
      </c>
      <c r="B420" s="78"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78" t="n">
        <v>426</v>
      </c>
      <c r="B421" s="78"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78" t="n">
        <v>427</v>
      </c>
      <c r="B422" s="78"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78" t="n">
        <v>428</v>
      </c>
      <c r="B423" s="78"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78" t="n">
        <v>429</v>
      </c>
      <c r="B424" s="78"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78" t="n">
        <v>430</v>
      </c>
      <c r="B425" s="78"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78" t="n">
        <v>431</v>
      </c>
      <c r="B426" s="78"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78" t="n">
        <v>432</v>
      </c>
      <c r="B427" s="78"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78" t="inlineStr">
        <is>
          <t>STDEV_SLOPE_SIZING_ENABLED</t>
        </is>
      </c>
      <c r="B428" s="78" t="inlineStr">
        <is>
          <t>STDEV_SLOPE_SIZING</t>
        </is>
      </c>
      <c r="C428" s="0" t="inlineStr">
        <is>
          <t>STDEV_DAILY_6MO</t>
        </is>
      </c>
      <c r="D428" s="0" t="inlineStr">
        <is>
          <t>STDEV_LADDER</t>
        </is>
      </c>
      <c r="E428" s="0" t="inlineStr">
        <is>
          <t>1x top -&gt; 10x slope/bottom D, 4x 4h, 2x 1h stdev 2.5</t>
        </is>
      </c>
    </row>
    <row r="429" ht="15.75" customHeight="1" s="67">
      <c r="A429" s="78" t="inlineStr">
        <is>
          <t>STDEV_BAND_MULTIPLIER</t>
        </is>
      </c>
      <c r="B429" s="78" t="inlineStr">
        <is>
          <t>STDEV_SLOPE_SIZING</t>
        </is>
      </c>
      <c r="C429" s="0" t="inlineStr">
        <is>
          <t>STDEV_DAILY_6MO</t>
        </is>
      </c>
      <c r="D429" s="0" t="inlineStr">
        <is>
          <t>STDEV_LADDER</t>
        </is>
      </c>
      <c r="E429" s="0" t="inlineStr">
        <is>
          <t>1x top -&gt; 10x slope/bottom D, 4x 4h, 2x 1h stdev 2.5</t>
        </is>
      </c>
    </row>
    <row r="430" ht="15.75" customHeight="1" s="67">
      <c r="A430" s="78" t="inlineStr">
        <is>
          <t>STDEV_SLOPE_SIZING_D_MAX</t>
        </is>
      </c>
      <c r="B430" s="78" t="inlineStr">
        <is>
          <t>STDEV_SLOPE_SIZING</t>
        </is>
      </c>
      <c r="C430" s="0" t="inlineStr">
        <is>
          <t>STDEV_DAILY_6MO</t>
        </is>
      </c>
      <c r="D430" s="0" t="inlineStr">
        <is>
          <t>STDEV_LADDER</t>
        </is>
      </c>
      <c r="E430" s="0" t="inlineStr">
        <is>
          <t>1x top -&gt; 10x slope/bottom D, 4x 4h, 2x 1h stdev 2.5</t>
        </is>
      </c>
    </row>
    <row r="431" ht="15.75" customHeight="1" s="67">
      <c r="A431" s="78" t="inlineStr">
        <is>
          <t>STDEV_SLOPE_SIZING_4H_MAX</t>
        </is>
      </c>
      <c r="B431" s="78" t="inlineStr">
        <is>
          <t>STDEV_SLOPE_SIZING</t>
        </is>
      </c>
      <c r="C431" s="0" t="inlineStr">
        <is>
          <t>STDEV_DAILY_6MO</t>
        </is>
      </c>
      <c r="D431" s="0" t="inlineStr">
        <is>
          <t>STDEV_LADDER</t>
        </is>
      </c>
      <c r="E431" s="0" t="inlineStr">
        <is>
          <t>1x top -&gt; 10x slope/bottom D, 4x 4h, 2x 1h stdev 2.5</t>
        </is>
      </c>
    </row>
    <row r="432" ht="15.75" customHeight="1" s="67">
      <c r="A432" s="78" t="inlineStr">
        <is>
          <t>STDEV_SLOPE_SIZING_1H_MAX</t>
        </is>
      </c>
      <c r="B432" s="78" t="inlineStr">
        <is>
          <t>STDEV_SLOPE_SIZING</t>
        </is>
      </c>
      <c r="C432" s="0" t="inlineStr">
        <is>
          <t>STDEV_DAILY_6MO</t>
        </is>
      </c>
      <c r="D432" s="0" t="inlineStr">
        <is>
          <t>STDEV_LADDER</t>
        </is>
      </c>
      <c r="E432" s="0" t="inlineStr">
        <is>
          <t>1x top -&gt; 10x slope/bottom D, 4x 4h, 2x 1h stdev 2.5</t>
        </is>
      </c>
    </row>
    <row r="433" ht="15.75" customHeight="1" s="67">
      <c r="A433" s="78" t="inlineStr">
        <is>
          <t>STDEV_SLOPE_SIZING_15M_MAX</t>
        </is>
      </c>
      <c r="B433" s="78" t="inlineStr">
        <is>
          <t>STDEV_SLOPE_SIZING</t>
        </is>
      </c>
      <c r="C433" s="0" t="inlineStr">
        <is>
          <t>STDEV_DAILY_6MO</t>
        </is>
      </c>
      <c r="D433" s="0" t="inlineStr">
        <is>
          <t>STDEV_LADDER</t>
        </is>
      </c>
      <c r="E433" s="0" t="inlineStr">
        <is>
          <t>1x top -&gt; 10x slope/bottom D, 4x 4h, 2x 1h stdev 2.5</t>
        </is>
      </c>
    </row>
    <row r="434" ht="15.75" customHeight="1" s="67">
      <c r="A434" s="78" t="inlineStr">
        <is>
          <t>STDEV_SLOPE_LOOKBACK_D</t>
        </is>
      </c>
      <c r="B434" s="78" t="inlineStr">
        <is>
          <t>STDEV_SLOPE_SIZING</t>
        </is>
      </c>
      <c r="C434" s="0" t="inlineStr">
        <is>
          <t>STDEV_DAILY_6MO</t>
        </is>
      </c>
      <c r="D434" s="0" t="inlineStr">
        <is>
          <t>STDEV_LADDER</t>
        </is>
      </c>
      <c r="E434" s="0" t="inlineStr">
        <is>
          <t>1x top -&gt; 10x slope/bottom D, 4x 4h, 2x 1h stdev 2.5</t>
        </is>
      </c>
    </row>
    <row r="435" ht="15.75" customHeight="1" s="67">
      <c r="A435" s="78" t="inlineStr">
        <is>
          <t>STDEV_SLOPE_LOOKBACK_4H</t>
        </is>
      </c>
      <c r="B435" s="78" t="inlineStr">
        <is>
          <t>STDEV_SLOPE_SIZING</t>
        </is>
      </c>
      <c r="C435" s="0" t="inlineStr">
        <is>
          <t>STDEV_DAILY_6MO</t>
        </is>
      </c>
      <c r="D435" s="0" t="inlineStr">
        <is>
          <t>STDEV_LADDER</t>
        </is>
      </c>
      <c r="E435" s="0" t="inlineStr">
        <is>
          <t>1x top -&gt; 10x slope/bottom D, 4x 4h, 2x 1h stdev 2.5</t>
        </is>
      </c>
    </row>
    <row r="436" ht="15.75" customHeight="1" s="67">
      <c r="A436" s="78" t="inlineStr">
        <is>
          <t>STDEV_SLOPE_LOOKBACK_1H</t>
        </is>
      </c>
      <c r="B436" s="78" t="inlineStr">
        <is>
          <t>STDEV_SLOPE_SIZING</t>
        </is>
      </c>
      <c r="C436" s="0" t="inlineStr">
        <is>
          <t>STDEV_DAILY_6MO</t>
        </is>
      </c>
      <c r="D436" s="0" t="inlineStr">
        <is>
          <t>STDEV_LADDER</t>
        </is>
      </c>
      <c r="E436" s="0" t="inlineStr">
        <is>
          <t>1x top -&gt; 10x slope/bottom D, 4x 4h, 2x 1h stdev 2.5</t>
        </is>
      </c>
    </row>
    <row r="437" ht="15.75" customHeight="1" s="67">
      <c r="A437" s="78" t="inlineStr">
        <is>
          <t>STDEV_SLOPE_LOOKBACK_15M</t>
        </is>
      </c>
      <c r="B437" s="78" t="inlineStr">
        <is>
          <t>STDEV_SLOPE_SIZING</t>
        </is>
      </c>
      <c r="C437" s="0" t="inlineStr">
        <is>
          <t>STDEV_DAILY_6MO</t>
        </is>
      </c>
      <c r="D437" s="0" t="inlineStr">
        <is>
          <t>STDEV_LADDER</t>
        </is>
      </c>
      <c r="E437" s="0" t="inlineStr">
        <is>
          <t>1x top -&gt; 10x slope/bottom D, 4x 4h, 2x 1h stdev 2.5</t>
        </is>
      </c>
    </row>
    <row r="438" ht="15.75" customHeight="1" s="67">
      <c r="A438" s="78" t="inlineStr">
        <is>
          <t>BAND_SLOPE_SIZING_V2_ENABLED</t>
        </is>
      </c>
      <c r="B438" s="78" t="inlineStr">
        <is>
          <t>STDEV_SLOPE_SIZING</t>
        </is>
      </c>
      <c r="C438" s="0" t="inlineStr">
        <is>
          <t>STDEV_DAILY_6MO</t>
        </is>
      </c>
      <c r="D438" s="0" t="inlineStr">
        <is>
          <t>STDEV_LADDER</t>
        </is>
      </c>
      <c r="E438" s="0" t="inlineStr">
        <is>
          <t>1x top -&gt; 10x slope/bottom D, 4x 4h, 2x 1h stdev 2.5</t>
        </is>
      </c>
    </row>
    <row r="439" ht="15.75" customHeight="1" s="67">
      <c r="A439" s="78" t="inlineStr">
        <is>
          <t>BAND_SLOPE_SIZING_V2_TF</t>
        </is>
      </c>
      <c r="B439" s="78" t="inlineStr">
        <is>
          <t>STDEV_SLOPE_SIZING</t>
        </is>
      </c>
      <c r="C439" s="0" t="inlineStr">
        <is>
          <t>STDEV_DAILY_6MO</t>
        </is>
      </c>
      <c r="D439" s="0" t="inlineStr">
        <is>
          <t>STDEV_LADDER</t>
        </is>
      </c>
      <c r="E439" s="0" t="inlineStr">
        <is>
          <t>1x top -&gt; 10x slope/bottom D, 4x 4h, 2x 1h stdev 2.5</t>
        </is>
      </c>
    </row>
    <row r="440" ht="15.75" customHeight="1" s="67">
      <c r="A440" s="78" t="inlineStr">
        <is>
          <t>BAND_SLOPE_SIZING_V2_DEPTH_GAIN</t>
        </is>
      </c>
      <c r="B440" s="78" t="inlineStr">
        <is>
          <t>STDEV_SLOPE_SIZING</t>
        </is>
      </c>
      <c r="C440" s="0" t="inlineStr">
        <is>
          <t>STDEV_DAILY_6MO</t>
        </is>
      </c>
      <c r="D440" s="0" t="inlineStr">
        <is>
          <t>STDEV_LADDER</t>
        </is>
      </c>
      <c r="E440" s="0" t="inlineStr">
        <is>
          <t>1x top -&gt; 10x slope/bottom D, 4x 4h, 2x 1h stdev 2.5</t>
        </is>
      </c>
    </row>
    <row r="441" ht="15.75" customHeight="1" s="67">
      <c r="A441" s="78" t="inlineStr">
        <is>
          <t>BAND_SLOPE_SIZING_V2_MIN</t>
        </is>
      </c>
      <c r="B441" s="78" t="inlineStr">
        <is>
          <t>STDEV_SLOPE_SIZING</t>
        </is>
      </c>
      <c r="C441" s="0" t="inlineStr">
        <is>
          <t>STDEV_DAILY_6MO</t>
        </is>
      </c>
      <c r="D441" s="0" t="inlineStr">
        <is>
          <t>STDEV_LADDER</t>
        </is>
      </c>
      <c r="E441" s="0" t="inlineStr">
        <is>
          <t>1x top -&gt; 10x slope/bottom D, 4x 4h, 2x 1h stdev 2.5</t>
        </is>
      </c>
    </row>
    <row r="442" ht="15.75" customHeight="1" s="67">
      <c r="A442" s="78" t="inlineStr">
        <is>
          <t>BAND_SLOPE_SIZING_V2_MAX</t>
        </is>
      </c>
      <c r="B442" s="78" t="inlineStr">
        <is>
          <t>STDEV_SLOPE_SIZING</t>
        </is>
      </c>
      <c r="C442" s="0" t="inlineStr">
        <is>
          <t>STDEV_DAILY_6MO</t>
        </is>
      </c>
      <c r="D442" s="0" t="inlineStr">
        <is>
          <t>STDEV_LADDER</t>
        </is>
      </c>
      <c r="E442" s="0" t="inlineStr">
        <is>
          <t>1x top -&gt; 10x slope/bottom D, 4x 4h, 2x 1h stdev 2.5</t>
        </is>
      </c>
    </row>
    <row r="443" ht="15.75" customHeight="1" s="67">
      <c r="A443" s="0" t="n">
        <v>900</v>
      </c>
      <c r="B443" s="0" t="inlineStr">
        <is>
          <t>KINDERGARTEN_EMA_GATE_ENABLED</t>
        </is>
      </c>
      <c r="C443" s="0" t="inlineStr">
        <is>
          <t>False</t>
        </is>
      </c>
      <c r="D443" s="0" t="inlineStr">
        <is>
          <t>Kindergarten EMA gate: blocks entries when 9/21 EMA misaligned on TF. False=OFF, True=blocks counter-trend on 1h+D+4h. | Live: tradier_manage _kindergarten_ema_gate</t>
        </is>
      </c>
      <c r="E443" s="0" t="inlineStr">
        <is>
          <t>ENTRY, GLOBAL_CHECK</t>
        </is>
      </c>
      <c r="F443" s="0" t="inlineStr">
        <is>
          <t>ENTRY, GLOBAL_CHECK</t>
        </is>
      </c>
      <c r="G443" s="0" t="inlineStr">
        <is>
          <t>KINDERGARTEN_EMA_GATE_ENABLED</t>
        </is>
      </c>
      <c r="H443" s="0" t="inlineStr">
        <is>
          <t>SPECIFIC — only gated switches</t>
        </is>
      </c>
      <c r="I443" s="0" t="inlineStr">
        <is>
          <t>LIVE — wired</t>
        </is>
      </c>
    </row>
    <row r="444" ht="15.75" customHeight="1" s="67">
      <c r="A444" s="0" t="n">
        <v>901</v>
      </c>
      <c r="B444" s="0" t="inlineStr">
        <is>
          <t>KINDERGARTEN_EMA_GATE_ENABLED</t>
        </is>
      </c>
      <c r="C444" s="0" t="inlineStr">
        <is>
          <t>True</t>
        </is>
      </c>
      <c r="D444" s="0" t="inlineStr">
        <is>
          <t>Kindergarten EMA gate: blocks entries when 9/21 EMA misaligned on TF. False=OFF, True=blocks counter-trend on 1h+D+4h. | Live: tradier_manage _kindergarten_ema_gate</t>
        </is>
      </c>
      <c r="E444" s="0" t="inlineStr">
        <is>
          <t>ENTRY, GLOBAL_CHECK</t>
        </is>
      </c>
      <c r="F444" s="0" t="inlineStr">
        <is>
          <t>ENTRY, GLOBAL_CHECK</t>
        </is>
      </c>
      <c r="G444" s="0" t="inlineStr">
        <is>
          <t>KINDERGARTEN_EMA_GATE_ENABLED</t>
        </is>
      </c>
      <c r="H444" s="0" t="inlineStr">
        <is>
          <t>SPECIFIC — only gated switches</t>
        </is>
      </c>
      <c r="I444" s="0" t="inlineStr">
        <is>
          <t>LIVE — wired</t>
        </is>
      </c>
    </row>
    <row r="445" ht="15.75" customHeight="1" s="67">
      <c r="A445" s="0" t="n">
        <v>902</v>
      </c>
      <c r="B445" s="0" t="inlineStr">
        <is>
          <t>EMA_9_21_FILTER_ENABLED</t>
        </is>
      </c>
      <c r="C445" s="0" t="inlineStr">
        <is>
          <t>False</t>
        </is>
      </c>
      <c r="D445" s="0" t="inlineStr">
        <is>
          <t>9/21 EMA filter enabled: False=off, True=require 9 above 21 on TF for LONG (reverse SHORT). | Live: v12_quick_engine kindergarten gate</t>
        </is>
      </c>
      <c r="E445" s="0" t="inlineStr">
        <is>
          <t>ENTRY, GLOBAL_CHECK</t>
        </is>
      </c>
      <c r="F445" s="0" t="inlineStr">
        <is>
          <t>ENTRY, GLOBAL_CHECK</t>
        </is>
      </c>
      <c r="G445" s="0" t="inlineStr">
        <is>
          <t>EMA_9_21_FILTER_ENABLED</t>
        </is>
      </c>
      <c r="H445" s="0" t="inlineStr">
        <is>
          <t>SPECIFIC — only gated switches</t>
        </is>
      </c>
      <c r="I445" s="0" t="inlineStr">
        <is>
          <t>LIVE — wired</t>
        </is>
      </c>
    </row>
    <row r="446" ht="15.75" customHeight="1" s="67">
      <c r="A446" s="0" t="n">
        <v>903</v>
      </c>
      <c r="B446" s="0" t="inlineStr">
        <is>
          <t>EMA_9_21_FILTER_ENABLED</t>
        </is>
      </c>
      <c r="C446" s="0" t="inlineStr">
        <is>
          <t>True</t>
        </is>
      </c>
      <c r="D446" s="0" t="inlineStr">
        <is>
          <t>9/21 EMA filter enabled: False=off, True=require 9 above 21 on TF for LONG (reverse SHORT). | Live: v12_quick_engine kindergarten gate</t>
        </is>
      </c>
      <c r="E446" s="0" t="inlineStr">
        <is>
          <t>ENTRY, GLOBAL_CHECK</t>
        </is>
      </c>
      <c r="F446" s="0" t="inlineStr">
        <is>
          <t>ENTRY, GLOBAL_CHECK</t>
        </is>
      </c>
      <c r="G446" s="0" t="inlineStr">
        <is>
          <t>EMA_9_21_FILTER_ENABLED</t>
        </is>
      </c>
      <c r="H446" s="0" t="inlineStr">
        <is>
          <t>SPECIFIC — only gated switches</t>
        </is>
      </c>
      <c r="I446" s="0" t="inlineStr">
        <is>
          <t>LIVE — wired</t>
        </is>
      </c>
    </row>
    <row r="447" ht="15.75" customHeight="1" s="67">
      <c r="A447" s="0" t="n">
        <v>904</v>
      </c>
      <c r="B447" s="0" t="inlineStr">
        <is>
          <t>EMA_9_21_FILTER_TFS</t>
        </is>
      </c>
      <c r="C447" s="0" t="inlineStr">
        <is>
          <t>1h</t>
        </is>
      </c>
      <c r="D447" s="0" t="inlineStr">
        <is>
          <t>TF list for 9/21: comma-separated TFs that must agree (e.g. 1h, 1h+D, 15m+1h+4h). | Live: EMA_9_21_FILTER_TFS</t>
        </is>
      </c>
      <c r="E447" s="0" t="inlineStr">
        <is>
          <t>GLOBAL_CHECK</t>
        </is>
      </c>
      <c r="F447" s="0" t="inlineStr">
        <is>
          <t>GLOBAL_CHECK</t>
        </is>
      </c>
      <c r="G447" s="0" t="inlineStr">
        <is>
          <t>GLOBAL_CHECK</t>
        </is>
      </c>
      <c r="H447" s="0" t="inlineStr">
        <is>
          <t>EMA_9_21_FILTER_TFS</t>
        </is>
      </c>
      <c r="I447" s="0" t="inlineStr">
        <is>
          <t>LIVE — wired</t>
        </is>
      </c>
    </row>
    <row r="448" ht="15.75" customHeight="1" s="67">
      <c r="A448" s="0" t="n">
        <v>905</v>
      </c>
      <c r="B448" s="0" t="inlineStr">
        <is>
          <t>EMA_9_21_FILTER_TFS</t>
        </is>
      </c>
      <c r="C448" s="0" t="inlineStr">
        <is>
          <t>1h,D</t>
        </is>
      </c>
      <c r="D448" s="0" t="inlineStr">
        <is>
          <t>TF list for 9/21: 1h+D both must agree. Tests multi-TF trend alignment.</t>
        </is>
      </c>
      <c r="E448" s="0" t="inlineStr">
        <is>
          <t>GLOBAL_CHECK</t>
        </is>
      </c>
      <c r="F448" s="0" t="inlineStr">
        <is>
          <t>GLOBAL_CHECK</t>
        </is>
      </c>
      <c r="G448" s="0" t="inlineStr">
        <is>
          <t>GLOBAL_CHECK</t>
        </is>
      </c>
      <c r="H448" s="0" t="inlineStr">
        <is>
          <t>EMA_9_21_FILTER_TFS</t>
        </is>
      </c>
      <c r="I448" s="0" t="inlineStr">
        <is>
          <t>LIVE — wired</t>
        </is>
      </c>
    </row>
    <row r="449" ht="15.75" customHeight="1" s="67">
      <c r="A449" s="0" t="n">
        <v>906</v>
      </c>
      <c r="B449" s="0" t="inlineStr">
        <is>
          <t>EMA_9_21_FILTER_TFS</t>
        </is>
      </c>
      <c r="C449" s="0" t="inlineStr">
        <is>
          <t>15m,1h,4h</t>
        </is>
      </c>
      <c r="D449" s="0" t="inlineStr">
        <is>
          <t>TF list for 9/21: 15m+1h+4h triple confirmation.</t>
        </is>
      </c>
      <c r="E449" s="0" t="inlineStr">
        <is>
          <t>GLOBAL_CHECK</t>
        </is>
      </c>
      <c r="F449" s="0" t="inlineStr">
        <is>
          <t>GLOBAL_CHECK</t>
        </is>
      </c>
      <c r="G449" s="0" t="inlineStr">
        <is>
          <t>GLOBAL_CHECK</t>
        </is>
      </c>
      <c r="H449" s="0" t="inlineStr">
        <is>
          <t>EMA_9_21_FILTER_TFS</t>
        </is>
      </c>
      <c r="I449" s="0" t="inlineStr">
        <is>
          <t>LIVE — wired</t>
        </is>
      </c>
    </row>
    <row r="450" ht="15.75" customHeight="1" s="67">
      <c r="A450" s="0" t="n">
        <v>907</v>
      </c>
      <c r="B450" s="0" t="inlineStr">
        <is>
          <t>EMA_9_21_FILTER_TFS</t>
        </is>
      </c>
      <c r="C450" s="0" t="inlineStr">
        <is>
          <t>D</t>
        </is>
      </c>
      <c r="D450" s="0" t="inlineStr">
        <is>
          <t>TF list for 9/21: D only (daily trend).</t>
        </is>
      </c>
      <c r="E450" s="0" t="inlineStr">
        <is>
          <t>GLOBAL_CHECK</t>
        </is>
      </c>
      <c r="F450" s="0" t="inlineStr">
        <is>
          <t>GLOBAL_CHECK</t>
        </is>
      </c>
      <c r="G450" s="0" t="inlineStr">
        <is>
          <t>GLOBAL_CHECK</t>
        </is>
      </c>
      <c r="H450" s="0" t="inlineStr">
        <is>
          <t>EMA_9_21_FILTER_TFS</t>
        </is>
      </c>
      <c r="I450" s="0" t="inlineStr">
        <is>
          <t>LIVE — wired</t>
        </is>
      </c>
    </row>
    <row r="451" ht="15.75" customHeight="1" s="67">
      <c r="A451" s="0" t="n">
        <v>908</v>
      </c>
      <c r="B451" s="0" t="inlineStr">
        <is>
          <t>KINDERGARTEN_CUMULATIVE_MIN_TFS</t>
        </is>
      </c>
      <c r="C451" s="0" t="inlineStr">
        <is>
          <t>1</t>
        </is>
      </c>
      <c r="D451" s="0" t="inlineStr">
        <is>
          <t>Min TFs that must pass kindergarten checks (1=any, 2=2 TFs agree, 3=3 TFs).</t>
        </is>
      </c>
      <c r="E451" s="0" t="inlineStr">
        <is>
          <t>GLOBAL_CHECK</t>
        </is>
      </c>
      <c r="F451" s="0" t="inlineStr">
        <is>
          <t>GLOBAL_CHECK</t>
        </is>
      </c>
      <c r="G451" s="0" t="inlineStr">
        <is>
          <t>GLOBAL_CHECK</t>
        </is>
      </c>
      <c r="H451" s="0" t="inlineStr">
        <is>
          <t>KINDERGARTEN_CUMULATIVE_MIN_TFS</t>
        </is>
      </c>
      <c r="I451" s="0" t="inlineStr">
        <is>
          <t>LIVE — wired</t>
        </is>
      </c>
    </row>
    <row r="452" ht="15.75" customHeight="1" s="67">
      <c r="A452" s="0" t="n">
        <v>909</v>
      </c>
      <c r="B452" s="0" t="inlineStr">
        <is>
          <t>KINDERGARTEN_CUMULATIVE_MIN_TFS</t>
        </is>
      </c>
      <c r="C452" s="0" t="inlineStr">
        <is>
          <t>2</t>
        </is>
      </c>
      <c r="D452" s="0" t="inlineStr">
        <is>
          <t>Min TFs that must pass kindergarten checks (1=any, 2=2 TFs agree, 3=3 TFs).</t>
        </is>
      </c>
      <c r="E452" s="0" t="inlineStr">
        <is>
          <t>GLOBAL_CHECK</t>
        </is>
      </c>
      <c r="F452" s="0" t="inlineStr">
        <is>
          <t>GLOBAL_CHECK</t>
        </is>
      </c>
      <c r="G452" s="0" t="inlineStr">
        <is>
          <t>GLOBAL_CHECK</t>
        </is>
      </c>
      <c r="H452" s="0" t="inlineStr">
        <is>
          <t>KINDERGARTEN_CUMULATIVE_MIN_TFS</t>
        </is>
      </c>
      <c r="I452" s="0" t="inlineStr">
        <is>
          <t>LIVE — wired</t>
        </is>
      </c>
    </row>
    <row r="453" ht="15.75" customHeight="1" s="67">
      <c r="A453" s="0" t="n">
        <v>910</v>
      </c>
      <c r="B453" s="0" t="inlineStr">
        <is>
          <t>KINDERGARTEN_STRICT_TFS</t>
        </is>
      </c>
      <c r="C453" s="0" t="inlineStr"/>
      <c r="D453" s="0" t="inlineStr">
        <is>
          <t>Strict TF list: when set (e.g. 1h,D), ALL listed TFs must agree (hard gate). Empty=use MIN_TFS count.</t>
        </is>
      </c>
      <c r="E453" s="0" t="inlineStr">
        <is>
          <t>GLOBAL_CHECK</t>
        </is>
      </c>
      <c r="F453" s="0" t="inlineStr">
        <is>
          <t>GLOBAL_CHECK</t>
        </is>
      </c>
      <c r="G453" s="0" t="inlineStr">
        <is>
          <t>GLOBAL_CHECK</t>
        </is>
      </c>
      <c r="H453" s="0" t="inlineStr">
        <is>
          <t>KINDERGARTEN_STRICT_TFS</t>
        </is>
      </c>
      <c r="I453" s="0" t="inlineStr">
        <is>
          <t>LIVE — wired</t>
        </is>
      </c>
    </row>
    <row r="454" ht="15.75" customHeight="1" s="67">
      <c r="A454" s="0" t="n">
        <v>911</v>
      </c>
      <c r="B454" s="0" t="inlineStr">
        <is>
          <t>KINDERGARTEN_STRICT_TFS</t>
        </is>
      </c>
      <c r="C454" s="0" t="inlineStr">
        <is>
          <t>1h,D</t>
        </is>
      </c>
      <c r="D454" s="0" t="inlineStr">
        <is>
          <t>Strict TF list: 1h and D both must agree.</t>
        </is>
      </c>
      <c r="E454" s="0" t="inlineStr">
        <is>
          <t>GLOBAL_CHECK</t>
        </is>
      </c>
      <c r="F454" s="0" t="inlineStr">
        <is>
          <t>GLOBAL_CHECK</t>
        </is>
      </c>
      <c r="G454" s="0" t="inlineStr">
        <is>
          <t>GLOBAL_CHECK</t>
        </is>
      </c>
      <c r="H454" s="0" t="inlineStr">
        <is>
          <t>KINDERGARTEN_STRICT_TFS</t>
        </is>
      </c>
      <c r="I454" s="0" t="inlineStr">
        <is>
          <t>LIVE — wired</t>
        </is>
      </c>
    </row>
    <row r="455" ht="15.75" customHeight="1" s="67">
      <c r="A455" s="0" t="n">
        <v>912</v>
      </c>
      <c r="B455" s="0" t="inlineStr">
        <is>
          <t>WT_SIMPLE_GUARANTEE_ENABLED</t>
        </is>
      </c>
      <c r="C455" s="0" t="inlineStr">
        <is>
          <t>False</t>
        </is>
      </c>
      <c r="D455" s="0" t="inlineStr">
        <is>
          <t>WT simple cross guarantee: when True, forces entry whenever wt1&gt;wt2 regardless of trend filters. Default False (MRVL_SHORT fix).</t>
        </is>
      </c>
      <c r="E455" s="0" t="inlineStr">
        <is>
          <t>ENTRY, GLOBAL_CHECK</t>
        </is>
      </c>
      <c r="F455" s="0" t="inlineStr">
        <is>
          <t>ENTRY, GLOBAL_CHECK</t>
        </is>
      </c>
      <c r="G455" s="0" t="inlineStr">
        <is>
          <t>WT_SIMPLE_GUARANTEE_ENABLED</t>
        </is>
      </c>
      <c r="H455" s="0" t="inlineStr">
        <is>
          <t>SPECIFIC — only gated switches</t>
        </is>
      </c>
      <c r="I455" s="0" t="inlineStr">
        <is>
          <t>LIVE — wired</t>
        </is>
      </c>
    </row>
    <row r="456" ht="15.75" customHeight="1" s="67">
      <c r="A456" s="0" t="n">
        <v>913</v>
      </c>
      <c r="B456" s="0" t="inlineStr">
        <is>
          <t>WT_SIMPLE_GUARANTEE_ENABLED</t>
        </is>
      </c>
      <c r="C456" s="0" t="inlineStr">
        <is>
          <t>True</t>
        </is>
      </c>
      <c r="D456" s="0" t="inlineStr">
        <is>
          <t>WT simple cross guarantee: when True, forces entry whenever wt1&gt;wt2 regardless of trend filters. Default False (MRVL_SHORT fix).</t>
        </is>
      </c>
      <c r="E456" s="0" t="inlineStr">
        <is>
          <t>ENTRY, GLOBAL_CHECK</t>
        </is>
      </c>
      <c r="F456" s="0" t="inlineStr">
        <is>
          <t>ENTRY, GLOBAL_CHECK</t>
        </is>
      </c>
      <c r="G456" s="0" t="inlineStr">
        <is>
          <t>WT_SIMPLE_GUARANTEE_ENABLED</t>
        </is>
      </c>
      <c r="H456" s="0" t="inlineStr">
        <is>
          <t>SPECIFIC — only gated switches</t>
        </is>
      </c>
      <c r="I456" s="0" t="inlineStr">
        <is>
          <t>LIVE — wired</t>
        </is>
      </c>
    </row>
    <row r="457" ht="15.75" customHeight="1" s="67">
      <c r="A457" s="0" t="n">
        <v>914</v>
      </c>
      <c r="B457" s="0" t="inlineStr">
        <is>
          <t>FORCE_MIN_ONE_TRADE</t>
        </is>
      </c>
      <c r="C457" s="0" t="inlineStr">
        <is>
          <t>False</t>
        </is>
      </c>
      <c r="D457" s="0" t="inlineStr">
        <is>
          <t>Force min one trade: when True, forces 1 trade at first bar even if gated to 0. Default False.</t>
        </is>
      </c>
      <c r="E457" s="0" t="inlineStr">
        <is>
          <t>GLOBAL_CHECK</t>
        </is>
      </c>
      <c r="F457" s="0" t="inlineStr">
        <is>
          <t>GLOBAL_CHECK</t>
        </is>
      </c>
      <c r="G457" s="0" t="inlineStr">
        <is>
          <t>GLOBAL_CHECK</t>
        </is>
      </c>
      <c r="H457" s="0" t="inlineStr">
        <is>
          <t>FORCE_MIN_ONE_TRADE</t>
        </is>
      </c>
      <c r="I457" s="0" t="inlineStr">
        <is>
          <t>LIVE — wired</t>
        </is>
      </c>
    </row>
    <row r="458" ht="15.75" customHeight="1" s="67">
      <c r="A458" s="0" t="n">
        <v>915</v>
      </c>
      <c r="B458" s="0" t="inlineStr">
        <is>
          <t>FORCE_MIN_ONE_TRADE</t>
        </is>
      </c>
      <c r="C458" s="0" t="inlineStr">
        <is>
          <t>True</t>
        </is>
      </c>
      <c r="D458" s="0" t="inlineStr">
        <is>
          <t>Force min one trade: when True, forces 1 trade at first bar even if gated to 0. Default False.</t>
        </is>
      </c>
      <c r="E458" s="0" t="inlineStr">
        <is>
          <t>GLOBAL_CHECK</t>
        </is>
      </c>
      <c r="F458" s="0" t="inlineStr">
        <is>
          <t>GLOBAL_CHECK</t>
        </is>
      </c>
      <c r="G458" s="0" t="inlineStr">
        <is>
          <t>GLOBAL_CHECK</t>
        </is>
      </c>
      <c r="H458" s="0" t="inlineStr">
        <is>
          <t>FORCE_MIN_ONE_TRADE</t>
        </is>
      </c>
      <c r="I458" s="0" t="inlineStr">
        <is>
          <t>LIVE — wired</t>
        </is>
      </c>
    </row>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78" t="inlineStr">
        <is>
          <t>AAPL_LONG</t>
        </is>
      </c>
      <c r="B3" s="78" t="inlineStr">
        <is>
          <t>OK</t>
        </is>
      </c>
      <c r="C3" s="0" t="n">
        <v>-6.6311</v>
      </c>
      <c r="D3" s="0" t="n">
        <v>-0.2557</v>
      </c>
      <c r="E3" s="0" t="n">
        <v>41</v>
      </c>
      <c r="F3" s="0">
        <f>IFERROR(VLOOKUP($A3,Results_30d_Deltas!$A$2:$H$5000,8,FALSE)-E2,"")</f>
        <v/>
      </c>
      <c r="G3" s="0">
        <f>IFERROR(VLOOKUP($A3,Results_30d_Deltas!$A$2:$H$5000,7,FALSE)-E2,"")</f>
        <v/>
      </c>
      <c r="K3" s="0">
        <f>IF(B3=C3,"YES","NO")</f>
        <v/>
      </c>
    </row>
    <row r="4">
      <c r="A4" s="78" t="inlineStr">
        <is>
          <t>AAPL_SHORT</t>
        </is>
      </c>
      <c r="B4" s="78" t="inlineStr">
        <is>
          <t>OK</t>
        </is>
      </c>
      <c r="C4" s="0" t="n">
        <v>1.3858</v>
      </c>
      <c r="D4" s="0" t="n">
        <v>0.0498</v>
      </c>
      <c r="E4" s="0" t="n">
        <v>43</v>
      </c>
      <c r="F4" s="0">
        <f>IFERROR(VLOOKUP($A4,Results_30d_Deltas!$A$2:$H$5000,8,FALSE)-E3,"")</f>
        <v/>
      </c>
      <c r="G4" s="0">
        <f>IFERROR(VLOOKUP($A4,Results_30d_Deltas!$A$2:$H$5000,7,FALSE)-E3,"")</f>
        <v/>
      </c>
      <c r="K4" s="0">
        <f>IF(B4=C4,"YES","NO")</f>
        <v/>
      </c>
    </row>
    <row r="5">
      <c r="A5" s="78" t="inlineStr">
        <is>
          <t>MU_LONG</t>
        </is>
      </c>
      <c r="B5" s="78" t="inlineStr">
        <is>
          <t>OK</t>
        </is>
      </c>
      <c r="C5" s="0" t="n">
        <v>-0.3971</v>
      </c>
      <c r="D5" s="0" t="n">
        <v>-0.0038</v>
      </c>
      <c r="E5" s="0" t="n">
        <v>123</v>
      </c>
      <c r="F5" s="0">
        <f>IFERROR(VLOOKUP($A5,Results_30d_Deltas!$A$2:$H$5000,8,FALSE)-E4,"")</f>
        <v/>
      </c>
      <c r="G5" s="0">
        <f>IFERROR(VLOOKUP($A5,Results_30d_Deltas!$A$2:$H$5000,7,FALSE)-E4,"")</f>
        <v/>
      </c>
      <c r="K5" s="0">
        <f>IF(B5=C5,"YES","NO")</f>
        <v/>
      </c>
    </row>
    <row r="6">
      <c r="A6" s="78" t="inlineStr">
        <is>
          <t>MU_SHORT</t>
        </is>
      </c>
      <c r="B6" s="78" t="inlineStr">
        <is>
          <t>OK</t>
        </is>
      </c>
      <c r="C6" s="0" t="n">
        <v>10.1335</v>
      </c>
      <c r="D6" s="0" t="n">
        <v>0.0824</v>
      </c>
      <c r="E6" s="0" t="n">
        <v>121</v>
      </c>
      <c r="F6" s="0">
        <f>IFERROR(VLOOKUP($A6,Results_30d_Deltas!$A$2:$H$5000,8,FALSE)-E5,"")</f>
        <v/>
      </c>
      <c r="G6" s="0">
        <f>IFERROR(VLOOKUP($A6,Results_30d_Deltas!$A$2:$H$5000,7,FALSE)-E5,"")</f>
        <v/>
      </c>
      <c r="K6" s="0">
        <f>IF(B6=C6,"YES","NO")</f>
        <v/>
      </c>
    </row>
    <row r="7">
      <c r="A7" s="78" t="inlineStr">
        <is>
          <t>MSFT_LONG</t>
        </is>
      </c>
      <c r="B7" s="78" t="inlineStr">
        <is>
          <t>NO_NPZ</t>
        </is>
      </c>
      <c r="F7" s="0">
        <f>IFERROR(VLOOKUP($A7,Results_30d_Deltas!$A$2:$H$5000,8,FALSE)-E6,"")</f>
        <v/>
      </c>
      <c r="G7" s="0">
        <f>IFERROR(VLOOKUP($A7,Results_30d_Deltas!$A$2:$H$5000,7,FALSE)-E6,"")</f>
        <v/>
      </c>
      <c r="K7" s="0">
        <f>IF(B7=C7,"YES","NO")</f>
        <v/>
      </c>
    </row>
    <row r="8">
      <c r="A8" s="78" t="inlineStr">
        <is>
          <t>MSFT_SHORT</t>
        </is>
      </c>
      <c r="B8" s="78" t="inlineStr">
        <is>
          <t>NO_NPZ</t>
        </is>
      </c>
      <c r="F8" s="0">
        <f>IFERROR(VLOOKUP($A8,Results_30d_Deltas!$A$2:$H$5000,8,FALSE)-E7,"")</f>
        <v/>
      </c>
      <c r="G8" s="0">
        <f>IFERROR(VLOOKUP($A8,Results_30d_Deltas!$A$2:$H$5000,7,FALSE)-E7,"")</f>
        <v/>
      </c>
      <c r="K8" s="0">
        <f>IF(B8=C8,"YES","NO")</f>
        <v/>
      </c>
    </row>
    <row r="9">
      <c r="A9" s="78" t="inlineStr">
        <is>
          <t>TSLA_LONG</t>
        </is>
      </c>
      <c r="B9" s="78" t="inlineStr">
        <is>
          <t>NO_NPZ</t>
        </is>
      </c>
      <c r="F9" s="0">
        <f>IFERROR(VLOOKUP($A9,Results_30d_Deltas!$A$2:$H$5000,8,FALSE)-E8,"")</f>
        <v/>
      </c>
      <c r="G9" s="0">
        <f>IFERROR(VLOOKUP($A9,Results_30d_Deltas!$A$2:$H$5000,7,FALSE)-E8,"")</f>
        <v/>
      </c>
      <c r="K9" s="0">
        <f>IF(B9=C9,"YES","NO")</f>
        <v/>
      </c>
    </row>
    <row r="10">
      <c r="A10" s="78" t="inlineStr">
        <is>
          <t>TSLA_SHORT</t>
        </is>
      </c>
      <c r="B10" s="78" t="inlineStr">
        <is>
          <t>NO_NPZ</t>
        </is>
      </c>
      <c r="F10" s="0">
        <f>IFERROR(VLOOKUP($A10,Results_30d_Deltas!$A$2:$H$5000,8,FALSE)-E9,"")</f>
        <v/>
      </c>
      <c r="G10" s="0">
        <f>IFERROR(VLOOKUP($A10,Results_30d_Deltas!$A$2:$H$5000,7,FALSE)-E9,"")</f>
        <v/>
      </c>
      <c r="K10" s="0">
        <f>IF(B10=C10,"YES","NO")</f>
        <v/>
      </c>
    </row>
    <row r="11">
      <c r="A11" s="78" t="inlineStr">
        <is>
          <t>BTC_LONG</t>
        </is>
      </c>
      <c r="B11" s="78" t="inlineStr">
        <is>
          <t>NO_NPZ</t>
        </is>
      </c>
      <c r="F11" s="0">
        <f>IFERROR(VLOOKUP($A11,Results_30d_Deltas!$A$2:$H$5000,8,FALSE)-E10,"")</f>
        <v/>
      </c>
      <c r="G11" s="0">
        <f>IFERROR(VLOOKUP($A11,Results_30d_Deltas!$A$2:$H$5000,7,FALSE)-E10,"")</f>
        <v/>
      </c>
      <c r="K11" s="0">
        <f>IF(B11=C11,"YES","NO")</f>
        <v/>
      </c>
    </row>
    <row r="12">
      <c r="A12" s="78" t="inlineStr">
        <is>
          <t>BTC_SHORT</t>
        </is>
      </c>
      <c r="B12" s="78" t="inlineStr">
        <is>
          <t>NO_NPZ</t>
        </is>
      </c>
      <c r="F12" s="0">
        <f>IFERROR(VLOOKUP($A12,Results_30d_Deltas!$A$2:$H$5000,8,FALSE)-E11,"")</f>
        <v/>
      </c>
      <c r="G12" s="0">
        <f>IFERROR(VLOOKUP($A12,Results_30d_Deltas!$A$2:$H$5000,7,FALSE)-E11,"")</f>
        <v/>
      </c>
      <c r="K12" s="0">
        <f>IF(B12=C12,"YES","NO")</f>
        <v/>
      </c>
    </row>
    <row r="13">
      <c r="A13" s="78" t="inlineStr">
        <is>
          <t>ETH_LONG</t>
        </is>
      </c>
      <c r="B13" s="78" t="inlineStr">
        <is>
          <t>NO_NPZ</t>
        </is>
      </c>
      <c r="F13" s="0">
        <f>IFERROR(VLOOKUP($A13,Results_30d_Deltas!$A$2:$H$5000,8,FALSE)-E12,"")</f>
        <v/>
      </c>
      <c r="G13" s="0">
        <f>IFERROR(VLOOKUP($A13,Results_30d_Deltas!$A$2:$H$5000,7,FALSE)-E12,"")</f>
        <v/>
      </c>
      <c r="K13" s="0">
        <f>IF(B13=C13,"YES","NO")</f>
        <v/>
      </c>
    </row>
    <row r="14">
      <c r="A14" s="78" t="inlineStr">
        <is>
          <t>ETH_SHORT</t>
        </is>
      </c>
      <c r="B14" s="78"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78" t="inlineStr">
        <is>
          <t>TRADIER_DC_DAYTRADE_MAX_HOLD_MINUTES</t>
        </is>
      </c>
      <c r="B3" s="78" t="inlineStr">
        <is>
          <t>0</t>
        </is>
      </c>
      <c r="D3" s="0" t="inlineStr">
        <is>
          <t>DAYTRADE</t>
        </is>
      </c>
      <c r="E3" s="0">
        <f>IF(G3="",E2,IF(G3&gt;0,E2+G3,E2))</f>
        <v/>
      </c>
      <c r="F3" s="0">
        <f>IFERROR(VLOOKUP($A3&amp;"_"&amp;$B3,Results_Deltas!$A$2:$P$15000,5,FALSE),"")</f>
        <v/>
      </c>
      <c r="G3" s="0">
        <f>IFERROR(VLOOKUP($A3&amp;"_"&amp;$B3,Results_Deltas!$A$2:$P$15000,5,FALSE),"")</f>
        <v/>
      </c>
    </row>
    <row r="4">
      <c r="A4" s="78" t="inlineStr">
        <is>
          <t>TRADIER_DC_DAYTRADE_REQUIRE_1H_EXPANSION</t>
        </is>
      </c>
      <c r="B4" s="78" t="inlineStr">
        <is>
          <t>True</t>
        </is>
      </c>
      <c r="D4" s="0" t="inlineStr">
        <is>
          <t>DAYTRADE</t>
        </is>
      </c>
      <c r="E4" s="0">
        <f>IF(G4="",E3,IF(G4&gt;0,E3+G4,E3))</f>
        <v/>
      </c>
      <c r="F4" s="0">
        <f>IFERROR(VLOOKUP($A4&amp;"_"&amp;$B4,Results_Deltas!$A$2:$P$15000,5,FALSE),"")</f>
        <v/>
      </c>
      <c r="G4" s="0">
        <f>IFERROR(VLOOKUP($A4&amp;"_"&amp;$B4,Results_Deltas!$A$2:$P$15000,5,FALSE),"")</f>
        <v/>
      </c>
    </row>
    <row r="5">
      <c r="A5" s="78" t="inlineStr">
        <is>
          <t>TRADIER_DC_DAYTRADE_STOP_PCT</t>
        </is>
      </c>
      <c r="B5" s="78" t="inlineStr">
        <is>
          <t>0.005</t>
        </is>
      </c>
      <c r="D5" s="0" t="inlineStr">
        <is>
          <t>DAYTRADE</t>
        </is>
      </c>
      <c r="E5" s="0">
        <f>IF(G5="",E4,IF(G5&gt;0,E4+G5,E4))</f>
        <v/>
      </c>
      <c r="F5" s="0">
        <f>IFERROR(VLOOKUP($A5&amp;"_"&amp;$B5,Results_Deltas!$A$2:$P$15000,5,FALSE),"")</f>
        <v/>
      </c>
      <c r="G5" s="0">
        <f>IFERROR(VLOOKUP($A5&amp;"_"&amp;$B5,Results_Deltas!$A$2:$P$15000,5,FALSE),"")</f>
        <v/>
      </c>
    </row>
    <row r="6">
      <c r="A6" s="78" t="inlineStr">
        <is>
          <t>DC_DAYTRADE_ENABLED</t>
        </is>
      </c>
      <c r="B6" s="78" t="inlineStr">
        <is>
          <t>False</t>
        </is>
      </c>
      <c r="D6" s="0" t="inlineStr">
        <is>
          <t>DAYTRADE</t>
        </is>
      </c>
      <c r="E6" s="0">
        <f>IF(G6="",E5,IF(G6&gt;0,E5+G6,E5))</f>
        <v/>
      </c>
      <c r="F6" s="0">
        <f>IFERROR(VLOOKUP($A6&amp;"_"&amp;$B6,Results_Deltas!$A$2:$P$15000,5,FALSE),"")</f>
        <v/>
      </c>
      <c r="G6" s="0">
        <f>IFERROR(VLOOKUP($A6&amp;"_"&amp;$B6,Results_Deltas!$A$2:$P$15000,5,FALSE),"")</f>
        <v/>
      </c>
    </row>
    <row r="7">
      <c r="A7" s="78" t="inlineStr">
        <is>
          <t>DC_DAYTRADE_MAX_HOLD_MINUTES</t>
        </is>
      </c>
      <c r="B7" s="78" t="inlineStr">
        <is>
          <t>0</t>
        </is>
      </c>
      <c r="D7" s="0" t="inlineStr">
        <is>
          <t>DAYTRADE</t>
        </is>
      </c>
      <c r="E7" s="0">
        <f>IF(G7="",E6,IF(G7&gt;0,E6+G7,E6))</f>
        <v/>
      </c>
      <c r="F7" s="0">
        <f>IFERROR(VLOOKUP($A7&amp;"_"&amp;$B7,Results_Deltas!$A$2:$P$15000,5,FALSE),"")</f>
        <v/>
      </c>
      <c r="G7" s="0">
        <f>IFERROR(VLOOKUP($A7&amp;"_"&amp;$B7,Results_Deltas!$A$2:$P$15000,5,FALSE),"")</f>
        <v/>
      </c>
    </row>
    <row r="8">
      <c r="A8" s="78" t="inlineStr">
        <is>
          <t>DC_DAYTRADE_STOP_PCT</t>
        </is>
      </c>
      <c r="B8" s="78" t="inlineStr">
        <is>
          <t>0.015</t>
        </is>
      </c>
      <c r="D8" s="0" t="inlineStr">
        <is>
          <t>DAYTRADE</t>
        </is>
      </c>
      <c r="E8" s="0">
        <f>IF(G8="",E7,IF(G8&gt;0,E7+G8,E7))</f>
        <v/>
      </c>
      <c r="F8" s="0">
        <f>IFERROR(VLOOKUP($A8&amp;"_"&amp;$B8,Results_Deltas!$A$2:$P$15000,5,FALSE),"")</f>
        <v/>
      </c>
      <c r="G8" s="0">
        <f>IFERROR(VLOOKUP($A8&amp;"_"&amp;$B8,Results_Deltas!$A$2:$P$15000,5,FALSE),"")</f>
        <v/>
      </c>
    </row>
    <row r="9">
      <c r="A9" s="78" t="inlineStr">
        <is>
          <t>WT_TECHNICAL_WAIT_LOWER_HIGH_ONLY</t>
        </is>
      </c>
      <c r="B9" s="78"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78" t="inlineStr">
        <is>
          <t>AUGMENT_BOUNCE_MIN_GAIN_PCT=0.25</t>
        </is>
      </c>
      <c r="B3" s="78" t="inlineStr">
        <is>
          <t>avg&lt;-5 pos0% n&gt;=50 - disable per category deep dive</t>
        </is>
      </c>
    </row>
    <row r="4">
      <c r="A4" s="78" t="inlineStr">
        <is>
          <t>AUGMENT_BOUNCE_MIN_GAIN_PCT=0.375</t>
        </is>
      </c>
      <c r="B4" s="78" t="inlineStr">
        <is>
          <t>avg&lt;-5 pos0% n&gt;=50 - disable per category deep dive</t>
        </is>
      </c>
    </row>
    <row r="5">
      <c r="A5" s="78" t="inlineStr">
        <is>
          <t>AUGMENT_BOUNCE_MIN_GAIN_PCT=0.625</t>
        </is>
      </c>
      <c r="B5" s="78" t="inlineStr">
        <is>
          <t>avg&lt;-5 pos0% n&gt;=50 - disable per category deep dive</t>
        </is>
      </c>
    </row>
    <row r="6">
      <c r="A6" s="78" t="inlineStr">
        <is>
          <t>AUGMENT_BOUNCE_MIN_GAIN_PCT=0.75</t>
        </is>
      </c>
      <c r="B6" s="78" t="inlineStr">
        <is>
          <t>avg&lt;-5 pos0% n&gt;=50 - disable per category deep dive</t>
        </is>
      </c>
    </row>
    <row r="7">
      <c r="A7" s="78" t="inlineStr">
        <is>
          <t>AUGMENT_BREAKOUT_MIN_GAIN_PCT=0.25</t>
        </is>
      </c>
      <c r="B7" s="78" t="inlineStr">
        <is>
          <t>avg&lt;-5 pos0% n&gt;=50 - disable per category deep dive</t>
        </is>
      </c>
    </row>
    <row r="8">
      <c r="A8" s="78" t="inlineStr">
        <is>
          <t>AUGMENT_BREAKOUT_MIN_GAIN_PCT=0.375</t>
        </is>
      </c>
      <c r="B8" s="78" t="inlineStr">
        <is>
          <t>avg&lt;-5 pos0% n&gt;=50 - disable per category deep dive</t>
        </is>
      </c>
    </row>
    <row r="9">
      <c r="A9" s="78" t="inlineStr">
        <is>
          <t>AUGMENT_BREAKOUT_MIN_GAIN_PCT=0.625</t>
        </is>
      </c>
      <c r="B9" s="78" t="inlineStr">
        <is>
          <t>avg&lt;-5 pos0% n&gt;=50 - disable per category deep dive</t>
        </is>
      </c>
    </row>
    <row r="10">
      <c r="A10" s="78" t="inlineStr">
        <is>
          <t>AUGMENT_BREAKOUT_MIN_GAIN_PCT=0.75</t>
        </is>
      </c>
      <c r="B10" s="78" t="inlineStr">
        <is>
          <t>avg&lt;-5 pos0% n&gt;=50 - disable per category deep dive</t>
        </is>
      </c>
    </row>
    <row r="11">
      <c r="A11" s="78" t="inlineStr">
        <is>
          <t>AUGMENT_FALLBACK_GAIN_PCT=0.5</t>
        </is>
      </c>
      <c r="B11" s="78" t="inlineStr">
        <is>
          <t>avg&lt;-5 pos0% n&gt;=50 - disable per category deep dive</t>
        </is>
      </c>
    </row>
    <row r="12">
      <c r="A12" s="78" t="inlineStr">
        <is>
          <t>AUGMENT_FALLBACK_GAIN_PCT=0.75</t>
        </is>
      </c>
      <c r="B12" s="78" t="inlineStr">
        <is>
          <t>avg&lt;-5 pos0% n&gt;=50 - disable per category deep dive</t>
        </is>
      </c>
    </row>
    <row r="13">
      <c r="A13" s="78" t="inlineStr">
        <is>
          <t>AUGMENT_FALLBACK_GAIN_PCT=1.25</t>
        </is>
      </c>
      <c r="B13" s="78" t="inlineStr">
        <is>
          <t>avg&lt;-5 pos0% n&gt;=50 - disable per category deep dive</t>
        </is>
      </c>
    </row>
    <row r="14">
      <c r="A14" s="78" t="inlineStr">
        <is>
          <t>AUGMENT_FALLBACK_GAIN_PCT=1.5</t>
        </is>
      </c>
      <c r="B14" s="78" t="inlineStr">
        <is>
          <t>avg&lt;-5 pos0% n&gt;=50 - disable per category deep dive</t>
        </is>
      </c>
    </row>
    <row r="15">
      <c r="A15" s="78" t="inlineStr">
        <is>
          <t>AUGMENT_MIN_GAIN_PCT=0.25</t>
        </is>
      </c>
      <c r="B15" s="78" t="inlineStr">
        <is>
          <t>avg&lt;-5 pos0% n&gt;=50 - disable per category deep dive</t>
        </is>
      </c>
    </row>
    <row r="16">
      <c r="A16" s="78" t="inlineStr">
        <is>
          <t>AUGMENT_MIN_GAIN_PCT=0.375</t>
        </is>
      </c>
      <c r="B16" s="78" t="inlineStr">
        <is>
          <t>avg&lt;-5 pos0% n&gt;=50 - disable per category deep dive</t>
        </is>
      </c>
    </row>
    <row r="17">
      <c r="A17" s="78" t="inlineStr">
        <is>
          <t>AUGMENT_MIN_GAIN_PCT=0.625</t>
        </is>
      </c>
      <c r="B17" s="78" t="inlineStr">
        <is>
          <t>avg&lt;-5 pos0% n&gt;=50 - disable per category deep dive</t>
        </is>
      </c>
    </row>
    <row r="18">
      <c r="A18" s="78" t="inlineStr">
        <is>
          <t>AUGMENT_MIN_GAIN_PCT=0.75</t>
        </is>
      </c>
      <c r="B18" s="78" t="inlineStr">
        <is>
          <t>avg&lt;-5 pos0% n&gt;=50 - disable per category deep dive</t>
        </is>
      </c>
    </row>
    <row r="19">
      <c r="A19" s="78" t="inlineStr">
        <is>
          <t>COOLDOWN_LOCKS_FILTER_TF=1h</t>
        </is>
      </c>
      <c r="B19" s="78" t="inlineStr">
        <is>
          <t>avg&lt;-5 pos0% n&gt;=50 - disable per category deep dive</t>
        </is>
      </c>
    </row>
    <row r="20">
      <c r="A20" s="78" t="inlineStr">
        <is>
          <t>COOLDOWN_LOCKS_FILTER_TF=4h</t>
        </is>
      </c>
      <c r="B20" s="78" t="inlineStr">
        <is>
          <t>avg&lt;-5 pos0% n&gt;=50 - disable per category deep dive</t>
        </is>
      </c>
    </row>
    <row r="21">
      <c r="A21" s="78" t="inlineStr">
        <is>
          <t>COOLDOWN_LOCKS_FILTER_TF=D</t>
        </is>
      </c>
      <c r="B21" s="78" t="inlineStr">
        <is>
          <t>avg&lt;-5 pos0% n&gt;=50 - disable per category deep dive</t>
        </is>
      </c>
    </row>
    <row r="22">
      <c r="A22" s="78" t="inlineStr">
        <is>
          <t>COOLDOWN_LOCKS_FILTER_TF=OFF</t>
        </is>
      </c>
      <c r="B22" s="78" t="inlineStr">
        <is>
          <t>avg&lt;-5 pos0% n&gt;=50 - disable per category deep dive</t>
        </is>
      </c>
    </row>
    <row r="23">
      <c r="A23" s="78" t="inlineStr">
        <is>
          <t>DUP_GUARD_FILTER_TF=4h</t>
        </is>
      </c>
      <c r="B23" s="78" t="inlineStr">
        <is>
          <t>avg&lt;-5 pos0% n&gt;=50 - disable per category deep dive</t>
        </is>
      </c>
    </row>
    <row r="24">
      <c r="A24" s="78" t="inlineStr">
        <is>
          <t>DUP_GUARD_FILTER_TF=D</t>
        </is>
      </c>
      <c r="B24" s="78" t="inlineStr">
        <is>
          <t>avg&lt;-5 pos0% n&gt;=50 - disable per category deep dive</t>
        </is>
      </c>
    </row>
    <row r="25">
      <c r="A25" s="78" t="inlineStr">
        <is>
          <t>DUP_GUARD_FILTER_TF=OFF</t>
        </is>
      </c>
      <c r="B25" s="78" t="inlineStr">
        <is>
          <t>avg&lt;-5 pos0% n&gt;=50 - disable per category deep dive</t>
        </is>
      </c>
    </row>
    <row r="26">
      <c r="A26" s="78" t="inlineStr">
        <is>
          <t>EMA_9_21_FILTER_MIN_TFS=0</t>
        </is>
      </c>
      <c r="B26" s="78" t="inlineStr">
        <is>
          <t>avg&lt;-5 pos0% n&gt;=50 - disable per category deep dive</t>
        </is>
      </c>
    </row>
    <row r="27">
      <c r="A27" s="78" t="inlineStr">
        <is>
          <t>RZ_BOT_BB_THRESHOLD=0.375</t>
        </is>
      </c>
      <c r="B27" s="78" t="inlineStr">
        <is>
          <t>avg&lt;-5 pos0% n&gt;=50 - disable per category deep dive</t>
        </is>
      </c>
    </row>
    <row r="28">
      <c r="A28" s="0" t="n"/>
      <c r="B28" s="0" t="n"/>
    </row>
    <row r="29">
      <c r="A29" s="0" t="n"/>
      <c r="B29" s="0" t="n"/>
    </row>
    <row r="30">
      <c r="A30" s="0" t="n"/>
      <c r="B30" s="0" t="n"/>
    </row>
    <row r="31">
      <c r="A31" s="0" t="n"/>
      <c r="B31" s="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2026-09-19T01:15:17Z</dcterms:modified>
</cp:coreProperties>
</file>