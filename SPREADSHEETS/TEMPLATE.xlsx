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0"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0"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0"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0"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0"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0"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0"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0"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0" t="inlineStr">
        <is>
          <t>BEAR_MARKET_MODE</t>
        </is>
      </c>
      <c r="B24" s="83" t="inlineStr">
        <is>
          <t>True</t>
        </is>
      </c>
      <c r="C24" s="0" t="n"/>
      <c r="D24" s="0" t="n"/>
      <c r="G24">
        <f>IFERROR(VLOOKUP($A24&amp;"_"&amp;$B24,Results_Deltas!$A$2:$P$15000,5,FALSE),"")</f>
        <v/>
      </c>
      <c r="H24">
        <f>IFERROR(VLOOKUP($A24,Results_30d_Deltas!$A$2:$H$5000,7,FALSE)-E24,"")</f>
        <v/>
      </c>
      <c r="I24">
        <f>IFERROR(VLOOKUP($A24,Results_30d_Deltas!$A$2:$H$5000,6,FALSE),"")</f>
        <v/>
      </c>
    </row>
    <row r="25" ht="10.5" customHeight="1" s="67">
      <c r="A25" s="0" t="inlineStr">
        <is>
          <t>BEAR_MARKET_MODE</t>
        </is>
      </c>
      <c r="B25" s="83" t="inlineStr">
        <is>
          <t>False</t>
        </is>
      </c>
      <c r="C25" s="0" t="n"/>
      <c r="D25" s="0" t="n"/>
      <c r="G25">
        <f>IFERROR(VLOOKUP($A25&amp;"_"&amp;$B25,Results_Deltas!$A$2:$P$15000,5,FALSE),"")</f>
        <v/>
      </c>
      <c r="H25">
        <f>IFERROR(VLOOKUP($A25,Results_30d_Deltas!$A$2:$H$5000,7,FALSE)-E25,"")</f>
        <v/>
      </c>
      <c r="I25">
        <f>IFERROR(VLOOKUP($A25,Results_30d_Deltas!$A$2:$H$5000,6,FALSE),"")</f>
        <v/>
      </c>
    </row>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2026-09-19T00:09:49Z</dcterms:modified>
</cp:coreProperties>
</file>