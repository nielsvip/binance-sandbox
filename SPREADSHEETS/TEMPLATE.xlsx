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
      <b val="1"/>
      <color rgb="00FFFFFF"/>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4">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xf numFmtId="0" fontId="25" fillId="16" borderId="0" pivotButton="0" quotePrefix="0" xfId="0"/>
    <xf numFmtId="0" fontId="0" fillId="0" borderId="0" applyAlignment="1" pivotButton="0" quotePrefix="0" xfId="0">
      <alignment horizontal="left"/>
    </xf>
    <xf numFmtId="0" fontId="0" fillId="0" borderId="0"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row>
    <row r="3" ht="10.5" customHeight="1" s="67">
      <c r="A3" t="inlineStr">
        <is>
          <t>WT_15M_BOUNCE_OPEN_ENABLED</t>
        </is>
      </c>
      <c r="B3" t="b">
        <v>1</v>
      </c>
      <c r="E3">
        <f>TEMPLATE_BASELINE_METRICS!B2</f>
        <v/>
      </c>
      <c r="G3">
        <f>IFERROR(VLOOKUP($A3&amp;"="&amp;$B3,Results_Deltas!$A$2:$P$15000,5,FALSE),"")</f>
        <v/>
      </c>
      <c r="H3">
        <f>IFERROR(VLOOKUP($A3,Results_30d_Deltas!$A$2:$H$5000,7,FALSE)-E3,"")</f>
        <v/>
      </c>
      <c r="I3">
        <f>IFERROR(VLOOKUP($A3,Results_30d_Deltas!$A$2:$H$5000,6,FALSE),"")</f>
        <v/>
      </c>
      <c r="L3" t="inlineStr">
        <is>
          <t>YES</t>
        </is>
      </c>
      <c r="M3" t="n">
        <v>28</v>
      </c>
      <c r="IL3" t="inlineStr">
        <is>
          <t>ez_manage.py:6076 top()</t>
        </is>
      </c>
      <c r="IM3" t="inlineStr">
        <is>
          <t>v12_quick_engine.py:4288 x7</t>
        </is>
      </c>
    </row>
    <row r="4" ht="10.5" customHeight="1" s="67">
      <c r="A4" t="inlineStr">
        <is>
          <t>WT_15M_BOUNCE_OPEN_ENABLED</t>
        </is>
      </c>
      <c r="B4" t="inlineStr">
        <is>
          <t>True</t>
        </is>
      </c>
      <c r="E4">
        <f>IF(G4="",E3,IF(G4&gt;0,E3+G4,E3))</f>
        <v/>
      </c>
      <c r="G4">
        <f>IFERROR(VLOOKUP($A4&amp;"_"&amp;$B4,Results_Deltas!$A$2:$P$15000,5,FALSE),"")</f>
        <v/>
      </c>
      <c r="H4">
        <f>IFERROR(VLOOKUP($A4,Results_30d_Deltas!$A$2:$H$5000,7,FALSE)-E3,"")</f>
        <v/>
      </c>
      <c r="I4">
        <f>IFERROR(VLOOKUP($A4,Results_30d_Deltas!$A$2:$H$5000,6,FALSE),"")</f>
        <v/>
      </c>
      <c r="L4" t="inlineStr">
        <is>
          <t>NO</t>
        </is>
      </c>
      <c r="M4" t="n">
        <v>28</v>
      </c>
      <c r="IL4" t="inlineStr">
        <is>
          <t>ez_manage.py:6076 top()</t>
        </is>
      </c>
      <c r="IM4" t="inlineStr">
        <is>
          <t>v12_quick_engine.py:4288 x7</t>
        </is>
      </c>
    </row>
    <row r="5" ht="10.5" customHeight="1" s="67">
      <c r="A5" t="inlineStr">
        <is>
          <t>BB_SQUEEZE_ENTRY_ENABLED</t>
        </is>
      </c>
      <c r="B5" t="inlineStr">
        <is>
          <t>True</t>
        </is>
      </c>
      <c r="E5">
        <f>IF(G5="",E4,IF(G5&gt;0,E4+G5,E4))</f>
        <v/>
      </c>
      <c r="G5">
        <f>IFERROR(VLOOKUP($A5&amp;"_"&amp;$B5,Results_Deltas!$A$2:$P$15000,5,FALSE),"")</f>
        <v/>
      </c>
      <c r="H5">
        <f>IFERROR(VLOOKUP($A5,Results_30d_Deltas!$A$2:$H$5000,7,FALSE)-E4,"")</f>
        <v/>
      </c>
      <c r="I5">
        <f>IFERROR(VLOOKUP($A5,Results_30d_Deltas!$A$2:$H$5000,6,FALSE),"")</f>
        <v/>
      </c>
      <c r="L5" t="inlineStr">
        <is>
          <t>YES</t>
        </is>
      </c>
      <c r="M5" t="n">
        <v>28</v>
      </c>
      <c r="IL5" t="inlineStr">
        <is>
          <t>ez_manage.py:4371 top()</t>
        </is>
      </c>
      <c r="IM5" t="inlineStr">
        <is>
          <t>v12_quick_engine.py:889 x9</t>
        </is>
      </c>
    </row>
    <row r="6" ht="15.75" customHeight="1" s="67">
      <c r="A6" t="inlineStr">
        <is>
          <t>BB_SQUEEZE_ENTRY_ENABLED</t>
        </is>
      </c>
      <c r="B6" t="inlineStr">
        <is>
          <t>False</t>
        </is>
      </c>
      <c r="E6">
        <f>IF(G6="",E200,IF(G6&gt;0,E200+G6,E200))</f>
        <v/>
      </c>
      <c r="G6">
        <f>IFERROR(VLOOKUP($A6&amp;"_"&amp;$B6,Results_Deltas!$A$2:$P$15000,5,FALSE),"")</f>
        <v/>
      </c>
      <c r="H6">
        <f>IFERROR(VLOOKUP(#REF!,Results_30d_Deltas!$A$2:$H$5000,7,FALSE)-E4,"")</f>
        <v/>
      </c>
      <c r="I6">
        <f>IFERROR(VLOOKUP(#REF!,Results_30d_Deltas!$A$2:$H$5000,6,FALSE),"")</f>
        <v/>
      </c>
      <c r="L6" t="inlineStr">
        <is>
          <t>NO</t>
        </is>
      </c>
      <c r="M6" t="n">
        <v>0</v>
      </c>
      <c r="IL6" t="inlineStr">
        <is>
          <t>ez_manage.py:4371 top()</t>
        </is>
      </c>
      <c r="IM6" t="inlineStr">
        <is>
          <t>v12_quick_engine.py:889 x9</t>
        </is>
      </c>
    </row>
    <row r="7" ht="10.5" customHeight="1" s="67">
      <c r="A7" t="inlineStr">
        <is>
          <t>BB_PULLBACK_GATE_TF</t>
        </is>
      </c>
      <c r="B7" t="inlineStr">
        <is>
          <t>OFF</t>
        </is>
      </c>
      <c r="E7">
        <f>IF(G7="",E5,IF(G7&gt;0,E5+G7,E5))</f>
        <v/>
      </c>
      <c r="G7">
        <f>IFERROR(VLOOKUP($A7&amp;"_"&amp;$B7,Results_Deltas!$A$2:$P$15000,5,FALSE),"")</f>
        <v/>
      </c>
      <c r="H7">
        <f>IFERROR(VLOOKUP($A7,Results_30d_Deltas!$A$2:$H$5000,7,FALSE)-E5,"")</f>
        <v/>
      </c>
      <c r="I7">
        <f>IFERROR(VLOOKUP($A7,Results_30d_Deltas!$A$2:$H$5000,6,FALSE),"")</f>
        <v/>
      </c>
      <c r="L7" t="inlineStr">
        <is>
          <t>NO</t>
        </is>
      </c>
      <c r="M7" t="n">
        <v>28</v>
      </c>
      <c r="IL7" t="inlineStr">
        <is>
          <t>ez_manage.py:4361 top()</t>
        </is>
      </c>
      <c r="IM7" t="inlineStr">
        <is>
          <t>v12_quick_engine.py:288 x12</t>
        </is>
      </c>
    </row>
    <row r="8" ht="10.5" customHeight="1" s="67">
      <c r="A8" t="inlineStr">
        <is>
          <t>BB_PULLBACK_GATE_TF</t>
        </is>
      </c>
      <c r="B8" t="inlineStr">
        <is>
          <t>D</t>
        </is>
      </c>
      <c r="E8">
        <f>IF(G8="",E7,IF(G8&gt;0,E7+G8,E7))</f>
        <v/>
      </c>
      <c r="G8">
        <f>IFERROR(VLOOKUP($A8&amp;"_"&amp;$B8,Results_Deltas!$A$2:$P$15000,5,FALSE),"")</f>
        <v/>
      </c>
      <c r="H8">
        <f>IFERROR(VLOOKUP($A8,Results_30d_Deltas!$A$2:$H$5000,7,FALSE)-E7,"")</f>
        <v/>
      </c>
      <c r="I8">
        <f>IFERROR(VLOOKUP($A8,Results_30d_Deltas!$A$2:$H$5000,6,FALSE),"")</f>
        <v/>
      </c>
      <c r="L8" t="inlineStr">
        <is>
          <t>NO</t>
        </is>
      </c>
      <c r="M8" t="n">
        <v>28</v>
      </c>
      <c r="IL8" t="inlineStr">
        <is>
          <t>ez_manage.py:4361 top()</t>
        </is>
      </c>
      <c r="IM8" t="inlineStr">
        <is>
          <t>v12_quick_engine.py:288 x12</t>
        </is>
      </c>
    </row>
    <row r="9" ht="10.5" customHeight="1" s="67">
      <c r="A9" t="inlineStr">
        <is>
          <t>BB_PULLBACK_GATE_TF</t>
        </is>
      </c>
      <c r="B9" t="inlineStr">
        <is>
          <t>4h</t>
        </is>
      </c>
      <c r="E9">
        <f>IF(G9="",E8,IF(G9&gt;0,E8+G9,E8))</f>
        <v/>
      </c>
      <c r="G9">
        <f>IFERROR(VLOOKUP($A9&amp;"_"&amp;$B9,Results_Deltas!$A$2:$P$15000,5,FALSE),"")</f>
        <v/>
      </c>
      <c r="H9">
        <f>IFERROR(VLOOKUP($A9,Results_30d_Deltas!$A$2:$H$5000,7,FALSE)-E8,"")</f>
        <v/>
      </c>
      <c r="I9">
        <f>IFERROR(VLOOKUP($A9,Results_30d_Deltas!$A$2:$H$5000,6,FALSE),"")</f>
        <v/>
      </c>
      <c r="L9" t="inlineStr">
        <is>
          <t>NO</t>
        </is>
      </c>
      <c r="M9" t="n">
        <v>28</v>
      </c>
      <c r="IL9" t="inlineStr">
        <is>
          <t>ez_manage.py:4361 top()</t>
        </is>
      </c>
      <c r="IM9" t="inlineStr">
        <is>
          <t>v12_quick_engine.py:288 x12</t>
        </is>
      </c>
    </row>
    <row r="10" ht="10.5" customHeight="1" s="67">
      <c r="A10" t="inlineStr">
        <is>
          <t>BB_PULLBACK_GATE_TF</t>
        </is>
      </c>
      <c r="B10" t="inlineStr">
        <is>
          <t>1h</t>
        </is>
      </c>
      <c r="E10">
        <f>IF(G10="",E9,IF(G10&gt;0,E9+G10,E9))</f>
        <v/>
      </c>
      <c r="G10">
        <f>IFERROR(VLOOKUP($A10&amp;"_"&amp;$B10,Results_Deltas!$A$2:$P$15000,5,FALSE),"")</f>
        <v/>
      </c>
      <c r="H10">
        <f>IFERROR(VLOOKUP($A10,Results_30d_Deltas!$A$2:$H$5000,7,FALSE)-E9,"")</f>
        <v/>
      </c>
      <c r="I10">
        <f>IFERROR(VLOOKUP($A10,Results_30d_Deltas!$A$2:$H$5000,6,FALSE),"")</f>
        <v/>
      </c>
      <c r="L10" t="inlineStr">
        <is>
          <t>NO</t>
        </is>
      </c>
      <c r="M10" t="n">
        <v>28</v>
      </c>
      <c r="IL10" t="inlineStr">
        <is>
          <t>ez_manage.py:4361 top()</t>
        </is>
      </c>
      <c r="IM10" t="inlineStr">
        <is>
          <t>v12_quick_engine.py:288 x12</t>
        </is>
      </c>
    </row>
    <row r="11" ht="10.5" customHeight="1" s="67">
      <c r="A11" t="inlineStr">
        <is>
          <t>BB_PULLBACK_GATE_TF</t>
        </is>
      </c>
      <c r="B11" t="inlineStr">
        <is>
          <t>15m</t>
        </is>
      </c>
      <c r="E11">
        <f>IF(G11="",E10,IF(G11&gt;0,E10+G11,E10))</f>
        <v/>
      </c>
      <c r="G11">
        <f>IFERROR(VLOOKUP($A11&amp;"_"&amp;$B11,Results_Deltas!$A$2:$P$15000,5,FALSE),"")</f>
        <v/>
      </c>
      <c r="H11">
        <f>IFERROR(VLOOKUP($A11,Results_30d_Deltas!$A$2:$H$5000,7,FALSE)-E10,"")</f>
        <v/>
      </c>
      <c r="I11">
        <f>IFERROR(VLOOKUP($A11,Results_30d_Deltas!$A$2:$H$5000,6,FALSE),"")</f>
        <v/>
      </c>
      <c r="L11" t="inlineStr">
        <is>
          <t>YES</t>
        </is>
      </c>
      <c r="M11" t="n">
        <v>13</v>
      </c>
      <c r="IL11" t="inlineStr">
        <is>
          <t>ez_manage.py:4361 top()</t>
        </is>
      </c>
      <c r="IM11" t="inlineStr">
        <is>
          <t>v12_quick_engine.py:288 x12</t>
        </is>
      </c>
    </row>
    <row r="12" ht="10.5" customHeight="1" s="67">
      <c r="A12" t="inlineStr">
        <is>
          <t>DELTA_GATE_BB_SQUEEZE</t>
        </is>
      </c>
      <c r="B12" t="inlineStr">
        <is>
          <t>True</t>
        </is>
      </c>
      <c r="E12">
        <f>IF(G12="",E11,IF(G12&gt;0,E11+G12,E11))</f>
        <v/>
      </c>
      <c r="G12">
        <f>IFERROR(VLOOKUP($A12&amp;"_"&amp;$B12,Results_Deltas!$A$2:$P$15000,5,FALSE),"")</f>
        <v/>
      </c>
      <c r="H12">
        <f>IFERROR(VLOOKUP($A12,Results_30d_Deltas!$A$2:$H$5000,7,FALSE)-E11,"")</f>
        <v/>
      </c>
      <c r="I12">
        <f>IFERROR(VLOOKUP($A12,Results_30d_Deltas!$A$2:$H$5000,6,FALSE),"")</f>
        <v/>
      </c>
      <c r="L12" t="inlineStr">
        <is>
          <t>YES</t>
        </is>
      </c>
      <c r="M12" t="n">
        <v>13</v>
      </c>
      <c r="IL12" t="inlineStr">
        <is>
          <t>ez_manage.py:4603 top()</t>
        </is>
      </c>
      <c r="IM12" t="inlineStr">
        <is>
          <t>v12_quick_engine.py:969 x9</t>
        </is>
      </c>
    </row>
    <row r="13" ht="10.5" customHeight="1" s="67">
      <c r="A13" t="inlineStr">
        <is>
          <t>DELTA_GATE_BB_SQUEEZE</t>
        </is>
      </c>
      <c r="B13" t="inlineStr">
        <is>
          <t>False</t>
        </is>
      </c>
      <c r="L13" t="inlineStr">
        <is>
          <t>NO</t>
        </is>
      </c>
      <c r="M13" t="n">
        <v>0</v>
      </c>
    </row>
    <row r="14" ht="10.5" customHeight="1" s="67">
      <c r="A14" t="inlineStr">
        <is>
          <t>BB_SQUEEZE_WIDTH_PERCENTILE</t>
        </is>
      </c>
      <c r="B14" t="inlineStr">
        <is>
          <t>0.1</t>
        </is>
      </c>
      <c r="E14">
        <f>IF(G14="",E12,IF(G14&gt;0,E12+G14,E12))</f>
        <v/>
      </c>
      <c r="G14">
        <f>IFERROR(VLOOKUP($A14&amp;"_"&amp;$B14,Results_Deltas!$A$2:$P$15000,5,FALSE),"")</f>
        <v/>
      </c>
      <c r="H14">
        <f>IFERROR(VLOOKUP($A14,Results_30d_Deltas!$A$2:$H$5000,7,FALSE)-E12,"")</f>
        <v/>
      </c>
      <c r="I14">
        <f>IFERROR(VLOOKUP($A14,Results_30d_Deltas!$A$2:$H$5000,6,FALSE),"")</f>
        <v/>
      </c>
      <c r="L14" t="inlineStr">
        <is>
          <t>NO</t>
        </is>
      </c>
      <c r="M14" t="n">
        <v>28</v>
      </c>
      <c r="IL14" t="inlineStr">
        <is>
          <t>ez_manage.py:4375 top()</t>
        </is>
      </c>
      <c r="IM14" t="inlineStr">
        <is>
          <t>v12_quick_engine.py:1285 x7</t>
        </is>
      </c>
    </row>
    <row r="15" ht="10.5" customHeight="1" s="67">
      <c r="A15" t="inlineStr">
        <is>
          <t>BB_SQUEEZE_WIDTH_PERCENTILE</t>
        </is>
      </c>
      <c r="B15" t="inlineStr">
        <is>
          <t>0.15</t>
        </is>
      </c>
      <c r="E15">
        <f>IF(G15="",E14,IF(G15&gt;0,E14+G15,E14))</f>
        <v/>
      </c>
      <c r="G15">
        <f>IFERROR(VLOOKUP($A15&amp;"_"&amp;$B15,Results_Deltas!$A$2:$P$15000,5,FALSE),"")</f>
        <v/>
      </c>
      <c r="H15">
        <f>IFERROR(VLOOKUP($A15,Results_30d_Deltas!$A$2:$H$5000,7,FALSE)-E14,"")</f>
        <v/>
      </c>
      <c r="I15">
        <f>IFERROR(VLOOKUP($A15,Results_30d_Deltas!$A$2:$H$5000,6,FALSE),"")</f>
        <v/>
      </c>
      <c r="L15" t="inlineStr">
        <is>
          <t>NO</t>
        </is>
      </c>
      <c r="M15" t="n">
        <v>28</v>
      </c>
      <c r="IL15" t="inlineStr">
        <is>
          <t>ez_manage.py:4375 top()</t>
        </is>
      </c>
      <c r="IM15" t="inlineStr">
        <is>
          <t>v12_quick_engine.py:1285 x7</t>
        </is>
      </c>
    </row>
    <row r="16" ht="10.5" customHeight="1" s="67">
      <c r="A16" t="inlineStr">
        <is>
          <t>BB_SQUEEZE_WIDTH_PERCENTILE</t>
        </is>
      </c>
      <c r="B16" t="inlineStr">
        <is>
          <t>0.2</t>
        </is>
      </c>
      <c r="E16">
        <f>IF(G16="",E15,IF(G16&gt;0,E15+G16,E15))</f>
        <v/>
      </c>
      <c r="G16">
        <f>IFERROR(VLOOKUP($A16&amp;"_"&amp;$B16,Results_Deltas!$A$2:$P$15000,5,FALSE),"")</f>
        <v/>
      </c>
      <c r="H16">
        <f>IFERROR(VLOOKUP($A16,Results_30d_Deltas!$A$2:$H$5000,7,FALSE)-E15,"")</f>
        <v/>
      </c>
      <c r="I16">
        <f>IFERROR(VLOOKUP($A16,Results_30d_Deltas!$A$2:$H$5000,6,FALSE),"")</f>
        <v/>
      </c>
      <c r="L16" t="inlineStr">
        <is>
          <t>YES</t>
        </is>
      </c>
      <c r="M16" t="n">
        <v>28</v>
      </c>
      <c r="IL16" t="inlineStr">
        <is>
          <t>ez_manage.py:4375 top()</t>
        </is>
      </c>
      <c r="IM16" t="inlineStr">
        <is>
          <t>v12_quick_engine.py:1285 x7</t>
        </is>
      </c>
    </row>
    <row r="17" ht="10.5" customHeight="1" s="67">
      <c r="A17" t="inlineStr">
        <is>
          <t>BB_SQUEEZE_WIDTH_PERCENTILE</t>
        </is>
      </c>
      <c r="B17" t="inlineStr">
        <is>
          <t>0.25</t>
        </is>
      </c>
      <c r="E17">
        <f>IF(G17="",E16,IF(G17&gt;0,E16+G17,E16))</f>
        <v/>
      </c>
      <c r="G17">
        <f>IFERROR(VLOOKUP($A17&amp;"_"&amp;$B17,Results_Deltas!$A$2:$P$15000,5,FALSE),"")</f>
        <v/>
      </c>
      <c r="H17">
        <f>IFERROR(VLOOKUP($A17,Results_30d_Deltas!$A$2:$H$5000,7,FALSE)-E16,"")</f>
        <v/>
      </c>
      <c r="I17">
        <f>IFERROR(VLOOKUP($A17,Results_30d_Deltas!$A$2:$H$5000,6,FALSE),"")</f>
        <v/>
      </c>
      <c r="L17" t="inlineStr">
        <is>
          <t>NO</t>
        </is>
      </c>
      <c r="M17" t="n">
        <v>28</v>
      </c>
      <c r="IL17" t="inlineStr">
        <is>
          <t>ez_manage.py:4375 top()</t>
        </is>
      </c>
      <c r="IM17" t="inlineStr">
        <is>
          <t>v12_quick_engine.py:1285 x7</t>
        </is>
      </c>
    </row>
    <row r="18" ht="10.5" customHeight="1" s="67">
      <c r="A18" t="inlineStr">
        <is>
          <t>BB_SQUEEZE_WIDTH_PERCENTILE</t>
        </is>
      </c>
      <c r="B18" t="inlineStr">
        <is>
          <t>0.3</t>
        </is>
      </c>
      <c r="E18">
        <f>IF(G18="",E17,IF(G18&gt;0,E17+G18,E17))</f>
        <v/>
      </c>
      <c r="G18">
        <f>IFERROR(VLOOKUP($A18&amp;"_"&amp;$B18,Results_Deltas!$A$2:$P$15000,5,FALSE),"")</f>
        <v/>
      </c>
      <c r="H18">
        <f>IFERROR(VLOOKUP($A18,Results_30d_Deltas!$A$2:$H$5000,7,FALSE)-E17,"")</f>
        <v/>
      </c>
      <c r="I18">
        <f>IFERROR(VLOOKUP($A18,Results_30d_Deltas!$A$2:$H$5000,6,FALSE),"")</f>
        <v/>
      </c>
      <c r="L18" t="inlineStr">
        <is>
          <t>NO</t>
        </is>
      </c>
      <c r="M18" t="n">
        <v>28</v>
      </c>
      <c r="IL18" t="inlineStr">
        <is>
          <t>ez_manage.py:4375 top()</t>
        </is>
      </c>
      <c r="IM18" t="inlineStr">
        <is>
          <t>v12_quick_engine.py:1285 x7</t>
        </is>
      </c>
    </row>
    <row r="19" ht="10.5" customHeight="1" s="67">
      <c r="A19" t="inlineStr">
        <is>
          <t>WT_DIV_EXIT_ENABLED</t>
        </is>
      </c>
      <c r="B19" t="inlineStr">
        <is>
          <t>False</t>
        </is>
      </c>
      <c r="E19">
        <f>IF(G19="",E18,IF(G19&gt;0,E18+G19,E18))</f>
        <v/>
      </c>
      <c r="G19">
        <f>IFERROR(VLOOKUP($A19&amp;"_"&amp;$B19,Results_Deltas!$A$2:$P$15000,5,FALSE),"")</f>
        <v/>
      </c>
      <c r="H19">
        <f>IFERROR(VLOOKUP($A19,Results_30d_Deltas!$A$2:$H$5000,7,FALSE)-E18,"")</f>
        <v/>
      </c>
      <c r="I19">
        <f>IFERROR(VLOOKUP($A19,Results_30d_Deltas!$A$2:$H$5000,6,FALSE),"")</f>
        <v/>
      </c>
      <c r="L19" t="inlineStr">
        <is>
          <t>YES</t>
        </is>
      </c>
      <c r="M19" t="n">
        <v>35</v>
      </c>
      <c r="IL19" t="inlineStr">
        <is>
          <t>ez_manage.py:6086 top()</t>
        </is>
      </c>
      <c r="IM19" t="inlineStr">
        <is>
          <t>v12_quick_engine.py:4292 x3</t>
        </is>
      </c>
    </row>
    <row r="20" ht="10.5" customHeight="1" s="67">
      <c r="A20" t="inlineStr">
        <is>
          <t>WT_DIV_EXIT_ENABLED</t>
        </is>
      </c>
      <c r="B20" t="inlineStr">
        <is>
          <t>True</t>
        </is>
      </c>
      <c r="E20">
        <f>IF(G20="",E19,IF(G20&gt;0,E19+G20,E19))</f>
        <v/>
      </c>
      <c r="G20">
        <f>IFERROR(VLOOKUP($A20&amp;"_"&amp;$B20,Results_Deltas!$A$2:$P$15000,5,FALSE),"")</f>
        <v/>
      </c>
      <c r="H20">
        <f>IFERROR(VLOOKUP($A20,Results_30d_Deltas!$A$2:$H$5000,7,FALSE)-E19,"")</f>
        <v/>
      </c>
      <c r="I20">
        <f>IFERROR(VLOOKUP($A20,Results_30d_Deltas!$A$2:$H$5000,6,FALSE),"")</f>
        <v/>
      </c>
      <c r="L20" t="inlineStr">
        <is>
          <t>NO</t>
        </is>
      </c>
      <c r="M20" t="n">
        <v>6</v>
      </c>
      <c r="IL20" t="inlineStr">
        <is>
          <t>ez_manage.py:6086 top()</t>
        </is>
      </c>
      <c r="IM20" t="inlineStr">
        <is>
          <t>v12_quick_engine.py:4292 x3</t>
        </is>
      </c>
    </row>
    <row r="21" ht="10.5" customHeight="1" s="67">
      <c r="A21" t="inlineStr">
        <is>
          <t>WT_MOMENTUM_EXIT_THRESHOLD</t>
        </is>
      </c>
      <c r="B21" t="inlineStr">
        <is>
          <t>0</t>
        </is>
      </c>
      <c r="E21">
        <f>IF(G21="",E20,IF(G21&gt;0,E20+G21,E20))</f>
        <v/>
      </c>
      <c r="G21">
        <f>IFERROR(VLOOKUP($A21&amp;"_"&amp;$B21,Results_Deltas!$A$2:$P$15000,5,FALSE),"")</f>
        <v/>
      </c>
      <c r="H21">
        <f>IFERROR(VLOOKUP($A21,Results_30d_Deltas!$A$2:$H$5000,7,FALSE)-E20,"")</f>
        <v/>
      </c>
      <c r="I21">
        <f>IFERROR(VLOOKUP($A21,Results_30d_Deltas!$A$2:$H$5000,6,FALSE),"")</f>
        <v/>
      </c>
      <c r="L21" t="inlineStr">
        <is>
          <t>NO</t>
        </is>
      </c>
      <c r="M21" t="n">
        <v>28</v>
      </c>
      <c r="IL21" t="inlineStr">
        <is>
          <t>ez_manage.py:6087 top()</t>
        </is>
      </c>
      <c r="IM21" t="inlineStr">
        <is>
          <t>v12_quick_engine.py:4293 x3</t>
        </is>
      </c>
    </row>
    <row r="22" ht="10.5" customHeight="1" s="67">
      <c r="A22" t="inlineStr">
        <is>
          <t>WT_MOMENTUM_EXIT_THRESHOLD</t>
        </is>
      </c>
      <c r="B22" t="inlineStr">
        <is>
          <t>1</t>
        </is>
      </c>
      <c r="E22">
        <f>IF(G22="",E21,IF(G22&gt;0,E21+G22,E21))</f>
        <v/>
      </c>
      <c r="G22">
        <f>IFERROR(VLOOKUP($A22&amp;"_"&amp;$B22,Results_Deltas!$A$2:$P$15000,5,FALSE),"")</f>
        <v/>
      </c>
      <c r="H22">
        <f>IFERROR(VLOOKUP($A22,Results_30d_Deltas!$A$2:$H$5000,7,FALSE)-E21,"")</f>
        <v/>
      </c>
      <c r="I22">
        <f>IFERROR(VLOOKUP($A22,Results_30d_Deltas!$A$2:$H$5000,6,FALSE),"")</f>
        <v/>
      </c>
      <c r="L22" t="inlineStr">
        <is>
          <t>YES</t>
        </is>
      </c>
      <c r="M22" t="n">
        <v>28</v>
      </c>
      <c r="IL22" t="inlineStr">
        <is>
          <t>ez_manage.py:6087 top()</t>
        </is>
      </c>
      <c r="IM22" t="inlineStr">
        <is>
          <t>v12_quick_engine.py:4293 x3</t>
        </is>
      </c>
    </row>
    <row r="23" ht="10.5" customHeight="1" s="67">
      <c r="A23" t="inlineStr">
        <is>
          <t>WT_MOMENTUM_EXIT_THRESHOLD</t>
        </is>
      </c>
      <c r="B23" t="inlineStr">
        <is>
          <t>2</t>
        </is>
      </c>
      <c r="E23">
        <f>IF(G23="",E22,IF(G23&gt;0,E22+G23,E22))</f>
        <v/>
      </c>
      <c r="G23">
        <f>IFERROR(VLOOKUP($A23&amp;"_"&amp;$B23,Results_Deltas!$A$2:$P$15000,5,FALSE),"")</f>
        <v/>
      </c>
      <c r="H23">
        <f>IFERROR(VLOOKUP($A23,Results_30d_Deltas!$A$2:$H$5000,7,FALSE)-E22,"")</f>
        <v/>
      </c>
      <c r="I23">
        <f>IFERROR(VLOOKUP($A23,Results_30d_Deltas!$A$2:$H$5000,6,FALSE),"")</f>
        <v/>
      </c>
      <c r="L23" t="inlineStr">
        <is>
          <t>NO</t>
        </is>
      </c>
      <c r="M23" t="n">
        <v>28</v>
      </c>
      <c r="IL23" t="inlineStr">
        <is>
          <t>ez_manage.py:6087 top()</t>
        </is>
      </c>
      <c r="IM23" t="inlineStr">
        <is>
          <t>v12_quick_engine.py:4293 x3</t>
        </is>
      </c>
    </row>
    <row r="24" ht="10.5" customHeight="1" s="67">
      <c r="A24" t="inlineStr">
        <is>
          <t>WT_ACCEL_EXIT_ENABLED</t>
        </is>
      </c>
      <c r="B24" t="inlineStr">
        <is>
          <t>False</t>
        </is>
      </c>
      <c r="E24">
        <f>IF(G24="",E23,IF(G24&gt;0,E23+G24,E23))</f>
        <v/>
      </c>
      <c r="G24">
        <f>IFERROR(VLOOKUP($A24&amp;"_"&amp;$B24,Results_Deltas!$A$2:$P$15000,5,FALSE),"")</f>
        <v/>
      </c>
      <c r="H24">
        <f>IFERROR(VLOOKUP($A24,Results_30d_Deltas!$A$2:$H$5000,7,FALSE)-E23,"")</f>
        <v/>
      </c>
      <c r="I24">
        <f>IFERROR(VLOOKUP($A24,Results_30d_Deltas!$A$2:$H$5000,6,FALSE),"")</f>
        <v/>
      </c>
      <c r="L24" t="inlineStr">
        <is>
          <t>YES</t>
        </is>
      </c>
      <c r="M24" t="n">
        <v>35</v>
      </c>
      <c r="IL24" t="inlineStr">
        <is>
          <t>ez_manage.py:6083 top()</t>
        </is>
      </c>
      <c r="IM24" t="inlineStr">
        <is>
          <t>v12_quick_engine.py:4290 x3</t>
        </is>
      </c>
    </row>
    <row r="25" ht="10.5" customHeight="1" s="67">
      <c r="A25" t="inlineStr">
        <is>
          <t>WT_ACCEL_EXIT_ENABLED</t>
        </is>
      </c>
      <c r="B25" t="inlineStr">
        <is>
          <t>True</t>
        </is>
      </c>
      <c r="E25">
        <f>IF(G25="",E24,IF(G25&gt;0,E24+G25,E24))</f>
        <v/>
      </c>
      <c r="G25">
        <f>IFERROR(VLOOKUP($A25&amp;"_"&amp;$B25,Results_Deltas!$A$2:$P$15000,5,FALSE),"")</f>
        <v/>
      </c>
      <c r="H25">
        <f>IFERROR(VLOOKUP($A25,Results_30d_Deltas!$A$2:$H$5000,7,FALSE)-E24,"")</f>
        <v/>
      </c>
      <c r="I25">
        <f>IFERROR(VLOOKUP($A25,Results_30d_Deltas!$A$2:$H$5000,6,FALSE),"")</f>
        <v/>
      </c>
      <c r="L25" t="inlineStr">
        <is>
          <t>NO</t>
        </is>
      </c>
      <c r="M25" t="n">
        <v>6</v>
      </c>
      <c r="IL25" t="inlineStr">
        <is>
          <t>ez_manage.py:6083 top()</t>
        </is>
      </c>
      <c r="IM25" t="inlineStr">
        <is>
          <t>v12_quick_engine.py:4290 x3</t>
        </is>
      </c>
    </row>
    <row r="26" ht="15.75" customHeight="1" s="67">
      <c r="A26" t="inlineStr">
        <is>
          <t>ADX_RANGING_THRESHOLD</t>
        </is>
      </c>
      <c r="B26" t="inlineStr">
        <is>
          <t>20</t>
        </is>
      </c>
      <c r="D26" t="inlineStr">
        <is>
          <t>ENTRY, GLOBAL_CHECK, STOCKS_EXIT</t>
        </is>
      </c>
      <c r="E26">
        <f>IF(G26="",E25,IF(G26&gt;0,E25+G26,E25))</f>
        <v/>
      </c>
      <c r="G26">
        <f>IFERROR(VLOOKUP($A26&amp;"_"&amp;$B26,Results_Deltas!$A$2:$P$15000,5,FALSE),"")</f>
        <v/>
      </c>
      <c r="H26" t="inlineStr">
        <is>
          <t>Blanket (page end)</t>
        </is>
      </c>
      <c r="L26" t="inlineStr">
        <is>
          <t>NO</t>
        </is>
      </c>
      <c r="M26" t="n">
        <v>24</v>
      </c>
    </row>
    <row r="27" ht="15.75" customHeight="1" s="67">
      <c r="A27" t="inlineStr">
        <is>
          <t>ADX_RANGING_THRESHOLD</t>
        </is>
      </c>
      <c r="B27" t="inlineStr">
        <is>
          <t>25</t>
        </is>
      </c>
      <c r="D27" t="inlineStr">
        <is>
          <t>ENTRY, GLOBAL_CHECK, STOCKS_EXIT</t>
        </is>
      </c>
      <c r="E27">
        <f>IF(G27="",E26,IF(G27&gt;0,E26+G27,E26))</f>
        <v/>
      </c>
      <c r="G27">
        <f>IFERROR(VLOOKUP($A27&amp;"_"&amp;$B27,Results_Deltas!$A$2:$P$15000,5,FALSE),"")</f>
        <v/>
      </c>
      <c r="H27" t="inlineStr">
        <is>
          <t>Blanket (page end)</t>
        </is>
      </c>
      <c r="L27" t="inlineStr">
        <is>
          <t>NO</t>
        </is>
      </c>
      <c r="M27" t="n">
        <v>27</v>
      </c>
    </row>
    <row r="28" ht="15.75" customHeight="1" s="67">
      <c r="A28" t="inlineStr">
        <is>
          <t>ADX_RANGING_THRESHOLD</t>
        </is>
      </c>
      <c r="B28" t="inlineStr">
        <is>
          <t>15</t>
        </is>
      </c>
      <c r="D28" t="inlineStr">
        <is>
          <t>ENTRY, GLOBAL_CHECK, STOCKS_EXIT</t>
        </is>
      </c>
      <c r="E28">
        <f>IF(G28="",E27,IF(G28&gt;0,E27+G28,E27))</f>
        <v/>
      </c>
      <c r="G28">
        <f>IFERROR(VLOOKUP($A28&amp;"_"&amp;$B28,Results_Deltas!$A$2:$P$15000,5,FALSE),"")</f>
        <v/>
      </c>
      <c r="H28" t="inlineStr">
        <is>
          <t>Blanket (page end)</t>
        </is>
      </c>
      <c r="L28" t="inlineStr">
        <is>
          <t>NO</t>
        </is>
      </c>
      <c r="M28" t="n">
        <v>27</v>
      </c>
    </row>
    <row r="29" ht="15.75" customHeight="1" s="67">
      <c r="A29" t="inlineStr">
        <is>
          <t>ADX_RANGING_THRESHOLD</t>
        </is>
      </c>
      <c r="B29" t="n">
        <v>20</v>
      </c>
      <c r="D29" t="inlineStr">
        <is>
          <t>ENTRY, GLOBAL_CHECK, STOCKS_EXIT</t>
        </is>
      </c>
      <c r="E29">
        <f>IF(G29="",E28,IF(G29&gt;0,E28+G29,E28))</f>
        <v/>
      </c>
      <c r="G29">
        <f>IFERROR(VLOOKUP($A29&amp;"_"&amp;$B29,Results_Deltas!$A$2:$P$15000,5,FALSE),"")</f>
        <v/>
      </c>
      <c r="H29" t="inlineStr">
        <is>
          <t>Blanket (page end)</t>
        </is>
      </c>
      <c r="L29" t="inlineStr">
        <is>
          <t>YES</t>
        </is>
      </c>
      <c r="M29" t="n">
        <v>24</v>
      </c>
    </row>
    <row r="30" ht="15.75" customHeight="1" s="67">
      <c r="A30" t="inlineStr">
        <is>
          <t>BANDAID_OFF_LOSER_RECOVER_PCT</t>
        </is>
      </c>
      <c r="B30" t="inlineStr">
        <is>
          <t>0</t>
        </is>
      </c>
      <c r="D30" t="inlineStr">
        <is>
          <t>AUGMENT, ENTRY, EXIT, GLOBAL_CHECK, REDUCE, STOCKS_EXIT</t>
        </is>
      </c>
      <c r="E30">
        <f>IF(G30="",E29,IF(G30&gt;0,E29+G30,E29))</f>
        <v/>
      </c>
      <c r="G30">
        <f>IFERROR(VLOOKUP($A30&amp;"_"&amp;$B30,Results_Deltas!$A$2:$P$15000,5,FALSE),"")</f>
        <v/>
      </c>
      <c r="H30" t="inlineStr">
        <is>
          <t>Blanket (page end)</t>
        </is>
      </c>
      <c r="L30" t="inlineStr">
        <is>
          <t>NO</t>
        </is>
      </c>
      <c r="M30" t="n">
        <v>24</v>
      </c>
    </row>
    <row r="31" ht="15.75" customHeight="1" s="67">
      <c r="A31" t="inlineStr">
        <is>
          <t>BANDAID_OFF_LOSER_RECOVER_PCT</t>
        </is>
      </c>
      <c r="B31" t="inlineStr">
        <is>
          <t>2.0</t>
        </is>
      </c>
      <c r="D31" t="inlineStr">
        <is>
          <t>AUGMENT, ENTRY, EXIT, GLOBAL_CHECK, REDUCE, STOCKS_EXIT</t>
        </is>
      </c>
      <c r="E31">
        <f>IF(G31="",E30,IF(G31&gt;0,E30+G31,E30))</f>
        <v/>
      </c>
      <c r="G31">
        <f>IFERROR(VLOOKUP($A31&amp;"_"&amp;$B31,Results_Deltas!$A$2:$P$15000,5,FALSE),"")</f>
        <v/>
      </c>
      <c r="H31" t="inlineStr">
        <is>
          <t>Blanket (page end)</t>
        </is>
      </c>
      <c r="L31" t="inlineStr">
        <is>
          <t>NO</t>
        </is>
      </c>
      <c r="M31" t="n">
        <v>24</v>
      </c>
    </row>
    <row r="32" ht="15.75" customHeight="1" s="67">
      <c r="A32" t="inlineStr">
        <is>
          <t>BANDAID_OFF_LOSER_RECOVER_PCT</t>
        </is>
      </c>
      <c r="B32" t="inlineStr">
        <is>
          <t>1.0</t>
        </is>
      </c>
      <c r="D32" t="inlineStr">
        <is>
          <t>AUGMENT, ENTRY, EXIT, GLOBAL_CHECK, REDUCE, STOCKS_EXIT</t>
        </is>
      </c>
      <c r="E32">
        <f>IF(G32="",E31,IF(G32&gt;0,E31+G32,E31))</f>
        <v/>
      </c>
      <c r="G32">
        <f>IFERROR(VLOOKUP($A32&amp;"_"&amp;$B32,Results_Deltas!$A$2:$P$15000,5,FALSE),"")</f>
        <v/>
      </c>
      <c r="H32" t="inlineStr">
        <is>
          <t>Blanket (page end)</t>
        </is>
      </c>
      <c r="L32" t="inlineStr">
        <is>
          <t>NO</t>
        </is>
      </c>
      <c r="M32" t="n">
        <v>27</v>
      </c>
    </row>
    <row r="33" ht="15.75" customHeight="1" s="67">
      <c r="A33" t="inlineStr">
        <is>
          <t>BANDAID_OFF_LOSER_RECOVER_PCT</t>
        </is>
      </c>
      <c r="B33" t="inlineStr">
        <is>
          <t>0.5</t>
        </is>
      </c>
      <c r="D33" t="inlineStr">
        <is>
          <t>AUGMENT, ENTRY, EXIT, GLOBAL_CHECK, REDUCE, STOCKS_EXIT</t>
        </is>
      </c>
      <c r="E33">
        <f>IF(G33="",E32,IF(G33&gt;0,E32+G33,E32))</f>
        <v/>
      </c>
      <c r="G33">
        <f>IFERROR(VLOOKUP($A33&amp;"_"&amp;$B33,Results_Deltas!$A$2:$P$15000,5,FALSE),"")</f>
        <v/>
      </c>
      <c r="H33" t="inlineStr">
        <is>
          <t>Blanket (page end)</t>
        </is>
      </c>
      <c r="L33" t="inlineStr">
        <is>
          <t>NO</t>
        </is>
      </c>
      <c r="M33" t="n">
        <v>27</v>
      </c>
    </row>
    <row r="34" ht="15.75" customHeight="1" s="67">
      <c r="A34" t="inlineStr">
        <is>
          <t>BAND_ARROW_ENABLED</t>
        </is>
      </c>
      <c r="B34" t="inlineStr">
        <is>
          <t>False</t>
        </is>
      </c>
      <c r="D34" t="inlineStr">
        <is>
          <t>GLOBAL_CHECK, STOCKS_EXIT</t>
        </is>
      </c>
      <c r="E34">
        <f>IF(G34="",E33,IF(G34&gt;0,E33+G34,E33))</f>
        <v/>
      </c>
      <c r="G34">
        <f>IFERROR(VLOOKUP($A34&amp;"_"&amp;$B34,Results_Deltas!$A$2:$P$15000,5,FALSE),"")</f>
        <v/>
      </c>
      <c r="H34" t="inlineStr">
        <is>
          <t>Blanket (page end)</t>
        </is>
      </c>
      <c r="L34" t="inlineStr">
        <is>
          <t>YES</t>
        </is>
      </c>
      <c r="M34" t="n">
        <v>9</v>
      </c>
    </row>
    <row r="35" ht="15.75" customHeight="1" s="67">
      <c r="A35" t="inlineStr">
        <is>
          <t>BAND_ARROW_ENABLED</t>
        </is>
      </c>
      <c r="B35" t="inlineStr">
        <is>
          <t>True</t>
        </is>
      </c>
      <c r="D35" t="inlineStr">
        <is>
          <t>GLOBAL_CHECK, STOCKS_EXIT</t>
        </is>
      </c>
      <c r="E35">
        <f>IF(G35="",E34,IF(G35&gt;0,E34+G35,E34))</f>
        <v/>
      </c>
      <c r="G35">
        <f>IFERROR(VLOOKUP($A35&amp;"_"&amp;$B35,Results_Deltas!$A$2:$P$15000,5,FALSE),"")</f>
        <v/>
      </c>
      <c r="H35" t="inlineStr">
        <is>
          <t>Blanket (page end)</t>
        </is>
      </c>
      <c r="L35" t="inlineStr">
        <is>
          <t>NO</t>
        </is>
      </c>
      <c r="M35" t="n">
        <v>27</v>
      </c>
    </row>
    <row r="36" ht="15.75" customHeight="1" s="67">
      <c r="A36" t="inlineStr">
        <is>
          <t>BTC_ACCEL_RAMP_REQUIRE_POSITIVE</t>
        </is>
      </c>
      <c r="B36" t="inlineStr">
        <is>
          <t>0.0</t>
        </is>
      </c>
      <c r="D36" t="inlineStr">
        <is>
          <t>UNIVERSAL (ex-BTC) — ENTRY/EXIT/REENTRY</t>
        </is>
      </c>
      <c r="E36">
        <f>IF(G36="",E35,IF(G36&gt;0,E35+G36,E35))</f>
        <v/>
      </c>
      <c r="G36">
        <f>IFERROR(VLOOKUP($A36&amp;"_"&amp;$B36,Results_Deltas!$A$2:$P$15000,5,FALSE),"")</f>
        <v/>
      </c>
      <c r="H36" t="inlineStr">
        <is>
          <t>Blanket (page end)</t>
        </is>
      </c>
      <c r="L36" t="inlineStr">
        <is>
          <t>NO</t>
        </is>
      </c>
      <c r="M36" t="n">
        <v>24</v>
      </c>
    </row>
    <row r="37" ht="15.75" customHeight="1" s="67">
      <c r="A37" t="inlineStr">
        <is>
          <t>BTC_ACCEL_RAMP_REQUIRE_POSITIVE</t>
        </is>
      </c>
      <c r="B37" t="inlineStr">
        <is>
          <t>0.0_ALT</t>
        </is>
      </c>
      <c r="D37" t="inlineStr">
        <is>
          <t>UNIVERSAL (ex-BTC) — ENTRY/EXIT/REENTRY</t>
        </is>
      </c>
      <c r="E37">
        <f>IF(G37="",E36,IF(G37&gt;0,E36+G37,E36))</f>
        <v/>
      </c>
      <c r="G37">
        <f>IFERROR(VLOOKUP($A37&amp;"_"&amp;$B37,Results_Deltas!$A$2:$P$15000,5,FALSE),"")</f>
        <v/>
      </c>
      <c r="H37" t="inlineStr">
        <is>
          <t>Blanket (page end)</t>
        </is>
      </c>
      <c r="L37" t="inlineStr">
        <is>
          <t>NO</t>
        </is>
      </c>
      <c r="M37" t="n">
        <v>24</v>
      </c>
    </row>
    <row r="38" ht="15.75" customHeight="1" s="67">
      <c r="A38" t="inlineStr">
        <is>
          <t>BTC_HARD_BLOCK_OTHER_ACCOUNTS</t>
        </is>
      </c>
      <c r="B38" t="inlineStr">
        <is>
          <t>0.0</t>
        </is>
      </c>
      <c r="D38" t="inlineStr">
        <is>
          <t>UNIVERSAL (ex-BTC) — ENTRY/EXIT/REENTRY</t>
        </is>
      </c>
      <c r="E38">
        <f>IF(G38="",E37,IF(G38&gt;0,E37+G38,E37))</f>
        <v/>
      </c>
      <c r="G38">
        <f>IFERROR(VLOOKUP($A38&amp;"_"&amp;$B38,Results_Deltas!$A$2:$P$15000,5,FALSE),"")</f>
        <v/>
      </c>
      <c r="H38" t="inlineStr">
        <is>
          <t>Blanket (page end)</t>
        </is>
      </c>
      <c r="L38" t="inlineStr">
        <is>
          <t>NO</t>
        </is>
      </c>
      <c r="M38" t="n">
        <v>24</v>
      </c>
    </row>
    <row r="39" ht="15.75" customHeight="1" s="67">
      <c r="A39" t="inlineStr">
        <is>
          <t>BTC_HARD_BLOCK_OTHER_ACCOUNTS</t>
        </is>
      </c>
      <c r="B39" t="inlineStr">
        <is>
          <t>0.0_ALT</t>
        </is>
      </c>
      <c r="D39" t="inlineStr">
        <is>
          <t>UNIVERSAL (ex-BTC) — ENTRY/EXIT/REENTRY</t>
        </is>
      </c>
      <c r="E39">
        <f>IF(G39="",E38,IF(G39&gt;0,E38+G39,E38))</f>
        <v/>
      </c>
      <c r="G39">
        <f>IFERROR(VLOOKUP($A39&amp;"_"&amp;$B39,Results_Deltas!$A$2:$P$15000,5,FALSE),"")</f>
        <v/>
      </c>
      <c r="H39" t="inlineStr">
        <is>
          <t>Blanket (page end)</t>
        </is>
      </c>
      <c r="L39" t="inlineStr">
        <is>
          <t>NO</t>
        </is>
      </c>
      <c r="M39" t="n">
        <v>24</v>
      </c>
    </row>
    <row r="40" ht="15.75" customHeight="1" s="67">
      <c r="A40" t="inlineStr">
        <is>
          <t>BTC_ROUND_BANDS_EACH_SIDE</t>
        </is>
      </c>
      <c r="B40" t="inlineStr">
        <is>
          <t>0.0</t>
        </is>
      </c>
      <c r="D40" t="inlineStr">
        <is>
          <t>UNIVERSAL (ex-BTC) — ENTRY/EXIT/REENTRY</t>
        </is>
      </c>
      <c r="E40">
        <f>IF(G40="",E39,IF(G40&gt;0,E39+G40,E39))</f>
        <v/>
      </c>
      <c r="G40">
        <f>IFERROR(VLOOKUP($A40&amp;"_"&amp;$B40,Results_Deltas!$A$2:$P$15000,5,FALSE),"")</f>
        <v/>
      </c>
      <c r="H40" t="inlineStr">
        <is>
          <t>Blanket (page end)</t>
        </is>
      </c>
      <c r="L40" t="inlineStr">
        <is>
          <t>NO</t>
        </is>
      </c>
      <c r="M40" t="n">
        <v>24</v>
      </c>
    </row>
    <row r="41" ht="15.75" customHeight="1" s="67">
      <c r="A41" t="inlineStr">
        <is>
          <t>BTC_ROUND_BANDS_EACH_SIDE</t>
        </is>
      </c>
      <c r="B41" t="inlineStr">
        <is>
          <t>0.0_ALT</t>
        </is>
      </c>
      <c r="D41" t="inlineStr">
        <is>
          <t>UNIVERSAL (ex-BTC) — ENTRY/EXIT/REENTRY</t>
        </is>
      </c>
      <c r="E41">
        <f>IF(G41="",E40,IF(G41&gt;0,E40+G41,E40))</f>
        <v/>
      </c>
      <c r="G41">
        <f>IFERROR(VLOOKUP($A41&amp;"_"&amp;$B41,Results_Deltas!$A$2:$P$15000,5,FALSE),"")</f>
        <v/>
      </c>
      <c r="H41" t="inlineStr">
        <is>
          <t>Blanket (page end)</t>
        </is>
      </c>
      <c r="L41" t="inlineStr">
        <is>
          <t>NO</t>
        </is>
      </c>
      <c r="M41" t="n">
        <v>24</v>
      </c>
    </row>
    <row r="42" ht="15.75" customHeight="1" s="67">
      <c r="A42" t="inlineStr">
        <is>
          <t>COOLDOWN_LOCKS_FILTER_TF</t>
        </is>
      </c>
      <c r="B42" t="inlineStr">
        <is>
          <t>OFF</t>
        </is>
      </c>
      <c r="D42" t="inlineStr">
        <is>
          <t>GLOBAL_CHECK</t>
        </is>
      </c>
      <c r="E42">
        <f>IF(G42="",E41,IF(G42&gt;0,E41+G42,E41))</f>
        <v/>
      </c>
      <c r="G42">
        <f>IFERROR(VLOOKUP($A42&amp;"_"&amp;$B42,Results_Deltas!$A$2:$P$15000,5,FALSE),"")</f>
        <v/>
      </c>
      <c r="H42" t="inlineStr">
        <is>
          <t>Blanket (page end)</t>
        </is>
      </c>
      <c r="L42" t="inlineStr">
        <is>
          <t>NO</t>
        </is>
      </c>
      <c r="M42" t="n">
        <v>3</v>
      </c>
    </row>
    <row r="43" ht="15.75" customHeight="1" s="67">
      <c r="A43" t="inlineStr">
        <is>
          <t>COOLDOWN_LOCKS_FILTER_TF</t>
        </is>
      </c>
      <c r="B43" t="inlineStr">
        <is>
          <t>D</t>
        </is>
      </c>
      <c r="D43" t="inlineStr">
        <is>
          <t>GLOBAL_CHECK</t>
        </is>
      </c>
      <c r="E43">
        <f>IF(G43="",E42,IF(G43&gt;0,E42+G43,E42))</f>
        <v/>
      </c>
      <c r="G43">
        <f>IFERROR(VLOOKUP($A43&amp;"_"&amp;$B43,Results_Deltas!$A$2:$P$15000,5,FALSE),"")</f>
        <v/>
      </c>
      <c r="H43" t="inlineStr">
        <is>
          <t>Blanket (page end)</t>
        </is>
      </c>
      <c r="L43" t="inlineStr">
        <is>
          <t>NO</t>
        </is>
      </c>
      <c r="M43" t="n">
        <v>6</v>
      </c>
    </row>
    <row r="44" ht="15.75" customHeight="1" s="67">
      <c r="A44" t="inlineStr">
        <is>
          <t>COOLDOWN_LOCKS_FILTER_TF</t>
        </is>
      </c>
      <c r="B44" t="inlineStr">
        <is>
          <t>4h</t>
        </is>
      </c>
      <c r="D44" t="inlineStr">
        <is>
          <t>GLOBAL_CHECK</t>
        </is>
      </c>
      <c r="E44">
        <f>IF(G44="",E43,IF(G44&gt;0,E43+G44,E43))</f>
        <v/>
      </c>
      <c r="G44">
        <f>IFERROR(VLOOKUP($A44&amp;"_"&amp;$B44,Results_Deltas!$A$2:$P$15000,5,FALSE),"")</f>
        <v/>
      </c>
      <c r="H44" t="inlineStr">
        <is>
          <t>Blanket (page end)</t>
        </is>
      </c>
      <c r="L44" t="inlineStr">
        <is>
          <t>NO</t>
        </is>
      </c>
      <c r="M44" t="n">
        <v>3</v>
      </c>
    </row>
    <row r="45" ht="15.75" customHeight="1" s="67">
      <c r="A45" t="inlineStr">
        <is>
          <t>COOLDOWN_LOCKS_FILTER_TF</t>
        </is>
      </c>
      <c r="B45" t="inlineStr">
        <is>
          <t>1h</t>
        </is>
      </c>
      <c r="D45" t="inlineStr">
        <is>
          <t>GLOBAL_CHECK</t>
        </is>
      </c>
      <c r="E45">
        <f>IF(G45="",E44,IF(G45&gt;0,E44+G45,E44))</f>
        <v/>
      </c>
      <c r="G45">
        <f>IFERROR(VLOOKUP($A45&amp;"_"&amp;$B45,Results_Deltas!$A$2:$P$15000,5,FALSE),"")</f>
        <v/>
      </c>
      <c r="H45" t="inlineStr">
        <is>
          <t>Blanket (page end)</t>
        </is>
      </c>
      <c r="L45" t="inlineStr">
        <is>
          <t>NO</t>
        </is>
      </c>
      <c r="M45" t="n">
        <v>3</v>
      </c>
    </row>
    <row r="46" ht="15.75" customHeight="1" s="67">
      <c r="A46" t="inlineStr">
        <is>
          <t>COOLDOWN_LOCKS_FILTER_TF</t>
        </is>
      </c>
      <c r="B46" t="inlineStr">
        <is>
          <t>15m</t>
        </is>
      </c>
      <c r="D46" t="inlineStr">
        <is>
          <t>GLOBAL_CHECK</t>
        </is>
      </c>
      <c r="E46">
        <f>IF(G46="",E45,IF(G46&gt;0,E45+G46,E45))</f>
        <v/>
      </c>
      <c r="G46">
        <f>IFERROR(VLOOKUP($A46&amp;"_"&amp;$B46,Results_Deltas!$A$2:$P$15000,5,FALSE),"")</f>
        <v/>
      </c>
      <c r="H46" t="inlineStr">
        <is>
          <t>Blanket (page end)</t>
        </is>
      </c>
      <c r="L46" t="inlineStr">
        <is>
          <t>YES</t>
        </is>
      </c>
      <c r="M46" t="n">
        <v>3</v>
      </c>
    </row>
    <row r="47" ht="15.75" customHeight="1" s="67">
      <c r="A47" t="inlineStr">
        <is>
          <t>CRYPTO_SPIKE_FADE_THRESHOLD_PCT</t>
        </is>
      </c>
      <c r="B47" t="n">
        <v>0</v>
      </c>
      <c r="D47" t="inlineStr">
        <is>
          <t>GLOBAL_CHECK, STOCKS_EXIT</t>
        </is>
      </c>
      <c r="E47">
        <f>IF(G47="",E46,IF(G47&gt;0,E46+G47,E46))</f>
        <v/>
      </c>
      <c r="G47">
        <f>IFERROR(VLOOKUP($A47&amp;"_"&amp;$B47,Results_Deltas!$A$2:$P$15000,5,FALSE),"")</f>
        <v/>
      </c>
      <c r="H47" t="inlineStr">
        <is>
          <t>Blanket (page end)</t>
        </is>
      </c>
      <c r="L47" t="inlineStr">
        <is>
          <t>YES</t>
        </is>
      </c>
      <c r="M47" t="n">
        <v>0</v>
      </c>
    </row>
    <row r="48" ht="15.75" customHeight="1" s="67">
      <c r="A48" t="inlineStr">
        <is>
          <t>CRYPTO_SPIKE_FADE_THRESHOLD_PCT</t>
        </is>
      </c>
      <c r="B48" t="inlineStr">
        <is>
          <t>12.5</t>
        </is>
      </c>
      <c r="D48" t="inlineStr">
        <is>
          <t>GLOBAL_CHECK, STOCKS_EXIT</t>
        </is>
      </c>
      <c r="E48">
        <f>IF(G48="",E47,IF(G48&gt;0,E47+G48,E47))</f>
        <v/>
      </c>
      <c r="G48">
        <f>IFERROR(VLOOKUP($A48&amp;"_"&amp;$B48,Results_Deltas!$A$2:$P$15000,5,FALSE),"")</f>
        <v/>
      </c>
      <c r="H48" t="inlineStr">
        <is>
          <t>Blanket (page end)</t>
        </is>
      </c>
      <c r="L48" t="inlineStr">
        <is>
          <t>NO</t>
        </is>
      </c>
      <c r="M48" t="n">
        <v>27</v>
      </c>
    </row>
    <row r="49" ht="15.75" customHeight="1" s="67">
      <c r="A49" t="inlineStr">
        <is>
          <t>CRYPTO_SPIKE_FADE_THRESHOLD_PCT</t>
        </is>
      </c>
      <c r="B49" t="inlineStr">
        <is>
          <t>7.5</t>
        </is>
      </c>
      <c r="D49" t="inlineStr">
        <is>
          <t>GLOBAL_CHECK, STOCKS_EXIT</t>
        </is>
      </c>
      <c r="E49">
        <f>IF(G49="",E48,IF(G49&gt;0,E48+G49,E48))</f>
        <v/>
      </c>
      <c r="G49">
        <f>IFERROR(VLOOKUP($A49&amp;"_"&amp;$B49,Results_Deltas!$A$2:$P$15000,5,FALSE),"")</f>
        <v/>
      </c>
      <c r="H49" t="inlineStr">
        <is>
          <t>Blanket (page end)</t>
        </is>
      </c>
      <c r="L49" t="inlineStr">
        <is>
          <t>NO</t>
        </is>
      </c>
      <c r="M49" t="n">
        <v>27</v>
      </c>
    </row>
    <row r="50" ht="15.75" customHeight="1" s="67">
      <c r="A50" t="inlineStr">
        <is>
          <t>CRYPTO_SPIKE_FADE_THRESHOLD_PCT</t>
        </is>
      </c>
      <c r="B50" t="inlineStr">
        <is>
          <t>5</t>
        </is>
      </c>
      <c r="D50" t="inlineStr">
        <is>
          <t>GLOBAL_CHECK, STOCKS_EXIT</t>
        </is>
      </c>
      <c r="E50">
        <f>IF(G50="",E49,IF(G50&gt;0,E49+G50,E49))</f>
        <v/>
      </c>
      <c r="G50">
        <f>IFERROR(VLOOKUP($A50&amp;"_"&amp;$B50,Results_Deltas!$A$2:$P$15000,5,FALSE),"")</f>
        <v/>
      </c>
      <c r="H50" t="inlineStr">
        <is>
          <t>Blanket (page end)</t>
        </is>
      </c>
      <c r="L50" t="inlineStr">
        <is>
          <t>NO</t>
        </is>
      </c>
      <c r="M50" t="n">
        <v>27</v>
      </c>
    </row>
    <row r="51" ht="15.75" customHeight="1" s="67">
      <c r="A51" t="inlineStr">
        <is>
          <t>DC_MOMENT_STRONG_THRESHOLD</t>
        </is>
      </c>
      <c r="B51" t="n">
        <v>0</v>
      </c>
      <c r="D51" t="inlineStr">
        <is>
          <t>ENTRY, GLOBAL_CHECK, STOCKS_EXIT</t>
        </is>
      </c>
      <c r="E51">
        <f>IF(G51="",E50,IF(G51&gt;0,E50+G51,E50))</f>
        <v/>
      </c>
      <c r="G51">
        <f>IFERROR(VLOOKUP($A51&amp;"_"&amp;$B51,Results_Deltas!$A$2:$P$15000,5,FALSE),"")</f>
        <v/>
      </c>
      <c r="H51" t="inlineStr">
        <is>
          <t>Blanket (page end)</t>
        </is>
      </c>
      <c r="L51" t="inlineStr">
        <is>
          <t>YES</t>
        </is>
      </c>
      <c r="M51" t="n">
        <v>0</v>
      </c>
    </row>
    <row r="52" ht="15.75" customHeight="1" s="67">
      <c r="A52" t="inlineStr">
        <is>
          <t>DC_MOMENT_STRONG_THRESHOLD</t>
        </is>
      </c>
      <c r="B52" t="inlineStr">
        <is>
          <t>50</t>
        </is>
      </c>
      <c r="D52" t="inlineStr">
        <is>
          <t>ENTRY, GLOBAL_CHECK, STOCKS_EXIT</t>
        </is>
      </c>
      <c r="E52">
        <f>IF(G52="",E51,IF(G52&gt;0,E51+G52,E51))</f>
        <v/>
      </c>
      <c r="G52">
        <f>IFERROR(VLOOKUP($A52&amp;"_"&amp;$B52,Results_Deltas!$A$2:$P$15000,5,FALSE),"")</f>
        <v/>
      </c>
      <c r="H52" t="inlineStr">
        <is>
          <t>Blanket (page end)</t>
        </is>
      </c>
      <c r="L52" t="inlineStr">
        <is>
          <t>NO</t>
        </is>
      </c>
      <c r="M52" t="n">
        <v>27</v>
      </c>
    </row>
    <row r="53" ht="15.75" customHeight="1" s="67">
      <c r="A53" t="inlineStr">
        <is>
          <t>DC_MOMENT_STRONG_THRESHOLD</t>
        </is>
      </c>
      <c r="B53" t="inlineStr">
        <is>
          <t>30</t>
        </is>
      </c>
      <c r="D53" t="inlineStr">
        <is>
          <t>ENTRY, GLOBAL_CHECK, STOCKS_EXIT</t>
        </is>
      </c>
      <c r="E53">
        <f>IF(G53="",E52,IF(G53&gt;0,E52+G53,E52))</f>
        <v/>
      </c>
      <c r="G53">
        <f>IFERROR(VLOOKUP($A53&amp;"_"&amp;$B53,Results_Deltas!$A$2:$P$15000,5,FALSE),"")</f>
        <v/>
      </c>
      <c r="H53" t="inlineStr">
        <is>
          <t>Blanket (page end)</t>
        </is>
      </c>
      <c r="L53" t="inlineStr">
        <is>
          <t>NO</t>
        </is>
      </c>
      <c r="M53" t="n">
        <v>23</v>
      </c>
    </row>
    <row r="54" ht="15.75" customHeight="1" s="67">
      <c r="A54" t="inlineStr">
        <is>
          <t>DC_MOMENT_STRONG_THRESHOLD</t>
        </is>
      </c>
      <c r="B54" t="inlineStr">
        <is>
          <t>20</t>
        </is>
      </c>
      <c r="D54" t="inlineStr">
        <is>
          <t>ENTRY, GLOBAL_CHECK, STOCKS_EXIT</t>
        </is>
      </c>
      <c r="E54">
        <f>IF(G54="",E53,IF(G54&gt;0,E53+G54,E53))</f>
        <v/>
      </c>
      <c r="G54">
        <f>IFERROR(VLOOKUP($A54&amp;"_"&amp;$B54,Results_Deltas!$A$2:$P$15000,5,FALSE),"")</f>
        <v/>
      </c>
      <c r="H54" t="inlineStr">
        <is>
          <t>Blanket (page end)</t>
        </is>
      </c>
      <c r="L54" t="inlineStr">
        <is>
          <t>NO</t>
        </is>
      </c>
      <c r="M54" t="n">
        <v>27</v>
      </c>
    </row>
    <row r="55" ht="15.75" customHeight="1" s="67">
      <c r="A55" t="inlineStr">
        <is>
          <t>DELTA_HTF_GATE</t>
        </is>
      </c>
      <c r="B55" t="inlineStr">
        <is>
          <t>4h</t>
        </is>
      </c>
      <c r="D55" t="inlineStr">
        <is>
          <t>ENTRY, GLOBAL_CHECK, STOCKS_EXIT</t>
        </is>
      </c>
      <c r="E55">
        <f>IF(G55="",E54,IF(G55&gt;0,E54+G55,E54))</f>
        <v/>
      </c>
      <c r="G55">
        <f>IFERROR(VLOOKUP($A55&amp;"_"&amp;$B55,Results_Deltas!$A$2:$P$15000,5,FALSE),"")</f>
        <v/>
      </c>
      <c r="H55" t="inlineStr">
        <is>
          <t>Blanket (page end)</t>
        </is>
      </c>
      <c r="L55" t="inlineStr">
        <is>
          <t>NO</t>
        </is>
      </c>
      <c r="M55" t="n">
        <v>27</v>
      </c>
    </row>
    <row r="56" ht="15.75" customHeight="1" s="67">
      <c r="A56" t="inlineStr">
        <is>
          <t>DELTA_HTF_GATE</t>
        </is>
      </c>
      <c r="B56" t="inlineStr">
        <is>
          <t>4h_ALT</t>
        </is>
      </c>
      <c r="D56" t="inlineStr">
        <is>
          <t>ENTRY, GLOBAL_CHECK, STOCKS_EXIT</t>
        </is>
      </c>
      <c r="E56">
        <f>IF(G56="",E55,IF(G56&gt;0,E55+G56,E55))</f>
        <v/>
      </c>
      <c r="G56">
        <f>IFERROR(VLOOKUP($A56&amp;"_"&amp;$B56,Results_Deltas!$A$2:$P$15000,5,FALSE),"")</f>
        <v/>
      </c>
      <c r="H56" t="inlineStr">
        <is>
          <t>Blanket (page end)</t>
        </is>
      </c>
      <c r="L56" t="inlineStr">
        <is>
          <t>NO</t>
        </is>
      </c>
      <c r="M56" t="n">
        <v>27</v>
      </c>
    </row>
    <row r="57" ht="15.75" customHeight="1" s="67">
      <c r="A57" t="inlineStr">
        <is>
          <t>DELTA_REENTRY_FILTER_ENABLED</t>
        </is>
      </c>
      <c r="B57" t="inlineStr">
        <is>
          <t>False</t>
        </is>
      </c>
      <c r="D57" t="inlineStr">
        <is>
          <t>ENTRY, GLOBAL_CHECK, STOCKS_EXIT</t>
        </is>
      </c>
      <c r="E57">
        <f>IF(G57="",E56,IF(G57&gt;0,E56+G57,E56))</f>
        <v/>
      </c>
      <c r="G57">
        <f>IFERROR(VLOOKUP($A57&amp;"_"&amp;$B57,Results_Deltas!$A$2:$P$15000,5,FALSE),"")</f>
        <v/>
      </c>
      <c r="H57" t="inlineStr">
        <is>
          <t>Blanket (page end)</t>
        </is>
      </c>
      <c r="L57" t="inlineStr">
        <is>
          <t>YES</t>
        </is>
      </c>
      <c r="M57" t="n">
        <v>9</v>
      </c>
    </row>
    <row r="58" ht="15.75" customHeight="1" s="67">
      <c r="A58" t="inlineStr">
        <is>
          <t>DELTA_REENTRY_FILTER_ENABLED</t>
        </is>
      </c>
      <c r="B58" t="inlineStr">
        <is>
          <t>True</t>
        </is>
      </c>
      <c r="D58" t="inlineStr">
        <is>
          <t>ENTRY, GLOBAL_CHECK, STOCKS_EXIT</t>
        </is>
      </c>
      <c r="E58">
        <f>IF(G58="",E57,IF(G58&gt;0,E57+G58,E57))</f>
        <v/>
      </c>
      <c r="G58">
        <f>IFERROR(VLOOKUP($A58&amp;"_"&amp;$B58,Results_Deltas!$A$2:$P$15000,5,FALSE),"")</f>
        <v/>
      </c>
      <c r="H58" t="inlineStr">
        <is>
          <t>Blanket (page end)</t>
        </is>
      </c>
      <c r="L58" t="inlineStr">
        <is>
          <t>NO</t>
        </is>
      </c>
      <c r="M58" t="n">
        <v>27</v>
      </c>
    </row>
    <row r="59" ht="15.75" customHeight="1" s="67">
      <c r="A59" t="inlineStr">
        <is>
          <t>DUP_GUARD_FILTER_TF</t>
        </is>
      </c>
      <c r="B59" t="inlineStr">
        <is>
          <t>OFF</t>
        </is>
      </c>
      <c r="D59" t="inlineStr">
        <is>
          <t>GLOBAL_CHECK</t>
        </is>
      </c>
      <c r="E59">
        <f>IF(G59="",E58,IF(G59&gt;0,E58+G59,E58))</f>
        <v/>
      </c>
      <c r="G59">
        <f>IFERROR(VLOOKUP($A59&amp;"_"&amp;$B59,Results_Deltas!$A$2:$P$15000,5,FALSE),"")</f>
        <v/>
      </c>
      <c r="H59" t="inlineStr">
        <is>
          <t>Blanket (page end)</t>
        </is>
      </c>
      <c r="L59" t="inlineStr">
        <is>
          <t>NO</t>
        </is>
      </c>
      <c r="M59" t="n">
        <v>3</v>
      </c>
    </row>
    <row r="60" ht="15.75" customHeight="1" s="67">
      <c r="A60" t="inlineStr">
        <is>
          <t>DUP_GUARD_FILTER_TF</t>
        </is>
      </c>
      <c r="B60" t="inlineStr">
        <is>
          <t>D</t>
        </is>
      </c>
      <c r="D60" t="inlineStr">
        <is>
          <t>GLOBAL_CHECK</t>
        </is>
      </c>
      <c r="E60">
        <f>IF(G60="",E59,IF(G60&gt;0,E59+G60,E59))</f>
        <v/>
      </c>
      <c r="G60">
        <f>IFERROR(VLOOKUP($A60&amp;"_"&amp;$B60,Results_Deltas!$A$2:$P$15000,5,FALSE),"")</f>
        <v/>
      </c>
      <c r="H60" t="inlineStr">
        <is>
          <t>Blanket (page end)</t>
        </is>
      </c>
      <c r="L60" t="inlineStr">
        <is>
          <t>NO</t>
        </is>
      </c>
      <c r="M60" t="n">
        <v>3</v>
      </c>
    </row>
    <row r="61" ht="15.75" customHeight="1" s="67">
      <c r="A61" t="inlineStr">
        <is>
          <t>DUP_GUARD_FILTER_TF</t>
        </is>
      </c>
      <c r="B61" t="inlineStr">
        <is>
          <t>4h</t>
        </is>
      </c>
      <c r="D61" t="inlineStr">
        <is>
          <t>GLOBAL_CHECK</t>
        </is>
      </c>
      <c r="E61">
        <f>IF(G61="",E60,IF(G61&gt;0,E60+G61,E60))</f>
        <v/>
      </c>
      <c r="G61">
        <f>IFERROR(VLOOKUP($A61&amp;"_"&amp;$B61,Results_Deltas!$A$2:$P$15000,5,FALSE),"")</f>
        <v/>
      </c>
      <c r="H61" t="inlineStr">
        <is>
          <t>Blanket (page end)</t>
        </is>
      </c>
      <c r="L61" t="inlineStr">
        <is>
          <t>NO</t>
        </is>
      </c>
      <c r="M61" t="n">
        <v>6</v>
      </c>
    </row>
    <row r="62" ht="15.75" customHeight="1" s="67">
      <c r="A62" t="inlineStr">
        <is>
          <t>DUP_GUARD_FILTER_TF</t>
        </is>
      </c>
      <c r="B62" t="inlineStr">
        <is>
          <t>1h</t>
        </is>
      </c>
      <c r="D62" t="inlineStr">
        <is>
          <t>GLOBAL_CHECK</t>
        </is>
      </c>
      <c r="E62">
        <f>IF(G62="",E61,IF(G62&gt;0,E61+G62,E61))</f>
        <v/>
      </c>
      <c r="G62">
        <f>IFERROR(VLOOKUP($A62&amp;"_"&amp;$B62,Results_Deltas!$A$2:$P$15000,5,FALSE),"")</f>
        <v/>
      </c>
      <c r="H62" t="inlineStr">
        <is>
          <t>Blanket (page end)</t>
        </is>
      </c>
      <c r="L62" t="inlineStr">
        <is>
          <t>NO</t>
        </is>
      </c>
      <c r="M62" t="n">
        <v>3</v>
      </c>
    </row>
    <row r="63" ht="15.75" customHeight="1" s="67">
      <c r="A63" t="inlineStr">
        <is>
          <t>DUP_GUARD_FILTER_TF</t>
        </is>
      </c>
      <c r="B63" t="inlineStr">
        <is>
          <t>15m</t>
        </is>
      </c>
      <c r="D63" t="inlineStr">
        <is>
          <t>GLOBAL_CHECK</t>
        </is>
      </c>
      <c r="E63">
        <f>IF(G63="",E62,IF(G63&gt;0,E62+G63,E62))</f>
        <v/>
      </c>
      <c r="G63">
        <f>IFERROR(VLOOKUP($A63&amp;"_"&amp;$B63,Results_Deltas!$A$2:$P$15000,5,FALSE),"")</f>
        <v/>
      </c>
      <c r="H63" t="inlineStr">
        <is>
          <t>Blanket (page end)</t>
        </is>
      </c>
      <c r="L63" t="inlineStr">
        <is>
          <t>YES</t>
        </is>
      </c>
      <c r="M63" t="n">
        <v>3</v>
      </c>
    </row>
    <row r="64" ht="15.75" customHeight="1" s="67">
      <c r="A64" t="inlineStr">
        <is>
          <t>EMA_9_21_FILTER_MIN_TFS</t>
        </is>
      </c>
      <c r="B64" t="inlineStr">
        <is>
          <t>0</t>
        </is>
      </c>
      <c r="D64" t="inlineStr">
        <is>
          <t>GLOBAL_CHECK</t>
        </is>
      </c>
      <c r="E64">
        <f>IF(G64="",E63,IF(G64&gt;0,E63+G64,E63))</f>
        <v/>
      </c>
      <c r="G64">
        <f>IFERROR(VLOOKUP($A64&amp;"_"&amp;$B64,Results_Deltas!$A$2:$P$15000,5,FALSE),"")</f>
        <v/>
      </c>
      <c r="H64" t="inlineStr">
        <is>
          <t>Blanket (page end)</t>
        </is>
      </c>
      <c r="L64" t="inlineStr">
        <is>
          <t>NO</t>
        </is>
      </c>
      <c r="M64" t="n">
        <v>3</v>
      </c>
    </row>
    <row r="65" ht="15.75" customHeight="1" s="67">
      <c r="A65" t="inlineStr">
        <is>
          <t>EMA_9_21_FILTER_MIN_TFS</t>
        </is>
      </c>
      <c r="B65" t="inlineStr">
        <is>
          <t>2</t>
        </is>
      </c>
      <c r="D65" t="inlineStr">
        <is>
          <t>GLOBAL_CHECK</t>
        </is>
      </c>
      <c r="E65">
        <f>IF(G65="",E64,IF(G65&gt;0,E64+G65,E64))</f>
        <v/>
      </c>
      <c r="G65">
        <f>IFERROR(VLOOKUP($A65&amp;"_"&amp;$B65,Results_Deltas!$A$2:$P$15000,5,FALSE),"")</f>
        <v/>
      </c>
      <c r="H65" t="inlineStr">
        <is>
          <t>Blanket (page end)</t>
        </is>
      </c>
      <c r="L65" t="inlineStr">
        <is>
          <t>NO</t>
        </is>
      </c>
      <c r="M65" t="n">
        <v>3</v>
      </c>
    </row>
    <row r="66" ht="15.75" customHeight="1" s="67">
      <c r="A66" t="inlineStr">
        <is>
          <t>EMA_9_21_FILTER_MIN_TFS</t>
        </is>
      </c>
      <c r="B66" t="inlineStr">
        <is>
          <t>1</t>
        </is>
      </c>
      <c r="D66" t="inlineStr">
        <is>
          <t>GLOBAL_CHECK</t>
        </is>
      </c>
      <c r="E66">
        <f>IF(G66="",E65,IF(G66&gt;0,E65+G66,E65))</f>
        <v/>
      </c>
      <c r="G66">
        <f>IFERROR(VLOOKUP($A66&amp;"_"&amp;$B66,Results_Deltas!$A$2:$P$15000,5,FALSE),"")</f>
        <v/>
      </c>
      <c r="H66" t="inlineStr">
        <is>
          <t>Blanket (page end)</t>
        </is>
      </c>
      <c r="L66" t="inlineStr">
        <is>
          <t>NO</t>
        </is>
      </c>
      <c r="M66" t="n">
        <v>3</v>
      </c>
    </row>
    <row r="67" ht="15.75" customHeight="1" s="67">
      <c r="A67" t="inlineStr">
        <is>
          <t>EMA_BLANKET_FILTER_ENABLED</t>
        </is>
      </c>
      <c r="B67" t="inlineStr">
        <is>
          <t>False</t>
        </is>
      </c>
      <c r="D67" t="inlineStr">
        <is>
          <t>GLOBAL_CHECK</t>
        </is>
      </c>
      <c r="E67">
        <f>IF(G67="",E66,IF(G67&gt;0,E66+G67,E66))</f>
        <v/>
      </c>
      <c r="G67">
        <f>IFERROR(VLOOKUP($A67&amp;"_"&amp;$B67,Results_Deltas!$A$2:$P$15000,5,FALSE),"")</f>
        <v/>
      </c>
      <c r="H67" t="inlineStr">
        <is>
          <t>Blanket (page end)</t>
        </is>
      </c>
      <c r="L67" t="inlineStr">
        <is>
          <t>NO</t>
        </is>
      </c>
      <c r="M67" t="n">
        <v>3</v>
      </c>
    </row>
    <row r="68" ht="15.75" customHeight="1" s="67">
      <c r="A68" t="inlineStr">
        <is>
          <t>EMA_BLANKET_FILTER_ENABLED</t>
        </is>
      </c>
      <c r="B68" t="inlineStr">
        <is>
          <t>True</t>
        </is>
      </c>
      <c r="D68" t="inlineStr">
        <is>
          <t>GLOBAL_CHECK</t>
        </is>
      </c>
      <c r="E68">
        <f>IF(G68="",E67,IF(G68&gt;0,E67+G68,E67))</f>
        <v/>
      </c>
      <c r="G68">
        <f>IFERROR(VLOOKUP($A68&amp;"_"&amp;$B68,Results_Deltas!$A$2:$P$15000,5,FALSE),"")</f>
        <v/>
      </c>
      <c r="H68" t="inlineStr">
        <is>
          <t>Blanket (page end)</t>
        </is>
      </c>
      <c r="L68" t="inlineStr">
        <is>
          <t>YES</t>
        </is>
      </c>
      <c r="M68" t="n">
        <v>3</v>
      </c>
    </row>
    <row r="69" ht="15.75" customHeight="1" s="67">
      <c r="A69" t="inlineStr">
        <is>
          <t>EMA_BLANKET_FILTER_MIN_TFS</t>
        </is>
      </c>
      <c r="B69" t="inlineStr">
        <is>
          <t>0</t>
        </is>
      </c>
      <c r="D69" t="inlineStr">
        <is>
          <t>GLOBAL_CHECK</t>
        </is>
      </c>
      <c r="E69">
        <f>IF(G69="",E68,IF(G69&gt;0,E68+G69,E68))</f>
        <v/>
      </c>
      <c r="G69">
        <f>IFERROR(VLOOKUP($A69&amp;"_"&amp;$B69,Results_Deltas!$A$2:$P$15000,5,FALSE),"")</f>
        <v/>
      </c>
      <c r="H69" t="inlineStr">
        <is>
          <t>Blanket (page end)</t>
        </is>
      </c>
      <c r="L69" t="inlineStr">
        <is>
          <t>NO</t>
        </is>
      </c>
      <c r="M69" t="n">
        <v>3</v>
      </c>
    </row>
    <row r="70" ht="15.75" customHeight="1" s="67">
      <c r="A70" t="inlineStr">
        <is>
          <t>EMA_BLANKET_FILTER_MIN_TFS</t>
        </is>
      </c>
      <c r="B70" t="inlineStr">
        <is>
          <t>2</t>
        </is>
      </c>
      <c r="D70" t="inlineStr">
        <is>
          <t>GLOBAL_CHECK</t>
        </is>
      </c>
      <c r="E70">
        <f>IF(G70="",E69,IF(G70&gt;0,E69+G70,E69))</f>
        <v/>
      </c>
      <c r="G70">
        <f>IFERROR(VLOOKUP($A70&amp;"_"&amp;$B70,Results_Deltas!$A$2:$P$15000,5,FALSE),"")</f>
        <v/>
      </c>
      <c r="H70" t="inlineStr">
        <is>
          <t>Blanket (page end)</t>
        </is>
      </c>
      <c r="L70" t="inlineStr">
        <is>
          <t>NO</t>
        </is>
      </c>
      <c r="M70" t="n">
        <v>3</v>
      </c>
    </row>
    <row r="71" ht="15.75" customHeight="1" s="67">
      <c r="A71" t="inlineStr">
        <is>
          <t>EMA_BLANKET_FILTER_MIN_TFS</t>
        </is>
      </c>
      <c r="B71" t="inlineStr">
        <is>
          <t>1</t>
        </is>
      </c>
      <c r="D71" t="inlineStr">
        <is>
          <t>GLOBAL_CHECK</t>
        </is>
      </c>
      <c r="E71">
        <f>IF(G71="",E70,IF(G71&gt;0,E70+G71,E70))</f>
        <v/>
      </c>
      <c r="G71">
        <f>IFERROR(VLOOKUP($A71&amp;"_"&amp;$B71,Results_Deltas!$A$2:$P$15000,5,FALSE),"")</f>
        <v/>
      </c>
      <c r="H71" t="inlineStr">
        <is>
          <t>Blanket (page end)</t>
        </is>
      </c>
      <c r="L71" t="inlineStr">
        <is>
          <t>NO</t>
        </is>
      </c>
      <c r="M71" t="n">
        <v>3</v>
      </c>
    </row>
    <row r="72" ht="15.75" customHeight="1" s="67">
      <c r="A72" t="inlineStr">
        <is>
          <t>EXECUTE_NOW_SINGLE_GATE_ENFORCE</t>
        </is>
      </c>
      <c r="B72" t="inlineStr">
        <is>
          <t>0.0</t>
        </is>
      </c>
      <c r="D72" t="inlineStr">
        <is>
          <t>ENTRY, GLOBAL_CHECK, STOCKS_EXIT</t>
        </is>
      </c>
      <c r="E72">
        <f>IF(G72="",E71,IF(G72&gt;0,E71+G72,E71))</f>
        <v/>
      </c>
      <c r="G72">
        <f>IFERROR(VLOOKUP($A72&amp;"_"&amp;$B72,Results_Deltas!$A$2:$P$15000,5,FALSE),"")</f>
        <v/>
      </c>
      <c r="H72" t="inlineStr">
        <is>
          <t>Blanket (page end)</t>
        </is>
      </c>
      <c r="L72" t="inlineStr">
        <is>
          <t>NO</t>
        </is>
      </c>
      <c r="M72" t="n">
        <v>24</v>
      </c>
    </row>
    <row r="73" ht="15.75" customHeight="1" s="67">
      <c r="A73" t="inlineStr">
        <is>
          <t>EXECUTE_NOW_SINGLE_GATE_ENFORCE</t>
        </is>
      </c>
      <c r="B73" t="inlineStr">
        <is>
          <t>0.0_ALT</t>
        </is>
      </c>
      <c r="D73" t="inlineStr">
        <is>
          <t>ENTRY, GLOBAL_CHECK, STOCKS_EXIT</t>
        </is>
      </c>
      <c r="E73">
        <f>IF(G73="",E72,IF(G73&gt;0,E72+G73,E72))</f>
        <v/>
      </c>
      <c r="G73">
        <f>IFERROR(VLOOKUP($A73&amp;"_"&amp;$B73,Results_Deltas!$A$2:$P$15000,5,FALSE),"")</f>
        <v/>
      </c>
      <c r="H73" t="inlineStr">
        <is>
          <t>Blanket (page end)</t>
        </is>
      </c>
      <c r="L73" t="inlineStr">
        <is>
          <t>NO</t>
        </is>
      </c>
      <c r="M73" t="n">
        <v>24</v>
      </c>
    </row>
    <row r="74" ht="15.75" customHeight="1" s="67">
      <c r="A74" t="inlineStr">
        <is>
          <t>EZ_MANAGE_THROTTLER_RATE</t>
        </is>
      </c>
      <c r="B74" t="inlineStr">
        <is>
          <t>0.0</t>
        </is>
      </c>
      <c r="D74" t="inlineStr">
        <is>
          <t>GLOBAL_CHECK, STOCKS_EXIT</t>
        </is>
      </c>
      <c r="E74">
        <f>IF(G74="",E73,IF(G74&gt;0,E73+G74,E73))</f>
        <v/>
      </c>
      <c r="G74">
        <f>IFERROR(VLOOKUP($A74&amp;"_"&amp;$B74,Results_Deltas!$A$2:$P$15000,5,FALSE),"")</f>
        <v/>
      </c>
      <c r="H74" t="inlineStr">
        <is>
          <t>Blanket (page end)</t>
        </is>
      </c>
      <c r="L74" t="inlineStr">
        <is>
          <t>NO</t>
        </is>
      </c>
      <c r="M74" t="n">
        <v>24</v>
      </c>
    </row>
    <row r="75" ht="15.75" customHeight="1" s="67">
      <c r="A75" t="inlineStr">
        <is>
          <t>EZ_MANAGE_THROTTLER_RATE</t>
        </is>
      </c>
      <c r="B75" t="inlineStr">
        <is>
          <t>0.0_ALT</t>
        </is>
      </c>
      <c r="D75" t="inlineStr">
        <is>
          <t>GLOBAL_CHECK, STOCKS_EXIT</t>
        </is>
      </c>
      <c r="E75">
        <f>IF(G75="",E74,IF(G75&gt;0,E74+G75,E74))</f>
        <v/>
      </c>
      <c r="G75">
        <f>IFERROR(VLOOKUP($A75&amp;"_"&amp;$B75,Results_Deltas!$A$2:$P$15000,5,FALSE),"")</f>
        <v/>
      </c>
      <c r="H75" t="inlineStr">
        <is>
          <t>Blanket (page end)</t>
        </is>
      </c>
      <c r="L75" t="inlineStr">
        <is>
          <t>NO</t>
        </is>
      </c>
      <c r="M75" t="n">
        <v>24</v>
      </c>
    </row>
    <row r="76" ht="15.75" customHeight="1" s="67">
      <c r="A76" t="inlineStr">
        <is>
          <t>FG_FEAR_THRESHOLD</t>
        </is>
      </c>
      <c r="B76" t="n">
        <v>0</v>
      </c>
      <c r="D76" t="inlineStr">
        <is>
          <t>GLOBAL_CHECK, STOCKS_EXIT</t>
        </is>
      </c>
      <c r="E76">
        <f>IF(G76="",E75,IF(G76&gt;0,E75+G76,E75))</f>
        <v/>
      </c>
      <c r="G76">
        <f>IFERROR(VLOOKUP($A76&amp;"_"&amp;$B76,Results_Deltas!$A$2:$P$15000,5,FALSE),"")</f>
        <v/>
      </c>
      <c r="H76" t="inlineStr">
        <is>
          <t>Blanket (page end)</t>
        </is>
      </c>
      <c r="L76" t="inlineStr">
        <is>
          <t>YES</t>
        </is>
      </c>
      <c r="M76" t="n">
        <v>0</v>
      </c>
    </row>
    <row r="77" ht="15.75" customHeight="1" s="67">
      <c r="A77" t="inlineStr">
        <is>
          <t>FG_FEAR_THRESHOLD</t>
        </is>
      </c>
      <c r="B77" t="inlineStr">
        <is>
          <t>31.25</t>
        </is>
      </c>
      <c r="D77" t="inlineStr">
        <is>
          <t>GLOBAL_CHECK, STOCKS_EXIT</t>
        </is>
      </c>
      <c r="E77">
        <f>IF(G77="",E76,IF(G77&gt;0,E76+G77,E76))</f>
        <v/>
      </c>
      <c r="G77">
        <f>IFERROR(VLOOKUP($A77&amp;"_"&amp;$B77,Results_Deltas!$A$2:$P$15000,5,FALSE),"")</f>
        <v/>
      </c>
      <c r="H77" t="inlineStr">
        <is>
          <t>Blanket (page end)</t>
        </is>
      </c>
      <c r="L77" t="inlineStr">
        <is>
          <t>NO</t>
        </is>
      </c>
      <c r="M77" t="n">
        <v>27</v>
      </c>
    </row>
    <row r="78" ht="15.75" customHeight="1" s="67">
      <c r="A78" t="inlineStr">
        <is>
          <t>FG_FEAR_THRESHOLD</t>
        </is>
      </c>
      <c r="B78" t="inlineStr">
        <is>
          <t>18.75</t>
        </is>
      </c>
      <c r="D78" t="inlineStr">
        <is>
          <t>GLOBAL_CHECK, STOCKS_EXIT</t>
        </is>
      </c>
      <c r="E78">
        <f>IF(G78="",E77,IF(G78&gt;0,E77+G78,E77))</f>
        <v/>
      </c>
      <c r="G78">
        <f>IFERROR(VLOOKUP($A78&amp;"_"&amp;$B78,Results_Deltas!$A$2:$P$15000,5,FALSE),"")</f>
        <v/>
      </c>
      <c r="H78" t="inlineStr">
        <is>
          <t>Blanket (page end)</t>
        </is>
      </c>
      <c r="L78" t="inlineStr">
        <is>
          <t>NO</t>
        </is>
      </c>
      <c r="M78" t="n">
        <v>27</v>
      </c>
    </row>
    <row r="79" ht="15.75" customHeight="1" s="67">
      <c r="A79" t="inlineStr">
        <is>
          <t>FG_FEAR_THRESHOLD</t>
        </is>
      </c>
      <c r="B79" t="inlineStr">
        <is>
          <t>12.5</t>
        </is>
      </c>
      <c r="D79" t="inlineStr">
        <is>
          <t>GLOBAL_CHECK, STOCKS_EXIT</t>
        </is>
      </c>
      <c r="E79">
        <f>IF(G79="",E78,IF(G79&gt;0,E78+G79,E78))</f>
        <v/>
      </c>
      <c r="G79">
        <f>IFERROR(VLOOKUP($A79&amp;"_"&amp;$B79,Results_Deltas!$A$2:$P$15000,5,FALSE),"")</f>
        <v/>
      </c>
      <c r="H79" t="inlineStr">
        <is>
          <t>Blanket (page end)</t>
        </is>
      </c>
      <c r="L79" t="inlineStr">
        <is>
          <t>NO</t>
        </is>
      </c>
      <c r="M79" t="n">
        <v>27</v>
      </c>
    </row>
    <row r="80" ht="15.75" customHeight="1" s="67">
      <c r="A80" t="inlineStr">
        <is>
          <t>FG_GREED_THRESHOLD</t>
        </is>
      </c>
      <c r="B80" t="n">
        <v>0</v>
      </c>
      <c r="D80" t="inlineStr">
        <is>
          <t>GLOBAL_CHECK, STOCKS_EXIT</t>
        </is>
      </c>
      <c r="E80">
        <f>IF(G80="",E79,IF(G80&gt;0,E79+G80,E79))</f>
        <v/>
      </c>
      <c r="G80">
        <f>IFERROR(VLOOKUP($A80&amp;"_"&amp;$B80,Results_Deltas!$A$2:$P$15000,5,FALSE),"")</f>
        <v/>
      </c>
      <c r="H80" t="inlineStr">
        <is>
          <t>Blanket (page end)</t>
        </is>
      </c>
      <c r="L80" t="inlineStr">
        <is>
          <t>YES</t>
        </is>
      </c>
      <c r="M80" t="n">
        <v>0</v>
      </c>
    </row>
    <row r="81" ht="15.75" customHeight="1" s="67">
      <c r="A81" t="inlineStr">
        <is>
          <t>FG_GREED_THRESHOLD</t>
        </is>
      </c>
      <c r="B81" t="inlineStr">
        <is>
          <t>93.75</t>
        </is>
      </c>
      <c r="D81" t="inlineStr">
        <is>
          <t>GLOBAL_CHECK, STOCKS_EXIT</t>
        </is>
      </c>
      <c r="E81">
        <f>IF(G81="",E80,IF(G81&gt;0,E80+G81,E80))</f>
        <v/>
      </c>
      <c r="G81">
        <f>IFERROR(VLOOKUP($A81&amp;"_"&amp;$B81,Results_Deltas!$A$2:$P$15000,5,FALSE),"")</f>
        <v/>
      </c>
      <c r="H81" t="inlineStr">
        <is>
          <t>Blanket (page end)</t>
        </is>
      </c>
      <c r="L81" t="inlineStr">
        <is>
          <t>NO</t>
        </is>
      </c>
      <c r="M81" t="n">
        <v>27</v>
      </c>
    </row>
    <row r="82" ht="15.75" customHeight="1" s="67">
      <c r="A82" t="inlineStr">
        <is>
          <t>FG_GREED_THRESHOLD</t>
        </is>
      </c>
      <c r="B82" t="inlineStr">
        <is>
          <t>56.25</t>
        </is>
      </c>
      <c r="D82" t="inlineStr">
        <is>
          <t>GLOBAL_CHECK, STOCKS_EXIT</t>
        </is>
      </c>
      <c r="E82">
        <f>IF(G82="",E81,IF(G82&gt;0,E81+G82,E81))</f>
        <v/>
      </c>
      <c r="G82">
        <f>IFERROR(VLOOKUP($A82&amp;"_"&amp;$B82,Results_Deltas!$A$2:$P$15000,5,FALSE),"")</f>
        <v/>
      </c>
      <c r="H82" t="inlineStr">
        <is>
          <t>Blanket (page end)</t>
        </is>
      </c>
      <c r="L82" t="inlineStr">
        <is>
          <t>NO</t>
        </is>
      </c>
      <c r="M82" t="n">
        <v>27</v>
      </c>
    </row>
    <row r="83" ht="15.75" customHeight="1" s="67">
      <c r="A83" t="inlineStr">
        <is>
          <t>FG_GREED_THRESHOLD</t>
        </is>
      </c>
      <c r="B83" t="inlineStr">
        <is>
          <t>37.5</t>
        </is>
      </c>
      <c r="D83" t="inlineStr">
        <is>
          <t>GLOBAL_CHECK, STOCKS_EXIT</t>
        </is>
      </c>
      <c r="E83">
        <f>IF(G83="",E82,IF(G83&gt;0,E82+G83,E82))</f>
        <v/>
      </c>
      <c r="G83">
        <f>IFERROR(VLOOKUP($A83&amp;"_"&amp;$B83,Results_Deltas!$A$2:$P$15000,5,FALSE),"")</f>
        <v/>
      </c>
      <c r="H83" t="inlineStr">
        <is>
          <t>Blanket (page end)</t>
        </is>
      </c>
      <c r="L83" t="inlineStr">
        <is>
          <t>NO</t>
        </is>
      </c>
      <c r="M83" t="n">
        <v>27</v>
      </c>
    </row>
    <row r="84" ht="15.75" customHeight="1" s="67">
      <c r="A84" t="inlineStr">
        <is>
          <t>FUNDING_GATE_FILTER_TF</t>
        </is>
      </c>
      <c r="B84" t="inlineStr">
        <is>
          <t>OFF</t>
        </is>
      </c>
      <c r="D84" t="inlineStr">
        <is>
          <t>GLOBAL_CHECK</t>
        </is>
      </c>
      <c r="E84">
        <f>IF(G84="",E83,IF(G84&gt;0,E83+G84,E83))</f>
        <v/>
      </c>
      <c r="G84">
        <f>IFERROR(VLOOKUP($A84&amp;"_"&amp;$B84,Results_Deltas!$A$2:$P$15000,5,FALSE),"")</f>
        <v/>
      </c>
      <c r="H84" t="inlineStr">
        <is>
          <t>Blanket (page end)</t>
        </is>
      </c>
      <c r="L84" t="inlineStr">
        <is>
          <t>NO</t>
        </is>
      </c>
      <c r="M84" t="n">
        <v>3</v>
      </c>
    </row>
    <row r="85" ht="15.75" customHeight="1" s="67">
      <c r="A85" t="inlineStr">
        <is>
          <t>FUNDING_GATE_FILTER_TF</t>
        </is>
      </c>
      <c r="B85" t="inlineStr">
        <is>
          <t>D</t>
        </is>
      </c>
      <c r="D85" t="inlineStr">
        <is>
          <t>GLOBAL_CHECK</t>
        </is>
      </c>
      <c r="E85">
        <f>IF(G85="",E84,IF(G85&gt;0,E84+G85,E84))</f>
        <v/>
      </c>
      <c r="G85">
        <f>IFERROR(VLOOKUP($A85&amp;"_"&amp;$B85,Results_Deltas!$A$2:$P$15000,5,FALSE),"")</f>
        <v/>
      </c>
      <c r="H85" t="inlineStr">
        <is>
          <t>Blanket (page end)</t>
        </is>
      </c>
      <c r="L85" t="inlineStr">
        <is>
          <t>NO</t>
        </is>
      </c>
      <c r="M85" t="n">
        <v>3</v>
      </c>
    </row>
    <row r="86" ht="15.75" customHeight="1" s="67">
      <c r="A86" t="inlineStr">
        <is>
          <t>FUNDING_GATE_FILTER_TF</t>
        </is>
      </c>
      <c r="B86" t="inlineStr">
        <is>
          <t>4h</t>
        </is>
      </c>
      <c r="D86" t="inlineStr">
        <is>
          <t>GLOBAL_CHECK</t>
        </is>
      </c>
      <c r="E86">
        <f>IF(G86="",E85,IF(G86&gt;0,E85+G86,E85))</f>
        <v/>
      </c>
      <c r="G86">
        <f>IFERROR(VLOOKUP($A86&amp;"_"&amp;$B86,Results_Deltas!$A$2:$P$15000,5,FALSE),"")</f>
        <v/>
      </c>
      <c r="H86" t="inlineStr">
        <is>
          <t>Blanket (page end)</t>
        </is>
      </c>
      <c r="L86" t="inlineStr">
        <is>
          <t>NO</t>
        </is>
      </c>
      <c r="M86" t="n">
        <v>3</v>
      </c>
    </row>
    <row r="87" ht="15.75" customHeight="1" s="67">
      <c r="A87" t="inlineStr">
        <is>
          <t>FUNDING_GATE_FILTER_TF</t>
        </is>
      </c>
      <c r="B87" t="inlineStr">
        <is>
          <t>1h</t>
        </is>
      </c>
      <c r="D87" t="inlineStr">
        <is>
          <t>GLOBAL_CHECK</t>
        </is>
      </c>
      <c r="E87">
        <f>IF(G87="",E86,IF(G87&gt;0,E86+G87,E86))</f>
        <v/>
      </c>
      <c r="G87">
        <f>IFERROR(VLOOKUP($A87&amp;"_"&amp;$B87,Results_Deltas!$A$2:$P$15000,5,FALSE),"")</f>
        <v/>
      </c>
      <c r="H87" t="inlineStr">
        <is>
          <t>Blanket (page end)</t>
        </is>
      </c>
      <c r="L87" t="inlineStr">
        <is>
          <t>NO</t>
        </is>
      </c>
      <c r="M87" t="n">
        <v>3</v>
      </c>
    </row>
    <row r="88" ht="15.75" customHeight="1" s="67">
      <c r="A88" t="inlineStr">
        <is>
          <t>FUNDING_GATE_FILTER_TF</t>
        </is>
      </c>
      <c r="B88" t="inlineStr">
        <is>
          <t>15m</t>
        </is>
      </c>
      <c r="D88" t="inlineStr">
        <is>
          <t>GLOBAL_CHECK</t>
        </is>
      </c>
      <c r="E88">
        <f>IF(G88="",E87,IF(G88&gt;0,E87+G88,E87))</f>
        <v/>
      </c>
      <c r="G88">
        <f>IFERROR(VLOOKUP($A88&amp;"_"&amp;$B88,Results_Deltas!$A$2:$P$15000,5,FALSE),"")</f>
        <v/>
      </c>
      <c r="H88" t="inlineStr">
        <is>
          <t>Blanket (page end)</t>
        </is>
      </c>
      <c r="L88" t="inlineStr">
        <is>
          <t>YES</t>
        </is>
      </c>
      <c r="M88" t="n">
        <v>3</v>
      </c>
    </row>
    <row r="89" ht="15.75" customHeight="1" s="67">
      <c r="A89" t="inlineStr">
        <is>
          <t>FUNDING_GATE_LONG_MAX</t>
        </is>
      </c>
      <c r="B89" t="inlineStr">
        <is>
          <t>0.0</t>
        </is>
      </c>
      <c r="D89" t="inlineStr">
        <is>
          <t>ENTRY, GLOBAL_CHECK, STOCKS_EXIT</t>
        </is>
      </c>
      <c r="E89">
        <f>IF(G89="",E88,IF(G89&gt;0,E88+G89,E88))</f>
        <v/>
      </c>
      <c r="G89">
        <f>IFERROR(VLOOKUP($A89&amp;"_"&amp;$B89,Results_Deltas!$A$2:$P$15000,5,FALSE),"")</f>
        <v/>
      </c>
      <c r="H89" t="inlineStr">
        <is>
          <t>Blanket (page end)</t>
        </is>
      </c>
      <c r="L89" t="inlineStr">
        <is>
          <t>NO</t>
        </is>
      </c>
      <c r="M89" t="n">
        <v>24</v>
      </c>
    </row>
    <row r="90" ht="15.75" customHeight="1" s="67">
      <c r="A90" t="inlineStr">
        <is>
          <t>FUNDING_GATE_LONG_MAX</t>
        </is>
      </c>
      <c r="B90" t="inlineStr">
        <is>
          <t>0.0_ALT</t>
        </is>
      </c>
      <c r="D90" t="inlineStr">
        <is>
          <t>ENTRY, GLOBAL_CHECK, STOCKS_EXIT</t>
        </is>
      </c>
      <c r="E90">
        <f>IF(G90="",E89,IF(G90&gt;0,E89+G90,E89))</f>
        <v/>
      </c>
      <c r="G90">
        <f>IFERROR(VLOOKUP($A90&amp;"_"&amp;$B90,Results_Deltas!$A$2:$P$15000,5,FALSE),"")</f>
        <v/>
      </c>
      <c r="H90" t="inlineStr">
        <is>
          <t>Blanket (page end)</t>
        </is>
      </c>
      <c r="L90" t="inlineStr">
        <is>
          <t>NO</t>
        </is>
      </c>
      <c r="M90" t="n">
        <v>24</v>
      </c>
    </row>
    <row r="91" ht="15.75" customHeight="1" s="67">
      <c r="A91" t="inlineStr">
        <is>
          <t>FUNDING_GATE_MTF_REQUIRED</t>
        </is>
      </c>
      <c r="B91" t="inlineStr">
        <is>
          <t>0.0</t>
        </is>
      </c>
      <c r="D91" t="inlineStr">
        <is>
          <t>ENTRY, GLOBAL_CHECK, STOCKS_EXIT</t>
        </is>
      </c>
      <c r="E91">
        <f>IF(G91="",E90,IF(G91&gt;0,E90+G91,E90))</f>
        <v/>
      </c>
      <c r="G91">
        <f>IFERROR(VLOOKUP($A91&amp;"_"&amp;$B91,Results_Deltas!$A$2:$P$15000,5,FALSE),"")</f>
        <v/>
      </c>
      <c r="H91" t="inlineStr">
        <is>
          <t>Blanket (page end)</t>
        </is>
      </c>
      <c r="L91" t="inlineStr">
        <is>
          <t>NO</t>
        </is>
      </c>
      <c r="M91" t="n">
        <v>24</v>
      </c>
    </row>
    <row r="92" ht="15.75" customHeight="1" s="67">
      <c r="A92" t="inlineStr">
        <is>
          <t>FUNDING_GATE_MTF_REQUIRED</t>
        </is>
      </c>
      <c r="B92" t="inlineStr">
        <is>
          <t>0.0_ALT</t>
        </is>
      </c>
      <c r="D92" t="inlineStr">
        <is>
          <t>ENTRY, GLOBAL_CHECK, STOCKS_EXIT</t>
        </is>
      </c>
      <c r="E92">
        <f>IF(G92="",E91,IF(G92&gt;0,E91+G92,E91))</f>
        <v/>
      </c>
      <c r="G92">
        <f>IFERROR(VLOOKUP($A92&amp;"_"&amp;$B92,Results_Deltas!$A$2:$P$15000,5,FALSE),"")</f>
        <v/>
      </c>
      <c r="H92" t="inlineStr">
        <is>
          <t>Blanket (page end)</t>
        </is>
      </c>
      <c r="L92" t="inlineStr">
        <is>
          <t>NO</t>
        </is>
      </c>
      <c r="M92" t="n">
        <v>24</v>
      </c>
    </row>
    <row r="93" ht="15.75" customHeight="1" s="67">
      <c r="A93" t="inlineStr">
        <is>
          <t>FUNDING_GATE_SHORT_MIN</t>
        </is>
      </c>
      <c r="B93" t="inlineStr">
        <is>
          <t>0.0</t>
        </is>
      </c>
      <c r="D93" t="inlineStr">
        <is>
          <t>ENTRY, GLOBAL_CHECK, STOCKS_EXIT</t>
        </is>
      </c>
      <c r="E93">
        <f>IF(G93="",E92,IF(G93&gt;0,E92+G93,E92))</f>
        <v/>
      </c>
      <c r="G93">
        <f>IFERROR(VLOOKUP($A93&amp;"_"&amp;$B93,Results_Deltas!$A$2:$P$15000,5,FALSE),"")</f>
        <v/>
      </c>
      <c r="H93" t="inlineStr">
        <is>
          <t>Blanket (page end)</t>
        </is>
      </c>
      <c r="L93" t="inlineStr">
        <is>
          <t>NO</t>
        </is>
      </c>
      <c r="M93" t="n">
        <v>24</v>
      </c>
    </row>
    <row r="94" ht="15.75" customHeight="1" s="67">
      <c r="A94" t="inlineStr">
        <is>
          <t>FUNDING_GATE_SHORT_MIN</t>
        </is>
      </c>
      <c r="B94" t="inlineStr">
        <is>
          <t>0.0_ALT</t>
        </is>
      </c>
      <c r="D94" t="inlineStr">
        <is>
          <t>ENTRY, GLOBAL_CHECK, STOCKS_EXIT</t>
        </is>
      </c>
      <c r="E94">
        <f>IF(G94="",E93,IF(G94&gt;0,E93+G94,E93))</f>
        <v/>
      </c>
      <c r="G94">
        <f>IFERROR(VLOOKUP($A94&amp;"_"&amp;$B94,Results_Deltas!$A$2:$P$15000,5,FALSE),"")</f>
        <v/>
      </c>
      <c r="H94" t="inlineStr">
        <is>
          <t>Blanket (page end)</t>
        </is>
      </c>
      <c r="L94" t="inlineStr">
        <is>
          <t>NO</t>
        </is>
      </c>
      <c r="M94" t="n">
        <v>24</v>
      </c>
    </row>
    <row r="95" ht="15.75" customHeight="1" s="67">
      <c r="A95" t="inlineStr">
        <is>
          <t>GOLDEN_RULE_BASE_USD</t>
        </is>
      </c>
      <c r="B95" t="inlineStr">
        <is>
          <t>0.0</t>
        </is>
      </c>
      <c r="D95" t="inlineStr">
        <is>
          <t>GLOBAL_CHECK, STOCKS_EXIT</t>
        </is>
      </c>
      <c r="E95">
        <f>IF(G95="",E94,IF(G95&gt;0,E94+G95,E94))</f>
        <v/>
      </c>
      <c r="G95">
        <f>IFERROR(VLOOKUP($A95&amp;"_"&amp;$B95,Results_Deltas!$A$2:$P$15000,5,FALSE),"")</f>
        <v/>
      </c>
      <c r="H95" t="inlineStr">
        <is>
          <t>Blanket (page end)</t>
        </is>
      </c>
      <c r="L95" t="inlineStr">
        <is>
          <t>NO</t>
        </is>
      </c>
      <c r="M95" t="n">
        <v>24</v>
      </c>
    </row>
    <row r="96" ht="15.75" customHeight="1" s="67">
      <c r="A96" t="inlineStr">
        <is>
          <t>GOLDEN_RULE_BASE_USD</t>
        </is>
      </c>
      <c r="B96" t="inlineStr">
        <is>
          <t>0.0_ALT</t>
        </is>
      </c>
      <c r="D96" t="inlineStr">
        <is>
          <t>GLOBAL_CHECK, STOCKS_EXIT</t>
        </is>
      </c>
      <c r="E96">
        <f>IF(G96="",E95,IF(G96&gt;0,E95+G96,E95))</f>
        <v/>
      </c>
      <c r="G96">
        <f>IFERROR(VLOOKUP($A96&amp;"_"&amp;$B96,Results_Deltas!$A$2:$P$15000,5,FALSE),"")</f>
        <v/>
      </c>
      <c r="H96" t="inlineStr">
        <is>
          <t>Blanket (page end)</t>
        </is>
      </c>
      <c r="L96" t="inlineStr">
        <is>
          <t>NO</t>
        </is>
      </c>
      <c r="M96" t="n">
        <v>24</v>
      </c>
    </row>
    <row r="97" ht="15.75" customHeight="1" s="67">
      <c r="A97" t="inlineStr">
        <is>
          <t>GR_FILTER_ALL_ENTRIES</t>
        </is>
      </c>
      <c r="B97" t="inlineStr">
        <is>
          <t>0.0</t>
        </is>
      </c>
      <c r="D97" t="inlineStr">
        <is>
          <t>GLOBAL_CHECK, STOCKS_EXIT</t>
        </is>
      </c>
      <c r="E97">
        <f>IF(G97="",E96,IF(G97&gt;0,E96+G97,E96))</f>
        <v/>
      </c>
      <c r="G97">
        <f>IFERROR(VLOOKUP($A97&amp;"_"&amp;$B97,Results_Deltas!$A$2:$P$15000,5,FALSE),"")</f>
        <v/>
      </c>
      <c r="H97" t="inlineStr">
        <is>
          <t>Blanket (page end)</t>
        </is>
      </c>
      <c r="L97" t="inlineStr">
        <is>
          <t>NO</t>
        </is>
      </c>
      <c r="M97" t="n">
        <v>24</v>
      </c>
    </row>
    <row r="98" ht="15.75" customHeight="1" s="67">
      <c r="A98" t="inlineStr">
        <is>
          <t>GR_FILTER_ALL_ENTRIES</t>
        </is>
      </c>
      <c r="B98" t="inlineStr">
        <is>
          <t>0.0_ALT</t>
        </is>
      </c>
      <c r="D98" t="inlineStr">
        <is>
          <t>GLOBAL_CHECK, STOCKS_EXIT</t>
        </is>
      </c>
      <c r="E98">
        <f>IF(G98="",E97,IF(G98&gt;0,E97+G98,E97))</f>
        <v/>
      </c>
      <c r="G98">
        <f>IFERROR(VLOOKUP($A98&amp;"_"&amp;$B98,Results_Deltas!$A$2:$P$15000,5,FALSE),"")</f>
        <v/>
      </c>
      <c r="H98" t="inlineStr">
        <is>
          <t>Blanket (page end)</t>
        </is>
      </c>
      <c r="L98" t="inlineStr">
        <is>
          <t>NO</t>
        </is>
      </c>
      <c r="M98" t="n">
        <v>24</v>
      </c>
    </row>
    <row r="99" ht="15.75" customHeight="1" s="67">
      <c r="A99" t="inlineStr">
        <is>
          <t>GR_FILTER_VEC_ENABLED</t>
        </is>
      </c>
      <c r="B99" t="inlineStr">
        <is>
          <t>False</t>
        </is>
      </c>
      <c r="D99" t="inlineStr">
        <is>
          <t>GLOBAL_CHECK</t>
        </is>
      </c>
      <c r="E99">
        <f>IF(G99="",E98,IF(G99&gt;0,E98+G99,E98))</f>
        <v/>
      </c>
      <c r="G99">
        <f>IFERROR(VLOOKUP($A99&amp;"_"&amp;$B99,Results_Deltas!$A$2:$P$15000,5,FALSE),"")</f>
        <v/>
      </c>
      <c r="H99" t="inlineStr">
        <is>
          <t>Blanket (page end)</t>
        </is>
      </c>
      <c r="L99" t="inlineStr">
        <is>
          <t>YES</t>
        </is>
      </c>
      <c r="M99" t="n">
        <v>3</v>
      </c>
    </row>
    <row r="100" ht="15.75" customHeight="1" s="67">
      <c r="A100" t="inlineStr">
        <is>
          <t>GR_FILTER_VEC_ENABLED</t>
        </is>
      </c>
      <c r="B100" t="inlineStr">
        <is>
          <t>True</t>
        </is>
      </c>
      <c r="D100" t="inlineStr">
        <is>
          <t>GLOBAL_CHECK</t>
        </is>
      </c>
      <c r="E100">
        <f>IF(G100="",E99,IF(G100&gt;0,E99+G100,E99))</f>
        <v/>
      </c>
      <c r="G100">
        <f>IFERROR(VLOOKUP($A100&amp;"_"&amp;$B100,Results_Deltas!$A$2:$P$15000,5,FALSE),"")</f>
        <v/>
      </c>
      <c r="H100" t="inlineStr">
        <is>
          <t>Blanket (page end)</t>
        </is>
      </c>
      <c r="L100" t="inlineStr">
        <is>
          <t>NO</t>
        </is>
      </c>
      <c r="M100" t="n">
        <v>3</v>
      </c>
    </row>
    <row r="101" ht="15.75" customHeight="1" s="67">
      <c r="A101" t="inlineStr">
        <is>
          <t>GR_FILTER_VEC_MIN_TFS</t>
        </is>
      </c>
      <c r="B101" t="inlineStr">
        <is>
          <t>0</t>
        </is>
      </c>
      <c r="D101" t="inlineStr">
        <is>
          <t>GLOBAL_CHECK</t>
        </is>
      </c>
      <c r="E101">
        <f>IF(G101="",E100,IF(G101&gt;0,E100+G101,E100))</f>
        <v/>
      </c>
      <c r="G101">
        <f>IFERROR(VLOOKUP($A101&amp;"_"&amp;$B101,Results_Deltas!$A$2:$P$15000,5,FALSE),"")</f>
        <v/>
      </c>
      <c r="H101" t="inlineStr">
        <is>
          <t>Blanket (page end)</t>
        </is>
      </c>
      <c r="L101" t="inlineStr">
        <is>
          <t>NO</t>
        </is>
      </c>
      <c r="M101" t="n">
        <v>3</v>
      </c>
    </row>
    <row r="102" ht="15.75" customHeight="1" s="67">
      <c r="A102" t="inlineStr">
        <is>
          <t>GR_FILTER_VEC_MIN_TFS</t>
        </is>
      </c>
      <c r="B102" t="n">
        <v>0</v>
      </c>
      <c r="D102" t="inlineStr">
        <is>
          <t>GLOBAL_CHECK</t>
        </is>
      </c>
      <c r="E102">
        <f>IF(G102="",E101,IF(G102&gt;0,E101+G102,E101))</f>
        <v/>
      </c>
      <c r="G102">
        <f>IFERROR(VLOOKUP($A102&amp;"_"&amp;$B102,Results_Deltas!$A$2:$P$15000,5,FALSE),"")</f>
        <v/>
      </c>
      <c r="H102" t="inlineStr">
        <is>
          <t>Blanket (page end)</t>
        </is>
      </c>
      <c r="L102" t="inlineStr">
        <is>
          <t>YES</t>
        </is>
      </c>
      <c r="M102" t="n">
        <v>3</v>
      </c>
    </row>
    <row r="103" ht="15.75" customHeight="1" s="67">
      <c r="A103" t="inlineStr">
        <is>
          <t>GR_FILTER_VEC_MIN_TFS</t>
        </is>
      </c>
      <c r="B103" t="inlineStr">
        <is>
          <t>1</t>
        </is>
      </c>
      <c r="D103" t="inlineStr">
        <is>
          <t>GLOBAL_CHECK</t>
        </is>
      </c>
      <c r="E103">
        <f>IF(G103="",E102,IF(G103&gt;0,E102+G103,E102))</f>
        <v/>
      </c>
      <c r="G103">
        <f>IFERROR(VLOOKUP($A103&amp;"_"&amp;$B103,Results_Deltas!$A$2:$P$15000,5,FALSE),"")</f>
        <v/>
      </c>
      <c r="H103" t="inlineStr">
        <is>
          <t>Blanket (page end)</t>
        </is>
      </c>
      <c r="L103" t="inlineStr">
        <is>
          <t>NO</t>
        </is>
      </c>
      <c r="M103" t="n">
        <v>3</v>
      </c>
    </row>
    <row r="104" ht="15.75" customHeight="1" s="67">
      <c r="A104" t="inlineStr">
        <is>
          <t>HA_WICK_QUALITY_ENABLED</t>
        </is>
      </c>
      <c r="B104" t="inlineStr">
        <is>
          <t>False</t>
        </is>
      </c>
      <c r="D104" t="inlineStr">
        <is>
          <t>ENTRY, GLOBAL_CHECK, STOCKS_EXIT</t>
        </is>
      </c>
      <c r="E104">
        <f>IF(G104="",E103,IF(G104&gt;0,E103+G104,E103))</f>
        <v/>
      </c>
      <c r="G104">
        <f>IFERROR(VLOOKUP($A104&amp;"_"&amp;$B104,Results_Deltas!$A$2:$P$15000,5,FALSE),"")</f>
        <v/>
      </c>
      <c r="H104" t="inlineStr">
        <is>
          <t>Blanket (page end)</t>
        </is>
      </c>
      <c r="L104" t="inlineStr">
        <is>
          <t>YES</t>
        </is>
      </c>
      <c r="M104" t="n">
        <v>9</v>
      </c>
    </row>
    <row r="105" ht="15.75" customHeight="1" s="67">
      <c r="A105" t="inlineStr">
        <is>
          <t>HA_WICK_QUALITY_ENABLED</t>
        </is>
      </c>
      <c r="B105" t="inlineStr">
        <is>
          <t>True</t>
        </is>
      </c>
      <c r="D105" t="inlineStr">
        <is>
          <t>ENTRY, GLOBAL_CHECK, STOCKS_EXIT</t>
        </is>
      </c>
      <c r="E105">
        <f>IF(G105="",E104,IF(G105&gt;0,E104+G105,E104))</f>
        <v/>
      </c>
      <c r="G105">
        <f>IFERROR(VLOOKUP($A105&amp;"_"&amp;$B105,Results_Deltas!$A$2:$P$15000,5,FALSE),"")</f>
        <v/>
      </c>
      <c r="H105" t="inlineStr">
        <is>
          <t>Blanket (page end)</t>
        </is>
      </c>
      <c r="L105" t="inlineStr">
        <is>
          <t>NO</t>
        </is>
      </c>
      <c r="M105" t="n">
        <v>27</v>
      </c>
    </row>
    <row r="106" ht="15.75" customHeight="1" s="67">
      <c r="A106" t="inlineStr">
        <is>
          <t>HA_WICK_QUALITY_SCORE</t>
        </is>
      </c>
      <c r="B106" t="n">
        <v>0</v>
      </c>
      <c r="D106" t="inlineStr">
        <is>
          <t>ENTRY, GLOBAL_CHECK, STOCKS_EXIT</t>
        </is>
      </c>
      <c r="E106">
        <f>IF(G106="",E105,IF(G106&gt;0,E105+G106,E105))</f>
        <v/>
      </c>
      <c r="G106">
        <f>IFERROR(VLOOKUP($A106&amp;"_"&amp;$B106,Results_Deltas!$A$2:$P$15000,5,FALSE),"")</f>
        <v/>
      </c>
      <c r="H106" t="inlineStr">
        <is>
          <t>Blanket (page end)</t>
        </is>
      </c>
      <c r="L106" t="inlineStr">
        <is>
          <t>YES</t>
        </is>
      </c>
      <c r="M106" t="n">
        <v>0</v>
      </c>
    </row>
    <row r="107" ht="15.75" customHeight="1" s="67">
      <c r="A107" t="inlineStr">
        <is>
          <t>HA_WICK_QUALITY_SCORE</t>
        </is>
      </c>
      <c r="B107" t="inlineStr">
        <is>
          <t>15_ALT</t>
        </is>
      </c>
      <c r="D107" t="inlineStr">
        <is>
          <t>ENTRY, GLOBAL_CHECK, STOCKS_EXIT</t>
        </is>
      </c>
      <c r="E107">
        <f>IF(G107="",E106,IF(G107&gt;0,E106+G107,E106))</f>
        <v/>
      </c>
      <c r="G107">
        <f>IFERROR(VLOOKUP($A107&amp;"_"&amp;$B107,Results_Deltas!$A$2:$P$15000,5,FALSE),"")</f>
        <v/>
      </c>
      <c r="H107" t="inlineStr">
        <is>
          <t>Blanket (page end)</t>
        </is>
      </c>
      <c r="L107" t="inlineStr">
        <is>
          <t>NO</t>
        </is>
      </c>
      <c r="M107" t="n">
        <v>27</v>
      </c>
    </row>
    <row r="108" ht="15.75" customHeight="1" s="67">
      <c r="A108" t="inlineStr">
        <is>
          <t>HA_WICK_QUALITY_TF</t>
        </is>
      </c>
      <c r="B108" t="inlineStr">
        <is>
          <t>OFF</t>
        </is>
      </c>
      <c r="D108" t="inlineStr">
        <is>
          <t>ENTRY, GLOBAL_CHECK, STOCKS_EXIT</t>
        </is>
      </c>
      <c r="E108">
        <f>IF(G108="",E107,IF(G108&gt;0,E107+G108,E107))</f>
        <v/>
      </c>
      <c r="G108">
        <f>IFERROR(VLOOKUP($A108&amp;"_"&amp;$B108,Results_Deltas!$A$2:$P$15000,5,FALSE),"")</f>
        <v/>
      </c>
      <c r="H108" t="inlineStr">
        <is>
          <t>Blanket (page end)</t>
        </is>
      </c>
      <c r="L108" t="inlineStr">
        <is>
          <t>NO</t>
        </is>
      </c>
      <c r="M108" t="n">
        <v>27</v>
      </c>
    </row>
    <row r="109" ht="15.75" customHeight="1" s="67">
      <c r="A109" t="inlineStr">
        <is>
          <t>HA_WICK_QUALITY_TF</t>
        </is>
      </c>
      <c r="B109" t="inlineStr">
        <is>
          <t>D</t>
        </is>
      </c>
      <c r="D109" t="inlineStr">
        <is>
          <t>ENTRY, GLOBAL_CHECK, STOCKS_EXIT</t>
        </is>
      </c>
      <c r="E109">
        <f>IF(G109="",E108,IF(G109&gt;0,E108+G109,E108))</f>
        <v/>
      </c>
      <c r="G109">
        <f>IFERROR(VLOOKUP($A109&amp;"_"&amp;$B109,Results_Deltas!$A$2:$P$15000,5,FALSE),"")</f>
        <v/>
      </c>
      <c r="H109" t="inlineStr">
        <is>
          <t>Blanket (page end)</t>
        </is>
      </c>
      <c r="L109" t="inlineStr">
        <is>
          <t>NO</t>
        </is>
      </c>
      <c r="M109" t="n">
        <v>27</v>
      </c>
    </row>
    <row r="110" ht="15.75" customHeight="1" s="67">
      <c r="A110" t="inlineStr">
        <is>
          <t>HA_WICK_QUALITY_TF</t>
        </is>
      </c>
      <c r="B110" t="inlineStr">
        <is>
          <t>4h</t>
        </is>
      </c>
      <c r="D110" t="inlineStr">
        <is>
          <t>ENTRY, GLOBAL_CHECK, STOCKS_EXIT</t>
        </is>
      </c>
      <c r="E110">
        <f>IF(G110="",E109,IF(G110&gt;0,E109+G110,E109))</f>
        <v/>
      </c>
      <c r="G110">
        <f>IFERROR(VLOOKUP($A110&amp;"_"&amp;$B110,Results_Deltas!$A$2:$P$15000,5,FALSE),"")</f>
        <v/>
      </c>
      <c r="H110" t="inlineStr">
        <is>
          <t>Blanket (page end)</t>
        </is>
      </c>
      <c r="L110" t="inlineStr">
        <is>
          <t>NO</t>
        </is>
      </c>
      <c r="M110" t="n">
        <v>27</v>
      </c>
    </row>
    <row r="111" ht="15.75" customHeight="1" s="67">
      <c r="A111" t="inlineStr">
        <is>
          <t>HA_WICK_QUALITY_TF</t>
        </is>
      </c>
      <c r="B111" t="inlineStr">
        <is>
          <t>15m</t>
        </is>
      </c>
      <c r="D111" t="inlineStr">
        <is>
          <t>ENTRY, GLOBAL_CHECK, STOCKS_EXIT</t>
        </is>
      </c>
      <c r="E111">
        <f>IF(G111="",E110,IF(G111&gt;0,E110+G111,E110))</f>
        <v/>
      </c>
      <c r="G111">
        <f>IFERROR(VLOOKUP($A111&amp;"_"&amp;$B111,Results_Deltas!$A$2:$P$15000,5,FALSE),"")</f>
        <v/>
      </c>
      <c r="H111" t="inlineStr">
        <is>
          <t>Blanket (page end)</t>
        </is>
      </c>
      <c r="L111" t="inlineStr">
        <is>
          <t>YES</t>
        </is>
      </c>
      <c r="M111" t="n">
        <v>9</v>
      </c>
    </row>
    <row r="112" ht="15.75" customHeight="1" s="67">
      <c r="A112" t="inlineStr">
        <is>
          <t>HA_WICK_QUALITY_TF</t>
        </is>
      </c>
      <c r="B112" t="inlineStr">
        <is>
          <t>15m</t>
        </is>
      </c>
      <c r="D112" t="inlineStr">
        <is>
          <t>ENTRY, GLOBAL_CHECK, STOCKS_EXIT</t>
        </is>
      </c>
      <c r="E112">
        <f>IF(G112="",E111,IF(G112&gt;0,E111+G112,E111))</f>
        <v/>
      </c>
      <c r="G112">
        <f>IFERROR(VLOOKUP($A112&amp;"_"&amp;$B112,Results_Deltas!$A$2:$P$15000,5,FALSE),"")</f>
        <v/>
      </c>
      <c r="H112" t="inlineStr">
        <is>
          <t>Blanket (page end)</t>
        </is>
      </c>
      <c r="L112" t="inlineStr">
        <is>
          <t>NO</t>
        </is>
      </c>
      <c r="M112" t="n">
        <v>9</v>
      </c>
    </row>
    <row r="113" ht="15.75" customHeight="1" s="67">
      <c r="A113" t="inlineStr">
        <is>
          <t>HLR_SMA_BAND_PCT</t>
        </is>
      </c>
      <c r="B113" t="inlineStr">
        <is>
          <t>0</t>
        </is>
      </c>
      <c r="D113" t="inlineStr">
        <is>
          <t>ENTRY, GLOBAL_CHECK, STOCKS_EXIT</t>
        </is>
      </c>
      <c r="E113">
        <f>IF(G113="",E112,IF(G113&gt;0,E112+G113,E112))</f>
        <v/>
      </c>
      <c r="G113">
        <f>IFERROR(VLOOKUP($A113&amp;"_"&amp;$B113,Results_Deltas!$A$2:$P$15000,5,FALSE),"")</f>
        <v/>
      </c>
      <c r="H113" t="inlineStr">
        <is>
          <t>Blanket (page end)</t>
        </is>
      </c>
      <c r="L113" t="inlineStr">
        <is>
          <t>NO</t>
        </is>
      </c>
      <c r="M113" t="n">
        <v>24</v>
      </c>
    </row>
    <row r="114" ht="15.75" customHeight="1" s="67">
      <c r="A114" t="inlineStr">
        <is>
          <t>HLR_SMA_BAND_PCT</t>
        </is>
      </c>
      <c r="B114" t="inlineStr">
        <is>
          <t>2.0</t>
        </is>
      </c>
      <c r="D114" t="inlineStr">
        <is>
          <t>ENTRY, GLOBAL_CHECK, STOCKS_EXIT</t>
        </is>
      </c>
      <c r="E114">
        <f>IF(G114="",E113,IF(G114&gt;0,E113+G114,E113))</f>
        <v/>
      </c>
      <c r="G114">
        <f>IFERROR(VLOOKUP($A114&amp;"_"&amp;$B114,Results_Deltas!$A$2:$P$15000,5,FALSE),"")</f>
        <v/>
      </c>
      <c r="H114" t="inlineStr">
        <is>
          <t>Blanket (page end)</t>
        </is>
      </c>
      <c r="L114" t="inlineStr">
        <is>
          <t>NO</t>
        </is>
      </c>
      <c r="M114" t="n">
        <v>27</v>
      </c>
    </row>
    <row r="115" ht="15.75" customHeight="1" s="67">
      <c r="A115" t="inlineStr">
        <is>
          <t>HLR_SMA_BAND_PCT</t>
        </is>
      </c>
      <c r="B115" t="inlineStr">
        <is>
          <t>1.0</t>
        </is>
      </c>
      <c r="D115" t="inlineStr">
        <is>
          <t>ENTRY, GLOBAL_CHECK, STOCKS_EXIT</t>
        </is>
      </c>
      <c r="E115">
        <f>IF(G115="",E114,IF(G115&gt;0,E114+G115,E114))</f>
        <v/>
      </c>
      <c r="G115">
        <f>IFERROR(VLOOKUP($A115&amp;"_"&amp;$B115,Results_Deltas!$A$2:$P$15000,5,FALSE),"")</f>
        <v/>
      </c>
      <c r="H115" t="inlineStr">
        <is>
          <t>Blanket (page end)</t>
        </is>
      </c>
      <c r="L115" t="inlineStr">
        <is>
          <t>NO</t>
        </is>
      </c>
      <c r="M115" t="n">
        <v>27</v>
      </c>
    </row>
    <row r="116" ht="15.75" customHeight="1" s="67">
      <c r="A116" t="inlineStr">
        <is>
          <t>HLR_SMA_BAND_PCT</t>
        </is>
      </c>
      <c r="B116" t="inlineStr">
        <is>
          <t>0.5</t>
        </is>
      </c>
      <c r="D116" t="inlineStr">
        <is>
          <t>ENTRY, GLOBAL_CHECK, STOCKS_EXIT</t>
        </is>
      </c>
      <c r="E116">
        <f>IF(G116="",E115,IF(G116&gt;0,E115+G116,E115))</f>
        <v/>
      </c>
      <c r="G116">
        <f>IFERROR(VLOOKUP($A116&amp;"_"&amp;$B116,Results_Deltas!$A$2:$P$15000,5,FALSE),"")</f>
        <v/>
      </c>
      <c r="H116" t="inlineStr">
        <is>
          <t>Blanket (page end)</t>
        </is>
      </c>
      <c r="L116" t="inlineStr">
        <is>
          <t>NO</t>
        </is>
      </c>
      <c r="M116" t="n">
        <v>27</v>
      </c>
    </row>
    <row r="117" ht="15.75" customHeight="1" s="67">
      <c r="A117" t="inlineStr">
        <is>
          <t>HLR_TOP_MIN_TFS</t>
        </is>
      </c>
      <c r="B117" t="inlineStr">
        <is>
          <t>0</t>
        </is>
      </c>
      <c r="D117" t="inlineStr">
        <is>
          <t>GLOBAL_CHECK, REENTRY, STOCKS_EXIT</t>
        </is>
      </c>
      <c r="E117">
        <f>IF(G117="",E116,IF(G117&gt;0,E116+G117,E116))</f>
        <v/>
      </c>
      <c r="G117">
        <f>IFERROR(VLOOKUP($A117&amp;"_"&amp;$B117,Results_Deltas!$A$2:$P$15000,5,FALSE),"")</f>
        <v/>
      </c>
      <c r="H117" t="inlineStr">
        <is>
          <t>Blanket (page end)</t>
        </is>
      </c>
      <c r="L117" t="inlineStr">
        <is>
          <t>NO</t>
        </is>
      </c>
      <c r="M117" t="n">
        <v>24</v>
      </c>
    </row>
    <row r="118" ht="15.75" customHeight="1" s="67">
      <c r="A118" t="inlineStr">
        <is>
          <t>HLR_TOP_MIN_TFS</t>
        </is>
      </c>
      <c r="B118" t="n">
        <v>0</v>
      </c>
      <c r="D118" t="inlineStr">
        <is>
          <t>GLOBAL_CHECK, REENTRY, STOCKS_EXIT</t>
        </is>
      </c>
      <c r="E118">
        <f>IF(G118="",E117,IF(G118&gt;0,E117+G118,E117))</f>
        <v/>
      </c>
      <c r="G118">
        <f>IFERROR(VLOOKUP($A118&amp;"_"&amp;$B118,Results_Deltas!$A$2:$P$15000,5,FALSE),"")</f>
        <v/>
      </c>
      <c r="H118" t="inlineStr">
        <is>
          <t>Blanket (page end)</t>
        </is>
      </c>
      <c r="L118" t="inlineStr">
        <is>
          <t>YES</t>
        </is>
      </c>
      <c r="M118" t="n">
        <v>24</v>
      </c>
    </row>
    <row r="119" ht="15.75" customHeight="1" s="67">
      <c r="A119" t="inlineStr">
        <is>
          <t>HLR_TOP_MIN_TFS</t>
        </is>
      </c>
      <c r="B119" t="inlineStr">
        <is>
          <t>1</t>
        </is>
      </c>
      <c r="D119" t="inlineStr">
        <is>
          <t>GLOBAL_CHECK, REENTRY, STOCKS_EXIT</t>
        </is>
      </c>
      <c r="E119">
        <f>IF(G119="",E118,IF(G119&gt;0,E118+G119,E118))</f>
        <v/>
      </c>
      <c r="G119">
        <f>IFERROR(VLOOKUP($A119&amp;"_"&amp;$B119,Results_Deltas!$A$2:$P$15000,5,FALSE),"")</f>
        <v/>
      </c>
      <c r="H119" t="inlineStr">
        <is>
          <t>Blanket (page end)</t>
        </is>
      </c>
      <c r="L119" t="inlineStr">
        <is>
          <t>NO</t>
        </is>
      </c>
      <c r="M119" t="n">
        <v>27</v>
      </c>
    </row>
    <row r="120" ht="15.75" customHeight="1" s="67">
      <c r="A120" t="inlineStr">
        <is>
          <t>HTF4_CONF</t>
        </is>
      </c>
      <c r="B120" t="inlineStr">
        <is>
          <t>False</t>
        </is>
      </c>
      <c r="D120" t="inlineStr">
        <is>
          <t>GLOBAL_CHECK, STOCKS_EXIT</t>
        </is>
      </c>
      <c r="E120">
        <f>IF(G120="",E119,IF(G120&gt;0,E119+G120,E119))</f>
        <v/>
      </c>
      <c r="G120">
        <f>IFERROR(VLOOKUP($A120&amp;"_"&amp;$B120,Results_Deltas!$A$2:$P$15000,5,FALSE),"")</f>
        <v/>
      </c>
      <c r="H120" t="inlineStr">
        <is>
          <t>Blanket (page end)</t>
        </is>
      </c>
      <c r="L120" t="inlineStr">
        <is>
          <t>NO</t>
        </is>
      </c>
      <c r="M120" t="n">
        <v>9</v>
      </c>
    </row>
    <row r="121" ht="15.75" customHeight="1" s="67">
      <c r="A121" t="inlineStr">
        <is>
          <t>HTF4_CONF</t>
        </is>
      </c>
      <c r="B121" t="inlineStr">
        <is>
          <t>False_ALT</t>
        </is>
      </c>
      <c r="D121" t="inlineStr">
        <is>
          <t>GLOBAL_CHECK, STOCKS_EXIT</t>
        </is>
      </c>
      <c r="E121">
        <f>IF(G121="",E120,IF(G121&gt;0,E120+G121,E120))</f>
        <v/>
      </c>
      <c r="G121">
        <f>IFERROR(VLOOKUP($A121&amp;"_"&amp;$B121,Results_Deltas!$A$2:$P$15000,5,FALSE),"")</f>
        <v/>
      </c>
      <c r="H121" t="inlineStr">
        <is>
          <t>Blanket (page end)</t>
        </is>
      </c>
      <c r="L121" t="inlineStr">
        <is>
          <t>NO</t>
        </is>
      </c>
      <c r="M121" t="n">
        <v>24</v>
      </c>
    </row>
    <row r="122" ht="15.75" customHeight="1" s="67">
      <c r="A122" t="inlineStr">
        <is>
          <t>HTF_DIRECTION_GATE_ENABLED</t>
        </is>
      </c>
      <c r="B122" t="inlineStr">
        <is>
          <t>False</t>
        </is>
      </c>
      <c r="D122" t="inlineStr">
        <is>
          <t>ENTRY, GLOBAL_CHECK, STOCKS_EXIT</t>
        </is>
      </c>
      <c r="E122">
        <f>IF(G122="",E121,IF(G122&gt;0,E121+G122,E121))</f>
        <v/>
      </c>
      <c r="G122">
        <f>IFERROR(VLOOKUP($A122&amp;"_"&amp;$B122,Results_Deltas!$A$2:$P$15000,5,FALSE),"")</f>
        <v/>
      </c>
      <c r="H122" t="inlineStr">
        <is>
          <t>Blanket (page end)</t>
        </is>
      </c>
      <c r="L122" t="inlineStr">
        <is>
          <t>YES</t>
        </is>
      </c>
      <c r="M122" t="n">
        <v>9</v>
      </c>
    </row>
    <row r="123" ht="15.75" customHeight="1" s="67">
      <c r="A123" t="inlineStr">
        <is>
          <t>HTF_DIRECTION_GATE_ENABLED</t>
        </is>
      </c>
      <c r="B123" t="inlineStr">
        <is>
          <t>True</t>
        </is>
      </c>
      <c r="D123" t="inlineStr">
        <is>
          <t>ENTRY, GLOBAL_CHECK, STOCKS_EXIT</t>
        </is>
      </c>
      <c r="E123">
        <f>IF(G123="",E122,IF(G123&gt;0,E122+G123,E122))</f>
        <v/>
      </c>
      <c r="G123">
        <f>IFERROR(VLOOKUP($A123&amp;"_"&amp;$B123,Results_Deltas!$A$2:$P$15000,5,FALSE),"")</f>
        <v/>
      </c>
      <c r="H123" t="inlineStr">
        <is>
          <t>Blanket (page end)</t>
        </is>
      </c>
      <c r="L123" t="inlineStr">
        <is>
          <t>NO</t>
        </is>
      </c>
      <c r="M123" t="n">
        <v>27</v>
      </c>
    </row>
    <row r="124" ht="15.75" customHeight="1" s="67">
      <c r="A124" t="inlineStr">
        <is>
          <t>HTF_GATE_BYPASS_RZ</t>
        </is>
      </c>
      <c r="B124" t="inlineStr">
        <is>
          <t>0.0</t>
        </is>
      </c>
      <c r="D124" t="inlineStr">
        <is>
          <t>ENTRY, GLOBAL_CHECK, STOCKS_EXIT</t>
        </is>
      </c>
      <c r="E124">
        <f>IF(G124="",E123,IF(G124&gt;0,E123+G124,E123))</f>
        <v/>
      </c>
      <c r="G124">
        <f>IFERROR(VLOOKUP($A124&amp;"_"&amp;$B124,Results_Deltas!$A$2:$P$15000,5,FALSE),"")</f>
        <v/>
      </c>
      <c r="H124" t="inlineStr">
        <is>
          <t>Blanket (page end)</t>
        </is>
      </c>
      <c r="L124" t="inlineStr">
        <is>
          <t>NO</t>
        </is>
      </c>
      <c r="M124" t="n">
        <v>24</v>
      </c>
    </row>
    <row r="125" ht="15.75" customHeight="1" s="67">
      <c r="A125" t="inlineStr">
        <is>
          <t>HTF_GATE_BYPASS_RZ</t>
        </is>
      </c>
      <c r="B125" t="inlineStr">
        <is>
          <t>0.0_ALT</t>
        </is>
      </c>
      <c r="D125" t="inlineStr">
        <is>
          <t>ENTRY, GLOBAL_CHECK, STOCKS_EXIT</t>
        </is>
      </c>
      <c r="E125">
        <f>IF(G125="",E124,IF(G125&gt;0,E124+G125,E124))</f>
        <v/>
      </c>
      <c r="G125">
        <f>IFERROR(VLOOKUP($A125&amp;"_"&amp;$B125,Results_Deltas!$A$2:$P$15000,5,FALSE),"")</f>
        <v/>
      </c>
      <c r="H125" t="inlineStr">
        <is>
          <t>Blanket (page end)</t>
        </is>
      </c>
      <c r="L125" t="inlineStr">
        <is>
          <t>NO</t>
        </is>
      </c>
      <c r="M125" t="n">
        <v>24</v>
      </c>
    </row>
    <row r="126" ht="15.75" customHeight="1" s="67">
      <c r="A126" t="inlineStr">
        <is>
          <t>HTF_GATE_D_MANDATORY</t>
        </is>
      </c>
      <c r="B126" t="inlineStr">
        <is>
          <t>0.0</t>
        </is>
      </c>
      <c r="D126" t="inlineStr">
        <is>
          <t>ENTRY, GLOBAL_CHECK, STOCKS_EXIT</t>
        </is>
      </c>
      <c r="E126">
        <f>IF(G126="",E125,IF(G126&gt;0,E125+G126,E125))</f>
        <v/>
      </c>
      <c r="G126">
        <f>IFERROR(VLOOKUP($A126&amp;"_"&amp;$B126,Results_Deltas!$A$2:$P$15000,5,FALSE),"")</f>
        <v/>
      </c>
      <c r="H126" t="inlineStr">
        <is>
          <t>Blanket (page end)</t>
        </is>
      </c>
      <c r="L126" t="inlineStr">
        <is>
          <t>NO</t>
        </is>
      </c>
      <c r="M126" t="n">
        <v>24</v>
      </c>
    </row>
    <row r="127" ht="15.75" customHeight="1" s="67">
      <c r="A127" t="inlineStr">
        <is>
          <t>HTF_GATE_D_MANDATORY</t>
        </is>
      </c>
      <c r="B127" t="inlineStr">
        <is>
          <t>0.0_ALT</t>
        </is>
      </c>
      <c r="D127" t="inlineStr">
        <is>
          <t>ENTRY, GLOBAL_CHECK, STOCKS_EXIT</t>
        </is>
      </c>
      <c r="E127">
        <f>IF(G127="",E126,IF(G127&gt;0,E126+G127,E126))</f>
        <v/>
      </c>
      <c r="G127">
        <f>IFERROR(VLOOKUP($A127&amp;"_"&amp;$B127,Results_Deltas!$A$2:$P$15000,5,FALSE),"")</f>
        <v/>
      </c>
      <c r="H127" t="inlineStr">
        <is>
          <t>Blanket (page end)</t>
        </is>
      </c>
      <c r="L127" t="inlineStr">
        <is>
          <t>NO</t>
        </is>
      </c>
      <c r="M127" t="n">
        <v>24</v>
      </c>
    </row>
    <row r="128" ht="15.75" customHeight="1" s="67">
      <c r="A128" t="inlineStr">
        <is>
          <t>HTF_GATE_MIN_CONFIRMATIONS</t>
        </is>
      </c>
      <c r="B128" t="inlineStr">
        <is>
          <t>0.0</t>
        </is>
      </c>
      <c r="D128" t="inlineStr">
        <is>
          <t>ENTRY, GLOBAL_CHECK, STOCKS_EXIT</t>
        </is>
      </c>
      <c r="E128">
        <f>IF(G128="",E127,IF(G128&gt;0,E127+G128,E127))</f>
        <v/>
      </c>
      <c r="G128">
        <f>IFERROR(VLOOKUP($A128&amp;"_"&amp;$B128,Results_Deltas!$A$2:$P$15000,5,FALSE),"")</f>
        <v/>
      </c>
      <c r="H128" t="inlineStr">
        <is>
          <t>Blanket (page end)</t>
        </is>
      </c>
      <c r="L128" t="inlineStr">
        <is>
          <t>NO</t>
        </is>
      </c>
      <c r="M128" t="n">
        <v>24</v>
      </c>
    </row>
    <row r="129" ht="15.75" customHeight="1" s="67">
      <c r="A129" t="inlineStr">
        <is>
          <t>HTF_GATE_MIN_CONFIRMATIONS</t>
        </is>
      </c>
      <c r="B129" t="inlineStr">
        <is>
          <t>0.0_ALT</t>
        </is>
      </c>
      <c r="D129" t="inlineStr">
        <is>
          <t>ENTRY, GLOBAL_CHECK, STOCKS_EXIT</t>
        </is>
      </c>
      <c r="E129">
        <f>IF(G129="",E128,IF(G129&gt;0,E128+G129,E128))</f>
        <v/>
      </c>
      <c r="G129">
        <f>IFERROR(VLOOKUP($A129&amp;"_"&amp;$B129,Results_Deltas!$A$2:$P$15000,5,FALSE),"")</f>
        <v/>
      </c>
      <c r="H129" t="inlineStr">
        <is>
          <t>Blanket (page end)</t>
        </is>
      </c>
      <c r="L129" t="inlineStr">
        <is>
          <t>NO</t>
        </is>
      </c>
      <c r="M129" t="n">
        <v>24</v>
      </c>
    </row>
    <row r="130" ht="15.75" customHeight="1" s="67">
      <c r="A130" t="inlineStr">
        <is>
          <t>HTF_TREND_VETO_BYPASS_ENABLED</t>
        </is>
      </c>
      <c r="B130" t="inlineStr">
        <is>
          <t>False</t>
        </is>
      </c>
      <c r="D130" t="inlineStr">
        <is>
          <t>GLOBAL_CHECK, STOCKS_EXIT</t>
        </is>
      </c>
      <c r="E130">
        <f>IF(G130="",E129,IF(G130&gt;0,E129+G130,E129))</f>
        <v/>
      </c>
      <c r="G130">
        <f>IFERROR(VLOOKUP($A130&amp;"_"&amp;$B130,Results_Deltas!$A$2:$P$15000,5,FALSE),"")</f>
        <v/>
      </c>
      <c r="H130" t="inlineStr">
        <is>
          <t>Blanket (page end)</t>
        </is>
      </c>
      <c r="L130" t="inlineStr">
        <is>
          <t>NO</t>
        </is>
      </c>
      <c r="M130" t="n">
        <v>9</v>
      </c>
    </row>
    <row r="131" ht="15.75" customHeight="1" s="67">
      <c r="A131" t="inlineStr">
        <is>
          <t>HTF_TREND_VETO_BYPASS_ENABLED</t>
        </is>
      </c>
      <c r="B131" t="b">
        <v>0</v>
      </c>
      <c r="D131" t="inlineStr">
        <is>
          <t>GLOBAL_CHECK, STOCKS_EXIT</t>
        </is>
      </c>
      <c r="E131">
        <f>IF(G131="",E130,IF(G131&gt;0,E130+G131,E130))</f>
        <v/>
      </c>
      <c r="G131">
        <f>IFERROR(VLOOKUP($A131&amp;"_"&amp;$B131,Results_Deltas!$A$2:$P$15000,5,FALSE),"")</f>
        <v/>
      </c>
      <c r="H131" t="inlineStr">
        <is>
          <t>Blanket (page end)</t>
        </is>
      </c>
      <c r="L131" t="inlineStr">
        <is>
          <t>YES</t>
        </is>
      </c>
      <c r="M131" t="n">
        <v>9</v>
      </c>
    </row>
    <row r="132" ht="15.75" customHeight="1" s="67">
      <c r="A132" t="inlineStr">
        <is>
          <t>HTF_TREND_VETO_BYPASS_REASONS</t>
        </is>
      </c>
      <c r="B132" t="inlineStr">
        <is>
          <t>0.0</t>
        </is>
      </c>
      <c r="D132" t="inlineStr">
        <is>
          <t>GLOBAL_CHECK, STOCKS_EXIT</t>
        </is>
      </c>
      <c r="E132">
        <f>IF(G132="",E131,IF(G132&gt;0,E131+G132,E131))</f>
        <v/>
      </c>
      <c r="G132">
        <f>IFERROR(VLOOKUP($A132&amp;"_"&amp;$B132,Results_Deltas!$A$2:$P$15000,5,FALSE),"")</f>
        <v/>
      </c>
      <c r="H132" t="inlineStr">
        <is>
          <t>Blanket (page end)</t>
        </is>
      </c>
      <c r="L132" t="inlineStr">
        <is>
          <t>NO</t>
        </is>
      </c>
      <c r="M132" t="n">
        <v>24</v>
      </c>
    </row>
    <row r="133" ht="15.75" customHeight="1" s="67">
      <c r="A133" t="inlineStr">
        <is>
          <t>HTF_TREND_VETO_BYPASS_REASONS</t>
        </is>
      </c>
      <c r="B133" t="inlineStr">
        <is>
          <t>0.0_ALT</t>
        </is>
      </c>
      <c r="D133" t="inlineStr">
        <is>
          <t>GLOBAL_CHECK, STOCKS_EXIT</t>
        </is>
      </c>
      <c r="E133">
        <f>IF(G133="",E132,IF(G133&gt;0,E132+G133,E132))</f>
        <v/>
      </c>
      <c r="G133">
        <f>IFERROR(VLOOKUP($A133&amp;"_"&amp;$B133,Results_Deltas!$A$2:$P$15000,5,FALSE),"")</f>
        <v/>
      </c>
      <c r="H133" t="inlineStr">
        <is>
          <t>Blanket (page end)</t>
        </is>
      </c>
      <c r="L133" t="inlineStr">
        <is>
          <t>NO</t>
        </is>
      </c>
      <c r="M133" t="n">
        <v>24</v>
      </c>
    </row>
    <row r="134" ht="15.75" customHeight="1" s="67">
      <c r="A134" t="inlineStr">
        <is>
          <t>LEADERBOARD_FILTER</t>
        </is>
      </c>
      <c r="B134" t="inlineStr">
        <is>
          <t>False</t>
        </is>
      </c>
      <c r="D134" t="inlineStr">
        <is>
          <t>AUGMENT, ENTRY, EXIT, GLOBAL_CHECK, REDUCE, STOCKS_EXIT</t>
        </is>
      </c>
      <c r="E134">
        <f>IF(G134="",E133,IF(G134&gt;0,E133+G134,E133))</f>
        <v/>
      </c>
      <c r="G134">
        <f>IFERROR(VLOOKUP($A134&amp;"_"&amp;$B134,Results_Deltas!$A$2:$P$15000,5,FALSE),"")</f>
        <v/>
      </c>
      <c r="H134" t="inlineStr">
        <is>
          <t>Blanket (page end)</t>
        </is>
      </c>
      <c r="L134" t="inlineStr">
        <is>
          <t>NO</t>
        </is>
      </c>
      <c r="M134" t="n">
        <v>9</v>
      </c>
    </row>
    <row r="135" ht="15.75" customHeight="1" s="67">
      <c r="A135" t="inlineStr">
        <is>
          <t>LEADERBOARD_FILTER</t>
        </is>
      </c>
      <c r="B135" t="inlineStr">
        <is>
          <t>False_ALT</t>
        </is>
      </c>
      <c r="D135" t="inlineStr">
        <is>
          <t>AUGMENT, ENTRY, EXIT, GLOBAL_CHECK, REDUCE, STOCKS_EXIT</t>
        </is>
      </c>
      <c r="E135">
        <f>IF(G135="",E134,IF(G135&gt;0,E134+G135,E134))</f>
        <v/>
      </c>
      <c r="G135">
        <f>IFERROR(VLOOKUP($A135&amp;"_"&amp;$B135,Results_Deltas!$A$2:$P$15000,5,FALSE),"")</f>
        <v/>
      </c>
      <c r="H135" t="inlineStr">
        <is>
          <t>Blanket (page end)</t>
        </is>
      </c>
      <c r="L135" t="inlineStr">
        <is>
          <t>NO</t>
        </is>
      </c>
      <c r="M135" t="n">
        <v>24</v>
      </c>
    </row>
    <row r="136" ht="15.75" customHeight="1" s="67">
      <c r="A136" t="inlineStr">
        <is>
          <t>LH_HL_FILTER_ENABLED</t>
        </is>
      </c>
      <c r="B136" t="inlineStr">
        <is>
          <t>False</t>
        </is>
      </c>
      <c r="D136" t="inlineStr">
        <is>
          <t>ENTRY, GLOBAL_CHECK, STOCKS_EXIT</t>
        </is>
      </c>
      <c r="E136">
        <f>IF(G136="",E135,IF(G136&gt;0,E135+G136,E135))</f>
        <v/>
      </c>
      <c r="G136">
        <f>IFERROR(VLOOKUP($A136&amp;"_"&amp;$B136,Results_Deltas!$A$2:$P$15000,5,FALSE),"")</f>
        <v/>
      </c>
      <c r="H136" t="inlineStr">
        <is>
          <t>Blanket (page end)</t>
        </is>
      </c>
      <c r="L136" t="inlineStr">
        <is>
          <t>YES</t>
        </is>
      </c>
      <c r="M136" t="n">
        <v>9</v>
      </c>
    </row>
    <row r="137" ht="15.75" customHeight="1" s="67">
      <c r="A137" t="inlineStr">
        <is>
          <t>LH_HL_FILTER_ENABLED</t>
        </is>
      </c>
      <c r="B137" t="inlineStr">
        <is>
          <t>True</t>
        </is>
      </c>
      <c r="D137" t="inlineStr">
        <is>
          <t>ENTRY, GLOBAL_CHECK, STOCKS_EXIT</t>
        </is>
      </c>
      <c r="E137">
        <f>IF(G137="",E136,IF(G137&gt;0,E136+G137,E136))</f>
        <v/>
      </c>
      <c r="G137">
        <f>IFERROR(VLOOKUP($A137&amp;"_"&amp;$B137,Results_Deltas!$A$2:$P$15000,5,FALSE),"")</f>
        <v/>
      </c>
      <c r="H137" t="inlineStr">
        <is>
          <t>Blanket (page end)</t>
        </is>
      </c>
      <c r="L137" t="inlineStr">
        <is>
          <t>NO</t>
        </is>
      </c>
      <c r="M137" t="n">
        <v>27</v>
      </c>
    </row>
    <row r="138" ht="15.75" customHeight="1" s="67">
      <c r="A138" t="inlineStr">
        <is>
          <t>LH_HL_FILTER_MODE</t>
        </is>
      </c>
      <c r="B138" t="inlineStr">
        <is>
          <t>STRICT_2BAR</t>
        </is>
      </c>
      <c r="D138" t="inlineStr">
        <is>
          <t>ENTRY, GLOBAL_CHECK, STOCKS_EXIT</t>
        </is>
      </c>
      <c r="E138">
        <f>IF(G138="",E137,IF(G138&gt;0,E137+G138,E137))</f>
        <v/>
      </c>
      <c r="G138">
        <f>IFERROR(VLOOKUP($A138&amp;"_"&amp;$B138,Results_Deltas!$A$2:$P$15000,5,FALSE),"")</f>
        <v/>
      </c>
      <c r="H138" t="inlineStr">
        <is>
          <t>Blanket (page end)</t>
        </is>
      </c>
      <c r="L138" t="inlineStr">
        <is>
          <t>YES</t>
        </is>
      </c>
      <c r="M138" t="n">
        <v>27</v>
      </c>
    </row>
    <row r="139" ht="15.75" customHeight="1" s="67">
      <c r="A139" t="inlineStr">
        <is>
          <t>LH_HL_FILTER_MODE</t>
        </is>
      </c>
      <c r="B139" t="inlineStr">
        <is>
          <t>STRICT_2BAR_ALT</t>
        </is>
      </c>
      <c r="D139" t="inlineStr">
        <is>
          <t>ENTRY, GLOBAL_CHECK, STOCKS_EXIT</t>
        </is>
      </c>
      <c r="E139">
        <f>IF(G139="",E138,IF(G139&gt;0,E138+G139,E138))</f>
        <v/>
      </c>
      <c r="G139">
        <f>IFERROR(VLOOKUP($A139&amp;"_"&amp;$B139,Results_Deltas!$A$2:$P$15000,5,FALSE),"")</f>
        <v/>
      </c>
      <c r="H139" t="inlineStr">
        <is>
          <t>Blanket (page end)</t>
        </is>
      </c>
      <c r="L139" t="inlineStr">
        <is>
          <t>NO</t>
        </is>
      </c>
      <c r="M139" t="n">
        <v>27</v>
      </c>
    </row>
    <row r="140" ht="15.75" customHeight="1" s="67">
      <c r="A140" t="inlineStr">
        <is>
          <t>LH_HL_FILTER_REQUIRE_BOTH</t>
        </is>
      </c>
      <c r="B140" t="inlineStr">
        <is>
          <t>False</t>
        </is>
      </c>
      <c r="D140" t="inlineStr">
        <is>
          <t>ENTRY, GLOBAL_CHECK, STOCKS_EXIT</t>
        </is>
      </c>
      <c r="E140">
        <f>IF(G140="",E139,IF(G140&gt;0,E139+G140,E139))</f>
        <v/>
      </c>
      <c r="G140">
        <f>IFERROR(VLOOKUP($A140&amp;"_"&amp;$B140,Results_Deltas!$A$2:$P$15000,5,FALSE),"")</f>
        <v/>
      </c>
      <c r="H140" t="inlineStr">
        <is>
          <t>Blanket (page end)</t>
        </is>
      </c>
      <c r="L140" t="inlineStr">
        <is>
          <t>YES</t>
        </is>
      </c>
      <c r="M140" t="n">
        <v>9</v>
      </c>
    </row>
    <row r="141" ht="15.75" customHeight="1" s="67">
      <c r="A141" t="inlineStr">
        <is>
          <t>LH_HL_FILTER_REQUIRE_BOTH</t>
        </is>
      </c>
      <c r="B141" t="inlineStr">
        <is>
          <t>False_ALT</t>
        </is>
      </c>
      <c r="D141" t="inlineStr">
        <is>
          <t>ENTRY, GLOBAL_CHECK, STOCKS_EXIT</t>
        </is>
      </c>
      <c r="E141">
        <f>IF(G141="",E140,IF(G141&gt;0,E140+G141,E140))</f>
        <v/>
      </c>
      <c r="G141">
        <f>IFERROR(VLOOKUP($A141&amp;"_"&amp;$B141,Results_Deltas!$A$2:$P$15000,5,FALSE),"")</f>
        <v/>
      </c>
      <c r="H141" t="inlineStr">
        <is>
          <t>Blanket (page end)</t>
        </is>
      </c>
      <c r="L141" t="inlineStr">
        <is>
          <t>NO</t>
        </is>
      </c>
      <c r="M141" t="n">
        <v>24</v>
      </c>
    </row>
    <row r="142" ht="15.75" customHeight="1" s="67">
      <c r="A142" t="inlineStr">
        <is>
          <t>LIVE_VEC_EMERGENCY_BRAKE_ENABLED</t>
        </is>
      </c>
      <c r="B142" t="inlineStr">
        <is>
          <t>False</t>
        </is>
      </c>
      <c r="D142" t="inlineStr">
        <is>
          <t>GLOBAL_CHECK, STOCKS_EXIT</t>
        </is>
      </c>
      <c r="E142">
        <f>IF(G142="",E141,IF(G142&gt;0,E141+G142,E141))</f>
        <v/>
      </c>
      <c r="G142">
        <f>IFERROR(VLOOKUP($A142&amp;"_"&amp;$B142,Results_Deltas!$A$2:$P$15000,5,FALSE),"")</f>
        <v/>
      </c>
      <c r="H142" t="inlineStr">
        <is>
          <t>Blanket (page end)</t>
        </is>
      </c>
      <c r="L142" t="inlineStr">
        <is>
          <t>YES</t>
        </is>
      </c>
      <c r="M142" t="n">
        <v>9</v>
      </c>
    </row>
    <row r="143" ht="15.75" customHeight="1" s="67">
      <c r="A143" t="inlineStr">
        <is>
          <t>LIVE_VEC_EMERGENCY_BRAKE_ENABLED</t>
        </is>
      </c>
      <c r="B143" t="inlineStr">
        <is>
          <t>True</t>
        </is>
      </c>
      <c r="D143" t="inlineStr">
        <is>
          <t>GLOBAL_CHECK, STOCKS_EXIT</t>
        </is>
      </c>
      <c r="E143">
        <f>IF(G143="",E142,IF(G143&gt;0,E142+G143,E142))</f>
        <v/>
      </c>
      <c r="G143">
        <f>IFERROR(VLOOKUP($A143&amp;"_"&amp;$B143,Results_Deltas!$A$2:$P$15000,5,FALSE),"")</f>
        <v/>
      </c>
      <c r="H143" t="inlineStr">
        <is>
          <t>Blanket (page end)</t>
        </is>
      </c>
      <c r="L143" t="inlineStr">
        <is>
          <t>NO</t>
        </is>
      </c>
      <c r="M143" t="n">
        <v>23</v>
      </c>
    </row>
    <row r="144" ht="15.75" customHeight="1" s="67">
      <c r="A144" t="inlineStr">
        <is>
          <t>LR_BAND_LADDER_STOCH_EXTREME</t>
        </is>
      </c>
      <c r="B144" t="inlineStr">
        <is>
          <t>30.0</t>
        </is>
      </c>
      <c r="D144" t="inlineStr">
        <is>
          <t>GLOBAL_CHECK, STOCKS_EXIT</t>
        </is>
      </c>
      <c r="E144">
        <f>IF(G144="",E143,IF(G144&gt;0,E143+G144,E143))</f>
        <v/>
      </c>
      <c r="G144">
        <f>IFERROR(VLOOKUP($A144&amp;"_"&amp;$B144,Results_Deltas!$A$2:$P$15000,5,FALSE),"")</f>
        <v/>
      </c>
      <c r="H144" t="inlineStr">
        <is>
          <t>Blanket (page end)</t>
        </is>
      </c>
      <c r="L144" t="inlineStr">
        <is>
          <t>YES</t>
        </is>
      </c>
      <c r="M144" t="n">
        <v>27</v>
      </c>
    </row>
    <row r="145" ht="15.75" customHeight="1" s="67">
      <c r="A145" t="inlineStr">
        <is>
          <t>LR_BAND_LADDER_STOCH_EXTREME</t>
        </is>
      </c>
      <c r="B145" t="inlineStr">
        <is>
          <t>30.0_ALT</t>
        </is>
      </c>
      <c r="D145" t="inlineStr">
        <is>
          <t>GLOBAL_CHECK, STOCKS_EXIT</t>
        </is>
      </c>
      <c r="E145">
        <f>IF(G145="",E144,IF(G145&gt;0,E144+G145,E144))</f>
        <v/>
      </c>
      <c r="G145">
        <f>IFERROR(VLOOKUP($A145&amp;"_"&amp;$B145,Results_Deltas!$A$2:$P$15000,5,FALSE),"")</f>
        <v/>
      </c>
      <c r="H145" t="inlineStr">
        <is>
          <t>Blanket (page end)</t>
        </is>
      </c>
      <c r="L145" t="inlineStr">
        <is>
          <t>NO</t>
        </is>
      </c>
      <c r="M145" t="n">
        <v>26</v>
      </c>
    </row>
    <row r="146" ht="15.75" customHeight="1" s="67">
      <c r="A146" t="inlineStr">
        <is>
          <t>LR_BAND_LADDER_TF_BOTTOM</t>
        </is>
      </c>
      <c r="B146" t="inlineStr">
        <is>
          <t>0</t>
        </is>
      </c>
      <c r="D146" t="inlineStr">
        <is>
          <t>GLOBAL_CHECK, STOCKS_EXIT</t>
        </is>
      </c>
      <c r="E146">
        <f>IF(G146="",E145,IF(G146&gt;0,E145+G146,E145))</f>
        <v/>
      </c>
      <c r="G146">
        <f>IFERROR(VLOOKUP($A146&amp;"_"&amp;$B146,Results_Deltas!$A$2:$P$15000,5,FALSE),"")</f>
        <v/>
      </c>
      <c r="H146" t="inlineStr">
        <is>
          <t>Blanket (page end)</t>
        </is>
      </c>
      <c r="L146" t="inlineStr">
        <is>
          <t>NO</t>
        </is>
      </c>
      <c r="M146" t="n">
        <v>26</v>
      </c>
    </row>
    <row r="147" ht="15.75" customHeight="1" s="67">
      <c r="A147" t="inlineStr">
        <is>
          <t>LR_BAND_LADDER_TF_BOTTOM</t>
        </is>
      </c>
      <c r="B147" t="inlineStr">
        <is>
          <t>1</t>
        </is>
      </c>
      <c r="D147" t="inlineStr">
        <is>
          <t>GLOBAL_CHECK, STOCKS_EXIT</t>
        </is>
      </c>
      <c r="E147">
        <f>IF(G147="",E146,IF(G147&gt;0,E146+G147,E146))</f>
        <v/>
      </c>
      <c r="G147">
        <f>IFERROR(VLOOKUP($A147&amp;"_"&amp;$B147,Results_Deltas!$A$2:$P$15000,5,FALSE),"")</f>
        <v/>
      </c>
      <c r="H147" t="inlineStr">
        <is>
          <t>Blanket (page end)</t>
        </is>
      </c>
      <c r="L147" t="inlineStr">
        <is>
          <t>NO</t>
        </is>
      </c>
      <c r="M147" t="n">
        <v>26</v>
      </c>
    </row>
    <row r="148" ht="15.75" customHeight="1" s="67">
      <c r="A148" t="inlineStr">
        <is>
          <t>LR_BAND_LADDER_TF_TOP</t>
        </is>
      </c>
      <c r="B148" t="inlineStr">
        <is>
          <t>0</t>
        </is>
      </c>
      <c r="D148" t="inlineStr">
        <is>
          <t>GLOBAL_CHECK, STOCKS_EXIT</t>
        </is>
      </c>
      <c r="E148">
        <f>IF(G148="",E147,IF(G148&gt;0,E147+G148,E147))</f>
        <v/>
      </c>
      <c r="G148">
        <f>IFERROR(VLOOKUP($A148&amp;"_"&amp;$B148,Results_Deltas!$A$2:$P$15000,5,FALSE),"")</f>
        <v/>
      </c>
      <c r="H148" t="inlineStr">
        <is>
          <t>Blanket (page end)</t>
        </is>
      </c>
      <c r="L148" t="inlineStr">
        <is>
          <t>NO</t>
        </is>
      </c>
      <c r="M148" t="n">
        <v>23</v>
      </c>
    </row>
    <row r="149" ht="15.75" customHeight="1" s="67">
      <c r="A149" t="inlineStr">
        <is>
          <t>LR_BAND_LADDER_TF_TOP</t>
        </is>
      </c>
      <c r="B149" t="inlineStr">
        <is>
          <t>1</t>
        </is>
      </c>
      <c r="D149" t="inlineStr">
        <is>
          <t>GLOBAL_CHECK, STOCKS_EXIT</t>
        </is>
      </c>
      <c r="E149">
        <f>IF(G149="",E148,IF(G149&gt;0,E148+G149,E148))</f>
        <v/>
      </c>
      <c r="G149">
        <f>IFERROR(VLOOKUP($A149&amp;"_"&amp;$B149,Results_Deltas!$A$2:$P$15000,5,FALSE),"")</f>
        <v/>
      </c>
      <c r="H149" t="inlineStr">
        <is>
          <t>Blanket (page end)</t>
        </is>
      </c>
      <c r="L149" t="inlineStr">
        <is>
          <t>NO</t>
        </is>
      </c>
      <c r="M149" t="n">
        <v>24</v>
      </c>
    </row>
    <row r="150" ht="15.75" customHeight="1" s="67">
      <c r="A150" t="inlineStr">
        <is>
          <t>MANDATORY_REENTRY_WT_FILTER_MIN_TFS</t>
        </is>
      </c>
      <c r="B150" t="n">
        <v>0</v>
      </c>
      <c r="D150" t="inlineStr">
        <is>
          <t>GLOBAL_CHECK, STOCKS_EXIT</t>
        </is>
      </c>
      <c r="E150">
        <f>IF(G150="",E149,IF(G150&gt;0,E149+G150,E149))</f>
        <v/>
      </c>
      <c r="G150">
        <f>IFERROR(VLOOKUP($A150&amp;"_"&amp;$B150,Results_Deltas!$A$2:$P$15000,5,FALSE),"")</f>
        <v/>
      </c>
      <c r="H150" t="inlineStr">
        <is>
          <t>Blanket (page end)</t>
        </is>
      </c>
      <c r="L150" t="inlineStr">
        <is>
          <t>YES</t>
        </is>
      </c>
      <c r="M150" t="n">
        <v>0</v>
      </c>
    </row>
    <row r="151" ht="15.75" customHeight="1" s="67">
      <c r="A151" t="inlineStr">
        <is>
          <t>MANDATORY_REENTRY_WT_FILTER_MIN_TFS</t>
        </is>
      </c>
      <c r="B151" t="inlineStr">
        <is>
          <t>3</t>
        </is>
      </c>
      <c r="D151" t="inlineStr">
        <is>
          <t>GLOBAL_CHECK, STOCKS_EXIT</t>
        </is>
      </c>
      <c r="E151">
        <f>IF(G151="",E150,IF(G151&gt;0,E150+G151,E150))</f>
        <v/>
      </c>
      <c r="G151">
        <f>IFERROR(VLOOKUP($A151&amp;"_"&amp;$B151,Results_Deltas!$A$2:$P$15000,5,FALSE),"")</f>
        <v/>
      </c>
      <c r="H151" t="inlineStr">
        <is>
          <t>Blanket (page end)</t>
        </is>
      </c>
      <c r="L151" t="inlineStr">
        <is>
          <t>NO</t>
        </is>
      </c>
      <c r="M151" t="n">
        <v>26</v>
      </c>
    </row>
    <row r="152" ht="15.75" customHeight="1" s="67">
      <c r="A152" t="inlineStr">
        <is>
          <t>MANDATORY_REENTRY_WT_FILTER_MIN_TFS</t>
        </is>
      </c>
      <c r="B152" t="inlineStr">
        <is>
          <t>2</t>
        </is>
      </c>
      <c r="D152" t="inlineStr">
        <is>
          <t>GLOBAL_CHECK, STOCKS_EXIT</t>
        </is>
      </c>
      <c r="E152">
        <f>IF(G152="",E151,IF(G152&gt;0,E151+G152,E151))</f>
        <v/>
      </c>
      <c r="G152">
        <f>IFERROR(VLOOKUP($A152&amp;"_"&amp;$B152,Results_Deltas!$A$2:$P$15000,5,FALSE),"")</f>
        <v/>
      </c>
      <c r="H152" t="inlineStr">
        <is>
          <t>Blanket (page end)</t>
        </is>
      </c>
      <c r="L152" t="inlineStr">
        <is>
          <t>NO</t>
        </is>
      </c>
      <c r="M152" t="n">
        <v>26</v>
      </c>
    </row>
    <row r="153" ht="15.75" customHeight="1" s="67">
      <c r="A153" t="inlineStr">
        <is>
          <t>MANDATORY_REENTRY_WT_FILTER_MIN_VELOCITY</t>
        </is>
      </c>
      <c r="B153" t="inlineStr">
        <is>
          <t>0.0</t>
        </is>
      </c>
      <c r="D153" t="inlineStr">
        <is>
          <t>GLOBAL_CHECK, STOCKS_EXIT</t>
        </is>
      </c>
      <c r="E153">
        <f>IF(G153="",E152,IF(G153&gt;0,E152+G153,E152))</f>
        <v/>
      </c>
      <c r="G153">
        <f>IFERROR(VLOOKUP($A153&amp;"_"&amp;$B153,Results_Deltas!$A$2:$P$15000,5,FALSE),"")</f>
        <v/>
      </c>
      <c r="H153" t="inlineStr">
        <is>
          <t>Blanket (page end)</t>
        </is>
      </c>
      <c r="L153" t="inlineStr">
        <is>
          <t>YES</t>
        </is>
      </c>
      <c r="M153" t="n">
        <v>24</v>
      </c>
    </row>
    <row r="154" ht="15.75" customHeight="1" s="67">
      <c r="A154" t="inlineStr">
        <is>
          <t>MANDATORY_REENTRY_WT_FILTER_MIN_VELOCITY</t>
        </is>
      </c>
      <c r="B154" t="inlineStr">
        <is>
          <t>0.0_ALT</t>
        </is>
      </c>
      <c r="D154" t="inlineStr">
        <is>
          <t>GLOBAL_CHECK, STOCKS_EXIT</t>
        </is>
      </c>
      <c r="E154">
        <f>IF(G154="",E153,IF(G154&gt;0,E153+G154,E153))</f>
        <v/>
      </c>
      <c r="G154">
        <f>IFERROR(VLOOKUP($A154&amp;"_"&amp;$B154,Results_Deltas!$A$2:$P$15000,5,FALSE),"")</f>
        <v/>
      </c>
      <c r="H154" t="inlineStr">
        <is>
          <t>Blanket (page end)</t>
        </is>
      </c>
      <c r="L154" t="inlineStr">
        <is>
          <t>NO</t>
        </is>
      </c>
      <c r="M154" t="n">
        <v>24</v>
      </c>
    </row>
    <row r="155" ht="15.75" customHeight="1" s="67">
      <c r="A155" t="inlineStr">
        <is>
          <t>MANDATORY_REENTRY_WT_FILTER_REQUIRE_FLIP</t>
        </is>
      </c>
      <c r="B155" t="n">
        <v>0</v>
      </c>
      <c r="D155" t="inlineStr">
        <is>
          <t>GLOBAL_CHECK, STOCKS_EXIT</t>
        </is>
      </c>
      <c r="E155">
        <f>IF(G155="",E154,IF(G155&gt;0,E154+G155,E154))</f>
        <v/>
      </c>
      <c r="G155">
        <f>IFERROR(VLOOKUP($A155&amp;"_"&amp;$B155,Results_Deltas!$A$2:$P$15000,5,FALSE),"")</f>
        <v/>
      </c>
      <c r="H155" t="inlineStr">
        <is>
          <t>Blanket (page end)</t>
        </is>
      </c>
      <c r="L155" t="inlineStr">
        <is>
          <t>YES</t>
        </is>
      </c>
      <c r="M155" t="n">
        <v>0</v>
      </c>
    </row>
    <row r="156" ht="15.75" customHeight="1" s="67">
      <c r="A156" t="inlineStr">
        <is>
          <t>MANDATORY_REENTRY_WT_FILTER_REQUIRE_FLIP</t>
        </is>
      </c>
      <c r="B156" t="inlineStr">
        <is>
          <t>False_ALT</t>
        </is>
      </c>
      <c r="D156" t="inlineStr">
        <is>
          <t>GLOBAL_CHECK, STOCKS_EXIT</t>
        </is>
      </c>
      <c r="E156">
        <f>IF(G156="",E155,IF(G156&gt;0,E155+G156,E155))</f>
        <v/>
      </c>
      <c r="G156">
        <f>IFERROR(VLOOKUP($A156&amp;"_"&amp;$B156,Results_Deltas!$A$2:$P$15000,5,FALSE),"")</f>
        <v/>
      </c>
      <c r="H156" t="inlineStr">
        <is>
          <t>Blanket (page end)</t>
        </is>
      </c>
      <c r="L156" t="inlineStr">
        <is>
          <t>NO</t>
        </is>
      </c>
      <c r="M156" t="n">
        <v>24</v>
      </c>
    </row>
    <row r="157" ht="15.75" customHeight="1" s="67">
      <c r="A157" t="inlineStr">
        <is>
          <t>MANDATORY_REENTRY_WT_FILTER_VELOCITY_RATIO</t>
        </is>
      </c>
      <c r="B157" t="n">
        <v>0</v>
      </c>
      <c r="D157" t="inlineStr">
        <is>
          <t>GLOBAL_CHECK, STOCKS_EXIT</t>
        </is>
      </c>
      <c r="E157">
        <f>IF(G157="",E156,IF(G157&gt;0,E156+G157,E156))</f>
        <v/>
      </c>
      <c r="G157">
        <f>IFERROR(VLOOKUP($A157&amp;"_"&amp;$B157,Results_Deltas!$A$2:$P$15000,5,FALSE),"")</f>
        <v/>
      </c>
      <c r="H157" t="inlineStr">
        <is>
          <t>Blanket (page end)</t>
        </is>
      </c>
      <c r="L157" t="inlineStr">
        <is>
          <t>YES</t>
        </is>
      </c>
      <c r="M157" t="n">
        <v>0</v>
      </c>
    </row>
    <row r="158" ht="15.75" customHeight="1" s="67">
      <c r="A158" t="inlineStr">
        <is>
          <t>MANDATORY_REENTRY_WT_FILTER_VELOCITY_RATIO</t>
        </is>
      </c>
      <c r="B158" t="inlineStr">
        <is>
          <t>0.90_ALT</t>
        </is>
      </c>
      <c r="D158" t="inlineStr">
        <is>
          <t>GLOBAL_CHECK, STOCKS_EXIT</t>
        </is>
      </c>
      <c r="E158">
        <f>IF(G158="",E157,IF(G158&gt;0,E157+G158,E157))</f>
        <v/>
      </c>
      <c r="G158">
        <f>IFERROR(VLOOKUP($A158&amp;"_"&amp;$B158,Results_Deltas!$A$2:$P$15000,5,FALSE),"")</f>
        <v/>
      </c>
      <c r="H158" t="inlineStr">
        <is>
          <t>Blanket (page end)</t>
        </is>
      </c>
      <c r="L158" t="inlineStr">
        <is>
          <t>NO</t>
        </is>
      </c>
      <c r="M158" t="n">
        <v>26</v>
      </c>
    </row>
    <row r="159" ht="15.75" customHeight="1" s="67">
      <c r="A159" t="inlineStr">
        <is>
          <t>MARKET_QUALITY_SCORE_ENABLED</t>
        </is>
      </c>
      <c r="B159" t="inlineStr">
        <is>
          <t>False</t>
        </is>
      </c>
      <c r="D159" t="inlineStr">
        <is>
          <t>ENTRY, GLOBAL_CHECK, STOCKS_EXIT</t>
        </is>
      </c>
      <c r="E159">
        <f>IF(G159="",E158,IF(G159&gt;0,E158+G159,E158))</f>
        <v/>
      </c>
      <c r="G159">
        <f>IFERROR(VLOOKUP($A159&amp;"_"&amp;$B159,Results_Deltas!$A$2:$P$15000,5,FALSE),"")</f>
        <v/>
      </c>
      <c r="H159" t="inlineStr">
        <is>
          <t>Blanket (page end)</t>
        </is>
      </c>
      <c r="L159" t="inlineStr">
        <is>
          <t>YES</t>
        </is>
      </c>
      <c r="M159" t="n">
        <v>9</v>
      </c>
    </row>
    <row r="160" ht="15.75" customHeight="1" s="67">
      <c r="A160" t="inlineStr">
        <is>
          <t>MARKET_QUALITY_SCORE_ENABLED</t>
        </is>
      </c>
      <c r="B160" t="inlineStr">
        <is>
          <t>True</t>
        </is>
      </c>
      <c r="D160" t="inlineStr">
        <is>
          <t>ENTRY, GLOBAL_CHECK, STOCKS_EXIT</t>
        </is>
      </c>
      <c r="E160">
        <f>IF(G160="",E159,IF(G160&gt;0,E159+G160,E159))</f>
        <v/>
      </c>
      <c r="G160">
        <f>IFERROR(VLOOKUP($A160&amp;"_"&amp;$B160,Results_Deltas!$A$2:$P$15000,5,FALSE),"")</f>
        <v/>
      </c>
      <c r="H160" t="inlineStr">
        <is>
          <t>Blanket (page end)</t>
        </is>
      </c>
      <c r="L160" t="inlineStr">
        <is>
          <t>NO</t>
        </is>
      </c>
      <c r="M160" t="n">
        <v>26</v>
      </c>
    </row>
    <row r="161" ht="15.75" customHeight="1" s="67">
      <c r="A161" t="inlineStr">
        <is>
          <t>MI_TF_AGREE_MIN</t>
        </is>
      </c>
      <c r="B161" t="inlineStr">
        <is>
          <t>0.0</t>
        </is>
      </c>
      <c r="D161" t="inlineStr">
        <is>
          <t>ENTRY, GLOBAL_CHECK, STOCKS_EXIT</t>
        </is>
      </c>
      <c r="E161">
        <f>IF(G161="",E160,IF(G161&gt;0,E160+G161,E160))</f>
        <v/>
      </c>
      <c r="G161">
        <f>IFERROR(VLOOKUP($A161&amp;"_"&amp;$B161,Results_Deltas!$A$2:$P$15000,5,FALSE),"")</f>
        <v/>
      </c>
      <c r="H161" t="inlineStr">
        <is>
          <t>Blanket (page end)</t>
        </is>
      </c>
      <c r="L161" t="inlineStr">
        <is>
          <t>NO</t>
        </is>
      </c>
      <c r="M161" t="n">
        <v>24</v>
      </c>
    </row>
    <row r="162" ht="15.75" customHeight="1" s="67">
      <c r="A162" t="inlineStr">
        <is>
          <t>MI_TF_AGREE_MIN</t>
        </is>
      </c>
      <c r="B162" t="inlineStr">
        <is>
          <t>0.0_ALT</t>
        </is>
      </c>
      <c r="D162" t="inlineStr">
        <is>
          <t>ENTRY, GLOBAL_CHECK, STOCKS_EXIT</t>
        </is>
      </c>
      <c r="E162">
        <f>IF(G162="",E161,IF(G162&gt;0,E161+G162,E161))</f>
        <v/>
      </c>
      <c r="G162">
        <f>IFERROR(VLOOKUP($A162&amp;"_"&amp;$B162,Results_Deltas!$A$2:$P$15000,5,FALSE),"")</f>
        <v/>
      </c>
      <c r="H162" t="inlineStr">
        <is>
          <t>Blanket (page end)</t>
        </is>
      </c>
      <c r="L162" t="inlineStr">
        <is>
          <t>NO</t>
        </is>
      </c>
      <c r="M162" t="n">
        <v>24</v>
      </c>
    </row>
    <row r="163" ht="15.75" customHeight="1" s="67">
      <c r="A163" t="inlineStr">
        <is>
          <t>MOVER_THRESHOLD</t>
        </is>
      </c>
      <c r="B163" t="n">
        <v>0</v>
      </c>
      <c r="D163" t="inlineStr">
        <is>
          <t>ENTRY, GLOBAL_CHECK, STOCKS_EXIT</t>
        </is>
      </c>
      <c r="E163">
        <f>IF(G163="",E162,IF(G163&gt;0,E162+G163,E162))</f>
        <v/>
      </c>
      <c r="G163">
        <f>IFERROR(VLOOKUP($A163&amp;"_"&amp;$B163,Results_Deltas!$A$2:$P$15000,5,FALSE),"")</f>
        <v/>
      </c>
      <c r="H163" t="inlineStr">
        <is>
          <t>Blanket (page end)</t>
        </is>
      </c>
      <c r="L163" t="inlineStr">
        <is>
          <t>YES</t>
        </is>
      </c>
      <c r="M163" t="n">
        <v>0</v>
      </c>
    </row>
    <row r="164" ht="15.75" customHeight="1" s="67">
      <c r="A164" t="inlineStr">
        <is>
          <t>MOVER_THRESHOLD</t>
        </is>
      </c>
      <c r="B164" t="inlineStr">
        <is>
          <t>6.25</t>
        </is>
      </c>
      <c r="D164" t="inlineStr">
        <is>
          <t>ENTRY, GLOBAL_CHECK, STOCKS_EXIT</t>
        </is>
      </c>
      <c r="E164">
        <f>IF(G164="",E163,IF(G164&gt;0,E163+G164,E163))</f>
        <v/>
      </c>
      <c r="G164">
        <f>IFERROR(VLOOKUP($A164&amp;"_"&amp;$B164,Results_Deltas!$A$2:$P$15000,5,FALSE),"")</f>
        <v/>
      </c>
      <c r="H164" t="inlineStr">
        <is>
          <t>Blanket (page end)</t>
        </is>
      </c>
      <c r="L164" t="inlineStr">
        <is>
          <t>NO</t>
        </is>
      </c>
      <c r="M164" t="n">
        <v>26</v>
      </c>
    </row>
    <row r="165" ht="15.75" customHeight="1" s="67">
      <c r="A165" t="inlineStr">
        <is>
          <t>MOVER_THRESHOLD</t>
        </is>
      </c>
      <c r="B165" t="inlineStr">
        <is>
          <t>3.75</t>
        </is>
      </c>
      <c r="D165" t="inlineStr">
        <is>
          <t>ENTRY, GLOBAL_CHECK, STOCKS_EXIT</t>
        </is>
      </c>
      <c r="E165">
        <f>IF(G165="",E164,IF(G165&gt;0,E164+G165,E164))</f>
        <v/>
      </c>
      <c r="G165">
        <f>IFERROR(VLOOKUP($A165&amp;"_"&amp;$B165,Results_Deltas!$A$2:$P$15000,5,FALSE),"")</f>
        <v/>
      </c>
      <c r="H165" t="inlineStr">
        <is>
          <t>Blanket (page end)</t>
        </is>
      </c>
      <c r="L165" t="inlineStr">
        <is>
          <t>NO</t>
        </is>
      </c>
      <c r="M165" t="n">
        <v>26</v>
      </c>
    </row>
    <row r="166" ht="15.75" customHeight="1" s="67">
      <c r="A166" t="inlineStr">
        <is>
          <t>MOVER_THRESHOLD</t>
        </is>
      </c>
      <c r="B166" t="inlineStr">
        <is>
          <t>2.5</t>
        </is>
      </c>
      <c r="D166" t="inlineStr">
        <is>
          <t>ENTRY, GLOBAL_CHECK, STOCKS_EXIT</t>
        </is>
      </c>
      <c r="E166">
        <f>IF(G166="",E165,IF(G166&gt;0,E165+G166,E165))</f>
        <v/>
      </c>
      <c r="G166">
        <f>IFERROR(VLOOKUP($A166&amp;"_"&amp;$B166,Results_Deltas!$A$2:$P$15000,5,FALSE),"")</f>
        <v/>
      </c>
      <c r="H166" t="inlineStr">
        <is>
          <t>Blanket (page end)</t>
        </is>
      </c>
      <c r="L166" t="inlineStr">
        <is>
          <t>NO</t>
        </is>
      </c>
      <c r="M166" t="n">
        <v>26</v>
      </c>
    </row>
    <row r="167" ht="15.75" customHeight="1" s="67">
      <c r="A167" t="inlineStr">
        <is>
          <t>MTF_FILTER_STRONG_BUY_QUICK_BYPASS</t>
        </is>
      </c>
      <c r="B167" t="inlineStr">
        <is>
          <t>0.0</t>
        </is>
      </c>
      <c r="D167" t="inlineStr">
        <is>
          <t>GLOBAL_CHECK, STOCKS_EXIT</t>
        </is>
      </c>
      <c r="E167">
        <f>IF(G167="",E166,IF(G167&gt;0,E166+G167,E166))</f>
        <v/>
      </c>
      <c r="G167">
        <f>IFERROR(VLOOKUP($A167&amp;"_"&amp;$B167,Results_Deltas!$A$2:$P$15000,5,FALSE),"")</f>
        <v/>
      </c>
      <c r="H167" t="inlineStr">
        <is>
          <t>Blanket (page end)</t>
        </is>
      </c>
      <c r="L167" t="inlineStr">
        <is>
          <t>NO</t>
        </is>
      </c>
      <c r="M167" t="n">
        <v>24</v>
      </c>
    </row>
    <row r="168" ht="15.75" customHeight="1" s="67">
      <c r="A168" t="inlineStr">
        <is>
          <t>MTF_FILTER_STRONG_BUY_QUICK_BYPASS</t>
        </is>
      </c>
      <c r="B168" t="inlineStr">
        <is>
          <t>0.0_ALT</t>
        </is>
      </c>
      <c r="D168" t="inlineStr">
        <is>
          <t>GLOBAL_CHECK, STOCKS_EXIT</t>
        </is>
      </c>
      <c r="E168">
        <f>IF(G168="",E167,IF(G168&gt;0,E167+G168,E167))</f>
        <v/>
      </c>
      <c r="G168">
        <f>IFERROR(VLOOKUP($A168&amp;"_"&amp;$B168,Results_Deltas!$A$2:$P$15000,5,FALSE),"")</f>
        <v/>
      </c>
      <c r="H168" t="inlineStr">
        <is>
          <t>Blanket (page end)</t>
        </is>
      </c>
      <c r="L168" t="inlineStr">
        <is>
          <t>NO</t>
        </is>
      </c>
      <c r="M168" t="n">
        <v>24</v>
      </c>
    </row>
    <row r="169" ht="15.75" customHeight="1" s="67">
      <c r="A169" t="inlineStr">
        <is>
          <t>MTF_GR_MIN_IND</t>
        </is>
      </c>
      <c r="B169" t="inlineStr">
        <is>
          <t>5</t>
        </is>
      </c>
      <c r="D169" t="inlineStr">
        <is>
          <t>GLOBAL_CHECK, STOCKS_EXIT</t>
        </is>
      </c>
      <c r="E169">
        <f>IF(G169="",E168,IF(G169&gt;0,E168+G169,E168))</f>
        <v/>
      </c>
      <c r="G169">
        <f>IFERROR(VLOOKUP($A169&amp;"_"&amp;$B169,Results_Deltas!$A$2:$P$15000,5,FALSE),"")</f>
        <v/>
      </c>
      <c r="H169" t="inlineStr">
        <is>
          <t>Blanket (page end)</t>
        </is>
      </c>
      <c r="L169" t="inlineStr">
        <is>
          <t>NO</t>
        </is>
      </c>
      <c r="M169" t="n">
        <v>26</v>
      </c>
    </row>
    <row r="170" ht="15.75" customHeight="1" s="67">
      <c r="A170" t="inlineStr">
        <is>
          <t>MTF_GR_MIN_IND</t>
        </is>
      </c>
      <c r="B170" t="inlineStr">
        <is>
          <t>5_ALT</t>
        </is>
      </c>
      <c r="D170" t="inlineStr">
        <is>
          <t>GLOBAL_CHECK, STOCKS_EXIT</t>
        </is>
      </c>
      <c r="E170">
        <f>IF(G170="",E169,IF(G170&gt;0,E169+G170,E169))</f>
        <v/>
      </c>
      <c r="G170">
        <f>IFERROR(VLOOKUP($A170&amp;"_"&amp;$B170,Results_Deltas!$A$2:$P$15000,5,FALSE),"")</f>
        <v/>
      </c>
      <c r="H170" t="inlineStr">
        <is>
          <t>Blanket (page end)</t>
        </is>
      </c>
      <c r="L170" t="inlineStr">
        <is>
          <t>NO</t>
        </is>
      </c>
      <c r="M170" t="n">
        <v>26</v>
      </c>
    </row>
    <row r="171" ht="15.75" customHeight="1" s="67">
      <c r="A171" t="inlineStr">
        <is>
          <t>MTS_BOTTOM_BONUS_THRESHOLD</t>
        </is>
      </c>
      <c r="B171" t="n">
        <v>0</v>
      </c>
      <c r="D171" t="inlineStr">
        <is>
          <t>ENTRY, GLOBAL_CHECK, STOCKS_EXIT</t>
        </is>
      </c>
      <c r="E171">
        <f>IF(G171="",E170,IF(G171&gt;0,E170+G171,E170))</f>
        <v/>
      </c>
      <c r="G171">
        <f>IFERROR(VLOOKUP($A171&amp;"_"&amp;$B171,Results_Deltas!$A$2:$P$15000,5,FALSE),"")</f>
        <v/>
      </c>
      <c r="H171" t="inlineStr">
        <is>
          <t>Blanket (page end)</t>
        </is>
      </c>
      <c r="L171" t="inlineStr">
        <is>
          <t>YES</t>
        </is>
      </c>
      <c r="M171" t="n">
        <v>0</v>
      </c>
    </row>
    <row r="172" ht="15.75" customHeight="1" s="67">
      <c r="A172" t="inlineStr">
        <is>
          <t>MTS_BOTTOM_BONUS_THRESHOLD</t>
        </is>
      </c>
      <c r="B172" t="inlineStr">
        <is>
          <t>31.25</t>
        </is>
      </c>
      <c r="D172" t="inlineStr">
        <is>
          <t>ENTRY, GLOBAL_CHECK, STOCKS_EXIT</t>
        </is>
      </c>
      <c r="E172">
        <f>IF(G172="",E171,IF(G172&gt;0,E171+G172,E171))</f>
        <v/>
      </c>
      <c r="G172">
        <f>IFERROR(VLOOKUP($A172&amp;"_"&amp;$B172,Results_Deltas!$A$2:$P$15000,5,FALSE),"")</f>
        <v/>
      </c>
      <c r="H172" t="inlineStr">
        <is>
          <t>Blanket (page end)</t>
        </is>
      </c>
      <c r="L172" t="inlineStr">
        <is>
          <t>NO</t>
        </is>
      </c>
      <c r="M172" t="n">
        <v>26</v>
      </c>
    </row>
    <row r="173" ht="15.75" customHeight="1" s="67">
      <c r="A173" t="inlineStr">
        <is>
          <t>MTS_BOTTOM_BONUS_THRESHOLD</t>
        </is>
      </c>
      <c r="B173" t="inlineStr">
        <is>
          <t>18.75</t>
        </is>
      </c>
      <c r="D173" t="inlineStr">
        <is>
          <t>ENTRY, GLOBAL_CHECK, STOCKS_EXIT</t>
        </is>
      </c>
      <c r="E173">
        <f>IF(G173="",E172,IF(G173&gt;0,E172+G173,E172))</f>
        <v/>
      </c>
      <c r="G173">
        <f>IFERROR(VLOOKUP($A173&amp;"_"&amp;$B173,Results_Deltas!$A$2:$P$15000,5,FALSE),"")</f>
        <v/>
      </c>
      <c r="H173" t="inlineStr">
        <is>
          <t>Blanket (page end)</t>
        </is>
      </c>
      <c r="L173" t="inlineStr">
        <is>
          <t>NO</t>
        </is>
      </c>
      <c r="M173" t="n">
        <v>26</v>
      </c>
    </row>
    <row r="174" ht="15.75" customHeight="1" s="67">
      <c r="A174" t="inlineStr">
        <is>
          <t>MTS_BOTTOM_BONUS_THRESHOLD</t>
        </is>
      </c>
      <c r="B174" t="inlineStr">
        <is>
          <t>12.5</t>
        </is>
      </c>
      <c r="D174" t="inlineStr">
        <is>
          <t>ENTRY, GLOBAL_CHECK, STOCKS_EXIT</t>
        </is>
      </c>
      <c r="E174">
        <f>IF(G174="",E173,IF(G174&gt;0,E173+G174,E173))</f>
        <v/>
      </c>
      <c r="G174">
        <f>IFERROR(VLOOKUP($A174&amp;"_"&amp;$B174,Results_Deltas!$A$2:$P$15000,5,FALSE),"")</f>
        <v/>
      </c>
      <c r="H174" t="inlineStr">
        <is>
          <t>Blanket (page end)</t>
        </is>
      </c>
      <c r="L174" t="inlineStr">
        <is>
          <t>NO</t>
        </is>
      </c>
      <c r="M174" t="n">
        <v>26</v>
      </c>
    </row>
    <row r="175" ht="15.75" customHeight="1" s="67">
      <c r="A175" t="inlineStr">
        <is>
          <t>MTS_BOTTOM_STRONG_THRESHOLD</t>
        </is>
      </c>
      <c r="B175" t="n">
        <v>0</v>
      </c>
      <c r="D175" t="inlineStr">
        <is>
          <t>ENTRY, GLOBAL_CHECK, STOCKS_EXIT</t>
        </is>
      </c>
      <c r="E175">
        <f>IF(G175="",E174,IF(G175&gt;0,E174+G175,E174))</f>
        <v/>
      </c>
      <c r="G175">
        <f>IFERROR(VLOOKUP($A175&amp;"_"&amp;$B175,Results_Deltas!$A$2:$P$15000,5,FALSE),"")</f>
        <v/>
      </c>
      <c r="H175" t="inlineStr">
        <is>
          <t>Blanket (page end)</t>
        </is>
      </c>
      <c r="L175" t="inlineStr">
        <is>
          <t>YES</t>
        </is>
      </c>
      <c r="M175" t="n">
        <v>0</v>
      </c>
    </row>
    <row r="176" ht="15.75" customHeight="1" s="67">
      <c r="A176" t="inlineStr">
        <is>
          <t>MTS_BOTTOM_STRONG_THRESHOLD</t>
        </is>
      </c>
      <c r="B176" t="inlineStr">
        <is>
          <t>50</t>
        </is>
      </c>
      <c r="D176" t="inlineStr">
        <is>
          <t>ENTRY, GLOBAL_CHECK, STOCKS_EXIT</t>
        </is>
      </c>
      <c r="E176">
        <f>IF(G176="",E175,IF(G176&gt;0,E175+G176,E175))</f>
        <v/>
      </c>
      <c r="G176">
        <f>IFERROR(VLOOKUP($A176&amp;"_"&amp;$B176,Results_Deltas!$A$2:$P$15000,5,FALSE),"")</f>
        <v/>
      </c>
      <c r="H176" t="inlineStr">
        <is>
          <t>Blanket (page end)</t>
        </is>
      </c>
      <c r="L176" t="inlineStr">
        <is>
          <t>NO</t>
        </is>
      </c>
      <c r="M176" t="n">
        <v>26</v>
      </c>
    </row>
    <row r="177" ht="15.75" customHeight="1" s="67">
      <c r="A177" t="inlineStr">
        <is>
          <t>MTS_BOTTOM_STRONG_THRESHOLD</t>
        </is>
      </c>
      <c r="B177" t="inlineStr">
        <is>
          <t>30</t>
        </is>
      </c>
      <c r="D177" t="inlineStr">
        <is>
          <t>ENTRY, GLOBAL_CHECK, STOCKS_EXIT</t>
        </is>
      </c>
      <c r="E177">
        <f>IF(G177="",E176,IF(G177&gt;0,E176+G177,E176))</f>
        <v/>
      </c>
      <c r="G177">
        <f>IFERROR(VLOOKUP($A177&amp;"_"&amp;$B177,Results_Deltas!$A$2:$P$15000,5,FALSE),"")</f>
        <v/>
      </c>
      <c r="H177" t="inlineStr">
        <is>
          <t>Blanket (page end)</t>
        </is>
      </c>
      <c r="L177" t="inlineStr">
        <is>
          <t>NO</t>
        </is>
      </c>
      <c r="M177" t="n">
        <v>26</v>
      </c>
    </row>
    <row r="178" ht="15.75" customHeight="1" s="67">
      <c r="A178" t="inlineStr">
        <is>
          <t>MTS_BOTTOM_STRONG_THRESHOLD</t>
        </is>
      </c>
      <c r="B178" t="inlineStr">
        <is>
          <t>20</t>
        </is>
      </c>
      <c r="D178" t="inlineStr">
        <is>
          <t>ENTRY, GLOBAL_CHECK, STOCKS_EXIT</t>
        </is>
      </c>
      <c r="E178">
        <f>IF(G178="",E177,IF(G178&gt;0,E177+G178,E177))</f>
        <v/>
      </c>
      <c r="G178">
        <f>IFERROR(VLOOKUP($A178&amp;"_"&amp;$B178,Results_Deltas!$A$2:$P$15000,5,FALSE),"")</f>
        <v/>
      </c>
      <c r="H178" t="inlineStr">
        <is>
          <t>Blanket (page end)</t>
        </is>
      </c>
      <c r="L178" t="inlineStr">
        <is>
          <t>NO</t>
        </is>
      </c>
      <c r="M178" t="n">
        <v>26</v>
      </c>
    </row>
    <row r="179" ht="15.75" customHeight="1" s="67">
      <c r="A179" t="inlineStr">
        <is>
          <t>MTS_GATE_ENABLED</t>
        </is>
      </c>
      <c r="B179" t="inlineStr">
        <is>
          <t>False</t>
        </is>
      </c>
      <c r="D179" t="inlineStr">
        <is>
          <t>ENTRY, GLOBAL_CHECK, STOCKS_EXIT</t>
        </is>
      </c>
      <c r="E179">
        <f>IF(G179="",E178,IF(G179&gt;0,E178+G179,E178))</f>
        <v/>
      </c>
      <c r="G179">
        <f>IFERROR(VLOOKUP($A179&amp;"_"&amp;$B179,Results_Deltas!$A$2:$P$15000,5,FALSE),"")</f>
        <v/>
      </c>
      <c r="H179" t="inlineStr">
        <is>
          <t>Blanket (page end)</t>
        </is>
      </c>
      <c r="L179" t="inlineStr">
        <is>
          <t>NO</t>
        </is>
      </c>
      <c r="M179" t="n">
        <v>9</v>
      </c>
    </row>
    <row r="180" ht="15.75" customHeight="1" s="67">
      <c r="A180" t="inlineStr">
        <is>
          <t>MTS_GATE_ENABLED</t>
        </is>
      </c>
      <c r="B180" t="b">
        <v>0</v>
      </c>
      <c r="D180" t="inlineStr">
        <is>
          <t>ENTRY, GLOBAL_CHECK, STOCKS_EXIT</t>
        </is>
      </c>
      <c r="E180">
        <f>IF(G180="",E179,IF(G180&gt;0,E179+G180,E179))</f>
        <v/>
      </c>
      <c r="G180">
        <f>IFERROR(VLOOKUP($A180&amp;"_"&amp;$B180,Results_Deltas!$A$2:$P$15000,5,FALSE),"")</f>
        <v/>
      </c>
      <c r="H180" t="inlineStr">
        <is>
          <t>Blanket (page end)</t>
        </is>
      </c>
      <c r="L180" t="inlineStr">
        <is>
          <t>YES</t>
        </is>
      </c>
      <c r="M180" t="n">
        <v>9</v>
      </c>
    </row>
    <row r="181" ht="15.75" customHeight="1" s="67">
      <c r="A181" t="inlineStr">
        <is>
          <t>NEWBORN_LOSS_KILL_GAIN_THRESHOLD_PCT</t>
        </is>
      </c>
      <c r="B181" t="inlineStr">
        <is>
          <t>0</t>
        </is>
      </c>
      <c r="D181" t="inlineStr">
        <is>
          <t>AUGMENT, EXIT, GLOBAL_CHECK, REDUCE, STOCKS_EXIT</t>
        </is>
      </c>
      <c r="E181">
        <f>IF(G181="",E180,IF(G181&gt;0,E180+G181,E180))</f>
        <v/>
      </c>
      <c r="G181">
        <f>IFERROR(VLOOKUP($A181&amp;"_"&amp;$B181,Results_Deltas!$A$2:$P$15000,5,FALSE),"")</f>
        <v/>
      </c>
      <c r="H181" t="inlineStr">
        <is>
          <t>Blanket (page end)</t>
        </is>
      </c>
      <c r="L181" t="inlineStr">
        <is>
          <t>YES</t>
        </is>
      </c>
      <c r="M181" t="n">
        <v>24</v>
      </c>
    </row>
    <row r="182" ht="15.75" customHeight="1" s="67">
      <c r="A182" t="inlineStr">
        <is>
          <t>NEWBORN_LOSS_KILL_GAIN_THRESHOLD_PCT</t>
        </is>
      </c>
      <c r="B182" t="inlineStr">
        <is>
          <t>2.0</t>
        </is>
      </c>
      <c r="D182" t="inlineStr">
        <is>
          <t>AUGMENT, EXIT, GLOBAL_CHECK, REDUCE, STOCKS_EXIT</t>
        </is>
      </c>
      <c r="E182">
        <f>IF(G182="",E181,IF(G182&gt;0,E181+G182,E181))</f>
        <v/>
      </c>
      <c r="G182">
        <f>IFERROR(VLOOKUP($A182&amp;"_"&amp;$B182,Results_Deltas!$A$2:$P$15000,5,FALSE),"")</f>
        <v/>
      </c>
      <c r="H182" t="inlineStr">
        <is>
          <t>Blanket (page end)</t>
        </is>
      </c>
      <c r="L182" t="inlineStr">
        <is>
          <t>NO</t>
        </is>
      </c>
      <c r="M182" t="n">
        <v>24</v>
      </c>
    </row>
    <row r="183" ht="15.75" customHeight="1" s="67">
      <c r="A183" t="inlineStr">
        <is>
          <t>NEWBORN_LOSS_KILL_GAIN_THRESHOLD_PCT</t>
        </is>
      </c>
      <c r="B183" t="inlineStr">
        <is>
          <t>1.0</t>
        </is>
      </c>
      <c r="D183" t="inlineStr">
        <is>
          <t>AUGMENT, EXIT, GLOBAL_CHECK, REDUCE, STOCKS_EXIT</t>
        </is>
      </c>
      <c r="E183">
        <f>IF(G183="",E182,IF(G183&gt;0,E182+G183,E182))</f>
        <v/>
      </c>
      <c r="G183">
        <f>IFERROR(VLOOKUP($A183&amp;"_"&amp;$B183,Results_Deltas!$A$2:$P$15000,5,FALSE),"")</f>
        <v/>
      </c>
      <c r="H183" t="inlineStr">
        <is>
          <t>Blanket (page end)</t>
        </is>
      </c>
      <c r="L183" t="inlineStr">
        <is>
          <t>NO</t>
        </is>
      </c>
      <c r="M183" t="n">
        <v>22</v>
      </c>
    </row>
    <row r="184" ht="15.75" customHeight="1" s="67">
      <c r="A184" t="inlineStr">
        <is>
          <t>NEWBORN_LOSS_KILL_GAIN_THRESHOLD_PCT</t>
        </is>
      </c>
      <c r="B184" t="inlineStr">
        <is>
          <t>0.5</t>
        </is>
      </c>
      <c r="D184" t="inlineStr">
        <is>
          <t>AUGMENT, EXIT, GLOBAL_CHECK, REDUCE, STOCKS_EXIT</t>
        </is>
      </c>
      <c r="E184">
        <f>IF(G184="",E183,IF(G184&gt;0,E183+G184,E183))</f>
        <v/>
      </c>
      <c r="G184">
        <f>IFERROR(VLOOKUP($A184&amp;"_"&amp;$B184,Results_Deltas!$A$2:$P$15000,5,FALSE),"")</f>
        <v/>
      </c>
      <c r="H184" t="inlineStr">
        <is>
          <t>Blanket (page end)</t>
        </is>
      </c>
      <c r="L184" t="inlineStr">
        <is>
          <t>NO</t>
        </is>
      </c>
      <c r="M184" t="n">
        <v>22</v>
      </c>
    </row>
    <row r="185" ht="15.75" customHeight="1" s="67">
      <c r="A185" t="inlineStr">
        <is>
          <t>NEWBORN_LOSS_KILL_REQUIRE_VEL_AGAINST</t>
        </is>
      </c>
      <c r="B185" t="inlineStr">
        <is>
          <t>0.0</t>
        </is>
      </c>
      <c r="D185" t="inlineStr">
        <is>
          <t>AUGMENT, EXIT, GLOBAL_CHECK, REDUCE, STOCKS_EXIT</t>
        </is>
      </c>
      <c r="E185">
        <f>IF(G185="",E184,IF(G185&gt;0,E184+G185,E184))</f>
        <v/>
      </c>
      <c r="G185">
        <f>IFERROR(VLOOKUP($A185&amp;"_"&amp;$B185,Results_Deltas!$A$2:$P$15000,5,FALSE),"")</f>
        <v/>
      </c>
      <c r="H185" t="inlineStr">
        <is>
          <t>Blanket (page end)</t>
        </is>
      </c>
      <c r="L185" t="inlineStr">
        <is>
          <t>NO</t>
        </is>
      </c>
      <c r="M185" t="n">
        <v>24</v>
      </c>
    </row>
    <row r="186" ht="15.75" customHeight="1" s="67">
      <c r="A186" t="inlineStr">
        <is>
          <t>NEWBORN_LOSS_KILL_REQUIRE_VEL_AGAINST</t>
        </is>
      </c>
      <c r="B186" t="inlineStr">
        <is>
          <t>0.0_ALT</t>
        </is>
      </c>
      <c r="D186" t="inlineStr">
        <is>
          <t>AUGMENT, EXIT, GLOBAL_CHECK, REDUCE, STOCKS_EXIT</t>
        </is>
      </c>
      <c r="E186">
        <f>IF(G186="",E185,IF(G186&gt;0,E185+G186,E185))</f>
        <v/>
      </c>
      <c r="G186">
        <f>IFERROR(VLOOKUP($A186&amp;"_"&amp;$B186,Results_Deltas!$A$2:$P$15000,5,FALSE),"")</f>
        <v/>
      </c>
      <c r="H186" t="inlineStr">
        <is>
          <t>Blanket (page end)</t>
        </is>
      </c>
      <c r="L186" t="inlineStr">
        <is>
          <t>NO</t>
        </is>
      </c>
      <c r="M186" t="n">
        <v>24</v>
      </c>
    </row>
    <row r="187" ht="15.75" customHeight="1" s="67">
      <c r="A187" t="inlineStr">
        <is>
          <t>NEW_POSITION_MAX_LOSS_THRESHOLD</t>
        </is>
      </c>
      <c r="B187" t="inlineStr">
        <is>
          <t>0</t>
        </is>
      </c>
      <c r="D187" t="inlineStr">
        <is>
          <t>AUGMENT, EXIT, GLOBAL_CHECK, REDUCE, STOCKS_EXIT</t>
        </is>
      </c>
      <c r="E187">
        <f>IF(G187="",E186,IF(G187&gt;0,E186+G187,E186))</f>
        <v/>
      </c>
      <c r="G187">
        <f>IFERROR(VLOOKUP($A187&amp;"_"&amp;$B187,Results_Deltas!$A$2:$P$15000,5,FALSE),"")</f>
        <v/>
      </c>
      <c r="H187" t="inlineStr">
        <is>
          <t>Blanket (page end)</t>
        </is>
      </c>
      <c r="L187" t="inlineStr">
        <is>
          <t>NO</t>
        </is>
      </c>
      <c r="M187" t="n">
        <v>24</v>
      </c>
    </row>
    <row r="188" ht="15.75" customHeight="1" s="67">
      <c r="A188" t="inlineStr">
        <is>
          <t>NEW_POSITION_MAX_LOSS_THRESHOLD</t>
        </is>
      </c>
      <c r="B188" t="inlineStr">
        <is>
          <t>2.0</t>
        </is>
      </c>
      <c r="D188" t="inlineStr">
        <is>
          <t>AUGMENT, EXIT, GLOBAL_CHECK, REDUCE, STOCKS_EXIT</t>
        </is>
      </c>
      <c r="E188">
        <f>IF(G188="",E187,IF(G188&gt;0,E187+G188,E187))</f>
        <v/>
      </c>
      <c r="G188">
        <f>IFERROR(VLOOKUP($A188&amp;"_"&amp;$B188,Results_Deltas!$A$2:$P$15000,5,FALSE),"")</f>
        <v/>
      </c>
      <c r="H188" t="inlineStr">
        <is>
          <t>Blanket (page end)</t>
        </is>
      </c>
      <c r="L188" t="inlineStr">
        <is>
          <t>NO</t>
        </is>
      </c>
      <c r="M188" t="n">
        <v>22</v>
      </c>
    </row>
    <row r="189" ht="15.75" customHeight="1" s="67">
      <c r="A189" t="inlineStr">
        <is>
          <t>NEW_POSITION_MAX_LOSS_THRESHOLD</t>
        </is>
      </c>
      <c r="B189" t="inlineStr">
        <is>
          <t>1.0</t>
        </is>
      </c>
      <c r="D189" t="inlineStr">
        <is>
          <t>AUGMENT, EXIT, GLOBAL_CHECK, REDUCE, STOCKS_EXIT</t>
        </is>
      </c>
      <c r="E189">
        <f>IF(G189="",E188,IF(G189&gt;0,E188+G189,E188))</f>
        <v/>
      </c>
      <c r="G189">
        <f>IFERROR(VLOOKUP($A189&amp;"_"&amp;$B189,Results_Deltas!$A$2:$P$15000,5,FALSE),"")</f>
        <v/>
      </c>
      <c r="H189" t="inlineStr">
        <is>
          <t>Blanket (page end)</t>
        </is>
      </c>
      <c r="L189" t="inlineStr">
        <is>
          <t>NO</t>
        </is>
      </c>
      <c r="M189" t="n">
        <v>26</v>
      </c>
    </row>
    <row r="190" ht="15.75" customHeight="1" s="67">
      <c r="A190" t="inlineStr">
        <is>
          <t>NEW_POSITION_MAX_LOSS_THRESHOLD</t>
        </is>
      </c>
      <c r="B190" t="inlineStr">
        <is>
          <t>0.5</t>
        </is>
      </c>
      <c r="D190" t="inlineStr">
        <is>
          <t>AUGMENT, EXIT, GLOBAL_CHECK, REDUCE, STOCKS_EXIT</t>
        </is>
      </c>
      <c r="E190">
        <f>IF(G190="",E189,IF(G190&gt;0,E189+G190,E189))</f>
        <v/>
      </c>
      <c r="G190">
        <f>IFERROR(VLOOKUP($A190&amp;"_"&amp;$B190,Results_Deltas!$A$2:$P$15000,5,FALSE),"")</f>
        <v/>
      </c>
      <c r="H190" t="inlineStr">
        <is>
          <t>Blanket (page end)</t>
        </is>
      </c>
      <c r="L190" t="inlineStr">
        <is>
          <t>NO</t>
        </is>
      </c>
      <c r="M190" t="n">
        <v>26</v>
      </c>
    </row>
    <row r="191" ht="15.75" customHeight="1" s="67">
      <c r="A191" t="inlineStr">
        <is>
          <t>OI_CONFIRM_ENABLED</t>
        </is>
      </c>
      <c r="B191" t="inlineStr">
        <is>
          <t>False</t>
        </is>
      </c>
      <c r="D191" t="inlineStr">
        <is>
          <t>ENTRY, GLOBAL_CHECK, STOCKS_EXIT</t>
        </is>
      </c>
      <c r="E191">
        <f>IF(G191="",E190,IF(G191&gt;0,E190+G191,E190))</f>
        <v/>
      </c>
      <c r="G191">
        <f>IFERROR(VLOOKUP($A191&amp;"_"&amp;$B191,Results_Deltas!$A$2:$P$15000,5,FALSE),"")</f>
        <v/>
      </c>
      <c r="H191" t="inlineStr">
        <is>
          <t>Blanket (page end)</t>
        </is>
      </c>
      <c r="L191" t="inlineStr">
        <is>
          <t>NO</t>
        </is>
      </c>
      <c r="M191" t="n">
        <v>9</v>
      </c>
    </row>
    <row r="192" ht="15.75" customHeight="1" s="67">
      <c r="A192" t="inlineStr">
        <is>
          <t>OI_CONFIRM_ENABLED</t>
        </is>
      </c>
      <c r="B192" t="b">
        <v>0</v>
      </c>
      <c r="D192" t="inlineStr">
        <is>
          <t>ENTRY, GLOBAL_CHECK, STOCKS_EXIT</t>
        </is>
      </c>
      <c r="E192">
        <f>IF(G192="",E191,IF(G192&gt;0,E191+G192,E191))</f>
        <v/>
      </c>
      <c r="G192">
        <f>IFERROR(VLOOKUP($A192&amp;"_"&amp;$B192,Results_Deltas!$A$2:$P$15000,5,FALSE),"")</f>
        <v/>
      </c>
      <c r="H192" t="inlineStr">
        <is>
          <t>Blanket (page end)</t>
        </is>
      </c>
      <c r="L192" t="inlineStr">
        <is>
          <t>YES</t>
        </is>
      </c>
      <c r="M192" t="n">
        <v>9</v>
      </c>
    </row>
    <row r="193" ht="15.75" customHeight="1" s="67">
      <c r="A193" t="inlineStr">
        <is>
          <t>OI_CONFIRM_MIN_CHANGE_PCT</t>
        </is>
      </c>
      <c r="B193" t="inlineStr">
        <is>
          <t>0</t>
        </is>
      </c>
      <c r="D193" t="inlineStr">
        <is>
          <t>ENTRY, GLOBAL_CHECK, STOCKS_EXIT</t>
        </is>
      </c>
      <c r="E193">
        <f>IF(G193="",E192,IF(G193&gt;0,E192+G193,E192))</f>
        <v/>
      </c>
      <c r="G193">
        <f>IFERROR(VLOOKUP($A193&amp;"_"&amp;$B193,Results_Deltas!$A$2:$P$15000,5,FALSE),"")</f>
        <v/>
      </c>
      <c r="H193" t="inlineStr">
        <is>
          <t>Blanket (page end)</t>
        </is>
      </c>
      <c r="L193" t="inlineStr">
        <is>
          <t>NO</t>
        </is>
      </c>
      <c r="M193" t="n">
        <v>24</v>
      </c>
    </row>
    <row r="194" ht="15.75" customHeight="1" s="67">
      <c r="A194" t="inlineStr">
        <is>
          <t>OI_CONFIRM_MIN_CHANGE_PCT</t>
        </is>
      </c>
      <c r="B194" t="inlineStr">
        <is>
          <t>2.0</t>
        </is>
      </c>
      <c r="D194" t="inlineStr">
        <is>
          <t>ENTRY, GLOBAL_CHECK, STOCKS_EXIT</t>
        </is>
      </c>
      <c r="E194">
        <f>IF(G194="",E193,IF(G194&gt;0,E193+G194,E193))</f>
        <v/>
      </c>
      <c r="G194">
        <f>IFERROR(VLOOKUP($A194&amp;"_"&amp;$B194,Results_Deltas!$A$2:$P$15000,5,FALSE),"")</f>
        <v/>
      </c>
      <c r="H194" t="inlineStr">
        <is>
          <t>Blanket (page end)</t>
        </is>
      </c>
      <c r="L194" t="inlineStr">
        <is>
          <t>NO</t>
        </is>
      </c>
      <c r="M194" t="n">
        <v>22</v>
      </c>
    </row>
    <row r="195" ht="15.75" customHeight="1" s="67">
      <c r="A195" t="inlineStr">
        <is>
          <t>OI_CONFIRM_MIN_CHANGE_PCT</t>
        </is>
      </c>
      <c r="B195" t="inlineStr">
        <is>
          <t>1.0</t>
        </is>
      </c>
      <c r="D195" t="inlineStr">
        <is>
          <t>ENTRY, GLOBAL_CHECK, STOCKS_EXIT</t>
        </is>
      </c>
      <c r="E195">
        <f>IF(G195="",E194,IF(G195&gt;0,E194+G195,E194))</f>
        <v/>
      </c>
      <c r="G195">
        <f>IFERROR(VLOOKUP($A195&amp;"_"&amp;$B195,Results_Deltas!$A$2:$P$15000,5,FALSE),"")</f>
        <v/>
      </c>
      <c r="H195" t="inlineStr">
        <is>
          <t>Blanket (page end)</t>
        </is>
      </c>
      <c r="L195" t="inlineStr">
        <is>
          <t>NO</t>
        </is>
      </c>
      <c r="M195" t="n">
        <v>26</v>
      </c>
    </row>
    <row r="196" ht="15.75" customHeight="1" s="67">
      <c r="A196" t="inlineStr">
        <is>
          <t>OI_CONFIRM_MIN_CHANGE_PCT</t>
        </is>
      </c>
      <c r="B196" t="inlineStr">
        <is>
          <t>0.5</t>
        </is>
      </c>
      <c r="D196" t="inlineStr">
        <is>
          <t>ENTRY, GLOBAL_CHECK, STOCKS_EXIT</t>
        </is>
      </c>
      <c r="E196">
        <f>IF(G196="",E195,IF(G196&gt;0,E195+G196,E195))</f>
        <v/>
      </c>
      <c r="G196">
        <f>IFERROR(VLOOKUP($A196&amp;"_"&amp;$B196,Results_Deltas!$A$2:$P$15000,5,FALSE),"")</f>
        <v/>
      </c>
      <c r="H196" t="inlineStr">
        <is>
          <t>Blanket (page end)</t>
        </is>
      </c>
      <c r="L196" t="inlineStr">
        <is>
          <t>YES</t>
        </is>
      </c>
      <c r="M196" t="n">
        <v>26</v>
      </c>
    </row>
    <row r="197" ht="15.75" customHeight="1" s="67">
      <c r="A197" t="inlineStr">
        <is>
          <t>OI_CONFIRM_MIN_PRICE_PCT</t>
        </is>
      </c>
      <c r="B197" t="inlineStr">
        <is>
          <t>0</t>
        </is>
      </c>
      <c r="D197" t="inlineStr">
        <is>
          <t>ENTRY, GLOBAL_CHECK, STOCKS_EXIT</t>
        </is>
      </c>
      <c r="E197">
        <f>IF(G197="",E196,IF(G197&gt;0,E196+G197,E196))</f>
        <v/>
      </c>
      <c r="G197">
        <f>IFERROR(VLOOKUP($A197&amp;"_"&amp;$B197,Results_Deltas!$A$2:$P$15000,5,FALSE),"")</f>
        <v/>
      </c>
      <c r="H197" t="inlineStr">
        <is>
          <t>Blanket (page end)</t>
        </is>
      </c>
      <c r="L197" t="inlineStr">
        <is>
          <t>NO</t>
        </is>
      </c>
      <c r="M197" t="n">
        <v>24</v>
      </c>
    </row>
    <row r="198" ht="15.75" customHeight="1" s="67">
      <c r="A198" t="inlineStr">
        <is>
          <t>OI_CONFIRM_MIN_PRICE_PCT</t>
        </is>
      </c>
      <c r="B198" t="inlineStr">
        <is>
          <t>2.0</t>
        </is>
      </c>
      <c r="D198" t="inlineStr">
        <is>
          <t>ENTRY, GLOBAL_CHECK, STOCKS_EXIT</t>
        </is>
      </c>
      <c r="E198">
        <f>IF(G198="",E197,IF(G198&gt;0,E197+G198,E197))</f>
        <v/>
      </c>
      <c r="G198">
        <f>IFERROR(VLOOKUP($A198&amp;"_"&amp;$B198,Results_Deltas!$A$2:$P$15000,5,FALSE),"")</f>
        <v/>
      </c>
      <c r="H198" t="inlineStr">
        <is>
          <t>Blanket (page end)</t>
        </is>
      </c>
      <c r="L198" t="inlineStr">
        <is>
          <t>NO</t>
        </is>
      </c>
      <c r="M198" t="n">
        <v>26</v>
      </c>
    </row>
    <row r="199" ht="15.75" customHeight="1" s="67">
      <c r="A199" t="inlineStr">
        <is>
          <t>OI_CONFIRM_MIN_PRICE_PCT</t>
        </is>
      </c>
      <c r="B199" t="inlineStr">
        <is>
          <t>1.0</t>
        </is>
      </c>
      <c r="D199" t="inlineStr">
        <is>
          <t>ENTRY, GLOBAL_CHECK, STOCKS_EXIT</t>
        </is>
      </c>
      <c r="E199">
        <f>IF(G199="",E198,IF(G199&gt;0,E198+G199,E198))</f>
        <v/>
      </c>
      <c r="G199">
        <f>IFERROR(VLOOKUP($A199&amp;"_"&amp;$B199,Results_Deltas!$A$2:$P$15000,5,FALSE),"")</f>
        <v/>
      </c>
      <c r="H199" t="inlineStr">
        <is>
          <t>Blanket (page end)</t>
        </is>
      </c>
      <c r="L199" t="inlineStr">
        <is>
          <t>NO</t>
        </is>
      </c>
      <c r="M199" t="n">
        <v>22</v>
      </c>
    </row>
    <row r="200" ht="15.75" customHeight="1" s="67">
      <c r="A200" t="inlineStr">
        <is>
          <t>OI_CONFIRM_MIN_PRICE_PCT</t>
        </is>
      </c>
      <c r="B200" t="inlineStr">
        <is>
          <t>0.5</t>
        </is>
      </c>
      <c r="D200" t="inlineStr">
        <is>
          <t>ENTRY, GLOBAL_CHECK, STOCKS_EXIT</t>
        </is>
      </c>
      <c r="E200">
        <f>IF(G200="",E199,IF(G200&gt;0,E199+G200,E199))</f>
        <v/>
      </c>
      <c r="G200">
        <f>IFERROR(VLOOKUP($A200&amp;"_"&amp;$B200,Results_Deltas!$A$2:$P$15000,5,FALSE),"")</f>
        <v/>
      </c>
      <c r="H200" t="inlineStr">
        <is>
          <t>Blanket (page end)</t>
        </is>
      </c>
      <c r="L200" t="inlineStr">
        <is>
          <t>NO</t>
        </is>
      </c>
      <c r="M200" t="n">
        <v>26</v>
      </c>
    </row>
    <row r="201">
      <c r="A201" t="inlineStr">
        <is>
          <t>BB_BOUNCE_ENTRY_TF</t>
        </is>
      </c>
      <c r="B201" t="inlineStr">
        <is>
          <t>OFF</t>
        </is>
      </c>
      <c r="D201" t="inlineStr">
        <is>
          <t>BOUNCE_BB</t>
        </is>
      </c>
      <c r="G201">
        <f>IFERROR(VLOOKUP($A201&amp;"_"&amp;$B201,Results_Deltas!$A$2:$P$15000,5,FALSE),"")</f>
        <v/>
      </c>
      <c r="L201" t="inlineStr">
        <is>
          <t>YES</t>
        </is>
      </c>
      <c r="M201" t="n">
        <v>0</v>
      </c>
    </row>
    <row r="202">
      <c r="A202" t="inlineStr">
        <is>
          <t>BB_BOUNCE_ENTRY_TF</t>
        </is>
      </c>
      <c r="B202" t="inlineStr">
        <is>
          <t>15m</t>
        </is>
      </c>
      <c r="D202" t="inlineStr">
        <is>
          <t>BOUNCE_BB</t>
        </is>
      </c>
      <c r="G202">
        <f>IFERROR(VLOOKUP($A202&amp;"_"&amp;$B202,Results_Deltas!$A$2:$P$15000,5,FALSE),"")</f>
        <v/>
      </c>
      <c r="L202" t="inlineStr">
        <is>
          <t>NO</t>
        </is>
      </c>
      <c r="M202" t="n">
        <v>0</v>
      </c>
    </row>
    <row r="203">
      <c r="A203" t="inlineStr">
        <is>
          <t>BB_BOUNCE_ENTRY_TF</t>
        </is>
      </c>
      <c r="B203" t="inlineStr">
        <is>
          <t>1h</t>
        </is>
      </c>
      <c r="D203" t="inlineStr">
        <is>
          <t>BOUNCE_BB</t>
        </is>
      </c>
      <c r="G203">
        <f>IFERROR(VLOOKUP($A203&amp;"_"&amp;$B203,Results_Deltas!$A$2:$P$15000,5,FALSE),"")</f>
        <v/>
      </c>
      <c r="L203" t="inlineStr">
        <is>
          <t>NO</t>
        </is>
      </c>
      <c r="M203" t="n">
        <v>0</v>
      </c>
    </row>
    <row r="204">
      <c r="A204" t="inlineStr">
        <is>
          <t>BB_BOUNCE_ENTRY_TF</t>
        </is>
      </c>
      <c r="B204" t="inlineStr">
        <is>
          <t>4h</t>
        </is>
      </c>
      <c r="D204" t="inlineStr">
        <is>
          <t>BOUNCE_BB</t>
        </is>
      </c>
      <c r="G204">
        <f>IFERROR(VLOOKUP($A204&amp;"_"&amp;$B204,Results_Deltas!$A$2:$P$15000,5,FALSE),"")</f>
        <v/>
      </c>
      <c r="L204" t="inlineStr">
        <is>
          <t>NO</t>
        </is>
      </c>
      <c r="M204" t="n">
        <v>0</v>
      </c>
    </row>
    <row r="205">
      <c r="A205" t="inlineStr">
        <is>
          <t>BB_BOUNCE_ENTRY_TF</t>
        </is>
      </c>
      <c r="B205" t="inlineStr">
        <is>
          <t>D</t>
        </is>
      </c>
      <c r="D205" t="inlineStr">
        <is>
          <t>BOUNCE_BB</t>
        </is>
      </c>
      <c r="G205">
        <f>IFERROR(VLOOKUP($A205&amp;"_"&amp;$B205,Results_Deltas!$A$2:$P$15000,5,FALSE),"")</f>
        <v/>
      </c>
      <c r="L205" t="inlineStr">
        <is>
          <t>NO</t>
        </is>
      </c>
      <c r="M205"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row>
    <row r="3">
      <c r="A3" t="inlineStr">
        <is>
          <t>STDEV_SLOPE_SIZING_ENABLED</t>
        </is>
      </c>
      <c r="B3" t="b">
        <v>1</v>
      </c>
      <c r="D3" t="inlineStr">
        <is>
          <t>STDEV_LADDER</t>
        </is>
      </c>
      <c r="E3">
        <f>MAX(ENTRY_REVERSAL_BOUNCE!E:E)</f>
        <v/>
      </c>
      <c r="G3">
        <f>IFERROR(VLOOKUP($A3&amp;"="&amp;$B3,Results_Deltas!$A$2:$P$15000,5,FALSE),"")</f>
        <v/>
      </c>
      <c r="H3">
        <f>IFERROR(VLOOKUP($A3,Results_30d_Deltas!$A$2:$H$5000,7,FALSE)-E3,"")</f>
        <v/>
      </c>
      <c r="I3">
        <f>IFERROR(VLOOKUP($A3,Results_30d_Deltas!$A$2:$H$5000,6,FALSE),"")</f>
        <v/>
      </c>
      <c r="L3" t="inlineStr">
        <is>
          <t>NO</t>
        </is>
      </c>
    </row>
    <row r="4">
      <c r="A4" t="inlineStr">
        <is>
          <t>STDEV_BAND_MULTIPLIER</t>
        </is>
      </c>
      <c r="B4" t="n">
        <v>2.5</v>
      </c>
      <c r="D4" t="inlineStr">
        <is>
          <t>STDEV_LADDER</t>
        </is>
      </c>
      <c r="E4">
        <f>IF(G4="",E3,IF(G4&gt;0,E3+G4,E3))</f>
        <v/>
      </c>
      <c r="G4">
        <f>IFERROR(VLOOKUP($A4&amp;"_"&amp;$B4,Results_Deltas!$A$2:$P$15000,5,FALSE),"")</f>
        <v/>
      </c>
      <c r="H4">
        <f>IFERROR(VLOOKUP($A3,Results_30d_Deltas!$A$2:$H$5000,7,FALSE)-E3,"")</f>
        <v/>
      </c>
      <c r="I4">
        <f>IFERROR(VLOOKUP($A3,Results_30d_Deltas!$A$2:$H$5000,6,FALSE),"")</f>
        <v/>
      </c>
      <c r="L4" t="inlineStr">
        <is>
          <t>YES</t>
        </is>
      </c>
    </row>
    <row r="5">
      <c r="A5" t="inlineStr">
        <is>
          <t>STDEV_SLOPE_SIZING_D_MAX</t>
        </is>
      </c>
      <c r="B5" t="n">
        <v>10</v>
      </c>
      <c r="D5" t="inlineStr">
        <is>
          <t>STDEV_LADDER</t>
        </is>
      </c>
      <c r="E5">
        <f>IF(G5="",E4,IF(G5&gt;0,E4+G5,E4))</f>
        <v/>
      </c>
      <c r="G5">
        <f>IFERROR(VLOOKUP($A5&amp;"_"&amp;$B5,Results_Deltas!$A$2:$P$15000,5,FALSE),"")</f>
        <v/>
      </c>
      <c r="H5">
        <f>IFERROR(VLOOKUP($A3,Results_30d_Deltas!$A$2:$H$5000,7,FALSE)-E3,"")</f>
        <v/>
      </c>
      <c r="I5">
        <f>IFERROR(VLOOKUP($A3,Results_30d_Deltas!$A$2:$H$5000,6,FALSE),"")</f>
        <v/>
      </c>
      <c r="L5" t="inlineStr">
        <is>
          <t>YES</t>
        </is>
      </c>
    </row>
    <row r="6">
      <c r="A6" t="inlineStr">
        <is>
          <t>STDEV_SLOPE_SIZING_4H_MAX</t>
        </is>
      </c>
      <c r="B6" t="n">
        <v>4</v>
      </c>
      <c r="D6" t="inlineStr">
        <is>
          <t>STDEV_LADDER</t>
        </is>
      </c>
      <c r="E6">
        <f>IF(G6="",E5,IF(G6&gt;0,E5+G6,E5))</f>
        <v/>
      </c>
      <c r="G6">
        <f>IFERROR(VLOOKUP($A6&amp;"_"&amp;$B6,Results_Deltas!$A$2:$P$15000,5,FALSE),"")</f>
        <v/>
      </c>
      <c r="H6">
        <f>IFERROR(VLOOKUP($A3,Results_30d_Deltas!$A$2:$H$5000,7,FALSE)-E3,"")</f>
        <v/>
      </c>
      <c r="I6">
        <f>IFERROR(VLOOKUP($A3,Results_30d_Deltas!$A$2:$H$5000,6,FALSE),"")</f>
        <v/>
      </c>
      <c r="L6" t="inlineStr">
        <is>
          <t>YES</t>
        </is>
      </c>
    </row>
    <row r="7">
      <c r="A7" t="inlineStr">
        <is>
          <t>STDEV_SLOPE_SIZING_1H_MAX</t>
        </is>
      </c>
      <c r="B7" t="n">
        <v>2</v>
      </c>
      <c r="D7" t="inlineStr">
        <is>
          <t>STDEV_LADDER</t>
        </is>
      </c>
      <c r="E7">
        <f>IF(G7="",E6,IF(G7&gt;0,E6+G7,E6))</f>
        <v/>
      </c>
      <c r="G7">
        <f>IFERROR(VLOOKUP($A7&amp;"_"&amp;$B7,Results_Deltas!$A$2:$P$15000,5,FALSE),"")</f>
        <v/>
      </c>
      <c r="H7">
        <f>IFERROR(VLOOKUP($A3,Results_30d_Deltas!$A$2:$H$5000,7,FALSE)-E3,"")</f>
        <v/>
      </c>
      <c r="I7">
        <f>IFERROR(VLOOKUP($A3,Results_30d_Deltas!$A$2:$H$5000,6,FALSE),"")</f>
        <v/>
      </c>
      <c r="L7" t="inlineStr">
        <is>
          <t>YES</t>
        </is>
      </c>
    </row>
    <row r="8">
      <c r="A8" t="inlineStr">
        <is>
          <t>STDEV_SLOPE_SIZING_15M_MAX</t>
        </is>
      </c>
      <c r="B8" t="n">
        <v>1.5</v>
      </c>
      <c r="D8" t="inlineStr">
        <is>
          <t>STDEV_LADDER</t>
        </is>
      </c>
      <c r="E8">
        <f>IF(G8="",E7,IF(G8&gt;0,E7+G8,E7))</f>
        <v/>
      </c>
      <c r="G8">
        <f>IFERROR(VLOOKUP($A8&amp;"_"&amp;$B8,Results_Deltas!$A$2:$P$15000,5,FALSE),"")</f>
        <v/>
      </c>
      <c r="H8">
        <f>IFERROR(VLOOKUP($A3,Results_30d_Deltas!$A$2:$H$5000,7,FALSE)-E3,"")</f>
        <v/>
      </c>
      <c r="I8">
        <f>IFERROR(VLOOKUP($A3,Results_30d_Deltas!$A$2:$H$5000,6,FALSE),"")</f>
        <v/>
      </c>
      <c r="L8" t="inlineStr">
        <is>
          <t>YES</t>
        </is>
      </c>
    </row>
    <row r="9">
      <c r="A9" t="inlineStr">
        <is>
          <t>STDEV_SLOPE_LOOKBACK_D</t>
        </is>
      </c>
      <c r="B9" t="n">
        <v>180</v>
      </c>
      <c r="D9" t="inlineStr">
        <is>
          <t>STDEV_LADDER</t>
        </is>
      </c>
      <c r="E9">
        <f>IF(G9="",E8,IF(G9&gt;0,E8+G9,E8))</f>
        <v/>
      </c>
      <c r="G9">
        <f>IFERROR(VLOOKUP($A9&amp;"_"&amp;$B9,Results_Deltas!$A$2:$P$15000,5,FALSE),"")</f>
        <v/>
      </c>
      <c r="H9">
        <f>IFERROR(VLOOKUP($A3,Results_30d_Deltas!$A$2:$H$5000,7,FALSE)-E3,"")</f>
        <v/>
      </c>
      <c r="I9">
        <f>IFERROR(VLOOKUP($A3,Results_30d_Deltas!$A$2:$H$5000,6,FALSE),"")</f>
        <v/>
      </c>
      <c r="L9" t="inlineStr">
        <is>
          <t>YES</t>
        </is>
      </c>
    </row>
    <row r="10">
      <c r="A10" t="inlineStr">
        <is>
          <t>STDEV_SLOPE_LOOKBACK_4H</t>
        </is>
      </c>
      <c r="B10" t="n">
        <v>180</v>
      </c>
      <c r="D10" t="inlineStr">
        <is>
          <t>STDEV_LADDER</t>
        </is>
      </c>
      <c r="E10">
        <f>IF(G10="",E9,IF(G10&gt;0,E9+G10,E9))</f>
        <v/>
      </c>
      <c r="G10">
        <f>IFERROR(VLOOKUP($A10&amp;"_"&amp;$B10,Results_Deltas!$A$2:$P$15000,5,FALSE),"")</f>
        <v/>
      </c>
      <c r="H10">
        <f>IFERROR(VLOOKUP($A3,Results_30d_Deltas!$A$2:$H$5000,7,FALSE)-E3,"")</f>
        <v/>
      </c>
      <c r="I10">
        <f>IFERROR(VLOOKUP($A3,Results_30d_Deltas!$A$2:$H$5000,6,FALSE),"")</f>
        <v/>
      </c>
      <c r="L10" t="inlineStr">
        <is>
          <t>YES</t>
        </is>
      </c>
    </row>
    <row r="11">
      <c r="A11" t="inlineStr">
        <is>
          <t>STDEV_SLOPE_LOOKBACK_1H</t>
        </is>
      </c>
      <c r="B11" t="n">
        <v>168</v>
      </c>
      <c r="D11" t="inlineStr">
        <is>
          <t>STDEV_LADDER</t>
        </is>
      </c>
      <c r="E11">
        <f>IF(G11="",E10,IF(G11&gt;0,E10+G11,E10))</f>
        <v/>
      </c>
      <c r="G11">
        <f>IFERROR(VLOOKUP($A11&amp;"_"&amp;$B11,Results_Deltas!$A$2:$P$15000,5,FALSE),"")</f>
        <v/>
      </c>
      <c r="H11">
        <f>IFERROR(VLOOKUP($A3,Results_30d_Deltas!$A$2:$H$5000,7,FALSE)-E3,"")</f>
        <v/>
      </c>
      <c r="I11">
        <f>IFERROR(VLOOKUP($A3,Results_30d_Deltas!$A$2:$H$5000,6,FALSE),"")</f>
        <v/>
      </c>
      <c r="L11" t="inlineStr">
        <is>
          <t>YES</t>
        </is>
      </c>
    </row>
    <row r="12">
      <c r="A12" t="inlineStr">
        <is>
          <t>STDEV_SLOPE_LOOKBACK_15M</t>
        </is>
      </c>
      <c r="B12" t="n">
        <v>96</v>
      </c>
      <c r="D12" t="inlineStr">
        <is>
          <t>STDEV_LADDER</t>
        </is>
      </c>
      <c r="E12">
        <f>IF(G12="",E11,IF(G12&gt;0,E11+G12,E11))</f>
        <v/>
      </c>
      <c r="G12">
        <f>IFERROR(VLOOKUP($A12&amp;"_"&amp;$B12,Results_Deltas!$A$2:$P$15000,5,FALSE),"")</f>
        <v/>
      </c>
      <c r="H12">
        <f>IFERROR(VLOOKUP($A3,Results_30d_Deltas!$A$2:$H$5000,7,FALSE)-E3,"")</f>
        <v/>
      </c>
      <c r="I12">
        <f>IFERROR(VLOOKUP($A3,Results_30d_Deltas!$A$2:$H$5000,6,FALSE),"")</f>
        <v/>
      </c>
      <c r="L12" t="inlineStr">
        <is>
          <t>YES</t>
        </is>
      </c>
    </row>
    <row r="13">
      <c r="A13" t="inlineStr">
        <is>
          <t>BAND_SLOPE_SIZING_V2_ENABLED</t>
        </is>
      </c>
      <c r="B13" t="b">
        <v>1</v>
      </c>
      <c r="D13" t="inlineStr">
        <is>
          <t>STDEV_LADDER</t>
        </is>
      </c>
      <c r="E13">
        <f>IF(G13="",E12,IF(G13&gt;0,E12+G13,E12))</f>
        <v/>
      </c>
      <c r="G13">
        <f>IFERROR(VLOOKUP($A13&amp;"_"&amp;$B13,Results_Deltas!$A$2:$P$15000,5,FALSE),"")</f>
        <v/>
      </c>
      <c r="H13">
        <f>IFERROR(VLOOKUP($A3,Results_30d_Deltas!$A$2:$H$5000,7,FALSE)-E3,"")</f>
        <v/>
      </c>
      <c r="I13">
        <f>IFERROR(VLOOKUP($A3,Results_30d_Deltas!$A$2:$H$5000,6,FALSE),"")</f>
        <v/>
      </c>
      <c r="L13" t="inlineStr">
        <is>
          <t>YES</t>
        </is>
      </c>
    </row>
    <row r="14">
      <c r="A14" t="inlineStr">
        <is>
          <t>BAND_SLOPE_SIZING_V2_TF</t>
        </is>
      </c>
      <c r="B14" t="inlineStr">
        <is>
          <t>D</t>
        </is>
      </c>
      <c r="D14" t="inlineStr">
        <is>
          <t>STDEV_LADDER</t>
        </is>
      </c>
      <c r="E14">
        <f>IF(G14="",E13,IF(G14&gt;0,E13+G14,E13))</f>
        <v/>
      </c>
      <c r="G14">
        <f>IFERROR(VLOOKUP($A14&amp;"_"&amp;$B14,Results_Deltas!$A$2:$P$15000,5,FALSE),"")</f>
        <v/>
      </c>
      <c r="H14">
        <f>IFERROR(VLOOKUP($A3,Results_30d_Deltas!$A$2:$H$5000,7,FALSE)-E3,"")</f>
        <v/>
      </c>
      <c r="I14">
        <f>IFERROR(VLOOKUP($A3,Results_30d_Deltas!$A$2:$H$5000,6,FALSE),"")</f>
        <v/>
      </c>
      <c r="L14" t="inlineStr">
        <is>
          <t>NO</t>
        </is>
      </c>
    </row>
    <row r="15">
      <c r="A15" t="inlineStr">
        <is>
          <t>BAND_SLOPE_SIZING_V2_DEPTH_GAIN</t>
        </is>
      </c>
      <c r="B15" t="n">
        <v>1</v>
      </c>
      <c r="D15" t="inlineStr">
        <is>
          <t>STDEV_LADDER</t>
        </is>
      </c>
      <c r="E15">
        <f>IF(G15="",E14,IF(G15&gt;0,E14+G15,E14))</f>
        <v/>
      </c>
      <c r="G15">
        <f>IFERROR(VLOOKUP($A15&amp;"_"&amp;$B15,Results_Deltas!$A$2:$P$15000,5,FALSE),"")</f>
        <v/>
      </c>
      <c r="H15">
        <f>IFERROR(VLOOKUP($A3,Results_30d_Deltas!$A$2:$H$5000,7,FALSE)-E3,"")</f>
        <v/>
      </c>
      <c r="I15">
        <f>IFERROR(VLOOKUP($A3,Results_30d_Deltas!$A$2:$H$5000,6,FALSE),"")</f>
        <v/>
      </c>
      <c r="L15" t="inlineStr">
        <is>
          <t>YES</t>
        </is>
      </c>
    </row>
    <row r="16">
      <c r="A16" t="inlineStr">
        <is>
          <t>BAND_SLOPE_SIZING_V2_MIN</t>
        </is>
      </c>
      <c r="B16" t="n">
        <v>0.5</v>
      </c>
      <c r="D16" t="inlineStr">
        <is>
          <t>STDEV_LADDER</t>
        </is>
      </c>
      <c r="E16">
        <f>IF(G16="",E15,IF(G16&gt;0,E15+G16,E15))</f>
        <v/>
      </c>
      <c r="G16">
        <f>IFERROR(VLOOKUP($A16&amp;"_"&amp;$B16,Results_Deltas!$A$2:$P$15000,5,FALSE),"")</f>
        <v/>
      </c>
      <c r="H16">
        <f>IFERROR(VLOOKUP($A3,Results_30d_Deltas!$A$2:$H$5000,7,FALSE)-E3,"")</f>
        <v/>
      </c>
      <c r="I16">
        <f>IFERROR(VLOOKUP($A3,Results_30d_Deltas!$A$2:$H$5000,6,FALSE),"")</f>
        <v/>
      </c>
      <c r="L16" t="inlineStr">
        <is>
          <t>NO</t>
        </is>
      </c>
    </row>
    <row r="17">
      <c r="A17" t="inlineStr">
        <is>
          <t>BAND_SLOPE_SIZING_V2_MAX</t>
        </is>
      </c>
      <c r="B17" t="n">
        <v>2.5</v>
      </c>
      <c r="D17" t="inlineStr">
        <is>
          <t>STDEV_LADDER</t>
        </is>
      </c>
      <c r="E17">
        <f>IF(G17="",E16,IF(G17&gt;0,E16+G17,E16))</f>
        <v/>
      </c>
      <c r="G17">
        <f>IFERROR(VLOOKUP($A17&amp;"_"&amp;$B17,Results_Deltas!$A$2:$P$15000,5,FALSE),"")</f>
        <v/>
      </c>
      <c r="H17">
        <f>IFERROR(VLOOKUP($A3,Results_30d_Deltas!$A$2:$H$5000,7,FALSE)-E3,"")</f>
        <v/>
      </c>
      <c r="I17">
        <f>IFERROR(VLOOKUP($A3,Results_30d_Deltas!$A$2:$H$5000,6,FALSE),"")</f>
        <v/>
      </c>
      <c r="L17" t="inlineStr">
        <is>
          <t>NO</t>
        </is>
      </c>
    </row>
    <row r="18">
      <c r="A18" t="inlineStr">
        <is>
          <t>STDEV_SLOPE_SIZING_MODE</t>
        </is>
      </c>
      <c r="B18" t="inlineStr">
        <is>
          <t>slope_to_top</t>
        </is>
      </c>
      <c r="D18" t="inlineStr">
        <is>
          <t>STDEV_LADDER</t>
        </is>
      </c>
      <c r="E18">
        <f>IF(G18="",E17,IF(G18&gt;0,E17+G18,E17))</f>
        <v/>
      </c>
      <c r="G18">
        <f>IFERROR(VLOOKUP($A18&amp;"_"&amp;$B18,Results_Deltas!$A$2:$P$15000,5,FALSE),"")</f>
        <v/>
      </c>
      <c r="H18">
        <f>IFERROR(VLOOKUP($A3,Results_30d_Deltas!$A$2:$H$5000,7,FALSE)-E3,"")</f>
        <v/>
      </c>
      <c r="L18" t="inlineStr">
        <is>
          <t>YES</t>
        </is>
      </c>
    </row>
    <row r="19">
      <c r="A19" t="inlineStr">
        <is>
          <t>BAND_SLOPE_SIZING_V2_SLOPE_NORM_PCT_DAY</t>
        </is>
      </c>
      <c r="B19" t="n">
        <v>1</v>
      </c>
      <c r="D19" t="inlineStr">
        <is>
          <t>STDEV_LADDER</t>
        </is>
      </c>
      <c r="E19">
        <f>IF(G19="",E18,IF(G19&gt;0,E18+G19,E18))</f>
        <v/>
      </c>
      <c r="G19">
        <f>IFERROR(VLOOKUP($A19&amp;"_"&amp;$B19,Results_Deltas!$A$2:$P$15000,5,FALSE),"")</f>
        <v/>
      </c>
      <c r="H19">
        <f>IFERROR(VLOOKUP($A3,Results_30d_Deltas!$A$2:$H$5000,7,FALSE)-E3,"")</f>
        <v/>
      </c>
      <c r="L19" t="inlineStr">
        <is>
          <t>YES</t>
        </is>
      </c>
    </row>
    <row r="20">
      <c r="A20" t="inlineStr">
        <is>
          <t>STDEV_SLOPE_SIZING_ENABLED</t>
        </is>
      </c>
      <c r="B20" t="b">
        <v>0</v>
      </c>
      <c r="D20" t="inlineStr">
        <is>
          <t>STDEV_LADDER</t>
        </is>
      </c>
      <c r="E20">
        <f>IF(G20="",E19,IF(G20&gt;0,E19+G20,E19))</f>
        <v/>
      </c>
      <c r="F20">
        <f>IFERROR(VLOOKUP($A20&amp;"="&amp;$B20,Results_Deltas!$A$2:$P$15000,5,FALSE),"")</f>
        <v/>
      </c>
      <c r="G20">
        <f>IFERROR(VLOOKUP($A20,Results_30d_Deltas!$A$2:$H$5000,7,FALSE)-E20,"")</f>
        <v/>
      </c>
      <c r="H20">
        <f>IFERROR(VLOOKUP($A20,Results_30d_Deltas!$A$2:$H$5000,6,FALSE),"")</f>
        <v/>
      </c>
      <c r="L20" t="inlineStr">
        <is>
          <t>NO</t>
        </is>
      </c>
    </row>
    <row r="21" ht="15.75" customHeight="1" s="67">
      <c r="A21" t="inlineStr">
        <is>
          <t>STDEV_SLOPE_SIZING_D_MAX</t>
        </is>
      </c>
      <c r="B21" t="n">
        <v>1</v>
      </c>
      <c r="D21" t="inlineStr">
        <is>
          <t>STDEV_LADDER</t>
        </is>
      </c>
      <c r="E21">
        <f>IF(G21="",E20,IF(G21&gt;0,E20+G21,E20))</f>
        <v/>
      </c>
      <c r="F21">
        <f>IFERROR(VLOOKUP($A21&amp;"="&amp;$B21,Results_Deltas!$A$2:$P$15000,5,FALSE),"")</f>
        <v/>
      </c>
      <c r="G21">
        <f>IFERROR(VLOOKUP($A21,Results_30d_Deltas!$A$2:$H$5000,7,FALSE)-E21,"")</f>
        <v/>
      </c>
      <c r="H21">
        <f>IFERROR(VLOOKUP($A21,Results_30d_Deltas!$A$2:$H$5000,6,FALSE),"")</f>
        <v/>
      </c>
      <c r="L21" t="inlineStr">
        <is>
          <t>NO</t>
        </is>
      </c>
    </row>
    <row r="22" ht="15.75" customHeight="1" s="67">
      <c r="A22" t="inlineStr">
        <is>
          <t>STDEV_SLOPE_SIZING_4H_MAX</t>
        </is>
      </c>
      <c r="B22" t="n">
        <v>1</v>
      </c>
      <c r="D22" t="inlineStr">
        <is>
          <t>STDEV_LADDER</t>
        </is>
      </c>
      <c r="E22">
        <f>IF(G22="",E21,IF(G22&gt;0,E21+G22,E21))</f>
        <v/>
      </c>
      <c r="F22">
        <f>IFERROR(VLOOKUP($A22&amp;"="&amp;$B22,Results_Deltas!$A$2:$P$15000,5,FALSE),"")</f>
        <v/>
      </c>
      <c r="G22">
        <f>IFERROR(VLOOKUP($A22,Results_30d_Deltas!$A$2:$H$5000,7,FALSE)-E22,"")</f>
        <v/>
      </c>
      <c r="H22">
        <f>IFERROR(VLOOKUP($A22,Results_30d_Deltas!$A$2:$H$5000,6,FALSE),"")</f>
        <v/>
      </c>
      <c r="L22" t="inlineStr">
        <is>
          <t>NO</t>
        </is>
      </c>
    </row>
    <row r="23" ht="15.75" customHeight="1" s="67">
      <c r="A23" t="inlineStr">
        <is>
          <t>STDEV_SLOPE_SIZING_1H_MAX</t>
        </is>
      </c>
      <c r="B23" t="n">
        <v>1</v>
      </c>
      <c r="D23" t="inlineStr">
        <is>
          <t>STDEV_LADDER</t>
        </is>
      </c>
      <c r="E23">
        <f>IF(G23="",E22,IF(G23&gt;0,E22+G23,E22))</f>
        <v/>
      </c>
      <c r="F23">
        <f>IFERROR(VLOOKUP($A23&amp;"="&amp;$B23,Results_Deltas!$A$2:$P$15000,5,FALSE),"")</f>
        <v/>
      </c>
      <c r="G23">
        <f>IFERROR(VLOOKUP($A23,Results_30d_Deltas!$A$2:$H$5000,7,FALSE)-E23,"")</f>
        <v/>
      </c>
      <c r="H23">
        <f>IFERROR(VLOOKUP($A23,Results_30d_Deltas!$A$2:$H$5000,6,FALSE),"")</f>
        <v/>
      </c>
      <c r="L23" t="inlineStr">
        <is>
          <t>NO</t>
        </is>
      </c>
    </row>
    <row r="24" ht="15.75" customHeight="1" s="67">
      <c r="A24" t="inlineStr">
        <is>
          <t>STDEV_SLOPE_SIZING_15M_MAX</t>
        </is>
      </c>
      <c r="B24" t="n">
        <v>1</v>
      </c>
      <c r="D24" t="inlineStr">
        <is>
          <t>STDEV_LADDER</t>
        </is>
      </c>
      <c r="E24">
        <f>IF(G24="",E23,IF(G24&gt;0,E23+G24,E23))</f>
        <v/>
      </c>
      <c r="F24">
        <f>IFERROR(VLOOKUP($A24&amp;"="&amp;$B24,Results_Deltas!$A$2:$P$15000,5,FALSE),"")</f>
        <v/>
      </c>
      <c r="G24">
        <f>IFERROR(VLOOKUP($A24,Results_30d_Deltas!$A$2:$H$5000,7,FALSE)-E24,"")</f>
        <v/>
      </c>
      <c r="H24">
        <f>IFERROR(VLOOKUP($A24,Results_30d_Deltas!$A$2:$H$5000,6,FALSE),"")</f>
        <v/>
      </c>
      <c r="L24" t="inlineStr">
        <is>
          <t>NO</t>
        </is>
      </c>
    </row>
    <row r="25" ht="15.75" customHeight="1" s="67">
      <c r="A25" t="inlineStr">
        <is>
          <t>STDEV_SLOPE_SIZING_MODE</t>
        </is>
      </c>
      <c r="B25" t="inlineStr">
        <is>
          <t>bottom_to_top</t>
        </is>
      </c>
      <c r="D25" t="inlineStr">
        <is>
          <t>STDEV_LADDER</t>
        </is>
      </c>
      <c r="E25">
        <f>IF(G25="",E24,IF(G25&gt;0,E24+G25,E24))</f>
        <v/>
      </c>
      <c r="F25">
        <f>IFERROR(VLOOKUP($A25&amp;"="&amp;$B25,Results_Deltas!$A$2:$P$15000,5,FALSE),"")</f>
        <v/>
      </c>
      <c r="G25">
        <f>IFERROR(VLOOKUP($A25,Results_30d_Deltas!$A$2:$H$5000,7,FALSE)-E25,"")</f>
        <v/>
      </c>
      <c r="H25">
        <f>IFERROR(VLOOKUP($A25,Results_30d_Deltas!$A$2:$H$5000,6,FALSE),"")</f>
        <v/>
      </c>
      <c r="L25" t="inlineStr">
        <is>
          <t>NO</t>
        </is>
      </c>
    </row>
    <row r="26" ht="15.75" customHeight="1" s="67">
      <c r="A26" t="inlineStr">
        <is>
          <t>BAND_SLOPE_SIZING_V2_ENABLED</t>
        </is>
      </c>
      <c r="B26" t="b">
        <v>0</v>
      </c>
      <c r="D26" t="inlineStr">
        <is>
          <t>STDEV_LADDER</t>
        </is>
      </c>
      <c r="E26">
        <f>IF(G26="",E25,IF(G26&gt;0,E25+G26,E25))</f>
        <v/>
      </c>
      <c r="F26">
        <f>IFERROR(VLOOKUP($A26&amp;"="&amp;$B26,Results_Deltas!$A$2:$P$15000,5,FALSE),"")</f>
        <v/>
      </c>
      <c r="G26">
        <f>IFERROR(VLOOKUP($A26,Results_30d_Deltas!$A$2:$H$5000,7,FALSE)-E26,"")</f>
        <v/>
      </c>
      <c r="H26">
        <f>IFERROR(VLOOKUP($A26,Results_30d_Deltas!$A$2:$H$5000,6,FALSE),"")</f>
        <v/>
      </c>
      <c r="L26" t="inlineStr">
        <is>
          <t>NO</t>
        </is>
      </c>
    </row>
    <row r="27" ht="15.75" customHeight="1" s="67">
      <c r="A27" t="inlineStr">
        <is>
          <t>BAND_SLOPE_SIZING_V2_TF</t>
        </is>
      </c>
      <c r="B27" t="inlineStr">
        <is>
          <t>4h</t>
        </is>
      </c>
      <c r="D27" t="inlineStr">
        <is>
          <t>STDEV_LADDER</t>
        </is>
      </c>
      <c r="E27">
        <f>IF(G27="",E26,IF(G27&gt;0,E26+G27,E26))</f>
        <v/>
      </c>
      <c r="F27">
        <f>IFERROR(VLOOKUP($A27&amp;"="&amp;$B27,Results_Deltas!$A$2:$P$15000,5,FALSE),"")</f>
        <v/>
      </c>
      <c r="G27">
        <f>IFERROR(VLOOKUP($A27,Results_30d_Deltas!$A$2:$H$5000,7,FALSE)-E27,"")</f>
        <v/>
      </c>
      <c r="H27">
        <f>IFERROR(VLOOKUP($A27,Results_30d_Deltas!$A$2:$H$5000,6,FALSE),"")</f>
        <v/>
      </c>
      <c r="L27" t="inlineStr">
        <is>
          <t>NO</t>
        </is>
      </c>
    </row>
    <row r="28" ht="15.75" customHeight="1" s="67">
      <c r="A28" t="inlineStr">
        <is>
          <t>BAND_SLOPE_SIZING_V2_MAX</t>
        </is>
      </c>
      <c r="B28" t="n">
        <v>1</v>
      </c>
      <c r="D28" t="inlineStr">
        <is>
          <t>STDEV_LADDER</t>
        </is>
      </c>
      <c r="E28">
        <f>IF(G28="",E27,IF(G28&gt;0,E27+G28,E27))</f>
        <v/>
      </c>
      <c r="F28">
        <f>IFERROR(VLOOKUP($A28&amp;"="&amp;$B28,Results_Deltas!$A$2:$P$15000,5,FALSE),"")</f>
        <v/>
      </c>
      <c r="G28">
        <f>IFERROR(VLOOKUP($A28,Results_30d_Deltas!$A$2:$H$5000,7,FALSE)-E28,"")</f>
        <v/>
      </c>
      <c r="H28">
        <f>IFERROR(VLOOKUP($A28,Results_30d_Deltas!$A$2:$H$5000,6,FALSE),"")</f>
        <v/>
      </c>
      <c r="L28" t="inlineStr">
        <is>
          <t>NO</t>
        </is>
      </c>
    </row>
    <row r="29" ht="15.75" customHeight="1" s="67">
      <c r="A29" t="inlineStr">
        <is>
          <t>BAND_SLOPE_SIZING_V2_MIN</t>
        </is>
      </c>
      <c r="B29" t="n">
        <v>0.25</v>
      </c>
      <c r="D29" t="inlineStr">
        <is>
          <t>STDEV_LADDER</t>
        </is>
      </c>
      <c r="E29">
        <f>IF(G29="",E28,IF(G29&gt;0,E28+G29,E28))</f>
        <v/>
      </c>
      <c r="F29">
        <f>IFERROR(VLOOKUP($A29&amp;"="&amp;$B29,Results_Deltas!$A$2:$P$15000,5,FALSE),"")</f>
        <v/>
      </c>
      <c r="G29">
        <f>IFERROR(VLOOKUP($A29,Results_30d_Deltas!$A$2:$H$5000,7,FALSE)-E29,"")</f>
        <v/>
      </c>
      <c r="H29">
        <f>IFERROR(VLOOKUP($A29,Results_30d_Deltas!$A$2:$H$5000,6,FALSE),"")</f>
        <v/>
      </c>
      <c r="L29" t="inlineStr">
        <is>
          <t>NO</t>
        </is>
      </c>
    </row>
    <row r="30" ht="15.75" customHeight="1" s="67">
      <c r="A30" t="inlineStr">
        <is>
          <t>STDEV_BAND_MULTIPLIER</t>
        </is>
      </c>
      <c r="B30" t="n">
        <v>1.5</v>
      </c>
      <c r="D30" t="inlineStr">
        <is>
          <t>STDEV_LADDER</t>
        </is>
      </c>
      <c r="E30">
        <f>IF(G30="",E29,IF(G30&gt;0,E29+G30,E29))</f>
        <v/>
      </c>
      <c r="F30">
        <f>IFERROR(VLOOKUP($A30&amp;"="&amp;$B30,Results_Deltas!$A$2:$P$15000,5,FALSE),"")</f>
        <v/>
      </c>
      <c r="G30">
        <f>IFERROR(VLOOKUP($A30,Results_30d_Deltas!$A$2:$H$5000,7,FALSE)-E30,"")</f>
        <v/>
      </c>
      <c r="H30">
        <f>IFERROR(VLOOKUP($A30,Results_30d_Deltas!$A$2:$H$5000,6,FALSE),"")</f>
        <v/>
      </c>
      <c r="L30"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DC_BREAKOUT_TF</t>
        </is>
      </c>
      <c r="B3" t="inlineStr">
        <is>
          <t>OFF</t>
        </is>
      </c>
      <c r="G3">
        <f>IFERROR(VLOOKUP($A3&amp;"="&amp;$B3,Results_Deltas!$A$2:$P$15000,5,FALSE),"")</f>
        <v/>
      </c>
      <c r="H3">
        <f>IFERROR(VLOOKUP($A3,Results_30d_Deltas!$A$2:$H$5000,7,FALSE)-E3,"")</f>
        <v/>
      </c>
      <c r="I3">
        <f>IFERROR(VLOOKUP($A3,Results_30d_Deltas!$A$2:$H$5000,6,FALSE),"")</f>
        <v/>
      </c>
      <c r="L3" t="inlineStr">
        <is>
          <t>NO</t>
        </is>
      </c>
      <c r="IK3" t="inlineStr">
        <is>
          <t>ez_manage.py:3078 top()</t>
        </is>
      </c>
      <c r="IL3" t="inlineStr">
        <is>
          <t>v12_quick_engine.py:1518 x5</t>
        </is>
      </c>
    </row>
    <row r="4" ht="10.5" customHeight="1" s="67">
      <c r="A4" t="inlineStr">
        <is>
          <t>DC_BREAKOUT_TF</t>
        </is>
      </c>
      <c r="B4" t="inlineStr">
        <is>
          <t>D</t>
        </is>
      </c>
      <c r="G4">
        <f>IFERROR(VLOOKUP($A4&amp;"_"&amp;$B4,Results_Deltas!$A$2:$P$15000,5,FALSE),"")</f>
        <v/>
      </c>
      <c r="H4">
        <f>IFERROR(VLOOKUP($A4,Results_30d_Deltas!$A$2:$H$5000,7,FALSE)-E3,"")</f>
        <v/>
      </c>
      <c r="I4">
        <f>IFERROR(VLOOKUP($A4,Results_30d_Deltas!$A$2:$H$5000,6,FALSE),"")</f>
        <v/>
      </c>
      <c r="L4" t="inlineStr">
        <is>
          <t>NO</t>
        </is>
      </c>
      <c r="IK4" t="inlineStr">
        <is>
          <t>ez_manage.py:3078 top()</t>
        </is>
      </c>
      <c r="IL4" t="inlineStr">
        <is>
          <t>v12_quick_engine.py:1518 x5</t>
        </is>
      </c>
    </row>
    <row r="5" ht="10.5" customHeight="1" s="67">
      <c r="A5" t="inlineStr">
        <is>
          <t>DC_BREAKOUT_TF</t>
        </is>
      </c>
      <c r="B5" t="inlineStr">
        <is>
          <t>4h</t>
        </is>
      </c>
      <c r="G5">
        <f>IFERROR(VLOOKUP($A5&amp;"_"&amp;$B5,Results_Deltas!$A$2:$P$15000,5,FALSE),"")</f>
        <v/>
      </c>
      <c r="H5">
        <f>IFERROR(VLOOKUP($A5,Results_30d_Deltas!$A$2:$H$5000,7,FALSE)-E4,"")</f>
        <v/>
      </c>
      <c r="I5">
        <f>IFERROR(VLOOKUP($A5,Results_30d_Deltas!$A$2:$H$5000,6,FALSE),"")</f>
        <v/>
      </c>
      <c r="L5" t="inlineStr">
        <is>
          <t>NO</t>
        </is>
      </c>
      <c r="IK5" t="inlineStr">
        <is>
          <t>ez_manage.py:3078 top()</t>
        </is>
      </c>
      <c r="IL5" t="inlineStr">
        <is>
          <t>v12_quick_engine.py:1518 x5</t>
        </is>
      </c>
    </row>
    <row r="6" ht="10.5" customHeight="1" s="67">
      <c r="A6" t="inlineStr">
        <is>
          <t>DC_BREAKOUT_TF</t>
        </is>
      </c>
      <c r="B6" t="inlineStr">
        <is>
          <t>15m</t>
        </is>
      </c>
      <c r="G6">
        <f>IFERROR(VLOOKUP($A6&amp;"_"&amp;$B6,Results_Deltas!$A$2:$P$15000,5,FALSE),"")</f>
        <v/>
      </c>
      <c r="H6">
        <f>IFERROR(VLOOKUP($A6,Results_30d_Deltas!$A$2:$H$5000,7,FALSE)-E5,"")</f>
        <v/>
      </c>
      <c r="I6">
        <f>IFERROR(VLOOKUP($A6,Results_30d_Deltas!$A$2:$H$5000,6,FALSE),"")</f>
        <v/>
      </c>
      <c r="L6" t="inlineStr">
        <is>
          <t>YES</t>
        </is>
      </c>
      <c r="IK6" t="inlineStr">
        <is>
          <t>ez_manage.py:3078 top()</t>
        </is>
      </c>
      <c r="IL6" t="inlineStr">
        <is>
          <t>v12_quick_engine.py:1518 x5</t>
        </is>
      </c>
    </row>
    <row r="7" ht="10.5" customHeight="1" s="67">
      <c r="A7" t="inlineStr">
        <is>
          <t>DC_BREAKOUT_TF</t>
        </is>
      </c>
      <c r="B7" t="inlineStr">
        <is>
          <t>15m</t>
        </is>
      </c>
      <c r="G7">
        <f>IFERROR(VLOOKUP($A7&amp;"_"&amp;$B7,Results_Deltas!$A$2:$P$15000,5,FALSE),"")</f>
        <v/>
      </c>
      <c r="H7">
        <f>IFERROR(VLOOKUP($A7,Results_30d_Deltas!$A$2:$H$5000,7,FALSE)-E6,"")</f>
        <v/>
      </c>
      <c r="I7">
        <f>IFERROR(VLOOKUP($A7,Results_30d_Deltas!$A$2:$H$5000,6,FALSE),"")</f>
        <v/>
      </c>
      <c r="L7" t="inlineStr">
        <is>
          <t>NO</t>
        </is>
      </c>
      <c r="IK7" t="inlineStr">
        <is>
          <t>ez_manage.py:3078 top()</t>
        </is>
      </c>
      <c r="IL7" t="inlineStr">
        <is>
          <t>v12_quick_engine.py:1518 x5</t>
        </is>
      </c>
    </row>
    <row r="8" ht="10.5" customHeight="1" s="67">
      <c r="A8" t="inlineStr">
        <is>
          <t>DC_BREAKOUT_SCORE</t>
        </is>
      </c>
      <c r="B8" t="inlineStr">
        <is>
          <t>10</t>
        </is>
      </c>
      <c r="G8">
        <f>IFERROR(VLOOKUP($A8&amp;"_"&amp;$B8,Results_Deltas!$A$2:$P$15000,5,FALSE),"")</f>
        <v/>
      </c>
      <c r="H8">
        <f>IFERROR(VLOOKUP($A8,Results_30d_Deltas!$A$2:$H$5000,7,FALSE)-E7,"")</f>
        <v/>
      </c>
      <c r="I8">
        <f>IFERROR(VLOOKUP($A8,Results_30d_Deltas!$A$2:$H$5000,6,FALSE),"")</f>
        <v/>
      </c>
      <c r="L8" t="inlineStr">
        <is>
          <t>NO</t>
        </is>
      </c>
      <c r="IK8" t="inlineStr">
        <is>
          <t>ez_manage.py:3077 top()</t>
        </is>
      </c>
      <c r="IL8" t="inlineStr">
        <is>
          <t>v12_quick_engine.py:1517 x18</t>
        </is>
      </c>
    </row>
    <row r="9" ht="10.5" customHeight="1" s="67">
      <c r="A9" t="inlineStr">
        <is>
          <t>DC_BREAKOUT_SCORE</t>
        </is>
      </c>
      <c r="B9" t="n">
        <v>20</v>
      </c>
      <c r="G9">
        <f>IFERROR(VLOOKUP($A9&amp;"_"&amp;$B9,Results_Deltas!$A$2:$P$15000,5,FALSE),"")</f>
        <v/>
      </c>
      <c r="H9">
        <f>IFERROR(VLOOKUP($A9,Results_30d_Deltas!$A$2:$H$5000,7,FALSE)-E8,"")</f>
        <v/>
      </c>
      <c r="I9">
        <f>IFERROR(VLOOKUP($A9,Results_30d_Deltas!$A$2:$H$5000,6,FALSE),"")</f>
        <v/>
      </c>
      <c r="L9" t="inlineStr">
        <is>
          <t>YES</t>
        </is>
      </c>
      <c r="IK9" t="inlineStr">
        <is>
          <t>ez_manage.py:3077 top()</t>
        </is>
      </c>
      <c r="IL9" t="inlineStr">
        <is>
          <t>v12_quick_engine.py:1517 x18</t>
        </is>
      </c>
    </row>
    <row r="10" ht="10.5" customHeight="1" s="67">
      <c r="A10" t="inlineStr">
        <is>
          <t>DC_BREAKOUT_SCORE</t>
        </is>
      </c>
      <c r="B10" t="inlineStr">
        <is>
          <t>20</t>
        </is>
      </c>
      <c r="G10">
        <f>IFERROR(VLOOKUP($A10&amp;"_"&amp;$B10,Results_Deltas!$A$2:$P$15000,5,FALSE),"")</f>
        <v/>
      </c>
      <c r="H10">
        <f>IFERROR(VLOOKUP($A10,Results_30d_Deltas!$A$2:$H$5000,7,FALSE)-E9,"")</f>
        <v/>
      </c>
      <c r="I10">
        <f>IFERROR(VLOOKUP($A10,Results_30d_Deltas!$A$2:$H$5000,6,FALSE),"")</f>
        <v/>
      </c>
      <c r="L10" t="inlineStr">
        <is>
          <t>NO</t>
        </is>
      </c>
      <c r="IK10" t="inlineStr">
        <is>
          <t>ez_manage.py:3077 top()</t>
        </is>
      </c>
      <c r="IL10" t="inlineStr">
        <is>
          <t>v12_quick_engine.py:1517 x18</t>
        </is>
      </c>
    </row>
    <row r="11" ht="10.5" customHeight="1" s="67">
      <c r="A11" t="inlineStr">
        <is>
          <t>DC_BREAKOUT_SCORE</t>
        </is>
      </c>
      <c r="B11" t="inlineStr">
        <is>
          <t>25</t>
        </is>
      </c>
      <c r="G11">
        <f>IFERROR(VLOOKUP($A11&amp;"_"&amp;$B11,Results_Deltas!$A$2:$P$15000,5,FALSE),"")</f>
        <v/>
      </c>
      <c r="H11">
        <f>IFERROR(VLOOKUP($A11,Results_30d_Deltas!$A$2:$H$5000,7,FALSE)-E10,"")</f>
        <v/>
      </c>
      <c r="I11">
        <f>IFERROR(VLOOKUP($A11,Results_30d_Deltas!$A$2:$H$5000,6,FALSE),"")</f>
        <v/>
      </c>
      <c r="L11" t="inlineStr">
        <is>
          <t>NO</t>
        </is>
      </c>
      <c r="IK11" t="inlineStr">
        <is>
          <t>ez_manage.py:3077 top()</t>
        </is>
      </c>
      <c r="IL11" t="inlineStr">
        <is>
          <t>v12_quick_engine.py:1517 x18</t>
        </is>
      </c>
    </row>
    <row r="12" ht="10.5" customHeight="1" s="67">
      <c r="A12" t="inlineStr">
        <is>
          <t>DC_BREAKOUT_SCORE</t>
        </is>
      </c>
      <c r="B12" t="inlineStr">
        <is>
          <t>30</t>
        </is>
      </c>
      <c r="G12">
        <f>IFERROR(VLOOKUP($A12&amp;"_"&amp;$B12,Results_Deltas!$A$2:$P$15000,5,FALSE),"")</f>
        <v/>
      </c>
      <c r="H12">
        <f>IFERROR(VLOOKUP($A12,Results_30d_Deltas!$A$2:$H$5000,7,FALSE)-E11,"")</f>
        <v/>
      </c>
      <c r="I12">
        <f>IFERROR(VLOOKUP($A12,Results_30d_Deltas!$A$2:$H$5000,6,FALSE),"")</f>
        <v/>
      </c>
      <c r="L12" t="inlineStr">
        <is>
          <t>NO</t>
        </is>
      </c>
      <c r="IK12" t="inlineStr">
        <is>
          <t>ez_manage.py:3077 top()</t>
        </is>
      </c>
      <c r="IL12" t="inlineStr">
        <is>
          <t>v12_quick_engine.py:1517 x18</t>
        </is>
      </c>
    </row>
    <row r="13" ht="10.5" customHeight="1" s="67">
      <c r="A13" t="inlineStr">
        <is>
          <t>BB_BREAKOUT_SCORE</t>
        </is>
      </c>
      <c r="B13" t="inlineStr">
        <is>
          <t>10</t>
        </is>
      </c>
      <c r="G13">
        <f>IFERROR(VLOOKUP($A13&amp;"_"&amp;$B13,Results_Deltas!$A$2:$P$15000,5,FALSE),"")</f>
        <v/>
      </c>
      <c r="H13">
        <f>IFERROR(VLOOKUP($A13,Results_30d_Deltas!$A$2:$H$5000,7,FALSE)-E12,"")</f>
        <v/>
      </c>
      <c r="I13">
        <f>IFERROR(VLOOKUP($A13,Results_30d_Deltas!$A$2:$H$5000,6,FALSE),"")</f>
        <v/>
      </c>
      <c r="L13" t="inlineStr">
        <is>
          <t>NO</t>
        </is>
      </c>
      <c r="IK13" t="inlineStr">
        <is>
          <t>ez_manage.py:2963 top()</t>
        </is>
      </c>
      <c r="IL13" t="inlineStr">
        <is>
          <t>v12_quick_engine.py:1255 x6</t>
        </is>
      </c>
    </row>
    <row r="14" ht="10.5" customHeight="1" s="67">
      <c r="A14" t="inlineStr">
        <is>
          <t>BB_BREAKOUT_SCORE</t>
        </is>
      </c>
      <c r="B14" t="inlineStr">
        <is>
          <t>15</t>
        </is>
      </c>
      <c r="G14">
        <f>IFERROR(VLOOKUP($A14&amp;"_"&amp;$B14,Results_Deltas!$A$2:$P$15000,5,FALSE),"")</f>
        <v/>
      </c>
      <c r="H14">
        <f>IFERROR(VLOOKUP($A14,Results_30d_Deltas!$A$2:$H$5000,7,FALSE)-E13,"")</f>
        <v/>
      </c>
      <c r="I14">
        <f>IFERROR(VLOOKUP($A14,Results_30d_Deltas!$A$2:$H$5000,6,FALSE),"")</f>
        <v/>
      </c>
      <c r="L14" t="inlineStr">
        <is>
          <t>NO</t>
        </is>
      </c>
      <c r="IK14" t="inlineStr">
        <is>
          <t>ez_manage.py:2963 top()</t>
        </is>
      </c>
      <c r="IL14" t="inlineStr">
        <is>
          <t>v12_quick_engine.py:1255 x6</t>
        </is>
      </c>
    </row>
    <row r="15" ht="10.5" customHeight="1" s="67">
      <c r="A15" t="inlineStr">
        <is>
          <t>BB_BREAKOUT_SCORE</t>
        </is>
      </c>
      <c r="B15" t="inlineStr">
        <is>
          <t>20</t>
        </is>
      </c>
      <c r="G15">
        <f>IFERROR(VLOOKUP($A15&amp;"_"&amp;$B15,Results_Deltas!$A$2:$P$15000,5,FALSE),"")</f>
        <v/>
      </c>
      <c r="H15">
        <f>IFERROR(VLOOKUP($A15,Results_30d_Deltas!$A$2:$H$5000,7,FALSE)-E14,"")</f>
        <v/>
      </c>
      <c r="I15">
        <f>IFERROR(VLOOKUP($A15,Results_30d_Deltas!$A$2:$H$5000,6,FALSE),"")</f>
        <v/>
      </c>
      <c r="L15" t="inlineStr">
        <is>
          <t>YES</t>
        </is>
      </c>
      <c r="IK15" t="inlineStr">
        <is>
          <t>ez_manage.py:2963 top()</t>
        </is>
      </c>
      <c r="IL15" t="inlineStr">
        <is>
          <t>v12_quick_engine.py:1255 x6</t>
        </is>
      </c>
    </row>
    <row r="16" ht="10.5" customHeight="1" s="67">
      <c r="A16" t="inlineStr">
        <is>
          <t>BB_BREAKOUT_SCORE</t>
        </is>
      </c>
      <c r="B16" t="inlineStr">
        <is>
          <t>25</t>
        </is>
      </c>
      <c r="G16">
        <f>IFERROR(VLOOKUP($A16&amp;"_"&amp;$B16,Results_Deltas!$A$2:$P$15000,5,FALSE),"")</f>
        <v/>
      </c>
      <c r="H16">
        <f>IFERROR(VLOOKUP($A16,Results_30d_Deltas!$A$2:$H$5000,7,FALSE)-E15,"")</f>
        <v/>
      </c>
      <c r="I16">
        <f>IFERROR(VLOOKUP($A16,Results_30d_Deltas!$A$2:$H$5000,6,FALSE),"")</f>
        <v/>
      </c>
      <c r="L16" t="inlineStr">
        <is>
          <t>NO</t>
        </is>
      </c>
      <c r="IK16" t="inlineStr">
        <is>
          <t>ez_manage.py:2963 top()</t>
        </is>
      </c>
      <c r="IL16" t="inlineStr">
        <is>
          <t>v12_quick_engine.py:1255 x6</t>
        </is>
      </c>
    </row>
    <row r="17" ht="10.5" customHeight="1" s="67">
      <c r="A17" t="inlineStr">
        <is>
          <t>BB_BREAKOUT_SCORE</t>
        </is>
      </c>
      <c r="B17" t="inlineStr">
        <is>
          <t>30</t>
        </is>
      </c>
      <c r="G17">
        <f>IFERROR(VLOOKUP($A17&amp;"_"&amp;$B17,Results_Deltas!$A$2:$P$15000,5,FALSE),"")</f>
        <v/>
      </c>
      <c r="H17">
        <f>IFERROR(VLOOKUP($A17,Results_30d_Deltas!$A$2:$H$5000,7,FALSE)-E16,"")</f>
        <v/>
      </c>
      <c r="I17">
        <f>IFERROR(VLOOKUP($A17,Results_30d_Deltas!$A$2:$H$5000,6,FALSE),"")</f>
        <v/>
      </c>
      <c r="L17" t="inlineStr">
        <is>
          <t>NO</t>
        </is>
      </c>
      <c r="IK17" t="inlineStr">
        <is>
          <t>ez_manage.py:2963 top()</t>
        </is>
      </c>
      <c r="IL17" t="inlineStr">
        <is>
          <t>v12_quick_engine.py:1255 x6</t>
        </is>
      </c>
    </row>
    <row r="18" ht="10.5" customHeight="1" s="67">
      <c r="A18" t="inlineStr">
        <is>
          <t>STDEV_BREAKOUT_ENABLED</t>
        </is>
      </c>
      <c r="B18" t="inlineStr">
        <is>
          <t>False</t>
        </is>
      </c>
      <c r="G18">
        <f>IFERROR(VLOOKUP($A18&amp;"_"&amp;$B18,Results_Deltas!$A$2:$P$15000,5,FALSE),"")</f>
        <v/>
      </c>
      <c r="H18">
        <f>IFERROR(VLOOKUP($A18,Results_30d_Deltas!$A$2:$H$5000,7,FALSE)-E17,"")</f>
        <v/>
      </c>
      <c r="I18">
        <f>IFERROR(VLOOKUP($A18,Results_30d_Deltas!$A$2:$H$5000,6,FALSE),"")</f>
        <v/>
      </c>
      <c r="L18" t="inlineStr">
        <is>
          <t>YES</t>
        </is>
      </c>
      <c r="IK18" t="inlineStr">
        <is>
          <t>ez_manage.py:4039 top()</t>
        </is>
      </c>
      <c r="IL18" t="inlineStr">
        <is>
          <t>v12_quick_engine.py:3275 x6</t>
        </is>
      </c>
    </row>
    <row r="19" ht="10.5" customHeight="1" s="67">
      <c r="A19" t="inlineStr">
        <is>
          <t>STDEV_BREAKOUT_ENABLED</t>
        </is>
      </c>
      <c r="B19" t="inlineStr">
        <is>
          <t>True</t>
        </is>
      </c>
      <c r="G19">
        <f>IFERROR(VLOOKUP($A19&amp;"_"&amp;$B19,Results_Deltas!$A$2:$P$15000,5,FALSE),"")</f>
        <v/>
      </c>
      <c r="H19">
        <f>IFERROR(VLOOKUP($A19,Results_30d_Deltas!$A$2:$H$5000,7,FALSE)-E18,"")</f>
        <v/>
      </c>
      <c r="I19">
        <f>IFERROR(VLOOKUP($A19,Results_30d_Deltas!$A$2:$H$5000,6,FALSE),"")</f>
        <v/>
      </c>
      <c r="L19" t="inlineStr">
        <is>
          <t>NO</t>
        </is>
      </c>
      <c r="IK19" t="inlineStr">
        <is>
          <t>ez_manage.py:4039 top()</t>
        </is>
      </c>
      <c r="IL19" t="inlineStr">
        <is>
          <t>v12_quick_engine.py:3275 x6</t>
        </is>
      </c>
    </row>
    <row r="20" ht="10.5" customHeight="1" s="67">
      <c r="A20" t="inlineStr">
        <is>
          <t>BTC_BREAKOUT_ENTRY_ENABLED</t>
        </is>
      </c>
      <c r="B20" t="inlineStr">
        <is>
          <t>False</t>
        </is>
      </c>
      <c r="G20">
        <f>IFERROR(VLOOKUP($A20&amp;"_"&amp;$B20,Results_Deltas!$A$2:$P$15000,5,FALSE),"")</f>
        <v/>
      </c>
      <c r="H20">
        <f>IFERROR(VLOOKUP($A20,Results_30d_Deltas!$A$2:$H$5000,7,FALSE)-E19,"")</f>
        <v/>
      </c>
      <c r="I20">
        <f>IFERROR(VLOOKUP($A20,Results_30d_Deltas!$A$2:$H$5000,6,FALSE),"")</f>
        <v/>
      </c>
      <c r="L20" t="inlineStr">
        <is>
          <t>NO</t>
        </is>
      </c>
      <c r="IK20" t="inlineStr">
        <is>
          <t>ez_manage.py:4432 top()</t>
        </is>
      </c>
      <c r="IL20" t="inlineStr">
        <is>
          <t>v12_quick_engine.py:393 x8</t>
        </is>
      </c>
    </row>
    <row r="21" ht="10.5" customHeight="1" s="67">
      <c r="A21" t="inlineStr">
        <is>
          <t>BTC_BREAKOUT_ENTRY_ENABLED</t>
        </is>
      </c>
      <c r="B21" t="b">
        <v>0</v>
      </c>
      <c r="G21">
        <f>IFERROR(VLOOKUP($A21&amp;"_"&amp;$B21,Results_Deltas!$A$2:$P$15000,5,FALSE),"")</f>
        <v/>
      </c>
      <c r="H21">
        <f>IFERROR(VLOOKUP($A21,Results_30d_Deltas!$A$2:$H$5000,7,FALSE)-E20,"")</f>
        <v/>
      </c>
      <c r="I21">
        <f>IFERROR(VLOOKUP($A21,Results_30d_Deltas!$A$2:$H$5000,6,FALSE),"")</f>
        <v/>
      </c>
      <c r="L21" t="inlineStr">
        <is>
          <t>YES</t>
        </is>
      </c>
      <c r="IK21" t="inlineStr">
        <is>
          <t>ez_manage.py:4432 top()</t>
        </is>
      </c>
      <c r="IL21" t="inlineStr">
        <is>
          <t>v12_quick_engine.py:393 x8</t>
        </is>
      </c>
    </row>
    <row r="22" ht="10.5" customHeight="1" s="67">
      <c r="A22" t="inlineStr">
        <is>
          <t>RZ_BREAKOUT_ENTRY_ENABLED</t>
        </is>
      </c>
      <c r="B22" t="inlineStr">
        <is>
          <t>False</t>
        </is>
      </c>
      <c r="G22">
        <f>IFERROR(VLOOKUP($A22&amp;"_"&amp;$B22,Results_Deltas!$A$2:$P$15000,5,FALSE),"")</f>
        <v/>
      </c>
      <c r="H22">
        <f>IFERROR(VLOOKUP($A22,Results_30d_Deltas!$A$2:$H$5000,7,FALSE)-E21,"")</f>
        <v/>
      </c>
      <c r="I22">
        <f>IFERROR(VLOOKUP($A22,Results_30d_Deltas!$A$2:$H$5000,6,FALSE),"")</f>
        <v/>
      </c>
      <c r="L22" t="inlineStr">
        <is>
          <t>YES</t>
        </is>
      </c>
      <c r="IK22" t="inlineStr">
        <is>
          <t>ez_manage.py:5398 top()</t>
        </is>
      </c>
      <c r="IL22" t="inlineStr">
        <is>
          <t>v12_quick_engine.py:3021 x3</t>
        </is>
      </c>
    </row>
    <row r="23" ht="10.5" customHeight="1" s="67">
      <c r="A23" t="inlineStr">
        <is>
          <t>RZ_BREAKOUT_ENTRY_ENABLED</t>
        </is>
      </c>
      <c r="B23" t="inlineStr">
        <is>
          <t>True</t>
        </is>
      </c>
      <c r="G23">
        <f>IFERROR(VLOOKUP($A23&amp;"_"&amp;$B23,Results_Deltas!$A$2:$P$15000,5,FALSE),"")</f>
        <v/>
      </c>
      <c r="H23">
        <f>IFERROR(VLOOKUP($A23,Results_30d_Deltas!$A$2:$H$5000,7,FALSE)-E22,"")</f>
        <v/>
      </c>
      <c r="I23">
        <f>IFERROR(VLOOKUP($A23,Results_30d_Deltas!$A$2:$H$5000,6,FALSE),"")</f>
        <v/>
      </c>
      <c r="L23" t="inlineStr">
        <is>
          <t>NO</t>
        </is>
      </c>
      <c r="IK23" t="inlineStr">
        <is>
          <t>ez_manage.py:5398 top()</t>
        </is>
      </c>
      <c r="IL23" t="inlineStr">
        <is>
          <t>v12_quick_engine.py:3021 x3</t>
        </is>
      </c>
    </row>
    <row r="24" ht="10.5" customHeight="1" s="67">
      <c r="A24" t="inlineStr">
        <is>
          <t>ATR_ADAPTIVE_SIZING_TARGET_PCT</t>
        </is>
      </c>
      <c r="B24" t="inlineStr">
        <is>
          <t>1.0</t>
        </is>
      </c>
      <c r="G24">
        <f>IFERROR(VLOOKUP($A24&amp;"_"&amp;$B24,Results_Deltas!$A$2:$P$15000,5,FALSE),"")</f>
        <v/>
      </c>
      <c r="H24">
        <f>IFERROR(VLOOKUP($A24,Results_30d_Deltas!$A$2:$H$5000,7,FALSE)-E23,"")</f>
        <v/>
      </c>
      <c r="I24">
        <f>IFERROR(VLOOKUP($A24,Results_30d_Deltas!$A$2:$H$5000,6,FALSE),"")</f>
        <v/>
      </c>
      <c r="L24" t="inlineStr">
        <is>
          <t>NO</t>
        </is>
      </c>
      <c r="IK24" t="inlineStr">
        <is>
          <t>ez_manage.py:4327 top()</t>
        </is>
      </c>
      <c r="IL24" t="inlineStr">
        <is>
          <t>v12_quick_engine.py:1209 x7</t>
        </is>
      </c>
    </row>
    <row r="25" ht="10.5" customHeight="1" s="67">
      <c r="A25" t="inlineStr">
        <is>
          <t>ATR_ADAPTIVE_SIZING_TARGET_PCT</t>
        </is>
      </c>
      <c r="B25" t="inlineStr">
        <is>
          <t>1.5</t>
        </is>
      </c>
      <c r="G25">
        <f>IFERROR(VLOOKUP($A25&amp;"_"&amp;$B25,Results_Deltas!$A$2:$P$15000,5,FALSE),"")</f>
        <v/>
      </c>
      <c r="H25">
        <f>IFERROR(VLOOKUP($A25,Results_30d_Deltas!$A$2:$H$5000,7,FALSE)-E24,"")</f>
        <v/>
      </c>
      <c r="I25">
        <f>IFERROR(VLOOKUP($A25,Results_30d_Deltas!$A$2:$H$5000,6,FALSE),"")</f>
        <v/>
      </c>
      <c r="L25" t="inlineStr">
        <is>
          <t>NO</t>
        </is>
      </c>
      <c r="IK25" t="inlineStr">
        <is>
          <t>ez_manage.py:4327 top()</t>
        </is>
      </c>
      <c r="IL25" t="inlineStr">
        <is>
          <t>v12_quick_engine.py:1209 x7</t>
        </is>
      </c>
    </row>
    <row r="26" ht="10.5" customHeight="1" s="67">
      <c r="A26" t="inlineStr">
        <is>
          <t>ATR_ADAPTIVE_SIZING_TARGET_PCT</t>
        </is>
      </c>
      <c r="B26" t="n">
        <v>1.5</v>
      </c>
      <c r="G26">
        <f>IFERROR(VLOOKUP($A26&amp;"_"&amp;$B26,Results_Deltas!$A$2:$P$15000,5,FALSE),"")</f>
        <v/>
      </c>
      <c r="H26">
        <f>IFERROR(VLOOKUP($A26,Results_30d_Deltas!$A$2:$H$5000,7,FALSE)-E25,"")</f>
        <v/>
      </c>
      <c r="I26">
        <f>IFERROR(VLOOKUP($A26,Results_30d_Deltas!$A$2:$H$5000,6,FALSE),"")</f>
        <v/>
      </c>
      <c r="L26" t="inlineStr">
        <is>
          <t>NO</t>
        </is>
      </c>
      <c r="IK26" t="inlineStr">
        <is>
          <t>ez_manage.py:4327 top()</t>
        </is>
      </c>
      <c r="IL26" t="inlineStr">
        <is>
          <t>v12_quick_engine.py:1209 x7</t>
        </is>
      </c>
    </row>
    <row r="27" ht="10.5" customHeight="1" s="67">
      <c r="A27" t="inlineStr">
        <is>
          <t>ATR_ADAPTIVE_SIZING_TARGET_PCT</t>
        </is>
      </c>
      <c r="B27" t="inlineStr">
        <is>
          <t>2.5</t>
        </is>
      </c>
      <c r="G27">
        <f>IFERROR(VLOOKUP($A27&amp;"_"&amp;$B27,Results_Deltas!$A$2:$P$15000,5,FALSE),"")</f>
        <v/>
      </c>
      <c r="H27">
        <f>IFERROR(VLOOKUP($A27,Results_30d_Deltas!$A$2:$H$5000,7,FALSE)-E26,"")</f>
        <v/>
      </c>
      <c r="I27">
        <f>IFERROR(VLOOKUP($A27,Results_30d_Deltas!$A$2:$H$5000,6,FALSE),"")</f>
        <v/>
      </c>
      <c r="L27" t="inlineStr">
        <is>
          <t>NO</t>
        </is>
      </c>
      <c r="IK27" t="inlineStr">
        <is>
          <t>ez_manage.py:4327 top()</t>
        </is>
      </c>
      <c r="IL27" t="inlineStr">
        <is>
          <t>v12_quick_engine.py:1209 x7</t>
        </is>
      </c>
    </row>
    <row r="28" ht="10.5" customHeight="1" s="67">
      <c r="A28" t="inlineStr">
        <is>
          <t>ATR_ADAPTIVE_SIZING_TARGET_PCT</t>
        </is>
      </c>
      <c r="B28" t="inlineStr">
        <is>
          <t>3.0</t>
        </is>
      </c>
      <c r="G28">
        <f>IFERROR(VLOOKUP($A28&amp;"_"&amp;$B28,Results_Deltas!$A$2:$P$15000,5,FALSE),"")</f>
        <v/>
      </c>
      <c r="H28">
        <f>IFERROR(VLOOKUP($A28,Results_30d_Deltas!$A$2:$H$5000,7,FALSE)-E27,"")</f>
        <v/>
      </c>
      <c r="I28">
        <f>IFERROR(VLOOKUP($A28,Results_30d_Deltas!$A$2:$H$5000,6,FALSE),"")</f>
        <v/>
      </c>
      <c r="L28" t="inlineStr">
        <is>
          <t>NO</t>
        </is>
      </c>
      <c r="IK28" t="inlineStr">
        <is>
          <t>ez_manage.py:4327 top()</t>
        </is>
      </c>
      <c r="IL28" t="inlineStr">
        <is>
          <t>v12_quick_engine.py:1209 x7</t>
        </is>
      </c>
    </row>
    <row r="29" ht="10.5" customHeight="1" s="67">
      <c r="A29" t="inlineStr">
        <is>
          <t>ATR_ADAPTIVE_STOP_MULT</t>
        </is>
      </c>
      <c r="B29" t="inlineStr">
        <is>
          <t>1.0</t>
        </is>
      </c>
      <c r="G29">
        <f>IFERROR(VLOOKUP($A29&amp;"_"&amp;$B29,Results_Deltas!$A$2:$P$15000,5,FALSE),"")</f>
        <v/>
      </c>
      <c r="H29">
        <f>IFERROR(VLOOKUP($A29,Results_30d_Deltas!$A$2:$H$5000,7,FALSE)-E28,"")</f>
        <v/>
      </c>
      <c r="I29">
        <f>IFERROR(VLOOKUP($A29,Results_30d_Deltas!$A$2:$H$5000,6,FALSE),"")</f>
        <v/>
      </c>
      <c r="L29" t="inlineStr">
        <is>
          <t>NO</t>
        </is>
      </c>
      <c r="IK29" t="inlineStr">
        <is>
          <t>ez_manage.py:4329 top()</t>
        </is>
      </c>
      <c r="IL29" t="inlineStr">
        <is>
          <t>v12_quick_engine.py:1211 x6</t>
        </is>
      </c>
    </row>
    <row r="30" ht="10.5" customHeight="1" s="67">
      <c r="A30" t="inlineStr">
        <is>
          <t>ATR_ADAPTIVE_STOP_MULT</t>
        </is>
      </c>
      <c r="B30" t="inlineStr">
        <is>
          <t>1.5</t>
        </is>
      </c>
      <c r="G30">
        <f>IFERROR(VLOOKUP($A30&amp;"_"&amp;$B30,Results_Deltas!$A$2:$P$15000,5,FALSE),"")</f>
        <v/>
      </c>
      <c r="H30">
        <f>IFERROR(VLOOKUP($A30,Results_30d_Deltas!$A$2:$H$5000,7,FALSE)-E29,"")</f>
        <v/>
      </c>
      <c r="I30">
        <f>IFERROR(VLOOKUP($A30,Results_30d_Deltas!$A$2:$H$5000,6,FALSE),"")</f>
        <v/>
      </c>
      <c r="L30" t="inlineStr">
        <is>
          <t>NO</t>
        </is>
      </c>
      <c r="IK30" t="inlineStr">
        <is>
          <t>ez_manage.py:4329 top()</t>
        </is>
      </c>
      <c r="IL30" t="inlineStr">
        <is>
          <t>v12_quick_engine.py:1211 x6</t>
        </is>
      </c>
    </row>
    <row r="31" ht="10.5" customHeight="1" s="67">
      <c r="A31" t="inlineStr">
        <is>
          <t>ATR_ADAPTIVE_STOP_MULT</t>
        </is>
      </c>
      <c r="B31" t="inlineStr">
        <is>
          <t>2.0</t>
        </is>
      </c>
      <c r="G31">
        <f>IFERROR(VLOOKUP($A31&amp;"_"&amp;$B31,Results_Deltas!$A$2:$P$15000,5,FALSE),"")</f>
        <v/>
      </c>
      <c r="H31">
        <f>IFERROR(VLOOKUP($A31,Results_30d_Deltas!$A$2:$H$5000,7,FALSE)-E30,"")</f>
        <v/>
      </c>
      <c r="I31">
        <f>IFERROR(VLOOKUP($A31,Results_30d_Deltas!$A$2:$H$5000,6,FALSE),"")</f>
        <v/>
      </c>
      <c r="L31" t="inlineStr">
        <is>
          <t>YES</t>
        </is>
      </c>
      <c r="IK31" t="inlineStr">
        <is>
          <t>ez_manage.py:4329 top()</t>
        </is>
      </c>
      <c r="IL31" t="inlineStr">
        <is>
          <t>v12_quick_engine.py:1211 x6</t>
        </is>
      </c>
    </row>
    <row r="32" ht="10.5" customHeight="1" s="67">
      <c r="A32" t="inlineStr">
        <is>
          <t>ATR_ADAPTIVE_STOP_MULT</t>
        </is>
      </c>
      <c r="B32" t="inlineStr">
        <is>
          <t>2.5</t>
        </is>
      </c>
      <c r="G32">
        <f>IFERROR(VLOOKUP($A32&amp;"_"&amp;$B32,Results_Deltas!$A$2:$P$15000,5,FALSE),"")</f>
        <v/>
      </c>
      <c r="H32">
        <f>IFERROR(VLOOKUP($A32,Results_30d_Deltas!$A$2:$H$5000,7,FALSE)-E31,"")</f>
        <v/>
      </c>
      <c r="I32">
        <f>IFERROR(VLOOKUP($A32,Results_30d_Deltas!$A$2:$H$5000,6,FALSE),"")</f>
        <v/>
      </c>
      <c r="L32" t="inlineStr">
        <is>
          <t>NO</t>
        </is>
      </c>
      <c r="IK32" t="inlineStr">
        <is>
          <t>ez_manage.py:4329 top()</t>
        </is>
      </c>
      <c r="IL32" t="inlineStr">
        <is>
          <t>v12_quick_engine.py:1211 x6</t>
        </is>
      </c>
    </row>
    <row r="33" ht="10.5" customHeight="1" s="67">
      <c r="A33" t="inlineStr">
        <is>
          <t>ATR_ADAPTIVE_STOP_MULT</t>
        </is>
      </c>
      <c r="B33" t="inlineStr">
        <is>
          <t>3.0</t>
        </is>
      </c>
      <c r="G33">
        <f>IFERROR(VLOOKUP($A33&amp;"_"&amp;$B33,Results_Deltas!$A$2:$P$15000,5,FALSE),"")</f>
        <v/>
      </c>
      <c r="H33">
        <f>IFERROR(VLOOKUP($A33,Results_30d_Deltas!$A$2:$H$5000,7,FALSE)-E32,"")</f>
        <v/>
      </c>
      <c r="I33">
        <f>IFERROR(VLOOKUP($A33,Results_30d_Deltas!$A$2:$H$5000,6,FALSE),"")</f>
        <v/>
      </c>
      <c r="L33" t="inlineStr">
        <is>
          <t>NO</t>
        </is>
      </c>
      <c r="IK33" t="inlineStr">
        <is>
          <t>ez_manage.py:4329 top()</t>
        </is>
      </c>
      <c r="IL33" t="inlineStr">
        <is>
          <t>v12_quick_engine.py:1211 x6</t>
        </is>
      </c>
    </row>
    <row r="34" ht="10.5" customHeight="1" s="67">
      <c r="A34" t="inlineStr">
        <is>
          <t>ATR_LONG_WINDOW</t>
        </is>
      </c>
      <c r="B34" t="inlineStr">
        <is>
          <t>50</t>
        </is>
      </c>
      <c r="G34">
        <f>IFERROR(VLOOKUP($A34&amp;"_"&amp;$B34,Results_Deltas!$A$2:$P$15000,5,FALSE),"")</f>
        <v/>
      </c>
      <c r="H34">
        <f>IFERROR(VLOOKUP($A34,Results_30d_Deltas!$A$2:$H$5000,7,FALSE)-E33,"")</f>
        <v/>
      </c>
      <c r="I34">
        <f>IFERROR(VLOOKUP($A34,Results_30d_Deltas!$A$2:$H$5000,6,FALSE),"")</f>
        <v/>
      </c>
      <c r="L34" t="inlineStr">
        <is>
          <t>NO</t>
        </is>
      </c>
      <c r="IK34" t="inlineStr">
        <is>
          <t>ez_manage.py:4330 top()</t>
        </is>
      </c>
      <c r="IL34" t="inlineStr">
        <is>
          <t>v12_quick_engine.py:199 x5</t>
        </is>
      </c>
    </row>
    <row r="35" ht="10.5" customHeight="1" s="67">
      <c r="A35" t="inlineStr">
        <is>
          <t>ATR_LONG_WINDOW</t>
        </is>
      </c>
      <c r="B35" t="inlineStr">
        <is>
          <t>75</t>
        </is>
      </c>
      <c r="G35">
        <f>IFERROR(VLOOKUP($A35&amp;"_"&amp;$B35,Results_Deltas!$A$2:$P$15000,5,FALSE),"")</f>
        <v/>
      </c>
      <c r="H35">
        <f>IFERROR(VLOOKUP($A35,Results_30d_Deltas!$A$2:$H$5000,7,FALSE)-E34,"")</f>
        <v/>
      </c>
      <c r="I35">
        <f>IFERROR(VLOOKUP($A35,Results_30d_Deltas!$A$2:$H$5000,6,FALSE),"")</f>
        <v/>
      </c>
      <c r="L35" t="inlineStr">
        <is>
          <t>NO</t>
        </is>
      </c>
      <c r="IK35" t="inlineStr">
        <is>
          <t>ez_manage.py:4330 top()</t>
        </is>
      </c>
      <c r="IL35" t="inlineStr">
        <is>
          <t>v12_quick_engine.py:199 x5</t>
        </is>
      </c>
    </row>
    <row r="36" ht="10.5" customHeight="1" s="67">
      <c r="A36" t="inlineStr">
        <is>
          <t>ATR_LONG_WINDOW</t>
        </is>
      </c>
      <c r="B36" t="inlineStr">
        <is>
          <t>100</t>
        </is>
      </c>
      <c r="G36">
        <f>IFERROR(VLOOKUP($A36&amp;"_"&amp;$B36,Results_Deltas!$A$2:$P$15000,5,FALSE),"")</f>
        <v/>
      </c>
      <c r="H36">
        <f>IFERROR(VLOOKUP($A36,Results_30d_Deltas!$A$2:$H$5000,7,FALSE)-E35,"")</f>
        <v/>
      </c>
      <c r="I36">
        <f>IFERROR(VLOOKUP($A36,Results_30d_Deltas!$A$2:$H$5000,6,FALSE),"")</f>
        <v/>
      </c>
      <c r="L36" t="inlineStr">
        <is>
          <t>YES</t>
        </is>
      </c>
      <c r="IK36" t="inlineStr">
        <is>
          <t>ez_manage.py:4330 top()</t>
        </is>
      </c>
      <c r="IL36" t="inlineStr">
        <is>
          <t>v12_quick_engine.py:199 x5</t>
        </is>
      </c>
    </row>
    <row r="37" ht="10.5" customHeight="1" s="67">
      <c r="A37" t="inlineStr">
        <is>
          <t>ATR_LONG_WINDOW</t>
        </is>
      </c>
      <c r="B37" t="inlineStr">
        <is>
          <t>125</t>
        </is>
      </c>
      <c r="G37">
        <f>IFERROR(VLOOKUP($A37&amp;"_"&amp;$B37,Results_Deltas!$A$2:$P$15000,5,FALSE),"")</f>
        <v/>
      </c>
      <c r="H37">
        <f>IFERROR(VLOOKUP($A37,Results_30d_Deltas!$A$2:$H$5000,7,FALSE)-E36,"")</f>
        <v/>
      </c>
      <c r="I37">
        <f>IFERROR(VLOOKUP($A37,Results_30d_Deltas!$A$2:$H$5000,6,FALSE),"")</f>
        <v/>
      </c>
      <c r="L37" t="inlineStr">
        <is>
          <t>NO</t>
        </is>
      </c>
      <c r="IK37" t="inlineStr">
        <is>
          <t>ez_manage.py:4330 top()</t>
        </is>
      </c>
      <c r="IL37" t="inlineStr">
        <is>
          <t>v12_quick_engine.py:199 x5</t>
        </is>
      </c>
    </row>
    <row r="38" ht="10.5" customHeight="1" s="67">
      <c r="A38" t="inlineStr">
        <is>
          <t>ATR_LONG_WINDOW</t>
        </is>
      </c>
      <c r="B38" t="inlineStr">
        <is>
          <t>150</t>
        </is>
      </c>
      <c r="G38">
        <f>IFERROR(VLOOKUP($A38&amp;"_"&amp;$B38,Results_Deltas!$A$2:$P$15000,5,FALSE),"")</f>
        <v/>
      </c>
      <c r="H38">
        <f>IFERROR(VLOOKUP($A38,Results_30d_Deltas!$A$2:$H$5000,7,FALSE)-E37,"")</f>
        <v/>
      </c>
      <c r="I38">
        <f>IFERROR(VLOOKUP($A38,Results_30d_Deltas!$A$2:$H$5000,6,FALSE),"")</f>
        <v/>
      </c>
      <c r="L38" t="inlineStr">
        <is>
          <t>NO</t>
        </is>
      </c>
      <c r="IK38" t="inlineStr">
        <is>
          <t>ez_manage.py:4330 top()</t>
        </is>
      </c>
      <c r="IL38" t="inlineStr">
        <is>
          <t>v12_quick_engine.py:199 x5</t>
        </is>
      </c>
    </row>
    <row r="39" ht="10.5" customHeight="1" s="67">
      <c r="A39" t="inlineStr">
        <is>
          <t>BTC_RZ_WT_DC_MULTIFACTOR</t>
        </is>
      </c>
      <c r="B39" t="inlineStr">
        <is>
          <t>0</t>
        </is>
      </c>
      <c r="G39">
        <f>IFERROR(VLOOKUP($A39&amp;"_"&amp;$B39,Results_Deltas!$A$2:$P$15000,5,FALSE),"")</f>
        <v/>
      </c>
      <c r="H39">
        <f>IFERROR(VLOOKUP($A39,Results_30d_Deltas!$A$2:$H$5000,7,FALSE)-E38,"")</f>
        <v/>
      </c>
      <c r="I39">
        <f>IFERROR(VLOOKUP($A39,Results_30d_Deltas!$A$2:$H$5000,6,FALSE),"")</f>
        <v/>
      </c>
      <c r="L39" t="inlineStr">
        <is>
          <t>NO</t>
        </is>
      </c>
      <c r="IK39" t="inlineStr">
        <is>
          <t>ez_manage.py:5965 top()</t>
        </is>
      </c>
      <c r="IL39" t="inlineStr">
        <is>
          <t>v12_quick_engine.py:450 x8</t>
        </is>
      </c>
    </row>
    <row r="40" ht="10.5" customHeight="1" s="67">
      <c r="A40" t="inlineStr">
        <is>
          <t>BTC_RZ_WT_DC_MULTIFACTOR</t>
        </is>
      </c>
      <c r="B40" t="inlineStr">
        <is>
          <t>0.5</t>
        </is>
      </c>
      <c r="G40">
        <f>IFERROR(VLOOKUP($A40&amp;"_"&amp;$B40,Results_Deltas!$A$2:$P$15000,5,FALSE),"")</f>
        <v/>
      </c>
      <c r="H40">
        <f>IFERROR(VLOOKUP($A40,Results_30d_Deltas!$A$2:$H$5000,7,FALSE)-E39,"")</f>
        <v/>
      </c>
      <c r="I40">
        <f>IFERROR(VLOOKUP($A40,Results_30d_Deltas!$A$2:$H$5000,6,FALSE),"")</f>
        <v/>
      </c>
      <c r="L40" t="inlineStr">
        <is>
          <t>NO</t>
        </is>
      </c>
      <c r="IK40" t="inlineStr">
        <is>
          <t>ez_manage.py:5965 top()</t>
        </is>
      </c>
      <c r="IL40" t="inlineStr">
        <is>
          <t>v12_quick_engine.py:450 x8</t>
        </is>
      </c>
    </row>
    <row r="41" ht="10.5" customHeight="1" s="67">
      <c r="A41" t="inlineStr">
        <is>
          <t>BTC_RZ_WT_DC_MULTIFACTOR</t>
        </is>
      </c>
      <c r="B41" t="inlineStr">
        <is>
          <t>1.0</t>
        </is>
      </c>
      <c r="G41">
        <f>IFERROR(VLOOKUP($A41&amp;"_"&amp;$B41,Results_Deltas!$A$2:$P$15000,5,FALSE),"")</f>
        <v/>
      </c>
      <c r="H41">
        <f>IFERROR(VLOOKUP($A41,Results_30d_Deltas!$A$2:$H$5000,7,FALSE)-E40,"")</f>
        <v/>
      </c>
      <c r="I41">
        <f>IFERROR(VLOOKUP($A41,Results_30d_Deltas!$A$2:$H$5000,6,FALSE),"")</f>
        <v/>
      </c>
      <c r="L41" t="inlineStr">
        <is>
          <t>NO</t>
        </is>
      </c>
      <c r="IK41" t="inlineStr">
        <is>
          <t>ez_manage.py:5965 top()</t>
        </is>
      </c>
      <c r="IL41" t="inlineStr">
        <is>
          <t>v12_quick_engine.py:450 x8</t>
        </is>
      </c>
    </row>
    <row r="42" ht="10.5" customHeight="1" s="67">
      <c r="A42" t="inlineStr">
        <is>
          <t>BTC_RZ_WT_DC_MULTIFACTOR</t>
        </is>
      </c>
      <c r="B42" t="inlineStr">
        <is>
          <t>2.0</t>
        </is>
      </c>
      <c r="G42">
        <f>IFERROR(VLOOKUP($A42&amp;"_"&amp;$B42,Results_Deltas!$A$2:$P$15000,5,FALSE),"")</f>
        <v/>
      </c>
      <c r="H42">
        <f>IFERROR(VLOOKUP($A42,Results_30d_Deltas!$A$2:$H$5000,7,FALSE)-E41,"")</f>
        <v/>
      </c>
      <c r="I42">
        <f>IFERROR(VLOOKUP($A42,Results_30d_Deltas!$A$2:$H$5000,6,FALSE),"")</f>
        <v/>
      </c>
      <c r="L42" t="inlineStr">
        <is>
          <t>NO</t>
        </is>
      </c>
      <c r="IK42" t="inlineStr">
        <is>
          <t>ez_manage.py:5965 top()</t>
        </is>
      </c>
      <c r="IL42" t="inlineStr">
        <is>
          <t>v12_quick_engine.py:450 x8</t>
        </is>
      </c>
    </row>
    <row r="43" ht="10.5" customHeight="1" s="67">
      <c r="A43" t="inlineStr">
        <is>
          <t>BTC_TECH_EXIT_WT_MIN_TFS</t>
        </is>
      </c>
      <c r="B43" t="inlineStr">
        <is>
          <t>0</t>
        </is>
      </c>
      <c r="G43">
        <f>IFERROR(VLOOKUP($A43&amp;"_"&amp;$B43,Results_Deltas!$A$2:$P$15000,5,FALSE),"")</f>
        <v/>
      </c>
      <c r="H43">
        <f>IFERROR(VLOOKUP($A43,Results_30d_Deltas!$A$2:$H$5000,7,FALSE)-E42,"")</f>
        <v/>
      </c>
      <c r="I43">
        <f>IFERROR(VLOOKUP($A43,Results_30d_Deltas!$A$2:$H$5000,6,FALSE),"")</f>
        <v/>
      </c>
      <c r="L43" t="inlineStr">
        <is>
          <t>NO</t>
        </is>
      </c>
      <c r="IK43" t="inlineStr">
        <is>
          <t>ez_manage.py:4517 top()</t>
        </is>
      </c>
      <c r="IL43" t="inlineStr">
        <is>
          <t>v12_quick_engine.py:457 x8</t>
        </is>
      </c>
    </row>
    <row r="44" ht="10.5" customHeight="1" s="67">
      <c r="A44" t="inlineStr">
        <is>
          <t>BTC_TECH_EXIT_WT_MIN_TFS</t>
        </is>
      </c>
      <c r="B44" t="inlineStr">
        <is>
          <t>0.5</t>
        </is>
      </c>
      <c r="G44">
        <f>IFERROR(VLOOKUP($A44&amp;"_"&amp;$B44,Results_Deltas!$A$2:$P$15000,5,FALSE),"")</f>
        <v/>
      </c>
      <c r="H44">
        <f>IFERROR(VLOOKUP($A44,Results_30d_Deltas!$A$2:$H$5000,7,FALSE)-E43,"")</f>
        <v/>
      </c>
      <c r="I44">
        <f>IFERROR(VLOOKUP($A44,Results_30d_Deltas!$A$2:$H$5000,6,FALSE),"")</f>
        <v/>
      </c>
      <c r="L44" t="inlineStr">
        <is>
          <t>NO</t>
        </is>
      </c>
      <c r="IK44" t="inlineStr">
        <is>
          <t>ez_manage.py:4517 top()</t>
        </is>
      </c>
      <c r="IL44" t="inlineStr">
        <is>
          <t>v12_quick_engine.py:457 x8</t>
        </is>
      </c>
    </row>
    <row r="45" ht="10.5" customHeight="1" s="67">
      <c r="A45" t="inlineStr">
        <is>
          <t>BTC_TECH_EXIT_WT_MIN_TFS</t>
        </is>
      </c>
      <c r="B45" t="inlineStr">
        <is>
          <t>1.0</t>
        </is>
      </c>
      <c r="G45">
        <f>IFERROR(VLOOKUP($A45&amp;"_"&amp;$B45,Results_Deltas!$A$2:$P$15000,5,FALSE),"")</f>
        <v/>
      </c>
      <c r="H45">
        <f>IFERROR(VLOOKUP($A45,Results_30d_Deltas!$A$2:$H$5000,7,FALSE)-E44,"")</f>
        <v/>
      </c>
      <c r="I45">
        <f>IFERROR(VLOOKUP($A45,Results_30d_Deltas!$A$2:$H$5000,6,FALSE),"")</f>
        <v/>
      </c>
      <c r="L45" t="inlineStr">
        <is>
          <t>NO</t>
        </is>
      </c>
      <c r="IK45" t="inlineStr">
        <is>
          <t>ez_manage.py:4517 top()</t>
        </is>
      </c>
      <c r="IL45" t="inlineStr">
        <is>
          <t>v12_quick_engine.py:457 x8</t>
        </is>
      </c>
    </row>
    <row r="46" ht="10.5" customHeight="1" s="67">
      <c r="A46" t="inlineStr">
        <is>
          <t>BTC_TECH_EXIT_WT_MIN_TFS</t>
        </is>
      </c>
      <c r="B46" t="inlineStr">
        <is>
          <t>2.0</t>
        </is>
      </c>
      <c r="G46">
        <f>IFERROR(VLOOKUP($A46&amp;"_"&amp;$B46,Results_Deltas!$A$2:$P$15000,5,FALSE),"")</f>
        <v/>
      </c>
      <c r="H46">
        <f>IFERROR(VLOOKUP($A46,Results_30d_Deltas!$A$2:$H$5000,7,FALSE)-E45,"")</f>
        <v/>
      </c>
      <c r="I46">
        <f>IFERROR(VLOOKUP($A46,Results_30d_Deltas!$A$2:$H$5000,6,FALSE),"")</f>
        <v/>
      </c>
      <c r="L46" t="inlineStr">
        <is>
          <t>NO</t>
        </is>
      </c>
      <c r="IK46" t="inlineStr">
        <is>
          <t>ez_manage.py:4517 top()</t>
        </is>
      </c>
      <c r="IL46" t="inlineStr">
        <is>
          <t>v12_quick_engine.py:457 x8</t>
        </is>
      </c>
    </row>
    <row r="47" ht="10.5" customHeight="1" s="67">
      <c r="A47" t="inlineStr">
        <is>
          <t>ENTRY_PRIMARY_TF</t>
        </is>
      </c>
      <c r="B47" t="inlineStr">
        <is>
          <t>OFF</t>
        </is>
      </c>
      <c r="G47">
        <f>IFERROR(VLOOKUP($A47&amp;"_"&amp;$B47,Results_Deltas!$A$2:$P$15000,5,FALSE),"")</f>
        <v/>
      </c>
      <c r="H47">
        <f>IFERROR(VLOOKUP($A47,Results_30d_Deltas!$A$2:$H$5000,7,FALSE)-E46,"")</f>
        <v/>
      </c>
      <c r="I47">
        <f>IFERROR(VLOOKUP($A47,Results_30d_Deltas!$A$2:$H$5000,6,FALSE),"")</f>
        <v/>
      </c>
      <c r="L47" t="inlineStr">
        <is>
          <t>NO</t>
        </is>
      </c>
      <c r="IK47" t="inlineStr">
        <is>
          <t>ez_manage.py:3216 top()</t>
        </is>
      </c>
      <c r="IL47" t="inlineStr">
        <is>
          <t>v12_quick_engine.py:1728 x4</t>
        </is>
      </c>
    </row>
    <row r="48" ht="10.5" customHeight="1" s="67">
      <c r="A48" t="inlineStr">
        <is>
          <t>ENTRY_PRIMARY_TF</t>
        </is>
      </c>
      <c r="B48" t="inlineStr">
        <is>
          <t>D</t>
        </is>
      </c>
      <c r="G48">
        <f>IFERROR(VLOOKUP($A48&amp;"_"&amp;$B48,Results_Deltas!$A$2:$P$15000,5,FALSE),"")</f>
        <v/>
      </c>
      <c r="H48">
        <f>IFERROR(VLOOKUP($A48,Results_30d_Deltas!$A$2:$H$5000,7,FALSE)-E47,"")</f>
        <v/>
      </c>
      <c r="I48">
        <f>IFERROR(VLOOKUP($A48,Results_30d_Deltas!$A$2:$H$5000,6,FALSE),"")</f>
        <v/>
      </c>
      <c r="L48" t="inlineStr">
        <is>
          <t>NO</t>
        </is>
      </c>
      <c r="IK48" t="inlineStr">
        <is>
          <t>ez_manage.py:3216 top()</t>
        </is>
      </c>
      <c r="IL48" t="inlineStr">
        <is>
          <t>v12_quick_engine.py:1728 x4</t>
        </is>
      </c>
    </row>
    <row r="49" ht="10.5" customHeight="1" s="67">
      <c r="A49" t="inlineStr">
        <is>
          <t>ENTRY_PRIMARY_TF</t>
        </is>
      </c>
      <c r="B49" t="inlineStr">
        <is>
          <t>4h</t>
        </is>
      </c>
      <c r="G49">
        <f>IFERROR(VLOOKUP($A49&amp;"_"&amp;$B49,Results_Deltas!$A$2:$P$15000,5,FALSE),"")</f>
        <v/>
      </c>
      <c r="H49">
        <f>IFERROR(VLOOKUP($A49,Results_30d_Deltas!$A$2:$H$5000,7,FALSE)-E48,"")</f>
        <v/>
      </c>
      <c r="I49">
        <f>IFERROR(VLOOKUP($A49,Results_30d_Deltas!$A$2:$H$5000,6,FALSE),"")</f>
        <v/>
      </c>
      <c r="L49" t="inlineStr">
        <is>
          <t>YES</t>
        </is>
      </c>
      <c r="IK49" t="inlineStr">
        <is>
          <t>ez_manage.py:3216 top()</t>
        </is>
      </c>
      <c r="IL49" t="inlineStr">
        <is>
          <t>v12_quick_engine.py:1728 x4</t>
        </is>
      </c>
    </row>
    <row r="50" ht="10.5" customHeight="1" s="67">
      <c r="A50" t="inlineStr">
        <is>
          <t>ENTRY_PRIMARY_TF</t>
        </is>
      </c>
      <c r="B50" t="inlineStr">
        <is>
          <t>1h</t>
        </is>
      </c>
      <c r="G50">
        <f>IFERROR(VLOOKUP($A50&amp;"_"&amp;$B50,Results_Deltas!$A$2:$P$15000,5,FALSE),"")</f>
        <v/>
      </c>
      <c r="H50">
        <f>IFERROR(VLOOKUP($A50,Results_30d_Deltas!$A$2:$H$5000,7,FALSE)-E49,"")</f>
        <v/>
      </c>
      <c r="I50">
        <f>IFERROR(VLOOKUP($A50,Results_30d_Deltas!$A$2:$H$5000,6,FALSE),"")</f>
        <v/>
      </c>
      <c r="L50" t="inlineStr">
        <is>
          <t>NO</t>
        </is>
      </c>
      <c r="IK50" t="inlineStr">
        <is>
          <t>ez_manage.py:3216 top()</t>
        </is>
      </c>
      <c r="IL50" t="inlineStr">
        <is>
          <t>v12_quick_engine.py:1728 x4</t>
        </is>
      </c>
    </row>
    <row r="51" ht="10.5" customHeight="1" s="67">
      <c r="A51" t="inlineStr">
        <is>
          <t>ENTRY_PRIMARY_TF</t>
        </is>
      </c>
      <c r="B51" t="inlineStr">
        <is>
          <t>15m</t>
        </is>
      </c>
      <c r="G51">
        <f>IFERROR(VLOOKUP($A51&amp;"_"&amp;$B51,Results_Deltas!$A$2:$P$15000,5,FALSE),"")</f>
        <v/>
      </c>
      <c r="H51">
        <f>IFERROR(VLOOKUP($A51,Results_30d_Deltas!$A$2:$H$5000,7,FALSE)-E50,"")</f>
        <v/>
      </c>
      <c r="I51">
        <f>IFERROR(VLOOKUP($A51,Results_30d_Deltas!$A$2:$H$5000,6,FALSE),"")</f>
        <v/>
      </c>
      <c r="L51" t="inlineStr">
        <is>
          <t>NO</t>
        </is>
      </c>
      <c r="IK51" t="inlineStr">
        <is>
          <t>ez_manage.py:3216 top()</t>
        </is>
      </c>
      <c r="IL51" t="inlineStr">
        <is>
          <t>v12_quick_engine.py:1728 x4</t>
        </is>
      </c>
    </row>
    <row r="52" ht="10.5" customHeight="1" s="67">
      <c r="A52" t="inlineStr">
        <is>
          <t>ENTRY_SCORE_THRESHOLD</t>
        </is>
      </c>
      <c r="B52" t="inlineStr">
        <is>
          <t>9.0</t>
        </is>
      </c>
      <c r="G52">
        <f>IFERROR(VLOOKUP($A52&amp;"_"&amp;$B52,Results_Deltas!$A$2:$P$15000,5,FALSE),"")</f>
        <v/>
      </c>
      <c r="H52">
        <f>IFERROR(VLOOKUP($A52,Results_30d_Deltas!$A$2:$H$5000,7,FALSE)-E51,"")</f>
        <v/>
      </c>
      <c r="I52">
        <f>IFERROR(VLOOKUP($A52,Results_30d_Deltas!$A$2:$H$5000,6,FALSE),"")</f>
        <v/>
      </c>
      <c r="L52" t="inlineStr">
        <is>
          <t>NO</t>
        </is>
      </c>
      <c r="IK52" t="inlineStr">
        <is>
          <t>ez_manage.py:4644 top()</t>
        </is>
      </c>
      <c r="IL52" t="inlineStr">
        <is>
          <t>v12_quick_engine.py:3394 x9</t>
        </is>
      </c>
    </row>
    <row r="53" ht="10.5" customHeight="1" s="67">
      <c r="A53" t="inlineStr">
        <is>
          <t>ENTRY_SCORE_THRESHOLD</t>
        </is>
      </c>
      <c r="B53" t="inlineStr">
        <is>
          <t>13.5</t>
        </is>
      </c>
      <c r="G53">
        <f>IFERROR(VLOOKUP($A53&amp;"_"&amp;$B53,Results_Deltas!$A$2:$P$15000,5,FALSE),"")</f>
        <v/>
      </c>
      <c r="H53">
        <f>IFERROR(VLOOKUP($A53,Results_30d_Deltas!$A$2:$H$5000,7,FALSE)-E52,"")</f>
        <v/>
      </c>
      <c r="I53">
        <f>IFERROR(VLOOKUP($A53,Results_30d_Deltas!$A$2:$H$5000,6,FALSE),"")</f>
        <v/>
      </c>
      <c r="L53" t="inlineStr">
        <is>
          <t>NO</t>
        </is>
      </c>
      <c r="IK53" t="inlineStr">
        <is>
          <t>ez_manage.py:4644 top()</t>
        </is>
      </c>
      <c r="IL53" t="inlineStr">
        <is>
          <t>v12_quick_engine.py:3394 x9</t>
        </is>
      </c>
    </row>
    <row r="54" ht="10.5" customHeight="1" s="67">
      <c r="A54" t="inlineStr">
        <is>
          <t>ENTRY_SCORE_THRESHOLD</t>
        </is>
      </c>
      <c r="B54" t="inlineStr">
        <is>
          <t>18.0</t>
        </is>
      </c>
      <c r="G54">
        <f>IFERROR(VLOOKUP($A54&amp;"_"&amp;$B54,Results_Deltas!$A$2:$P$15000,5,FALSE),"")</f>
        <v/>
      </c>
      <c r="H54">
        <f>IFERROR(VLOOKUP($A54,Results_30d_Deltas!$A$2:$H$5000,7,FALSE)-E53,"")</f>
        <v/>
      </c>
      <c r="I54">
        <f>IFERROR(VLOOKUP($A54,Results_30d_Deltas!$A$2:$H$5000,6,FALSE),"")</f>
        <v/>
      </c>
      <c r="L54" t="inlineStr">
        <is>
          <t>YES</t>
        </is>
      </c>
      <c r="IK54" t="inlineStr">
        <is>
          <t>ez_manage.py:4644 top()</t>
        </is>
      </c>
      <c r="IL54" t="inlineStr">
        <is>
          <t>v12_quick_engine.py:3394 x9</t>
        </is>
      </c>
    </row>
    <row r="55" ht="10.5" customHeight="1" s="67">
      <c r="A55" t="inlineStr">
        <is>
          <t>ENTRY_SCORE_THRESHOLD</t>
        </is>
      </c>
      <c r="B55" t="inlineStr">
        <is>
          <t>22.5</t>
        </is>
      </c>
      <c r="G55">
        <f>IFERROR(VLOOKUP($A55&amp;"_"&amp;$B55,Results_Deltas!$A$2:$P$15000,5,FALSE),"")</f>
        <v/>
      </c>
      <c r="H55">
        <f>IFERROR(VLOOKUP($A55,Results_30d_Deltas!$A$2:$H$5000,7,FALSE)-E54,"")</f>
        <v/>
      </c>
      <c r="I55">
        <f>IFERROR(VLOOKUP($A55,Results_30d_Deltas!$A$2:$H$5000,6,FALSE),"")</f>
        <v/>
      </c>
      <c r="L55" t="inlineStr">
        <is>
          <t>NO</t>
        </is>
      </c>
      <c r="IK55" t="inlineStr">
        <is>
          <t>ez_manage.py:4644 top()</t>
        </is>
      </c>
      <c r="IL55" t="inlineStr">
        <is>
          <t>v12_quick_engine.py:3394 x9</t>
        </is>
      </c>
    </row>
    <row r="56" ht="10.5" customHeight="1" s="67">
      <c r="A56" t="inlineStr">
        <is>
          <t>ENTRY_SCORE_THRESHOLD</t>
        </is>
      </c>
      <c r="B56" t="inlineStr">
        <is>
          <t>27.0</t>
        </is>
      </c>
      <c r="G56">
        <f>IFERROR(VLOOKUP($A56&amp;"_"&amp;$B56,Results_Deltas!$A$2:$P$15000,5,FALSE),"")</f>
        <v/>
      </c>
      <c r="H56">
        <f>IFERROR(VLOOKUP($A56,Results_30d_Deltas!$A$2:$H$5000,7,FALSE)-E55,"")</f>
        <v/>
      </c>
      <c r="I56">
        <f>IFERROR(VLOOKUP($A56,Results_30d_Deltas!$A$2:$H$5000,6,FALSE),"")</f>
        <v/>
      </c>
      <c r="L56" t="inlineStr">
        <is>
          <t>NO</t>
        </is>
      </c>
      <c r="IK56" t="inlineStr">
        <is>
          <t>ez_manage.py:4644 top()</t>
        </is>
      </c>
      <c r="IL56" t="inlineStr">
        <is>
          <t>v12_quick_engine.py:3394 x9</t>
        </is>
      </c>
    </row>
    <row r="57" ht="10.5" customHeight="1" s="67">
      <c r="A57" t="inlineStr">
        <is>
          <t>EXIT_SCORER_DC_EXTREME</t>
        </is>
      </c>
      <c r="B57" t="inlineStr">
        <is>
          <t>0.2</t>
        </is>
      </c>
      <c r="G57">
        <f>IFERROR(VLOOKUP($A57&amp;"_"&amp;$B57,Results_Deltas!$A$2:$P$15000,5,FALSE),"")</f>
        <v/>
      </c>
      <c r="H57">
        <f>IFERROR(VLOOKUP($A57,Results_30d_Deltas!$A$2:$H$5000,7,FALSE)-E56,"")</f>
        <v/>
      </c>
      <c r="I57">
        <f>IFERROR(VLOOKUP($A57,Results_30d_Deltas!$A$2:$H$5000,6,FALSE),"")</f>
        <v/>
      </c>
      <c r="L57" t="inlineStr">
        <is>
          <t>NO</t>
        </is>
      </c>
      <c r="IK57" t="inlineStr">
        <is>
          <t>ez_manage.py:3252 top()</t>
        </is>
      </c>
      <c r="IL57" t="inlineStr">
        <is>
          <t>v12_quick_engine.py:1781 x6</t>
        </is>
      </c>
    </row>
    <row r="58" ht="10.5" customHeight="1" s="67">
      <c r="A58" t="inlineStr">
        <is>
          <t>EXIT_SCORER_DC_EXTREME</t>
        </is>
      </c>
      <c r="B58" t="inlineStr">
        <is>
          <t>0.3</t>
        </is>
      </c>
      <c r="G58">
        <f>IFERROR(VLOOKUP($A58&amp;"_"&amp;$B58,Results_Deltas!$A$2:$P$15000,5,FALSE),"")</f>
        <v/>
      </c>
      <c r="H58">
        <f>IFERROR(VLOOKUP($A58,Results_30d_Deltas!$A$2:$H$5000,7,FALSE)-E57,"")</f>
        <v/>
      </c>
      <c r="I58">
        <f>IFERROR(VLOOKUP($A58,Results_30d_Deltas!$A$2:$H$5000,6,FALSE),"")</f>
        <v/>
      </c>
      <c r="L58" t="inlineStr">
        <is>
          <t>NO</t>
        </is>
      </c>
      <c r="IK58" t="inlineStr">
        <is>
          <t>ez_manage.py:3252 top()</t>
        </is>
      </c>
      <c r="IL58" t="inlineStr">
        <is>
          <t>v12_quick_engine.py:1781 x6</t>
        </is>
      </c>
    </row>
    <row r="59" ht="10.5" customHeight="1" s="67">
      <c r="A59" t="inlineStr">
        <is>
          <t>EXIT_SCORER_DC_EXTREME</t>
        </is>
      </c>
      <c r="B59" t="n">
        <v>0.8</v>
      </c>
      <c r="G59">
        <f>IFERROR(VLOOKUP($A59&amp;"_"&amp;$B59,Results_Deltas!$A$2:$P$15000,5,FALSE),"")</f>
        <v/>
      </c>
      <c r="H59">
        <f>IFERROR(VLOOKUP($A59,Results_30d_Deltas!$A$2:$H$5000,7,FALSE)-E58,"")</f>
        <v/>
      </c>
      <c r="I59">
        <f>IFERROR(VLOOKUP($A59,Results_30d_Deltas!$A$2:$H$5000,6,FALSE),"")</f>
        <v/>
      </c>
      <c r="L59" t="inlineStr">
        <is>
          <t>YES</t>
        </is>
      </c>
      <c r="IK59" t="inlineStr">
        <is>
          <t>ez_manage.py:3252 top()</t>
        </is>
      </c>
      <c r="IL59" t="inlineStr">
        <is>
          <t>v12_quick_engine.py:1781 x6</t>
        </is>
      </c>
    </row>
    <row r="60" ht="10.5" customHeight="1" s="67">
      <c r="A60" t="inlineStr">
        <is>
          <t>EXIT_SCORER_DC_EXTREME</t>
        </is>
      </c>
      <c r="B60" t="inlineStr">
        <is>
          <t>0.5</t>
        </is>
      </c>
      <c r="G60">
        <f>IFERROR(VLOOKUP($A60&amp;"_"&amp;$B60,Results_Deltas!$A$2:$P$15000,5,FALSE),"")</f>
        <v/>
      </c>
      <c r="H60">
        <f>IFERROR(VLOOKUP($A60,Results_30d_Deltas!$A$2:$H$5000,7,FALSE)-E59,"")</f>
        <v/>
      </c>
      <c r="I60">
        <f>IFERROR(VLOOKUP($A60,Results_30d_Deltas!$A$2:$H$5000,6,FALSE),"")</f>
        <v/>
      </c>
      <c r="L60" t="inlineStr">
        <is>
          <t>NO</t>
        </is>
      </c>
      <c r="IK60" t="inlineStr">
        <is>
          <t>ez_manage.py:3252 top()</t>
        </is>
      </c>
      <c r="IL60" t="inlineStr">
        <is>
          <t>v12_quick_engine.py:1781 x6</t>
        </is>
      </c>
    </row>
    <row r="61" ht="10.5" customHeight="1" s="67">
      <c r="A61" t="inlineStr">
        <is>
          <t>EXIT_SCORER_DC_EXTREME</t>
        </is>
      </c>
      <c r="B61" t="inlineStr">
        <is>
          <t>0.6</t>
        </is>
      </c>
      <c r="G61">
        <f>IFERROR(VLOOKUP($A61&amp;"_"&amp;$B61,Results_Deltas!$A$2:$P$15000,5,FALSE),"")</f>
        <v/>
      </c>
      <c r="H61">
        <f>IFERROR(VLOOKUP($A61,Results_30d_Deltas!$A$2:$H$5000,7,FALSE)-E60,"")</f>
        <v/>
      </c>
      <c r="I61">
        <f>IFERROR(VLOOKUP($A61,Results_30d_Deltas!$A$2:$H$5000,6,FALSE),"")</f>
        <v/>
      </c>
      <c r="L61" t="inlineStr">
        <is>
          <t>NO</t>
        </is>
      </c>
      <c r="IK61" t="inlineStr">
        <is>
          <t>ez_manage.py:3252 top()</t>
        </is>
      </c>
      <c r="IL61" t="inlineStr">
        <is>
          <t>v12_quick_engine.py:1781 x6</t>
        </is>
      </c>
    </row>
    <row r="62" ht="10.5" customHeight="1" s="67">
      <c r="A62" t="inlineStr">
        <is>
          <t>E_1_EXIT_DELTA_THR</t>
        </is>
      </c>
      <c r="B62" t="inlineStr">
        <is>
          <t>0</t>
        </is>
      </c>
      <c r="G62">
        <f>IFERROR(VLOOKUP($A62&amp;"_"&amp;$B62,Results_Deltas!$A$2:$P$15000,5,FALSE),"")</f>
        <v/>
      </c>
      <c r="H62">
        <f>IFERROR(VLOOKUP($A62,Results_30d_Deltas!$A$2:$H$5000,7,FALSE)-E61,"")</f>
        <v/>
      </c>
      <c r="I62">
        <f>IFERROR(VLOOKUP($A62,Results_30d_Deltas!$A$2:$H$5000,6,FALSE),"")</f>
        <v/>
      </c>
      <c r="L62" t="inlineStr">
        <is>
          <t>NO</t>
        </is>
      </c>
      <c r="IK62" t="inlineStr">
        <is>
          <t>ez_manage.py:4698 top()</t>
        </is>
      </c>
      <c r="IL62" t="inlineStr">
        <is>
          <t>v12_quick_engine.py:1817 x9</t>
        </is>
      </c>
    </row>
    <row r="63" ht="10.5" customHeight="1" s="67">
      <c r="A63" t="inlineStr">
        <is>
          <t>E_1_EXIT_DELTA_THR</t>
        </is>
      </c>
      <c r="B63" t="inlineStr">
        <is>
          <t>0.5</t>
        </is>
      </c>
      <c r="G63">
        <f>IFERROR(VLOOKUP($A63&amp;"_"&amp;$B63,Results_Deltas!$A$2:$P$15000,5,FALSE),"")</f>
        <v/>
      </c>
      <c r="H63">
        <f>IFERROR(VLOOKUP($A63,Results_30d_Deltas!$A$2:$H$5000,7,FALSE)-E62,"")</f>
        <v/>
      </c>
      <c r="I63">
        <f>IFERROR(VLOOKUP($A63,Results_30d_Deltas!$A$2:$H$5000,6,FALSE),"")</f>
        <v/>
      </c>
      <c r="L63" t="inlineStr">
        <is>
          <t>NO</t>
        </is>
      </c>
      <c r="IK63" t="inlineStr">
        <is>
          <t>ez_manage.py:4698 top()</t>
        </is>
      </c>
      <c r="IL63" t="inlineStr">
        <is>
          <t>v12_quick_engine.py:1817 x9</t>
        </is>
      </c>
    </row>
    <row r="64" ht="10.5" customHeight="1" s="67">
      <c r="A64" t="inlineStr">
        <is>
          <t>E_1_EXIT_DELTA_THR</t>
        </is>
      </c>
      <c r="B64" t="inlineStr">
        <is>
          <t>1.0</t>
        </is>
      </c>
      <c r="G64">
        <f>IFERROR(VLOOKUP($A64&amp;"_"&amp;$B64,Results_Deltas!$A$2:$P$15000,5,FALSE),"")</f>
        <v/>
      </c>
      <c r="H64">
        <f>IFERROR(VLOOKUP($A64,Results_30d_Deltas!$A$2:$H$5000,7,FALSE)-E63,"")</f>
        <v/>
      </c>
      <c r="I64">
        <f>IFERROR(VLOOKUP($A64,Results_30d_Deltas!$A$2:$H$5000,6,FALSE),"")</f>
        <v/>
      </c>
      <c r="L64" t="inlineStr">
        <is>
          <t>NO</t>
        </is>
      </c>
      <c r="IK64" t="inlineStr">
        <is>
          <t>ez_manage.py:4698 top()</t>
        </is>
      </c>
      <c r="IL64" t="inlineStr">
        <is>
          <t>v12_quick_engine.py:1817 x9</t>
        </is>
      </c>
    </row>
    <row r="65" ht="10.5" customHeight="1" s="67">
      <c r="A65" t="inlineStr">
        <is>
          <t>E_1_EXIT_DELTA_THR</t>
        </is>
      </c>
      <c r="B65" t="inlineStr">
        <is>
          <t>2.0</t>
        </is>
      </c>
      <c r="G65">
        <f>IFERROR(VLOOKUP($A65&amp;"_"&amp;$B65,Results_Deltas!$A$2:$P$15000,5,FALSE),"")</f>
        <v/>
      </c>
      <c r="H65">
        <f>IFERROR(VLOOKUP($A65,Results_30d_Deltas!$A$2:$H$5000,7,FALSE)-E64,"")</f>
        <v/>
      </c>
      <c r="I65">
        <f>IFERROR(VLOOKUP($A65,Results_30d_Deltas!$A$2:$H$5000,6,FALSE),"")</f>
        <v/>
      </c>
      <c r="L65" t="inlineStr">
        <is>
          <t>NO</t>
        </is>
      </c>
      <c r="IK65" t="inlineStr">
        <is>
          <t>ez_manage.py:4698 top()</t>
        </is>
      </c>
      <c r="IL65" t="inlineStr">
        <is>
          <t>v12_quick_engine.py:1817 x9</t>
        </is>
      </c>
    </row>
    <row r="66" ht="10.5" customHeight="1" s="67">
      <c r="A66" t="inlineStr">
        <is>
          <t>HAIKU_ENTRY_GATE_ENABLED</t>
        </is>
      </c>
      <c r="B66" t="inlineStr">
        <is>
          <t>False</t>
        </is>
      </c>
      <c r="G66">
        <f>IFERROR(VLOOKUP($A66&amp;"_"&amp;$B66,Results_Deltas!$A$2:$P$15000,5,FALSE),"")</f>
        <v/>
      </c>
      <c r="H66">
        <f>IFERROR(VLOOKUP($A66,Results_30d_Deltas!$A$2:$H$5000,7,FALSE)-E65,"")</f>
        <v/>
      </c>
      <c r="I66">
        <f>IFERROR(VLOOKUP($A66,Results_30d_Deltas!$A$2:$H$5000,6,FALSE),"")</f>
        <v/>
      </c>
      <c r="L66" t="inlineStr">
        <is>
          <t>YES</t>
        </is>
      </c>
      <c r="IK66" t="inlineStr">
        <is>
          <t>ez_manage.py:6007 top()</t>
        </is>
      </c>
      <c r="IL66" t="inlineStr">
        <is>
          <t>v12_quick_engine.py:4265 x2</t>
        </is>
      </c>
    </row>
    <row r="67" ht="10.5" customHeight="1" s="67">
      <c r="A67" t="inlineStr">
        <is>
          <t>HAIKU_ENTRY_GATE_ENABLED</t>
        </is>
      </c>
      <c r="B67" t="inlineStr">
        <is>
          <t>True</t>
        </is>
      </c>
      <c r="G67">
        <f>IFERROR(VLOOKUP($A67&amp;"_"&amp;$B67,Results_Deltas!$A$2:$P$15000,5,FALSE),"")</f>
        <v/>
      </c>
      <c r="H67">
        <f>IFERROR(VLOOKUP($A67,Results_30d_Deltas!$A$2:$H$5000,7,FALSE)-E66,"")</f>
        <v/>
      </c>
      <c r="I67">
        <f>IFERROR(VLOOKUP($A67,Results_30d_Deltas!$A$2:$H$5000,6,FALSE),"")</f>
        <v/>
      </c>
      <c r="L67" t="inlineStr">
        <is>
          <t>NO</t>
        </is>
      </c>
      <c r="IK67" t="inlineStr">
        <is>
          <t>ez_manage.py:6007 top()</t>
        </is>
      </c>
      <c r="IL67" t="inlineStr">
        <is>
          <t>v12_quick_engine.py:4265 x2</t>
        </is>
      </c>
    </row>
    <row r="68" ht="10.5" customHeight="1" s="67">
      <c r="A68" t="inlineStr">
        <is>
          <t>HTF_GATE_SIGNALS_SMA200D</t>
        </is>
      </c>
      <c r="B68" t="inlineStr">
        <is>
          <t>False</t>
        </is>
      </c>
      <c r="G68">
        <f>IFERROR(VLOOKUP($A68&amp;"_"&amp;$B68,Results_Deltas!$A$2:$P$15000,5,FALSE),"")</f>
        <v/>
      </c>
      <c r="H68">
        <f>IFERROR(VLOOKUP($A68,Results_30d_Deltas!$A$2:$H$5000,7,FALSE)-E67,"")</f>
        <v/>
      </c>
      <c r="I68">
        <f>IFERROR(VLOOKUP($A68,Results_30d_Deltas!$A$2:$H$5000,6,FALSE),"")</f>
        <v/>
      </c>
      <c r="L68" t="inlineStr">
        <is>
          <t>NO</t>
        </is>
      </c>
      <c r="IK68" t="inlineStr">
        <is>
          <t>ez_manage.py:4881 top()</t>
        </is>
      </c>
      <c r="IL68" t="inlineStr">
        <is>
          <t>v12_quick_engine.py:2057 x7</t>
        </is>
      </c>
    </row>
    <row r="69" ht="10.5" customHeight="1" s="67">
      <c r="A69" t="inlineStr">
        <is>
          <t>HTF_GATE_SIGNALS_SMA200D</t>
        </is>
      </c>
      <c r="B69" t="inlineStr">
        <is>
          <t>True</t>
        </is>
      </c>
      <c r="G69">
        <f>IFERROR(VLOOKUP($A69&amp;"_"&amp;$B69,Results_Deltas!$A$2:$P$15000,5,FALSE),"")</f>
        <v/>
      </c>
      <c r="H69">
        <f>IFERROR(VLOOKUP($A69,Results_30d_Deltas!$A$2:$H$5000,7,FALSE)-E68,"")</f>
        <v/>
      </c>
      <c r="I69">
        <f>IFERROR(VLOOKUP($A69,Results_30d_Deltas!$A$2:$H$5000,6,FALSE),"")</f>
        <v/>
      </c>
      <c r="L69" t="inlineStr">
        <is>
          <t>YES</t>
        </is>
      </c>
      <c r="IK69" t="inlineStr">
        <is>
          <t>ez_manage.py:4881 top()</t>
        </is>
      </c>
      <c r="IL69" t="inlineStr">
        <is>
          <t>v12_quick_engine.py:2057 x7</t>
        </is>
      </c>
    </row>
    <row r="70" ht="10.5" customHeight="1" s="67">
      <c r="A70" t="inlineStr">
        <is>
          <t>INTRADAY_SESSION_FORCE_EXIT_UTC</t>
        </is>
      </c>
      <c r="B70" t="inlineStr">
        <is>
          <t>0</t>
        </is>
      </c>
      <c r="G70">
        <f>IFERROR(VLOOKUP($A70&amp;"_"&amp;$B70,Results_Deltas!$A$2:$P$15000,5,FALSE),"")</f>
        <v/>
      </c>
      <c r="H70">
        <f>IFERROR(VLOOKUP($A70,Results_30d_Deltas!$A$2:$H$5000,7,FALSE)-E69,"")</f>
        <v/>
      </c>
      <c r="I70">
        <f>IFERROR(VLOOKUP($A70,Results_30d_Deltas!$A$2:$H$5000,6,FALSE),"")</f>
        <v/>
      </c>
      <c r="L70" t="inlineStr">
        <is>
          <t>NO</t>
        </is>
      </c>
      <c r="IK70" t="inlineStr">
        <is>
          <t>ez_manage.py:6014 top()</t>
        </is>
      </c>
      <c r="IL70" t="inlineStr">
        <is>
          <t>v12_quick_engine.py:4267 x4</t>
        </is>
      </c>
    </row>
    <row r="71" ht="10.5" customHeight="1" s="67">
      <c r="A71" t="inlineStr">
        <is>
          <t>MACD_ZERO_CROSS_ENABLED</t>
        </is>
      </c>
      <c r="B71" t="inlineStr">
        <is>
          <t>False</t>
        </is>
      </c>
      <c r="G71">
        <f>IFERROR(VLOOKUP($A74&amp;"_"&amp;$B74,Results_Deltas!$A$2:$P$15000,5,FALSE),"")</f>
        <v/>
      </c>
      <c r="H71">
        <f>IFERROR(VLOOKUP($A74,Results_30d_Deltas!$A$2:$H$5000,7,FALSE)-E73,"")</f>
        <v/>
      </c>
      <c r="I71">
        <f>IFERROR(VLOOKUP($A74,Results_30d_Deltas!$A$2:$H$5000,6,FALSE),"")</f>
        <v/>
      </c>
      <c r="L71" t="inlineStr">
        <is>
          <t>YES</t>
        </is>
      </c>
      <c r="IK71" t="inlineStr">
        <is>
          <t>ez_manage.py:3499 top()</t>
        </is>
      </c>
      <c r="IL71" t="inlineStr">
        <is>
          <t>v12_quick_engine.py:2234 x2</t>
        </is>
      </c>
    </row>
    <row r="72" ht="10.5" customHeight="1" s="67">
      <c r="A72" t="inlineStr">
        <is>
          <t>MACD_ZERO_CROSS_ENABLED</t>
        </is>
      </c>
      <c r="B72" t="inlineStr">
        <is>
          <t>True</t>
        </is>
      </c>
      <c r="G72">
        <f>IFERROR(VLOOKUP($A75&amp;"_"&amp;$B75,Results_Deltas!$A$2:$P$15000,5,FALSE),"")</f>
        <v/>
      </c>
      <c r="H72">
        <f>IFERROR(VLOOKUP($A75,Results_30d_Deltas!$A$2:$H$5000,7,FALSE)-E74,"")</f>
        <v/>
      </c>
      <c r="I72">
        <f>IFERROR(VLOOKUP($A75,Results_30d_Deltas!$A$2:$H$5000,6,FALSE),"")</f>
        <v/>
      </c>
      <c r="L72" t="inlineStr">
        <is>
          <t>NO</t>
        </is>
      </c>
      <c r="IK72" t="inlineStr">
        <is>
          <t>ez_manage.py:3499 top()</t>
        </is>
      </c>
      <c r="IL72" t="inlineStr">
        <is>
          <t>v12_quick_engine.py:2234 x2</t>
        </is>
      </c>
    </row>
    <row r="73" ht="10.5" customHeight="1" s="67">
      <c r="A73" t="inlineStr">
        <is>
          <t>MACD_ZERO_CROSS_SCORE</t>
        </is>
      </c>
      <c r="B73" t="inlineStr">
        <is>
          <t>8</t>
        </is>
      </c>
      <c r="G73">
        <f>IFERROR(VLOOKUP($A76&amp;"_"&amp;$B76,Results_Deltas!$A$2:$P$15000,5,FALSE),"")</f>
        <v/>
      </c>
      <c r="H73">
        <f>IFERROR(VLOOKUP($A76,Results_30d_Deltas!$A$2:$H$5000,7,FALSE)-E75,"")</f>
        <v/>
      </c>
      <c r="I73">
        <f>IFERROR(VLOOKUP($A76,Results_30d_Deltas!$A$2:$H$5000,6,FALSE),"")</f>
        <v/>
      </c>
      <c r="L73" t="inlineStr">
        <is>
          <t>NO</t>
        </is>
      </c>
      <c r="IK73" t="inlineStr">
        <is>
          <t>ez_manage.py:3500 top()</t>
        </is>
      </c>
      <c r="IL73" t="inlineStr">
        <is>
          <t>v12_quick_engine.py:2235 x2</t>
        </is>
      </c>
    </row>
    <row r="74" ht="10.5" customHeight="1" s="67">
      <c r="A74" t="inlineStr">
        <is>
          <t>MACD_ZERO_CROSS_SCORE</t>
        </is>
      </c>
      <c r="B74" t="inlineStr">
        <is>
          <t>11</t>
        </is>
      </c>
      <c r="G74">
        <f>IFERROR(VLOOKUP($A77&amp;"_"&amp;$B77,Results_Deltas!$A$2:$P$15000,5,FALSE),"")</f>
        <v/>
      </c>
      <c r="H74">
        <f>IFERROR(VLOOKUP($A77,Results_30d_Deltas!$A$2:$H$5000,7,FALSE)-E76,"")</f>
        <v/>
      </c>
      <c r="I74">
        <f>IFERROR(VLOOKUP($A77,Results_30d_Deltas!$A$2:$H$5000,6,FALSE),"")</f>
        <v/>
      </c>
      <c r="L74" t="inlineStr">
        <is>
          <t>NO</t>
        </is>
      </c>
      <c r="IK74" t="inlineStr">
        <is>
          <t>ez_manage.py:3500 top()</t>
        </is>
      </c>
      <c r="IL74" t="inlineStr">
        <is>
          <t>v12_quick_engine.py:2235 x2</t>
        </is>
      </c>
    </row>
    <row r="75" ht="10.5" customHeight="1" s="67">
      <c r="A75" t="inlineStr">
        <is>
          <t>MACD_ZERO_CROSS_SCORE</t>
        </is>
      </c>
      <c r="B75" t="inlineStr">
        <is>
          <t>15</t>
        </is>
      </c>
      <c r="G75">
        <f>IFERROR(VLOOKUP($A78&amp;"_"&amp;$B78,Results_Deltas!$A$2:$P$15000,5,FALSE),"")</f>
        <v/>
      </c>
      <c r="H75">
        <f>IFERROR(VLOOKUP($A78,Results_30d_Deltas!$A$2:$H$5000,7,FALSE)-E77,"")</f>
        <v/>
      </c>
      <c r="I75">
        <f>IFERROR(VLOOKUP($A78,Results_30d_Deltas!$A$2:$H$5000,6,FALSE),"")</f>
        <v/>
      </c>
      <c r="L75" t="inlineStr">
        <is>
          <t>YES</t>
        </is>
      </c>
      <c r="IK75" t="inlineStr">
        <is>
          <t>ez_manage.py:3500 top()</t>
        </is>
      </c>
      <c r="IL75" t="inlineStr">
        <is>
          <t>v12_quick_engine.py:2235 x2</t>
        </is>
      </c>
    </row>
    <row r="76" ht="10.5" customHeight="1" s="67">
      <c r="A76" t="inlineStr">
        <is>
          <t>MACD_ZERO_CROSS_SCORE</t>
        </is>
      </c>
      <c r="B76" t="inlineStr">
        <is>
          <t>19</t>
        </is>
      </c>
      <c r="G76">
        <f>IFERROR(VLOOKUP($A79&amp;"_"&amp;$B79,Results_Deltas!$A$2:$P$15000,5,FALSE),"")</f>
        <v/>
      </c>
      <c r="H76">
        <f>IFERROR(VLOOKUP($A79,Results_30d_Deltas!$A$2:$H$5000,7,FALSE)-E78,"")</f>
        <v/>
      </c>
      <c r="I76">
        <f>IFERROR(VLOOKUP($A79,Results_30d_Deltas!$A$2:$H$5000,6,FALSE),"")</f>
        <v/>
      </c>
      <c r="L76" t="inlineStr">
        <is>
          <t>NO</t>
        </is>
      </c>
      <c r="IK76" t="inlineStr">
        <is>
          <t>ez_manage.py:3500 top()</t>
        </is>
      </c>
      <c r="IL76" t="inlineStr">
        <is>
          <t>v12_quick_engine.py:2235 x2</t>
        </is>
      </c>
    </row>
    <row r="77" ht="10.5" customHeight="1" s="67">
      <c r="A77" t="inlineStr">
        <is>
          <t>MACD_ZERO_CROSS_SCORE</t>
        </is>
      </c>
      <c r="B77" t="inlineStr">
        <is>
          <t>22</t>
        </is>
      </c>
      <c r="G77">
        <f>IFERROR(VLOOKUP($A80&amp;"_"&amp;$B80,Results_Deltas!$A$2:$P$15000,5,FALSE),"")</f>
        <v/>
      </c>
      <c r="H77">
        <f>IFERROR(VLOOKUP($A80,Results_30d_Deltas!$A$2:$H$5000,7,FALSE)-E79,"")</f>
        <v/>
      </c>
      <c r="I77">
        <f>IFERROR(VLOOKUP($A80,Results_30d_Deltas!$A$2:$H$5000,6,FALSE),"")</f>
        <v/>
      </c>
      <c r="L77" t="inlineStr">
        <is>
          <t>NO</t>
        </is>
      </c>
      <c r="IK77" t="inlineStr">
        <is>
          <t>ez_manage.py:3500 top()</t>
        </is>
      </c>
      <c r="IL77" t="inlineStr">
        <is>
          <t>v12_quick_engine.py:2235 x2</t>
        </is>
      </c>
    </row>
    <row r="78" ht="10.5" customHeight="1" s="67">
      <c r="A78" t="inlineStr">
        <is>
          <t>MACD_ZERO_CROSS_TF</t>
        </is>
      </c>
      <c r="B78" t="inlineStr">
        <is>
          <t>OFF</t>
        </is>
      </c>
      <c r="G78">
        <f>IFERROR(VLOOKUP($A81&amp;"_"&amp;$B81,Results_Deltas!$A$2:$P$15000,5,FALSE),"")</f>
        <v/>
      </c>
      <c r="H78">
        <f>IFERROR(VLOOKUP($A81,Results_30d_Deltas!$A$2:$H$5000,7,FALSE)-E80,"")</f>
        <v/>
      </c>
      <c r="I78">
        <f>IFERROR(VLOOKUP($A81,Results_30d_Deltas!$A$2:$H$5000,6,FALSE),"")</f>
        <v/>
      </c>
      <c r="L78" t="inlineStr">
        <is>
          <t>NO</t>
        </is>
      </c>
      <c r="IK78" t="inlineStr">
        <is>
          <t>ez_manage.py:3501 top()</t>
        </is>
      </c>
      <c r="IL78" t="inlineStr">
        <is>
          <t>v12_quick_engine.py:2236 x2</t>
        </is>
      </c>
    </row>
    <row r="79" ht="10.5" customHeight="1" s="67">
      <c r="A79" t="inlineStr">
        <is>
          <t>MACD_ZERO_CROSS_TF</t>
        </is>
      </c>
      <c r="B79" t="inlineStr">
        <is>
          <t>D</t>
        </is>
      </c>
      <c r="G79">
        <f>IFERROR(VLOOKUP($A82&amp;"_"&amp;$B82,Results_Deltas!$A$2:$P$15000,5,FALSE),"")</f>
        <v/>
      </c>
      <c r="H79">
        <f>IFERROR(VLOOKUP($A82,Results_30d_Deltas!$A$2:$H$5000,7,FALSE)-E81,"")</f>
        <v/>
      </c>
      <c r="I79">
        <f>IFERROR(VLOOKUP($A82,Results_30d_Deltas!$A$2:$H$5000,6,FALSE),"")</f>
        <v/>
      </c>
      <c r="L79" t="inlineStr">
        <is>
          <t>NO</t>
        </is>
      </c>
      <c r="IK79" t="inlineStr">
        <is>
          <t>ez_manage.py:3501 top()</t>
        </is>
      </c>
      <c r="IL79" t="inlineStr">
        <is>
          <t>v12_quick_engine.py:2236 x2</t>
        </is>
      </c>
    </row>
    <row r="80" ht="10.5" customHeight="1" s="67">
      <c r="A80" t="inlineStr">
        <is>
          <t>MACD_ZERO_CROSS_TF</t>
        </is>
      </c>
      <c r="B80" t="inlineStr">
        <is>
          <t>4h</t>
        </is>
      </c>
      <c r="G80">
        <f>IFERROR(VLOOKUP($A83&amp;"_"&amp;$B83,Results_Deltas!$A$2:$P$15000,5,FALSE),"")</f>
        <v/>
      </c>
      <c r="H80">
        <f>IFERROR(VLOOKUP($A83,Results_30d_Deltas!$A$2:$H$5000,7,FALSE)-E82,"")</f>
        <v/>
      </c>
      <c r="I80">
        <f>IFERROR(VLOOKUP($A83,Results_30d_Deltas!$A$2:$H$5000,6,FALSE),"")</f>
        <v/>
      </c>
      <c r="L80" t="inlineStr">
        <is>
          <t>NO</t>
        </is>
      </c>
      <c r="IK80" t="inlineStr">
        <is>
          <t>ez_manage.py:3501 top()</t>
        </is>
      </c>
      <c r="IL80" t="inlineStr">
        <is>
          <t>v12_quick_engine.py:2236 x2</t>
        </is>
      </c>
    </row>
    <row r="81" ht="10.5" customHeight="1" s="67">
      <c r="A81" t="inlineStr">
        <is>
          <t>MACD_ZERO_CROSS_TF</t>
        </is>
      </c>
      <c r="B81" t="inlineStr">
        <is>
          <t>15m</t>
        </is>
      </c>
      <c r="G81">
        <f>IFERROR(VLOOKUP($A84&amp;"_"&amp;$B84,Results_Deltas!$A$2:$P$15000,5,FALSE),"")</f>
        <v/>
      </c>
      <c r="H81">
        <f>IFERROR(VLOOKUP($A84,Results_30d_Deltas!$A$2:$H$5000,7,FALSE)-E83,"")</f>
        <v/>
      </c>
      <c r="I81">
        <f>IFERROR(VLOOKUP($A84,Results_30d_Deltas!$A$2:$H$5000,6,FALSE),"")</f>
        <v/>
      </c>
      <c r="L81" t="inlineStr">
        <is>
          <t>YES</t>
        </is>
      </c>
      <c r="IK81" t="inlineStr">
        <is>
          <t>ez_manage.py:3501 top()</t>
        </is>
      </c>
      <c r="IL81" t="inlineStr">
        <is>
          <t>v12_quick_engine.py:2236 x2</t>
        </is>
      </c>
    </row>
    <row r="82" ht="10.5" customHeight="1" s="67">
      <c r="A82" t="inlineStr">
        <is>
          <t>MACD_ZERO_CROSS_TF</t>
        </is>
      </c>
      <c r="B82" t="inlineStr">
        <is>
          <t>15m</t>
        </is>
      </c>
      <c r="G82">
        <f>IFERROR(VLOOKUP($A85&amp;"_"&amp;$B85,Results_Deltas!$A$2:$P$15000,5,FALSE),"")</f>
        <v/>
      </c>
      <c r="H82">
        <f>IFERROR(VLOOKUP($A85,Results_30d_Deltas!$A$2:$H$5000,7,FALSE)-E84,"")</f>
        <v/>
      </c>
      <c r="I82">
        <f>IFERROR(VLOOKUP($A85,Results_30d_Deltas!$A$2:$H$5000,6,FALSE),"")</f>
        <v/>
      </c>
      <c r="L82" t="inlineStr">
        <is>
          <t>NO</t>
        </is>
      </c>
      <c r="IK82" t="inlineStr">
        <is>
          <t>ez_manage.py:3501 top()</t>
        </is>
      </c>
      <c r="IL82" t="inlineStr">
        <is>
          <t>v12_quick_engine.py:2236 x2</t>
        </is>
      </c>
    </row>
    <row r="83" ht="10.5" customHeight="1" s="67">
      <c r="A83" t="inlineStr">
        <is>
          <t>MI_MIN_GAIN_EXIT</t>
        </is>
      </c>
      <c r="B83" t="inlineStr">
        <is>
          <t>0</t>
        </is>
      </c>
      <c r="G83">
        <f>IFERROR(VLOOKUP($A86&amp;"_"&amp;$B86,Results_Deltas!$A$2:$P$15000,5,FALSE),"")</f>
        <v/>
      </c>
      <c r="H83">
        <f>IFERROR(VLOOKUP($A86,Results_30d_Deltas!$A$2:$H$5000,7,FALSE)-E85,"")</f>
        <v/>
      </c>
      <c r="I83">
        <f>IFERROR(VLOOKUP($A86,Results_30d_Deltas!$A$2:$H$5000,6,FALSE),"")</f>
        <v/>
      </c>
      <c r="L83" t="inlineStr">
        <is>
          <t>NO</t>
        </is>
      </c>
      <c r="IK83" t="inlineStr">
        <is>
          <t>ez_manage.py:3565 top()</t>
        </is>
      </c>
      <c r="IL83" t="inlineStr">
        <is>
          <t>v12_quick_engine.py:2342 x8</t>
        </is>
      </c>
    </row>
    <row r="84" ht="10.5" customHeight="1" s="67">
      <c r="A84" t="inlineStr">
        <is>
          <t>MI_MIN_GAIN_EXIT</t>
        </is>
      </c>
      <c r="B84" t="inlineStr">
        <is>
          <t>0.5</t>
        </is>
      </c>
      <c r="G84">
        <f>IFERROR(VLOOKUP($A87&amp;"_"&amp;$B87,Results_Deltas!$A$2:$P$15000,5,FALSE),"")</f>
        <v/>
      </c>
      <c r="H84">
        <f>IFERROR(VLOOKUP($A87,Results_30d_Deltas!$A$2:$H$5000,7,FALSE)-E86,"")</f>
        <v/>
      </c>
      <c r="I84">
        <f>IFERROR(VLOOKUP($A87,Results_30d_Deltas!$A$2:$H$5000,6,FALSE),"")</f>
        <v/>
      </c>
      <c r="L84" t="inlineStr">
        <is>
          <t>NO</t>
        </is>
      </c>
      <c r="IK84" t="inlineStr">
        <is>
          <t>ez_manage.py:3565 top()</t>
        </is>
      </c>
      <c r="IL84" t="inlineStr">
        <is>
          <t>v12_quick_engine.py:2342 x8</t>
        </is>
      </c>
    </row>
    <row r="85" ht="10.5" customHeight="1" s="67">
      <c r="A85" t="inlineStr">
        <is>
          <t>MI_MIN_GAIN_EXIT</t>
        </is>
      </c>
      <c r="B85" t="inlineStr">
        <is>
          <t>1.0</t>
        </is>
      </c>
      <c r="G85">
        <f>IFERROR(VLOOKUP($A88&amp;"_"&amp;$B88,Results_Deltas!$A$2:$P$15000,5,FALSE),"")</f>
        <v/>
      </c>
      <c r="H85">
        <f>IFERROR(VLOOKUP($A88,Results_30d_Deltas!$A$2:$H$5000,7,FALSE)-E87,"")</f>
        <v/>
      </c>
      <c r="I85">
        <f>IFERROR(VLOOKUP($A88,Results_30d_Deltas!$A$2:$H$5000,6,FALSE),"")</f>
        <v/>
      </c>
      <c r="L85" t="inlineStr">
        <is>
          <t>NO</t>
        </is>
      </c>
      <c r="IK85" t="inlineStr">
        <is>
          <t>ez_manage.py:3565 top()</t>
        </is>
      </c>
      <c r="IL85" t="inlineStr">
        <is>
          <t>v12_quick_engine.py:2342 x8</t>
        </is>
      </c>
    </row>
    <row r="86" ht="10.5" customHeight="1" s="67">
      <c r="A86" t="inlineStr">
        <is>
          <t>MI_MIN_GAIN_EXIT</t>
        </is>
      </c>
      <c r="B86" t="inlineStr">
        <is>
          <t>2.0</t>
        </is>
      </c>
      <c r="G86">
        <f>IFERROR(VLOOKUP($A89&amp;"_"&amp;$B89,Results_Deltas!$A$2:$P$15000,5,FALSE),"")</f>
        <v/>
      </c>
      <c r="H86">
        <f>IFERROR(VLOOKUP($A89,Results_30d_Deltas!$A$2:$H$5000,7,FALSE)-E88,"")</f>
        <v/>
      </c>
      <c r="I86">
        <f>IFERROR(VLOOKUP($A89,Results_30d_Deltas!$A$2:$H$5000,6,FALSE),"")</f>
        <v/>
      </c>
      <c r="L86" t="inlineStr">
        <is>
          <t>NO</t>
        </is>
      </c>
      <c r="IK86" t="inlineStr">
        <is>
          <t>ez_manage.py:3565 top()</t>
        </is>
      </c>
      <c r="IL86" t="inlineStr">
        <is>
          <t>v12_quick_engine.py:2342 x8</t>
        </is>
      </c>
    </row>
    <row r="87" ht="10.5" customHeight="1" s="67">
      <c r="A87" t="inlineStr">
        <is>
          <t>PARTIAL_EXIT_FRAC</t>
        </is>
      </c>
      <c r="B87" t="inlineStr">
        <is>
          <t>0</t>
        </is>
      </c>
      <c r="G87">
        <f>IFERROR(VLOOKUP($A90&amp;"_"&amp;$B90,Results_Deltas!$A$2:$P$15000,5,FALSE),"")</f>
        <v/>
      </c>
      <c r="H87">
        <f>IFERROR(VLOOKUP($A90,Results_30d_Deltas!$A$2:$H$5000,7,FALSE)-E89,"")</f>
        <v/>
      </c>
      <c r="I87">
        <f>IFERROR(VLOOKUP($A90,Results_30d_Deltas!$A$2:$H$5000,6,FALSE),"")</f>
        <v/>
      </c>
      <c r="L87" t="inlineStr">
        <is>
          <t>NO</t>
        </is>
      </c>
      <c r="IK87" t="inlineStr">
        <is>
          <t>ez_manage.py:6038 top()</t>
        </is>
      </c>
      <c r="IL87" t="inlineStr">
        <is>
          <t>v12_quick_engine.py:4280 x2</t>
        </is>
      </c>
    </row>
    <row r="88" ht="10.5" customHeight="1" s="67">
      <c r="A88" t="inlineStr">
        <is>
          <t>PARTIAL_EXIT_FRAC</t>
        </is>
      </c>
      <c r="B88" t="inlineStr">
        <is>
          <t>0.5</t>
        </is>
      </c>
      <c r="G88">
        <f>IFERROR(VLOOKUP($A91&amp;"_"&amp;$B91,Results_Deltas!$A$2:$P$15000,5,FALSE),"")</f>
        <v/>
      </c>
      <c r="H88">
        <f>IFERROR(VLOOKUP($A91,Results_30d_Deltas!$A$2:$H$5000,7,FALSE)-E90,"")</f>
        <v/>
      </c>
      <c r="I88">
        <f>IFERROR(VLOOKUP($A91,Results_30d_Deltas!$A$2:$H$5000,6,FALSE),"")</f>
        <v/>
      </c>
      <c r="L88" t="inlineStr">
        <is>
          <t>NO</t>
        </is>
      </c>
      <c r="IK88" t="inlineStr">
        <is>
          <t>ez_manage.py:6038 top()</t>
        </is>
      </c>
      <c r="IL88" t="inlineStr">
        <is>
          <t>v12_quick_engine.py:4280 x2</t>
        </is>
      </c>
    </row>
    <row r="89" ht="10.5" customHeight="1" s="67">
      <c r="A89" t="inlineStr">
        <is>
          <t>PARTIAL_EXIT_FRAC</t>
        </is>
      </c>
      <c r="B89" t="inlineStr">
        <is>
          <t>1.0</t>
        </is>
      </c>
      <c r="G89">
        <f>IFERROR(VLOOKUP($A92&amp;"_"&amp;$B92,Results_Deltas!$A$2:$P$15000,5,FALSE),"")</f>
        <v/>
      </c>
      <c r="H89">
        <f>IFERROR(VLOOKUP($A92,Results_30d_Deltas!$A$2:$H$5000,7,FALSE)-E91,"")</f>
        <v/>
      </c>
      <c r="I89">
        <f>IFERROR(VLOOKUP($A92,Results_30d_Deltas!$A$2:$H$5000,6,FALSE),"")</f>
        <v/>
      </c>
      <c r="L89" t="inlineStr">
        <is>
          <t>NO</t>
        </is>
      </c>
      <c r="IK89" t="inlineStr">
        <is>
          <t>ez_manage.py:6038 top()</t>
        </is>
      </c>
      <c r="IL89" t="inlineStr">
        <is>
          <t>v12_quick_engine.py:4280 x2</t>
        </is>
      </c>
    </row>
    <row r="90" ht="10.5" customHeight="1" s="67">
      <c r="A90" t="inlineStr">
        <is>
          <t>PARTIAL_EXIT_FRAC</t>
        </is>
      </c>
      <c r="B90" t="inlineStr">
        <is>
          <t>2.0</t>
        </is>
      </c>
      <c r="G90">
        <f>IFERROR(VLOOKUP($A93&amp;"_"&amp;$B93,Results_Deltas!$A$2:$P$15000,5,FALSE),"")</f>
        <v/>
      </c>
      <c r="H90">
        <f>IFERROR(VLOOKUP($A93,Results_30d_Deltas!$A$2:$H$5000,7,FALSE)-E92,"")</f>
        <v/>
      </c>
      <c r="I90">
        <f>IFERROR(VLOOKUP($A93,Results_30d_Deltas!$A$2:$H$5000,6,FALSE),"")</f>
        <v/>
      </c>
      <c r="L90" t="inlineStr">
        <is>
          <t>NO</t>
        </is>
      </c>
      <c r="IK90" t="inlineStr">
        <is>
          <t>ez_manage.py:6038 top()</t>
        </is>
      </c>
      <c r="IL90" t="inlineStr">
        <is>
          <t>v12_quick_engine.py:4280 x2</t>
        </is>
      </c>
    </row>
    <row r="91" ht="10.5" customHeight="1" s="67">
      <c r="A91" t="inlineStr">
        <is>
          <t>QUICK_REENTRY_60MIN_MIN_PCT</t>
        </is>
      </c>
      <c r="B91" t="inlineStr">
        <is>
          <t>0</t>
        </is>
      </c>
      <c r="G91">
        <f>IFERROR(VLOOKUP($A94&amp;"_"&amp;$B94,Results_Deltas!$A$2:$P$15000,5,FALSE),"")</f>
        <v/>
      </c>
      <c r="H91">
        <f>IFERROR(VLOOKUP($A94,Results_30d_Deltas!$A$2:$H$5000,7,FALSE)-E93,"")</f>
        <v/>
      </c>
      <c r="I91">
        <f>IFERROR(VLOOKUP($A94,Results_30d_Deltas!$A$2:$H$5000,6,FALSE),"")</f>
        <v/>
      </c>
      <c r="L91" t="inlineStr">
        <is>
          <t>NO</t>
        </is>
      </c>
      <c r="IK91" t="inlineStr">
        <is>
          <t>ez_manage.py:6042 top()</t>
        </is>
      </c>
      <c r="IL91" t="inlineStr">
        <is>
          <t>v12_quick_engine.py:4283 x4</t>
        </is>
      </c>
    </row>
    <row r="92" ht="10.5" customHeight="1" s="67">
      <c r="A92" t="inlineStr">
        <is>
          <t>QUICK_REENTRY_60MIN_MIN_PCT</t>
        </is>
      </c>
      <c r="B92" t="inlineStr">
        <is>
          <t>0.5</t>
        </is>
      </c>
      <c r="G92">
        <f>IFERROR(VLOOKUP($A95&amp;"_"&amp;$B95,Results_Deltas!$A$2:$P$15000,5,FALSE),"")</f>
        <v/>
      </c>
      <c r="H92">
        <f>IFERROR(VLOOKUP($A95,Results_30d_Deltas!$A$2:$H$5000,7,FALSE)-E94,"")</f>
        <v/>
      </c>
      <c r="I92">
        <f>IFERROR(VLOOKUP($A95,Results_30d_Deltas!$A$2:$H$5000,6,FALSE),"")</f>
        <v/>
      </c>
      <c r="L92" t="inlineStr">
        <is>
          <t>NO</t>
        </is>
      </c>
      <c r="IK92" t="inlineStr">
        <is>
          <t>ez_manage.py:6042 top()</t>
        </is>
      </c>
      <c r="IL92" t="inlineStr">
        <is>
          <t>v12_quick_engine.py:4283 x4</t>
        </is>
      </c>
    </row>
    <row r="93" ht="10.5" customHeight="1" s="67">
      <c r="A93" t="inlineStr">
        <is>
          <t>QUICK_REENTRY_60MIN_MIN_PCT</t>
        </is>
      </c>
      <c r="B93" t="inlineStr">
        <is>
          <t>1.0</t>
        </is>
      </c>
      <c r="G93">
        <f>IFERROR(VLOOKUP($A96&amp;"_"&amp;$B96,Results_Deltas!$A$2:$P$15000,5,FALSE),"")</f>
        <v/>
      </c>
      <c r="H93">
        <f>IFERROR(VLOOKUP($A96,Results_30d_Deltas!$A$2:$H$5000,7,FALSE)-E95,"")</f>
        <v/>
      </c>
      <c r="I93">
        <f>IFERROR(VLOOKUP($A96,Results_30d_Deltas!$A$2:$H$5000,6,FALSE),"")</f>
        <v/>
      </c>
      <c r="L93" t="inlineStr">
        <is>
          <t>NO</t>
        </is>
      </c>
      <c r="IK93" t="inlineStr">
        <is>
          <t>ez_manage.py:6042 top()</t>
        </is>
      </c>
      <c r="IL93" t="inlineStr">
        <is>
          <t>v12_quick_engine.py:4283 x4</t>
        </is>
      </c>
    </row>
    <row r="94" ht="10.5" customHeight="1" s="67">
      <c r="A94" t="inlineStr">
        <is>
          <t>QUICK_REENTRY_60MIN_MIN_PCT</t>
        </is>
      </c>
      <c r="B94" t="inlineStr">
        <is>
          <t>2.0</t>
        </is>
      </c>
      <c r="G94">
        <f>IFERROR(VLOOKUP($A97&amp;"_"&amp;$B97,Results_Deltas!$A$2:$P$15000,5,FALSE),"")</f>
        <v/>
      </c>
      <c r="H94">
        <f>IFERROR(VLOOKUP($A97,Results_30d_Deltas!$A$2:$H$5000,7,FALSE)-E96,"")</f>
        <v/>
      </c>
      <c r="I94">
        <f>IFERROR(VLOOKUP($A97,Results_30d_Deltas!$A$2:$H$5000,6,FALSE),"")</f>
        <v/>
      </c>
      <c r="L94" t="inlineStr">
        <is>
          <t>NO</t>
        </is>
      </c>
      <c r="IK94" t="inlineStr">
        <is>
          <t>ez_manage.py:6042 top()</t>
        </is>
      </c>
      <c r="IL94" t="inlineStr">
        <is>
          <t>v12_quick_engine.py:4283 x4</t>
        </is>
      </c>
    </row>
    <row r="95" ht="10.5" customHeight="1" s="67">
      <c r="A95" t="inlineStr">
        <is>
          <t>REENTRY2_STOCH_CROSS_ENABLED</t>
        </is>
      </c>
      <c r="B95" t="inlineStr">
        <is>
          <t>False</t>
        </is>
      </c>
      <c r="G95">
        <f>IFERROR(VLOOKUP($A98&amp;"_"&amp;$B98,Results_Deltas!$A$2:$P$15000,5,FALSE),"")</f>
        <v/>
      </c>
      <c r="H95">
        <f>IFERROR(VLOOKUP($A98,Results_30d_Deltas!$A$2:$H$5000,7,FALSE)-E97,"")</f>
        <v/>
      </c>
      <c r="I95">
        <f>IFERROR(VLOOKUP($A98,Results_30d_Deltas!$A$2:$H$5000,6,FALSE),"")</f>
        <v/>
      </c>
      <c r="L95" t="inlineStr">
        <is>
          <t>YES</t>
        </is>
      </c>
      <c r="IK95" t="inlineStr">
        <is>
          <t>ez_manage.py:5285 top()</t>
        </is>
      </c>
      <c r="IL95" t="inlineStr">
        <is>
          <t>v12_quick_engine.py:2842 x10</t>
        </is>
      </c>
    </row>
    <row r="96" ht="10.5" customHeight="1" s="67">
      <c r="A96" t="inlineStr">
        <is>
          <t>REENTRY2_STOCH_CROSS_ENABLED</t>
        </is>
      </c>
      <c r="B96" t="inlineStr">
        <is>
          <t>True</t>
        </is>
      </c>
      <c r="G96">
        <f>IFERROR(VLOOKUP($A99&amp;"_"&amp;$B99,Results_Deltas!$A$2:$P$15000,5,FALSE),"")</f>
        <v/>
      </c>
      <c r="H96">
        <f>IFERROR(VLOOKUP($A99,Results_30d_Deltas!$A$2:$H$5000,7,FALSE)-E98,"")</f>
        <v/>
      </c>
      <c r="I96">
        <f>IFERROR(VLOOKUP($A99,Results_30d_Deltas!$A$2:$H$5000,6,FALSE),"")</f>
        <v/>
      </c>
      <c r="L96" t="inlineStr">
        <is>
          <t>NO</t>
        </is>
      </c>
      <c r="IK96" t="inlineStr">
        <is>
          <t>ez_manage.py:5285 top()</t>
        </is>
      </c>
      <c r="IL96" t="inlineStr">
        <is>
          <t>v12_quick_engine.py:2842 x10</t>
        </is>
      </c>
    </row>
    <row r="97" ht="10.5" customHeight="1" s="67">
      <c r="A97" t="inlineStr">
        <is>
          <t>REENTRY_K15M_PARTIAL_MULT</t>
        </is>
      </c>
      <c r="B97" t="inlineStr">
        <is>
          <t>0.125</t>
        </is>
      </c>
      <c r="G97">
        <f>IFERROR(VLOOKUP($A100&amp;"_"&amp;$B100,Results_Deltas!$A$2:$P$15000,5,FALSE),"")</f>
        <v/>
      </c>
      <c r="H97">
        <f>IFERROR(VLOOKUP($A100,Results_30d_Deltas!$A$2:$H$5000,7,FALSE)-E99,"")</f>
        <v/>
      </c>
      <c r="I97">
        <f>IFERROR(VLOOKUP($A100,Results_30d_Deltas!$A$2:$H$5000,6,FALSE),"")</f>
        <v/>
      </c>
      <c r="L97" t="inlineStr">
        <is>
          <t>NO</t>
        </is>
      </c>
      <c r="IK97" t="inlineStr">
        <is>
          <t>ez_manage.py:3860 top()</t>
        </is>
      </c>
      <c r="IL97" t="inlineStr">
        <is>
          <t>v12_quick_engine.py:2884 x8</t>
        </is>
      </c>
    </row>
    <row r="98" ht="10.5" customHeight="1" s="67">
      <c r="A98" t="inlineStr">
        <is>
          <t>REENTRY_K15M_PARTIAL_MULT</t>
        </is>
      </c>
      <c r="B98" t="inlineStr">
        <is>
          <t>0.1875</t>
        </is>
      </c>
      <c r="G98">
        <f>IFERROR(VLOOKUP($A101&amp;"_"&amp;$B101,Results_Deltas!$A$2:$P$15000,5,FALSE),"")</f>
        <v/>
      </c>
      <c r="H98">
        <f>IFERROR(VLOOKUP($A101,Results_30d_Deltas!$A$2:$H$5000,7,FALSE)-E100,"")</f>
        <v/>
      </c>
      <c r="I98">
        <f>IFERROR(VLOOKUP($A101,Results_30d_Deltas!$A$2:$H$5000,6,FALSE),"")</f>
        <v/>
      </c>
      <c r="L98" t="inlineStr">
        <is>
          <t>NO</t>
        </is>
      </c>
      <c r="IK98" t="inlineStr">
        <is>
          <t>ez_manage.py:3860 top()</t>
        </is>
      </c>
      <c r="IL98" t="inlineStr">
        <is>
          <t>v12_quick_engine.py:2884 x8</t>
        </is>
      </c>
    </row>
    <row r="99" ht="10.5" customHeight="1" s="67">
      <c r="A99" t="inlineStr">
        <is>
          <t>REENTRY_K15M_PARTIAL_MULT</t>
        </is>
      </c>
      <c r="B99" t="inlineStr">
        <is>
          <t>0.25</t>
        </is>
      </c>
      <c r="G99">
        <f>IFERROR(VLOOKUP($A102&amp;"_"&amp;$B102,Results_Deltas!$A$2:$P$15000,5,FALSE),"")</f>
        <v/>
      </c>
      <c r="H99">
        <f>IFERROR(VLOOKUP($A102,Results_30d_Deltas!$A$2:$H$5000,7,FALSE)-E101,"")</f>
        <v/>
      </c>
      <c r="I99">
        <f>IFERROR(VLOOKUP($A102,Results_30d_Deltas!$A$2:$H$5000,6,FALSE),"")</f>
        <v/>
      </c>
      <c r="L99" t="inlineStr">
        <is>
          <t>NO</t>
        </is>
      </c>
      <c r="IK99" t="inlineStr">
        <is>
          <t>ez_manage.py:3860 top()</t>
        </is>
      </c>
      <c r="IL99" t="inlineStr">
        <is>
          <t>v12_quick_engine.py:2884 x8</t>
        </is>
      </c>
    </row>
    <row r="100" ht="10.5" customHeight="1" s="67">
      <c r="A100" t="inlineStr">
        <is>
          <t>REENTRY_K15M_PARTIAL_MULT</t>
        </is>
      </c>
      <c r="B100" t="inlineStr">
        <is>
          <t>0.3125</t>
        </is>
      </c>
      <c r="G100">
        <f>IFERROR(VLOOKUP($A103&amp;"_"&amp;$B103,Results_Deltas!$A$2:$P$15000,5,FALSE),"")</f>
        <v/>
      </c>
      <c r="H100">
        <f>IFERROR(VLOOKUP($A103,Results_30d_Deltas!$A$2:$H$5000,7,FALSE)-E102,"")</f>
        <v/>
      </c>
      <c r="I100">
        <f>IFERROR(VLOOKUP($A103,Results_30d_Deltas!$A$2:$H$5000,6,FALSE),"")</f>
        <v/>
      </c>
      <c r="L100" t="inlineStr">
        <is>
          <t>NO</t>
        </is>
      </c>
      <c r="IK100" t="inlineStr">
        <is>
          <t>ez_manage.py:3860 top()</t>
        </is>
      </c>
      <c r="IL100" t="inlineStr">
        <is>
          <t>v12_quick_engine.py:2884 x8</t>
        </is>
      </c>
    </row>
    <row r="101" ht="10.5" customHeight="1" s="67">
      <c r="A101" t="inlineStr">
        <is>
          <t>REENTRY_K15M_PARTIAL_MULT</t>
        </is>
      </c>
      <c r="B101" t="inlineStr">
        <is>
          <t>0.375</t>
        </is>
      </c>
      <c r="G101">
        <f>IFERROR(VLOOKUP($A104&amp;"_"&amp;$B104,Results_Deltas!$A$2:$P$15000,5,FALSE),"")</f>
        <v/>
      </c>
      <c r="H101">
        <f>IFERROR(VLOOKUP($A104,Results_30d_Deltas!$A$2:$H$5000,7,FALSE)-E103,"")</f>
        <v/>
      </c>
      <c r="I101">
        <f>IFERROR(VLOOKUP($A104,Results_30d_Deltas!$A$2:$H$5000,6,FALSE),"")</f>
        <v/>
      </c>
      <c r="L101" t="inlineStr">
        <is>
          <t>NO</t>
        </is>
      </c>
      <c r="IK101" t="inlineStr">
        <is>
          <t>ez_manage.py:3860 top()</t>
        </is>
      </c>
      <c r="IL101" t="inlineStr">
        <is>
          <t>v12_quick_engine.py:2884 x8</t>
        </is>
      </c>
    </row>
    <row r="102" ht="10.5" customHeight="1" s="67">
      <c r="A102" t="inlineStr">
        <is>
          <t>REENTRY_RALLY_K15M_MAX</t>
        </is>
      </c>
      <c r="B102" t="inlineStr">
        <is>
          <t>50.0</t>
        </is>
      </c>
      <c r="G102">
        <f>IFERROR(VLOOKUP($A105&amp;"_"&amp;$B105,Results_Deltas!$A$2:$P$15000,5,FALSE),"")</f>
        <v/>
      </c>
      <c r="H102">
        <f>IFERROR(VLOOKUP($A105,Results_30d_Deltas!$A$2:$H$5000,7,FALSE)-E104,"")</f>
        <v/>
      </c>
      <c r="I102">
        <f>IFERROR(VLOOKUP($A105,Results_30d_Deltas!$A$2:$H$5000,6,FALSE),"")</f>
        <v/>
      </c>
      <c r="L102" t="inlineStr">
        <is>
          <t>NO</t>
        </is>
      </c>
      <c r="IK102" t="inlineStr">
        <is>
          <t>ez_manage.py:3869 top()</t>
        </is>
      </c>
      <c r="IL102" t="inlineStr">
        <is>
          <t>v12_quick_engine.py:2902 x8</t>
        </is>
      </c>
    </row>
    <row r="103" ht="10.5" customHeight="1" s="67">
      <c r="A103" t="inlineStr">
        <is>
          <t>REENTRY_RALLY_K15M_MAX</t>
        </is>
      </c>
      <c r="B103" t="inlineStr">
        <is>
          <t>75.0</t>
        </is>
      </c>
      <c r="G103">
        <f>IFERROR(VLOOKUP($A106&amp;"_"&amp;$B106,Results_Deltas!$A$2:$P$15000,5,FALSE),"")</f>
        <v/>
      </c>
      <c r="H103">
        <f>IFERROR(VLOOKUP($A106,Results_30d_Deltas!$A$2:$H$5000,7,FALSE)-E105,"")</f>
        <v/>
      </c>
      <c r="I103">
        <f>IFERROR(VLOOKUP($A106,Results_30d_Deltas!$A$2:$H$5000,6,FALSE),"")</f>
        <v/>
      </c>
      <c r="L103" t="inlineStr">
        <is>
          <t>NO</t>
        </is>
      </c>
      <c r="IK103" t="inlineStr">
        <is>
          <t>ez_manage.py:3869 top()</t>
        </is>
      </c>
      <c r="IL103" t="inlineStr">
        <is>
          <t>v12_quick_engine.py:2902 x8</t>
        </is>
      </c>
    </row>
    <row r="104" ht="10.5" customHeight="1" s="67">
      <c r="A104" t="inlineStr">
        <is>
          <t>REENTRY_RALLY_K15M_MAX</t>
        </is>
      </c>
      <c r="B104" t="inlineStr">
        <is>
          <t>100.0</t>
        </is>
      </c>
      <c r="G104">
        <f>IFERROR(VLOOKUP($A107&amp;"_"&amp;$B107,Results_Deltas!$A$2:$P$15000,5,FALSE),"")</f>
        <v/>
      </c>
      <c r="H104">
        <f>IFERROR(VLOOKUP($A107,Results_30d_Deltas!$A$2:$H$5000,7,FALSE)-E106,"")</f>
        <v/>
      </c>
      <c r="I104">
        <f>IFERROR(VLOOKUP($A107,Results_30d_Deltas!$A$2:$H$5000,6,FALSE),"")</f>
        <v/>
      </c>
      <c r="L104" t="inlineStr">
        <is>
          <t>NO</t>
        </is>
      </c>
      <c r="IK104" t="inlineStr">
        <is>
          <t>ez_manage.py:3869 top()</t>
        </is>
      </c>
      <c r="IL104" t="inlineStr">
        <is>
          <t>v12_quick_engine.py:2902 x8</t>
        </is>
      </c>
    </row>
    <row r="105" ht="10.5" customHeight="1" s="67">
      <c r="A105" t="inlineStr">
        <is>
          <t>REENTRY_RALLY_K15M_MAX</t>
        </is>
      </c>
      <c r="B105" t="inlineStr">
        <is>
          <t>125.0</t>
        </is>
      </c>
      <c r="G105">
        <f>IFERROR(VLOOKUP($A108&amp;"_"&amp;$B108,Results_Deltas!$A$2:$P$15000,5,FALSE),"")</f>
        <v/>
      </c>
      <c r="H105">
        <f>IFERROR(VLOOKUP($A108,Results_30d_Deltas!$A$2:$H$5000,7,FALSE)-E107,"")</f>
        <v/>
      </c>
      <c r="I105">
        <f>IFERROR(VLOOKUP($A108,Results_30d_Deltas!$A$2:$H$5000,6,FALSE),"")</f>
        <v/>
      </c>
      <c r="L105" t="inlineStr">
        <is>
          <t>NO</t>
        </is>
      </c>
      <c r="IK105" t="inlineStr">
        <is>
          <t>ez_manage.py:3869 top()</t>
        </is>
      </c>
      <c r="IL105" t="inlineStr">
        <is>
          <t>v12_quick_engine.py:2902 x8</t>
        </is>
      </c>
    </row>
    <row r="106" ht="10.5" customHeight="1" s="67">
      <c r="A106" t="inlineStr">
        <is>
          <t>REENTRY_RALLY_K15M_MAX</t>
        </is>
      </c>
      <c r="B106" t="inlineStr">
        <is>
          <t>150.0</t>
        </is>
      </c>
      <c r="G106">
        <f>IFERROR(VLOOKUP($A109&amp;"_"&amp;$B109,Results_Deltas!$A$2:$P$15000,5,FALSE),"")</f>
        <v/>
      </c>
      <c r="H106">
        <f>IFERROR(VLOOKUP($A109,Results_30d_Deltas!$A$2:$H$5000,7,FALSE)-E108,"")</f>
        <v/>
      </c>
      <c r="I106">
        <f>IFERROR(VLOOKUP($A109,Results_30d_Deltas!$A$2:$H$5000,6,FALSE),"")</f>
        <v/>
      </c>
      <c r="L106" t="inlineStr">
        <is>
          <t>NO</t>
        </is>
      </c>
      <c r="IK106" t="inlineStr">
        <is>
          <t>ez_manage.py:3869 top()</t>
        </is>
      </c>
      <c r="IL106" t="inlineStr">
        <is>
          <t>v12_quick_engine.py:2902 x8</t>
        </is>
      </c>
    </row>
    <row r="107" ht="10.5" customHeight="1" s="67">
      <c r="A107" t="inlineStr">
        <is>
          <t>REGIME_TRENDING_EXIT_GAIN_MIN</t>
        </is>
      </c>
      <c r="B107" t="inlineStr">
        <is>
          <t>1.0</t>
        </is>
      </c>
      <c r="G107">
        <f>IFERROR(VLOOKUP($A110&amp;"_"&amp;$B110,Results_Deltas!$A$2:$P$15000,5,FALSE),"")</f>
        <v/>
      </c>
      <c r="H107">
        <f>IFERROR(VLOOKUP($A110,Results_30d_Deltas!$A$2:$H$5000,7,FALSE)-E109,"")</f>
        <v/>
      </c>
      <c r="I107">
        <f>IFERROR(VLOOKUP($A110,Results_30d_Deltas!$A$2:$H$5000,6,FALSE),"")</f>
        <v/>
      </c>
      <c r="L107" t="inlineStr">
        <is>
          <t>NO</t>
        </is>
      </c>
      <c r="IK107" t="inlineStr">
        <is>
          <t>ez_manage.py:5359 top()</t>
        </is>
      </c>
      <c r="IL107" t="inlineStr">
        <is>
          <t>v12_quick_engine.py:2951 x5</t>
        </is>
      </c>
    </row>
    <row r="108" ht="10.5" customHeight="1" s="67">
      <c r="A108" t="inlineStr">
        <is>
          <t>REGIME_TRENDING_EXIT_GAIN_MIN</t>
        </is>
      </c>
      <c r="B108" t="inlineStr">
        <is>
          <t>1.5</t>
        </is>
      </c>
      <c r="G108">
        <f>IFERROR(VLOOKUP($A111&amp;"_"&amp;$B111,Results_Deltas!$A$2:$P$15000,5,FALSE),"")</f>
        <v/>
      </c>
      <c r="H108">
        <f>IFERROR(VLOOKUP($A111,Results_30d_Deltas!$A$2:$H$5000,7,FALSE)-E110,"")</f>
        <v/>
      </c>
      <c r="I108">
        <f>IFERROR(VLOOKUP($A111,Results_30d_Deltas!$A$2:$H$5000,6,FALSE),"")</f>
        <v/>
      </c>
      <c r="L108" t="inlineStr">
        <is>
          <t>NO</t>
        </is>
      </c>
      <c r="IK108" t="inlineStr">
        <is>
          <t>ez_manage.py:5359 top()</t>
        </is>
      </c>
      <c r="IL108" t="inlineStr">
        <is>
          <t>v12_quick_engine.py:2951 x5</t>
        </is>
      </c>
    </row>
    <row r="109" ht="10.5" customHeight="1" s="67">
      <c r="A109" t="inlineStr">
        <is>
          <t>REGIME_TRENDING_EXIT_GAIN_MIN</t>
        </is>
      </c>
      <c r="B109" t="inlineStr">
        <is>
          <t>2.0</t>
        </is>
      </c>
      <c r="G109">
        <f>IFERROR(VLOOKUP($A112&amp;"_"&amp;$B112,Results_Deltas!$A$2:$P$15000,5,FALSE),"")</f>
        <v/>
      </c>
      <c r="H109">
        <f>IFERROR(VLOOKUP($A112,Results_30d_Deltas!$A$2:$H$5000,7,FALSE)-E111,"")</f>
        <v/>
      </c>
      <c r="I109">
        <f>IFERROR(VLOOKUP($A112,Results_30d_Deltas!$A$2:$H$5000,6,FALSE),"")</f>
        <v/>
      </c>
      <c r="L109" t="inlineStr">
        <is>
          <t>YES</t>
        </is>
      </c>
      <c r="IK109" t="inlineStr">
        <is>
          <t>ez_manage.py:5359 top()</t>
        </is>
      </c>
      <c r="IL109" t="inlineStr">
        <is>
          <t>v12_quick_engine.py:2951 x5</t>
        </is>
      </c>
    </row>
    <row r="110" ht="10.5" customHeight="1" s="67">
      <c r="A110" t="inlineStr">
        <is>
          <t>REGIME_TRENDING_EXIT_GAIN_MIN</t>
        </is>
      </c>
      <c r="B110" t="inlineStr">
        <is>
          <t>2.5</t>
        </is>
      </c>
      <c r="G110">
        <f>IFERROR(VLOOKUP($A113&amp;"_"&amp;$B113,Results_Deltas!$A$2:$P$15000,5,FALSE),"")</f>
        <v/>
      </c>
      <c r="H110">
        <f>IFERROR(VLOOKUP($A113,Results_30d_Deltas!$A$2:$H$5000,7,FALSE)-E112,"")</f>
        <v/>
      </c>
      <c r="I110">
        <f>IFERROR(VLOOKUP($A113,Results_30d_Deltas!$A$2:$H$5000,6,FALSE),"")</f>
        <v/>
      </c>
      <c r="L110" t="inlineStr">
        <is>
          <t>NO</t>
        </is>
      </c>
      <c r="IK110" t="inlineStr">
        <is>
          <t>ez_manage.py:5359 top()</t>
        </is>
      </c>
      <c r="IL110" t="inlineStr">
        <is>
          <t>v12_quick_engine.py:2951 x5</t>
        </is>
      </c>
    </row>
    <row r="111" ht="10.5" customHeight="1" s="67">
      <c r="A111" t="inlineStr">
        <is>
          <t>REGIME_TRENDING_EXIT_GAIN_MIN</t>
        </is>
      </c>
      <c r="B111" t="inlineStr">
        <is>
          <t>3.0</t>
        </is>
      </c>
      <c r="G111">
        <f>IFERROR(VLOOKUP($A114&amp;"_"&amp;$B114,Results_Deltas!$A$2:$P$15000,5,FALSE),"")</f>
        <v/>
      </c>
      <c r="H111">
        <f>IFERROR(VLOOKUP($A114,Results_30d_Deltas!$A$2:$H$5000,7,FALSE)-E113,"")</f>
        <v/>
      </c>
      <c r="I111">
        <f>IFERROR(VLOOKUP($A114,Results_30d_Deltas!$A$2:$H$5000,6,FALSE),"")</f>
        <v/>
      </c>
      <c r="L111" t="inlineStr">
        <is>
          <t>NO</t>
        </is>
      </c>
      <c r="IK111" t="inlineStr">
        <is>
          <t>ez_manage.py:5359 top()</t>
        </is>
      </c>
      <c r="IL111" t="inlineStr">
        <is>
          <t>v12_quick_engine.py:2951 x5</t>
        </is>
      </c>
    </row>
    <row r="112" ht="10.5" customHeight="1" s="67">
      <c r="A112" t="inlineStr">
        <is>
          <t>REVERSE_ON_EXIT_ENABLED</t>
        </is>
      </c>
      <c r="B112" t="inlineStr">
        <is>
          <t>False</t>
        </is>
      </c>
      <c r="G112">
        <f>IFERROR(VLOOKUP($A115&amp;"_"&amp;$B115,Results_Deltas!$A$2:$P$15000,5,FALSE),"")</f>
        <v/>
      </c>
      <c r="H112">
        <f>IFERROR(VLOOKUP($A115,Results_30d_Deltas!$A$2:$H$5000,7,FALSE)-E114,"")</f>
        <v/>
      </c>
      <c r="I112">
        <f>IFERROR(VLOOKUP($A115,Results_30d_Deltas!$A$2:$H$5000,6,FALSE),"")</f>
        <v/>
      </c>
      <c r="L112" t="inlineStr">
        <is>
          <t>YES</t>
        </is>
      </c>
      <c r="IK112" t="inlineStr">
        <is>
          <t>ez_manage.py:1219 top()</t>
        </is>
      </c>
      <c r="IL112" t="inlineStr">
        <is>
          <t>v12_quick_engine.py:1420 x3</t>
        </is>
      </c>
    </row>
    <row r="113" ht="10.5" customHeight="1" s="67">
      <c r="A113" t="inlineStr">
        <is>
          <t>REVERSE_ON_EXIT_ENABLED</t>
        </is>
      </c>
      <c r="B113" t="inlineStr">
        <is>
          <t>True</t>
        </is>
      </c>
      <c r="G113">
        <f>IFERROR(VLOOKUP($A116&amp;"_"&amp;$B116,Results_Deltas!$A$2:$P$15000,5,FALSE),"")</f>
        <v/>
      </c>
      <c r="H113">
        <f>IFERROR(VLOOKUP($A116,Results_30d_Deltas!$A$2:$H$5000,7,FALSE)-E115,"")</f>
        <v/>
      </c>
      <c r="I113">
        <f>IFERROR(VLOOKUP($A116,Results_30d_Deltas!$A$2:$H$5000,6,FALSE),"")</f>
        <v/>
      </c>
      <c r="L113" t="inlineStr">
        <is>
          <t>NO</t>
        </is>
      </c>
      <c r="IK113" t="inlineStr">
        <is>
          <t>ez_manage.py:1219 top()</t>
        </is>
      </c>
      <c r="IL113" t="inlineStr">
        <is>
          <t>v12_quick_engine.py:1420 x3</t>
        </is>
      </c>
    </row>
    <row r="114" ht="10.5" customHeight="1" s="67">
      <c r="A114" t="inlineStr">
        <is>
          <t>RZ_BOT_BB_THRESHOLD</t>
        </is>
      </c>
      <c r="B114" t="inlineStr">
        <is>
          <t>0.075</t>
        </is>
      </c>
      <c r="G114">
        <f>IFERROR(VLOOKUP($A117&amp;"_"&amp;$B117,Results_Deltas!$A$2:$P$15000,5,FALSE),"")</f>
        <v/>
      </c>
      <c r="H114">
        <f>IFERROR(VLOOKUP($A117,Results_30d_Deltas!$A$2:$H$5000,7,FALSE)-E116,"")</f>
        <v/>
      </c>
      <c r="I114">
        <f>IFERROR(VLOOKUP($A117,Results_30d_Deltas!$A$2:$H$5000,6,FALSE),"")</f>
        <v/>
      </c>
      <c r="L114" t="inlineStr">
        <is>
          <t>NO</t>
        </is>
      </c>
      <c r="IK114" t="inlineStr">
        <is>
          <t>ez_manage.py:3928 top()</t>
        </is>
      </c>
      <c r="IL114" t="inlineStr">
        <is>
          <t>v12_quick_engine.py:3020 x6</t>
        </is>
      </c>
    </row>
    <row r="115" ht="10.5" customHeight="1" s="67">
      <c r="A115" t="inlineStr">
        <is>
          <t>RZ_BOT_BB_THRESHOLD</t>
        </is>
      </c>
      <c r="B115" t="inlineStr">
        <is>
          <t>0.1125</t>
        </is>
      </c>
      <c r="G115">
        <f>IFERROR(VLOOKUP($A118&amp;"_"&amp;$B118,Results_Deltas!$A$2:$P$15000,5,FALSE),"")</f>
        <v/>
      </c>
      <c r="H115">
        <f>IFERROR(VLOOKUP($A118,Results_30d_Deltas!$A$2:$H$5000,7,FALSE)-E117,"")</f>
        <v/>
      </c>
      <c r="I115">
        <f>IFERROR(VLOOKUP($A118,Results_30d_Deltas!$A$2:$H$5000,6,FALSE),"")</f>
        <v/>
      </c>
      <c r="L115" t="inlineStr">
        <is>
          <t>NO</t>
        </is>
      </c>
      <c r="IK115" t="inlineStr">
        <is>
          <t>ez_manage.py:3928 top()</t>
        </is>
      </c>
      <c r="IL115" t="inlineStr">
        <is>
          <t>v12_quick_engine.py:3020 x6</t>
        </is>
      </c>
    </row>
    <row r="116" ht="10.5" customHeight="1" s="67">
      <c r="A116" t="inlineStr">
        <is>
          <t>RZ_BOT_BB_THRESHOLD</t>
        </is>
      </c>
      <c r="B116" t="n">
        <v>0.375</v>
      </c>
      <c r="G116">
        <f>IFERROR(VLOOKUP($A119&amp;"_"&amp;$B119,Results_Deltas!$A$2:$P$15000,5,FALSE),"")</f>
        <v/>
      </c>
      <c r="H116">
        <f>IFERROR(VLOOKUP($A119,Results_30d_Deltas!$A$2:$H$5000,7,FALSE)-E118,"")</f>
        <v/>
      </c>
      <c r="I116">
        <f>IFERROR(VLOOKUP($A119,Results_30d_Deltas!$A$2:$H$5000,6,FALSE),"")</f>
        <v/>
      </c>
      <c r="L116" t="inlineStr">
        <is>
          <t>NO</t>
        </is>
      </c>
      <c r="IK116" t="inlineStr">
        <is>
          <t>ez_manage.py:3928 top()</t>
        </is>
      </c>
      <c r="IL116" t="inlineStr">
        <is>
          <t>v12_quick_engine.py:3020 x6</t>
        </is>
      </c>
    </row>
    <row r="117" ht="10.5" customHeight="1" s="67">
      <c r="A117" t="inlineStr">
        <is>
          <t>RZ_BOT_BB_THRESHOLD</t>
        </is>
      </c>
      <c r="B117" t="inlineStr">
        <is>
          <t>0.1875</t>
        </is>
      </c>
      <c r="G117">
        <f>IFERROR(VLOOKUP($A120&amp;"_"&amp;$B120,Results_Deltas!$A$2:$P$15000,5,FALSE),"")</f>
        <v/>
      </c>
      <c r="H117">
        <f>IFERROR(VLOOKUP($A120,Results_30d_Deltas!$A$2:$H$5000,7,FALSE)-E119,"")</f>
        <v/>
      </c>
      <c r="I117">
        <f>IFERROR(VLOOKUP($A120,Results_30d_Deltas!$A$2:$H$5000,6,FALSE),"")</f>
        <v/>
      </c>
      <c r="L117" t="inlineStr">
        <is>
          <t>NO</t>
        </is>
      </c>
      <c r="IK117" t="inlineStr">
        <is>
          <t>ez_manage.py:3928 top()</t>
        </is>
      </c>
      <c r="IL117" t="inlineStr">
        <is>
          <t>v12_quick_engine.py:3020 x6</t>
        </is>
      </c>
    </row>
    <row r="118" ht="10.5" customHeight="1" s="67">
      <c r="A118" t="inlineStr">
        <is>
          <t>RZ_BOT_BB_THRESHOLD</t>
        </is>
      </c>
      <c r="B118" t="inlineStr">
        <is>
          <t>0.225</t>
        </is>
      </c>
      <c r="G118">
        <f>IFERROR(VLOOKUP($A121&amp;"_"&amp;$B121,Results_Deltas!$A$2:$P$15000,5,FALSE),"")</f>
        <v/>
      </c>
      <c r="H118">
        <f>IFERROR(VLOOKUP($A121,Results_30d_Deltas!$A$2:$H$5000,7,FALSE)-E120,"")</f>
        <v/>
      </c>
      <c r="I118">
        <f>IFERROR(VLOOKUP($A121,Results_30d_Deltas!$A$2:$H$5000,6,FALSE),"")</f>
        <v/>
      </c>
      <c r="L118" t="inlineStr">
        <is>
          <t>NO</t>
        </is>
      </c>
      <c r="IK118" t="inlineStr">
        <is>
          <t>ez_manage.py:3928 top()</t>
        </is>
      </c>
      <c r="IL118" t="inlineStr">
        <is>
          <t>v12_quick_engine.py:3020 x6</t>
        </is>
      </c>
    </row>
    <row r="119" ht="10.5" customHeight="1" s="67">
      <c r="A119" t="inlineStr">
        <is>
          <t>RZ_BREAKOUT_BAND</t>
        </is>
      </c>
      <c r="B119" t="inlineStr">
        <is>
          <t>0</t>
        </is>
      </c>
      <c r="G119">
        <f>IFERROR(VLOOKUP($A122&amp;"_"&amp;$B122,Results_Deltas!$A$2:$P$15000,5,FALSE),"")</f>
        <v/>
      </c>
      <c r="H119">
        <f>IFERROR(VLOOKUP($A122,Results_30d_Deltas!$A$2:$H$5000,7,FALSE)-E121,"")</f>
        <v/>
      </c>
      <c r="I119">
        <f>IFERROR(VLOOKUP($A122,Results_30d_Deltas!$A$2:$H$5000,6,FALSE),"")</f>
        <v/>
      </c>
      <c r="L119" t="inlineStr">
        <is>
          <t>NO</t>
        </is>
      </c>
      <c r="IK119" t="inlineStr">
        <is>
          <t>ez_manage.py:5397 top()</t>
        </is>
      </c>
      <c r="IL119" t="inlineStr">
        <is>
          <t>v12_quick_engine.py:4036 x3</t>
        </is>
      </c>
    </row>
    <row r="120" ht="10.5" customHeight="1" s="67">
      <c r="A120" t="inlineStr">
        <is>
          <t>RZ_BREAKOUT_BAND</t>
        </is>
      </c>
      <c r="B120" t="inlineStr">
        <is>
          <t>0.5</t>
        </is>
      </c>
      <c r="G120">
        <f>IFERROR(VLOOKUP($A123&amp;"_"&amp;$B123,Results_Deltas!$A$2:$P$15000,5,FALSE),"")</f>
        <v/>
      </c>
      <c r="H120">
        <f>IFERROR(VLOOKUP($A123,Results_30d_Deltas!$A$2:$H$5000,7,FALSE)-E122,"")</f>
        <v/>
      </c>
      <c r="I120">
        <f>IFERROR(VLOOKUP($A123,Results_30d_Deltas!$A$2:$H$5000,6,FALSE),"")</f>
        <v/>
      </c>
      <c r="L120" t="inlineStr">
        <is>
          <t>NO</t>
        </is>
      </c>
      <c r="IK120" t="inlineStr">
        <is>
          <t>ez_manage.py:5397 top()</t>
        </is>
      </c>
      <c r="IL120" t="inlineStr">
        <is>
          <t>v12_quick_engine.py:4036 x3</t>
        </is>
      </c>
    </row>
    <row r="121" ht="10.5" customHeight="1" s="67">
      <c r="A121" t="inlineStr">
        <is>
          <t>RZ_BREAKOUT_BAND</t>
        </is>
      </c>
      <c r="B121" t="inlineStr">
        <is>
          <t>1.0</t>
        </is>
      </c>
      <c r="G121">
        <f>IFERROR(VLOOKUP($A124&amp;"_"&amp;$B124,Results_Deltas!$A$2:$P$15000,5,FALSE),"")</f>
        <v/>
      </c>
      <c r="H121">
        <f>IFERROR(VLOOKUP($A124,Results_30d_Deltas!$A$2:$H$5000,7,FALSE)-E123,"")</f>
        <v/>
      </c>
      <c r="I121">
        <f>IFERROR(VLOOKUP($A124,Results_30d_Deltas!$A$2:$H$5000,6,FALSE),"")</f>
        <v/>
      </c>
      <c r="L121" t="inlineStr">
        <is>
          <t>NO</t>
        </is>
      </c>
      <c r="IK121" t="inlineStr">
        <is>
          <t>ez_manage.py:5397 top()</t>
        </is>
      </c>
      <c r="IL121" t="inlineStr">
        <is>
          <t>v12_quick_engine.py:4036 x3</t>
        </is>
      </c>
    </row>
    <row r="122" ht="10.5" customHeight="1" s="67">
      <c r="A122" t="inlineStr">
        <is>
          <t>RZ_BREAKOUT_BAND</t>
        </is>
      </c>
      <c r="B122" t="inlineStr">
        <is>
          <t>2.0</t>
        </is>
      </c>
      <c r="G122">
        <f>IFERROR(VLOOKUP($A125&amp;"_"&amp;$B125,Results_Deltas!$A$2:$P$15000,5,FALSE),"")</f>
        <v/>
      </c>
      <c r="H122">
        <f>IFERROR(VLOOKUP($A125,Results_30d_Deltas!$A$2:$H$5000,7,FALSE)-E124,"")</f>
        <v/>
      </c>
      <c r="I122">
        <f>IFERROR(VLOOKUP($A125,Results_30d_Deltas!$A$2:$H$5000,6,FALSE),"")</f>
        <v/>
      </c>
      <c r="L122" t="inlineStr">
        <is>
          <t>NO</t>
        </is>
      </c>
      <c r="IK122" t="inlineStr">
        <is>
          <t>ez_manage.py:5397 top()</t>
        </is>
      </c>
      <c r="IL122" t="inlineStr">
        <is>
          <t>v12_quick_engine.py:4036 x3</t>
        </is>
      </c>
    </row>
    <row r="123" ht="10.5" customHeight="1" s="67">
      <c r="A123" t="inlineStr">
        <is>
          <t>SCALP_V3_K_OB_EXIT_K15M_HI</t>
        </is>
      </c>
      <c r="B123" t="inlineStr">
        <is>
          <t>0</t>
        </is>
      </c>
      <c r="G123">
        <f>IFERROR(VLOOKUP($A126&amp;"_"&amp;$B126,Results_Deltas!$A$2:$P$15000,5,FALSE),"")</f>
        <v/>
      </c>
      <c r="H123">
        <f>IFERROR(VLOOKUP($A126,Results_30d_Deltas!$A$2:$H$5000,7,FALSE)-E125,"")</f>
        <v/>
      </c>
      <c r="I123">
        <f>IFERROR(VLOOKUP($A126,Results_30d_Deltas!$A$2:$H$5000,6,FALSE),"")</f>
        <v/>
      </c>
      <c r="L123" t="inlineStr">
        <is>
          <t>NO</t>
        </is>
      </c>
      <c r="IK123" t="inlineStr">
        <is>
          <t>ez_manage.py:5551 top()</t>
        </is>
      </c>
      <c r="IL123" t="inlineStr">
        <is>
          <t>v12_quick_engine.py:3179 x4</t>
        </is>
      </c>
    </row>
    <row r="124" ht="10.5" customHeight="1" s="67">
      <c r="A124" t="inlineStr">
        <is>
          <t>SCALP_V3_K_OB_EXIT_K15M_HI</t>
        </is>
      </c>
      <c r="B124" t="inlineStr">
        <is>
          <t>0.5</t>
        </is>
      </c>
      <c r="G124">
        <f>IFERROR(VLOOKUP($A127&amp;"_"&amp;$B127,Results_Deltas!$A$2:$P$15000,5,FALSE),"")</f>
        <v/>
      </c>
      <c r="H124">
        <f>IFERROR(VLOOKUP($A127,Results_30d_Deltas!$A$2:$H$5000,7,FALSE)-E126,"")</f>
        <v/>
      </c>
      <c r="I124">
        <f>IFERROR(VLOOKUP($A127,Results_30d_Deltas!$A$2:$H$5000,6,FALSE),"")</f>
        <v/>
      </c>
      <c r="L124" t="inlineStr">
        <is>
          <t>NO</t>
        </is>
      </c>
      <c r="IK124" t="inlineStr">
        <is>
          <t>ez_manage.py:5551 top()</t>
        </is>
      </c>
      <c r="IL124" t="inlineStr">
        <is>
          <t>v12_quick_engine.py:3179 x4</t>
        </is>
      </c>
    </row>
    <row r="125" ht="10.5" customHeight="1" s="67">
      <c r="A125" t="inlineStr">
        <is>
          <t>SCALP_V3_K_OB_EXIT_K15M_HI</t>
        </is>
      </c>
      <c r="B125" t="inlineStr">
        <is>
          <t>1.0</t>
        </is>
      </c>
      <c r="G125">
        <f>IFERROR(VLOOKUP($A128&amp;"_"&amp;$B128,Results_Deltas!$A$2:$P$15000,5,FALSE),"")</f>
        <v/>
      </c>
      <c r="H125">
        <f>IFERROR(VLOOKUP($A128,Results_30d_Deltas!$A$2:$H$5000,7,FALSE)-E127,"")</f>
        <v/>
      </c>
      <c r="I125">
        <f>IFERROR(VLOOKUP($A128,Results_30d_Deltas!$A$2:$H$5000,6,FALSE),"")</f>
        <v/>
      </c>
      <c r="L125" t="inlineStr">
        <is>
          <t>NO</t>
        </is>
      </c>
      <c r="IK125" t="inlineStr">
        <is>
          <t>ez_manage.py:5551 top()</t>
        </is>
      </c>
      <c r="IL125" t="inlineStr">
        <is>
          <t>v12_quick_engine.py:3179 x4</t>
        </is>
      </c>
    </row>
    <row r="126" ht="10.5" customHeight="1" s="67">
      <c r="A126" t="inlineStr">
        <is>
          <t>SCALP_V3_K_OB_EXIT_K15M_HI</t>
        </is>
      </c>
      <c r="B126" t="inlineStr">
        <is>
          <t>2.0</t>
        </is>
      </c>
      <c r="G126">
        <f>IFERROR(VLOOKUP($A129&amp;"_"&amp;$B129,Results_Deltas!$A$2:$P$15000,5,FALSE),"")</f>
        <v/>
      </c>
      <c r="H126">
        <f>IFERROR(VLOOKUP($A129,Results_30d_Deltas!$A$2:$H$5000,7,FALSE)-E128,"")</f>
        <v/>
      </c>
      <c r="I126">
        <f>IFERROR(VLOOKUP($A129,Results_30d_Deltas!$A$2:$H$5000,6,FALSE),"")</f>
        <v/>
      </c>
      <c r="L126" t="inlineStr">
        <is>
          <t>NO</t>
        </is>
      </c>
      <c r="IK126" t="inlineStr">
        <is>
          <t>ez_manage.py:5551 top()</t>
        </is>
      </c>
      <c r="IL126" t="inlineStr">
        <is>
          <t>v12_quick_engine.py:3179 x4</t>
        </is>
      </c>
    </row>
    <row r="127" ht="10.5" customHeight="1" s="67">
      <c r="A127" t="inlineStr">
        <is>
          <t>SCALP_V3_K_OB_EXIT_K15M_LO</t>
        </is>
      </c>
      <c r="B127" t="inlineStr">
        <is>
          <t>0</t>
        </is>
      </c>
      <c r="G127">
        <f>IFERROR(VLOOKUP($A130&amp;"_"&amp;$B130,Results_Deltas!$A$2:$P$15000,5,FALSE),"")</f>
        <v/>
      </c>
      <c r="H127">
        <f>IFERROR(VLOOKUP($A130,Results_30d_Deltas!$A$2:$H$5000,7,FALSE)-E129,"")</f>
        <v/>
      </c>
      <c r="I127">
        <f>IFERROR(VLOOKUP($A130,Results_30d_Deltas!$A$2:$H$5000,6,FALSE),"")</f>
        <v/>
      </c>
      <c r="L127" t="inlineStr">
        <is>
          <t>NO</t>
        </is>
      </c>
      <c r="IK127" t="inlineStr">
        <is>
          <t>ez_manage.py:5552 top()</t>
        </is>
      </c>
      <c r="IL127" t="inlineStr">
        <is>
          <t>v12_quick_engine.py:3180 x4</t>
        </is>
      </c>
    </row>
    <row r="128" ht="10.5" customHeight="1" s="67">
      <c r="A128" t="inlineStr">
        <is>
          <t>SCALP_V3_K_OB_EXIT_K15M_LO</t>
        </is>
      </c>
      <c r="B128" t="inlineStr">
        <is>
          <t>0.5</t>
        </is>
      </c>
      <c r="G128">
        <f>IFERROR(VLOOKUP($A131&amp;"_"&amp;$B131,Results_Deltas!$A$2:$P$15000,5,FALSE),"")</f>
        <v/>
      </c>
      <c r="H128">
        <f>IFERROR(VLOOKUP($A131,Results_30d_Deltas!$A$2:$H$5000,7,FALSE)-E130,"")</f>
        <v/>
      </c>
      <c r="I128">
        <f>IFERROR(VLOOKUP($A131,Results_30d_Deltas!$A$2:$H$5000,6,FALSE),"")</f>
        <v/>
      </c>
      <c r="L128" t="inlineStr">
        <is>
          <t>NO</t>
        </is>
      </c>
      <c r="IK128" t="inlineStr">
        <is>
          <t>ez_manage.py:5552 top()</t>
        </is>
      </c>
      <c r="IL128" t="inlineStr">
        <is>
          <t>v12_quick_engine.py:3180 x4</t>
        </is>
      </c>
    </row>
    <row r="129" ht="10.5" customHeight="1" s="67">
      <c r="A129" t="inlineStr">
        <is>
          <t>SCALP_V3_K_OB_EXIT_K15M_LO</t>
        </is>
      </c>
      <c r="B129" t="inlineStr">
        <is>
          <t>1.0</t>
        </is>
      </c>
      <c r="G129">
        <f>IFERROR(VLOOKUP($A132&amp;"_"&amp;$B132,Results_Deltas!$A$2:$P$15000,5,FALSE),"")</f>
        <v/>
      </c>
      <c r="H129">
        <f>IFERROR(VLOOKUP($A132,Results_30d_Deltas!$A$2:$H$5000,7,FALSE)-E131,"")</f>
        <v/>
      </c>
      <c r="I129">
        <f>IFERROR(VLOOKUP($A132,Results_30d_Deltas!$A$2:$H$5000,6,FALSE),"")</f>
        <v/>
      </c>
      <c r="L129" t="inlineStr">
        <is>
          <t>NO</t>
        </is>
      </c>
      <c r="IK129" t="inlineStr">
        <is>
          <t>ez_manage.py:5552 top()</t>
        </is>
      </c>
      <c r="IL129" t="inlineStr">
        <is>
          <t>v12_quick_engine.py:3180 x4</t>
        </is>
      </c>
    </row>
    <row r="130" ht="10.5" customHeight="1" s="67">
      <c r="A130" t="inlineStr">
        <is>
          <t>SCALP_V3_K_OB_EXIT_K15M_LO</t>
        </is>
      </c>
      <c r="B130" t="inlineStr">
        <is>
          <t>2.0</t>
        </is>
      </c>
      <c r="G130">
        <f>IFERROR(VLOOKUP($A133&amp;"_"&amp;$B133,Results_Deltas!$A$2:$P$15000,5,FALSE),"")</f>
        <v/>
      </c>
      <c r="H130">
        <f>IFERROR(VLOOKUP($A133,Results_30d_Deltas!$A$2:$H$5000,7,FALSE)-E132,"")</f>
        <v/>
      </c>
      <c r="I130">
        <f>IFERROR(VLOOKUP($A133,Results_30d_Deltas!$A$2:$H$5000,6,FALSE),"")</f>
        <v/>
      </c>
      <c r="L130" t="inlineStr">
        <is>
          <t>NO</t>
        </is>
      </c>
      <c r="IK130" t="inlineStr">
        <is>
          <t>ez_manage.py:5552 top()</t>
        </is>
      </c>
      <c r="IL130" t="inlineStr">
        <is>
          <t>v12_quick_engine.py:3180 x4</t>
        </is>
      </c>
    </row>
    <row r="131" ht="10.5" customHeight="1" s="67">
      <c r="A131" t="inlineStr">
        <is>
          <t>SCALP_V3_K_OB_EXIT_K3M_HI</t>
        </is>
      </c>
      <c r="B131" t="inlineStr">
        <is>
          <t>0</t>
        </is>
      </c>
      <c r="G131">
        <f>IFERROR(VLOOKUP($A134&amp;"_"&amp;$B134,Results_Deltas!$A$2:$P$15000,5,FALSE),"")</f>
        <v/>
      </c>
      <c r="H131">
        <f>IFERROR(VLOOKUP($A134,Results_30d_Deltas!$A$2:$H$5000,7,FALSE)-E133,"")</f>
        <v/>
      </c>
      <c r="I131">
        <f>IFERROR(VLOOKUP($A134,Results_30d_Deltas!$A$2:$H$5000,6,FALSE),"")</f>
        <v/>
      </c>
      <c r="L131" t="inlineStr">
        <is>
          <t>NO</t>
        </is>
      </c>
      <c r="IK131" t="inlineStr">
        <is>
          <t>ez_manage.py:5553 top()</t>
        </is>
      </c>
      <c r="IL131" t="inlineStr">
        <is>
          <t>v12_quick_engine.py:3181 x4</t>
        </is>
      </c>
    </row>
    <row r="132" ht="10.5" customHeight="1" s="67">
      <c r="A132" t="inlineStr">
        <is>
          <t>SCALP_V3_K_OB_EXIT_K3M_HI</t>
        </is>
      </c>
      <c r="B132" t="inlineStr">
        <is>
          <t>0.5</t>
        </is>
      </c>
      <c r="G132">
        <f>IFERROR(VLOOKUP($A135&amp;"_"&amp;$B135,Results_Deltas!$A$2:$P$15000,5,FALSE),"")</f>
        <v/>
      </c>
      <c r="H132">
        <f>IFERROR(VLOOKUP($A135,Results_30d_Deltas!$A$2:$H$5000,7,FALSE)-E134,"")</f>
        <v/>
      </c>
      <c r="I132">
        <f>IFERROR(VLOOKUP($A135,Results_30d_Deltas!$A$2:$H$5000,6,FALSE),"")</f>
        <v/>
      </c>
      <c r="L132" t="inlineStr">
        <is>
          <t>NO</t>
        </is>
      </c>
      <c r="IK132" t="inlineStr">
        <is>
          <t>ez_manage.py:5553 top()</t>
        </is>
      </c>
      <c r="IL132" t="inlineStr">
        <is>
          <t>v12_quick_engine.py:3181 x4</t>
        </is>
      </c>
    </row>
    <row r="133" ht="10.5" customHeight="1" s="67">
      <c r="A133" t="inlineStr">
        <is>
          <t>SCALP_V3_K_OB_EXIT_K3M_HI</t>
        </is>
      </c>
      <c r="B133" t="inlineStr">
        <is>
          <t>1.0</t>
        </is>
      </c>
      <c r="G133">
        <f>IFERROR(VLOOKUP($A136&amp;"_"&amp;$B136,Results_Deltas!$A$2:$P$15000,5,FALSE),"")</f>
        <v/>
      </c>
      <c r="H133">
        <f>IFERROR(VLOOKUP($A136,Results_30d_Deltas!$A$2:$H$5000,7,FALSE)-E135,"")</f>
        <v/>
      </c>
      <c r="I133">
        <f>IFERROR(VLOOKUP($A136,Results_30d_Deltas!$A$2:$H$5000,6,FALSE),"")</f>
        <v/>
      </c>
      <c r="L133" t="inlineStr">
        <is>
          <t>NO</t>
        </is>
      </c>
      <c r="IK133" t="inlineStr">
        <is>
          <t>ez_manage.py:5553 top()</t>
        </is>
      </c>
      <c r="IL133" t="inlineStr">
        <is>
          <t>v12_quick_engine.py:3181 x4</t>
        </is>
      </c>
    </row>
    <row r="134" ht="10.5" customHeight="1" s="67">
      <c r="A134" t="inlineStr">
        <is>
          <t>SCALP_V3_K_OB_EXIT_K3M_HI</t>
        </is>
      </c>
      <c r="B134" t="inlineStr">
        <is>
          <t>2.0</t>
        </is>
      </c>
      <c r="G134">
        <f>IFERROR(VLOOKUP($A137&amp;"_"&amp;$B137,Results_Deltas!$A$2:$P$15000,5,FALSE),"")</f>
        <v/>
      </c>
      <c r="H134">
        <f>IFERROR(VLOOKUP($A137,Results_30d_Deltas!$A$2:$H$5000,7,FALSE)-E136,"")</f>
        <v/>
      </c>
      <c r="I134">
        <f>IFERROR(VLOOKUP($A137,Results_30d_Deltas!$A$2:$H$5000,6,FALSE),"")</f>
        <v/>
      </c>
      <c r="L134" t="inlineStr">
        <is>
          <t>NO</t>
        </is>
      </c>
      <c r="IK134" t="inlineStr">
        <is>
          <t>ez_manage.py:5553 top()</t>
        </is>
      </c>
      <c r="IL134" t="inlineStr">
        <is>
          <t>v12_quick_engine.py:3181 x4</t>
        </is>
      </c>
    </row>
    <row r="135" ht="10.5" customHeight="1" s="67">
      <c r="A135" t="inlineStr">
        <is>
          <t>SCALP_V3_K_OB_EXIT_K3M_LO</t>
        </is>
      </c>
      <c r="B135" t="inlineStr">
        <is>
          <t>0</t>
        </is>
      </c>
      <c r="G135">
        <f>IFERROR(VLOOKUP($A138&amp;"_"&amp;$B138,Results_Deltas!$A$2:$P$15000,5,FALSE),"")</f>
        <v/>
      </c>
      <c r="H135">
        <f>IFERROR(VLOOKUP($A138,Results_30d_Deltas!$A$2:$H$5000,7,FALSE)-E137,"")</f>
        <v/>
      </c>
      <c r="I135">
        <f>IFERROR(VLOOKUP($A138,Results_30d_Deltas!$A$2:$H$5000,6,FALSE),"")</f>
        <v/>
      </c>
      <c r="L135" t="inlineStr">
        <is>
          <t>NO</t>
        </is>
      </c>
      <c r="IK135" t="inlineStr">
        <is>
          <t>ez_manage.py:5554 top()</t>
        </is>
      </c>
      <c r="IL135" t="inlineStr">
        <is>
          <t>v12_quick_engine.py:3182 x4</t>
        </is>
      </c>
    </row>
    <row r="136" ht="10.5" customHeight="1" s="67">
      <c r="A136" t="inlineStr">
        <is>
          <t>SCALP_V3_K_OB_EXIT_K3M_LO</t>
        </is>
      </c>
      <c r="B136" t="inlineStr">
        <is>
          <t>0.5</t>
        </is>
      </c>
      <c r="G136">
        <f>IFERROR(VLOOKUP($A139&amp;"_"&amp;$B139,Results_Deltas!$A$2:$P$15000,5,FALSE),"")</f>
        <v/>
      </c>
      <c r="H136">
        <f>IFERROR(VLOOKUP($A139,Results_30d_Deltas!$A$2:$H$5000,7,FALSE)-E138,"")</f>
        <v/>
      </c>
      <c r="I136">
        <f>IFERROR(VLOOKUP($A139,Results_30d_Deltas!$A$2:$H$5000,6,FALSE),"")</f>
        <v/>
      </c>
      <c r="L136" t="inlineStr">
        <is>
          <t>NO</t>
        </is>
      </c>
      <c r="IK136" t="inlineStr">
        <is>
          <t>ez_manage.py:5554 top()</t>
        </is>
      </c>
      <c r="IL136" t="inlineStr">
        <is>
          <t>v12_quick_engine.py:3182 x4</t>
        </is>
      </c>
    </row>
    <row r="137" ht="10.5" customHeight="1" s="67">
      <c r="A137" t="inlineStr">
        <is>
          <t>SCALP_V3_K_OB_EXIT_K3M_LO</t>
        </is>
      </c>
      <c r="B137" t="inlineStr">
        <is>
          <t>1.0</t>
        </is>
      </c>
      <c r="G137">
        <f>IFERROR(VLOOKUP($A140&amp;"_"&amp;$B140,Results_Deltas!$A$2:$P$15000,5,FALSE),"")</f>
        <v/>
      </c>
      <c r="H137">
        <f>IFERROR(VLOOKUP($A140,Results_30d_Deltas!$A$2:$H$5000,7,FALSE)-E139,"")</f>
        <v/>
      </c>
      <c r="I137">
        <f>IFERROR(VLOOKUP($A140,Results_30d_Deltas!$A$2:$H$5000,6,FALSE),"")</f>
        <v/>
      </c>
      <c r="L137" t="inlineStr">
        <is>
          <t>NO</t>
        </is>
      </c>
      <c r="IK137" t="inlineStr">
        <is>
          <t>ez_manage.py:5554 top()</t>
        </is>
      </c>
      <c r="IL137" t="inlineStr">
        <is>
          <t>v12_quick_engine.py:3182 x4</t>
        </is>
      </c>
    </row>
    <row r="138" ht="10.5" customHeight="1" s="67">
      <c r="A138" t="inlineStr">
        <is>
          <t>SCALP_V3_K_OB_EXIT_K3M_LO</t>
        </is>
      </c>
      <c r="B138" t="inlineStr">
        <is>
          <t>2.0</t>
        </is>
      </c>
      <c r="G138">
        <f>IFERROR(VLOOKUP($A141&amp;"_"&amp;$B141,Results_Deltas!$A$2:$P$15000,5,FALSE),"")</f>
        <v/>
      </c>
      <c r="H138">
        <f>IFERROR(VLOOKUP($A141,Results_30d_Deltas!$A$2:$H$5000,7,FALSE)-E140,"")</f>
        <v/>
      </c>
      <c r="I138">
        <f>IFERROR(VLOOKUP($A141,Results_30d_Deltas!$A$2:$H$5000,6,FALSE),"")</f>
        <v/>
      </c>
      <c r="L138" t="inlineStr">
        <is>
          <t>NO</t>
        </is>
      </c>
      <c r="IK138" t="inlineStr">
        <is>
          <t>ez_manage.py:5554 top()</t>
        </is>
      </c>
      <c r="IL138" t="inlineStr">
        <is>
          <t>v12_quick_engine.py:3182 x4</t>
        </is>
      </c>
    </row>
    <row r="139" ht="10.5" customHeight="1" s="67">
      <c r="A139" t="inlineStr">
        <is>
          <t>SCALP_V3_K_OB_EXIT_WALL_PCT</t>
        </is>
      </c>
      <c r="B139" t="inlineStr">
        <is>
          <t>0</t>
        </is>
      </c>
      <c r="G139">
        <f>IFERROR(VLOOKUP($A142&amp;"_"&amp;$B142,Results_Deltas!$A$2:$P$15000,5,FALSE),"")</f>
        <v/>
      </c>
      <c r="H139">
        <f>IFERROR(VLOOKUP($A142,Results_30d_Deltas!$A$2:$H$5000,7,FALSE)-E141,"")</f>
        <v/>
      </c>
      <c r="I139">
        <f>IFERROR(VLOOKUP($A142,Results_30d_Deltas!$A$2:$H$5000,6,FALSE),"")</f>
        <v/>
      </c>
      <c r="L139" t="inlineStr">
        <is>
          <t>NO</t>
        </is>
      </c>
      <c r="IK139" t="inlineStr">
        <is>
          <t>ez_manage.py:5555 top()</t>
        </is>
      </c>
      <c r="IL139" t="inlineStr">
        <is>
          <t>v12_quick_engine.py:3183 x4</t>
        </is>
      </c>
    </row>
    <row r="140" ht="10.5" customHeight="1" s="67">
      <c r="A140" t="inlineStr">
        <is>
          <t>SCALP_V3_K_OB_EXIT_WALL_PCT</t>
        </is>
      </c>
      <c r="B140" t="n">
        <v>0</v>
      </c>
      <c r="G140">
        <f>IFERROR(VLOOKUP($A143&amp;"_"&amp;$B143,Results_Deltas!$A$2:$P$15000,5,FALSE),"")</f>
        <v/>
      </c>
      <c r="H140">
        <f>IFERROR(VLOOKUP($A143,Results_30d_Deltas!$A$2:$H$5000,7,FALSE)-E142,"")</f>
        <v/>
      </c>
      <c r="I140">
        <f>IFERROR(VLOOKUP($A143,Results_30d_Deltas!$A$2:$H$5000,6,FALSE),"")</f>
        <v/>
      </c>
      <c r="L140" t="inlineStr">
        <is>
          <t>YES</t>
        </is>
      </c>
      <c r="IK140" t="inlineStr">
        <is>
          <t>ez_manage.py:5555 top()</t>
        </is>
      </c>
      <c r="IL140" t="inlineStr">
        <is>
          <t>v12_quick_engine.py:3183 x4</t>
        </is>
      </c>
    </row>
    <row r="141" ht="10.5" customHeight="1" s="67">
      <c r="A141" t="inlineStr">
        <is>
          <t>SCALP_V3_K_OB_EXIT_WALL_PCT</t>
        </is>
      </c>
      <c r="B141" t="inlineStr">
        <is>
          <t>1.0</t>
        </is>
      </c>
      <c r="G141">
        <f>IFERROR(VLOOKUP($A144&amp;"_"&amp;$B144,Results_Deltas!$A$2:$P$15000,5,FALSE),"")</f>
        <v/>
      </c>
      <c r="H141">
        <f>IFERROR(VLOOKUP($A144,Results_30d_Deltas!$A$2:$H$5000,7,FALSE)-E143,"")</f>
        <v/>
      </c>
      <c r="I141">
        <f>IFERROR(VLOOKUP($A144,Results_30d_Deltas!$A$2:$H$5000,6,FALSE),"")</f>
        <v/>
      </c>
      <c r="L141" t="inlineStr">
        <is>
          <t>NO</t>
        </is>
      </c>
      <c r="IK141" t="inlineStr">
        <is>
          <t>ez_manage.py:5555 top()</t>
        </is>
      </c>
      <c r="IL141" t="inlineStr">
        <is>
          <t>v12_quick_engine.py:3183 x4</t>
        </is>
      </c>
    </row>
    <row r="142" ht="10.5" customHeight="1" s="67">
      <c r="A142" t="inlineStr">
        <is>
          <t>SCALP_V3_K_OB_EXIT_WALL_PCT</t>
        </is>
      </c>
      <c r="B142" t="inlineStr">
        <is>
          <t>2.0</t>
        </is>
      </c>
      <c r="G142">
        <f>IFERROR(VLOOKUP($A145&amp;"_"&amp;$B145,Results_Deltas!$A$2:$P$15000,5,FALSE),"")</f>
        <v/>
      </c>
      <c r="H142">
        <f>IFERROR(VLOOKUP($A145,Results_30d_Deltas!$A$2:$H$5000,7,FALSE)-E144,"")</f>
        <v/>
      </c>
      <c r="I142">
        <f>IFERROR(VLOOKUP($A145,Results_30d_Deltas!$A$2:$H$5000,6,FALSE),"")</f>
        <v/>
      </c>
      <c r="L142" t="inlineStr">
        <is>
          <t>NO</t>
        </is>
      </c>
      <c r="IK142" t="inlineStr">
        <is>
          <t>ez_manage.py:5555 top()</t>
        </is>
      </c>
      <c r="IL142" t="inlineStr">
        <is>
          <t>v12_quick_engine.py:3183 x4</t>
        </is>
      </c>
    </row>
    <row r="143" ht="10.5" customHeight="1" s="67">
      <c r="A143" t="inlineStr">
        <is>
          <t>SCALP_V3_OB_WALL_TOO_CLOSE_PCT</t>
        </is>
      </c>
      <c r="B143" t="inlineStr">
        <is>
          <t>0</t>
        </is>
      </c>
      <c r="G143">
        <f>IFERROR(VLOOKUP($A146&amp;"_"&amp;$B146,Results_Deltas!$A$2:$P$15000,5,FALSE),"")</f>
        <v/>
      </c>
      <c r="H143">
        <f>IFERROR(VLOOKUP($A146,Results_30d_Deltas!$A$2:$H$5000,7,FALSE)-E145,"")</f>
        <v/>
      </c>
      <c r="I143">
        <f>IFERROR(VLOOKUP($A146,Results_30d_Deltas!$A$2:$H$5000,6,FALSE),"")</f>
        <v/>
      </c>
      <c r="L143" t="inlineStr">
        <is>
          <t>NO</t>
        </is>
      </c>
      <c r="IK143" t="inlineStr">
        <is>
          <t>ez_manage.py:5575 top()</t>
        </is>
      </c>
      <c r="IL143" t="inlineStr">
        <is>
          <t>v12_quick_engine.py:3189 x4</t>
        </is>
      </c>
    </row>
    <row r="144" ht="10.5" customHeight="1" s="67">
      <c r="A144" t="inlineStr">
        <is>
          <t>SCALP_V3_OB_WALL_TOO_CLOSE_PCT</t>
        </is>
      </c>
      <c r="B144" t="n">
        <v>0</v>
      </c>
      <c r="G144">
        <f>IFERROR(VLOOKUP($A147&amp;"_"&amp;$B147,Results_Deltas!$A$2:$P$15000,5,FALSE),"")</f>
        <v/>
      </c>
      <c r="H144">
        <f>IFERROR(VLOOKUP($A147,Results_30d_Deltas!$A$2:$H$5000,7,FALSE)-E146,"")</f>
        <v/>
      </c>
      <c r="I144">
        <f>IFERROR(VLOOKUP($A147,Results_30d_Deltas!$A$2:$H$5000,6,FALSE),"")</f>
        <v/>
      </c>
      <c r="L144" t="inlineStr">
        <is>
          <t>YES</t>
        </is>
      </c>
      <c r="IK144" t="inlineStr">
        <is>
          <t>ez_manage.py:5575 top()</t>
        </is>
      </c>
      <c r="IL144" t="inlineStr">
        <is>
          <t>v12_quick_engine.py:3189 x4</t>
        </is>
      </c>
    </row>
    <row r="145" ht="10.5" customHeight="1" s="67">
      <c r="A145" t="inlineStr">
        <is>
          <t>SCALP_V3_OB_WALL_TOO_CLOSE_PCT</t>
        </is>
      </c>
      <c r="B145" t="inlineStr">
        <is>
          <t>1.0</t>
        </is>
      </c>
      <c r="G145">
        <f>IFERROR(VLOOKUP($A148&amp;"_"&amp;$B148,Results_Deltas!$A$2:$P$15000,5,FALSE),"")</f>
        <v/>
      </c>
      <c r="H145">
        <f>IFERROR(VLOOKUP($A148,Results_30d_Deltas!$A$2:$H$5000,7,FALSE)-E147,"")</f>
        <v/>
      </c>
      <c r="I145">
        <f>IFERROR(VLOOKUP($A148,Results_30d_Deltas!$A$2:$H$5000,6,FALSE),"")</f>
        <v/>
      </c>
      <c r="L145" t="inlineStr">
        <is>
          <t>NO</t>
        </is>
      </c>
      <c r="IK145" t="inlineStr">
        <is>
          <t>ez_manage.py:5575 top()</t>
        </is>
      </c>
      <c r="IL145" t="inlineStr">
        <is>
          <t>v12_quick_engine.py:3189 x4</t>
        </is>
      </c>
    </row>
    <row r="146" ht="10.5" customHeight="1" s="67">
      <c r="A146" t="inlineStr">
        <is>
          <t>SCALP_V3_OB_WALL_TOO_CLOSE_PCT</t>
        </is>
      </c>
      <c r="B146" t="inlineStr">
        <is>
          <t>2.0</t>
        </is>
      </c>
      <c r="G146">
        <f>IFERROR(VLOOKUP($A149&amp;"_"&amp;$B149,Results_Deltas!$A$2:$P$15000,5,FALSE),"")</f>
        <v/>
      </c>
      <c r="H146">
        <f>IFERROR(VLOOKUP($A149,Results_30d_Deltas!$A$2:$H$5000,7,FALSE)-E148,"")</f>
        <v/>
      </c>
      <c r="I146">
        <f>IFERROR(VLOOKUP($A149,Results_30d_Deltas!$A$2:$H$5000,6,FALSE),"")</f>
        <v/>
      </c>
      <c r="L146" t="inlineStr">
        <is>
          <t>NO</t>
        </is>
      </c>
      <c r="IK146" t="inlineStr">
        <is>
          <t>ez_manage.py:5575 top()</t>
        </is>
      </c>
      <c r="IL146" t="inlineStr">
        <is>
          <t>v12_quick_engine.py:3189 x4</t>
        </is>
      </c>
    </row>
    <row r="147" ht="10.5" customHeight="1" s="67">
      <c r="A147" t="inlineStr">
        <is>
          <t>STDEV_BREAKOUT_PCTB_LONG</t>
        </is>
      </c>
      <c r="B147" t="inlineStr">
        <is>
          <t>0</t>
        </is>
      </c>
      <c r="G147">
        <f>IFERROR(VLOOKUP($A150&amp;"_"&amp;$B150,Results_Deltas!$A$2:$P$15000,5,FALSE),"")</f>
        <v/>
      </c>
      <c r="H147">
        <f>IFERROR(VLOOKUP($A150,Results_30d_Deltas!$A$2:$H$5000,7,FALSE)-E149,"")</f>
        <v/>
      </c>
      <c r="I147">
        <f>IFERROR(VLOOKUP($A150,Results_30d_Deltas!$A$2:$H$5000,6,FALSE),"")</f>
        <v/>
      </c>
      <c r="L147" t="inlineStr">
        <is>
          <t>NO</t>
        </is>
      </c>
      <c r="IK147" t="inlineStr">
        <is>
          <t>ez_manage.py:4044 top()</t>
        </is>
      </c>
      <c r="IL147" t="inlineStr">
        <is>
          <t>v12_quick_engine.py:3280 x3</t>
        </is>
      </c>
    </row>
    <row r="148" ht="10.5" customHeight="1" s="67">
      <c r="A148" t="inlineStr">
        <is>
          <t>STDEV_BREAKOUT_PCTB_LONG</t>
        </is>
      </c>
      <c r="B148" t="inlineStr">
        <is>
          <t>0.5</t>
        </is>
      </c>
      <c r="G148">
        <f>IFERROR(VLOOKUP($A151&amp;"_"&amp;$B151,Results_Deltas!$A$2:$P$15000,5,FALSE),"")</f>
        <v/>
      </c>
      <c r="H148">
        <f>IFERROR(VLOOKUP($A151,Results_30d_Deltas!$A$2:$H$5000,7,FALSE)-E150,"")</f>
        <v/>
      </c>
      <c r="I148">
        <f>IFERROR(VLOOKUP($A151,Results_30d_Deltas!$A$2:$H$5000,6,FALSE),"")</f>
        <v/>
      </c>
      <c r="L148" t="inlineStr">
        <is>
          <t>NO</t>
        </is>
      </c>
      <c r="IK148" t="inlineStr">
        <is>
          <t>ez_manage.py:4044 top()</t>
        </is>
      </c>
      <c r="IL148" t="inlineStr">
        <is>
          <t>v12_quick_engine.py:3280 x3</t>
        </is>
      </c>
    </row>
    <row r="149" ht="10.5" customHeight="1" s="67">
      <c r="A149" t="inlineStr">
        <is>
          <t>STDEV_BREAKOUT_PCTB_LONG</t>
        </is>
      </c>
      <c r="B149" t="inlineStr">
        <is>
          <t>1.0</t>
        </is>
      </c>
      <c r="G149">
        <f>IFERROR(VLOOKUP($A152&amp;"_"&amp;$B152,Results_Deltas!$A$2:$P$15000,5,FALSE),"")</f>
        <v/>
      </c>
      <c r="H149">
        <f>IFERROR(VLOOKUP($A152,Results_30d_Deltas!$A$2:$H$5000,7,FALSE)-E151,"")</f>
        <v/>
      </c>
      <c r="I149">
        <f>IFERROR(VLOOKUP($A152,Results_30d_Deltas!$A$2:$H$5000,6,FALSE),"")</f>
        <v/>
      </c>
      <c r="L149" t="inlineStr">
        <is>
          <t>NO</t>
        </is>
      </c>
      <c r="IK149" t="inlineStr">
        <is>
          <t>ez_manage.py:4044 top()</t>
        </is>
      </c>
      <c r="IL149" t="inlineStr">
        <is>
          <t>v12_quick_engine.py:3280 x3</t>
        </is>
      </c>
    </row>
    <row r="150" ht="10.5" customHeight="1" s="67">
      <c r="A150" t="inlineStr">
        <is>
          <t>STDEV_BREAKOUT_PCTB_LONG</t>
        </is>
      </c>
      <c r="B150" t="inlineStr">
        <is>
          <t>2.0</t>
        </is>
      </c>
      <c r="G150">
        <f>IFERROR(VLOOKUP($A153&amp;"_"&amp;$B153,Results_Deltas!$A$2:$P$15000,5,FALSE),"")</f>
        <v/>
      </c>
      <c r="H150">
        <f>IFERROR(VLOOKUP($A153,Results_30d_Deltas!$A$2:$H$5000,7,FALSE)-E152,"")</f>
        <v/>
      </c>
      <c r="I150">
        <f>IFERROR(VLOOKUP($A153,Results_30d_Deltas!$A$2:$H$5000,6,FALSE),"")</f>
        <v/>
      </c>
      <c r="L150" t="inlineStr">
        <is>
          <t>NO</t>
        </is>
      </c>
      <c r="IK150" t="inlineStr">
        <is>
          <t>ez_manage.py:4044 top()</t>
        </is>
      </c>
      <c r="IL150" t="inlineStr">
        <is>
          <t>v12_quick_engine.py:3280 x3</t>
        </is>
      </c>
    </row>
    <row r="151" ht="10.5" customHeight="1" s="67">
      <c r="A151" t="inlineStr">
        <is>
          <t>STDEV_BREAKOUT_PCTB_SHORT</t>
        </is>
      </c>
      <c r="B151" t="inlineStr">
        <is>
          <t>0</t>
        </is>
      </c>
      <c r="G151">
        <f>IFERROR(VLOOKUP($A154&amp;"_"&amp;$B154,Results_Deltas!$A$2:$P$15000,5,FALSE),"")</f>
        <v/>
      </c>
      <c r="H151">
        <f>IFERROR(VLOOKUP($A154,Results_30d_Deltas!$A$2:$H$5000,7,FALSE)-E153,"")</f>
        <v/>
      </c>
      <c r="I151">
        <f>IFERROR(VLOOKUP($A154,Results_30d_Deltas!$A$2:$H$5000,6,FALSE),"")</f>
        <v/>
      </c>
      <c r="L151" t="inlineStr">
        <is>
          <t>NO</t>
        </is>
      </c>
      <c r="IK151" t="inlineStr">
        <is>
          <t>ez_manage.py:4045 top()</t>
        </is>
      </c>
      <c r="IL151" t="inlineStr">
        <is>
          <t>v12_quick_engine.py:3281 x3</t>
        </is>
      </c>
    </row>
    <row r="152" ht="10.5" customHeight="1" s="67">
      <c r="A152" t="inlineStr">
        <is>
          <t>STDEV_BREAKOUT_PCTB_SHORT</t>
        </is>
      </c>
      <c r="B152" t="inlineStr">
        <is>
          <t>0.5</t>
        </is>
      </c>
      <c r="G152">
        <f>IFERROR(VLOOKUP($A155&amp;"_"&amp;$B155,Results_Deltas!$A$2:$P$15000,5,FALSE),"")</f>
        <v/>
      </c>
      <c r="H152">
        <f>IFERROR(VLOOKUP($A155,Results_30d_Deltas!$A$2:$H$5000,7,FALSE)-E154,"")</f>
        <v/>
      </c>
      <c r="I152">
        <f>IFERROR(VLOOKUP($A155,Results_30d_Deltas!$A$2:$H$5000,6,FALSE),"")</f>
        <v/>
      </c>
      <c r="L152" t="inlineStr">
        <is>
          <t>YES</t>
        </is>
      </c>
      <c r="IK152" t="inlineStr">
        <is>
          <t>ez_manage.py:4045 top()</t>
        </is>
      </c>
      <c r="IL152" t="inlineStr">
        <is>
          <t>v12_quick_engine.py:3281 x3</t>
        </is>
      </c>
    </row>
    <row r="153" ht="10.5" customHeight="1" s="67">
      <c r="A153" t="inlineStr">
        <is>
          <t>STDEV_BREAKOUT_PCTB_SHORT</t>
        </is>
      </c>
      <c r="B153" t="inlineStr">
        <is>
          <t>1.0</t>
        </is>
      </c>
      <c r="G153">
        <f>IFERROR(VLOOKUP($A156&amp;"_"&amp;$B156,Results_Deltas!$A$2:$P$15000,5,FALSE),"")</f>
        <v/>
      </c>
      <c r="H153">
        <f>IFERROR(VLOOKUP($A156,Results_30d_Deltas!$A$2:$H$5000,7,FALSE)-E155,"")</f>
        <v/>
      </c>
      <c r="I153">
        <f>IFERROR(VLOOKUP($A156,Results_30d_Deltas!$A$2:$H$5000,6,FALSE),"")</f>
        <v/>
      </c>
      <c r="L153" t="inlineStr">
        <is>
          <t>YES</t>
        </is>
      </c>
      <c r="IK153" t="inlineStr">
        <is>
          <t>ez_manage.py:4045 top()</t>
        </is>
      </c>
      <c r="IL153" t="inlineStr">
        <is>
          <t>v12_quick_engine.py:3281 x3</t>
        </is>
      </c>
    </row>
    <row r="154" ht="10.5" customHeight="1" s="67">
      <c r="A154" t="inlineStr">
        <is>
          <t>STDEV_BREAKOUT_PCTB_SHORT</t>
        </is>
      </c>
      <c r="B154" t="inlineStr">
        <is>
          <t>2.0</t>
        </is>
      </c>
      <c r="G154">
        <f>IFERROR(VLOOKUP($A157&amp;"_"&amp;$B157,Results_Deltas!$A$2:$P$15000,5,FALSE),"")</f>
        <v/>
      </c>
      <c r="H154">
        <f>IFERROR(VLOOKUP($A157,Results_30d_Deltas!$A$2:$H$5000,7,FALSE)-E156,"")</f>
        <v/>
      </c>
      <c r="I154">
        <f>IFERROR(VLOOKUP($A157,Results_30d_Deltas!$A$2:$H$5000,6,FALSE),"")</f>
        <v/>
      </c>
      <c r="L154" t="inlineStr">
        <is>
          <t>NO</t>
        </is>
      </c>
      <c r="IK154" t="inlineStr">
        <is>
          <t>ez_manage.py:4045 top()</t>
        </is>
      </c>
      <c r="IL154" t="inlineStr">
        <is>
          <t>v12_quick_engine.py:3281 x3</t>
        </is>
      </c>
    </row>
    <row r="155" ht="10.5" customHeight="1" s="67">
      <c r="A155" t="inlineStr">
        <is>
          <t>STDEV_SUPPRESS_EARLY_EXIT</t>
        </is>
      </c>
      <c r="B155" t="inlineStr">
        <is>
          <t>0</t>
        </is>
      </c>
      <c r="G155">
        <f>IFERROR(VLOOKUP($A158&amp;"_"&amp;$B158,Results_Deltas!$A$2:$P$15000,5,FALSE),"")</f>
        <v/>
      </c>
      <c r="H155">
        <f>IFERROR(VLOOKUP($A158,Results_30d_Deltas!$A$2:$H$5000,7,FALSE)-E157,"")</f>
        <v/>
      </c>
      <c r="I155">
        <f>IFERROR(VLOOKUP($A158,Results_30d_Deltas!$A$2:$H$5000,6,FALSE),"")</f>
        <v/>
      </c>
      <c r="L155" t="inlineStr">
        <is>
          <t>NO</t>
        </is>
      </c>
      <c r="IK155" t="inlineStr">
        <is>
          <t>ez_manage.py:4060 top()</t>
        </is>
      </c>
      <c r="IL155" t="inlineStr">
        <is>
          <t>v12_quick_engine.py:3300 x2</t>
        </is>
      </c>
    </row>
    <row r="156" ht="10.5" customHeight="1" s="67">
      <c r="A156" t="inlineStr">
        <is>
          <t>STDEV_SUPPRESS_EARLY_EXIT</t>
        </is>
      </c>
      <c r="B156" t="inlineStr">
        <is>
          <t>0.5</t>
        </is>
      </c>
      <c r="G156">
        <f>IFERROR(VLOOKUP($A159&amp;"_"&amp;$B159,Results_Deltas!$A$2:$P$15000,5,FALSE),"")</f>
        <v/>
      </c>
      <c r="H156">
        <f>IFERROR(VLOOKUP($A159,Results_30d_Deltas!$A$2:$H$5000,7,FALSE)-E158,"")</f>
        <v/>
      </c>
      <c r="I156">
        <f>IFERROR(VLOOKUP($A159,Results_30d_Deltas!$A$2:$H$5000,6,FALSE),"")</f>
        <v/>
      </c>
      <c r="L156" t="inlineStr">
        <is>
          <t>NO</t>
        </is>
      </c>
      <c r="IK156" t="inlineStr">
        <is>
          <t>ez_manage.py:4060 top()</t>
        </is>
      </c>
      <c r="IL156" t="inlineStr">
        <is>
          <t>v12_quick_engine.py:3300 x2</t>
        </is>
      </c>
    </row>
    <row r="157" ht="10.5" customHeight="1" s="67">
      <c r="A157" t="inlineStr">
        <is>
          <t>STDEV_SUPPRESS_EARLY_EXIT</t>
        </is>
      </c>
      <c r="B157" t="inlineStr">
        <is>
          <t>1.0</t>
        </is>
      </c>
      <c r="G157">
        <f>IFERROR(VLOOKUP($A160&amp;"_"&amp;$B160,Results_Deltas!$A$2:$P$15000,5,FALSE),"")</f>
        <v/>
      </c>
      <c r="H157">
        <f>IFERROR(VLOOKUP($A160,Results_30d_Deltas!$A$2:$H$5000,7,FALSE)-E159,"")</f>
        <v/>
      </c>
      <c r="I157">
        <f>IFERROR(VLOOKUP($A160,Results_30d_Deltas!$A$2:$H$5000,6,FALSE),"")</f>
        <v/>
      </c>
      <c r="L157" t="inlineStr">
        <is>
          <t>YES</t>
        </is>
      </c>
      <c r="IK157" t="inlineStr">
        <is>
          <t>ez_manage.py:4060 top()</t>
        </is>
      </c>
      <c r="IL157" t="inlineStr">
        <is>
          <t>v12_quick_engine.py:3300 x2</t>
        </is>
      </c>
    </row>
    <row r="158" ht="10.5" customHeight="1" s="67">
      <c r="A158" t="inlineStr">
        <is>
          <t>STDEV_SUPPRESS_EARLY_EXIT</t>
        </is>
      </c>
      <c r="B158" t="inlineStr">
        <is>
          <t>2.0</t>
        </is>
      </c>
      <c r="G158">
        <f>IFERROR(VLOOKUP($A161&amp;"_"&amp;$B161,Results_Deltas!$A$2:$P$15000,5,FALSE),"")</f>
        <v/>
      </c>
      <c r="H158">
        <f>IFERROR(VLOOKUP($A161,Results_30d_Deltas!$A$2:$H$5000,7,FALSE)-E160,"")</f>
        <v/>
      </c>
      <c r="I158">
        <f>IFERROR(VLOOKUP($A161,Results_30d_Deltas!$A$2:$H$5000,6,FALSE),"")</f>
        <v/>
      </c>
      <c r="L158" t="inlineStr">
        <is>
          <t>NO</t>
        </is>
      </c>
      <c r="IK158" t="inlineStr">
        <is>
          <t>ez_manage.py:4060 top()</t>
        </is>
      </c>
      <c r="IL158" t="inlineStr">
        <is>
          <t>v12_quick_engine.py:3300 x2</t>
        </is>
      </c>
    </row>
    <row r="159" ht="10.5" customHeight="1" s="67">
      <c r="A159" t="inlineStr">
        <is>
          <t>STOCH_CROSS_ENTRY_TRADIER</t>
        </is>
      </c>
      <c r="B159" t="inlineStr">
        <is>
          <t>False</t>
        </is>
      </c>
      <c r="G159">
        <f>IFERROR(VLOOKUP($A162&amp;"_"&amp;$B162,Results_Deltas!$A$2:$P$15000,5,FALSE),"")</f>
        <v/>
      </c>
      <c r="H159">
        <f>IFERROR(VLOOKUP($A162,Results_30d_Deltas!$A$2:$H$5000,7,FALSE)-E161,"")</f>
        <v/>
      </c>
      <c r="I159">
        <f>IFERROR(VLOOKUP($A162,Results_30d_Deltas!$A$2:$H$5000,6,FALSE),"")</f>
        <v/>
      </c>
      <c r="L159" t="inlineStr">
        <is>
          <t>NO</t>
        </is>
      </c>
      <c r="IK159" t="inlineStr">
        <is>
          <t>ez_manage.py:5661 top()</t>
        </is>
      </c>
      <c r="IL159" t="inlineStr">
        <is>
          <t>v12_quick_engine.py:3305 x8</t>
        </is>
      </c>
    </row>
    <row r="160" ht="10.5" customHeight="1" s="67">
      <c r="A160" t="inlineStr">
        <is>
          <t>STOCH_CROSS_ENTRY_TRADIER</t>
        </is>
      </c>
      <c r="B160" t="inlineStr">
        <is>
          <t>True</t>
        </is>
      </c>
      <c r="G160">
        <f>IFERROR(VLOOKUP($A163&amp;"_"&amp;$B163,Results_Deltas!$A$2:$P$15000,5,FALSE),"")</f>
        <v/>
      </c>
      <c r="H160">
        <f>IFERROR(VLOOKUP($A163,Results_30d_Deltas!$A$2:$H$5000,7,FALSE)-E162,"")</f>
        <v/>
      </c>
      <c r="I160">
        <f>IFERROR(VLOOKUP($A163,Results_30d_Deltas!$A$2:$H$5000,6,FALSE),"")</f>
        <v/>
      </c>
      <c r="L160" t="inlineStr">
        <is>
          <t>NO</t>
        </is>
      </c>
      <c r="IK160" t="inlineStr">
        <is>
          <t>ez_manage.py:5661 top()</t>
        </is>
      </c>
      <c r="IL160" t="inlineStr">
        <is>
          <t>v12_quick_engine.py:3305 x8</t>
        </is>
      </c>
    </row>
    <row r="161" ht="10.5" customHeight="1" s="67">
      <c r="A161" t="inlineStr">
        <is>
          <t>TRADIER_MFI_ENTRY_LONG_ENABLED</t>
        </is>
      </c>
      <c r="B161" t="inlineStr">
        <is>
          <t>False</t>
        </is>
      </c>
      <c r="G161">
        <f>IFERROR(VLOOKUP($A164&amp;"_"&amp;$B164,Results_Deltas!$A$2:$P$15000,5,FALSE),"")</f>
        <v/>
      </c>
      <c r="H161">
        <f>IFERROR(VLOOKUP($A164,Results_30d_Deltas!$A$2:$H$5000,7,FALSE)-E163,"")</f>
        <v/>
      </c>
      <c r="I161">
        <f>IFERROR(VLOOKUP($A164,Results_30d_Deltas!$A$2:$H$5000,6,FALSE),"")</f>
        <v/>
      </c>
      <c r="L161" t="inlineStr">
        <is>
          <t>NO</t>
        </is>
      </c>
      <c r="IK161" t="inlineStr">
        <is>
          <t>ez_manage.py:5734 top()</t>
        </is>
      </c>
      <c r="IL161" t="inlineStr">
        <is>
          <t>v12_quick_engine.py:3411 x7</t>
        </is>
      </c>
    </row>
    <row r="162" ht="10.5" customHeight="1" s="67">
      <c r="A162" t="inlineStr">
        <is>
          <t>TRADIER_MFI_ENTRY_LONG_ENABLED</t>
        </is>
      </c>
      <c r="B162" t="inlineStr">
        <is>
          <t>True</t>
        </is>
      </c>
      <c r="G162">
        <f>IFERROR(VLOOKUP($A165&amp;"_"&amp;$B165,Results_Deltas!$A$2:$P$15000,5,FALSE),"")</f>
        <v/>
      </c>
      <c r="H162">
        <f>IFERROR(VLOOKUP($A165,Results_30d_Deltas!$A$2:$H$5000,7,FALSE)-E164,"")</f>
        <v/>
      </c>
      <c r="I162">
        <f>IFERROR(VLOOKUP($A165,Results_30d_Deltas!$A$2:$H$5000,6,FALSE),"")</f>
        <v/>
      </c>
      <c r="L162" t="inlineStr">
        <is>
          <t>YES</t>
        </is>
      </c>
      <c r="IK162" t="inlineStr">
        <is>
          <t>ez_manage.py:5734 top()</t>
        </is>
      </c>
      <c r="IL162" t="inlineStr">
        <is>
          <t>v12_quick_engine.py:3411 x7</t>
        </is>
      </c>
    </row>
    <row r="163" ht="10.5" customHeight="1" s="67">
      <c r="A163" t="inlineStr">
        <is>
          <t>TRADIER_RSI2_EXIT_THRESHOLD_LONG</t>
        </is>
      </c>
      <c r="B163" t="inlineStr">
        <is>
          <t>45.0</t>
        </is>
      </c>
      <c r="G163">
        <f>IFERROR(VLOOKUP($A166&amp;"_"&amp;$B166,Results_Deltas!$A$2:$P$15000,5,FALSE),"")</f>
        <v/>
      </c>
      <c r="H163">
        <f>IFERROR(VLOOKUP($A166,Results_30d_Deltas!$A$2:$H$5000,7,FALSE)-E165,"")</f>
        <v/>
      </c>
      <c r="I163">
        <f>IFERROR(VLOOKUP($A166,Results_30d_Deltas!$A$2:$H$5000,6,FALSE),"")</f>
        <v/>
      </c>
      <c r="L163" t="inlineStr">
        <is>
          <t>NO</t>
        </is>
      </c>
      <c r="IK163" t="inlineStr">
        <is>
          <t>ez_manage.py:5740 top()</t>
        </is>
      </c>
      <c r="IL163" t="inlineStr">
        <is>
          <t>v12_quick_engine.py:3437 x9</t>
        </is>
      </c>
    </row>
    <row r="164" ht="10.5" customHeight="1" s="67">
      <c r="A164" t="inlineStr">
        <is>
          <t>TRADIER_RSI2_EXIT_THRESHOLD_LONG</t>
        </is>
      </c>
      <c r="B164" t="inlineStr">
        <is>
          <t>67.5</t>
        </is>
      </c>
      <c r="G164">
        <f>IFERROR(VLOOKUP($A167&amp;"_"&amp;$B167,Results_Deltas!$A$2:$P$15000,5,FALSE),"")</f>
        <v/>
      </c>
      <c r="H164">
        <f>IFERROR(VLOOKUP($A167,Results_30d_Deltas!$A$2:$H$5000,7,FALSE)-E166,"")</f>
        <v/>
      </c>
      <c r="I164">
        <f>IFERROR(VLOOKUP($A167,Results_30d_Deltas!$A$2:$H$5000,6,FALSE),"")</f>
        <v/>
      </c>
      <c r="L164" t="inlineStr">
        <is>
          <t>NO</t>
        </is>
      </c>
      <c r="IK164" t="inlineStr">
        <is>
          <t>ez_manage.py:5740 top()</t>
        </is>
      </c>
      <c r="IL164" t="inlineStr">
        <is>
          <t>v12_quick_engine.py:3437 x9</t>
        </is>
      </c>
    </row>
    <row r="165" ht="10.5" customHeight="1" s="67">
      <c r="A165" t="inlineStr">
        <is>
          <t>TRADIER_RSI2_EXIT_THRESHOLD_LONG</t>
        </is>
      </c>
      <c r="B165" t="inlineStr">
        <is>
          <t>90.0</t>
        </is>
      </c>
      <c r="G165">
        <f>IFERROR(VLOOKUP($A168&amp;"_"&amp;$B168,Results_Deltas!$A$2:$P$15000,5,FALSE),"")</f>
        <v/>
      </c>
      <c r="H165">
        <f>IFERROR(VLOOKUP($A168,Results_30d_Deltas!$A$2:$H$5000,7,FALSE)-E167,"")</f>
        <v/>
      </c>
      <c r="I165">
        <f>IFERROR(VLOOKUP($A168,Results_30d_Deltas!$A$2:$H$5000,6,FALSE),"")</f>
        <v/>
      </c>
      <c r="L165" t="inlineStr">
        <is>
          <t>NO</t>
        </is>
      </c>
      <c r="IK165" t="inlineStr">
        <is>
          <t>ez_manage.py:5740 top()</t>
        </is>
      </c>
      <c r="IL165" t="inlineStr">
        <is>
          <t>v12_quick_engine.py:3437 x9</t>
        </is>
      </c>
    </row>
    <row r="166" ht="10.5" customHeight="1" s="67">
      <c r="A166" t="inlineStr">
        <is>
          <t>TRADIER_RSI2_EXIT_THRESHOLD_LONG</t>
        </is>
      </c>
      <c r="B166" t="inlineStr">
        <is>
          <t>112.5</t>
        </is>
      </c>
      <c r="G166">
        <f>IFERROR(VLOOKUP($A169&amp;"_"&amp;$B169,Results_Deltas!$A$2:$P$15000,5,FALSE),"")</f>
        <v/>
      </c>
      <c r="H166">
        <f>IFERROR(VLOOKUP($A169,Results_30d_Deltas!$A$2:$H$5000,7,FALSE)-E168,"")</f>
        <v/>
      </c>
      <c r="I166">
        <f>IFERROR(VLOOKUP($A169,Results_30d_Deltas!$A$2:$H$5000,6,FALSE),"")</f>
        <v/>
      </c>
      <c r="L166" t="inlineStr">
        <is>
          <t>NO</t>
        </is>
      </c>
      <c r="IK166" t="inlineStr">
        <is>
          <t>ez_manage.py:5740 top()</t>
        </is>
      </c>
      <c r="IL166" t="inlineStr">
        <is>
          <t>v12_quick_engine.py:3437 x9</t>
        </is>
      </c>
    </row>
    <row r="167" ht="10.5" customHeight="1" s="67">
      <c r="A167" t="inlineStr">
        <is>
          <t>TRADIER_RSI2_EXIT_THRESHOLD_LONG</t>
        </is>
      </c>
      <c r="B167" t="inlineStr">
        <is>
          <t>135.0</t>
        </is>
      </c>
      <c r="G167">
        <f>IFERROR(VLOOKUP($A170&amp;"_"&amp;$B170,Results_Deltas!$A$2:$P$15000,5,FALSE),"")</f>
        <v/>
      </c>
      <c r="H167">
        <f>IFERROR(VLOOKUP($A170,Results_30d_Deltas!$A$2:$H$5000,7,FALSE)-E169,"")</f>
        <v/>
      </c>
      <c r="I167">
        <f>IFERROR(VLOOKUP($A170,Results_30d_Deltas!$A$2:$H$5000,6,FALSE),"")</f>
        <v/>
      </c>
      <c r="L167" t="inlineStr">
        <is>
          <t>NO</t>
        </is>
      </c>
      <c r="IK167" t="inlineStr">
        <is>
          <t>ez_manage.py:5740 top()</t>
        </is>
      </c>
      <c r="IL167" t="inlineStr">
        <is>
          <t>v12_quick_engine.py:3437 x9</t>
        </is>
      </c>
    </row>
    <row r="168" ht="10.5" customHeight="1" s="67">
      <c r="A168" t="inlineStr">
        <is>
          <t>TRADIER_RSI2_EXIT_THRESHOLD_SHORT</t>
        </is>
      </c>
      <c r="B168" t="inlineStr">
        <is>
          <t>5.0</t>
        </is>
      </c>
      <c r="G168">
        <f>IFERROR(VLOOKUP($A171&amp;"_"&amp;$B171,Results_Deltas!$A$2:$P$15000,5,FALSE),"")</f>
        <v/>
      </c>
      <c r="H168">
        <f>IFERROR(VLOOKUP($A171,Results_30d_Deltas!$A$2:$H$5000,7,FALSE)-E170,"")</f>
        <v/>
      </c>
      <c r="I168">
        <f>IFERROR(VLOOKUP($A171,Results_30d_Deltas!$A$2:$H$5000,6,FALSE),"")</f>
        <v/>
      </c>
      <c r="L168" t="inlineStr">
        <is>
          <t>NO</t>
        </is>
      </c>
      <c r="IK168" t="inlineStr">
        <is>
          <t>ez_manage.py:5741 top()</t>
        </is>
      </c>
      <c r="IL168" t="inlineStr">
        <is>
          <t>v12_quick_engine.py:3438 x9</t>
        </is>
      </c>
    </row>
    <row r="169" ht="10.5" customHeight="1" s="67">
      <c r="A169" t="inlineStr">
        <is>
          <t>TRADIER_RSI2_EXIT_THRESHOLD_SHORT</t>
        </is>
      </c>
      <c r="B169" t="inlineStr">
        <is>
          <t>7.5</t>
        </is>
      </c>
      <c r="G169">
        <f>IFERROR(VLOOKUP($A172&amp;"_"&amp;$B172,Results_Deltas!$A$2:$P$15000,5,FALSE),"")</f>
        <v/>
      </c>
      <c r="H169">
        <f>IFERROR(VLOOKUP($A172,Results_30d_Deltas!$A$2:$H$5000,7,FALSE)-E171,"")</f>
        <v/>
      </c>
      <c r="I169">
        <f>IFERROR(VLOOKUP($A172,Results_30d_Deltas!$A$2:$H$5000,6,FALSE),"")</f>
        <v/>
      </c>
      <c r="L169" t="inlineStr">
        <is>
          <t>NO</t>
        </is>
      </c>
      <c r="IK169" t="inlineStr">
        <is>
          <t>ez_manage.py:5741 top()</t>
        </is>
      </c>
      <c r="IL169" t="inlineStr">
        <is>
          <t>v12_quick_engine.py:3438 x9</t>
        </is>
      </c>
    </row>
    <row r="170" ht="10.5" customHeight="1" s="67">
      <c r="A170" t="inlineStr">
        <is>
          <t>TRADIER_RSI2_EXIT_THRESHOLD_SHORT</t>
        </is>
      </c>
      <c r="B170" t="inlineStr">
        <is>
          <t>10.0</t>
        </is>
      </c>
      <c r="G170">
        <f>IFERROR(VLOOKUP($A173&amp;"_"&amp;$B173,Results_Deltas!$A$2:$P$15000,5,FALSE),"")</f>
        <v/>
      </c>
      <c r="H170">
        <f>IFERROR(VLOOKUP($A173,Results_30d_Deltas!$A$2:$H$5000,7,FALSE)-E172,"")</f>
        <v/>
      </c>
      <c r="I170">
        <f>IFERROR(VLOOKUP($A173,Results_30d_Deltas!$A$2:$H$5000,6,FALSE),"")</f>
        <v/>
      </c>
      <c r="L170" t="inlineStr">
        <is>
          <t>YES</t>
        </is>
      </c>
      <c r="IK170" t="inlineStr">
        <is>
          <t>ez_manage.py:5741 top()</t>
        </is>
      </c>
      <c r="IL170" t="inlineStr">
        <is>
          <t>v12_quick_engine.py:3438 x9</t>
        </is>
      </c>
    </row>
    <row r="171" ht="10.5" customHeight="1" s="67">
      <c r="A171" t="inlineStr">
        <is>
          <t>TRADIER_RSI2_EXIT_THRESHOLD_SHORT</t>
        </is>
      </c>
      <c r="B171" t="inlineStr">
        <is>
          <t>12.5</t>
        </is>
      </c>
      <c r="G171">
        <f>IFERROR(VLOOKUP($A174&amp;"_"&amp;$B174,Results_Deltas!$A$2:$P$15000,5,FALSE),"")</f>
        <v/>
      </c>
      <c r="H171">
        <f>IFERROR(VLOOKUP($A174,Results_30d_Deltas!$A$2:$H$5000,7,FALSE)-E173,"")</f>
        <v/>
      </c>
      <c r="I171">
        <f>IFERROR(VLOOKUP($A174,Results_30d_Deltas!$A$2:$H$5000,6,FALSE),"")</f>
        <v/>
      </c>
      <c r="L171" t="inlineStr">
        <is>
          <t>NO</t>
        </is>
      </c>
      <c r="IK171" t="inlineStr">
        <is>
          <t>ez_manage.py:5741 top()</t>
        </is>
      </c>
      <c r="IL171" t="inlineStr">
        <is>
          <t>v12_quick_engine.py:3438 x9</t>
        </is>
      </c>
    </row>
    <row r="172" ht="10.5" customHeight="1" s="67">
      <c r="A172" t="inlineStr">
        <is>
          <t>TRADIER_RSI2_EXIT_THRESHOLD_SHORT</t>
        </is>
      </c>
      <c r="B172" t="inlineStr">
        <is>
          <t>15.0</t>
        </is>
      </c>
      <c r="G172">
        <f>IFERROR(VLOOKUP($A175&amp;"_"&amp;$B175,Results_Deltas!$A$2:$P$15000,5,FALSE),"")</f>
        <v/>
      </c>
      <c r="H172">
        <f>IFERROR(VLOOKUP($A175,Results_30d_Deltas!$A$2:$H$5000,7,FALSE)-E174,"")</f>
        <v/>
      </c>
      <c r="I172">
        <f>IFERROR(VLOOKUP($A175,Results_30d_Deltas!$A$2:$H$5000,6,FALSE),"")</f>
        <v/>
      </c>
      <c r="L172" t="inlineStr">
        <is>
          <t>YES</t>
        </is>
      </c>
      <c r="IK172" t="inlineStr">
        <is>
          <t>ez_manage.py:5741 top()</t>
        </is>
      </c>
      <c r="IL172" t="inlineStr">
        <is>
          <t>v12_quick_engine.py:3438 x9</t>
        </is>
      </c>
    </row>
    <row r="173" ht="10.5" customHeight="1" s="67">
      <c r="A173" t="inlineStr">
        <is>
          <t>TREND_MIN_GAIN_EXIT</t>
        </is>
      </c>
      <c r="B173" t="inlineStr">
        <is>
          <t>0</t>
        </is>
      </c>
      <c r="G173">
        <f>IFERROR(VLOOKUP($A176&amp;"_"&amp;$B176,Results_Deltas!$A$2:$P$15000,5,FALSE),"")</f>
        <v/>
      </c>
      <c r="H173">
        <f>IFERROR(VLOOKUP($A176,Results_30d_Deltas!$A$2:$H$5000,7,FALSE)-E175,"")</f>
        <v/>
      </c>
      <c r="I173">
        <f>IFERROR(VLOOKUP($A176,Results_30d_Deltas!$A$2:$H$5000,6,FALSE),"")</f>
        <v/>
      </c>
      <c r="L173" t="inlineStr">
        <is>
          <t>NO</t>
        </is>
      </c>
      <c r="IK173" t="inlineStr">
        <is>
          <t>ez_manage.py:4205 top()</t>
        </is>
      </c>
      <c r="IL173" t="inlineStr">
        <is>
          <t>v12_quick_engine.py:3545 x2</t>
        </is>
      </c>
    </row>
    <row r="174" ht="10.5" customHeight="1" s="67">
      <c r="A174" t="inlineStr">
        <is>
          <t>TREND_MIN_GAIN_EXIT</t>
        </is>
      </c>
      <c r="B174" t="inlineStr">
        <is>
          <t>0.5</t>
        </is>
      </c>
      <c r="G174">
        <f>IFERROR(VLOOKUP($A177&amp;"_"&amp;$B177,Results_Deltas!$A$2:$P$15000,5,FALSE),"")</f>
        <v/>
      </c>
      <c r="H174">
        <f>IFERROR(VLOOKUP($A177,Results_30d_Deltas!$A$2:$H$5000,7,FALSE)-E176,"")</f>
        <v/>
      </c>
      <c r="I174">
        <f>IFERROR(VLOOKUP($A177,Results_30d_Deltas!$A$2:$H$5000,6,FALSE),"")</f>
        <v/>
      </c>
      <c r="L174" t="inlineStr">
        <is>
          <t>NO</t>
        </is>
      </c>
      <c r="IK174" t="inlineStr">
        <is>
          <t>ez_manage.py:4205 top()</t>
        </is>
      </c>
      <c r="IL174" t="inlineStr">
        <is>
          <t>v12_quick_engine.py:3545 x2</t>
        </is>
      </c>
    </row>
    <row r="175" ht="10.5" customHeight="1" s="67">
      <c r="A175" t="inlineStr">
        <is>
          <t>TREND_MIN_GAIN_EXIT</t>
        </is>
      </c>
      <c r="B175" t="inlineStr">
        <is>
          <t>1.0</t>
        </is>
      </c>
      <c r="G175">
        <f>IFERROR(VLOOKUP($A178&amp;"_"&amp;$B178,Results_Deltas!$A$2:$P$15000,5,FALSE),"")</f>
        <v/>
      </c>
      <c r="H175">
        <f>IFERROR(VLOOKUP($A178,Results_30d_Deltas!$A$2:$H$5000,7,FALSE)-E177,"")</f>
        <v/>
      </c>
      <c r="I175">
        <f>IFERROR(VLOOKUP($A178,Results_30d_Deltas!$A$2:$H$5000,6,FALSE),"")</f>
        <v/>
      </c>
      <c r="L175" t="inlineStr">
        <is>
          <t>YES</t>
        </is>
      </c>
      <c r="IK175" t="inlineStr">
        <is>
          <t>ez_manage.py:4205 top()</t>
        </is>
      </c>
      <c r="IL175" t="inlineStr">
        <is>
          <t>v12_quick_engine.py:3545 x2</t>
        </is>
      </c>
    </row>
    <row r="176" ht="10.5" customHeight="1" s="67">
      <c r="A176" t="inlineStr">
        <is>
          <t>TREND_MIN_GAIN_EXIT</t>
        </is>
      </c>
      <c r="B176" t="inlineStr">
        <is>
          <t>2.0</t>
        </is>
      </c>
      <c r="G176">
        <f>IFERROR(VLOOKUP($A179&amp;"_"&amp;$B179,Results_Deltas!$A$2:$P$15000,5,FALSE),"")</f>
        <v/>
      </c>
      <c r="H176">
        <f>IFERROR(VLOOKUP($A179,Results_30d_Deltas!$A$2:$H$5000,7,FALSE)-E178,"")</f>
        <v/>
      </c>
      <c r="I176">
        <f>IFERROR(VLOOKUP($A179,Results_30d_Deltas!$A$2:$H$5000,6,FALSE),"")</f>
        <v/>
      </c>
      <c r="L176" t="inlineStr">
        <is>
          <t>NO</t>
        </is>
      </c>
      <c r="IK176" t="inlineStr">
        <is>
          <t>ez_manage.py:4205 top()</t>
        </is>
      </c>
      <c r="IL176" t="inlineStr">
        <is>
          <t>v12_quick_engine.py:3545 x2</t>
        </is>
      </c>
    </row>
    <row r="177" ht="10.5" customHeight="1" s="67">
      <c r="A177" t="inlineStr">
        <is>
          <t>V8_ENTRY_ENGINE_DC_ENABLED</t>
        </is>
      </c>
      <c r="B177" t="inlineStr">
        <is>
          <t>False</t>
        </is>
      </c>
      <c r="G177">
        <f>IFERROR(VLOOKUP($A180&amp;"_"&amp;$B180,Results_Deltas!$A$2:$P$15000,5,FALSE),"")</f>
        <v/>
      </c>
      <c r="H177">
        <f>IFERROR(VLOOKUP($A180,Results_30d_Deltas!$A$2:$H$5000,7,FALSE)-E179,"")</f>
        <v/>
      </c>
      <c r="I177">
        <f>IFERROR(VLOOKUP($A180,Results_30d_Deltas!$A$2:$H$5000,6,FALSE),"")</f>
        <v/>
      </c>
      <c r="L177" t="inlineStr">
        <is>
          <t>NO</t>
        </is>
      </c>
      <c r="IK177" t="inlineStr">
        <is>
          <t>ez_manage.py:6073 top()</t>
        </is>
      </c>
      <c r="IL177" t="inlineStr">
        <is>
          <t>v12_quick_engine.py:4285 x4</t>
        </is>
      </c>
    </row>
    <row r="178" ht="10.5" customHeight="1" s="67">
      <c r="A178" t="inlineStr">
        <is>
          <t>V8_ENTRY_ENGINE_DC_ENABLED</t>
        </is>
      </c>
      <c r="B178" t="inlineStr">
        <is>
          <t>True</t>
        </is>
      </c>
      <c r="G178">
        <f>IFERROR(VLOOKUP($A181&amp;"_"&amp;$B181,Results_Deltas!$A$2:$P$15000,5,FALSE),"")</f>
        <v/>
      </c>
      <c r="H178">
        <f>IFERROR(VLOOKUP($A181,Results_30d_Deltas!$A$2:$H$5000,7,FALSE)-E180,"")</f>
        <v/>
      </c>
      <c r="I178">
        <f>IFERROR(VLOOKUP($A181,Results_30d_Deltas!$A$2:$H$5000,6,FALSE),"")</f>
        <v/>
      </c>
      <c r="L178" t="inlineStr">
        <is>
          <t>YES</t>
        </is>
      </c>
      <c r="IK178" t="inlineStr">
        <is>
          <t>ez_manage.py:6073 top()</t>
        </is>
      </c>
      <c r="IL178" t="inlineStr">
        <is>
          <t>v12_quick_engine.py:4285 x4</t>
        </is>
      </c>
    </row>
    <row r="179" ht="10.5" customHeight="1" s="67">
      <c r="A179" t="inlineStr">
        <is>
          <t>V8_ENTRY_ENGINE_WT_ENABLED</t>
        </is>
      </c>
      <c r="B179" t="inlineStr">
        <is>
          <t>False</t>
        </is>
      </c>
      <c r="G179">
        <f>IFERROR(VLOOKUP($A182&amp;"_"&amp;$B182,Results_Deltas!$A$2:$P$15000,5,FALSE),"")</f>
        <v/>
      </c>
      <c r="H179">
        <f>IFERROR(VLOOKUP($A182,Results_30d_Deltas!$A$2:$H$5000,7,FALSE)-E181,"")</f>
        <v/>
      </c>
      <c r="I179">
        <f>IFERROR(VLOOKUP($A182,Results_30d_Deltas!$A$2:$H$5000,6,FALSE),"")</f>
        <v/>
      </c>
      <c r="L179" t="inlineStr">
        <is>
          <t>NO</t>
        </is>
      </c>
      <c r="IK179" t="inlineStr">
        <is>
          <t>ez_manage.py:6074 top()</t>
        </is>
      </c>
      <c r="IL179" t="inlineStr">
        <is>
          <t>v12_quick_engine.py:4286 x4</t>
        </is>
      </c>
    </row>
    <row r="180" ht="10.5" customHeight="1" s="67">
      <c r="A180" t="inlineStr">
        <is>
          <t>V8_ENTRY_ENGINE_WT_ENABLED</t>
        </is>
      </c>
      <c r="B180" t="inlineStr">
        <is>
          <t>True</t>
        </is>
      </c>
      <c r="G180">
        <f>IFERROR(VLOOKUP($A183&amp;"_"&amp;$B183,Results_Deltas!$A$2:$P$15000,5,FALSE),"")</f>
        <v/>
      </c>
      <c r="H180">
        <f>IFERROR(VLOOKUP($A183,Results_30d_Deltas!$A$2:$H$5000,7,FALSE)-E182,"")</f>
        <v/>
      </c>
      <c r="I180">
        <f>IFERROR(VLOOKUP($A183,Results_30d_Deltas!$A$2:$H$5000,6,FALSE),"")</f>
        <v/>
      </c>
      <c r="L180" t="inlineStr">
        <is>
          <t>NO</t>
        </is>
      </c>
      <c r="IK180" t="inlineStr">
        <is>
          <t>ez_manage.py:6074 top()</t>
        </is>
      </c>
      <c r="IL180" t="inlineStr">
        <is>
          <t>v12_quick_engine.py:4286 x4</t>
        </is>
      </c>
    </row>
    <row r="181" ht="10.5" customHeight="1" s="67">
      <c r="A181" t="inlineStr">
        <is>
          <t>WRONG_SIDE_WT_TFS_REQUIRED</t>
        </is>
      </c>
      <c r="B181" t="inlineStr">
        <is>
          <t>2</t>
        </is>
      </c>
      <c r="G181">
        <f>IFERROR(VLOOKUP($A184&amp;"_"&amp;$B184,Results_Deltas!$A$2:$P$15000,5,FALSE),"")</f>
        <v/>
      </c>
      <c r="H181">
        <f>IFERROR(VLOOKUP($A184,Results_30d_Deltas!$A$2:$H$5000,7,FALSE)-E183,"")</f>
        <v/>
      </c>
      <c r="I181">
        <f>IFERROR(VLOOKUP($A184,Results_30d_Deltas!$A$2:$H$5000,6,FALSE),"")</f>
        <v/>
      </c>
      <c r="L181" t="inlineStr">
        <is>
          <t>NO</t>
        </is>
      </c>
      <c r="IK181" t="inlineStr">
        <is>
          <t>ez_manage.py:4278 top()</t>
        </is>
      </c>
      <c r="IL181" t="inlineStr">
        <is>
          <t>v12_quick_engine.py:3667 x3</t>
        </is>
      </c>
    </row>
    <row r="182" ht="10.5" customHeight="1" s="67">
      <c r="A182" t="inlineStr">
        <is>
          <t>WRONG_SIDE_WT_TFS_REQUIRED</t>
        </is>
      </c>
      <c r="B182" t="inlineStr">
        <is>
          <t>3</t>
        </is>
      </c>
      <c r="G182">
        <f>IFERROR(VLOOKUP($A185&amp;"_"&amp;$B185,Results_Deltas!$A$2:$P$15000,5,FALSE),"")</f>
        <v/>
      </c>
      <c r="H182">
        <f>IFERROR(VLOOKUP($A185,Results_30d_Deltas!$A$2:$H$5000,7,FALSE)-E184,"")</f>
        <v/>
      </c>
      <c r="I182">
        <f>IFERROR(VLOOKUP($A185,Results_30d_Deltas!$A$2:$H$5000,6,FALSE),"")</f>
        <v/>
      </c>
      <c r="L182" t="inlineStr">
        <is>
          <t>YES</t>
        </is>
      </c>
      <c r="IK182" t="inlineStr">
        <is>
          <t>ez_manage.py:4278 top()</t>
        </is>
      </c>
      <c r="IL182" t="inlineStr">
        <is>
          <t>v12_quick_engine.py:3667 x3</t>
        </is>
      </c>
    </row>
    <row r="183" ht="10.5" customHeight="1" s="67">
      <c r="A183" t="inlineStr">
        <is>
          <t>WRONG_SIDE_WT_TFS_REQUIRED</t>
        </is>
      </c>
      <c r="B183" t="inlineStr">
        <is>
          <t>4</t>
        </is>
      </c>
      <c r="G183">
        <f>IFERROR(VLOOKUP($A186&amp;"_"&amp;$B186,Results_Deltas!$A$2:$P$15000,5,FALSE),"")</f>
        <v/>
      </c>
      <c r="H183">
        <f>IFERROR(VLOOKUP($A186,Results_30d_Deltas!$A$2:$H$5000,7,FALSE)-E185,"")</f>
        <v/>
      </c>
      <c r="I183">
        <f>IFERROR(VLOOKUP($A186,Results_30d_Deltas!$A$2:$H$5000,6,FALSE),"")</f>
        <v/>
      </c>
      <c r="L183" t="inlineStr">
        <is>
          <t>NO</t>
        </is>
      </c>
      <c r="IK183" t="inlineStr">
        <is>
          <t>ez_manage.py:4278 top()</t>
        </is>
      </c>
      <c r="IL183" t="inlineStr">
        <is>
          <t>v12_quick_engine.py:3667 x3</t>
        </is>
      </c>
    </row>
    <row r="184" ht="10.5" customHeight="1" s="67">
      <c r="A184" t="inlineStr">
        <is>
          <t>WRONG_SIDE_WT_TFS_REQUIRED</t>
        </is>
      </c>
      <c r="B184" t="inlineStr">
        <is>
          <t>6</t>
        </is>
      </c>
      <c r="G184">
        <f>IFERROR(VLOOKUP($A188&amp;"_"&amp;$B188,Results_Deltas!$A$2:$P$15000,5,FALSE),"")</f>
        <v/>
      </c>
      <c r="H184">
        <f>IFERROR(VLOOKUP($A188,Results_30d_Deltas!$A$2:$H$5000,7,FALSE)-E187,"")</f>
        <v/>
      </c>
      <c r="I184">
        <f>IFERROR(VLOOKUP($A188,Results_30d_Deltas!$A$2:$H$5000,6,FALSE),"")</f>
        <v/>
      </c>
      <c r="L184" t="inlineStr">
        <is>
          <t>NO</t>
        </is>
      </c>
      <c r="IK184" t="inlineStr">
        <is>
          <t>ez_manage.py:4278 top()</t>
        </is>
      </c>
      <c r="IL184" t="inlineStr">
        <is>
          <t>v12_quick_engine.py:3667 x3</t>
        </is>
      </c>
    </row>
    <row r="185" ht="10.5" customHeight="1" s="67">
      <c r="A185" t="inlineStr">
        <is>
          <t>WT_15M_CROSS_ENTRY_ENABLED</t>
        </is>
      </c>
      <c r="B185" t="inlineStr">
        <is>
          <t>False</t>
        </is>
      </c>
      <c r="G185">
        <f>IFERROR(VLOOKUP($A189&amp;"_"&amp;$B189,Results_Deltas!$A$2:$P$15000,5,FALSE),"")</f>
        <v/>
      </c>
      <c r="H185">
        <f>IFERROR(VLOOKUP($A189,Results_30d_Deltas!$A$2:$H$5000,7,FALSE)-E188,"")</f>
        <v/>
      </c>
      <c r="I185">
        <f>IFERROR(VLOOKUP($A189,Results_30d_Deltas!$A$2:$H$5000,6,FALSE),"")</f>
        <v/>
      </c>
      <c r="L185" t="inlineStr">
        <is>
          <t>NO</t>
        </is>
      </c>
      <c r="IK185" t="inlineStr">
        <is>
          <t>ez_manage.py:6077 top()</t>
        </is>
      </c>
      <c r="IL185" t="inlineStr">
        <is>
          <t>v12_quick_engine.py:4289 x4</t>
        </is>
      </c>
    </row>
    <row r="186" ht="10.5" customHeight="1" s="67">
      <c r="A186" t="inlineStr">
        <is>
          <t>WT_15M_CROSS_ENTRY_ENABLED</t>
        </is>
      </c>
      <c r="B186" t="inlineStr">
        <is>
          <t>True</t>
        </is>
      </c>
      <c r="G186">
        <f>IFERROR(VLOOKUP($A190&amp;"_"&amp;$B190,Results_Deltas!$A$2:$P$15000,5,FALSE),"")</f>
        <v/>
      </c>
      <c r="H186">
        <f>IFERROR(VLOOKUP($A190,Results_30d_Deltas!$A$2:$H$5000,7,FALSE)-E189,"")</f>
        <v/>
      </c>
      <c r="I186">
        <f>IFERROR(VLOOKUP($A190,Results_30d_Deltas!$A$2:$H$5000,6,FALSE),"")</f>
        <v/>
      </c>
      <c r="L186" t="inlineStr">
        <is>
          <t>YES</t>
        </is>
      </c>
      <c r="IK186" t="inlineStr">
        <is>
          <t>ez_manage.py:6077 top()</t>
        </is>
      </c>
      <c r="IL186" t="inlineStr">
        <is>
          <t>v12_quick_engine.py:4289 x4</t>
        </is>
      </c>
    </row>
    <row r="187" ht="10.5" customHeight="1" s="67">
      <c r="A187" t="inlineStr">
        <is>
          <t>WT_COMPOSITE_ENTRY_BLOCK</t>
        </is>
      </c>
      <c r="B187" t="inlineStr">
        <is>
          <t>-30.0</t>
        </is>
      </c>
      <c r="G187">
        <f>IFERROR(VLOOKUP($A191&amp;"_"&amp;$B191,Results_Deltas!$A$2:$P$15000,5,FALSE),"")</f>
        <v/>
      </c>
      <c r="H187">
        <f>IFERROR(VLOOKUP($A191,Results_30d_Deltas!$A$2:$H$5000,7,FALSE)-E190,"")</f>
        <v/>
      </c>
      <c r="I187">
        <f>IFERROR(VLOOKUP($A191,Results_30d_Deltas!$A$2:$H$5000,6,FALSE),"")</f>
        <v/>
      </c>
      <c r="L187" t="inlineStr">
        <is>
          <t>NO</t>
        </is>
      </c>
      <c r="IK187" t="inlineStr">
        <is>
          <t>ez_manage.py:5891 top()</t>
        </is>
      </c>
      <c r="IL187" t="inlineStr">
        <is>
          <t>v12_quick_engine.py:3710 x2</t>
        </is>
      </c>
    </row>
    <row r="188" ht="10.5" customHeight="1" s="67">
      <c r="A188" t="inlineStr">
        <is>
          <t>WT_COMPOSITE_ENTRY_BLOCK</t>
        </is>
      </c>
      <c r="B188" t="inlineStr">
        <is>
          <t>-25.0</t>
        </is>
      </c>
      <c r="G188">
        <f>IFERROR(VLOOKUP($A192&amp;"_"&amp;$B192,Results_Deltas!$A$2:$P$15000,5,FALSE),"")</f>
        <v/>
      </c>
      <c r="H188">
        <f>IFERROR(VLOOKUP($A192,Results_30d_Deltas!$A$2:$H$5000,7,FALSE)-E191,"")</f>
        <v/>
      </c>
      <c r="I188">
        <f>IFERROR(VLOOKUP($A192,Results_30d_Deltas!$A$2:$H$5000,6,FALSE),"")</f>
        <v/>
      </c>
      <c r="L188" t="inlineStr">
        <is>
          <t>NO</t>
        </is>
      </c>
      <c r="IK188" t="inlineStr">
        <is>
          <t>ez_manage.py:5891 top()</t>
        </is>
      </c>
      <c r="IL188" t="inlineStr">
        <is>
          <t>v12_quick_engine.py:3710 x2</t>
        </is>
      </c>
    </row>
    <row r="189" ht="10.5" customHeight="1" s="67">
      <c r="A189" t="inlineStr">
        <is>
          <t>WT_COMPOSITE_ENTRY_BLOCK</t>
        </is>
      </c>
      <c r="B189" t="inlineStr">
        <is>
          <t>-20.0</t>
        </is>
      </c>
      <c r="G189">
        <f>IFERROR(VLOOKUP($A193&amp;"_"&amp;$B193,Results_Deltas!$A$2:$P$15000,5,FALSE),"")</f>
        <v/>
      </c>
      <c r="H189">
        <f>IFERROR(VLOOKUP($A193,Results_30d_Deltas!$A$2:$H$5000,7,FALSE)-E192,"")</f>
        <v/>
      </c>
      <c r="I189">
        <f>IFERROR(VLOOKUP($A193,Results_30d_Deltas!$A$2:$H$5000,6,FALSE),"")</f>
        <v/>
      </c>
      <c r="L189" t="inlineStr">
        <is>
          <t>NO</t>
        </is>
      </c>
      <c r="IK189" t="inlineStr">
        <is>
          <t>ez_manage.py:5891 top()</t>
        </is>
      </c>
      <c r="IL189" t="inlineStr">
        <is>
          <t>v12_quick_engine.py:3710 x2</t>
        </is>
      </c>
    </row>
    <row r="190" ht="10.5" customHeight="1" s="67">
      <c r="A190" t="inlineStr">
        <is>
          <t>WT_COMPOSITE_ENTRY_BLOCK</t>
        </is>
      </c>
      <c r="B190" t="inlineStr">
        <is>
          <t>-15.0</t>
        </is>
      </c>
      <c r="G190">
        <f>IFERROR(VLOOKUP($A194&amp;"_"&amp;$B194,Results_Deltas!$A$2:$P$15000,5,FALSE),"")</f>
        <v/>
      </c>
      <c r="H190">
        <f>IFERROR(VLOOKUP($A194,Results_30d_Deltas!$A$2:$H$5000,7,FALSE)-E193,"")</f>
        <v/>
      </c>
      <c r="I190">
        <f>IFERROR(VLOOKUP($A194,Results_30d_Deltas!$A$2:$H$5000,6,FALSE),"")</f>
        <v/>
      </c>
      <c r="L190" t="inlineStr">
        <is>
          <t>NO</t>
        </is>
      </c>
      <c r="IK190" t="inlineStr">
        <is>
          <t>ez_manage.py:5891 top()</t>
        </is>
      </c>
      <c r="IL190" t="inlineStr">
        <is>
          <t>v12_quick_engine.py:3710 x2</t>
        </is>
      </c>
    </row>
    <row r="191" ht="10.5" customHeight="1" s="67">
      <c r="A191" t="inlineStr">
        <is>
          <t>WT_COMPOSITE_ENTRY_BLOCK</t>
        </is>
      </c>
      <c r="B191" t="inlineStr">
        <is>
          <t>-10.0</t>
        </is>
      </c>
      <c r="G191">
        <f>IFERROR(VLOOKUP($A195&amp;"_"&amp;$B195,Results_Deltas!$A$2:$P$15000,5,FALSE),"")</f>
        <v/>
      </c>
      <c r="H191">
        <f>IFERROR(VLOOKUP($A195,Results_30d_Deltas!$A$2:$H$5000,7,FALSE)-E194,"")</f>
        <v/>
      </c>
      <c r="I191">
        <f>IFERROR(VLOOKUP($A195,Results_30d_Deltas!$A$2:$H$5000,6,FALSE),"")</f>
        <v/>
      </c>
      <c r="L191" t="inlineStr">
        <is>
          <t>YES</t>
        </is>
      </c>
      <c r="IK191" t="inlineStr">
        <is>
          <t>ez_manage.py:5891 top()</t>
        </is>
      </c>
      <c r="IL191" t="inlineStr">
        <is>
          <t>v12_quick_engine.py:3710 x2</t>
        </is>
      </c>
    </row>
    <row r="192" ht="10.5" customHeight="1" s="67">
      <c r="A192" t="inlineStr">
        <is>
          <t>WT_COMPOSITE_ENTRY_GOOD</t>
        </is>
      </c>
      <c r="B192" t="inlineStr">
        <is>
          <t>15.0</t>
        </is>
      </c>
      <c r="G192">
        <f>IFERROR(VLOOKUP($A196&amp;"_"&amp;$B196,Results_Deltas!$A$2:$P$15000,5,FALSE),"")</f>
        <v/>
      </c>
      <c r="H192">
        <f>IFERROR(VLOOKUP($A196,Results_30d_Deltas!$A$2:$H$5000,7,FALSE)-E195,"")</f>
        <v/>
      </c>
      <c r="I192">
        <f>IFERROR(VLOOKUP($A196,Results_30d_Deltas!$A$2:$H$5000,6,FALSE),"")</f>
        <v/>
      </c>
      <c r="L192" t="inlineStr">
        <is>
          <t>NO</t>
        </is>
      </c>
      <c r="IK192" t="inlineStr">
        <is>
          <t>ez_manage.py:5892 top()</t>
        </is>
      </c>
      <c r="IL192" t="inlineStr">
        <is>
          <t>v12_quick_engine.py:3711 x2</t>
        </is>
      </c>
    </row>
    <row r="193" ht="10.5" customHeight="1" s="67">
      <c r="A193" t="inlineStr">
        <is>
          <t>WT_COMPOSITE_ENTRY_GOOD</t>
        </is>
      </c>
      <c r="B193" t="inlineStr">
        <is>
          <t>22.5</t>
        </is>
      </c>
      <c r="G193">
        <f>IFERROR(VLOOKUP($A197&amp;"_"&amp;$B197,Results_Deltas!$A$2:$P$15000,5,FALSE),"")</f>
        <v/>
      </c>
      <c r="H193">
        <f>IFERROR(VLOOKUP($A197,Results_30d_Deltas!$A$2:$H$5000,7,FALSE)-E196,"")</f>
        <v/>
      </c>
      <c r="I193">
        <f>IFERROR(VLOOKUP($A197,Results_30d_Deltas!$A$2:$H$5000,6,FALSE),"")</f>
        <v/>
      </c>
      <c r="L193" t="inlineStr">
        <is>
          <t>NO</t>
        </is>
      </c>
      <c r="IK193" t="inlineStr">
        <is>
          <t>ez_manage.py:5892 top()</t>
        </is>
      </c>
      <c r="IL193" t="inlineStr">
        <is>
          <t>v12_quick_engine.py:3711 x2</t>
        </is>
      </c>
    </row>
    <row r="194" ht="10.5" customHeight="1" s="67">
      <c r="A194" t="inlineStr">
        <is>
          <t>WT_COMPOSITE_ENTRY_GOOD</t>
        </is>
      </c>
      <c r="B194" t="inlineStr">
        <is>
          <t>30.0</t>
        </is>
      </c>
      <c r="G194">
        <f>IFERROR(VLOOKUP($A198&amp;"_"&amp;$B198,Results_Deltas!$A$2:$P$15000,5,FALSE),"")</f>
        <v/>
      </c>
      <c r="H194">
        <f>IFERROR(VLOOKUP($A198,Results_30d_Deltas!$A$2:$H$5000,7,FALSE)-E197,"")</f>
        <v/>
      </c>
      <c r="I194">
        <f>IFERROR(VLOOKUP($A198,Results_30d_Deltas!$A$2:$H$5000,6,FALSE),"")</f>
        <v/>
      </c>
      <c r="L194" t="inlineStr">
        <is>
          <t>NO</t>
        </is>
      </c>
      <c r="IK194" t="inlineStr">
        <is>
          <t>ez_manage.py:5892 top()</t>
        </is>
      </c>
      <c r="IL194" t="inlineStr">
        <is>
          <t>v12_quick_engine.py:3711 x2</t>
        </is>
      </c>
    </row>
    <row r="195" ht="10.5" customHeight="1" s="67">
      <c r="A195" t="inlineStr">
        <is>
          <t>WT_COMPOSITE_ENTRY_GOOD</t>
        </is>
      </c>
      <c r="B195" t="inlineStr">
        <is>
          <t>37.5</t>
        </is>
      </c>
      <c r="G195">
        <f>IFERROR(VLOOKUP($A199&amp;"_"&amp;$B199,Results_Deltas!$A$2:$P$15000,5,FALSE),"")</f>
        <v/>
      </c>
      <c r="H195">
        <f>IFERROR(VLOOKUP($A199,Results_30d_Deltas!$A$2:$H$5000,7,FALSE)-E198,"")</f>
        <v/>
      </c>
      <c r="I195">
        <f>IFERROR(VLOOKUP($A199,Results_30d_Deltas!$A$2:$H$5000,6,FALSE),"")</f>
        <v/>
      </c>
      <c r="L195" t="inlineStr">
        <is>
          <t>NO</t>
        </is>
      </c>
      <c r="IK195" t="inlineStr">
        <is>
          <t>ez_manage.py:5892 top()</t>
        </is>
      </c>
      <c r="IL195" t="inlineStr">
        <is>
          <t>v12_quick_engine.py:3711 x2</t>
        </is>
      </c>
    </row>
    <row r="196" ht="10.5" customHeight="1" s="67">
      <c r="A196" t="inlineStr">
        <is>
          <t>WT_COMPOSITE_ENTRY_GOOD</t>
        </is>
      </c>
      <c r="B196" t="inlineStr">
        <is>
          <t>45.0</t>
        </is>
      </c>
      <c r="G196">
        <f>IFERROR(VLOOKUP($A200&amp;"_"&amp;$B200,Results_Deltas!$A$2:$P$15000,5,FALSE),"")</f>
        <v/>
      </c>
      <c r="H196">
        <f>IFERROR(VLOOKUP($A200,Results_30d_Deltas!$A$2:$H$5000,7,FALSE)-E199,"")</f>
        <v/>
      </c>
      <c r="I196">
        <f>IFERROR(VLOOKUP($A200,Results_30d_Deltas!$A$2:$H$5000,6,FALSE),"")</f>
        <v/>
      </c>
      <c r="L196" t="inlineStr">
        <is>
          <t>YES</t>
        </is>
      </c>
      <c r="IK196" t="inlineStr">
        <is>
          <t>ez_manage.py:5892 top()</t>
        </is>
      </c>
      <c r="IL196" t="inlineStr">
        <is>
          <t>v12_quick_engine.py:3711 x2</t>
        </is>
      </c>
    </row>
    <row r="197" ht="10.5" customHeight="1" s="67">
      <c r="A197" t="inlineStr">
        <is>
          <t>WT_COMPOSITE_ENTRY_OK</t>
        </is>
      </c>
      <c r="B197" t="inlineStr">
        <is>
          <t>5.0</t>
        </is>
      </c>
      <c r="G197">
        <f>IFERROR(VLOOKUP($A201&amp;"_"&amp;$B201,Results_Deltas!$A$2:$P$15000,5,FALSE),"")</f>
        <v/>
      </c>
      <c r="H197">
        <f>IFERROR(VLOOKUP($A201,Results_30d_Deltas!$A$2:$H$5000,7,FALSE)-E200,"")</f>
        <v/>
      </c>
      <c r="I197">
        <f>IFERROR(VLOOKUP($A201,Results_30d_Deltas!$A$2:$H$5000,6,FALSE),"")</f>
        <v/>
      </c>
      <c r="L197" t="inlineStr">
        <is>
          <t>NO</t>
        </is>
      </c>
      <c r="IK197" t="inlineStr">
        <is>
          <t>ez_manage.py:5893 top()</t>
        </is>
      </c>
      <c r="IL197" t="inlineStr">
        <is>
          <t>v12_quick_engine.py:3712 x2</t>
        </is>
      </c>
    </row>
    <row r="198" ht="10.5" customHeight="1" s="67">
      <c r="A198" t="inlineStr">
        <is>
          <t>WT_COMPOSITE_ENTRY_OK</t>
        </is>
      </c>
      <c r="B198" t="inlineStr">
        <is>
          <t>7.5</t>
        </is>
      </c>
      <c r="G198">
        <f>IFERROR(VLOOKUP($A202&amp;"_"&amp;$B202,Results_Deltas!$A$2:$P$15000,5,FALSE),"")</f>
        <v/>
      </c>
      <c r="H198">
        <f>IFERROR(VLOOKUP($A202,Results_30d_Deltas!$A$2:$H$5000,7,FALSE)-E201,"")</f>
        <v/>
      </c>
      <c r="I198">
        <f>IFERROR(VLOOKUP($A202,Results_30d_Deltas!$A$2:$H$5000,6,FALSE),"")</f>
        <v/>
      </c>
      <c r="L198" t="inlineStr">
        <is>
          <t>NO</t>
        </is>
      </c>
      <c r="IK198" t="inlineStr">
        <is>
          <t>ez_manage.py:5893 top()</t>
        </is>
      </c>
      <c r="IL198" t="inlineStr">
        <is>
          <t>v12_quick_engine.py:3712 x2</t>
        </is>
      </c>
    </row>
    <row r="199" ht="10.5" customHeight="1" s="67">
      <c r="A199" t="inlineStr">
        <is>
          <t>WT_COMPOSITE_ENTRY_OK</t>
        </is>
      </c>
      <c r="B199" t="inlineStr">
        <is>
          <t>10.0</t>
        </is>
      </c>
      <c r="G199">
        <f>IFERROR(VLOOKUP($A203&amp;"_"&amp;$B203,Results_Deltas!$A$2:$P$15000,5,FALSE),"")</f>
        <v/>
      </c>
      <c r="H199">
        <f>IFERROR(VLOOKUP($A203,Results_30d_Deltas!$A$2:$H$5000,7,FALSE)-E202,"")</f>
        <v/>
      </c>
      <c r="I199">
        <f>IFERROR(VLOOKUP($A203,Results_30d_Deltas!$A$2:$H$5000,6,FALSE),"")</f>
        <v/>
      </c>
      <c r="L199" t="inlineStr">
        <is>
          <t>NO</t>
        </is>
      </c>
      <c r="IK199" t="inlineStr">
        <is>
          <t>ez_manage.py:5893 top()</t>
        </is>
      </c>
      <c r="IL199" t="inlineStr">
        <is>
          <t>v12_quick_engine.py:3712 x2</t>
        </is>
      </c>
    </row>
    <row r="200" ht="10.5" customHeight="1" s="67">
      <c r="A200" t="inlineStr">
        <is>
          <t>WT_COMPOSITE_ENTRY_OK</t>
        </is>
      </c>
      <c r="B200" t="inlineStr">
        <is>
          <t>12.5</t>
        </is>
      </c>
      <c r="G200">
        <f>IFERROR(VLOOKUP($A204&amp;"_"&amp;$B204,Results_Deltas!$A$2:$P$15000,5,FALSE),"")</f>
        <v/>
      </c>
      <c r="H200">
        <f>IFERROR(VLOOKUP($A204,Results_30d_Deltas!$A$2:$H$5000,7,FALSE)-E203,"")</f>
        <v/>
      </c>
      <c r="I200">
        <f>IFERROR(VLOOKUP($A204,Results_30d_Deltas!$A$2:$H$5000,6,FALSE),"")</f>
        <v/>
      </c>
      <c r="L200" t="inlineStr">
        <is>
          <t>YES</t>
        </is>
      </c>
      <c r="IK200" t="inlineStr">
        <is>
          <t>ez_manage.py:5893 top()</t>
        </is>
      </c>
      <c r="IL200" t="inlineStr">
        <is>
          <t>v12_quick_engine.py:3712 x2</t>
        </is>
      </c>
    </row>
    <row r="201" ht="10.5" customHeight="1" s="67">
      <c r="A201" t="inlineStr">
        <is>
          <t>WT_COMPOSITE_ENTRY_OK</t>
        </is>
      </c>
      <c r="B201" t="inlineStr">
        <is>
          <t>15.0</t>
        </is>
      </c>
      <c r="G201">
        <f>IFERROR(VLOOKUP($A205&amp;"_"&amp;$B205,Results_Deltas!$A$2:$P$15000,5,FALSE),"")</f>
        <v/>
      </c>
      <c r="H201">
        <f>IFERROR(VLOOKUP($A205,Results_30d_Deltas!$A$2:$H$5000,7,FALSE)-E204,"")</f>
        <v/>
      </c>
      <c r="I201">
        <f>IFERROR(VLOOKUP($A205,Results_30d_Deltas!$A$2:$H$5000,6,FALSE),"")</f>
        <v/>
      </c>
      <c r="L201" t="inlineStr">
        <is>
          <t>NO</t>
        </is>
      </c>
      <c r="IK201" t="inlineStr">
        <is>
          <t>ez_manage.py:5893 top()</t>
        </is>
      </c>
      <c r="IL201" t="inlineStr">
        <is>
          <t>v12_quick_engine.py:3712 x2</t>
        </is>
      </c>
    </row>
    <row r="202" ht="10.5" customHeight="1" s="67">
      <c r="A202" t="inlineStr">
        <is>
          <t>WT_COMPOSITE_ENTRY_STRONG</t>
        </is>
      </c>
      <c r="B202" t="inlineStr">
        <is>
          <t>25.0</t>
        </is>
      </c>
      <c r="G202">
        <f>IFERROR(VLOOKUP($A206&amp;"_"&amp;$B206,Results_Deltas!$A$2:$P$15000,5,FALSE),"")</f>
        <v/>
      </c>
      <c r="H202">
        <f>IFERROR(VLOOKUP($A206,Results_30d_Deltas!$A$2:$H$5000,7,FALSE)-E205,"")</f>
        <v/>
      </c>
      <c r="I202">
        <f>IFERROR(VLOOKUP($A206,Results_30d_Deltas!$A$2:$H$5000,6,FALSE),"")</f>
        <v/>
      </c>
      <c r="L202" t="inlineStr">
        <is>
          <t>NO</t>
        </is>
      </c>
      <c r="IK202" t="inlineStr">
        <is>
          <t>ez_manage.py:5894 top()</t>
        </is>
      </c>
      <c r="IL202" t="inlineStr">
        <is>
          <t>v12_quick_engine.py:3713 x2</t>
        </is>
      </c>
    </row>
    <row r="203" ht="10.5" customHeight="1" s="67">
      <c r="A203" t="inlineStr">
        <is>
          <t>WT_COMPOSITE_ENTRY_STRONG</t>
        </is>
      </c>
      <c r="B203" t="inlineStr">
        <is>
          <t>37.5</t>
        </is>
      </c>
      <c r="G203">
        <f>IFERROR(VLOOKUP($A207&amp;"_"&amp;$B207,Results_Deltas!$A$2:$P$15000,5,FALSE),"")</f>
        <v/>
      </c>
      <c r="H203">
        <f>IFERROR(VLOOKUP($A207,Results_30d_Deltas!$A$2:$H$5000,7,FALSE)-E206,"")</f>
        <v/>
      </c>
      <c r="I203">
        <f>IFERROR(VLOOKUP($A207,Results_30d_Deltas!$A$2:$H$5000,6,FALSE),"")</f>
        <v/>
      </c>
      <c r="L203" t="inlineStr">
        <is>
          <t>NO</t>
        </is>
      </c>
      <c r="IK203" t="inlineStr">
        <is>
          <t>ez_manage.py:5894 top()</t>
        </is>
      </c>
      <c r="IL203" t="inlineStr">
        <is>
          <t>v12_quick_engine.py:3713 x2</t>
        </is>
      </c>
    </row>
    <row r="204" ht="10.5" customHeight="1" s="67">
      <c r="A204" t="inlineStr">
        <is>
          <t>WT_COMPOSITE_ENTRY_STRONG</t>
        </is>
      </c>
      <c r="B204" t="inlineStr">
        <is>
          <t>50.0</t>
        </is>
      </c>
      <c r="G204">
        <f>IFERROR(VLOOKUP($A208&amp;"_"&amp;$B208,Results_Deltas!$A$2:$P$15000,5,FALSE),"")</f>
        <v/>
      </c>
      <c r="H204">
        <f>IFERROR(VLOOKUP($A208,Results_30d_Deltas!$A$2:$H$5000,7,FALSE)-E207,"")</f>
        <v/>
      </c>
      <c r="I204">
        <f>IFERROR(VLOOKUP($A208,Results_30d_Deltas!$A$2:$H$5000,6,FALSE),"")</f>
        <v/>
      </c>
      <c r="L204" t="inlineStr">
        <is>
          <t>YES</t>
        </is>
      </c>
      <c r="IK204" t="inlineStr">
        <is>
          <t>ez_manage.py:5894 top()</t>
        </is>
      </c>
      <c r="IL204" t="inlineStr">
        <is>
          <t>v12_quick_engine.py:3713 x2</t>
        </is>
      </c>
    </row>
    <row r="205" ht="10.5" customHeight="1" s="67">
      <c r="A205" t="inlineStr">
        <is>
          <t>WT_COMPOSITE_ENTRY_STRONG</t>
        </is>
      </c>
      <c r="B205" t="inlineStr">
        <is>
          <t>62.5</t>
        </is>
      </c>
      <c r="G205">
        <f>IFERROR(VLOOKUP($A209&amp;"_"&amp;$B209,Results_Deltas!$A$2:$P$15000,5,FALSE),"")</f>
        <v/>
      </c>
      <c r="H205">
        <f>IFERROR(VLOOKUP($A209,Results_30d_Deltas!$A$2:$H$5000,7,FALSE)-E208,"")</f>
        <v/>
      </c>
      <c r="I205">
        <f>IFERROR(VLOOKUP($A209,Results_30d_Deltas!$A$2:$H$5000,6,FALSE),"")</f>
        <v/>
      </c>
      <c r="L205" t="inlineStr">
        <is>
          <t>NO</t>
        </is>
      </c>
      <c r="IK205" t="inlineStr">
        <is>
          <t>ez_manage.py:5894 top()</t>
        </is>
      </c>
      <c r="IL205" t="inlineStr">
        <is>
          <t>v12_quick_engine.py:3713 x2</t>
        </is>
      </c>
    </row>
    <row r="206" ht="10.5" customHeight="1" s="67">
      <c r="A206" t="inlineStr">
        <is>
          <t>WT_COMPOSITE_ENTRY_STRONG</t>
        </is>
      </c>
      <c r="B206" t="inlineStr">
        <is>
          <t>75.0</t>
        </is>
      </c>
      <c r="G206">
        <f>IFERROR(VLOOKUP($A210&amp;"_"&amp;$B210,Results_Deltas!$A$2:$P$15000,5,FALSE),"")</f>
        <v/>
      </c>
      <c r="H206">
        <f>IFERROR(VLOOKUP($A210,Results_30d_Deltas!$A$2:$H$5000,7,FALSE)-E209,"")</f>
        <v/>
      </c>
      <c r="I206">
        <f>IFERROR(VLOOKUP($A210,Results_30d_Deltas!$A$2:$H$5000,6,FALSE),"")</f>
        <v/>
      </c>
      <c r="L206" t="inlineStr">
        <is>
          <t>NO</t>
        </is>
      </c>
      <c r="IK206" t="inlineStr">
        <is>
          <t>ez_manage.py:5894 top()</t>
        </is>
      </c>
      <c r="IL206" t="inlineStr">
        <is>
          <t>v12_quick_engine.py:3713 x2</t>
        </is>
      </c>
    </row>
    <row r="207" ht="10.5" customHeight="1" s="67">
      <c r="A207" t="inlineStr">
        <is>
          <t>WT_DIV_ENTRY_GATE_ENABLED</t>
        </is>
      </c>
      <c r="B207" t="inlineStr">
        <is>
          <t>False</t>
        </is>
      </c>
      <c r="G207">
        <f>IFERROR(VLOOKUP($A211&amp;"_"&amp;$B211,Results_Deltas!$A$2:$P$15000,5,FALSE),"")</f>
        <v/>
      </c>
      <c r="H207">
        <f>IFERROR(VLOOKUP($A211,Results_30d_Deltas!$A$2:$H$5000,7,FALSE)-E210,"")</f>
        <v/>
      </c>
      <c r="I207">
        <f>IFERROR(VLOOKUP($A211,Results_30d_Deltas!$A$2:$H$5000,6,FALSE),"")</f>
        <v/>
      </c>
      <c r="L207" t="inlineStr">
        <is>
          <t>NO</t>
        </is>
      </c>
      <c r="IK207" t="inlineStr">
        <is>
          <t>ez_manage.py:5913 top()</t>
        </is>
      </c>
      <c r="IL207" t="inlineStr">
        <is>
          <t>v12_quick_engine.py:3743 x2</t>
        </is>
      </c>
    </row>
    <row r="208" ht="10.5" customHeight="1" s="67">
      <c r="A208" t="inlineStr">
        <is>
          <t>WT_DIV_ENTRY_GATE_ENABLED</t>
        </is>
      </c>
      <c r="B208" t="b">
        <v>0</v>
      </c>
      <c r="G208">
        <f>IFERROR(VLOOKUP($A212&amp;"_"&amp;$B212,Results_Deltas!$A$2:$P$15000,5,FALSE),"")</f>
        <v/>
      </c>
      <c r="H208">
        <f>IFERROR(VLOOKUP($A212,Results_30d_Deltas!$A$2:$H$5000,7,FALSE)-E211,"")</f>
        <v/>
      </c>
      <c r="I208">
        <f>IFERROR(VLOOKUP($A212,Results_30d_Deltas!$A$2:$H$5000,6,FALSE),"")</f>
        <v/>
      </c>
      <c r="L208" t="inlineStr">
        <is>
          <t>NO</t>
        </is>
      </c>
      <c r="IK208" t="inlineStr">
        <is>
          <t>ez_manage.py:5913 top()</t>
        </is>
      </c>
      <c r="IL208" t="inlineStr">
        <is>
          <t>v12_quick_engine.py:3743 x2</t>
        </is>
      </c>
    </row>
    <row r="209" ht="10.5" customHeight="1" s="67">
      <c r="A209" t="inlineStr">
        <is>
          <t>ADX_RANGING_THRESHOLD</t>
        </is>
      </c>
      <c r="B209" t="inlineStr">
        <is>
          <t>20</t>
        </is>
      </c>
      <c r="D209" t="inlineStr">
        <is>
          <t>ENTRY, GLOBAL_CHECK, STOCKS_EXIT</t>
        </is>
      </c>
      <c r="G209">
        <f>IFERROR(VLOOKUP($A213&amp;"_"&amp;$B213,Results_Deltas!$A$2:$P$15000,5,FALSE),"")</f>
        <v/>
      </c>
      <c r="H209" t="inlineStr">
        <is>
          <t>Blanket (page end)</t>
        </is>
      </c>
      <c r="L209" t="inlineStr">
        <is>
          <t>YES</t>
        </is>
      </c>
    </row>
    <row r="210" ht="10.5" customHeight="1" s="67">
      <c r="A210" t="inlineStr">
        <is>
          <t>ADX_RANGING_THRESHOLD</t>
        </is>
      </c>
      <c r="B210" t="inlineStr">
        <is>
          <t>25</t>
        </is>
      </c>
      <c r="D210" t="inlineStr">
        <is>
          <t>ENTRY, GLOBAL_CHECK, STOCKS_EXIT</t>
        </is>
      </c>
      <c r="G210">
        <f>IFERROR(VLOOKUP($A214&amp;"_"&amp;$B214,Results_Deltas!$A$2:$P$15000,5,FALSE),"")</f>
        <v/>
      </c>
      <c r="H210" t="inlineStr">
        <is>
          <t>Blanket (page end)</t>
        </is>
      </c>
      <c r="L210" t="inlineStr">
        <is>
          <t>NO</t>
        </is>
      </c>
    </row>
    <row r="211" ht="10.5" customHeight="1" s="67">
      <c r="A211" t="inlineStr">
        <is>
          <t>ADX_RANGING_THRESHOLD</t>
        </is>
      </c>
      <c r="B211" t="inlineStr">
        <is>
          <t>15</t>
        </is>
      </c>
      <c r="D211" t="inlineStr">
        <is>
          <t>ENTRY, GLOBAL_CHECK, STOCKS_EXIT</t>
        </is>
      </c>
      <c r="G211">
        <f>IFERROR(VLOOKUP($A215&amp;"_"&amp;$B215,Results_Deltas!$A$2:$P$15000,5,FALSE),"")</f>
        <v/>
      </c>
      <c r="H211" t="inlineStr">
        <is>
          <t>Blanket (page end)</t>
        </is>
      </c>
      <c r="L211" t="inlineStr">
        <is>
          <t>NO</t>
        </is>
      </c>
    </row>
    <row r="212" ht="10.5" customHeight="1" s="67">
      <c r="A212" t="inlineStr">
        <is>
          <t>ADX_RANGING_THRESHOLD</t>
        </is>
      </c>
      <c r="B212" t="n">
        <v>20</v>
      </c>
      <c r="D212" t="inlineStr">
        <is>
          <t>ENTRY, GLOBAL_CHECK, STOCKS_EXIT</t>
        </is>
      </c>
      <c r="G212">
        <f>IFERROR(VLOOKUP($A216&amp;"_"&amp;$B216,Results_Deltas!$A$2:$P$15000,5,FALSE),"")</f>
        <v/>
      </c>
      <c r="H212" t="inlineStr">
        <is>
          <t>Blanket (page end)</t>
        </is>
      </c>
      <c r="L212" t="inlineStr">
        <is>
          <t>NO</t>
        </is>
      </c>
    </row>
    <row r="213" ht="15.75" customHeight="1" s="67">
      <c r="A213" t="inlineStr">
        <is>
          <t>BANDAID_OFF_LOSER_RECOVER_PCT</t>
        </is>
      </c>
      <c r="B213" t="inlineStr">
        <is>
          <t>0</t>
        </is>
      </c>
      <c r="D213" t="inlineStr">
        <is>
          <t>AUGMENT, ENTRY, EXIT, GLOBAL_CHECK, REDUCE, STOCKS_EXIT</t>
        </is>
      </c>
      <c r="G213">
        <f>IFERROR(VLOOKUP($A217&amp;"_"&amp;$B217,Results_Deltas!$A$2:$P$15000,5,FALSE),"")</f>
        <v/>
      </c>
      <c r="H213" t="inlineStr">
        <is>
          <t>Blanket (page end)</t>
        </is>
      </c>
      <c r="L213" t="inlineStr">
        <is>
          <t>NO</t>
        </is>
      </c>
    </row>
    <row r="214" ht="15.75" customHeight="1" s="67">
      <c r="A214" t="inlineStr">
        <is>
          <t>BANDAID_OFF_LOSER_RECOVER_PCT</t>
        </is>
      </c>
      <c r="B214" t="inlineStr">
        <is>
          <t>2.0</t>
        </is>
      </c>
      <c r="D214" t="inlineStr">
        <is>
          <t>AUGMENT, ENTRY, EXIT, GLOBAL_CHECK, REDUCE, STOCKS_EXIT</t>
        </is>
      </c>
      <c r="G214">
        <f>IFERROR(VLOOKUP($A218&amp;"_"&amp;$B218,Results_Deltas!$A$2:$P$15000,5,FALSE),"")</f>
        <v/>
      </c>
      <c r="H214" t="inlineStr">
        <is>
          <t>Blanket (page end)</t>
        </is>
      </c>
      <c r="L214" t="inlineStr">
        <is>
          <t>NO</t>
        </is>
      </c>
    </row>
    <row r="215" ht="15.75" customHeight="1" s="67">
      <c r="A215" t="inlineStr">
        <is>
          <t>BANDAID_OFF_LOSER_RECOVER_PCT</t>
        </is>
      </c>
      <c r="B215" t="inlineStr">
        <is>
          <t>1.0</t>
        </is>
      </c>
      <c r="D215" t="inlineStr">
        <is>
          <t>AUGMENT, ENTRY, EXIT, GLOBAL_CHECK, REDUCE, STOCKS_EXIT</t>
        </is>
      </c>
      <c r="G215">
        <f>IFERROR(VLOOKUP($A219&amp;"_"&amp;$B219,Results_Deltas!$A$2:$P$15000,5,FALSE),"")</f>
        <v/>
      </c>
      <c r="H215" t="inlineStr">
        <is>
          <t>Blanket (page end)</t>
        </is>
      </c>
      <c r="L215" t="inlineStr">
        <is>
          <t>NO</t>
        </is>
      </c>
    </row>
    <row r="216" ht="15.75" customHeight="1" s="67">
      <c r="A216" t="inlineStr">
        <is>
          <t>BANDAID_OFF_LOSER_RECOVER_PCT</t>
        </is>
      </c>
      <c r="B216" t="inlineStr">
        <is>
          <t>0.5</t>
        </is>
      </c>
      <c r="D216" t="inlineStr">
        <is>
          <t>AUGMENT, ENTRY, EXIT, GLOBAL_CHECK, REDUCE, STOCKS_EXIT</t>
        </is>
      </c>
      <c r="G216">
        <f>IFERROR(VLOOKUP($A220&amp;"_"&amp;$B220,Results_Deltas!$A$2:$P$15000,5,FALSE),"")</f>
        <v/>
      </c>
      <c r="H216" t="inlineStr">
        <is>
          <t>Blanket (page end)</t>
        </is>
      </c>
      <c r="L216" t="inlineStr">
        <is>
          <t>NO</t>
        </is>
      </c>
    </row>
    <row r="217" ht="15.75" customHeight="1" s="67">
      <c r="A217" t="inlineStr">
        <is>
          <t>BAND_ARROW_ENABLED</t>
        </is>
      </c>
      <c r="B217" t="inlineStr">
        <is>
          <t>False</t>
        </is>
      </c>
      <c r="D217" t="inlineStr">
        <is>
          <t>GLOBAL_CHECK, STOCKS_EXIT</t>
        </is>
      </c>
      <c r="G217">
        <f>IFERROR(VLOOKUP($A221&amp;"_"&amp;$B221,Results_Deltas!$A$2:$P$15000,5,FALSE),"")</f>
        <v/>
      </c>
      <c r="H217" t="inlineStr">
        <is>
          <t>Blanket (page end)</t>
        </is>
      </c>
      <c r="L217" t="inlineStr">
        <is>
          <t>NO</t>
        </is>
      </c>
    </row>
    <row r="218" ht="15.75" customHeight="1" s="67">
      <c r="A218" t="inlineStr">
        <is>
          <t>BAND_ARROW_ENABLED</t>
        </is>
      </c>
      <c r="B218" t="inlineStr">
        <is>
          <t>True</t>
        </is>
      </c>
      <c r="D218" t="inlineStr">
        <is>
          <t>GLOBAL_CHECK, STOCKS_EXIT</t>
        </is>
      </c>
      <c r="G218">
        <f>IFERROR(VLOOKUP($A222&amp;"_"&amp;$B222,Results_Deltas!$A$2:$P$15000,5,FALSE),"")</f>
        <v/>
      </c>
      <c r="H218" t="inlineStr">
        <is>
          <t>Blanket (page end)</t>
        </is>
      </c>
      <c r="L218" t="inlineStr">
        <is>
          <t>NO</t>
        </is>
      </c>
    </row>
    <row r="219" ht="15.75" customHeight="1" s="67">
      <c r="A219" t="inlineStr">
        <is>
          <t>BTC_ACCEL_RAMP_REQUIRE_POSITIVE</t>
        </is>
      </c>
      <c r="B219" t="inlineStr">
        <is>
          <t>0.0</t>
        </is>
      </c>
      <c r="D219" t="inlineStr">
        <is>
          <t>UNIVERSAL (ex-BTC) — ENTRY/EXIT/REENTRY</t>
        </is>
      </c>
      <c r="G219">
        <f>IFERROR(VLOOKUP($A223&amp;"_"&amp;$B223,Results_Deltas!$A$2:$P$15000,5,FALSE),"")</f>
        <v/>
      </c>
      <c r="H219" t="inlineStr">
        <is>
          <t>Blanket (page end)</t>
        </is>
      </c>
      <c r="L219" t="inlineStr">
        <is>
          <t>NO</t>
        </is>
      </c>
    </row>
    <row r="220" ht="15.75" customHeight="1" s="67">
      <c r="A220" t="inlineStr">
        <is>
          <t>BTC_ACCEL_RAMP_REQUIRE_POSITIVE</t>
        </is>
      </c>
      <c r="B220" t="inlineStr">
        <is>
          <t>0.0_ALT</t>
        </is>
      </c>
      <c r="D220" t="inlineStr">
        <is>
          <t>UNIVERSAL (ex-BTC) — ENTRY/EXIT/REENTRY</t>
        </is>
      </c>
      <c r="G220">
        <f>IFERROR(VLOOKUP($A224&amp;"_"&amp;$B224,Results_Deltas!$A$2:$P$15000,5,FALSE),"")</f>
        <v/>
      </c>
      <c r="H220" t="inlineStr">
        <is>
          <t>Blanket (page end)</t>
        </is>
      </c>
      <c r="L220" t="inlineStr">
        <is>
          <t>NO</t>
        </is>
      </c>
    </row>
    <row r="221" ht="15.75" customHeight="1" s="67">
      <c r="A221" t="inlineStr">
        <is>
          <t>BTC_HARD_BLOCK_OTHER_ACCOUNTS</t>
        </is>
      </c>
      <c r="B221" t="inlineStr">
        <is>
          <t>0.0</t>
        </is>
      </c>
      <c r="D221" t="inlineStr">
        <is>
          <t>UNIVERSAL (ex-BTC) — ENTRY/EXIT/REENTRY</t>
        </is>
      </c>
      <c r="G221">
        <f>IFERROR(VLOOKUP($A225&amp;"_"&amp;$B225,Results_Deltas!$A$2:$P$15000,5,FALSE),"")</f>
        <v/>
      </c>
      <c r="H221" t="inlineStr">
        <is>
          <t>Blanket (page end)</t>
        </is>
      </c>
      <c r="L221" t="inlineStr">
        <is>
          <t>YES</t>
        </is>
      </c>
    </row>
    <row r="222" ht="15.75" customHeight="1" s="67">
      <c r="A222" t="inlineStr">
        <is>
          <t>BTC_HARD_BLOCK_OTHER_ACCOUNTS</t>
        </is>
      </c>
      <c r="B222" t="inlineStr">
        <is>
          <t>0.0_ALT</t>
        </is>
      </c>
      <c r="D222" t="inlineStr">
        <is>
          <t>UNIVERSAL (ex-BTC) — ENTRY/EXIT/REENTRY</t>
        </is>
      </c>
      <c r="G222">
        <f>IFERROR(VLOOKUP($A226&amp;"_"&amp;$B226,Results_Deltas!$A$2:$P$15000,5,FALSE),"")</f>
        <v/>
      </c>
      <c r="H222" t="inlineStr">
        <is>
          <t>Blanket (page end)</t>
        </is>
      </c>
      <c r="L222" t="inlineStr">
        <is>
          <t>YES</t>
        </is>
      </c>
    </row>
    <row r="223" ht="15.75" customHeight="1" s="67">
      <c r="A223" t="inlineStr">
        <is>
          <t>BTC_ROUND_BANDS_EACH_SIDE</t>
        </is>
      </c>
      <c r="B223" t="inlineStr">
        <is>
          <t>0.0</t>
        </is>
      </c>
      <c r="D223" t="inlineStr">
        <is>
          <t>UNIVERSAL (ex-BTC) — ENTRY/EXIT/REENTRY</t>
        </is>
      </c>
      <c r="G223">
        <f>IFERROR(VLOOKUP($A227&amp;"_"&amp;$B227,Results_Deltas!$A$2:$P$15000,5,FALSE),"")</f>
        <v/>
      </c>
      <c r="H223" t="inlineStr">
        <is>
          <t>Blanket (page end)</t>
        </is>
      </c>
      <c r="L223" t="inlineStr">
        <is>
          <t>NO</t>
        </is>
      </c>
    </row>
    <row r="224" ht="15.75" customHeight="1" s="67">
      <c r="A224" t="inlineStr">
        <is>
          <t>BTC_ROUND_BANDS_EACH_SIDE</t>
        </is>
      </c>
      <c r="B224" t="inlineStr">
        <is>
          <t>0.0_ALT</t>
        </is>
      </c>
      <c r="D224" t="inlineStr">
        <is>
          <t>UNIVERSAL (ex-BTC) — ENTRY/EXIT/REENTRY</t>
        </is>
      </c>
      <c r="G224">
        <f>IFERROR(VLOOKUP($A228&amp;"_"&amp;$B228,Results_Deltas!$A$2:$P$15000,5,FALSE),"")</f>
        <v/>
      </c>
      <c r="H224" t="inlineStr">
        <is>
          <t>Blanket (page end)</t>
        </is>
      </c>
      <c r="L224" t="inlineStr">
        <is>
          <t>NO</t>
        </is>
      </c>
    </row>
    <row r="225" ht="15.75" customHeight="1" s="67">
      <c r="A225" t="inlineStr">
        <is>
          <t>COOLDOWN_LOCKS_FILTER_TF</t>
        </is>
      </c>
      <c r="B225" t="inlineStr">
        <is>
          <t>OFF</t>
        </is>
      </c>
      <c r="D225" t="inlineStr">
        <is>
          <t>GLOBAL_CHECK</t>
        </is>
      </c>
      <c r="G225">
        <f>IFERROR(VLOOKUP($A229&amp;"_"&amp;$B229,Results_Deltas!$A$2:$P$15000,5,FALSE),"")</f>
        <v/>
      </c>
      <c r="H225" t="inlineStr">
        <is>
          <t>Blanket (page end)</t>
        </is>
      </c>
      <c r="L225" t="inlineStr">
        <is>
          <t>NO</t>
        </is>
      </c>
    </row>
    <row r="226" ht="15.75" customHeight="1" s="67">
      <c r="A226" t="inlineStr">
        <is>
          <t>COOLDOWN_LOCKS_FILTER_TF</t>
        </is>
      </c>
      <c r="B226" t="inlineStr">
        <is>
          <t>D</t>
        </is>
      </c>
      <c r="D226" t="inlineStr">
        <is>
          <t>GLOBAL_CHECK</t>
        </is>
      </c>
      <c r="G226">
        <f>IFERROR(VLOOKUP($A230&amp;"_"&amp;$B230,Results_Deltas!$A$2:$P$15000,5,FALSE),"")</f>
        <v/>
      </c>
      <c r="H226" t="inlineStr">
        <is>
          <t>Blanket (page end)</t>
        </is>
      </c>
      <c r="L226" t="inlineStr">
        <is>
          <t>NO</t>
        </is>
      </c>
    </row>
    <row r="227" ht="15.75" customHeight="1" s="67">
      <c r="A227" t="inlineStr">
        <is>
          <t>COOLDOWN_LOCKS_FILTER_TF</t>
        </is>
      </c>
      <c r="B227" t="inlineStr">
        <is>
          <t>4h</t>
        </is>
      </c>
      <c r="D227" t="inlineStr">
        <is>
          <t>GLOBAL_CHECK</t>
        </is>
      </c>
      <c r="G227">
        <f>IFERROR(VLOOKUP($A231&amp;"_"&amp;$B231,Results_Deltas!$A$2:$P$15000,5,FALSE),"")</f>
        <v/>
      </c>
      <c r="H227" t="inlineStr">
        <is>
          <t>Blanket (page end)</t>
        </is>
      </c>
      <c r="L227" t="inlineStr">
        <is>
          <t>YES</t>
        </is>
      </c>
    </row>
    <row r="228" ht="15.75" customHeight="1" s="67">
      <c r="A228" t="inlineStr">
        <is>
          <t>COOLDOWN_LOCKS_FILTER_TF</t>
        </is>
      </c>
      <c r="B228" t="inlineStr">
        <is>
          <t>1h</t>
        </is>
      </c>
      <c r="D228" t="inlineStr">
        <is>
          <t>GLOBAL_CHECK</t>
        </is>
      </c>
      <c r="G228">
        <f>IFERROR(VLOOKUP($A232&amp;"_"&amp;$B232,Results_Deltas!$A$2:$P$15000,5,FALSE),"")</f>
        <v/>
      </c>
      <c r="H228" t="inlineStr">
        <is>
          <t>Blanket (page end)</t>
        </is>
      </c>
      <c r="L228" t="inlineStr">
        <is>
          <t>NO</t>
        </is>
      </c>
    </row>
    <row r="229" ht="15.75" customHeight="1" s="67">
      <c r="A229" t="inlineStr">
        <is>
          <t>COOLDOWN_LOCKS_FILTER_TF</t>
        </is>
      </c>
      <c r="B229" t="inlineStr">
        <is>
          <t>15m</t>
        </is>
      </c>
      <c r="D229" t="inlineStr">
        <is>
          <t>GLOBAL_CHECK</t>
        </is>
      </c>
      <c r="G229">
        <f>IFERROR(VLOOKUP($A233&amp;"_"&amp;$B233,Results_Deltas!$A$2:$P$15000,5,FALSE),"")</f>
        <v/>
      </c>
      <c r="H229" t="inlineStr">
        <is>
          <t>Blanket (page end)</t>
        </is>
      </c>
      <c r="L229" t="inlineStr">
        <is>
          <t>NO</t>
        </is>
      </c>
    </row>
    <row r="230" ht="15.75" customHeight="1" s="67">
      <c r="A230" t="inlineStr">
        <is>
          <t>CRYPTO_SPIKE_FADE_THRESHOLD_PCT</t>
        </is>
      </c>
      <c r="B230" t="n">
        <v>0</v>
      </c>
      <c r="D230" t="inlineStr">
        <is>
          <t>GLOBAL_CHECK, STOCKS_EXIT</t>
        </is>
      </c>
      <c r="G230">
        <f>IFERROR(VLOOKUP($A234&amp;"_"&amp;$B234,Results_Deltas!$A$2:$P$15000,5,FALSE),"")</f>
        <v/>
      </c>
      <c r="H230" t="inlineStr">
        <is>
          <t>Blanket (page end)</t>
        </is>
      </c>
      <c r="L230" t="inlineStr">
        <is>
          <t>NO</t>
        </is>
      </c>
    </row>
    <row r="231" ht="15.75" customHeight="1" s="67">
      <c r="A231" t="inlineStr">
        <is>
          <t>CRYPTO_SPIKE_FADE_THRESHOLD_PCT</t>
        </is>
      </c>
      <c r="B231" t="inlineStr">
        <is>
          <t>12.5</t>
        </is>
      </c>
      <c r="D231" t="inlineStr">
        <is>
          <t>GLOBAL_CHECK, STOCKS_EXIT</t>
        </is>
      </c>
      <c r="G231">
        <f>IFERROR(VLOOKUP($A235&amp;"_"&amp;$B235,Results_Deltas!$A$2:$P$15000,5,FALSE),"")</f>
        <v/>
      </c>
      <c r="H231" t="inlineStr">
        <is>
          <t>Blanket (page end)</t>
        </is>
      </c>
      <c r="L231" t="inlineStr">
        <is>
          <t>NO</t>
        </is>
      </c>
    </row>
    <row r="232" ht="15.75" customHeight="1" s="67">
      <c r="A232" t="inlineStr">
        <is>
          <t>CRYPTO_SPIKE_FADE_THRESHOLD_PCT</t>
        </is>
      </c>
      <c r="B232" t="inlineStr">
        <is>
          <t>7.5</t>
        </is>
      </c>
      <c r="D232" t="inlineStr">
        <is>
          <t>GLOBAL_CHECK, STOCKS_EXIT</t>
        </is>
      </c>
      <c r="G232">
        <f>IFERROR(VLOOKUP($A236&amp;"_"&amp;$B236,Results_Deltas!$A$2:$P$15000,5,FALSE),"")</f>
        <v/>
      </c>
      <c r="H232" t="inlineStr">
        <is>
          <t>Blanket (page end)</t>
        </is>
      </c>
      <c r="L232" t="inlineStr">
        <is>
          <t>NO</t>
        </is>
      </c>
    </row>
    <row r="233" ht="15.75" customHeight="1" s="67">
      <c r="A233" t="inlineStr">
        <is>
          <t>CRYPTO_SPIKE_FADE_THRESHOLD_PCT</t>
        </is>
      </c>
      <c r="B233" t="inlineStr">
        <is>
          <t>5</t>
        </is>
      </c>
      <c r="D233" t="inlineStr">
        <is>
          <t>GLOBAL_CHECK, STOCKS_EXIT</t>
        </is>
      </c>
      <c r="G233">
        <f>IFERROR(VLOOKUP($A237&amp;"_"&amp;$B237,Results_Deltas!$A$2:$P$15000,5,FALSE),"")</f>
        <v/>
      </c>
      <c r="H233" t="inlineStr">
        <is>
          <t>Blanket (page end)</t>
        </is>
      </c>
      <c r="L233" t="inlineStr">
        <is>
          <t>YES</t>
        </is>
      </c>
    </row>
    <row r="234" ht="15.75" customHeight="1" s="67">
      <c r="A234" t="inlineStr">
        <is>
          <t>DC_MOMENT_STRONG_THRESHOLD</t>
        </is>
      </c>
      <c r="B234" t="n">
        <v>0</v>
      </c>
      <c r="D234" t="inlineStr">
        <is>
          <t>ENTRY, GLOBAL_CHECK, STOCKS_EXIT</t>
        </is>
      </c>
      <c r="G234">
        <f>IFERROR(VLOOKUP($A238&amp;"_"&amp;$B238,Results_Deltas!$A$2:$P$15000,5,FALSE),"")</f>
        <v/>
      </c>
      <c r="H234" t="inlineStr">
        <is>
          <t>Blanket (page end)</t>
        </is>
      </c>
      <c r="L234" t="inlineStr">
        <is>
          <t>NO</t>
        </is>
      </c>
    </row>
    <row r="235" ht="15.75" customHeight="1" s="67">
      <c r="A235" t="inlineStr">
        <is>
          <t>DC_MOMENT_STRONG_THRESHOLD</t>
        </is>
      </c>
      <c r="B235" t="inlineStr">
        <is>
          <t>50</t>
        </is>
      </c>
      <c r="D235" t="inlineStr">
        <is>
          <t>ENTRY, GLOBAL_CHECK, STOCKS_EXIT</t>
        </is>
      </c>
      <c r="G235">
        <f>IFERROR(VLOOKUP($A239&amp;"_"&amp;$B239,Results_Deltas!$A$2:$P$15000,5,FALSE),"")</f>
        <v/>
      </c>
      <c r="H235" t="inlineStr">
        <is>
          <t>Blanket (page end)</t>
        </is>
      </c>
      <c r="L235" t="inlineStr">
        <is>
          <t>NO</t>
        </is>
      </c>
    </row>
    <row r="236" ht="15.75" customHeight="1" s="67">
      <c r="A236" t="inlineStr">
        <is>
          <t>DC_MOMENT_STRONG_THRESHOLD</t>
        </is>
      </c>
      <c r="B236" t="inlineStr">
        <is>
          <t>30</t>
        </is>
      </c>
      <c r="D236" t="inlineStr">
        <is>
          <t>ENTRY, GLOBAL_CHECK, STOCKS_EXIT</t>
        </is>
      </c>
      <c r="G236">
        <f>IFERROR(VLOOKUP($A240&amp;"_"&amp;$B240,Results_Deltas!$A$2:$P$15000,5,FALSE),"")</f>
        <v/>
      </c>
      <c r="H236" t="inlineStr">
        <is>
          <t>Blanket (page end)</t>
        </is>
      </c>
      <c r="L236" t="inlineStr">
        <is>
          <t>NO</t>
        </is>
      </c>
    </row>
    <row r="237" ht="15.75" customHeight="1" s="67">
      <c r="A237" t="inlineStr">
        <is>
          <t>DC_MOMENT_STRONG_THRESHOLD</t>
        </is>
      </c>
      <c r="B237" t="inlineStr">
        <is>
          <t>20</t>
        </is>
      </c>
      <c r="D237" t="inlineStr">
        <is>
          <t>ENTRY, GLOBAL_CHECK, STOCKS_EXIT</t>
        </is>
      </c>
      <c r="G237">
        <f>IFERROR(VLOOKUP($A241&amp;"_"&amp;$B241,Results_Deltas!$A$2:$P$15000,5,FALSE),"")</f>
        <v/>
      </c>
      <c r="H237" t="inlineStr">
        <is>
          <t>Blanket (page end)</t>
        </is>
      </c>
      <c r="L237" t="inlineStr">
        <is>
          <t>NO</t>
        </is>
      </c>
    </row>
    <row r="238" ht="15.75" customHeight="1" s="67">
      <c r="A238" t="inlineStr">
        <is>
          <t>DELTA_HTF_GATE</t>
        </is>
      </c>
      <c r="B238" t="inlineStr">
        <is>
          <t>4h</t>
        </is>
      </c>
      <c r="D238" t="inlineStr">
        <is>
          <t>ENTRY, GLOBAL_CHECK, STOCKS_EXIT</t>
        </is>
      </c>
      <c r="G238">
        <f>IFERROR(VLOOKUP($A242&amp;"_"&amp;$B242,Results_Deltas!$A$2:$P$15000,5,FALSE),"")</f>
        <v/>
      </c>
      <c r="H238" t="inlineStr">
        <is>
          <t>Blanket (page end)</t>
        </is>
      </c>
      <c r="L238" t="inlineStr">
        <is>
          <t>YES</t>
        </is>
      </c>
    </row>
    <row r="239" ht="15.75" customHeight="1" s="67">
      <c r="A239" t="inlineStr">
        <is>
          <t>DELTA_HTF_GATE</t>
        </is>
      </c>
      <c r="B239" t="inlineStr">
        <is>
          <t>4h_ALT</t>
        </is>
      </c>
      <c r="D239" t="inlineStr">
        <is>
          <t>ENTRY, GLOBAL_CHECK, STOCKS_EXIT</t>
        </is>
      </c>
      <c r="G239">
        <f>IFERROR(VLOOKUP($A243&amp;"_"&amp;$B243,Results_Deltas!$A$2:$P$15000,5,FALSE),"")</f>
        <v/>
      </c>
      <c r="H239" t="inlineStr">
        <is>
          <t>Blanket (page end)</t>
        </is>
      </c>
      <c r="L239" t="inlineStr">
        <is>
          <t>NO</t>
        </is>
      </c>
    </row>
    <row r="240" ht="15.75" customHeight="1" s="67">
      <c r="A240" t="inlineStr">
        <is>
          <t>DELTA_REENTRY_FILTER_ENABLED</t>
        </is>
      </c>
      <c r="B240" t="inlineStr">
        <is>
          <t>False</t>
        </is>
      </c>
      <c r="D240" t="inlineStr">
        <is>
          <t>ENTRY, GLOBAL_CHECK, STOCKS_EXIT</t>
        </is>
      </c>
      <c r="G240">
        <f>IFERROR(VLOOKUP($A244&amp;"_"&amp;$B244,Results_Deltas!$A$2:$P$15000,5,FALSE),"")</f>
        <v/>
      </c>
      <c r="H240" t="inlineStr">
        <is>
          <t>Blanket (page end)</t>
        </is>
      </c>
      <c r="L240" t="inlineStr">
        <is>
          <t>NO</t>
        </is>
      </c>
    </row>
    <row r="241" ht="15.75" customHeight="1" s="67">
      <c r="A241" t="inlineStr">
        <is>
          <t>DELTA_REENTRY_FILTER_ENABLED</t>
        </is>
      </c>
      <c r="B241" t="inlineStr">
        <is>
          <t>True</t>
        </is>
      </c>
      <c r="D241" t="inlineStr">
        <is>
          <t>ENTRY, GLOBAL_CHECK, STOCKS_EXIT</t>
        </is>
      </c>
      <c r="G241">
        <f>IFERROR(VLOOKUP($A245&amp;"_"&amp;$B245,Results_Deltas!$A$2:$P$15000,5,FALSE),"")</f>
        <v/>
      </c>
      <c r="H241" t="inlineStr">
        <is>
          <t>Blanket (page end)</t>
        </is>
      </c>
      <c r="L241" t="inlineStr">
        <is>
          <t>NO</t>
        </is>
      </c>
    </row>
    <row r="242" ht="15.75" customHeight="1" s="67">
      <c r="A242" t="inlineStr">
        <is>
          <t>DUP_GUARD_FILTER_TF</t>
        </is>
      </c>
      <c r="B242" t="inlineStr">
        <is>
          <t>OFF</t>
        </is>
      </c>
      <c r="D242" t="inlineStr">
        <is>
          <t>GLOBAL_CHECK</t>
        </is>
      </c>
      <c r="G242">
        <f>IFERROR(VLOOKUP($A246&amp;"_"&amp;$B246,Results_Deltas!$A$2:$P$15000,5,FALSE),"")</f>
        <v/>
      </c>
      <c r="H242" t="inlineStr">
        <is>
          <t>Blanket (page end)</t>
        </is>
      </c>
      <c r="L242" t="inlineStr">
        <is>
          <t>NO</t>
        </is>
      </c>
    </row>
    <row r="243" ht="15.75" customHeight="1" s="67">
      <c r="A243" t="inlineStr">
        <is>
          <t>DUP_GUARD_FILTER_TF</t>
        </is>
      </c>
      <c r="B243" t="inlineStr">
        <is>
          <t>D</t>
        </is>
      </c>
      <c r="D243" t="inlineStr">
        <is>
          <t>GLOBAL_CHECK</t>
        </is>
      </c>
      <c r="G243">
        <f>IFERROR(VLOOKUP($A247&amp;"_"&amp;$B247,Results_Deltas!$A$2:$P$15000,5,FALSE),"")</f>
        <v/>
      </c>
      <c r="H243" t="inlineStr">
        <is>
          <t>Blanket (page end)</t>
        </is>
      </c>
      <c r="L243" t="inlineStr">
        <is>
          <t>NO</t>
        </is>
      </c>
    </row>
    <row r="244" ht="15.75" customHeight="1" s="67">
      <c r="A244" t="inlineStr">
        <is>
          <t>DUP_GUARD_FILTER_TF</t>
        </is>
      </c>
      <c r="B244" t="inlineStr">
        <is>
          <t>4h</t>
        </is>
      </c>
      <c r="D244" t="inlineStr">
        <is>
          <t>GLOBAL_CHECK</t>
        </is>
      </c>
      <c r="G244">
        <f>IFERROR(VLOOKUP($A248&amp;"_"&amp;$B248,Results_Deltas!$A$2:$P$15000,5,FALSE),"")</f>
        <v/>
      </c>
      <c r="H244" t="inlineStr">
        <is>
          <t>Blanket (page end)</t>
        </is>
      </c>
      <c r="L244" t="inlineStr">
        <is>
          <t>NO</t>
        </is>
      </c>
    </row>
    <row r="245" ht="15.75" customHeight="1" s="67">
      <c r="A245" t="inlineStr">
        <is>
          <t>DUP_GUARD_FILTER_TF</t>
        </is>
      </c>
      <c r="B245" t="inlineStr">
        <is>
          <t>1h</t>
        </is>
      </c>
      <c r="D245" t="inlineStr">
        <is>
          <t>GLOBAL_CHECK</t>
        </is>
      </c>
      <c r="G245">
        <f>IFERROR(VLOOKUP($A249&amp;"_"&amp;$B249,Results_Deltas!$A$2:$P$15000,5,FALSE),"")</f>
        <v/>
      </c>
      <c r="H245" t="inlineStr">
        <is>
          <t>Blanket (page end)</t>
        </is>
      </c>
      <c r="L245" t="inlineStr">
        <is>
          <t>NO</t>
        </is>
      </c>
    </row>
    <row r="246" ht="15.75" customHeight="1" s="67">
      <c r="A246" t="inlineStr">
        <is>
          <t>DUP_GUARD_FILTER_TF</t>
        </is>
      </c>
      <c r="B246" t="inlineStr">
        <is>
          <t>15m</t>
        </is>
      </c>
      <c r="D246" t="inlineStr">
        <is>
          <t>GLOBAL_CHECK</t>
        </is>
      </c>
      <c r="G246">
        <f>IFERROR(VLOOKUP($A250&amp;"_"&amp;$B250,Results_Deltas!$A$2:$P$15000,5,FALSE),"")</f>
        <v/>
      </c>
      <c r="H246" t="inlineStr">
        <is>
          <t>Blanket (page end)</t>
        </is>
      </c>
      <c r="L246" t="inlineStr">
        <is>
          <t>NO</t>
        </is>
      </c>
    </row>
    <row r="247" ht="15.75" customHeight="1" s="67">
      <c r="A247" t="inlineStr">
        <is>
          <t>EMA_9_21_FILTER_MIN_TFS</t>
        </is>
      </c>
      <c r="B247" t="inlineStr">
        <is>
          <t>0</t>
        </is>
      </c>
      <c r="D247" t="inlineStr">
        <is>
          <t>GLOBAL_CHECK</t>
        </is>
      </c>
      <c r="G247">
        <f>IFERROR(VLOOKUP($A251&amp;"_"&amp;$B251,Results_Deltas!$A$2:$P$15000,5,FALSE),"")</f>
        <v/>
      </c>
      <c r="H247" t="inlineStr">
        <is>
          <t>Blanket (page end)</t>
        </is>
      </c>
      <c r="L247" t="inlineStr">
        <is>
          <t>NO</t>
        </is>
      </c>
    </row>
    <row r="248" ht="15.75" customHeight="1" s="67">
      <c r="A248" t="inlineStr">
        <is>
          <t>EMA_9_21_FILTER_MIN_TFS</t>
        </is>
      </c>
      <c r="B248" t="inlineStr">
        <is>
          <t>2</t>
        </is>
      </c>
      <c r="D248" t="inlineStr">
        <is>
          <t>GLOBAL_CHECK</t>
        </is>
      </c>
      <c r="G248">
        <f>IFERROR(VLOOKUP($A252&amp;"_"&amp;$B252,Results_Deltas!$A$2:$P$15000,5,FALSE),"")</f>
        <v/>
      </c>
      <c r="H248" t="inlineStr">
        <is>
          <t>Blanket (page end)</t>
        </is>
      </c>
      <c r="L248" t="inlineStr">
        <is>
          <t>YES</t>
        </is>
      </c>
    </row>
    <row r="249" ht="15.75" customHeight="1" s="67">
      <c r="A249" t="inlineStr">
        <is>
          <t>EMA_9_21_FILTER_MIN_TFS</t>
        </is>
      </c>
      <c r="B249" t="inlineStr">
        <is>
          <t>1</t>
        </is>
      </c>
      <c r="D249" t="inlineStr">
        <is>
          <t>GLOBAL_CHECK</t>
        </is>
      </c>
      <c r="G249">
        <f>IFERROR(VLOOKUP($A253&amp;"_"&amp;$B253,Results_Deltas!$A$2:$P$15000,5,FALSE),"")</f>
        <v/>
      </c>
      <c r="H249" t="inlineStr">
        <is>
          <t>Blanket (page end)</t>
        </is>
      </c>
      <c r="L249" t="inlineStr">
        <is>
          <t>NO</t>
        </is>
      </c>
    </row>
    <row r="250" ht="15.75" customHeight="1" s="67">
      <c r="A250" t="inlineStr">
        <is>
          <t>EMA_BLANKET_FILTER_ENABLED</t>
        </is>
      </c>
      <c r="B250" t="inlineStr">
        <is>
          <t>False</t>
        </is>
      </c>
      <c r="D250" t="inlineStr">
        <is>
          <t>GLOBAL_CHECK</t>
        </is>
      </c>
      <c r="G250">
        <f>IFERROR(VLOOKUP($A254&amp;"_"&amp;$B254,Results_Deltas!$A$2:$P$15000,5,FALSE),"")</f>
        <v/>
      </c>
      <c r="H250" t="inlineStr">
        <is>
          <t>Blanket (page end)</t>
        </is>
      </c>
      <c r="L250" t="inlineStr">
        <is>
          <t>NO</t>
        </is>
      </c>
    </row>
    <row r="251" ht="15.75" customHeight="1" s="67">
      <c r="A251" t="inlineStr">
        <is>
          <t>EMA_BLANKET_FILTER_ENABLED</t>
        </is>
      </c>
      <c r="B251" t="inlineStr">
        <is>
          <t>True</t>
        </is>
      </c>
      <c r="D251" t="inlineStr">
        <is>
          <t>GLOBAL_CHECK</t>
        </is>
      </c>
      <c r="G251">
        <f>IFERROR(VLOOKUP($A255&amp;"_"&amp;$B255,Results_Deltas!$A$2:$P$15000,5,FALSE),"")</f>
        <v/>
      </c>
      <c r="H251" t="inlineStr">
        <is>
          <t>Blanket (page end)</t>
        </is>
      </c>
      <c r="L251" t="inlineStr">
        <is>
          <t>NO</t>
        </is>
      </c>
    </row>
    <row r="252" ht="15.75" customHeight="1" s="67">
      <c r="A252" t="inlineStr">
        <is>
          <t>EMA_BLANKET_FILTER_MIN_TFS</t>
        </is>
      </c>
      <c r="B252" t="inlineStr">
        <is>
          <t>0</t>
        </is>
      </c>
      <c r="D252" t="inlineStr">
        <is>
          <t>GLOBAL_CHECK</t>
        </is>
      </c>
      <c r="G252">
        <f>IFERROR(VLOOKUP($A256&amp;"_"&amp;$B256,Results_Deltas!$A$2:$P$15000,5,FALSE),"")</f>
        <v/>
      </c>
      <c r="H252" t="inlineStr">
        <is>
          <t>Blanket (page end)</t>
        </is>
      </c>
      <c r="L252" t="inlineStr">
        <is>
          <t>YES</t>
        </is>
      </c>
    </row>
    <row r="253" ht="15.75" customHeight="1" s="67">
      <c r="A253" t="inlineStr">
        <is>
          <t>EMA_BLANKET_FILTER_MIN_TFS</t>
        </is>
      </c>
      <c r="B253" t="inlineStr">
        <is>
          <t>2</t>
        </is>
      </c>
      <c r="D253" t="inlineStr">
        <is>
          <t>GLOBAL_CHECK</t>
        </is>
      </c>
      <c r="G253">
        <f>IFERROR(VLOOKUP($A257&amp;"_"&amp;$B257,Results_Deltas!$A$2:$P$15000,5,FALSE),"")</f>
        <v/>
      </c>
      <c r="H253" t="inlineStr">
        <is>
          <t>Blanket (page end)</t>
        </is>
      </c>
      <c r="L253" t="inlineStr">
        <is>
          <t>NO</t>
        </is>
      </c>
    </row>
    <row r="254" ht="15.75" customHeight="1" s="67">
      <c r="A254" t="inlineStr">
        <is>
          <t>EMA_BLANKET_FILTER_MIN_TFS</t>
        </is>
      </c>
      <c r="B254" t="inlineStr">
        <is>
          <t>1</t>
        </is>
      </c>
      <c r="D254" t="inlineStr">
        <is>
          <t>GLOBAL_CHECK</t>
        </is>
      </c>
      <c r="G254">
        <f>IFERROR(VLOOKUP($A258&amp;"_"&amp;$B258,Results_Deltas!$A$2:$P$15000,5,FALSE),"")</f>
        <v/>
      </c>
      <c r="H254" t="inlineStr">
        <is>
          <t>Blanket (page end)</t>
        </is>
      </c>
      <c r="L254" t="inlineStr">
        <is>
          <t>NO</t>
        </is>
      </c>
    </row>
    <row r="255" ht="15.75" customHeight="1" s="67">
      <c r="A255" t="inlineStr">
        <is>
          <t>EXECUTE_NOW_SINGLE_GATE_ENFORCE</t>
        </is>
      </c>
      <c r="B255" t="inlineStr">
        <is>
          <t>0.0</t>
        </is>
      </c>
      <c r="D255" t="inlineStr">
        <is>
          <t>ENTRY, GLOBAL_CHECK, STOCKS_EXIT</t>
        </is>
      </c>
      <c r="G255">
        <f>IFERROR(VLOOKUP($A259&amp;"_"&amp;$B259,Results_Deltas!$A$2:$P$15000,5,FALSE),"")</f>
        <v/>
      </c>
      <c r="H255" t="inlineStr">
        <is>
          <t>Blanket (page end)</t>
        </is>
      </c>
      <c r="L255" t="inlineStr">
        <is>
          <t>NO</t>
        </is>
      </c>
    </row>
    <row r="256" ht="15.75" customHeight="1" s="67">
      <c r="A256" t="inlineStr">
        <is>
          <t>EXECUTE_NOW_SINGLE_GATE_ENFORCE</t>
        </is>
      </c>
      <c r="B256" t="inlineStr">
        <is>
          <t>0.0_ALT</t>
        </is>
      </c>
      <c r="D256" t="inlineStr">
        <is>
          <t>ENTRY, GLOBAL_CHECK, STOCKS_EXIT</t>
        </is>
      </c>
      <c r="G256">
        <f>IFERROR(VLOOKUP($A260&amp;"_"&amp;$B260,Results_Deltas!$A$2:$P$15000,5,FALSE),"")</f>
        <v/>
      </c>
      <c r="H256" t="inlineStr">
        <is>
          <t>Blanket (page end)</t>
        </is>
      </c>
      <c r="L256" t="inlineStr">
        <is>
          <t>NO</t>
        </is>
      </c>
    </row>
    <row r="257" ht="15.75" customHeight="1" s="67">
      <c r="A257" t="inlineStr">
        <is>
          <t>EZ_MANAGE_THROTTLER_RATE</t>
        </is>
      </c>
      <c r="B257" t="inlineStr">
        <is>
          <t>0.0</t>
        </is>
      </c>
      <c r="D257" t="inlineStr">
        <is>
          <t>GLOBAL_CHECK, STOCKS_EXIT</t>
        </is>
      </c>
      <c r="G257">
        <f>IFERROR(VLOOKUP($A261&amp;"_"&amp;$B261,Results_Deltas!$A$2:$P$15000,5,FALSE),"")</f>
        <v/>
      </c>
      <c r="H257" t="inlineStr">
        <is>
          <t>Blanket (page end)</t>
        </is>
      </c>
      <c r="L257" t="inlineStr">
        <is>
          <t>NO</t>
        </is>
      </c>
    </row>
    <row r="258" ht="15.75" customHeight="1" s="67">
      <c r="A258" t="inlineStr">
        <is>
          <t>EZ_MANAGE_THROTTLER_RATE</t>
        </is>
      </c>
      <c r="B258" t="inlineStr">
        <is>
          <t>0.0_ALT</t>
        </is>
      </c>
      <c r="D258" t="inlineStr">
        <is>
          <t>GLOBAL_CHECK, STOCKS_EXIT</t>
        </is>
      </c>
      <c r="G258">
        <f>IFERROR(VLOOKUP($A262&amp;"_"&amp;$B262,Results_Deltas!$A$2:$P$15000,5,FALSE),"")</f>
        <v/>
      </c>
      <c r="H258" t="inlineStr">
        <is>
          <t>Blanket (page end)</t>
        </is>
      </c>
      <c r="L258" t="inlineStr">
        <is>
          <t>NO</t>
        </is>
      </c>
    </row>
    <row r="259" ht="15.75" customHeight="1" s="67">
      <c r="A259" t="inlineStr">
        <is>
          <t>FG_FEAR_THRESHOLD</t>
        </is>
      </c>
      <c r="B259" t="n">
        <v>0</v>
      </c>
      <c r="D259" t="inlineStr">
        <is>
          <t>GLOBAL_CHECK, STOCKS_EXIT</t>
        </is>
      </c>
      <c r="G259">
        <f>IFERROR(VLOOKUP($A263&amp;"_"&amp;$B263,Results_Deltas!$A$2:$P$15000,5,FALSE),"")</f>
        <v/>
      </c>
      <c r="H259" t="inlineStr">
        <is>
          <t>Blanket (page end)</t>
        </is>
      </c>
      <c r="L259" t="inlineStr">
        <is>
          <t>NO</t>
        </is>
      </c>
    </row>
    <row r="260" ht="15.75" customHeight="1" s="67">
      <c r="A260" t="inlineStr">
        <is>
          <t>FG_FEAR_THRESHOLD</t>
        </is>
      </c>
      <c r="B260" t="inlineStr">
        <is>
          <t>31.25</t>
        </is>
      </c>
      <c r="D260" t="inlineStr">
        <is>
          <t>GLOBAL_CHECK, STOCKS_EXIT</t>
        </is>
      </c>
      <c r="G260">
        <f>IFERROR(VLOOKUP($A264&amp;"_"&amp;$B264,Results_Deltas!$A$2:$P$15000,5,FALSE),"")</f>
        <v/>
      </c>
      <c r="H260" t="inlineStr">
        <is>
          <t>Blanket (page end)</t>
        </is>
      </c>
      <c r="L260" t="inlineStr">
        <is>
          <t>YES</t>
        </is>
      </c>
    </row>
    <row r="261" ht="15.75" customHeight="1" s="67">
      <c r="A261" t="inlineStr">
        <is>
          <t>FG_FEAR_THRESHOLD</t>
        </is>
      </c>
      <c r="B261" t="inlineStr">
        <is>
          <t>18.75</t>
        </is>
      </c>
      <c r="D261" t="inlineStr">
        <is>
          <t>GLOBAL_CHECK, STOCKS_EXIT</t>
        </is>
      </c>
      <c r="G261">
        <f>IFERROR(VLOOKUP($A265&amp;"_"&amp;$B265,Results_Deltas!$A$2:$P$15000,5,FALSE),"")</f>
        <v/>
      </c>
      <c r="H261" t="inlineStr">
        <is>
          <t>Blanket (page end)</t>
        </is>
      </c>
      <c r="L261" t="inlineStr">
        <is>
          <t>NO</t>
        </is>
      </c>
    </row>
    <row r="262" ht="15.75" customHeight="1" s="67">
      <c r="A262" t="inlineStr">
        <is>
          <t>FG_FEAR_THRESHOLD</t>
        </is>
      </c>
      <c r="B262" t="inlineStr">
        <is>
          <t>12.5</t>
        </is>
      </c>
      <c r="D262" t="inlineStr">
        <is>
          <t>GLOBAL_CHECK, STOCKS_EXIT</t>
        </is>
      </c>
      <c r="G262">
        <f>IFERROR(VLOOKUP($A266&amp;"_"&amp;$B266,Results_Deltas!$A$2:$P$15000,5,FALSE),"")</f>
        <v/>
      </c>
      <c r="H262" t="inlineStr">
        <is>
          <t>Blanket (page end)</t>
        </is>
      </c>
      <c r="L262" t="inlineStr">
        <is>
          <t>NO</t>
        </is>
      </c>
    </row>
    <row r="263" ht="15.75" customHeight="1" s="67">
      <c r="A263" t="inlineStr">
        <is>
          <t>FG_GREED_THRESHOLD</t>
        </is>
      </c>
      <c r="B263" t="n">
        <v>0</v>
      </c>
      <c r="D263" t="inlineStr">
        <is>
          <t>GLOBAL_CHECK, STOCKS_EXIT</t>
        </is>
      </c>
      <c r="G263">
        <f>IFERROR(VLOOKUP($A267&amp;"_"&amp;$B267,Results_Deltas!$A$2:$P$15000,5,FALSE),"")</f>
        <v/>
      </c>
      <c r="H263" t="inlineStr">
        <is>
          <t>Blanket (page end)</t>
        </is>
      </c>
      <c r="L263" t="inlineStr">
        <is>
          <t>NO</t>
        </is>
      </c>
    </row>
    <row r="264" ht="15.75" customHeight="1" s="67">
      <c r="A264" t="inlineStr">
        <is>
          <t>FG_GREED_THRESHOLD</t>
        </is>
      </c>
      <c r="B264" t="inlineStr">
        <is>
          <t>93.75</t>
        </is>
      </c>
      <c r="D264" t="inlineStr">
        <is>
          <t>GLOBAL_CHECK, STOCKS_EXIT</t>
        </is>
      </c>
      <c r="G264">
        <f>IFERROR(VLOOKUP($A268&amp;"_"&amp;$B268,Results_Deltas!$A$2:$P$15000,5,FALSE),"")</f>
        <v/>
      </c>
      <c r="H264" t="inlineStr">
        <is>
          <t>Blanket (page end)</t>
        </is>
      </c>
      <c r="L264" t="inlineStr">
        <is>
          <t>NO</t>
        </is>
      </c>
    </row>
    <row r="265" ht="15.75" customHeight="1" s="67">
      <c r="A265" t="inlineStr">
        <is>
          <t>FG_GREED_THRESHOLD</t>
        </is>
      </c>
      <c r="B265" t="inlineStr">
        <is>
          <t>56.25</t>
        </is>
      </c>
      <c r="D265" t="inlineStr">
        <is>
          <t>GLOBAL_CHECK, STOCKS_EXIT</t>
        </is>
      </c>
      <c r="G265">
        <f>IFERROR(VLOOKUP($A269&amp;"_"&amp;$B269,Results_Deltas!$A$2:$P$15000,5,FALSE),"")</f>
        <v/>
      </c>
      <c r="H265" t="inlineStr">
        <is>
          <t>Blanket (page end)</t>
        </is>
      </c>
      <c r="L265" t="inlineStr">
        <is>
          <t>NO</t>
        </is>
      </c>
    </row>
    <row r="266" ht="15.75" customHeight="1" s="67">
      <c r="A266" t="inlineStr">
        <is>
          <t>FG_GREED_THRESHOLD</t>
        </is>
      </c>
      <c r="B266" t="inlineStr">
        <is>
          <t>37.5</t>
        </is>
      </c>
      <c r="D266" t="inlineStr">
        <is>
          <t>GLOBAL_CHECK, STOCKS_EXIT</t>
        </is>
      </c>
      <c r="G266">
        <f>IFERROR(VLOOKUP($A270&amp;"_"&amp;$B270,Results_Deltas!$A$2:$P$15000,5,FALSE),"")</f>
        <v/>
      </c>
      <c r="H266" t="inlineStr">
        <is>
          <t>Blanket (page end)</t>
        </is>
      </c>
      <c r="L266" t="inlineStr">
        <is>
          <t>NO</t>
        </is>
      </c>
    </row>
    <row r="267" ht="15.75" customHeight="1" s="67">
      <c r="A267" t="inlineStr">
        <is>
          <t>FUNDING_GATE_FILTER_TF</t>
        </is>
      </c>
      <c r="B267" t="inlineStr">
        <is>
          <t>OFF</t>
        </is>
      </c>
      <c r="D267" t="inlineStr">
        <is>
          <t>GLOBAL_CHECK</t>
        </is>
      </c>
      <c r="G267">
        <f>IFERROR(VLOOKUP($A271&amp;"_"&amp;$B271,Results_Deltas!$A$2:$P$15000,5,FALSE),"")</f>
        <v/>
      </c>
      <c r="H267" t="inlineStr">
        <is>
          <t>Blanket (page end)</t>
        </is>
      </c>
      <c r="L267" t="inlineStr">
        <is>
          <t>NO</t>
        </is>
      </c>
    </row>
    <row r="268" ht="15.75" customHeight="1" s="67">
      <c r="A268" t="inlineStr">
        <is>
          <t>FUNDING_GATE_FILTER_TF</t>
        </is>
      </c>
      <c r="B268" t="inlineStr">
        <is>
          <t>D</t>
        </is>
      </c>
      <c r="D268" t="inlineStr">
        <is>
          <t>GLOBAL_CHECK</t>
        </is>
      </c>
      <c r="G268">
        <f>IFERROR(VLOOKUP($A272&amp;"_"&amp;$B272,Results_Deltas!$A$2:$P$15000,5,FALSE),"")</f>
        <v/>
      </c>
      <c r="H268" t="inlineStr">
        <is>
          <t>Blanket (page end)</t>
        </is>
      </c>
      <c r="L268" t="inlineStr">
        <is>
          <t>NO</t>
        </is>
      </c>
    </row>
    <row r="269" ht="15.75" customHeight="1" s="67">
      <c r="A269" t="inlineStr">
        <is>
          <t>FUNDING_GATE_FILTER_TF</t>
        </is>
      </c>
      <c r="B269" t="inlineStr">
        <is>
          <t>4h</t>
        </is>
      </c>
      <c r="D269" t="inlineStr">
        <is>
          <t>GLOBAL_CHECK</t>
        </is>
      </c>
      <c r="G269">
        <f>IFERROR(VLOOKUP($A273&amp;"_"&amp;$B273,Results_Deltas!$A$2:$P$15000,5,FALSE),"")</f>
        <v/>
      </c>
      <c r="H269" t="inlineStr">
        <is>
          <t>Blanket (page end)</t>
        </is>
      </c>
      <c r="L269" t="inlineStr">
        <is>
          <t>NO</t>
        </is>
      </c>
    </row>
    <row r="270" ht="15.75" customHeight="1" s="67">
      <c r="A270" t="inlineStr">
        <is>
          <t>FUNDING_GATE_FILTER_TF</t>
        </is>
      </c>
      <c r="B270" t="inlineStr">
        <is>
          <t>1h</t>
        </is>
      </c>
      <c r="D270" t="inlineStr">
        <is>
          <t>GLOBAL_CHECK</t>
        </is>
      </c>
      <c r="G270">
        <f>IFERROR(VLOOKUP($A274&amp;"_"&amp;$B274,Results_Deltas!$A$2:$P$15000,5,FALSE),"")</f>
        <v/>
      </c>
      <c r="H270" t="inlineStr">
        <is>
          <t>Blanket (page end)</t>
        </is>
      </c>
      <c r="L270" t="inlineStr">
        <is>
          <t>NO</t>
        </is>
      </c>
    </row>
    <row r="271" ht="15.75" customHeight="1" s="67">
      <c r="A271" t="inlineStr">
        <is>
          <t>FUNDING_GATE_FILTER_TF</t>
        </is>
      </c>
      <c r="B271" t="inlineStr">
        <is>
          <t>15m</t>
        </is>
      </c>
      <c r="D271" t="inlineStr">
        <is>
          <t>GLOBAL_CHECK</t>
        </is>
      </c>
      <c r="G271">
        <f>IFERROR(VLOOKUP($A275&amp;"_"&amp;$B275,Results_Deltas!$A$2:$P$15000,5,FALSE),"")</f>
        <v/>
      </c>
      <c r="H271" t="inlineStr">
        <is>
          <t>Blanket (page end)</t>
        </is>
      </c>
      <c r="L271" t="inlineStr">
        <is>
          <t>NO</t>
        </is>
      </c>
    </row>
    <row r="272" ht="15.75" customHeight="1" s="67">
      <c r="A272" t="inlineStr">
        <is>
          <t>FUNDING_GATE_LONG_MAX</t>
        </is>
      </c>
      <c r="B272" t="inlineStr">
        <is>
          <t>0.0</t>
        </is>
      </c>
      <c r="D272" t="inlineStr">
        <is>
          <t>ENTRY, GLOBAL_CHECK, STOCKS_EXIT</t>
        </is>
      </c>
      <c r="G272">
        <f>IFERROR(VLOOKUP($A276&amp;"_"&amp;$B276,Results_Deltas!$A$2:$P$15000,5,FALSE),"")</f>
        <v/>
      </c>
      <c r="H272" t="inlineStr">
        <is>
          <t>Blanket (page end)</t>
        </is>
      </c>
      <c r="L272" t="inlineStr">
        <is>
          <t>NO</t>
        </is>
      </c>
    </row>
    <row r="273" ht="15.75" customHeight="1" s="67">
      <c r="A273" t="inlineStr">
        <is>
          <t>FUNDING_GATE_LONG_MAX</t>
        </is>
      </c>
      <c r="B273" t="inlineStr">
        <is>
          <t>0.0_ALT</t>
        </is>
      </c>
      <c r="D273" t="inlineStr">
        <is>
          <t>ENTRY, GLOBAL_CHECK, STOCKS_EXIT</t>
        </is>
      </c>
      <c r="G273">
        <f>IFERROR(VLOOKUP($A277&amp;"_"&amp;$B277,Results_Deltas!$A$2:$P$15000,5,FALSE),"")</f>
        <v/>
      </c>
      <c r="H273" t="inlineStr">
        <is>
          <t>Blanket (page end)</t>
        </is>
      </c>
      <c r="L273" t="inlineStr">
        <is>
          <t>NO</t>
        </is>
      </c>
    </row>
    <row r="274" ht="15.75" customHeight="1" s="67">
      <c r="A274" t="inlineStr">
        <is>
          <t>FUNDING_GATE_MTF_REQUIRED</t>
        </is>
      </c>
      <c r="B274" t="inlineStr">
        <is>
          <t>0.0</t>
        </is>
      </c>
      <c r="D274" t="inlineStr">
        <is>
          <t>ENTRY, GLOBAL_CHECK, STOCKS_EXIT</t>
        </is>
      </c>
      <c r="G274">
        <f>IFERROR(VLOOKUP($A278&amp;"_"&amp;$B278,Results_Deltas!$A$2:$P$15000,5,FALSE),"")</f>
        <v/>
      </c>
      <c r="H274" t="inlineStr">
        <is>
          <t>Blanket (page end)</t>
        </is>
      </c>
      <c r="L274" t="inlineStr">
        <is>
          <t>YES</t>
        </is>
      </c>
    </row>
    <row r="275" ht="15.75" customHeight="1" s="67">
      <c r="A275" t="inlineStr">
        <is>
          <t>FUNDING_GATE_MTF_REQUIRED</t>
        </is>
      </c>
      <c r="B275" t="inlineStr">
        <is>
          <t>0.0_ALT</t>
        </is>
      </c>
      <c r="D275" t="inlineStr">
        <is>
          <t>ENTRY, GLOBAL_CHECK, STOCKS_EXIT</t>
        </is>
      </c>
      <c r="G275">
        <f>IFERROR(VLOOKUP($A279&amp;"_"&amp;$B279,Results_Deltas!$A$2:$P$15000,5,FALSE),"")</f>
        <v/>
      </c>
      <c r="H275" t="inlineStr">
        <is>
          <t>Blanket (page end)</t>
        </is>
      </c>
      <c r="L275" t="inlineStr">
        <is>
          <t>NO</t>
        </is>
      </c>
    </row>
    <row r="276" ht="15.75" customHeight="1" s="67">
      <c r="A276" t="inlineStr">
        <is>
          <t>FUNDING_GATE_SHORT_MIN</t>
        </is>
      </c>
      <c r="B276" t="inlineStr">
        <is>
          <t>0.0</t>
        </is>
      </c>
      <c r="D276" t="inlineStr">
        <is>
          <t>ENTRY, GLOBAL_CHECK, STOCKS_EXIT</t>
        </is>
      </c>
      <c r="G276">
        <f>IFERROR(VLOOKUP($A280&amp;"_"&amp;$B280,Results_Deltas!$A$2:$P$15000,5,FALSE),"")</f>
        <v/>
      </c>
      <c r="H276" t="inlineStr">
        <is>
          <t>Blanket (page end)</t>
        </is>
      </c>
      <c r="L276" t="inlineStr">
        <is>
          <t>NO</t>
        </is>
      </c>
    </row>
    <row r="277" ht="15.75" customHeight="1" s="67">
      <c r="A277" t="inlineStr">
        <is>
          <t>FUNDING_GATE_SHORT_MIN</t>
        </is>
      </c>
      <c r="B277" t="inlineStr">
        <is>
          <t>0.0_ALT</t>
        </is>
      </c>
      <c r="D277" t="inlineStr">
        <is>
          <t>ENTRY, GLOBAL_CHECK, STOCKS_EXIT</t>
        </is>
      </c>
      <c r="G277">
        <f>IFERROR(VLOOKUP($A281&amp;"_"&amp;$B281,Results_Deltas!$A$2:$P$15000,5,FALSE),"")</f>
        <v/>
      </c>
      <c r="H277" t="inlineStr">
        <is>
          <t>Blanket (page end)</t>
        </is>
      </c>
      <c r="L277" t="inlineStr">
        <is>
          <t>YES</t>
        </is>
      </c>
    </row>
    <row r="278" ht="15.75" customHeight="1" s="67">
      <c r="A278" t="inlineStr">
        <is>
          <t>GOLDEN_RULE_BASE_USD</t>
        </is>
      </c>
      <c r="B278" t="inlineStr">
        <is>
          <t>0.0</t>
        </is>
      </c>
      <c r="D278" t="inlineStr">
        <is>
          <t>GLOBAL_CHECK, STOCKS_EXIT</t>
        </is>
      </c>
      <c r="G278">
        <f>IFERROR(VLOOKUP($A282&amp;"_"&amp;$B282,Results_Deltas!$A$2:$P$15000,5,FALSE),"")</f>
        <v/>
      </c>
      <c r="H278" t="inlineStr">
        <is>
          <t>Blanket (page end)</t>
        </is>
      </c>
      <c r="L278" t="inlineStr">
        <is>
          <t>NO</t>
        </is>
      </c>
    </row>
    <row r="279" ht="15.75" customHeight="1" s="67">
      <c r="A279" t="inlineStr">
        <is>
          <t>GOLDEN_RULE_BASE_USD</t>
        </is>
      </c>
      <c r="B279" t="inlineStr">
        <is>
          <t>0.0_ALT</t>
        </is>
      </c>
      <c r="D279" t="inlineStr">
        <is>
          <t>GLOBAL_CHECK, STOCKS_EXIT</t>
        </is>
      </c>
      <c r="G279">
        <f>IFERROR(VLOOKUP($A283&amp;"_"&amp;$B283,Results_Deltas!$A$2:$P$15000,5,FALSE),"")</f>
        <v/>
      </c>
      <c r="H279" t="inlineStr">
        <is>
          <t>Blanket (page end)</t>
        </is>
      </c>
      <c r="L279" t="inlineStr">
        <is>
          <t>YES</t>
        </is>
      </c>
    </row>
    <row r="280" ht="15.75" customHeight="1" s="67">
      <c r="A280" t="inlineStr">
        <is>
          <t>GR_FILTER_ALL_ENTRIES</t>
        </is>
      </c>
      <c r="B280" t="inlineStr">
        <is>
          <t>0.0</t>
        </is>
      </c>
      <c r="D280" t="inlineStr">
        <is>
          <t>GLOBAL_CHECK, STOCKS_EXIT</t>
        </is>
      </c>
      <c r="G280">
        <f>IFERROR(VLOOKUP($A284&amp;"_"&amp;$B284,Results_Deltas!$A$2:$P$15000,5,FALSE),"")</f>
        <v/>
      </c>
      <c r="H280" t="inlineStr">
        <is>
          <t>Blanket (page end)</t>
        </is>
      </c>
      <c r="L280" t="inlineStr">
        <is>
          <t>NO</t>
        </is>
      </c>
    </row>
    <row r="281" ht="15.75" customHeight="1" s="67">
      <c r="A281" t="inlineStr">
        <is>
          <t>GR_FILTER_ALL_ENTRIES</t>
        </is>
      </c>
      <c r="B281" t="inlineStr">
        <is>
          <t>0.0_ALT</t>
        </is>
      </c>
      <c r="D281" t="inlineStr">
        <is>
          <t>GLOBAL_CHECK, STOCKS_EXIT</t>
        </is>
      </c>
      <c r="G281">
        <f>IFERROR(VLOOKUP($A285&amp;"_"&amp;$B285,Results_Deltas!$A$2:$P$15000,5,FALSE),"")</f>
        <v/>
      </c>
      <c r="H281" t="inlineStr">
        <is>
          <t>Blanket (page end)</t>
        </is>
      </c>
      <c r="L281" t="inlineStr">
        <is>
          <t>NO</t>
        </is>
      </c>
    </row>
    <row r="282" ht="15.75" customHeight="1" s="67">
      <c r="A282" t="inlineStr">
        <is>
          <t>GR_FILTER_VEC_ENABLED</t>
        </is>
      </c>
      <c r="B282" t="inlineStr">
        <is>
          <t>False</t>
        </is>
      </c>
      <c r="D282" t="inlineStr">
        <is>
          <t>GLOBAL_CHECK</t>
        </is>
      </c>
      <c r="G282">
        <f>IFERROR(VLOOKUP($A286&amp;"_"&amp;$B286,Results_Deltas!$A$2:$P$15000,5,FALSE),"")</f>
        <v/>
      </c>
      <c r="H282" t="inlineStr">
        <is>
          <t>Blanket (page end)</t>
        </is>
      </c>
      <c r="L282" t="inlineStr">
        <is>
          <t>NO</t>
        </is>
      </c>
    </row>
    <row r="283" ht="15.75" customHeight="1" s="67">
      <c r="A283" t="inlineStr">
        <is>
          <t>GR_FILTER_VEC_ENABLED</t>
        </is>
      </c>
      <c r="B283" t="inlineStr">
        <is>
          <t>True</t>
        </is>
      </c>
      <c r="D283" t="inlineStr">
        <is>
          <t>GLOBAL_CHECK</t>
        </is>
      </c>
      <c r="G283">
        <f>IFERROR(VLOOKUP($A287&amp;"_"&amp;$B287,Results_Deltas!$A$2:$P$15000,5,FALSE),"")</f>
        <v/>
      </c>
      <c r="H283" t="inlineStr">
        <is>
          <t>Blanket (page end)</t>
        </is>
      </c>
      <c r="L283" t="inlineStr">
        <is>
          <t>NO</t>
        </is>
      </c>
    </row>
    <row r="284" ht="15.75" customHeight="1" s="67">
      <c r="A284" t="inlineStr">
        <is>
          <t>GR_FILTER_VEC_MIN_TFS</t>
        </is>
      </c>
      <c r="B284" t="inlineStr">
        <is>
          <t>0</t>
        </is>
      </c>
      <c r="D284" t="inlineStr">
        <is>
          <t>GLOBAL_CHECK</t>
        </is>
      </c>
      <c r="G284">
        <f>IFERROR(VLOOKUP($A288&amp;"_"&amp;$B288,Results_Deltas!$A$2:$P$15000,5,FALSE),"")</f>
        <v/>
      </c>
      <c r="H284" t="inlineStr">
        <is>
          <t>Blanket (page end)</t>
        </is>
      </c>
      <c r="L284" t="inlineStr">
        <is>
          <t>YES</t>
        </is>
      </c>
    </row>
    <row r="285" ht="15.75" customHeight="1" s="67">
      <c r="A285" t="inlineStr">
        <is>
          <t>GR_FILTER_VEC_MIN_TFS</t>
        </is>
      </c>
      <c r="B285" t="n">
        <v>0</v>
      </c>
      <c r="D285" t="inlineStr">
        <is>
          <t>GLOBAL_CHECK</t>
        </is>
      </c>
      <c r="G285">
        <f>IFERROR(VLOOKUP($A289&amp;"_"&amp;$B289,Results_Deltas!$A$2:$P$15000,5,FALSE),"")</f>
        <v/>
      </c>
      <c r="H285" t="inlineStr">
        <is>
          <t>Blanket (page end)</t>
        </is>
      </c>
      <c r="L285" t="inlineStr">
        <is>
          <t>NO</t>
        </is>
      </c>
    </row>
    <row r="286" ht="15.75" customHeight="1" s="67">
      <c r="A286" t="inlineStr">
        <is>
          <t>GR_FILTER_VEC_MIN_TFS</t>
        </is>
      </c>
      <c r="B286" t="inlineStr">
        <is>
          <t>1</t>
        </is>
      </c>
      <c r="D286" t="inlineStr">
        <is>
          <t>GLOBAL_CHECK</t>
        </is>
      </c>
      <c r="G286">
        <f>IFERROR(VLOOKUP($A290&amp;"_"&amp;$B290,Results_Deltas!$A$2:$P$15000,5,FALSE),"")</f>
        <v/>
      </c>
      <c r="H286" t="inlineStr">
        <is>
          <t>Blanket (page end)</t>
        </is>
      </c>
      <c r="L286" t="inlineStr">
        <is>
          <t>NO</t>
        </is>
      </c>
    </row>
    <row r="287" ht="15.75" customHeight="1" s="67">
      <c r="A287" t="inlineStr">
        <is>
          <t>HA_WICK_QUALITY_ENABLED</t>
        </is>
      </c>
      <c r="B287" t="inlineStr">
        <is>
          <t>False</t>
        </is>
      </c>
      <c r="D287" t="inlineStr">
        <is>
          <t>ENTRY, GLOBAL_CHECK, STOCKS_EXIT</t>
        </is>
      </c>
      <c r="G287">
        <f>IFERROR(VLOOKUP($A291&amp;"_"&amp;$B291,Results_Deltas!$A$2:$P$15000,5,FALSE),"")</f>
        <v/>
      </c>
      <c r="H287" t="inlineStr">
        <is>
          <t>Blanket (page end)</t>
        </is>
      </c>
      <c r="L287" t="inlineStr">
        <is>
          <t>NO</t>
        </is>
      </c>
    </row>
    <row r="288" ht="15.75" customHeight="1" s="67">
      <c r="A288" t="inlineStr">
        <is>
          <t>HA_WICK_QUALITY_ENABLED</t>
        </is>
      </c>
      <c r="B288" t="inlineStr">
        <is>
          <t>True</t>
        </is>
      </c>
      <c r="D288" t="inlineStr">
        <is>
          <t>ENTRY, GLOBAL_CHECK, STOCKS_EXIT</t>
        </is>
      </c>
      <c r="G288">
        <f>IFERROR(VLOOKUP($A292&amp;"_"&amp;$B292,Results_Deltas!$A$2:$P$15000,5,FALSE),"")</f>
        <v/>
      </c>
      <c r="H288" t="inlineStr">
        <is>
          <t>Blanket (page end)</t>
        </is>
      </c>
      <c r="L288" t="inlineStr">
        <is>
          <t>NO</t>
        </is>
      </c>
    </row>
    <row r="289" ht="15.75" customHeight="1" s="67">
      <c r="A289" t="inlineStr">
        <is>
          <t>HA_WICK_QUALITY_SCORE</t>
        </is>
      </c>
      <c r="B289" t="n">
        <v>0</v>
      </c>
      <c r="D289" t="inlineStr">
        <is>
          <t>ENTRY, GLOBAL_CHECK, STOCKS_EXIT</t>
        </is>
      </c>
      <c r="G289">
        <f>IFERROR(VLOOKUP($A293&amp;"_"&amp;$B293,Results_Deltas!$A$2:$P$15000,5,FALSE),"")</f>
        <v/>
      </c>
      <c r="H289" t="inlineStr">
        <is>
          <t>Blanket (page end)</t>
        </is>
      </c>
      <c r="L289" t="inlineStr">
        <is>
          <t>NO</t>
        </is>
      </c>
    </row>
    <row r="290" ht="15.75" customHeight="1" s="67">
      <c r="A290" t="inlineStr">
        <is>
          <t>HA_WICK_QUALITY_SCORE</t>
        </is>
      </c>
      <c r="B290" t="inlineStr">
        <is>
          <t>15_ALT</t>
        </is>
      </c>
      <c r="D290" t="inlineStr">
        <is>
          <t>ENTRY, GLOBAL_CHECK, STOCKS_EXIT</t>
        </is>
      </c>
      <c r="G290">
        <f>IFERROR(VLOOKUP($A294&amp;"_"&amp;$B294,Results_Deltas!$A$2:$P$15000,5,FALSE),"")</f>
        <v/>
      </c>
      <c r="H290" t="inlineStr">
        <is>
          <t>Blanket (page end)</t>
        </is>
      </c>
      <c r="L290" t="inlineStr">
        <is>
          <t>NO</t>
        </is>
      </c>
    </row>
    <row r="291" ht="15.75" customHeight="1" s="67">
      <c r="A291" t="inlineStr">
        <is>
          <t>HA_WICK_QUALITY_TF</t>
        </is>
      </c>
      <c r="B291" t="inlineStr">
        <is>
          <t>OFF</t>
        </is>
      </c>
      <c r="D291" t="inlineStr">
        <is>
          <t>ENTRY, GLOBAL_CHECK, STOCKS_EXIT</t>
        </is>
      </c>
      <c r="G291">
        <f>IFERROR(VLOOKUP($A295&amp;"_"&amp;$B295,Results_Deltas!$A$2:$P$15000,5,FALSE),"")</f>
        <v/>
      </c>
      <c r="H291" t="inlineStr">
        <is>
          <t>Blanket (page end)</t>
        </is>
      </c>
      <c r="L291" t="inlineStr">
        <is>
          <t>YES</t>
        </is>
      </c>
    </row>
    <row r="292" ht="15.75" customHeight="1" s="67">
      <c r="A292" t="inlineStr">
        <is>
          <t>HA_WICK_QUALITY_TF</t>
        </is>
      </c>
      <c r="B292" t="inlineStr">
        <is>
          <t>D</t>
        </is>
      </c>
      <c r="D292" t="inlineStr">
        <is>
          <t>ENTRY, GLOBAL_CHECK, STOCKS_EXIT</t>
        </is>
      </c>
      <c r="G292">
        <f>IFERROR(VLOOKUP($A296&amp;"_"&amp;$B296,Results_Deltas!$A$2:$P$15000,5,FALSE),"")</f>
        <v/>
      </c>
      <c r="H292" t="inlineStr">
        <is>
          <t>Blanket (page end)</t>
        </is>
      </c>
      <c r="L292" t="inlineStr">
        <is>
          <t>NO</t>
        </is>
      </c>
    </row>
    <row r="293" ht="15.75" customHeight="1" s="67">
      <c r="A293" t="inlineStr">
        <is>
          <t>HA_WICK_QUALITY_TF</t>
        </is>
      </c>
      <c r="B293" t="inlineStr">
        <is>
          <t>4h</t>
        </is>
      </c>
      <c r="D293" t="inlineStr">
        <is>
          <t>ENTRY, GLOBAL_CHECK, STOCKS_EXIT</t>
        </is>
      </c>
      <c r="G293">
        <f>IFERROR(VLOOKUP($A297&amp;"_"&amp;$B297,Results_Deltas!$A$2:$P$15000,5,FALSE),"")</f>
        <v/>
      </c>
      <c r="H293" t="inlineStr">
        <is>
          <t>Blanket (page end)</t>
        </is>
      </c>
      <c r="L293" t="inlineStr">
        <is>
          <t>NO</t>
        </is>
      </c>
    </row>
    <row r="294" ht="15.75" customHeight="1" s="67">
      <c r="A294" t="inlineStr">
        <is>
          <t>HA_WICK_QUALITY_TF</t>
        </is>
      </c>
      <c r="B294" t="inlineStr">
        <is>
          <t>15m</t>
        </is>
      </c>
      <c r="D294" t="inlineStr">
        <is>
          <t>ENTRY, GLOBAL_CHECK, STOCKS_EXIT</t>
        </is>
      </c>
      <c r="G294">
        <f>IFERROR(VLOOKUP($A298&amp;"_"&amp;$B298,Results_Deltas!$A$2:$P$15000,5,FALSE),"")</f>
        <v/>
      </c>
      <c r="H294" t="inlineStr">
        <is>
          <t>Blanket (page end)</t>
        </is>
      </c>
      <c r="L294" t="inlineStr">
        <is>
          <t>NO</t>
        </is>
      </c>
    </row>
    <row r="295" ht="15.75" customHeight="1" s="67">
      <c r="A295" t="inlineStr">
        <is>
          <t>HA_WICK_QUALITY_TF</t>
        </is>
      </c>
      <c r="B295" t="inlineStr">
        <is>
          <t>15m</t>
        </is>
      </c>
      <c r="D295" t="inlineStr">
        <is>
          <t>ENTRY, GLOBAL_CHECK, STOCKS_EXIT</t>
        </is>
      </c>
      <c r="G295">
        <f>IFERROR(VLOOKUP($A299&amp;"_"&amp;$B299,Results_Deltas!$A$2:$P$15000,5,FALSE),"")</f>
        <v/>
      </c>
      <c r="H295" t="inlineStr">
        <is>
          <t>Blanket (page end)</t>
        </is>
      </c>
      <c r="L295" t="inlineStr">
        <is>
          <t>YES</t>
        </is>
      </c>
    </row>
    <row r="296" ht="15.75" customHeight="1" s="67">
      <c r="A296" t="inlineStr">
        <is>
          <t>HLR_SMA_BAND_PCT</t>
        </is>
      </c>
      <c r="B296" t="inlineStr">
        <is>
          <t>0</t>
        </is>
      </c>
      <c r="D296" t="inlineStr">
        <is>
          <t>ENTRY, GLOBAL_CHECK, STOCKS_EXIT</t>
        </is>
      </c>
      <c r="G296">
        <f>IFERROR(VLOOKUP($A300&amp;"_"&amp;$B300,Results_Deltas!$A$2:$P$15000,5,FALSE),"")</f>
        <v/>
      </c>
      <c r="H296" t="inlineStr">
        <is>
          <t>Blanket (page end)</t>
        </is>
      </c>
      <c r="L296" t="inlineStr">
        <is>
          <t>NO</t>
        </is>
      </c>
    </row>
    <row r="297" ht="15.75" customHeight="1" s="67">
      <c r="A297" t="inlineStr">
        <is>
          <t>HLR_SMA_BAND_PCT</t>
        </is>
      </c>
      <c r="B297" t="inlineStr">
        <is>
          <t>2.0</t>
        </is>
      </c>
      <c r="D297" t="inlineStr">
        <is>
          <t>ENTRY, GLOBAL_CHECK, STOCKS_EXIT</t>
        </is>
      </c>
      <c r="G297">
        <f>IFERROR(VLOOKUP($A301&amp;"_"&amp;$B301,Results_Deltas!$A$2:$P$15000,5,FALSE),"")</f>
        <v/>
      </c>
      <c r="H297" t="inlineStr">
        <is>
          <t>Blanket (page end)</t>
        </is>
      </c>
      <c r="L297" t="inlineStr">
        <is>
          <t>NO</t>
        </is>
      </c>
    </row>
    <row r="298" ht="15.75" customHeight="1" s="67">
      <c r="A298" t="inlineStr">
        <is>
          <t>HLR_SMA_BAND_PCT</t>
        </is>
      </c>
      <c r="B298" t="inlineStr">
        <is>
          <t>1.0</t>
        </is>
      </c>
      <c r="D298" t="inlineStr">
        <is>
          <t>ENTRY, GLOBAL_CHECK, STOCKS_EXIT</t>
        </is>
      </c>
      <c r="G298">
        <f>IFERROR(VLOOKUP($A302&amp;"_"&amp;$B302,Results_Deltas!$A$2:$P$15000,5,FALSE),"")</f>
        <v/>
      </c>
      <c r="H298" t="inlineStr">
        <is>
          <t>Blanket (page end)</t>
        </is>
      </c>
      <c r="L298" t="inlineStr">
        <is>
          <t>NO</t>
        </is>
      </c>
    </row>
    <row r="299" ht="15.75" customHeight="1" s="67">
      <c r="A299" t="inlineStr">
        <is>
          <t>HLR_SMA_BAND_PCT</t>
        </is>
      </c>
      <c r="B299" t="inlineStr">
        <is>
          <t>0.5</t>
        </is>
      </c>
      <c r="D299" t="inlineStr">
        <is>
          <t>ENTRY, GLOBAL_CHECK, STOCKS_EXIT</t>
        </is>
      </c>
      <c r="G299">
        <f>IFERROR(VLOOKUP($A303&amp;"_"&amp;$B303,Results_Deltas!$A$2:$P$15000,5,FALSE),"")</f>
        <v/>
      </c>
      <c r="H299" t="inlineStr">
        <is>
          <t>Blanket (page end)</t>
        </is>
      </c>
      <c r="L299" t="inlineStr">
        <is>
          <t>NO</t>
        </is>
      </c>
    </row>
    <row r="300" ht="15.75" customHeight="1" s="67">
      <c r="A300" t="inlineStr">
        <is>
          <t>HLR_TOP_MIN_TFS</t>
        </is>
      </c>
      <c r="B300" t="inlineStr">
        <is>
          <t>0</t>
        </is>
      </c>
      <c r="D300" t="inlineStr">
        <is>
          <t>GLOBAL_CHECK, REENTRY, STOCKS_EXIT</t>
        </is>
      </c>
      <c r="G300">
        <f>IFERROR(VLOOKUP($A304&amp;"_"&amp;$B304,Results_Deltas!$A$2:$P$15000,5,FALSE),"")</f>
        <v/>
      </c>
      <c r="H300" t="inlineStr">
        <is>
          <t>Blanket (page end)</t>
        </is>
      </c>
      <c r="L300" t="inlineStr">
        <is>
          <t>NO</t>
        </is>
      </c>
    </row>
    <row r="301" ht="15.75" customHeight="1" s="67">
      <c r="A301" t="inlineStr">
        <is>
          <t>HLR_TOP_MIN_TFS</t>
        </is>
      </c>
      <c r="B301" t="n">
        <v>0</v>
      </c>
      <c r="D301" t="inlineStr">
        <is>
          <t>GLOBAL_CHECK, REENTRY, STOCKS_EXIT</t>
        </is>
      </c>
      <c r="G301">
        <f>IFERROR(VLOOKUP($A305&amp;"_"&amp;$B305,Results_Deltas!$A$2:$P$15000,5,FALSE),"")</f>
        <v/>
      </c>
      <c r="H301" t="inlineStr">
        <is>
          <t>Blanket (page end)</t>
        </is>
      </c>
      <c r="L301" t="inlineStr">
        <is>
          <t>NO</t>
        </is>
      </c>
    </row>
    <row r="302" ht="15.75" customHeight="1" s="67">
      <c r="A302" t="inlineStr">
        <is>
          <t>HLR_TOP_MIN_TFS</t>
        </is>
      </c>
      <c r="B302" t="inlineStr">
        <is>
          <t>1</t>
        </is>
      </c>
      <c r="D302" t="inlineStr">
        <is>
          <t>GLOBAL_CHECK, REENTRY, STOCKS_EXIT</t>
        </is>
      </c>
      <c r="G302">
        <f>IFERROR(VLOOKUP($A306&amp;"_"&amp;$B306,Results_Deltas!$A$2:$P$15000,5,FALSE),"")</f>
        <v/>
      </c>
      <c r="H302" t="inlineStr">
        <is>
          <t>Blanket (page end)</t>
        </is>
      </c>
      <c r="L302" t="inlineStr">
        <is>
          <t>NO</t>
        </is>
      </c>
    </row>
    <row r="303" ht="15.75" customHeight="1" s="67">
      <c r="A303" t="inlineStr">
        <is>
          <t>HTF4_CONF</t>
        </is>
      </c>
      <c r="B303" t="inlineStr">
        <is>
          <t>False</t>
        </is>
      </c>
      <c r="D303" t="inlineStr">
        <is>
          <t>GLOBAL_CHECK, STOCKS_EXIT</t>
        </is>
      </c>
      <c r="G303">
        <f>IFERROR(VLOOKUP($A307&amp;"_"&amp;$B307,Results_Deltas!$A$2:$P$15000,5,FALSE),"")</f>
        <v/>
      </c>
      <c r="H303" t="inlineStr">
        <is>
          <t>Blanket (page end)</t>
        </is>
      </c>
      <c r="L303" t="inlineStr">
        <is>
          <t>NO</t>
        </is>
      </c>
    </row>
    <row r="304" ht="15.75" customHeight="1" s="67">
      <c r="A304" t="inlineStr">
        <is>
          <t>HTF4_CONF</t>
        </is>
      </c>
      <c r="B304" t="inlineStr">
        <is>
          <t>False_ALT</t>
        </is>
      </c>
      <c r="D304" t="inlineStr">
        <is>
          <t>GLOBAL_CHECK, STOCKS_EXIT</t>
        </is>
      </c>
      <c r="G304">
        <f>IFERROR(VLOOKUP($A308&amp;"_"&amp;$B308,Results_Deltas!$A$2:$P$15000,5,FALSE),"")</f>
        <v/>
      </c>
      <c r="H304" t="inlineStr">
        <is>
          <t>Blanket (page end)</t>
        </is>
      </c>
      <c r="L304" t="inlineStr">
        <is>
          <t>YES</t>
        </is>
      </c>
    </row>
    <row r="305" ht="15.75" customHeight="1" s="67">
      <c r="A305" t="inlineStr">
        <is>
          <t>HTF_DIRECTION_GATE_ENABLED</t>
        </is>
      </c>
      <c r="B305" t="inlineStr">
        <is>
          <t>False</t>
        </is>
      </c>
      <c r="D305" t="inlineStr">
        <is>
          <t>ENTRY, GLOBAL_CHECK, STOCKS_EXIT</t>
        </is>
      </c>
      <c r="G305">
        <f>IFERROR(VLOOKUP($A309&amp;"_"&amp;$B309,Results_Deltas!$A$2:$P$15000,5,FALSE),"")</f>
        <v/>
      </c>
      <c r="H305" t="inlineStr">
        <is>
          <t>Blanket (page end)</t>
        </is>
      </c>
      <c r="L305" t="inlineStr">
        <is>
          <t>NO</t>
        </is>
      </c>
    </row>
    <row r="306" ht="15.75" customHeight="1" s="67">
      <c r="A306" t="inlineStr">
        <is>
          <t>HTF_DIRECTION_GATE_ENABLED</t>
        </is>
      </c>
      <c r="B306" t="inlineStr">
        <is>
          <t>True</t>
        </is>
      </c>
      <c r="D306" t="inlineStr">
        <is>
          <t>ENTRY, GLOBAL_CHECK, STOCKS_EXIT</t>
        </is>
      </c>
      <c r="G306">
        <f>IFERROR(VLOOKUP($A310&amp;"_"&amp;$B310,Results_Deltas!$A$2:$P$15000,5,FALSE),"")</f>
        <v/>
      </c>
      <c r="H306" t="inlineStr">
        <is>
          <t>Blanket (page end)</t>
        </is>
      </c>
      <c r="L306" t="inlineStr">
        <is>
          <t>NO</t>
        </is>
      </c>
    </row>
    <row r="307" ht="15.75" customHeight="1" s="67">
      <c r="A307" t="inlineStr">
        <is>
          <t>HTF_GATE_BYPASS_RZ</t>
        </is>
      </c>
      <c r="B307" t="inlineStr">
        <is>
          <t>0.0</t>
        </is>
      </c>
      <c r="D307" t="inlineStr">
        <is>
          <t>ENTRY, GLOBAL_CHECK, STOCKS_EXIT</t>
        </is>
      </c>
      <c r="G307">
        <f>IFERROR(VLOOKUP($A311&amp;"_"&amp;$B311,Results_Deltas!$A$2:$P$15000,5,FALSE),"")</f>
        <v/>
      </c>
      <c r="H307" t="inlineStr">
        <is>
          <t>Blanket (page end)</t>
        </is>
      </c>
      <c r="L307" t="inlineStr">
        <is>
          <t>NO</t>
        </is>
      </c>
    </row>
    <row r="308" ht="15.75" customHeight="1" s="67">
      <c r="A308" t="inlineStr">
        <is>
          <t>HTF_GATE_BYPASS_RZ</t>
        </is>
      </c>
      <c r="B308" t="inlineStr">
        <is>
          <t>0.0_ALT</t>
        </is>
      </c>
      <c r="D308" t="inlineStr">
        <is>
          <t>ENTRY, GLOBAL_CHECK, STOCKS_EXIT</t>
        </is>
      </c>
      <c r="G308">
        <f>IFERROR(VLOOKUP($A312&amp;"_"&amp;$B312,Results_Deltas!$A$2:$P$15000,5,FALSE),"")</f>
        <v/>
      </c>
      <c r="H308" t="inlineStr">
        <is>
          <t>Blanket (page end)</t>
        </is>
      </c>
      <c r="L308" t="inlineStr">
        <is>
          <t>NO</t>
        </is>
      </c>
    </row>
    <row r="309" ht="15.75" customHeight="1" s="67">
      <c r="A309" t="inlineStr">
        <is>
          <t>HTF_GATE_D_MANDATORY</t>
        </is>
      </c>
      <c r="B309" t="inlineStr">
        <is>
          <t>0.0</t>
        </is>
      </c>
      <c r="D309" t="inlineStr">
        <is>
          <t>ENTRY, GLOBAL_CHECK, STOCKS_EXIT</t>
        </is>
      </c>
      <c r="G309">
        <f>IFERROR(VLOOKUP($A313&amp;"_"&amp;$B313,Results_Deltas!$A$2:$P$15000,5,FALSE),"")</f>
        <v/>
      </c>
      <c r="H309" t="inlineStr">
        <is>
          <t>Blanket (page end)</t>
        </is>
      </c>
      <c r="L309" t="inlineStr">
        <is>
          <t>YES</t>
        </is>
      </c>
    </row>
    <row r="310" ht="15.75" customHeight="1" s="67">
      <c r="A310" t="inlineStr">
        <is>
          <t>HTF_GATE_D_MANDATORY</t>
        </is>
      </c>
      <c r="B310" t="inlineStr">
        <is>
          <t>0.0_ALT</t>
        </is>
      </c>
      <c r="D310" t="inlineStr">
        <is>
          <t>ENTRY, GLOBAL_CHECK, STOCKS_EXIT</t>
        </is>
      </c>
      <c r="G310">
        <f>IFERROR(VLOOKUP($A314&amp;"_"&amp;$B314,Results_Deltas!$A$2:$P$15000,5,FALSE),"")</f>
        <v/>
      </c>
      <c r="H310" t="inlineStr">
        <is>
          <t>Blanket (page end)</t>
        </is>
      </c>
      <c r="L310" t="inlineStr">
        <is>
          <t>NO</t>
        </is>
      </c>
    </row>
    <row r="311" ht="15.75" customHeight="1" s="67">
      <c r="A311" t="inlineStr">
        <is>
          <t>HTF_GATE_MIN_CONFIRMATIONS</t>
        </is>
      </c>
      <c r="B311" t="inlineStr">
        <is>
          <t>0.0</t>
        </is>
      </c>
      <c r="D311" t="inlineStr">
        <is>
          <t>ENTRY, GLOBAL_CHECK, STOCKS_EXIT</t>
        </is>
      </c>
      <c r="G311">
        <f>IFERROR(VLOOKUP($A315&amp;"_"&amp;$B315,Results_Deltas!$A$2:$P$15000,5,FALSE),"")</f>
        <v/>
      </c>
      <c r="H311" t="inlineStr">
        <is>
          <t>Blanket (page end)</t>
        </is>
      </c>
      <c r="L311" t="inlineStr">
        <is>
          <t>YES</t>
        </is>
      </c>
    </row>
    <row r="312" ht="15.75" customHeight="1" s="67">
      <c r="A312" t="inlineStr">
        <is>
          <t>HTF_GATE_MIN_CONFIRMATIONS</t>
        </is>
      </c>
      <c r="B312" t="inlineStr">
        <is>
          <t>0.0_ALT</t>
        </is>
      </c>
      <c r="D312" t="inlineStr">
        <is>
          <t>ENTRY, GLOBAL_CHECK, STOCKS_EXIT</t>
        </is>
      </c>
      <c r="G312">
        <f>IFERROR(VLOOKUP($A316&amp;"_"&amp;$B316,Results_Deltas!$A$2:$P$15000,5,FALSE),"")</f>
        <v/>
      </c>
      <c r="H312" t="inlineStr">
        <is>
          <t>Blanket (page end)</t>
        </is>
      </c>
      <c r="L312" t="inlineStr">
        <is>
          <t>NO</t>
        </is>
      </c>
    </row>
    <row r="313" ht="15.75" customHeight="1" s="67">
      <c r="A313" t="inlineStr">
        <is>
          <t>HTF_TREND_VETO_BYPASS_ENABLED</t>
        </is>
      </c>
      <c r="B313" t="inlineStr">
        <is>
          <t>False</t>
        </is>
      </c>
      <c r="D313" t="inlineStr">
        <is>
          <t>GLOBAL_CHECK, STOCKS_EXIT</t>
        </is>
      </c>
      <c r="G313">
        <f>IFERROR(VLOOKUP($A317&amp;"_"&amp;$B317,Results_Deltas!$A$2:$P$15000,5,FALSE),"")</f>
        <v/>
      </c>
      <c r="H313" t="inlineStr">
        <is>
          <t>Blanket (page end)</t>
        </is>
      </c>
      <c r="L313" t="inlineStr">
        <is>
          <t>YES</t>
        </is>
      </c>
    </row>
    <row r="314" ht="15.75" customHeight="1" s="67">
      <c r="A314" t="inlineStr">
        <is>
          <t>HTF_TREND_VETO_BYPASS_ENABLED</t>
        </is>
      </c>
      <c r="B314" t="b">
        <v>0</v>
      </c>
      <c r="D314" t="inlineStr">
        <is>
          <t>GLOBAL_CHECK, STOCKS_EXIT</t>
        </is>
      </c>
      <c r="G314">
        <f>IFERROR(VLOOKUP($A318&amp;"_"&amp;$B318,Results_Deltas!$A$2:$P$15000,5,FALSE),"")</f>
        <v/>
      </c>
      <c r="H314" t="inlineStr">
        <is>
          <t>Blanket (page end)</t>
        </is>
      </c>
      <c r="L314" t="inlineStr">
        <is>
          <t>NO</t>
        </is>
      </c>
    </row>
    <row r="315" ht="15.75" customHeight="1" s="67">
      <c r="A315" t="inlineStr">
        <is>
          <t>HTF_TREND_VETO_BYPASS_REASONS</t>
        </is>
      </c>
      <c r="B315" t="inlineStr">
        <is>
          <t>0.0</t>
        </is>
      </c>
      <c r="D315" t="inlineStr">
        <is>
          <t>GLOBAL_CHECK, STOCKS_EXIT</t>
        </is>
      </c>
      <c r="G315">
        <f>IFERROR(VLOOKUP($A319&amp;"_"&amp;$B319,Results_Deltas!$A$2:$P$15000,5,FALSE),"")</f>
        <v/>
      </c>
      <c r="H315" t="inlineStr">
        <is>
          <t>Blanket (page end)</t>
        </is>
      </c>
      <c r="L315" t="inlineStr">
        <is>
          <t>YES</t>
        </is>
      </c>
    </row>
    <row r="316" ht="15.75" customHeight="1" s="67">
      <c r="A316" t="inlineStr">
        <is>
          <t>HTF_TREND_VETO_BYPASS_REASONS</t>
        </is>
      </c>
      <c r="B316" t="inlineStr">
        <is>
          <t>0.0_ALT</t>
        </is>
      </c>
      <c r="D316" t="inlineStr">
        <is>
          <t>GLOBAL_CHECK, STOCKS_EXIT</t>
        </is>
      </c>
      <c r="G316">
        <f>IFERROR(VLOOKUP($A320&amp;"_"&amp;$B320,Results_Deltas!$A$2:$P$15000,5,FALSE),"")</f>
        <v/>
      </c>
      <c r="H316" t="inlineStr">
        <is>
          <t>Blanket (page end)</t>
        </is>
      </c>
      <c r="L316" t="inlineStr">
        <is>
          <t>NO</t>
        </is>
      </c>
    </row>
    <row r="317" ht="15.75" customHeight="1" s="67">
      <c r="A317" t="inlineStr">
        <is>
          <t>LEADERBOARD_FILTER</t>
        </is>
      </c>
      <c r="B317" t="inlineStr">
        <is>
          <t>False</t>
        </is>
      </c>
      <c r="D317" t="inlineStr">
        <is>
          <t>AUGMENT, ENTRY, EXIT, GLOBAL_CHECK, REDUCE, STOCKS_EXIT</t>
        </is>
      </c>
      <c r="G317">
        <f>IFERROR(VLOOKUP($A321&amp;"_"&amp;$B321,Results_Deltas!$A$2:$P$15000,5,FALSE),"")</f>
        <v/>
      </c>
      <c r="H317" t="inlineStr">
        <is>
          <t>Blanket (page end)</t>
        </is>
      </c>
      <c r="L317" t="inlineStr">
        <is>
          <t>YES</t>
        </is>
      </c>
    </row>
    <row r="318" ht="15.75" customHeight="1" s="67">
      <c r="A318" t="inlineStr">
        <is>
          <t>LEADERBOARD_FILTER</t>
        </is>
      </c>
      <c r="B318" t="inlineStr">
        <is>
          <t>False_ALT</t>
        </is>
      </c>
      <c r="D318" t="inlineStr">
        <is>
          <t>AUGMENT, ENTRY, EXIT, GLOBAL_CHECK, REDUCE, STOCKS_EXIT</t>
        </is>
      </c>
      <c r="G318">
        <f>IFERROR(VLOOKUP($A322&amp;"_"&amp;$B322,Results_Deltas!$A$2:$P$15000,5,FALSE),"")</f>
        <v/>
      </c>
      <c r="H318" t="inlineStr">
        <is>
          <t>Blanket (page end)</t>
        </is>
      </c>
      <c r="L318" t="inlineStr">
        <is>
          <t>NO</t>
        </is>
      </c>
    </row>
    <row r="319" ht="15.75" customHeight="1" s="67">
      <c r="A319" t="inlineStr">
        <is>
          <t>LH_HL_FILTER_ENABLED</t>
        </is>
      </c>
      <c r="B319" t="inlineStr">
        <is>
          <t>False</t>
        </is>
      </c>
      <c r="D319" t="inlineStr">
        <is>
          <t>ENTRY, GLOBAL_CHECK, STOCKS_EXIT</t>
        </is>
      </c>
      <c r="G319">
        <f>IFERROR(VLOOKUP($A323&amp;"_"&amp;$B323,Results_Deltas!$A$2:$P$15000,5,FALSE),"")</f>
        <v/>
      </c>
      <c r="H319" t="inlineStr">
        <is>
          <t>Blanket (page end)</t>
        </is>
      </c>
      <c r="L319" t="inlineStr">
        <is>
          <t>NO</t>
        </is>
      </c>
    </row>
    <row r="320" ht="15.75" customHeight="1" s="67">
      <c r="A320" t="inlineStr">
        <is>
          <t>LH_HL_FILTER_ENABLED</t>
        </is>
      </c>
      <c r="B320" t="inlineStr">
        <is>
          <t>True</t>
        </is>
      </c>
      <c r="D320" t="inlineStr">
        <is>
          <t>ENTRY, GLOBAL_CHECK, STOCKS_EXIT</t>
        </is>
      </c>
      <c r="G320">
        <f>IFERROR(VLOOKUP($A324&amp;"_"&amp;$B324,Results_Deltas!$A$2:$P$15000,5,FALSE),"")</f>
        <v/>
      </c>
      <c r="H320" t="inlineStr">
        <is>
          <t>Blanket (page end)</t>
        </is>
      </c>
      <c r="L320" t="inlineStr">
        <is>
          <t>NO</t>
        </is>
      </c>
    </row>
    <row r="321" ht="15.75" customHeight="1" s="67">
      <c r="A321" t="inlineStr">
        <is>
          <t>LH_HL_FILTER_MODE</t>
        </is>
      </c>
      <c r="B321" t="inlineStr">
        <is>
          <t>STRICT_2BAR</t>
        </is>
      </c>
      <c r="D321" t="inlineStr">
        <is>
          <t>ENTRY, GLOBAL_CHECK, STOCKS_EXIT</t>
        </is>
      </c>
      <c r="G321">
        <f>IFERROR(VLOOKUP($A325&amp;"_"&amp;$B325,Results_Deltas!$A$2:$P$15000,5,FALSE),"")</f>
        <v/>
      </c>
      <c r="H321" t="inlineStr">
        <is>
          <t>Blanket (page end)</t>
        </is>
      </c>
      <c r="L321" t="inlineStr">
        <is>
          <t>NO</t>
        </is>
      </c>
    </row>
    <row r="322" ht="15.75" customHeight="1" s="67">
      <c r="A322" t="inlineStr">
        <is>
          <t>LH_HL_FILTER_MODE</t>
        </is>
      </c>
      <c r="B322" t="inlineStr">
        <is>
          <t>STRICT_2BAR_ALT</t>
        </is>
      </c>
      <c r="D322" t="inlineStr">
        <is>
          <t>ENTRY, GLOBAL_CHECK, STOCKS_EXIT</t>
        </is>
      </c>
      <c r="G322">
        <f>IFERROR(VLOOKUP($A326&amp;"_"&amp;$B326,Results_Deltas!$A$2:$P$15000,5,FALSE),"")</f>
        <v/>
      </c>
      <c r="H322" t="inlineStr">
        <is>
          <t>Blanket (page end)</t>
        </is>
      </c>
      <c r="L322" t="inlineStr">
        <is>
          <t>NO</t>
        </is>
      </c>
    </row>
    <row r="323" ht="15.75" customHeight="1" s="67">
      <c r="A323" t="inlineStr">
        <is>
          <t>LH_HL_FILTER_REQUIRE_BOTH</t>
        </is>
      </c>
      <c r="B323" t="inlineStr">
        <is>
          <t>False</t>
        </is>
      </c>
      <c r="D323" t="inlineStr">
        <is>
          <t>ENTRY, GLOBAL_CHECK, STOCKS_EXIT</t>
        </is>
      </c>
      <c r="G323">
        <f>IFERROR(VLOOKUP($A327&amp;"_"&amp;$B327,Results_Deltas!$A$2:$P$15000,5,FALSE),"")</f>
        <v/>
      </c>
      <c r="H323" t="inlineStr">
        <is>
          <t>Blanket (page end)</t>
        </is>
      </c>
      <c r="L323" t="inlineStr">
        <is>
          <t>YES</t>
        </is>
      </c>
    </row>
    <row r="324" ht="15.75" customHeight="1" s="67">
      <c r="A324" t="inlineStr">
        <is>
          <t>LH_HL_FILTER_REQUIRE_BOTH</t>
        </is>
      </c>
      <c r="B324" t="inlineStr">
        <is>
          <t>False_ALT</t>
        </is>
      </c>
      <c r="D324" t="inlineStr">
        <is>
          <t>ENTRY, GLOBAL_CHECK, STOCKS_EXIT</t>
        </is>
      </c>
      <c r="G324">
        <f>IFERROR(VLOOKUP($A328&amp;"_"&amp;$B328,Results_Deltas!$A$2:$P$15000,5,FALSE),"")</f>
        <v/>
      </c>
      <c r="H324" t="inlineStr">
        <is>
          <t>Blanket (page end)</t>
        </is>
      </c>
      <c r="L324" t="inlineStr">
        <is>
          <t>NO</t>
        </is>
      </c>
    </row>
    <row r="325" ht="15.75" customHeight="1" s="67">
      <c r="A325" t="inlineStr">
        <is>
          <t>LIVE_VEC_EMERGENCY_BRAKE_ENABLED</t>
        </is>
      </c>
      <c r="B325" t="inlineStr">
        <is>
          <t>False</t>
        </is>
      </c>
      <c r="D325" t="inlineStr">
        <is>
          <t>GLOBAL_CHECK, STOCKS_EXIT</t>
        </is>
      </c>
      <c r="G325">
        <f>IFERROR(VLOOKUP($A329&amp;"_"&amp;$B329,Results_Deltas!$A$2:$P$15000,5,FALSE),"")</f>
        <v/>
      </c>
      <c r="H325" t="inlineStr">
        <is>
          <t>Blanket (page end)</t>
        </is>
      </c>
      <c r="L325" t="inlineStr">
        <is>
          <t>NO</t>
        </is>
      </c>
    </row>
    <row r="326" ht="15.75" customHeight="1" s="67">
      <c r="A326" t="inlineStr">
        <is>
          <t>LIVE_VEC_EMERGENCY_BRAKE_ENABLED</t>
        </is>
      </c>
      <c r="B326" t="inlineStr">
        <is>
          <t>True</t>
        </is>
      </c>
      <c r="D326" t="inlineStr">
        <is>
          <t>GLOBAL_CHECK, STOCKS_EXIT</t>
        </is>
      </c>
      <c r="G326">
        <f>IFERROR(VLOOKUP($A330&amp;"_"&amp;$B330,Results_Deltas!$A$2:$P$15000,5,FALSE),"")</f>
        <v/>
      </c>
      <c r="H326" t="inlineStr">
        <is>
          <t>Blanket (page end)</t>
        </is>
      </c>
      <c r="L326" t="inlineStr">
        <is>
          <t>YES</t>
        </is>
      </c>
    </row>
    <row r="327" ht="15.75" customHeight="1" s="67">
      <c r="A327" t="inlineStr">
        <is>
          <t>LR_BAND_LADDER_STOCH_EXTREME</t>
        </is>
      </c>
      <c r="B327" t="inlineStr">
        <is>
          <t>30.0</t>
        </is>
      </c>
      <c r="D327" t="inlineStr">
        <is>
          <t>GLOBAL_CHECK, STOCKS_EXIT</t>
        </is>
      </c>
      <c r="G327">
        <f>IFERROR(VLOOKUP($A331&amp;"_"&amp;$B331,Results_Deltas!$A$2:$P$15000,5,FALSE),"")</f>
        <v/>
      </c>
      <c r="H327" t="inlineStr">
        <is>
          <t>Blanket (page end)</t>
        </is>
      </c>
      <c r="L327" t="inlineStr">
        <is>
          <t>NO</t>
        </is>
      </c>
    </row>
    <row r="328" ht="15.75" customHeight="1" s="67">
      <c r="A328" t="inlineStr">
        <is>
          <t>LR_BAND_LADDER_STOCH_EXTREME</t>
        </is>
      </c>
      <c r="B328" t="inlineStr">
        <is>
          <t>30.0_ALT</t>
        </is>
      </c>
      <c r="D328" t="inlineStr">
        <is>
          <t>GLOBAL_CHECK, STOCKS_EXIT</t>
        </is>
      </c>
      <c r="G328">
        <f>IFERROR(VLOOKUP($A332&amp;"_"&amp;$B332,Results_Deltas!$A$2:$P$15000,5,FALSE),"")</f>
        <v/>
      </c>
      <c r="H328" t="inlineStr">
        <is>
          <t>Blanket (page end)</t>
        </is>
      </c>
      <c r="L328" t="inlineStr">
        <is>
          <t>YES</t>
        </is>
      </c>
    </row>
    <row r="329" ht="15.75" customHeight="1" s="67">
      <c r="A329" t="inlineStr">
        <is>
          <t>LR_BAND_LADDER_TF_BOTTOM</t>
        </is>
      </c>
      <c r="B329" t="inlineStr">
        <is>
          <t>0</t>
        </is>
      </c>
      <c r="D329" t="inlineStr">
        <is>
          <t>GLOBAL_CHECK, STOCKS_EXIT</t>
        </is>
      </c>
      <c r="G329">
        <f>IFERROR(VLOOKUP($A333&amp;"_"&amp;$B333,Results_Deltas!$A$2:$P$15000,5,FALSE),"")</f>
        <v/>
      </c>
      <c r="H329" t="inlineStr">
        <is>
          <t>Blanket (page end)</t>
        </is>
      </c>
      <c r="L329" t="inlineStr">
        <is>
          <t>NO</t>
        </is>
      </c>
    </row>
    <row r="330" ht="15.75" customHeight="1" s="67">
      <c r="A330" t="inlineStr">
        <is>
          <t>LR_BAND_LADDER_TF_BOTTOM</t>
        </is>
      </c>
      <c r="B330" t="inlineStr">
        <is>
          <t>1</t>
        </is>
      </c>
      <c r="D330" t="inlineStr">
        <is>
          <t>GLOBAL_CHECK, STOCKS_EXIT</t>
        </is>
      </c>
      <c r="G330">
        <f>IFERROR(VLOOKUP($A334&amp;"_"&amp;$B334,Results_Deltas!$A$2:$P$15000,5,FALSE),"")</f>
        <v/>
      </c>
      <c r="H330" t="inlineStr">
        <is>
          <t>Blanket (page end)</t>
        </is>
      </c>
      <c r="L330" t="inlineStr">
        <is>
          <t>YES</t>
        </is>
      </c>
    </row>
    <row r="331" ht="15.75" customHeight="1" s="67">
      <c r="A331" t="inlineStr">
        <is>
          <t>LR_BAND_LADDER_TF_TOP</t>
        </is>
      </c>
      <c r="B331" t="inlineStr">
        <is>
          <t>0</t>
        </is>
      </c>
      <c r="D331" t="inlineStr">
        <is>
          <t>GLOBAL_CHECK, STOCKS_EXIT</t>
        </is>
      </c>
      <c r="G331">
        <f>IFERROR(VLOOKUP($A335&amp;"_"&amp;$B335,Results_Deltas!$A$2:$P$15000,5,FALSE),"")</f>
        <v/>
      </c>
      <c r="H331" t="inlineStr">
        <is>
          <t>Blanket (page end)</t>
        </is>
      </c>
      <c r="L331" t="inlineStr">
        <is>
          <t>NO</t>
        </is>
      </c>
    </row>
    <row r="332" ht="15.75" customHeight="1" s="67">
      <c r="A332" t="inlineStr">
        <is>
          <t>LR_BAND_LADDER_TF_TOP</t>
        </is>
      </c>
      <c r="B332" t="inlineStr">
        <is>
          <t>1</t>
        </is>
      </c>
      <c r="D332" t="inlineStr">
        <is>
          <t>GLOBAL_CHECK, STOCKS_EXIT</t>
        </is>
      </c>
      <c r="G332">
        <f>IFERROR(VLOOKUP($A336&amp;"_"&amp;$B336,Results_Deltas!$A$2:$P$15000,5,FALSE),"")</f>
        <v/>
      </c>
      <c r="H332" t="inlineStr">
        <is>
          <t>Blanket (page end)</t>
        </is>
      </c>
      <c r="L332" t="inlineStr">
        <is>
          <t>YES</t>
        </is>
      </c>
    </row>
    <row r="333" ht="15.75" customHeight="1" s="67">
      <c r="A333" t="inlineStr">
        <is>
          <t>MANDATORY_REENTRY_WT_FILTER_MIN_TFS</t>
        </is>
      </c>
      <c r="B333" t="n">
        <v>0</v>
      </c>
      <c r="D333" t="inlineStr">
        <is>
          <t>GLOBAL_CHECK, STOCKS_EXIT</t>
        </is>
      </c>
      <c r="G333">
        <f>IFERROR(VLOOKUP($A337&amp;"_"&amp;$B337,Results_Deltas!$A$2:$P$15000,5,FALSE),"")</f>
        <v/>
      </c>
      <c r="H333" t="inlineStr">
        <is>
          <t>Blanket (page end)</t>
        </is>
      </c>
      <c r="L333" t="inlineStr">
        <is>
          <t>NO</t>
        </is>
      </c>
    </row>
    <row r="334" ht="15.75" customHeight="1" s="67">
      <c r="A334" t="inlineStr">
        <is>
          <t>MANDATORY_REENTRY_WT_FILTER_MIN_TFS</t>
        </is>
      </c>
      <c r="B334" t="inlineStr">
        <is>
          <t>3</t>
        </is>
      </c>
      <c r="D334" t="inlineStr">
        <is>
          <t>GLOBAL_CHECK, STOCKS_EXIT</t>
        </is>
      </c>
      <c r="G334">
        <f>IFERROR(VLOOKUP($A338&amp;"_"&amp;$B338,Results_Deltas!$A$2:$P$15000,5,FALSE),"")</f>
        <v/>
      </c>
      <c r="H334" t="inlineStr">
        <is>
          <t>Blanket (page end)</t>
        </is>
      </c>
      <c r="L334" t="inlineStr">
        <is>
          <t>NO</t>
        </is>
      </c>
    </row>
    <row r="335" ht="15.75" customHeight="1" s="67">
      <c r="A335" t="inlineStr">
        <is>
          <t>MANDATORY_REENTRY_WT_FILTER_MIN_TFS</t>
        </is>
      </c>
      <c r="B335" t="inlineStr">
        <is>
          <t>2</t>
        </is>
      </c>
      <c r="D335" t="inlineStr">
        <is>
          <t>GLOBAL_CHECK, STOCKS_EXIT</t>
        </is>
      </c>
      <c r="G335">
        <f>IFERROR(VLOOKUP($A339&amp;"_"&amp;$B339,Results_Deltas!$A$2:$P$15000,5,FALSE),"")</f>
        <v/>
      </c>
      <c r="H335" t="inlineStr">
        <is>
          <t>Blanket (page end)</t>
        </is>
      </c>
      <c r="L335" t="inlineStr">
        <is>
          <t>NO</t>
        </is>
      </c>
    </row>
    <row r="336" ht="15.75" customHeight="1" s="67">
      <c r="A336" t="inlineStr">
        <is>
          <t>MANDATORY_REENTRY_WT_FILTER_MIN_VELOCITY</t>
        </is>
      </c>
      <c r="B336" t="inlineStr">
        <is>
          <t>0.0</t>
        </is>
      </c>
      <c r="D336" t="inlineStr">
        <is>
          <t>GLOBAL_CHECK, STOCKS_EXIT</t>
        </is>
      </c>
      <c r="G336">
        <f>IFERROR(VLOOKUP($A340&amp;"_"&amp;$B340,Results_Deltas!$A$2:$P$15000,5,FALSE),"")</f>
        <v/>
      </c>
      <c r="H336" t="inlineStr">
        <is>
          <t>Blanket (page end)</t>
        </is>
      </c>
      <c r="L336" t="inlineStr">
        <is>
          <t>YES</t>
        </is>
      </c>
    </row>
    <row r="337" ht="15.75" customHeight="1" s="67">
      <c r="A337" t="inlineStr">
        <is>
          <t>MANDATORY_REENTRY_WT_FILTER_MIN_VELOCITY</t>
        </is>
      </c>
      <c r="B337" t="inlineStr">
        <is>
          <t>0.0_ALT</t>
        </is>
      </c>
      <c r="D337" t="inlineStr">
        <is>
          <t>GLOBAL_CHECK, STOCKS_EXIT</t>
        </is>
      </c>
      <c r="G337">
        <f>IFERROR(VLOOKUP($A341&amp;"_"&amp;$B341,Results_Deltas!$A$2:$P$15000,5,FALSE),"")</f>
        <v/>
      </c>
      <c r="H337" t="inlineStr">
        <is>
          <t>Blanket (page end)</t>
        </is>
      </c>
      <c r="L337" t="inlineStr">
        <is>
          <t>NO</t>
        </is>
      </c>
    </row>
    <row r="338" ht="15.75" customHeight="1" s="67">
      <c r="A338" t="inlineStr">
        <is>
          <t>MANDATORY_REENTRY_WT_FILTER_REQUIRE_FLIP</t>
        </is>
      </c>
      <c r="B338" t="n">
        <v>0</v>
      </c>
      <c r="D338" t="inlineStr">
        <is>
          <t>GLOBAL_CHECK, STOCKS_EXIT</t>
        </is>
      </c>
      <c r="G338">
        <f>IFERROR(VLOOKUP($A342&amp;"_"&amp;$B342,Results_Deltas!$A$2:$P$15000,5,FALSE),"")</f>
        <v/>
      </c>
      <c r="H338" t="inlineStr">
        <is>
          <t>Blanket (page end)</t>
        </is>
      </c>
      <c r="L338" t="inlineStr">
        <is>
          <t>NO</t>
        </is>
      </c>
    </row>
    <row r="339" ht="15.75" customHeight="1" s="67">
      <c r="A339" t="inlineStr">
        <is>
          <t>MANDATORY_REENTRY_WT_FILTER_REQUIRE_FLIP</t>
        </is>
      </c>
      <c r="B339" t="inlineStr">
        <is>
          <t>False_ALT</t>
        </is>
      </c>
      <c r="D339" t="inlineStr">
        <is>
          <t>GLOBAL_CHECK, STOCKS_EXIT</t>
        </is>
      </c>
      <c r="G339">
        <f>IFERROR(VLOOKUP($A343&amp;"_"&amp;$B343,Results_Deltas!$A$2:$P$15000,5,FALSE),"")</f>
        <v/>
      </c>
      <c r="H339" t="inlineStr">
        <is>
          <t>Blanket (page end)</t>
        </is>
      </c>
      <c r="L339" t="inlineStr">
        <is>
          <t>NO</t>
        </is>
      </c>
    </row>
    <row r="340" ht="15.75" customHeight="1" s="67">
      <c r="A340" t="inlineStr">
        <is>
          <t>MANDATORY_REENTRY_WT_FILTER_VELOCITY_RATIO</t>
        </is>
      </c>
      <c r="B340" t="n">
        <v>0</v>
      </c>
      <c r="D340" t="inlineStr">
        <is>
          <t>GLOBAL_CHECK, STOCKS_EXIT</t>
        </is>
      </c>
      <c r="G340">
        <f>IFERROR(VLOOKUP($A344&amp;"_"&amp;$B344,Results_Deltas!$A$2:$P$15000,5,FALSE),"")</f>
        <v/>
      </c>
      <c r="H340" t="inlineStr">
        <is>
          <t>Blanket (page end)</t>
        </is>
      </c>
      <c r="L340" t="inlineStr">
        <is>
          <t>NO</t>
        </is>
      </c>
    </row>
    <row r="341" ht="15.75" customHeight="1" s="67">
      <c r="A341" t="inlineStr">
        <is>
          <t>MANDATORY_REENTRY_WT_FILTER_VELOCITY_RATIO</t>
        </is>
      </c>
      <c r="B341" t="inlineStr">
        <is>
          <t>0.90_ALT</t>
        </is>
      </c>
      <c r="D341" t="inlineStr">
        <is>
          <t>GLOBAL_CHECK, STOCKS_EXIT</t>
        </is>
      </c>
      <c r="G341">
        <f>IFERROR(VLOOKUP($A345&amp;"_"&amp;$B345,Results_Deltas!$A$2:$P$15000,5,FALSE),"")</f>
        <v/>
      </c>
      <c r="H341" t="inlineStr">
        <is>
          <t>Blanket (page end)</t>
        </is>
      </c>
      <c r="L341" t="inlineStr">
        <is>
          <t>NO</t>
        </is>
      </c>
    </row>
    <row r="342" ht="15.75" customHeight="1" s="67">
      <c r="A342" t="inlineStr">
        <is>
          <t>MARKET_QUALITY_SCORE_ENABLED</t>
        </is>
      </c>
      <c r="B342" t="inlineStr">
        <is>
          <t>False</t>
        </is>
      </c>
      <c r="D342" t="inlineStr">
        <is>
          <t>ENTRY, GLOBAL_CHECK, STOCKS_EXIT</t>
        </is>
      </c>
      <c r="G342">
        <f>IFERROR(VLOOKUP($A346&amp;"_"&amp;$B346,Results_Deltas!$A$2:$P$15000,5,FALSE),"")</f>
        <v/>
      </c>
      <c r="H342" t="inlineStr">
        <is>
          <t>Blanket (page end)</t>
        </is>
      </c>
      <c r="L342" t="inlineStr">
        <is>
          <t>NO</t>
        </is>
      </c>
    </row>
    <row r="343" ht="15.75" customHeight="1" s="67">
      <c r="A343" t="inlineStr">
        <is>
          <t>MARKET_QUALITY_SCORE_ENABLED</t>
        </is>
      </c>
      <c r="B343" t="inlineStr">
        <is>
          <t>True</t>
        </is>
      </c>
      <c r="D343" t="inlineStr">
        <is>
          <t>ENTRY, GLOBAL_CHECK, STOCKS_EXIT</t>
        </is>
      </c>
      <c r="G343">
        <f>IFERROR(VLOOKUP($A347&amp;"_"&amp;$B347,Results_Deltas!$A$2:$P$15000,5,FALSE),"")</f>
        <v/>
      </c>
      <c r="H343" t="inlineStr">
        <is>
          <t>Blanket (page end)</t>
        </is>
      </c>
      <c r="L343" t="inlineStr">
        <is>
          <t>NO</t>
        </is>
      </c>
    </row>
    <row r="344" ht="15.75" customHeight="1" s="67">
      <c r="A344" t="inlineStr">
        <is>
          <t>MI_TF_AGREE_MIN</t>
        </is>
      </c>
      <c r="B344" t="inlineStr">
        <is>
          <t>0.0</t>
        </is>
      </c>
      <c r="D344" t="inlineStr">
        <is>
          <t>ENTRY, GLOBAL_CHECK, STOCKS_EXIT</t>
        </is>
      </c>
      <c r="G344">
        <f>IFERROR(VLOOKUP($A348&amp;"_"&amp;$B348,Results_Deltas!$A$2:$P$15000,5,FALSE),"")</f>
        <v/>
      </c>
      <c r="H344" t="inlineStr">
        <is>
          <t>Blanket (page end)</t>
        </is>
      </c>
      <c r="L344" t="inlineStr">
        <is>
          <t>YES</t>
        </is>
      </c>
    </row>
    <row r="345" ht="15.75" customHeight="1" s="67">
      <c r="A345" t="inlineStr">
        <is>
          <t>MI_TF_AGREE_MIN</t>
        </is>
      </c>
      <c r="B345" t="inlineStr">
        <is>
          <t>0.0_ALT</t>
        </is>
      </c>
      <c r="D345" t="inlineStr">
        <is>
          <t>ENTRY, GLOBAL_CHECK, STOCKS_EXIT</t>
        </is>
      </c>
      <c r="G345">
        <f>IFERROR(VLOOKUP($A349&amp;"_"&amp;$B349,Results_Deltas!$A$2:$P$15000,5,FALSE),"")</f>
        <v/>
      </c>
      <c r="H345" t="inlineStr">
        <is>
          <t>Blanket (page end)</t>
        </is>
      </c>
      <c r="L345" t="inlineStr">
        <is>
          <t>NO</t>
        </is>
      </c>
    </row>
    <row r="346" ht="15.75" customHeight="1" s="67">
      <c r="A346" t="inlineStr">
        <is>
          <t>MOVER_THRESHOLD</t>
        </is>
      </c>
      <c r="B346" t="n">
        <v>0</v>
      </c>
      <c r="D346" t="inlineStr">
        <is>
          <t>ENTRY, GLOBAL_CHECK, STOCKS_EXIT</t>
        </is>
      </c>
      <c r="G346">
        <f>IFERROR(VLOOKUP($A350&amp;"_"&amp;$B350,Results_Deltas!$A$2:$P$15000,5,FALSE),"")</f>
        <v/>
      </c>
      <c r="H346" t="inlineStr">
        <is>
          <t>Blanket (page end)</t>
        </is>
      </c>
      <c r="L346" t="inlineStr">
        <is>
          <t>NO</t>
        </is>
      </c>
    </row>
    <row r="347" ht="15.75" customHeight="1" s="67">
      <c r="A347" t="inlineStr">
        <is>
          <t>MOVER_THRESHOLD</t>
        </is>
      </c>
      <c r="B347" t="inlineStr">
        <is>
          <t>6.25</t>
        </is>
      </c>
      <c r="D347" t="inlineStr">
        <is>
          <t>ENTRY, GLOBAL_CHECK, STOCKS_EXIT</t>
        </is>
      </c>
      <c r="G347">
        <f>IFERROR(VLOOKUP($A351&amp;"_"&amp;$B351,Results_Deltas!$A$2:$P$15000,5,FALSE),"")</f>
        <v/>
      </c>
      <c r="H347" t="inlineStr">
        <is>
          <t>Blanket (page end)</t>
        </is>
      </c>
      <c r="L347" t="inlineStr">
        <is>
          <t>NO</t>
        </is>
      </c>
    </row>
    <row r="348" ht="15.75" customHeight="1" s="67">
      <c r="A348" t="inlineStr">
        <is>
          <t>MOVER_THRESHOLD</t>
        </is>
      </c>
      <c r="B348" t="inlineStr">
        <is>
          <t>3.75</t>
        </is>
      </c>
      <c r="D348" t="inlineStr">
        <is>
          <t>ENTRY, GLOBAL_CHECK, STOCKS_EXIT</t>
        </is>
      </c>
      <c r="G348">
        <f>IFERROR(VLOOKUP($A352&amp;"_"&amp;$B352,Results_Deltas!$A$2:$P$15000,5,FALSE),"")</f>
        <v/>
      </c>
      <c r="H348" t="inlineStr">
        <is>
          <t>Blanket (page end)</t>
        </is>
      </c>
      <c r="L348" t="inlineStr">
        <is>
          <t>YES</t>
        </is>
      </c>
    </row>
    <row r="349" ht="15.75" customHeight="1" s="67">
      <c r="A349" t="inlineStr">
        <is>
          <t>MOVER_THRESHOLD</t>
        </is>
      </c>
      <c r="B349" t="inlineStr">
        <is>
          <t>2.5</t>
        </is>
      </c>
      <c r="D349" t="inlineStr">
        <is>
          <t>ENTRY, GLOBAL_CHECK, STOCKS_EXIT</t>
        </is>
      </c>
      <c r="G349">
        <f>IFERROR(VLOOKUP($A353&amp;"_"&amp;$B353,Results_Deltas!$A$2:$P$15000,5,FALSE),"")</f>
        <v/>
      </c>
      <c r="H349" t="inlineStr">
        <is>
          <t>Blanket (page end)</t>
        </is>
      </c>
      <c r="L349" t="inlineStr">
        <is>
          <t>NO</t>
        </is>
      </c>
    </row>
    <row r="350" ht="15.75" customHeight="1" s="67">
      <c r="A350" t="inlineStr">
        <is>
          <t>MTF_FILTER_STRONG_BUY_QUICK_BYPASS</t>
        </is>
      </c>
      <c r="B350" t="inlineStr">
        <is>
          <t>0.0</t>
        </is>
      </c>
      <c r="D350" t="inlineStr">
        <is>
          <t>GLOBAL_CHECK, STOCKS_EXIT</t>
        </is>
      </c>
      <c r="G350">
        <f>IFERROR(VLOOKUP($A354&amp;"_"&amp;$B354,Results_Deltas!$A$2:$P$15000,5,FALSE),"")</f>
        <v/>
      </c>
      <c r="H350" t="inlineStr">
        <is>
          <t>Blanket (page end)</t>
        </is>
      </c>
      <c r="L350" t="inlineStr">
        <is>
          <t>NO</t>
        </is>
      </c>
    </row>
    <row r="351" ht="15.75" customHeight="1" s="67">
      <c r="A351" t="inlineStr">
        <is>
          <t>MTF_FILTER_STRONG_BUY_QUICK_BYPASS</t>
        </is>
      </c>
      <c r="B351" t="inlineStr">
        <is>
          <t>0.0_ALT</t>
        </is>
      </c>
      <c r="D351" t="inlineStr">
        <is>
          <t>GLOBAL_CHECK, STOCKS_EXIT</t>
        </is>
      </c>
      <c r="G351">
        <f>IFERROR(VLOOKUP($A355&amp;"_"&amp;$B355,Results_Deltas!$A$2:$P$15000,5,FALSE),"")</f>
        <v/>
      </c>
      <c r="H351" t="inlineStr">
        <is>
          <t>Blanket (page end)</t>
        </is>
      </c>
      <c r="L351" t="inlineStr">
        <is>
          <t>NO</t>
        </is>
      </c>
    </row>
    <row r="352" ht="15.75" customHeight="1" s="67">
      <c r="A352" t="inlineStr">
        <is>
          <t>MTF_GR_MIN_IND</t>
        </is>
      </c>
      <c r="B352" t="inlineStr">
        <is>
          <t>5</t>
        </is>
      </c>
      <c r="D352" t="inlineStr">
        <is>
          <t>GLOBAL_CHECK, STOCKS_EXIT</t>
        </is>
      </c>
      <c r="G352">
        <f>IFERROR(VLOOKUP($A356&amp;"_"&amp;$B356,Results_Deltas!$A$2:$P$15000,5,FALSE),"")</f>
        <v/>
      </c>
      <c r="H352" t="inlineStr">
        <is>
          <t>Blanket (page end)</t>
        </is>
      </c>
      <c r="L352" t="inlineStr">
        <is>
          <t>NO</t>
        </is>
      </c>
    </row>
    <row r="353" ht="15.75" customHeight="1" s="67">
      <c r="A353" t="inlineStr">
        <is>
          <t>MTF_GR_MIN_IND</t>
        </is>
      </c>
      <c r="B353" t="inlineStr">
        <is>
          <t>5_ALT</t>
        </is>
      </c>
      <c r="D353" t="inlineStr">
        <is>
          <t>GLOBAL_CHECK, STOCKS_EXIT</t>
        </is>
      </c>
      <c r="G353">
        <f>IFERROR(VLOOKUP($A357&amp;"_"&amp;$B357,Results_Deltas!$A$2:$P$15000,5,FALSE),"")</f>
        <v/>
      </c>
      <c r="H353" t="inlineStr">
        <is>
          <t>Blanket (page end)</t>
        </is>
      </c>
      <c r="L353" t="inlineStr">
        <is>
          <t>YES</t>
        </is>
      </c>
    </row>
    <row r="354" ht="15.75" customHeight="1" s="67">
      <c r="A354" t="inlineStr">
        <is>
          <t>MTS_BOTTOM_BONUS_THRESHOLD</t>
        </is>
      </c>
      <c r="B354" t="n">
        <v>0</v>
      </c>
      <c r="D354" t="inlineStr">
        <is>
          <t>ENTRY, GLOBAL_CHECK, STOCKS_EXIT</t>
        </is>
      </c>
      <c r="G354">
        <f>IFERROR(VLOOKUP($A358&amp;"_"&amp;$B358,Results_Deltas!$A$2:$P$15000,5,FALSE),"")</f>
        <v/>
      </c>
      <c r="H354" t="inlineStr">
        <is>
          <t>Blanket (page end)</t>
        </is>
      </c>
      <c r="L354" t="inlineStr">
        <is>
          <t>YES</t>
        </is>
      </c>
    </row>
    <row r="355" ht="15.75" customHeight="1" s="67">
      <c r="A355" t="inlineStr">
        <is>
          <t>MTS_BOTTOM_BONUS_THRESHOLD</t>
        </is>
      </c>
      <c r="B355" t="inlineStr">
        <is>
          <t>31.25</t>
        </is>
      </c>
      <c r="D355" t="inlineStr">
        <is>
          <t>ENTRY, GLOBAL_CHECK, STOCKS_EXIT</t>
        </is>
      </c>
      <c r="G355">
        <f>IFERROR(VLOOKUP($A359&amp;"_"&amp;$B359,Results_Deltas!$A$2:$P$15000,5,FALSE),"")</f>
        <v/>
      </c>
      <c r="H355" t="inlineStr">
        <is>
          <t>Blanket (page end)</t>
        </is>
      </c>
      <c r="L355" t="inlineStr">
        <is>
          <t>NO</t>
        </is>
      </c>
    </row>
    <row r="356" ht="15.75" customHeight="1" s="67">
      <c r="A356" t="inlineStr">
        <is>
          <t>MTS_BOTTOM_BONUS_THRESHOLD</t>
        </is>
      </c>
      <c r="B356" t="inlineStr">
        <is>
          <t>18.75</t>
        </is>
      </c>
      <c r="D356" t="inlineStr">
        <is>
          <t>ENTRY, GLOBAL_CHECK, STOCKS_EXIT</t>
        </is>
      </c>
      <c r="G356">
        <f>IFERROR(VLOOKUP($A360&amp;"_"&amp;$B360,Results_Deltas!$A$2:$P$15000,5,FALSE),"")</f>
        <v/>
      </c>
      <c r="H356" t="inlineStr">
        <is>
          <t>Blanket (page end)</t>
        </is>
      </c>
      <c r="L356" t="inlineStr">
        <is>
          <t>NO</t>
        </is>
      </c>
    </row>
    <row r="357" ht="15.75" customHeight="1" s="67">
      <c r="A357" t="inlineStr">
        <is>
          <t>MTS_BOTTOM_BONUS_THRESHOLD</t>
        </is>
      </c>
      <c r="B357" t="inlineStr">
        <is>
          <t>12.5</t>
        </is>
      </c>
      <c r="D357" t="inlineStr">
        <is>
          <t>ENTRY, GLOBAL_CHECK, STOCKS_EXIT</t>
        </is>
      </c>
      <c r="G357">
        <f>IFERROR(VLOOKUP($A361&amp;"_"&amp;$B361,Results_Deltas!$A$2:$P$15000,5,FALSE),"")</f>
        <v/>
      </c>
      <c r="H357" t="inlineStr">
        <is>
          <t>Blanket (page end)</t>
        </is>
      </c>
      <c r="L357" t="inlineStr">
        <is>
          <t>NO</t>
        </is>
      </c>
    </row>
    <row r="358" ht="15.75" customHeight="1" s="67">
      <c r="A358" t="inlineStr">
        <is>
          <t>MTS_BOTTOM_STRONG_THRESHOLD</t>
        </is>
      </c>
      <c r="B358" t="n">
        <v>0</v>
      </c>
      <c r="D358" t="inlineStr">
        <is>
          <t>ENTRY, GLOBAL_CHECK, STOCKS_EXIT</t>
        </is>
      </c>
      <c r="G358">
        <f>IFERROR(VLOOKUP($A362&amp;"_"&amp;$B362,Results_Deltas!$A$2:$P$15000,5,FALSE),"")</f>
        <v/>
      </c>
      <c r="H358" t="inlineStr">
        <is>
          <t>Blanket (page end)</t>
        </is>
      </c>
      <c r="L358" t="inlineStr">
        <is>
          <t>NO</t>
        </is>
      </c>
    </row>
    <row r="359" ht="15.75" customHeight="1" s="67">
      <c r="A359" t="inlineStr">
        <is>
          <t>MTS_BOTTOM_STRONG_THRESHOLD</t>
        </is>
      </c>
      <c r="B359" t="inlineStr">
        <is>
          <t>50</t>
        </is>
      </c>
      <c r="D359" t="inlineStr">
        <is>
          <t>ENTRY, GLOBAL_CHECK, STOCKS_EXIT</t>
        </is>
      </c>
      <c r="G359">
        <f>IFERROR(VLOOKUP($A363&amp;"_"&amp;$B363,Results_Deltas!$A$2:$P$15000,5,FALSE),"")</f>
        <v/>
      </c>
      <c r="H359" t="inlineStr">
        <is>
          <t>Blanket (page end)</t>
        </is>
      </c>
      <c r="L359" t="inlineStr">
        <is>
          <t>NO</t>
        </is>
      </c>
    </row>
    <row r="360" ht="15.75" customHeight="1" s="67">
      <c r="A360" t="inlineStr">
        <is>
          <t>MTS_BOTTOM_STRONG_THRESHOLD</t>
        </is>
      </c>
      <c r="B360" t="inlineStr">
        <is>
          <t>30</t>
        </is>
      </c>
      <c r="D360" t="inlineStr">
        <is>
          <t>ENTRY, GLOBAL_CHECK, STOCKS_EXIT</t>
        </is>
      </c>
      <c r="G360">
        <f>IFERROR(VLOOKUP($A364&amp;"_"&amp;$B364,Results_Deltas!$A$2:$P$15000,5,FALSE),"")</f>
        <v/>
      </c>
      <c r="H360" t="inlineStr">
        <is>
          <t>Blanket (page end)</t>
        </is>
      </c>
      <c r="L360" t="inlineStr">
        <is>
          <t>NO</t>
        </is>
      </c>
    </row>
    <row r="361" ht="15.75" customHeight="1" s="67">
      <c r="A361" t="inlineStr">
        <is>
          <t>MTS_BOTTOM_STRONG_THRESHOLD</t>
        </is>
      </c>
      <c r="B361" t="inlineStr">
        <is>
          <t>20</t>
        </is>
      </c>
      <c r="D361" t="inlineStr">
        <is>
          <t>ENTRY, GLOBAL_CHECK, STOCKS_EXIT</t>
        </is>
      </c>
      <c r="G361">
        <f>IFERROR(VLOOKUP($A365&amp;"_"&amp;$B365,Results_Deltas!$A$2:$P$15000,5,FALSE),"")</f>
        <v/>
      </c>
      <c r="H361" t="inlineStr">
        <is>
          <t>Blanket (page end)</t>
        </is>
      </c>
      <c r="L361" t="inlineStr">
        <is>
          <t>NO</t>
        </is>
      </c>
    </row>
    <row r="362" ht="15.75" customHeight="1" s="67">
      <c r="A362" t="inlineStr">
        <is>
          <t>MTS_GATE_ENABLED</t>
        </is>
      </c>
      <c r="B362" t="inlineStr">
        <is>
          <t>False</t>
        </is>
      </c>
      <c r="D362" t="inlineStr">
        <is>
          <t>ENTRY, GLOBAL_CHECK, STOCKS_EXIT</t>
        </is>
      </c>
      <c r="G362">
        <f>IFERROR(VLOOKUP($A366&amp;"_"&amp;$B366,Results_Deltas!$A$2:$P$15000,5,FALSE),"")</f>
        <v/>
      </c>
      <c r="H362" t="inlineStr">
        <is>
          <t>Blanket (page end)</t>
        </is>
      </c>
      <c r="L362" t="inlineStr">
        <is>
          <t>NO</t>
        </is>
      </c>
    </row>
    <row r="363" ht="15.75" customHeight="1" s="67">
      <c r="A363" t="inlineStr">
        <is>
          <t>MTS_GATE_ENABLED</t>
        </is>
      </c>
      <c r="B363" t="b">
        <v>0</v>
      </c>
      <c r="D363" t="inlineStr">
        <is>
          <t>ENTRY, GLOBAL_CHECK, STOCKS_EXIT</t>
        </is>
      </c>
      <c r="G363">
        <f>IFERROR(VLOOKUP($A367&amp;"_"&amp;$B367,Results_Deltas!$A$2:$P$15000,5,FALSE),"")</f>
        <v/>
      </c>
      <c r="H363" t="inlineStr">
        <is>
          <t>Blanket (page end)</t>
        </is>
      </c>
      <c r="L363" t="inlineStr">
        <is>
          <t>NO</t>
        </is>
      </c>
    </row>
    <row r="364" ht="15.75" customHeight="1" s="67">
      <c r="A364" t="inlineStr">
        <is>
          <t>NEWBORN_LOSS_KILL_GAIN_THRESHOLD_PCT</t>
        </is>
      </c>
      <c r="B364" t="inlineStr">
        <is>
          <t>0</t>
        </is>
      </c>
      <c r="D364" t="inlineStr">
        <is>
          <t>AUGMENT, EXIT, GLOBAL_CHECK, REDUCE, STOCKS_EXIT</t>
        </is>
      </c>
      <c r="G364">
        <f>IFERROR(VLOOKUP($A368&amp;"_"&amp;$B368,Results_Deltas!$A$2:$P$15000,5,FALSE),"")</f>
        <v/>
      </c>
      <c r="H364" t="inlineStr">
        <is>
          <t>Blanket (page end)</t>
        </is>
      </c>
      <c r="L364" t="inlineStr">
        <is>
          <t>NO</t>
        </is>
      </c>
    </row>
    <row r="365" ht="15.75" customHeight="1" s="67">
      <c r="A365" t="inlineStr">
        <is>
          <t>NEWBORN_LOSS_KILL_GAIN_THRESHOLD_PCT</t>
        </is>
      </c>
      <c r="B365" t="inlineStr">
        <is>
          <t>2.0</t>
        </is>
      </c>
      <c r="D365" t="inlineStr">
        <is>
          <t>AUGMENT, EXIT, GLOBAL_CHECK, REDUCE, STOCKS_EXIT</t>
        </is>
      </c>
      <c r="G365">
        <f>IFERROR(VLOOKUP($A369&amp;"_"&amp;$B369,Results_Deltas!$A$2:$P$15000,5,FALSE),"")</f>
        <v/>
      </c>
      <c r="H365" t="inlineStr">
        <is>
          <t>Blanket (page end)</t>
        </is>
      </c>
      <c r="L365" t="inlineStr">
        <is>
          <t>YES</t>
        </is>
      </c>
    </row>
    <row r="366" ht="15.75" customHeight="1" s="67">
      <c r="A366" t="inlineStr">
        <is>
          <t>NEWBORN_LOSS_KILL_GAIN_THRESHOLD_PCT</t>
        </is>
      </c>
      <c r="B366" t="inlineStr">
        <is>
          <t>1.0</t>
        </is>
      </c>
      <c r="D366" t="inlineStr">
        <is>
          <t>AUGMENT, EXIT, GLOBAL_CHECK, REDUCE, STOCKS_EXIT</t>
        </is>
      </c>
      <c r="G366">
        <f>IFERROR(VLOOKUP($A370&amp;"_"&amp;$B370,Results_Deltas!$A$2:$P$15000,5,FALSE),"")</f>
        <v/>
      </c>
      <c r="H366" t="inlineStr">
        <is>
          <t>Blanket (page end)</t>
        </is>
      </c>
      <c r="L366" t="inlineStr">
        <is>
          <t>NO</t>
        </is>
      </c>
    </row>
    <row r="367" ht="15.75" customHeight="1" s="67">
      <c r="A367" t="inlineStr">
        <is>
          <t>NEWBORN_LOSS_KILL_GAIN_THRESHOLD_PCT</t>
        </is>
      </c>
      <c r="B367" t="inlineStr">
        <is>
          <t>0.5</t>
        </is>
      </c>
      <c r="D367" t="inlineStr">
        <is>
          <t>AUGMENT, EXIT, GLOBAL_CHECK, REDUCE, STOCKS_EXIT</t>
        </is>
      </c>
      <c r="G367">
        <f>IFERROR(VLOOKUP($A371&amp;"_"&amp;$B371,Results_Deltas!$A$2:$P$15000,5,FALSE),"")</f>
        <v/>
      </c>
      <c r="H367" t="inlineStr">
        <is>
          <t>Blanket (page end)</t>
        </is>
      </c>
      <c r="L367" t="inlineStr">
        <is>
          <t>NO</t>
        </is>
      </c>
    </row>
    <row r="368" ht="15.75" customHeight="1" s="67">
      <c r="A368" t="inlineStr">
        <is>
          <t>NEWBORN_LOSS_KILL_REQUIRE_VEL_AGAINST</t>
        </is>
      </c>
      <c r="B368" t="inlineStr">
        <is>
          <t>0.0</t>
        </is>
      </c>
      <c r="D368" t="inlineStr">
        <is>
          <t>AUGMENT, EXIT, GLOBAL_CHECK, REDUCE, STOCKS_EXIT</t>
        </is>
      </c>
      <c r="G368">
        <f>IFERROR(VLOOKUP($A372&amp;"_"&amp;$B372,Results_Deltas!$A$2:$P$15000,5,FALSE),"")</f>
        <v/>
      </c>
      <c r="H368" t="inlineStr">
        <is>
          <t>Blanket (page end)</t>
        </is>
      </c>
      <c r="L368" t="inlineStr">
        <is>
          <t>NO</t>
        </is>
      </c>
    </row>
    <row r="369" ht="15.75" customHeight="1" s="67">
      <c r="A369" t="inlineStr">
        <is>
          <t>NEWBORN_LOSS_KILL_REQUIRE_VEL_AGAINST</t>
        </is>
      </c>
      <c r="B369" t="inlineStr">
        <is>
          <t>0.0_ALT</t>
        </is>
      </c>
      <c r="D369" t="inlineStr">
        <is>
          <t>AUGMENT, EXIT, GLOBAL_CHECK, REDUCE, STOCKS_EXIT</t>
        </is>
      </c>
      <c r="G369">
        <f>IFERROR(VLOOKUP($A373&amp;"_"&amp;$B373,Results_Deltas!$A$2:$P$15000,5,FALSE),"")</f>
        <v/>
      </c>
      <c r="H369" t="inlineStr">
        <is>
          <t>Blanket (page end)</t>
        </is>
      </c>
      <c r="L369" t="inlineStr">
        <is>
          <t>YES</t>
        </is>
      </c>
    </row>
    <row r="370" ht="15.75" customHeight="1" s="67">
      <c r="A370" t="inlineStr">
        <is>
          <t>NEW_POSITION_MAX_LOSS_THRESHOLD</t>
        </is>
      </c>
      <c r="B370" t="inlineStr">
        <is>
          <t>0</t>
        </is>
      </c>
      <c r="D370" t="inlineStr">
        <is>
          <t>AUGMENT, EXIT, GLOBAL_CHECK, REDUCE, STOCKS_EXIT</t>
        </is>
      </c>
      <c r="G370">
        <f>IFERROR(VLOOKUP($A374&amp;"_"&amp;$B374,Results_Deltas!$A$2:$P$15000,5,FALSE),"")</f>
        <v/>
      </c>
      <c r="H370" t="inlineStr">
        <is>
          <t>Blanket (page end)</t>
        </is>
      </c>
      <c r="L370" t="inlineStr">
        <is>
          <t>NO</t>
        </is>
      </c>
    </row>
    <row r="371" ht="15.75" customHeight="1" s="67">
      <c r="A371" t="inlineStr">
        <is>
          <t>NEW_POSITION_MAX_LOSS_THRESHOLD</t>
        </is>
      </c>
      <c r="B371" t="inlineStr">
        <is>
          <t>2.0</t>
        </is>
      </c>
      <c r="D371" t="inlineStr">
        <is>
          <t>AUGMENT, EXIT, GLOBAL_CHECK, REDUCE, STOCKS_EXIT</t>
        </is>
      </c>
      <c r="G371">
        <f>IFERROR(VLOOKUP($A375&amp;"_"&amp;$B375,Results_Deltas!$A$2:$P$15000,5,FALSE),"")</f>
        <v/>
      </c>
      <c r="H371" t="inlineStr">
        <is>
          <t>Blanket (page end)</t>
        </is>
      </c>
      <c r="L371" t="inlineStr">
        <is>
          <t>NO</t>
        </is>
      </c>
    </row>
    <row r="372" ht="15.75" customHeight="1" s="67">
      <c r="A372" t="inlineStr">
        <is>
          <t>NEW_POSITION_MAX_LOSS_THRESHOLD</t>
        </is>
      </c>
      <c r="B372" t="inlineStr">
        <is>
          <t>1.0</t>
        </is>
      </c>
      <c r="D372" t="inlineStr">
        <is>
          <t>AUGMENT, EXIT, GLOBAL_CHECK, REDUCE, STOCKS_EXIT</t>
        </is>
      </c>
      <c r="G372">
        <f>IFERROR(VLOOKUP($A376&amp;"_"&amp;$B376,Results_Deltas!$A$2:$P$15000,5,FALSE),"")</f>
        <v/>
      </c>
      <c r="H372" t="inlineStr">
        <is>
          <t>Blanket (page end)</t>
        </is>
      </c>
      <c r="L372" t="inlineStr">
        <is>
          <t>NO</t>
        </is>
      </c>
    </row>
    <row r="373" ht="15.75" customHeight="1" s="67">
      <c r="A373" t="inlineStr">
        <is>
          <t>NEW_POSITION_MAX_LOSS_THRESHOLD</t>
        </is>
      </c>
      <c r="B373" t="inlineStr">
        <is>
          <t>0.5</t>
        </is>
      </c>
      <c r="D373" t="inlineStr">
        <is>
          <t>AUGMENT, EXIT, GLOBAL_CHECK, REDUCE, STOCKS_EXIT</t>
        </is>
      </c>
      <c r="G373">
        <f>IFERROR(VLOOKUP($A377&amp;"_"&amp;$B377,Results_Deltas!$A$2:$P$15000,5,FALSE),"")</f>
        <v/>
      </c>
      <c r="H373" t="inlineStr">
        <is>
          <t>Blanket (page end)</t>
        </is>
      </c>
      <c r="L373" t="inlineStr">
        <is>
          <t>NO</t>
        </is>
      </c>
    </row>
    <row r="374" ht="15.75" customHeight="1" s="67">
      <c r="A374" t="inlineStr">
        <is>
          <t>OI_CONFIRM_ENABLED</t>
        </is>
      </c>
      <c r="B374" t="inlineStr">
        <is>
          <t>False</t>
        </is>
      </c>
      <c r="D374" t="inlineStr">
        <is>
          <t>ENTRY, GLOBAL_CHECK, STOCKS_EXIT</t>
        </is>
      </c>
      <c r="G374">
        <f>IFERROR(VLOOKUP($A378&amp;"_"&amp;$B378,Results_Deltas!$A$2:$P$15000,5,FALSE),"")</f>
        <v/>
      </c>
      <c r="H374" t="inlineStr">
        <is>
          <t>Blanket (page end)</t>
        </is>
      </c>
      <c r="L374" t="inlineStr">
        <is>
          <t>NO</t>
        </is>
      </c>
    </row>
    <row r="375" ht="15.75" customHeight="1" s="67">
      <c r="A375" t="inlineStr">
        <is>
          <t>OI_CONFIRM_ENABLED</t>
        </is>
      </c>
      <c r="B375" t="b">
        <v>0</v>
      </c>
      <c r="D375" t="inlineStr">
        <is>
          <t>ENTRY, GLOBAL_CHECK, STOCKS_EXIT</t>
        </is>
      </c>
      <c r="G375">
        <f>IFERROR(VLOOKUP($A379&amp;"_"&amp;$B379,Results_Deltas!$A$2:$P$15000,5,FALSE),"")</f>
        <v/>
      </c>
      <c r="H375" t="inlineStr">
        <is>
          <t>Blanket (page end)</t>
        </is>
      </c>
      <c r="L375" t="inlineStr">
        <is>
          <t>YES</t>
        </is>
      </c>
    </row>
    <row r="376" ht="15.75" customHeight="1" s="67">
      <c r="A376" t="inlineStr">
        <is>
          <t>OI_CONFIRM_MIN_CHANGE_PCT</t>
        </is>
      </c>
      <c r="B376" t="inlineStr">
        <is>
          <t>0</t>
        </is>
      </c>
      <c r="D376" t="inlineStr">
        <is>
          <t>ENTRY, GLOBAL_CHECK, STOCKS_EXIT</t>
        </is>
      </c>
      <c r="G376">
        <f>IFERROR(VLOOKUP($A380&amp;"_"&amp;$B380,Results_Deltas!$A$2:$P$15000,5,FALSE),"")</f>
        <v/>
      </c>
      <c r="H376" t="inlineStr">
        <is>
          <t>Blanket (page end)</t>
        </is>
      </c>
      <c r="L376" t="inlineStr">
        <is>
          <t>NO</t>
        </is>
      </c>
    </row>
    <row r="377" ht="15.75" customHeight="1" s="67">
      <c r="A377" t="inlineStr">
        <is>
          <t>OI_CONFIRM_MIN_CHANGE_PCT</t>
        </is>
      </c>
      <c r="B377" t="inlineStr">
        <is>
          <t>2.0</t>
        </is>
      </c>
      <c r="D377" t="inlineStr">
        <is>
          <t>ENTRY, GLOBAL_CHECK, STOCKS_EXIT</t>
        </is>
      </c>
      <c r="G377">
        <f>IFERROR(VLOOKUP($A381&amp;"_"&amp;$B381,Results_Deltas!$A$2:$P$15000,5,FALSE),"")</f>
        <v/>
      </c>
      <c r="H377" t="inlineStr">
        <is>
          <t>Blanket (page end)</t>
        </is>
      </c>
      <c r="L377" t="inlineStr">
        <is>
          <t>NO</t>
        </is>
      </c>
    </row>
    <row r="378" ht="15.75" customHeight="1" s="67">
      <c r="A378" t="inlineStr">
        <is>
          <t>OI_CONFIRM_MIN_CHANGE_PCT</t>
        </is>
      </c>
      <c r="B378" t="inlineStr">
        <is>
          <t>1.0</t>
        </is>
      </c>
      <c r="D378" t="inlineStr">
        <is>
          <t>ENTRY, GLOBAL_CHECK, STOCKS_EXIT</t>
        </is>
      </c>
      <c r="G378">
        <f>IFERROR(VLOOKUP($A382&amp;"_"&amp;$B382,Results_Deltas!$A$2:$P$15000,5,FALSE),"")</f>
        <v/>
      </c>
      <c r="H378" t="inlineStr">
        <is>
          <t>Blanket (page end)</t>
        </is>
      </c>
      <c r="L378" t="inlineStr">
        <is>
          <t>NO</t>
        </is>
      </c>
    </row>
    <row r="379" ht="15.75" customHeight="1" s="67">
      <c r="A379" t="inlineStr">
        <is>
          <t>OI_CONFIRM_MIN_CHANGE_PCT</t>
        </is>
      </c>
      <c r="B379" t="inlineStr">
        <is>
          <t>0.5</t>
        </is>
      </c>
      <c r="D379" t="inlineStr">
        <is>
          <t>ENTRY, GLOBAL_CHECK, STOCKS_EXIT</t>
        </is>
      </c>
      <c r="G379">
        <f>IFERROR(VLOOKUP($A383&amp;"_"&amp;$B383,Results_Deltas!$A$2:$P$15000,5,FALSE),"")</f>
        <v/>
      </c>
      <c r="H379" t="inlineStr">
        <is>
          <t>Blanket (page end)</t>
        </is>
      </c>
      <c r="L379" t="inlineStr">
        <is>
          <t>YES</t>
        </is>
      </c>
    </row>
    <row r="380" ht="15.75" customHeight="1" s="67">
      <c r="A380" t="inlineStr">
        <is>
          <t>OI_CONFIRM_MIN_PRICE_PCT</t>
        </is>
      </c>
      <c r="B380" t="inlineStr">
        <is>
          <t>0</t>
        </is>
      </c>
      <c r="D380" t="inlineStr">
        <is>
          <t>ENTRY, GLOBAL_CHECK, STOCKS_EXIT</t>
        </is>
      </c>
      <c r="G380">
        <f>IFERROR(VLOOKUP($A384&amp;"_"&amp;$B384,Results_Deltas!$A$2:$P$15000,5,FALSE),"")</f>
        <v/>
      </c>
      <c r="H380" t="inlineStr">
        <is>
          <t>Blanket (page end)</t>
        </is>
      </c>
      <c r="L380" t="inlineStr">
        <is>
          <t>NO</t>
        </is>
      </c>
    </row>
    <row r="381" ht="15.75" customHeight="1" s="67">
      <c r="A381" t="inlineStr">
        <is>
          <t>OI_CONFIRM_MIN_PRICE_PCT</t>
        </is>
      </c>
      <c r="B381" t="inlineStr">
        <is>
          <t>2.0</t>
        </is>
      </c>
      <c r="D381" t="inlineStr">
        <is>
          <t>ENTRY, GLOBAL_CHECK, STOCKS_EXIT</t>
        </is>
      </c>
      <c r="G381">
        <f>IFERROR(VLOOKUP($A385&amp;"_"&amp;$B385,Results_Deltas!$A$2:$P$15000,5,FALSE),"")</f>
        <v/>
      </c>
      <c r="H381" t="inlineStr">
        <is>
          <t>Blanket (page end)</t>
        </is>
      </c>
      <c r="L381" t="inlineStr">
        <is>
          <t>NO</t>
        </is>
      </c>
    </row>
    <row r="382" ht="15.75" customHeight="1" s="67">
      <c r="A382" t="inlineStr">
        <is>
          <t>OI_CONFIRM_MIN_PRICE_PCT</t>
        </is>
      </c>
      <c r="B382" t="inlineStr">
        <is>
          <t>1.0</t>
        </is>
      </c>
      <c r="D382" t="inlineStr">
        <is>
          <t>ENTRY, GLOBAL_CHECK, STOCKS_EXIT</t>
        </is>
      </c>
      <c r="G382">
        <f>IFERROR(VLOOKUP($A386&amp;"_"&amp;$B386,Results_Deltas!$A$2:$P$15000,5,FALSE),"")</f>
        <v/>
      </c>
      <c r="H382" t="inlineStr">
        <is>
          <t>Blanket (page end)</t>
        </is>
      </c>
      <c r="L382" t="inlineStr">
        <is>
          <t>NO</t>
        </is>
      </c>
    </row>
    <row r="383" ht="15.75" customHeight="1" s="67">
      <c r="A383" t="inlineStr">
        <is>
          <t>OI_CONFIRM_MIN_PRICE_PCT</t>
        </is>
      </c>
      <c r="B383" t="inlineStr">
        <is>
          <t>0.5</t>
        </is>
      </c>
      <c r="D383" t="inlineStr">
        <is>
          <t>ENTRY, GLOBAL_CHECK, STOCKS_EXIT</t>
        </is>
      </c>
      <c r="G383">
        <f>IFERROR(VLOOKUP($A387&amp;"_"&amp;$B387,Results_Deltas!$A$2:$P$15000,5,FALSE),"")</f>
        <v/>
      </c>
      <c r="H383" t="inlineStr">
        <is>
          <t>Blanket (page end)</t>
        </is>
      </c>
      <c r="L383" t="inlineStr">
        <is>
          <t>NO</t>
        </is>
      </c>
    </row>
    <row r="384" ht="15.75" customHeight="1" s="67">
      <c r="A384" t="inlineStr">
        <is>
          <t>WT_DC_TF_ENTRY</t>
        </is>
      </c>
      <c r="B384" t="inlineStr">
        <is>
          <t>1h</t>
        </is>
      </c>
    </row>
    <row r="385" ht="15.75" customHeight="1" s="67">
      <c r="A385" t="inlineStr">
        <is>
          <t>WT_DC_TF_ENTRY</t>
        </is>
      </c>
      <c r="B385" t="inlineStr">
        <is>
          <t>15m</t>
        </is>
      </c>
    </row>
    <row r="386" ht="15.75" customHeight="1" s="67">
      <c r="A386" t="inlineStr">
        <is>
          <t>WT_DC_TF_ENTRY</t>
        </is>
      </c>
      <c r="B386" t="inlineStr">
        <is>
          <t>4h</t>
        </is>
      </c>
    </row>
    <row r="387" ht="15.75" customHeight="1" s="67">
      <c r="A387" t="inlineStr">
        <is>
          <t>WT_DC_TF_ENTRY</t>
        </is>
      </c>
      <c r="B387" t="inlineStr">
        <is>
          <t>D</t>
        </is>
      </c>
    </row>
    <row r="388">
      <c r="A388" t="inlineStr">
        <is>
          <t>WT_DC_TF_HTF</t>
        </is>
      </c>
      <c r="B388" t="inlineStr">
        <is>
          <t>4h</t>
        </is>
      </c>
    </row>
    <row r="389">
      <c r="A389" t="inlineStr">
        <is>
          <t>WT_DC_TF_HTF</t>
        </is>
      </c>
      <c r="B389" t="inlineStr">
        <is>
          <t>1h</t>
        </is>
      </c>
    </row>
    <row r="390">
      <c r="A390" t="inlineStr">
        <is>
          <t>WT_DC_TF_HTF</t>
        </is>
      </c>
      <c r="B390" t="inlineStr">
        <is>
          <t>D</t>
        </is>
      </c>
    </row>
    <row r="391">
      <c r="A391" t="inlineStr">
        <is>
          <t>WT_DC_TF_HTF</t>
        </is>
      </c>
      <c r="B391" t="inlineStr">
        <is>
          <t>W</t>
        </is>
      </c>
    </row>
    <row r="392">
      <c r="A392" t="inlineStr">
        <is>
          <t>WT_DC_TF_HTF</t>
        </is>
      </c>
      <c r="B392" t="inlineStr">
        <is>
          <t>15m</t>
        </is>
      </c>
    </row>
    <row r="393">
      <c r="A393" t="inlineStr">
        <is>
          <t>WT_DC_TF_HTF2</t>
        </is>
      </c>
      <c r="B393" t="inlineStr">
        <is>
          <t>D</t>
        </is>
      </c>
    </row>
    <row r="394">
      <c r="A394" t="inlineStr">
        <is>
          <t>WT_DC_TF_HTF2</t>
        </is>
      </c>
      <c r="B394" t="inlineStr">
        <is>
          <t>none</t>
        </is>
      </c>
    </row>
    <row r="395">
      <c r="A395" t="inlineStr">
        <is>
          <t>WT_DC_TF_HTF2</t>
        </is>
      </c>
      <c r="B395" t="inlineStr">
        <is>
          <t>1h</t>
        </is>
      </c>
    </row>
    <row r="396">
      <c r="A396" t="inlineStr">
        <is>
          <t>WT_DC_TF_HTF2</t>
        </is>
      </c>
      <c r="B396" t="inlineStr">
        <is>
          <t>4h</t>
        </is>
      </c>
    </row>
    <row r="397">
      <c r="A397" t="inlineStr">
        <is>
          <t>WT_DC_TF_HTF2</t>
        </is>
      </c>
      <c r="B397" t="inlineStr">
        <is>
          <t>W</t>
        </is>
      </c>
    </row>
    <row r="398">
      <c r="A398" t="inlineStr">
        <is>
          <t>WT_DC_DC_TF</t>
        </is>
      </c>
      <c r="B398" t="inlineStr">
        <is>
          <t>1h</t>
        </is>
      </c>
    </row>
    <row r="399">
      <c r="A399" t="inlineStr">
        <is>
          <t>WT_DC_DC_TF</t>
        </is>
      </c>
      <c r="B399" t="inlineStr">
        <is>
          <t>15m</t>
        </is>
      </c>
    </row>
    <row r="400">
      <c r="A400" t="inlineStr">
        <is>
          <t>WT_DC_DC_TF</t>
        </is>
      </c>
      <c r="B400" t="inlineStr">
        <is>
          <t>4h</t>
        </is>
      </c>
    </row>
    <row r="401">
      <c r="A401" t="inlineStr">
        <is>
          <t>WT_DC_DC_TF</t>
        </is>
      </c>
      <c r="B401" t="inlineStr">
        <is>
          <t>D</t>
        </is>
      </c>
    </row>
    <row r="402">
      <c r="A402" t="inlineStr">
        <is>
          <t>WT_DC_STOCH_TF</t>
        </is>
      </c>
      <c r="B402" t="inlineStr">
        <is>
          <t>5m</t>
        </is>
      </c>
    </row>
    <row r="403">
      <c r="A403" t="inlineStr">
        <is>
          <t>WT_DC_STOCH_TF</t>
        </is>
      </c>
      <c r="B403" t="inlineStr">
        <is>
          <t>15m</t>
        </is>
      </c>
    </row>
    <row r="404">
      <c r="A404" t="inlineStr">
        <is>
          <t>WT_DC_STOCH_TF</t>
        </is>
      </c>
      <c r="B404" t="inlineStr">
        <is>
          <t>1h</t>
        </is>
      </c>
    </row>
    <row r="405">
      <c r="A405" t="inlineStr">
        <is>
          <t>WT_DC_STOCH_TF</t>
        </is>
      </c>
      <c r="B405" t="inlineStr">
        <is>
          <t>4h</t>
        </is>
      </c>
    </row>
    <row r="406">
      <c r="A406" t="inlineStr">
        <is>
          <t>WT_DC_DC_POS_THRESHOLD_LONG</t>
        </is>
      </c>
      <c r="B406" t="n">
        <v>0.5</v>
      </c>
    </row>
    <row r="407">
      <c r="A407" t="inlineStr">
        <is>
          <t>WT_DC_DC_POS_THRESHOLD_LONG</t>
        </is>
      </c>
      <c r="B407" t="n">
        <v>0.3</v>
      </c>
    </row>
    <row r="408">
      <c r="A408" t="inlineStr">
        <is>
          <t>WT_DC_DC_POS_THRESHOLD_LONG</t>
        </is>
      </c>
      <c r="B408" t="n">
        <v>0.4</v>
      </c>
    </row>
    <row r="409">
      <c r="A409" t="inlineStr">
        <is>
          <t>WT_DC_DC_POS_THRESHOLD_LONG</t>
        </is>
      </c>
      <c r="B409" t="n">
        <v>0.6</v>
      </c>
    </row>
    <row r="410">
      <c r="A410" t="inlineStr">
        <is>
          <t>WT_DC_DC_POS_THRESHOLD_LONG</t>
        </is>
      </c>
      <c r="B410" t="n">
        <v>0.7</v>
      </c>
    </row>
    <row r="411">
      <c r="A411" t="inlineStr">
        <is>
          <t>WT_DC_DC_POS_THRESHOLD_SHORT</t>
        </is>
      </c>
      <c r="B411" t="n">
        <v>0.5</v>
      </c>
    </row>
    <row r="412">
      <c r="A412" t="inlineStr">
        <is>
          <t>WT_DC_DC_POS_THRESHOLD_SHORT</t>
        </is>
      </c>
      <c r="B412" t="n">
        <v>0.3</v>
      </c>
    </row>
    <row r="413">
      <c r="A413" t="inlineStr">
        <is>
          <t>WT_DC_DC_POS_THRESHOLD_SHORT</t>
        </is>
      </c>
      <c r="B413" t="n">
        <v>0.4</v>
      </c>
    </row>
    <row r="414">
      <c r="A414" t="inlineStr">
        <is>
          <t>WT_DC_DC_POS_THRESHOLD_SHORT</t>
        </is>
      </c>
      <c r="B414" t="n">
        <v>0.6</v>
      </c>
    </row>
    <row r="415">
      <c r="A415" t="inlineStr">
        <is>
          <t>WT_DC_DC_POS_THRESHOLD_SHORT</t>
        </is>
      </c>
      <c r="B415" t="n">
        <v>0.7</v>
      </c>
    </row>
    <row r="416">
      <c r="A416" t="inlineStr">
        <is>
          <t>WT_DC_STOCH_THRESHOLD_LONG</t>
        </is>
      </c>
      <c r="B416" t="n">
        <v>40</v>
      </c>
    </row>
    <row r="417">
      <c r="A417" t="inlineStr">
        <is>
          <t>WT_DC_STOCH_THRESHOLD_LONG</t>
        </is>
      </c>
      <c r="B417" t="n">
        <v>30</v>
      </c>
    </row>
    <row r="418">
      <c r="A418" t="inlineStr">
        <is>
          <t>WT_DC_STOCH_THRESHOLD_LONG</t>
        </is>
      </c>
      <c r="B418" t="n">
        <v>50</v>
      </c>
    </row>
    <row r="419">
      <c r="A419" t="inlineStr">
        <is>
          <t>WT_DC_STOCH_THRESHOLD_SHORT</t>
        </is>
      </c>
      <c r="B419" t="n">
        <v>60</v>
      </c>
    </row>
    <row r="420">
      <c r="A420" t="inlineStr">
        <is>
          <t>WT_DC_STOCH_THRESHOLD_SHORT</t>
        </is>
      </c>
      <c r="B420" t="n">
        <v>50</v>
      </c>
    </row>
    <row r="421">
      <c r="A421" t="inlineStr">
        <is>
          <t>WT_DC_STOCH_THRESHOLD_SHORT</t>
        </is>
      </c>
      <c r="B421" t="n">
        <v>70</v>
      </c>
    </row>
    <row r="422">
      <c r="A422" t="inlineStr">
        <is>
          <t>WT_DC_HTF_GATE_MODE</t>
        </is>
      </c>
      <c r="B422" t="inlineStr">
        <is>
          <t>AND</t>
        </is>
      </c>
    </row>
    <row r="423">
      <c r="A423" t="inlineStr">
        <is>
          <t>WT_DC_HTF_GATE_MODE</t>
        </is>
      </c>
      <c r="B423" t="inlineStr">
        <is>
          <t>OR</t>
        </is>
      </c>
    </row>
    <row r="424">
      <c r="A424" t="inlineStr">
        <is>
          <t>WT_DC_TF_COMBO</t>
        </is>
      </c>
      <c r="B424" t="inlineStr">
        <is>
          <t>1h_4h_D</t>
        </is>
      </c>
    </row>
    <row r="425">
      <c r="A425" t="inlineStr">
        <is>
          <t>WT_DC_TF_COMBO</t>
        </is>
      </c>
      <c r="B425" t="inlineStr">
        <is>
          <t>15m_1h_4h</t>
        </is>
      </c>
    </row>
    <row r="426">
      <c r="A426" t="inlineStr">
        <is>
          <t>WT_DC_TF_COMBO</t>
        </is>
      </c>
      <c r="B426" t="inlineStr">
        <is>
          <t>15m_1h_4h_D</t>
        </is>
      </c>
    </row>
    <row r="427">
      <c r="A427" t="inlineStr">
        <is>
          <t>WT_DC_TF_COMBO</t>
        </is>
      </c>
      <c r="B427" t="inlineStr">
        <is>
          <t>1h_4h</t>
        </is>
      </c>
    </row>
    <row r="428">
      <c r="A428" t="inlineStr">
        <is>
          <t>WT_DC_TF_COMBO</t>
        </is>
      </c>
      <c r="B428" t="inlineStr">
        <is>
          <t>4h_D</t>
        </is>
      </c>
    </row>
    <row r="429">
      <c r="A429" t="inlineStr">
        <is>
          <t>WT_DC_DIRECT_TF_ENTRY</t>
        </is>
      </c>
      <c r="B429" t="inlineStr">
        <is>
          <t>1h</t>
        </is>
      </c>
    </row>
    <row r="430">
      <c r="A430" t="inlineStr">
        <is>
          <t>WT_DC_DIRECT_TF_ENTRY</t>
        </is>
      </c>
      <c r="B430" t="inlineStr">
        <is>
          <t>15m</t>
        </is>
      </c>
    </row>
    <row r="431">
      <c r="A431" t="inlineStr">
        <is>
          <t>WT_DC_DIRECT_TF_ENTRY</t>
        </is>
      </c>
      <c r="B431" t="inlineStr">
        <is>
          <t>4h</t>
        </is>
      </c>
    </row>
    <row r="432">
      <c r="A432" t="inlineStr">
        <is>
          <t>WT_DC_DIRECT_DC_TF</t>
        </is>
      </c>
      <c r="B432" t="inlineStr">
        <is>
          <t>1h</t>
        </is>
      </c>
    </row>
    <row r="433">
      <c r="A433" t="inlineStr">
        <is>
          <t>WT_DC_DIRECT_DC_TF</t>
        </is>
      </c>
      <c r="B433" t="inlineStr">
        <is>
          <t>15m</t>
        </is>
      </c>
    </row>
    <row r="434">
      <c r="A434" t="inlineStr">
        <is>
          <t>WT_DC_DIRECT_DC_TF</t>
        </is>
      </c>
      <c r="B434" t="inlineStr">
        <is>
          <t>4h</t>
        </is>
      </c>
    </row>
    <row r="435">
      <c r="A435" t="inlineStr">
        <is>
          <t>WT_DC_DIRECT_DC_TF</t>
        </is>
      </c>
      <c r="B435" t="inlineStr">
        <is>
          <t>D</t>
        </is>
      </c>
    </row>
    <row r="436">
      <c r="A436" t="inlineStr">
        <is>
          <t>DC_BREAKOUT_TF_EXPANDED</t>
        </is>
      </c>
      <c r="B436" t="inlineStr">
        <is>
          <t>1h</t>
        </is>
      </c>
    </row>
    <row r="437">
      <c r="A437" t="inlineStr">
        <is>
          <t>DC_BREAKOUT_TF_EXPANDED</t>
        </is>
      </c>
      <c r="B437" t="inlineStr">
        <is>
          <t>15m</t>
        </is>
      </c>
    </row>
    <row r="438">
      <c r="A438" t="inlineStr">
        <is>
          <t>DC_BREAKOUT_TF_EXPANDED</t>
        </is>
      </c>
      <c r="B438" t="inlineStr">
        <is>
          <t>4h</t>
        </is>
      </c>
    </row>
    <row r="439">
      <c r="A439" t="inlineStr">
        <is>
          <t>DC_BREAKOUT_TF_EXPANDED</t>
        </is>
      </c>
      <c r="B439" t="inlineStr">
        <is>
          <t>D</t>
        </is>
      </c>
    </row>
    <row r="440">
      <c r="A440" t="inlineStr">
        <is>
          <t>DC_BREAKOUT_TF_EXPANDED</t>
        </is>
      </c>
      <c r="B440" t="inlineStr">
        <is>
          <t>W</t>
        </is>
      </c>
    </row>
    <row r="441">
      <c r="A441" t="inlineStr">
        <is>
          <t>BB_BREAKOUT_ENTRY_TF</t>
        </is>
      </c>
      <c r="B441" t="inlineStr">
        <is>
          <t>OFF</t>
        </is>
      </c>
      <c r="D441" t="inlineStr">
        <is>
          <t>BREAKOUT_BB</t>
        </is>
      </c>
      <c r="L441" t="inlineStr">
        <is>
          <t>YES</t>
        </is>
      </c>
    </row>
    <row r="442">
      <c r="A442" t="inlineStr">
        <is>
          <t>BB_BREAKOUT_ENTRY_TF</t>
        </is>
      </c>
      <c r="B442" t="inlineStr">
        <is>
          <t>15m</t>
        </is>
      </c>
      <c r="D442" t="inlineStr">
        <is>
          <t>BREAKOUT_BB</t>
        </is>
      </c>
      <c r="L442" t="inlineStr">
        <is>
          <t>NO</t>
        </is>
      </c>
    </row>
    <row r="443">
      <c r="A443" t="inlineStr">
        <is>
          <t>BB_BREAKOUT_ENTRY_TF</t>
        </is>
      </c>
      <c r="B443" t="inlineStr">
        <is>
          <t>1h</t>
        </is>
      </c>
      <c r="D443" t="inlineStr">
        <is>
          <t>BREAKOUT_BB</t>
        </is>
      </c>
      <c r="L443" t="inlineStr">
        <is>
          <t>NO</t>
        </is>
      </c>
    </row>
    <row r="444">
      <c r="A444" t="inlineStr">
        <is>
          <t>BB_BREAKOUT_ENTRY_TF</t>
        </is>
      </c>
      <c r="B444" t="inlineStr">
        <is>
          <t>4h</t>
        </is>
      </c>
      <c r="D444" t="inlineStr">
        <is>
          <t>BREAKOUT_BB</t>
        </is>
      </c>
      <c r="L444" t="inlineStr">
        <is>
          <t>NO</t>
        </is>
      </c>
    </row>
    <row r="445">
      <c r="A445" t="inlineStr">
        <is>
          <t>BB_BREAKOUT_ENTRY_TF</t>
        </is>
      </c>
      <c r="B445" t="inlineStr">
        <is>
          <t>D</t>
        </is>
      </c>
      <c r="D445" t="inlineStr">
        <is>
          <t>BREAKOUT_BB</t>
        </is>
      </c>
      <c r="L445"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GR_FILTER_ALL_ENTRIES</t>
        </is>
      </c>
      <c r="B3" t="inlineStr">
        <is>
          <t>0.0</t>
        </is>
      </c>
      <c r="G3">
        <f>IFERROR(VLOOKUP($A3&amp;"="&amp;$B3,Results_Deltas!$A$2:$P$15000,5,FALSE),"")</f>
        <v/>
      </c>
      <c r="H3">
        <f>IFERROR(VLOOKUP($A3,Results_30d_Deltas!$A$2:$H$5000,7,FALSE)-E3,"")</f>
        <v/>
      </c>
      <c r="I3">
        <f>IFERROR(VLOOKUP($A3,Results_30d_Deltas!$A$2:$H$5000,6,FALSE),"")</f>
        <v/>
      </c>
      <c r="L3" t="inlineStr">
        <is>
          <t>YES</t>
        </is>
      </c>
      <c r="IK3" t="inlineStr">
        <is>
          <t>ez_manage.py:4768 top()</t>
        </is>
      </c>
      <c r="IL3" t="inlineStr">
        <is>
          <t>v12_quick_engine.py:1912 x3</t>
        </is>
      </c>
    </row>
    <row r="4" ht="10.5" customHeight="1" s="67">
      <c r="A4" t="inlineStr">
        <is>
          <t>GR_FILTER_ALL_ENTRIES</t>
        </is>
      </c>
      <c r="B4" t="inlineStr">
        <is>
          <t>0.0_ALT</t>
        </is>
      </c>
      <c r="G4">
        <f>IFERROR(VLOOKUP($A4&amp;"_"&amp;$B4,Results_Deltas!$A$2:$P$15000,5,FALSE),"")</f>
        <v/>
      </c>
      <c r="H4">
        <f>IFERROR(VLOOKUP($A4,Results_30d_Deltas!$A$2:$H$5000,7,FALSE)-E3,"")</f>
        <v/>
      </c>
      <c r="I4">
        <f>IFERROR(VLOOKUP($A4,Results_30d_Deltas!$A$2:$H$5000,6,FALSE),"")</f>
        <v/>
      </c>
      <c r="L4" t="inlineStr">
        <is>
          <t>NO</t>
        </is>
      </c>
      <c r="IK4" t="inlineStr">
        <is>
          <t>ez_manage.py:4768 top()</t>
        </is>
      </c>
      <c r="IL4" t="inlineStr">
        <is>
          <t>v12_quick_engine.py:1912 x3</t>
        </is>
      </c>
    </row>
    <row r="5" ht="10.5" customHeight="1" s="67">
      <c r="A5" t="inlineStr">
        <is>
          <t>GR_FILTER_VEC_ENABLED</t>
        </is>
      </c>
      <c r="B5" t="inlineStr">
        <is>
          <t>False</t>
        </is>
      </c>
      <c r="G5">
        <f>IFERROR(VLOOKUP($A5&amp;"_"&amp;$B5,Results_Deltas!$A$2:$P$15000,5,FALSE),"")</f>
        <v/>
      </c>
      <c r="H5">
        <f>IFERROR(VLOOKUP($A5,Results_30d_Deltas!$A$2:$H$5000,7,FALSE)-E4,"")</f>
        <v/>
      </c>
      <c r="I5">
        <f>IFERROR(VLOOKUP($A5,Results_30d_Deltas!$A$2:$H$5000,6,FALSE),"")</f>
        <v/>
      </c>
      <c r="L5" t="inlineStr">
        <is>
          <t>YES</t>
        </is>
      </c>
      <c r="IK5" t="inlineStr">
        <is>
          <t>ez_manage.py:6003 top()</t>
        </is>
      </c>
      <c r="IL5" t="inlineStr">
        <is>
          <t>v12_quick_engine.py:4261 x2</t>
        </is>
      </c>
    </row>
    <row r="6" ht="10.5" customHeight="1" s="67">
      <c r="A6" t="inlineStr">
        <is>
          <t>GR_FILTER_VEC_ENABLED</t>
        </is>
      </c>
      <c r="B6" t="inlineStr">
        <is>
          <t>True</t>
        </is>
      </c>
      <c r="G6">
        <f>IFERROR(VLOOKUP($A6&amp;"_"&amp;$B6,Results_Deltas!$A$2:$P$15000,5,FALSE),"")</f>
        <v/>
      </c>
      <c r="H6">
        <f>IFERROR(VLOOKUP($A6,Results_30d_Deltas!$A$2:$H$5000,7,FALSE)-E5,"")</f>
        <v/>
      </c>
      <c r="I6">
        <f>IFERROR(VLOOKUP($A6,Results_30d_Deltas!$A$2:$H$5000,6,FALSE),"")</f>
        <v/>
      </c>
      <c r="L6" t="inlineStr">
        <is>
          <t>NO</t>
        </is>
      </c>
      <c r="IK6" t="inlineStr">
        <is>
          <t>ez_manage.py:6003 top()</t>
        </is>
      </c>
      <c r="IL6" t="inlineStr">
        <is>
          <t>v12_quick_engine.py:4261 x2</t>
        </is>
      </c>
    </row>
    <row r="7" ht="10.5" customHeight="1" s="67">
      <c r="A7" t="inlineStr">
        <is>
          <t>GR_FILTER_VEC_FILTER_TF</t>
        </is>
      </c>
      <c r="B7" t="inlineStr">
        <is>
          <t>OFF</t>
        </is>
      </c>
      <c r="G7">
        <f>IFERROR(VLOOKUP($A7&amp;"_"&amp;$B7,Results_Deltas!$A$2:$P$15000,5,FALSE),"")</f>
        <v/>
      </c>
      <c r="H7">
        <f>IFERROR(VLOOKUP($A7,Results_30d_Deltas!$A$2:$H$5000,7,FALSE)-E6,"")</f>
        <v/>
      </c>
      <c r="I7">
        <f>IFERROR(VLOOKUP($A7,Results_30d_Deltas!$A$2:$H$5000,6,FALSE),"")</f>
        <v/>
      </c>
      <c r="L7" t="inlineStr">
        <is>
          <t>NO</t>
        </is>
      </c>
      <c r="IK7" t="inlineStr">
        <is>
          <t>ez_manage.py:6004 top()</t>
        </is>
      </c>
      <c r="IL7" t="inlineStr">
        <is>
          <t>v12_quick_engine.py:112 x3</t>
        </is>
      </c>
    </row>
    <row r="8" ht="10.5" customHeight="1" s="67">
      <c r="A8" t="inlineStr">
        <is>
          <t>GR_FILTER_VEC_FILTER_TF</t>
        </is>
      </c>
      <c r="B8" t="inlineStr">
        <is>
          <t>D</t>
        </is>
      </c>
      <c r="G8">
        <f>IFERROR(VLOOKUP($A8&amp;"_"&amp;$B8,Results_Deltas!$A$2:$P$15000,5,FALSE),"")</f>
        <v/>
      </c>
      <c r="H8">
        <f>IFERROR(VLOOKUP($A8,Results_30d_Deltas!$A$2:$H$5000,7,FALSE)-E7,"")</f>
        <v/>
      </c>
      <c r="I8">
        <f>IFERROR(VLOOKUP($A8,Results_30d_Deltas!$A$2:$H$5000,6,FALSE),"")</f>
        <v/>
      </c>
      <c r="L8" t="inlineStr">
        <is>
          <t>NO</t>
        </is>
      </c>
      <c r="IK8" t="inlineStr">
        <is>
          <t>ez_manage.py:6004 top()</t>
        </is>
      </c>
      <c r="IL8" t="inlineStr">
        <is>
          <t>v12_quick_engine.py:112 x3</t>
        </is>
      </c>
    </row>
    <row r="9" ht="10.5" customHeight="1" s="67">
      <c r="A9" t="inlineStr">
        <is>
          <t>GR_FILTER_VEC_FILTER_TF</t>
        </is>
      </c>
      <c r="B9" t="inlineStr">
        <is>
          <t>4h</t>
        </is>
      </c>
      <c r="G9">
        <f>IFERROR(VLOOKUP($A9&amp;"_"&amp;$B9,Results_Deltas!$A$2:$P$15000,5,FALSE),"")</f>
        <v/>
      </c>
      <c r="H9">
        <f>IFERROR(VLOOKUP($A9,Results_30d_Deltas!$A$2:$H$5000,7,FALSE)-E8,"")</f>
        <v/>
      </c>
      <c r="I9">
        <f>IFERROR(VLOOKUP($A9,Results_30d_Deltas!$A$2:$H$5000,6,FALSE),"")</f>
        <v/>
      </c>
      <c r="L9" t="inlineStr">
        <is>
          <t>NO</t>
        </is>
      </c>
      <c r="IK9" t="inlineStr">
        <is>
          <t>ez_manage.py:6004 top()</t>
        </is>
      </c>
      <c r="IL9" t="inlineStr">
        <is>
          <t>v12_quick_engine.py:112 x3</t>
        </is>
      </c>
    </row>
    <row r="10" ht="10.5" customHeight="1" s="67">
      <c r="A10" t="inlineStr">
        <is>
          <t>GR_FILTER_VEC_FILTER_TF</t>
        </is>
      </c>
      <c r="B10" t="inlineStr">
        <is>
          <t>1h</t>
        </is>
      </c>
      <c r="G10">
        <f>IFERROR(VLOOKUP($A10&amp;"_"&amp;$B10,Results_Deltas!$A$2:$P$15000,5,FALSE),"")</f>
        <v/>
      </c>
      <c r="H10">
        <f>IFERROR(VLOOKUP($A10,Results_30d_Deltas!$A$2:$H$5000,7,FALSE)-E9,"")</f>
        <v/>
      </c>
      <c r="I10">
        <f>IFERROR(VLOOKUP($A10,Results_30d_Deltas!$A$2:$H$5000,6,FALSE),"")</f>
        <v/>
      </c>
      <c r="L10" t="inlineStr">
        <is>
          <t>NO</t>
        </is>
      </c>
      <c r="IK10" t="inlineStr">
        <is>
          <t>ez_manage.py:6004 top()</t>
        </is>
      </c>
      <c r="IL10" t="inlineStr">
        <is>
          <t>v12_quick_engine.py:112 x3</t>
        </is>
      </c>
    </row>
    <row r="11" ht="10.5" customHeight="1" s="67">
      <c r="A11" t="inlineStr">
        <is>
          <t>GR_FILTER_VEC_FILTER_TF</t>
        </is>
      </c>
      <c r="B11" t="inlineStr">
        <is>
          <t>15m</t>
        </is>
      </c>
      <c r="G11">
        <f>IFERROR(VLOOKUP($A11&amp;"_"&amp;$B11,Results_Deltas!$A$2:$P$15000,5,FALSE),"")</f>
        <v/>
      </c>
      <c r="H11">
        <f>IFERROR(VLOOKUP($A11,Results_30d_Deltas!$A$2:$H$5000,7,FALSE)-E10,"")</f>
        <v/>
      </c>
      <c r="I11">
        <f>IFERROR(VLOOKUP($A11,Results_30d_Deltas!$A$2:$H$5000,6,FALSE),"")</f>
        <v/>
      </c>
      <c r="L11" t="inlineStr">
        <is>
          <t>YES</t>
        </is>
      </c>
      <c r="IK11" t="inlineStr">
        <is>
          <t>ez_manage.py:6004 top()</t>
        </is>
      </c>
      <c r="IL11" t="inlineStr">
        <is>
          <t>v12_quick_engine.py:112 x3</t>
        </is>
      </c>
    </row>
    <row r="12" ht="10.5" customHeight="1" s="67">
      <c r="A12" t="inlineStr">
        <is>
          <t>WT_AGAINST_FILTER_ENABLED</t>
        </is>
      </c>
      <c r="B12" t="inlineStr">
        <is>
          <t>False</t>
        </is>
      </c>
      <c r="G12">
        <f>IFERROR(VLOOKUP($A12&amp;"_"&amp;$B12,Results_Deltas!$A$2:$P$15000,5,FALSE),"")</f>
        <v/>
      </c>
      <c r="H12">
        <f>IFERROR(VLOOKUP($A12,Results_30d_Deltas!$A$2:$H$5000,7,FALSE)-E11,"")</f>
        <v/>
      </c>
      <c r="I12">
        <f>IFERROR(VLOOKUP($A12,Results_30d_Deltas!$A$2:$H$5000,6,FALSE),"")</f>
        <v/>
      </c>
      <c r="L12" t="inlineStr">
        <is>
          <t>YES</t>
        </is>
      </c>
      <c r="IK12" t="inlineStr">
        <is>
          <t>ez_manage.py:6084 top()</t>
        </is>
      </c>
      <c r="IL12" t="inlineStr">
        <is>
          <t>v12_quick_engine.py:4291 x2</t>
        </is>
      </c>
    </row>
    <row r="13" ht="10.5" customHeight="1" s="67">
      <c r="A13" t="inlineStr">
        <is>
          <t>WT_AGAINST_FILTER_ENABLED</t>
        </is>
      </c>
      <c r="B13" t="inlineStr">
        <is>
          <t>True</t>
        </is>
      </c>
      <c r="G13">
        <f>IFERROR(VLOOKUP($A13&amp;"_"&amp;$B13,Results_Deltas!$A$2:$P$15000,5,FALSE),"")</f>
        <v/>
      </c>
      <c r="H13">
        <f>IFERROR(VLOOKUP($A13,Results_30d_Deltas!$A$2:$H$5000,7,FALSE)-E12,"")</f>
        <v/>
      </c>
      <c r="I13">
        <f>IFERROR(VLOOKUP($A13,Results_30d_Deltas!$A$2:$H$5000,6,FALSE),"")</f>
        <v/>
      </c>
      <c r="L13" t="inlineStr">
        <is>
          <t>NO</t>
        </is>
      </c>
      <c r="IK13" t="inlineStr">
        <is>
          <t>ez_manage.py:6084 top()</t>
        </is>
      </c>
      <c r="IL13" t="inlineStr">
        <is>
          <t>v12_quick_engine.py:4291 x2</t>
        </is>
      </c>
    </row>
    <row r="14">
      <c r="A14" t="inlineStr">
        <is>
          <t>ADX_RANGING_THRESHOLD</t>
        </is>
      </c>
      <c r="B14" t="inlineStr">
        <is>
          <t>20</t>
        </is>
      </c>
      <c r="D14" t="inlineStr">
        <is>
          <t>ENTRY, GLOBAL_CHECK, STOCKS_EXIT</t>
        </is>
      </c>
      <c r="G14">
        <f>IFERROR(VLOOKUP($A14&amp;"_"&amp;$B14,Results_Deltas!$A$2:$P$15000,5,FALSE),"")</f>
        <v/>
      </c>
      <c r="H14" t="inlineStr">
        <is>
          <t>Blanket (page end)</t>
        </is>
      </c>
      <c r="L14" t="inlineStr">
        <is>
          <t>NO</t>
        </is>
      </c>
    </row>
    <row r="15">
      <c r="A15" t="inlineStr">
        <is>
          <t>ADX_RANGING_THRESHOLD</t>
        </is>
      </c>
      <c r="B15" t="inlineStr">
        <is>
          <t>25</t>
        </is>
      </c>
      <c r="D15" t="inlineStr">
        <is>
          <t>ENTRY, GLOBAL_CHECK, STOCKS_EXIT</t>
        </is>
      </c>
      <c r="G15">
        <f>IFERROR(VLOOKUP($A15&amp;"_"&amp;$B15,Results_Deltas!$A$2:$P$15000,5,FALSE),"")</f>
        <v/>
      </c>
      <c r="H15" t="inlineStr">
        <is>
          <t>Blanket (page end)</t>
        </is>
      </c>
      <c r="L15" t="inlineStr">
        <is>
          <t>NO</t>
        </is>
      </c>
    </row>
    <row r="16">
      <c r="A16" t="inlineStr">
        <is>
          <t>ADX_RANGING_THRESHOLD</t>
        </is>
      </c>
      <c r="B16" t="inlineStr">
        <is>
          <t>15</t>
        </is>
      </c>
      <c r="D16" t="inlineStr">
        <is>
          <t>ENTRY, GLOBAL_CHECK, STOCKS_EXIT</t>
        </is>
      </c>
      <c r="G16">
        <f>IFERROR(VLOOKUP($A16&amp;"_"&amp;$B16,Results_Deltas!$A$2:$P$15000,5,FALSE),"")</f>
        <v/>
      </c>
      <c r="H16" t="inlineStr">
        <is>
          <t>Blanket (page end)</t>
        </is>
      </c>
      <c r="L16" t="inlineStr">
        <is>
          <t>NO</t>
        </is>
      </c>
    </row>
    <row r="17">
      <c r="A17" t="inlineStr">
        <is>
          <t>ADX_RANGING_THRESHOLD</t>
        </is>
      </c>
      <c r="B17" t="inlineStr">
        <is>
          <t>10</t>
        </is>
      </c>
      <c r="D17" t="inlineStr">
        <is>
          <t>ENTRY, GLOBAL_CHECK, STOCKS_EXIT</t>
        </is>
      </c>
      <c r="G17">
        <f>IFERROR(VLOOKUP($A17&amp;"_"&amp;$B17,Results_Deltas!$A$2:$P$15000,5,FALSE),"")</f>
        <v/>
      </c>
      <c r="H17" t="inlineStr">
        <is>
          <t>Blanket (page end)</t>
        </is>
      </c>
      <c r="L17" t="inlineStr">
        <is>
          <t>YES</t>
        </is>
      </c>
    </row>
    <row r="18">
      <c r="A18" t="inlineStr">
        <is>
          <t>BANDAID_OFF_LOSER_RECOVER_PCT</t>
        </is>
      </c>
      <c r="B18" t="inlineStr">
        <is>
          <t>0</t>
        </is>
      </c>
      <c r="D18" t="inlineStr">
        <is>
          <t>AUGMENT, ENTRY, EXIT, GLOBAL_CHECK, REDUCE, STOCKS_EXIT</t>
        </is>
      </c>
      <c r="G18">
        <f>IFERROR(VLOOKUP($A18&amp;"_"&amp;$B18,Results_Deltas!$A$2:$P$15000,5,FALSE),"")</f>
        <v/>
      </c>
      <c r="H18" t="inlineStr">
        <is>
          <t>Blanket (page end)</t>
        </is>
      </c>
      <c r="L18" t="inlineStr">
        <is>
          <t>NO</t>
        </is>
      </c>
    </row>
    <row r="19">
      <c r="A19" t="inlineStr">
        <is>
          <t>BANDAID_OFF_LOSER_RECOVER_PCT</t>
        </is>
      </c>
      <c r="B19" t="inlineStr">
        <is>
          <t>2.0</t>
        </is>
      </c>
      <c r="D19" t="inlineStr">
        <is>
          <t>AUGMENT, ENTRY, EXIT, GLOBAL_CHECK, REDUCE, STOCKS_EXIT</t>
        </is>
      </c>
      <c r="G19">
        <f>IFERROR(VLOOKUP($A19&amp;"_"&amp;$B19,Results_Deltas!$A$2:$P$15000,5,FALSE),"")</f>
        <v/>
      </c>
      <c r="H19" t="inlineStr">
        <is>
          <t>Blanket (page end)</t>
        </is>
      </c>
      <c r="L19" t="inlineStr">
        <is>
          <t>NO</t>
        </is>
      </c>
    </row>
    <row r="20">
      <c r="A20" t="inlineStr">
        <is>
          <t>BANDAID_OFF_LOSER_RECOVER_PCT</t>
        </is>
      </c>
      <c r="B20" t="inlineStr">
        <is>
          <t>1.0</t>
        </is>
      </c>
      <c r="D20" t="inlineStr">
        <is>
          <t>AUGMENT, ENTRY, EXIT, GLOBAL_CHECK, REDUCE, STOCKS_EXIT</t>
        </is>
      </c>
      <c r="G20">
        <f>IFERROR(VLOOKUP($A20&amp;"_"&amp;$B20,Results_Deltas!$A$2:$P$15000,5,FALSE),"")</f>
        <v/>
      </c>
      <c r="H20" t="inlineStr">
        <is>
          <t>Blanket (page end)</t>
        </is>
      </c>
      <c r="L20" t="inlineStr">
        <is>
          <t>NO</t>
        </is>
      </c>
    </row>
    <row r="21" ht="15.75" customHeight="1" s="67">
      <c r="A21" t="inlineStr">
        <is>
          <t>BANDAID_OFF_LOSER_RECOVER_PCT</t>
        </is>
      </c>
      <c r="B21" t="inlineStr">
        <is>
          <t>0.5</t>
        </is>
      </c>
      <c r="D21" t="inlineStr">
        <is>
          <t>AUGMENT, ENTRY, EXIT, GLOBAL_CHECK, REDUCE, STOCKS_EXIT</t>
        </is>
      </c>
      <c r="G21">
        <f>IFERROR(VLOOKUP($A21&amp;"_"&amp;$B21,Results_Deltas!$A$2:$P$15000,5,FALSE),"")</f>
        <v/>
      </c>
      <c r="H21" t="inlineStr">
        <is>
          <t>Blanket (page end)</t>
        </is>
      </c>
      <c r="L21" t="inlineStr">
        <is>
          <t>NO</t>
        </is>
      </c>
    </row>
    <row r="22" ht="15.75" customHeight="1" s="67">
      <c r="A22" t="inlineStr">
        <is>
          <t>BAND_ARROW_ENABLED</t>
        </is>
      </c>
      <c r="B22" t="inlineStr">
        <is>
          <t>False</t>
        </is>
      </c>
      <c r="D22" t="inlineStr">
        <is>
          <t>GLOBAL_CHECK, STOCKS_EXIT</t>
        </is>
      </c>
      <c r="G22">
        <f>IFERROR(VLOOKUP($A22&amp;"_"&amp;$B22,Results_Deltas!$A$2:$P$15000,5,FALSE),"")</f>
        <v/>
      </c>
      <c r="H22" t="inlineStr">
        <is>
          <t>Blanket (page end)</t>
        </is>
      </c>
      <c r="L22" t="inlineStr">
        <is>
          <t>YES</t>
        </is>
      </c>
    </row>
    <row r="23" ht="15.75" customHeight="1" s="67">
      <c r="A23" t="inlineStr">
        <is>
          <t>BAND_ARROW_ENABLED</t>
        </is>
      </c>
      <c r="B23" t="inlineStr">
        <is>
          <t>True</t>
        </is>
      </c>
      <c r="D23" t="inlineStr">
        <is>
          <t>GLOBAL_CHECK, STOCKS_EXIT</t>
        </is>
      </c>
      <c r="G23">
        <f>IFERROR(VLOOKUP($A23&amp;"_"&amp;$B23,Results_Deltas!$A$2:$P$15000,5,FALSE),"")</f>
        <v/>
      </c>
      <c r="H23" t="inlineStr">
        <is>
          <t>Blanket (page end)</t>
        </is>
      </c>
      <c r="L23" t="inlineStr">
        <is>
          <t>NO</t>
        </is>
      </c>
    </row>
    <row r="24" ht="15.75" customHeight="1" s="67">
      <c r="A24" t="inlineStr">
        <is>
          <t>BTC_ACCEL_RAMP_REQUIRE_POSITIVE</t>
        </is>
      </c>
      <c r="B24" t="inlineStr">
        <is>
          <t>0.0</t>
        </is>
      </c>
      <c r="D24" t="inlineStr">
        <is>
          <t>UNIVERSAL (ex-BTC) — ENTRY/EXIT/REENTRY</t>
        </is>
      </c>
      <c r="G24">
        <f>IFERROR(VLOOKUP($A24&amp;"_"&amp;$B24,Results_Deltas!$A$2:$P$15000,5,FALSE),"")</f>
        <v/>
      </c>
      <c r="H24" t="inlineStr">
        <is>
          <t>Blanket (page end)</t>
        </is>
      </c>
      <c r="L24" t="inlineStr">
        <is>
          <t>NO</t>
        </is>
      </c>
    </row>
    <row r="25" ht="15.75" customHeight="1" s="67">
      <c r="A25" t="inlineStr">
        <is>
          <t>BTC_ACCEL_RAMP_REQUIRE_POSITIVE</t>
        </is>
      </c>
      <c r="B25" t="inlineStr">
        <is>
          <t>0.0_ALT</t>
        </is>
      </c>
      <c r="D25" t="inlineStr">
        <is>
          <t>UNIVERSAL (ex-BTC) — ENTRY/EXIT/REENTRY</t>
        </is>
      </c>
      <c r="G25">
        <f>IFERROR(VLOOKUP($A25&amp;"_"&amp;$B25,Results_Deltas!$A$2:$P$15000,5,FALSE),"")</f>
        <v/>
      </c>
      <c r="H25" t="inlineStr">
        <is>
          <t>Blanket (page end)</t>
        </is>
      </c>
      <c r="L25" t="inlineStr">
        <is>
          <t>NO</t>
        </is>
      </c>
    </row>
    <row r="26" ht="15.75" customHeight="1" s="67">
      <c r="A26" t="inlineStr">
        <is>
          <t>BTC_HARD_BLOCK_OTHER_ACCOUNTS</t>
        </is>
      </c>
      <c r="B26" t="inlineStr">
        <is>
          <t>0.0</t>
        </is>
      </c>
      <c r="D26" t="inlineStr">
        <is>
          <t>UNIVERSAL (ex-BTC) — ENTRY/EXIT/REENTRY</t>
        </is>
      </c>
      <c r="G26">
        <f>IFERROR(VLOOKUP($A26&amp;"_"&amp;$B26,Results_Deltas!$A$2:$P$15000,5,FALSE),"")</f>
        <v/>
      </c>
      <c r="H26" t="inlineStr">
        <is>
          <t>Blanket (page end)</t>
        </is>
      </c>
      <c r="L26" t="inlineStr">
        <is>
          <t>NO</t>
        </is>
      </c>
    </row>
    <row r="27" ht="15.75" customHeight="1" s="67">
      <c r="A27" t="inlineStr">
        <is>
          <t>BTC_HARD_BLOCK_OTHER_ACCOUNTS</t>
        </is>
      </c>
      <c r="B27" t="inlineStr">
        <is>
          <t>0.0_ALT</t>
        </is>
      </c>
      <c r="D27" t="inlineStr">
        <is>
          <t>UNIVERSAL (ex-BTC) — ENTRY/EXIT/REENTRY</t>
        </is>
      </c>
      <c r="G27">
        <f>IFERROR(VLOOKUP($A27&amp;"_"&amp;$B27,Results_Deltas!$A$2:$P$15000,5,FALSE),"")</f>
        <v/>
      </c>
      <c r="H27" t="inlineStr">
        <is>
          <t>Blanket (page end)</t>
        </is>
      </c>
      <c r="L27" t="inlineStr">
        <is>
          <t>NO</t>
        </is>
      </c>
    </row>
    <row r="28" ht="15.75" customHeight="1" s="67">
      <c r="A28" t="inlineStr">
        <is>
          <t>BTC_ROUND_BANDS_EACH_SIDE</t>
        </is>
      </c>
      <c r="B28" t="inlineStr">
        <is>
          <t>0.0</t>
        </is>
      </c>
      <c r="D28" t="inlineStr">
        <is>
          <t>UNIVERSAL (ex-BTC) — ENTRY/EXIT/REENTRY</t>
        </is>
      </c>
      <c r="G28">
        <f>IFERROR(VLOOKUP($A28&amp;"_"&amp;$B28,Results_Deltas!$A$2:$P$15000,5,FALSE),"")</f>
        <v/>
      </c>
      <c r="H28" t="inlineStr">
        <is>
          <t>Blanket (page end)</t>
        </is>
      </c>
      <c r="L28" t="inlineStr">
        <is>
          <t>NO</t>
        </is>
      </c>
    </row>
    <row r="29" ht="15.75" customHeight="1" s="67">
      <c r="A29" t="inlineStr">
        <is>
          <t>BTC_ROUND_BANDS_EACH_SIDE</t>
        </is>
      </c>
      <c r="B29" t="inlineStr">
        <is>
          <t>0.0_ALT</t>
        </is>
      </c>
      <c r="D29" t="inlineStr">
        <is>
          <t>UNIVERSAL (ex-BTC) — ENTRY/EXIT/REENTRY</t>
        </is>
      </c>
      <c r="G29">
        <f>IFERROR(VLOOKUP($A29&amp;"_"&amp;$B29,Results_Deltas!$A$2:$P$15000,5,FALSE),"")</f>
        <v/>
      </c>
      <c r="H29" t="inlineStr">
        <is>
          <t>Blanket (page end)</t>
        </is>
      </c>
      <c r="L29" t="inlineStr">
        <is>
          <t>NO</t>
        </is>
      </c>
    </row>
    <row r="30" ht="15.75" customHeight="1" s="67">
      <c r="A30" t="inlineStr">
        <is>
          <t>COOLDOWN_LOCKS_FILTER_TF</t>
        </is>
      </c>
      <c r="B30" t="inlineStr">
        <is>
          <t>OFF</t>
        </is>
      </c>
      <c r="D30" t="inlineStr">
        <is>
          <t>GLOBAL_CHECK</t>
        </is>
      </c>
      <c r="G30">
        <f>IFERROR(VLOOKUP($A30&amp;"_"&amp;$B30,Results_Deltas!$A$2:$P$15000,5,FALSE),"")</f>
        <v/>
      </c>
      <c r="H30" t="inlineStr">
        <is>
          <t>Blanket (page end)</t>
        </is>
      </c>
      <c r="L30" t="inlineStr">
        <is>
          <t>NO</t>
        </is>
      </c>
    </row>
    <row r="31" ht="15.75" customHeight="1" s="67">
      <c r="A31" t="inlineStr">
        <is>
          <t>COOLDOWN_LOCKS_FILTER_TF</t>
        </is>
      </c>
      <c r="B31" t="inlineStr">
        <is>
          <t>D</t>
        </is>
      </c>
      <c r="D31" t="inlineStr">
        <is>
          <t>GLOBAL_CHECK</t>
        </is>
      </c>
      <c r="G31">
        <f>IFERROR(VLOOKUP($A31&amp;"_"&amp;$B31,Results_Deltas!$A$2:$P$15000,5,FALSE),"")</f>
        <v/>
      </c>
      <c r="H31" t="inlineStr">
        <is>
          <t>Blanket (page end)</t>
        </is>
      </c>
      <c r="L31" t="inlineStr">
        <is>
          <t>NO</t>
        </is>
      </c>
    </row>
    <row r="32" ht="15.75" customHeight="1" s="67">
      <c r="A32" t="inlineStr">
        <is>
          <t>COOLDOWN_LOCKS_FILTER_TF</t>
        </is>
      </c>
      <c r="B32" t="inlineStr">
        <is>
          <t>4h</t>
        </is>
      </c>
      <c r="D32" t="inlineStr">
        <is>
          <t>GLOBAL_CHECK</t>
        </is>
      </c>
      <c r="G32">
        <f>IFERROR(VLOOKUP($A32&amp;"_"&amp;$B32,Results_Deltas!$A$2:$P$15000,5,FALSE),"")</f>
        <v/>
      </c>
      <c r="H32" t="inlineStr">
        <is>
          <t>Blanket (page end)</t>
        </is>
      </c>
      <c r="L32" t="inlineStr">
        <is>
          <t>NO</t>
        </is>
      </c>
    </row>
    <row r="33" ht="15.75" customHeight="1" s="67">
      <c r="A33" t="inlineStr">
        <is>
          <t>COOLDOWN_LOCKS_FILTER_TF</t>
        </is>
      </c>
      <c r="B33" t="inlineStr">
        <is>
          <t>1h</t>
        </is>
      </c>
      <c r="D33" t="inlineStr">
        <is>
          <t>GLOBAL_CHECK</t>
        </is>
      </c>
      <c r="G33">
        <f>IFERROR(VLOOKUP($A33&amp;"_"&amp;$B33,Results_Deltas!$A$2:$P$15000,5,FALSE),"")</f>
        <v/>
      </c>
      <c r="H33" t="inlineStr">
        <is>
          <t>Blanket (page end)</t>
        </is>
      </c>
      <c r="L33" t="inlineStr">
        <is>
          <t>NO</t>
        </is>
      </c>
    </row>
    <row r="34" ht="15.75" customHeight="1" s="67">
      <c r="A34" t="inlineStr">
        <is>
          <t>COOLDOWN_LOCKS_FILTER_TF</t>
        </is>
      </c>
      <c r="B34" t="inlineStr">
        <is>
          <t>15m</t>
        </is>
      </c>
      <c r="D34" t="inlineStr">
        <is>
          <t>GLOBAL_CHECK</t>
        </is>
      </c>
      <c r="G34">
        <f>IFERROR(VLOOKUP($A34&amp;"_"&amp;$B34,Results_Deltas!$A$2:$P$15000,5,FALSE),"")</f>
        <v/>
      </c>
      <c r="H34" t="inlineStr">
        <is>
          <t>Blanket (page end)</t>
        </is>
      </c>
      <c r="L34" t="inlineStr">
        <is>
          <t>YES</t>
        </is>
      </c>
    </row>
    <row r="35" ht="15.75" customHeight="1" s="67">
      <c r="A35" t="inlineStr">
        <is>
          <t>CRYPTO_SPIKE_FADE_THRESHOLD_PCT</t>
        </is>
      </c>
      <c r="B35" t="inlineStr">
        <is>
          <t>10</t>
        </is>
      </c>
      <c r="D35" t="inlineStr">
        <is>
          <t>GLOBAL_CHECK, STOCKS_EXIT</t>
        </is>
      </c>
      <c r="G35">
        <f>IFERROR(VLOOKUP($A35&amp;"_"&amp;$B35,Results_Deltas!$A$2:$P$15000,5,FALSE),"")</f>
        <v/>
      </c>
      <c r="H35" t="inlineStr">
        <is>
          <t>Blanket (page end)</t>
        </is>
      </c>
      <c r="L35" t="inlineStr">
        <is>
          <t>YES</t>
        </is>
      </c>
    </row>
    <row r="36" ht="15.75" customHeight="1" s="67">
      <c r="A36" t="inlineStr">
        <is>
          <t>CRYPTO_SPIKE_FADE_THRESHOLD_PCT</t>
        </is>
      </c>
      <c r="B36" t="inlineStr">
        <is>
          <t>12.5</t>
        </is>
      </c>
      <c r="D36" t="inlineStr">
        <is>
          <t>GLOBAL_CHECK, STOCKS_EXIT</t>
        </is>
      </c>
      <c r="G36">
        <f>IFERROR(VLOOKUP($A36&amp;"_"&amp;$B36,Results_Deltas!$A$2:$P$15000,5,FALSE),"")</f>
        <v/>
      </c>
      <c r="H36" t="inlineStr">
        <is>
          <t>Blanket (page end)</t>
        </is>
      </c>
      <c r="L36" t="inlineStr">
        <is>
          <t>NO</t>
        </is>
      </c>
    </row>
    <row r="37" ht="15.75" customHeight="1" s="67">
      <c r="A37" t="inlineStr">
        <is>
          <t>CRYPTO_SPIKE_FADE_THRESHOLD_PCT</t>
        </is>
      </c>
      <c r="B37" t="inlineStr">
        <is>
          <t>7.5</t>
        </is>
      </c>
      <c r="D37" t="inlineStr">
        <is>
          <t>GLOBAL_CHECK, STOCKS_EXIT</t>
        </is>
      </c>
      <c r="G37">
        <f>IFERROR(VLOOKUP($A37&amp;"_"&amp;$B37,Results_Deltas!$A$2:$P$15000,5,FALSE),"")</f>
        <v/>
      </c>
      <c r="H37" t="inlineStr">
        <is>
          <t>Blanket (page end)</t>
        </is>
      </c>
      <c r="L37" t="inlineStr">
        <is>
          <t>NO</t>
        </is>
      </c>
    </row>
    <row r="38" ht="15.75" customHeight="1" s="67">
      <c r="A38" t="inlineStr">
        <is>
          <t>CRYPTO_SPIKE_FADE_THRESHOLD_PCT</t>
        </is>
      </c>
      <c r="B38" t="inlineStr">
        <is>
          <t>5</t>
        </is>
      </c>
      <c r="D38" t="inlineStr">
        <is>
          <t>GLOBAL_CHECK, STOCKS_EXIT</t>
        </is>
      </c>
      <c r="G38">
        <f>IFERROR(VLOOKUP($A38&amp;"_"&amp;$B38,Results_Deltas!$A$2:$P$15000,5,FALSE),"")</f>
        <v/>
      </c>
      <c r="H38" t="inlineStr">
        <is>
          <t>Blanket (page end)</t>
        </is>
      </c>
      <c r="L38" t="inlineStr">
        <is>
          <t>NO</t>
        </is>
      </c>
    </row>
    <row r="39" ht="15.75" customHeight="1" s="67">
      <c r="A39" t="inlineStr">
        <is>
          <t>DC_MOMENT_STRONG_THRESHOLD</t>
        </is>
      </c>
      <c r="B39" t="inlineStr">
        <is>
          <t>40</t>
        </is>
      </c>
      <c r="D39" t="inlineStr">
        <is>
          <t>ENTRY, GLOBAL_CHECK, STOCKS_EXIT</t>
        </is>
      </c>
      <c r="G39">
        <f>IFERROR(VLOOKUP($A39&amp;"_"&amp;$B39,Results_Deltas!$A$2:$P$15000,5,FALSE),"")</f>
        <v/>
      </c>
      <c r="H39" t="inlineStr">
        <is>
          <t>Blanket (page end)</t>
        </is>
      </c>
      <c r="L39" t="inlineStr">
        <is>
          <t>YES</t>
        </is>
      </c>
    </row>
    <row r="40" ht="15.75" customHeight="1" s="67">
      <c r="A40" t="inlineStr">
        <is>
          <t>DC_MOMENT_STRONG_THRESHOLD</t>
        </is>
      </c>
      <c r="B40" t="inlineStr">
        <is>
          <t>50</t>
        </is>
      </c>
      <c r="D40" t="inlineStr">
        <is>
          <t>ENTRY, GLOBAL_CHECK, STOCKS_EXIT</t>
        </is>
      </c>
      <c r="G40">
        <f>IFERROR(VLOOKUP($A40&amp;"_"&amp;$B40,Results_Deltas!$A$2:$P$15000,5,FALSE),"")</f>
        <v/>
      </c>
      <c r="H40" t="inlineStr">
        <is>
          <t>Blanket (page end)</t>
        </is>
      </c>
      <c r="L40" t="inlineStr">
        <is>
          <t>NO</t>
        </is>
      </c>
    </row>
    <row r="41" ht="15.75" customHeight="1" s="67">
      <c r="A41" t="inlineStr">
        <is>
          <t>DC_MOMENT_STRONG_THRESHOLD</t>
        </is>
      </c>
      <c r="B41" t="inlineStr">
        <is>
          <t>30</t>
        </is>
      </c>
      <c r="D41" t="inlineStr">
        <is>
          <t>ENTRY, GLOBAL_CHECK, STOCKS_EXIT</t>
        </is>
      </c>
      <c r="G41">
        <f>IFERROR(VLOOKUP($A41&amp;"_"&amp;$B41,Results_Deltas!$A$2:$P$15000,5,FALSE),"")</f>
        <v/>
      </c>
      <c r="H41" t="inlineStr">
        <is>
          <t>Blanket (page end)</t>
        </is>
      </c>
      <c r="L41" t="inlineStr">
        <is>
          <t>NO</t>
        </is>
      </c>
    </row>
    <row r="42" ht="15.75" customHeight="1" s="67">
      <c r="A42" t="inlineStr">
        <is>
          <t>DC_MOMENT_STRONG_THRESHOLD</t>
        </is>
      </c>
      <c r="B42" t="inlineStr">
        <is>
          <t>20</t>
        </is>
      </c>
      <c r="D42" t="inlineStr">
        <is>
          <t>ENTRY, GLOBAL_CHECK, STOCKS_EXIT</t>
        </is>
      </c>
      <c r="G42">
        <f>IFERROR(VLOOKUP($A42&amp;"_"&amp;$B42,Results_Deltas!$A$2:$P$15000,5,FALSE),"")</f>
        <v/>
      </c>
      <c r="H42" t="inlineStr">
        <is>
          <t>Blanket (page end)</t>
        </is>
      </c>
      <c r="L42" t="inlineStr">
        <is>
          <t>NO</t>
        </is>
      </c>
    </row>
    <row r="43" ht="15.75" customHeight="1" s="67">
      <c r="A43" t="inlineStr">
        <is>
          <t>DELTA_HTF_GATE</t>
        </is>
      </c>
      <c r="B43" t="inlineStr">
        <is>
          <t>4h</t>
        </is>
      </c>
      <c r="D43" t="inlineStr">
        <is>
          <t>ENTRY, GLOBAL_CHECK, STOCKS_EXIT</t>
        </is>
      </c>
      <c r="G43">
        <f>IFERROR(VLOOKUP($A43&amp;"_"&amp;$B43,Results_Deltas!$A$2:$P$15000,5,FALSE),"")</f>
        <v/>
      </c>
      <c r="H43" t="inlineStr">
        <is>
          <t>Blanket (page end)</t>
        </is>
      </c>
      <c r="L43" t="inlineStr">
        <is>
          <t>NO</t>
        </is>
      </c>
    </row>
    <row r="44" ht="15.75" customHeight="1" s="67">
      <c r="A44" t="inlineStr">
        <is>
          <t>DELTA_HTF_GATE</t>
        </is>
      </c>
      <c r="B44" t="inlineStr">
        <is>
          <t>4h_ALT</t>
        </is>
      </c>
      <c r="D44" t="inlineStr">
        <is>
          <t>ENTRY, GLOBAL_CHECK, STOCKS_EXIT</t>
        </is>
      </c>
      <c r="G44">
        <f>IFERROR(VLOOKUP($A44&amp;"_"&amp;$B44,Results_Deltas!$A$2:$P$15000,5,FALSE),"")</f>
        <v/>
      </c>
      <c r="H44" t="inlineStr">
        <is>
          <t>Blanket (page end)</t>
        </is>
      </c>
      <c r="L44" t="inlineStr">
        <is>
          <t>NO</t>
        </is>
      </c>
    </row>
    <row r="45" ht="15.75" customHeight="1" s="67">
      <c r="A45" t="inlineStr">
        <is>
          <t>DELTA_REENTRY_FILTER_ENABLED</t>
        </is>
      </c>
      <c r="B45" t="inlineStr">
        <is>
          <t>False</t>
        </is>
      </c>
      <c r="D45" t="inlineStr">
        <is>
          <t>ENTRY, GLOBAL_CHECK, STOCKS_EXIT</t>
        </is>
      </c>
      <c r="G45">
        <f>IFERROR(VLOOKUP($A45&amp;"_"&amp;$B45,Results_Deltas!$A$2:$P$15000,5,FALSE),"")</f>
        <v/>
      </c>
      <c r="H45" t="inlineStr">
        <is>
          <t>Blanket (page end)</t>
        </is>
      </c>
      <c r="L45" t="inlineStr">
        <is>
          <t>YES</t>
        </is>
      </c>
    </row>
    <row r="46" ht="15.75" customHeight="1" s="67">
      <c r="A46" t="inlineStr">
        <is>
          <t>DELTA_REENTRY_FILTER_ENABLED</t>
        </is>
      </c>
      <c r="B46" t="inlineStr">
        <is>
          <t>True</t>
        </is>
      </c>
      <c r="D46" t="inlineStr">
        <is>
          <t>ENTRY, GLOBAL_CHECK, STOCKS_EXIT</t>
        </is>
      </c>
      <c r="G46">
        <f>IFERROR(VLOOKUP($A46&amp;"_"&amp;$B46,Results_Deltas!$A$2:$P$15000,5,FALSE),"")</f>
        <v/>
      </c>
      <c r="H46" t="inlineStr">
        <is>
          <t>Blanket (page end)</t>
        </is>
      </c>
      <c r="L46" t="inlineStr">
        <is>
          <t>NO</t>
        </is>
      </c>
    </row>
    <row r="47" ht="15.75" customHeight="1" s="67">
      <c r="A47" t="inlineStr">
        <is>
          <t>DUP_GUARD_FILTER_TF</t>
        </is>
      </c>
      <c r="B47" t="inlineStr">
        <is>
          <t>OFF</t>
        </is>
      </c>
      <c r="D47" t="inlineStr">
        <is>
          <t>GLOBAL_CHECK</t>
        </is>
      </c>
      <c r="G47">
        <f>IFERROR(VLOOKUP($A47&amp;"_"&amp;$B47,Results_Deltas!$A$2:$P$15000,5,FALSE),"")</f>
        <v/>
      </c>
      <c r="H47" t="inlineStr">
        <is>
          <t>Blanket (page end)</t>
        </is>
      </c>
      <c r="L47" t="inlineStr">
        <is>
          <t>NO</t>
        </is>
      </c>
    </row>
    <row r="48" ht="15.75" customHeight="1" s="67">
      <c r="A48" t="inlineStr">
        <is>
          <t>DUP_GUARD_FILTER_TF</t>
        </is>
      </c>
      <c r="B48" t="inlineStr">
        <is>
          <t>D</t>
        </is>
      </c>
      <c r="D48" t="inlineStr">
        <is>
          <t>GLOBAL_CHECK</t>
        </is>
      </c>
      <c r="G48">
        <f>IFERROR(VLOOKUP($A48&amp;"_"&amp;$B48,Results_Deltas!$A$2:$P$15000,5,FALSE),"")</f>
        <v/>
      </c>
      <c r="H48" t="inlineStr">
        <is>
          <t>Blanket (page end)</t>
        </is>
      </c>
      <c r="L48" t="inlineStr">
        <is>
          <t>NO</t>
        </is>
      </c>
    </row>
    <row r="49" ht="15.75" customHeight="1" s="67">
      <c r="A49" t="inlineStr">
        <is>
          <t>DUP_GUARD_FILTER_TF</t>
        </is>
      </c>
      <c r="B49" t="inlineStr">
        <is>
          <t>4h</t>
        </is>
      </c>
      <c r="D49" t="inlineStr">
        <is>
          <t>GLOBAL_CHECK</t>
        </is>
      </c>
      <c r="G49">
        <f>IFERROR(VLOOKUP($A49&amp;"_"&amp;$B49,Results_Deltas!$A$2:$P$15000,5,FALSE),"")</f>
        <v/>
      </c>
      <c r="H49" t="inlineStr">
        <is>
          <t>Blanket (page end)</t>
        </is>
      </c>
      <c r="L49" t="inlineStr">
        <is>
          <t>NO</t>
        </is>
      </c>
    </row>
    <row r="50" ht="15.75" customHeight="1" s="67">
      <c r="A50" t="inlineStr">
        <is>
          <t>DUP_GUARD_FILTER_TF</t>
        </is>
      </c>
      <c r="B50" t="inlineStr">
        <is>
          <t>1h</t>
        </is>
      </c>
      <c r="D50" t="inlineStr">
        <is>
          <t>GLOBAL_CHECK</t>
        </is>
      </c>
      <c r="G50">
        <f>IFERROR(VLOOKUP($A50&amp;"_"&amp;$B50,Results_Deltas!$A$2:$P$15000,5,FALSE),"")</f>
        <v/>
      </c>
      <c r="H50" t="inlineStr">
        <is>
          <t>Blanket (page end)</t>
        </is>
      </c>
      <c r="L50" t="inlineStr">
        <is>
          <t>NO</t>
        </is>
      </c>
    </row>
    <row r="51" ht="15.75" customHeight="1" s="67">
      <c r="A51" t="inlineStr">
        <is>
          <t>DUP_GUARD_FILTER_TF</t>
        </is>
      </c>
      <c r="B51" t="inlineStr">
        <is>
          <t>15m</t>
        </is>
      </c>
      <c r="D51" t="inlineStr">
        <is>
          <t>GLOBAL_CHECK</t>
        </is>
      </c>
      <c r="G51">
        <f>IFERROR(VLOOKUP($A51&amp;"_"&amp;$B51,Results_Deltas!$A$2:$P$15000,5,FALSE),"")</f>
        <v/>
      </c>
      <c r="H51" t="inlineStr">
        <is>
          <t>Blanket (page end)</t>
        </is>
      </c>
      <c r="L51" t="inlineStr">
        <is>
          <t>YES</t>
        </is>
      </c>
    </row>
    <row r="52" ht="15.75" customHeight="1" s="67">
      <c r="A52" t="inlineStr">
        <is>
          <t>EMA_9_21_FILTER_MIN_TFS</t>
        </is>
      </c>
      <c r="B52" t="inlineStr">
        <is>
          <t>0</t>
        </is>
      </c>
      <c r="D52" t="inlineStr">
        <is>
          <t>GLOBAL_CHECK</t>
        </is>
      </c>
      <c r="G52">
        <f>IFERROR(VLOOKUP($A52&amp;"_"&amp;$B52,Results_Deltas!$A$2:$P$15000,5,FALSE),"")</f>
        <v/>
      </c>
      <c r="H52" t="inlineStr">
        <is>
          <t>Blanket (page end)</t>
        </is>
      </c>
      <c r="L52" t="inlineStr">
        <is>
          <t>NO</t>
        </is>
      </c>
    </row>
    <row r="53" ht="15.75" customHeight="1" s="67">
      <c r="A53" t="inlineStr">
        <is>
          <t>EMA_9_21_FILTER_MIN_TFS</t>
        </is>
      </c>
      <c r="B53" t="inlineStr">
        <is>
          <t>2</t>
        </is>
      </c>
      <c r="D53" t="inlineStr">
        <is>
          <t>GLOBAL_CHECK</t>
        </is>
      </c>
      <c r="G53">
        <f>IFERROR(VLOOKUP($A53&amp;"_"&amp;$B53,Results_Deltas!$A$2:$P$15000,5,FALSE),"")</f>
        <v/>
      </c>
      <c r="H53" t="inlineStr">
        <is>
          <t>Blanket (page end)</t>
        </is>
      </c>
      <c r="L53" t="inlineStr">
        <is>
          <t>NO</t>
        </is>
      </c>
    </row>
    <row r="54" ht="15.75" customHeight="1" s="67">
      <c r="A54" t="inlineStr">
        <is>
          <t>EMA_9_21_FILTER_MIN_TFS</t>
        </is>
      </c>
      <c r="B54" t="inlineStr">
        <is>
          <t>1</t>
        </is>
      </c>
      <c r="D54" t="inlineStr">
        <is>
          <t>GLOBAL_CHECK</t>
        </is>
      </c>
      <c r="G54">
        <f>IFERROR(VLOOKUP($A54&amp;"_"&amp;$B54,Results_Deltas!$A$2:$P$15000,5,FALSE),"")</f>
        <v/>
      </c>
      <c r="H54" t="inlineStr">
        <is>
          <t>Blanket (page end)</t>
        </is>
      </c>
      <c r="L54" t="inlineStr">
        <is>
          <t>NO</t>
        </is>
      </c>
    </row>
    <row r="55" ht="15.75" customHeight="1" s="67">
      <c r="A55" t="inlineStr">
        <is>
          <t>EMA_BLANKET_FILTER_ENABLED</t>
        </is>
      </c>
      <c r="B55" t="inlineStr">
        <is>
          <t>False</t>
        </is>
      </c>
      <c r="D55" t="inlineStr">
        <is>
          <t>GLOBAL_CHECK</t>
        </is>
      </c>
      <c r="G55">
        <f>IFERROR(VLOOKUP($A55&amp;"_"&amp;$B55,Results_Deltas!$A$2:$P$15000,5,FALSE),"")</f>
        <v/>
      </c>
      <c r="H55" t="inlineStr">
        <is>
          <t>Blanket (page end)</t>
        </is>
      </c>
      <c r="L55" t="inlineStr">
        <is>
          <t>NO</t>
        </is>
      </c>
    </row>
    <row r="56" ht="15.75" customHeight="1" s="67">
      <c r="A56" t="inlineStr">
        <is>
          <t>EMA_BLANKET_FILTER_ENABLED</t>
        </is>
      </c>
      <c r="B56" t="inlineStr">
        <is>
          <t>True</t>
        </is>
      </c>
      <c r="D56" t="inlineStr">
        <is>
          <t>GLOBAL_CHECK</t>
        </is>
      </c>
      <c r="G56">
        <f>IFERROR(VLOOKUP($A56&amp;"_"&amp;$B56,Results_Deltas!$A$2:$P$15000,5,FALSE),"")</f>
        <v/>
      </c>
      <c r="H56" t="inlineStr">
        <is>
          <t>Blanket (page end)</t>
        </is>
      </c>
      <c r="L56" t="inlineStr">
        <is>
          <t>YES</t>
        </is>
      </c>
    </row>
    <row r="57" ht="15.75" customHeight="1" s="67">
      <c r="A57" t="inlineStr">
        <is>
          <t>EMA_BLANKET_FILTER_MIN_TFS</t>
        </is>
      </c>
      <c r="B57" t="inlineStr">
        <is>
          <t>0</t>
        </is>
      </c>
      <c r="D57" t="inlineStr">
        <is>
          <t>GLOBAL_CHECK</t>
        </is>
      </c>
      <c r="G57">
        <f>IFERROR(VLOOKUP($A57&amp;"_"&amp;$B57,Results_Deltas!$A$2:$P$15000,5,FALSE),"")</f>
        <v/>
      </c>
      <c r="H57" t="inlineStr">
        <is>
          <t>Blanket (page end)</t>
        </is>
      </c>
      <c r="L57" t="inlineStr">
        <is>
          <t>NO</t>
        </is>
      </c>
    </row>
    <row r="58" ht="15.75" customHeight="1" s="67">
      <c r="A58" t="inlineStr">
        <is>
          <t>EMA_BLANKET_FILTER_MIN_TFS</t>
        </is>
      </c>
      <c r="B58" t="inlineStr">
        <is>
          <t>2</t>
        </is>
      </c>
      <c r="D58" t="inlineStr">
        <is>
          <t>GLOBAL_CHECK</t>
        </is>
      </c>
      <c r="G58">
        <f>IFERROR(VLOOKUP($A58&amp;"_"&amp;$B58,Results_Deltas!$A$2:$P$15000,5,FALSE),"")</f>
        <v/>
      </c>
      <c r="H58" t="inlineStr">
        <is>
          <t>Blanket (page end)</t>
        </is>
      </c>
      <c r="L58" t="inlineStr">
        <is>
          <t>NO</t>
        </is>
      </c>
    </row>
    <row r="59" ht="15.75" customHeight="1" s="67">
      <c r="A59" t="inlineStr">
        <is>
          <t>EMA_BLANKET_FILTER_MIN_TFS</t>
        </is>
      </c>
      <c r="B59" t="inlineStr">
        <is>
          <t>1</t>
        </is>
      </c>
      <c r="D59" t="inlineStr">
        <is>
          <t>GLOBAL_CHECK</t>
        </is>
      </c>
      <c r="G59">
        <f>IFERROR(VLOOKUP($A59&amp;"_"&amp;$B59,Results_Deltas!$A$2:$P$15000,5,FALSE),"")</f>
        <v/>
      </c>
      <c r="H59" t="inlineStr">
        <is>
          <t>Blanket (page end)</t>
        </is>
      </c>
      <c r="L59" t="inlineStr">
        <is>
          <t>NO</t>
        </is>
      </c>
    </row>
    <row r="60" ht="15.75" customHeight="1" s="67">
      <c r="A60" t="inlineStr">
        <is>
          <t>EXECUTE_NOW_SINGLE_GATE_ENFORCE</t>
        </is>
      </c>
      <c r="B60" t="inlineStr">
        <is>
          <t>0.0</t>
        </is>
      </c>
      <c r="D60" t="inlineStr">
        <is>
          <t>ENTRY, GLOBAL_CHECK, STOCKS_EXIT</t>
        </is>
      </c>
      <c r="G60">
        <f>IFERROR(VLOOKUP($A60&amp;"_"&amp;$B60,Results_Deltas!$A$2:$P$15000,5,FALSE),"")</f>
        <v/>
      </c>
      <c r="H60" t="inlineStr">
        <is>
          <t>Blanket (page end)</t>
        </is>
      </c>
      <c r="L60" t="inlineStr">
        <is>
          <t>NO</t>
        </is>
      </c>
    </row>
    <row r="61" ht="15.75" customHeight="1" s="67">
      <c r="A61" t="inlineStr">
        <is>
          <t>EXECUTE_NOW_SINGLE_GATE_ENFORCE</t>
        </is>
      </c>
      <c r="B61" t="inlineStr">
        <is>
          <t>0.0_ALT</t>
        </is>
      </c>
      <c r="D61" t="inlineStr">
        <is>
          <t>ENTRY, GLOBAL_CHECK, STOCKS_EXIT</t>
        </is>
      </c>
      <c r="G61">
        <f>IFERROR(VLOOKUP($A61&amp;"_"&amp;$B61,Results_Deltas!$A$2:$P$15000,5,FALSE),"")</f>
        <v/>
      </c>
      <c r="H61" t="inlineStr">
        <is>
          <t>Blanket (page end)</t>
        </is>
      </c>
      <c r="L61" t="inlineStr">
        <is>
          <t>NO</t>
        </is>
      </c>
    </row>
    <row r="62" ht="15.75" customHeight="1" s="67">
      <c r="A62" t="inlineStr">
        <is>
          <t>EZ_MANAGE_THROTTLER_RATE</t>
        </is>
      </c>
      <c r="B62" t="inlineStr">
        <is>
          <t>0.0</t>
        </is>
      </c>
      <c r="D62" t="inlineStr">
        <is>
          <t>GLOBAL_CHECK, STOCKS_EXIT</t>
        </is>
      </c>
      <c r="G62">
        <f>IFERROR(VLOOKUP($A62&amp;"_"&amp;$B62,Results_Deltas!$A$2:$P$15000,5,FALSE),"")</f>
        <v/>
      </c>
      <c r="H62" t="inlineStr">
        <is>
          <t>Blanket (page end)</t>
        </is>
      </c>
      <c r="L62" t="inlineStr">
        <is>
          <t>NO</t>
        </is>
      </c>
    </row>
    <row r="63" ht="15.75" customHeight="1" s="67">
      <c r="A63" t="inlineStr">
        <is>
          <t>EZ_MANAGE_THROTTLER_RATE</t>
        </is>
      </c>
      <c r="B63" t="inlineStr">
        <is>
          <t>0.0_ALT</t>
        </is>
      </c>
      <c r="D63" t="inlineStr">
        <is>
          <t>GLOBAL_CHECK, STOCKS_EXIT</t>
        </is>
      </c>
      <c r="G63">
        <f>IFERROR(VLOOKUP($A63&amp;"_"&amp;$B63,Results_Deltas!$A$2:$P$15000,5,FALSE),"")</f>
        <v/>
      </c>
      <c r="H63" t="inlineStr">
        <is>
          <t>Blanket (page end)</t>
        </is>
      </c>
      <c r="L63" t="inlineStr">
        <is>
          <t>NO</t>
        </is>
      </c>
    </row>
    <row r="64" ht="15.75" customHeight="1" s="67">
      <c r="A64" t="inlineStr">
        <is>
          <t>FG_FEAR_THRESHOLD</t>
        </is>
      </c>
      <c r="B64" t="inlineStr">
        <is>
          <t>25</t>
        </is>
      </c>
      <c r="D64" t="inlineStr">
        <is>
          <t>GLOBAL_CHECK, STOCKS_EXIT</t>
        </is>
      </c>
      <c r="G64">
        <f>IFERROR(VLOOKUP($A64&amp;"_"&amp;$B64,Results_Deltas!$A$2:$P$15000,5,FALSE),"")</f>
        <v/>
      </c>
      <c r="H64" t="inlineStr">
        <is>
          <t>Blanket (page end)</t>
        </is>
      </c>
      <c r="L64" t="inlineStr">
        <is>
          <t>YES</t>
        </is>
      </c>
    </row>
    <row r="65" ht="15.75" customHeight="1" s="67">
      <c r="A65" t="inlineStr">
        <is>
          <t>FG_FEAR_THRESHOLD</t>
        </is>
      </c>
      <c r="B65" t="inlineStr">
        <is>
          <t>31.25</t>
        </is>
      </c>
      <c r="D65" t="inlineStr">
        <is>
          <t>GLOBAL_CHECK, STOCKS_EXIT</t>
        </is>
      </c>
      <c r="G65">
        <f>IFERROR(VLOOKUP($A65&amp;"_"&amp;$B65,Results_Deltas!$A$2:$P$15000,5,FALSE),"")</f>
        <v/>
      </c>
      <c r="H65" t="inlineStr">
        <is>
          <t>Blanket (page end)</t>
        </is>
      </c>
      <c r="L65" t="inlineStr">
        <is>
          <t>NO</t>
        </is>
      </c>
    </row>
    <row r="66" ht="15.75" customHeight="1" s="67">
      <c r="A66" t="inlineStr">
        <is>
          <t>FG_FEAR_THRESHOLD</t>
        </is>
      </c>
      <c r="B66" t="inlineStr">
        <is>
          <t>18.75</t>
        </is>
      </c>
      <c r="D66" t="inlineStr">
        <is>
          <t>GLOBAL_CHECK, STOCKS_EXIT</t>
        </is>
      </c>
      <c r="G66">
        <f>IFERROR(VLOOKUP($A66&amp;"_"&amp;$B66,Results_Deltas!$A$2:$P$15000,5,FALSE),"")</f>
        <v/>
      </c>
      <c r="H66" t="inlineStr">
        <is>
          <t>Blanket (page end)</t>
        </is>
      </c>
      <c r="L66" t="inlineStr">
        <is>
          <t>NO</t>
        </is>
      </c>
    </row>
    <row r="67" ht="15.75" customHeight="1" s="67">
      <c r="A67" t="inlineStr">
        <is>
          <t>FG_FEAR_THRESHOLD</t>
        </is>
      </c>
      <c r="B67" t="inlineStr">
        <is>
          <t>12.5</t>
        </is>
      </c>
      <c r="D67" t="inlineStr">
        <is>
          <t>GLOBAL_CHECK, STOCKS_EXIT</t>
        </is>
      </c>
      <c r="G67">
        <f>IFERROR(VLOOKUP($A67&amp;"_"&amp;$B67,Results_Deltas!$A$2:$P$15000,5,FALSE),"")</f>
        <v/>
      </c>
      <c r="H67" t="inlineStr">
        <is>
          <t>Blanket (page end)</t>
        </is>
      </c>
      <c r="L67" t="inlineStr">
        <is>
          <t>NO</t>
        </is>
      </c>
    </row>
    <row r="68" ht="15.75" customHeight="1" s="67">
      <c r="A68" t="inlineStr">
        <is>
          <t>FG_GREED_THRESHOLD</t>
        </is>
      </c>
      <c r="B68" t="inlineStr">
        <is>
          <t>75</t>
        </is>
      </c>
      <c r="D68" t="inlineStr">
        <is>
          <t>GLOBAL_CHECK, STOCKS_EXIT</t>
        </is>
      </c>
      <c r="G68">
        <f>IFERROR(VLOOKUP($A68&amp;"_"&amp;$B68,Results_Deltas!$A$2:$P$15000,5,FALSE),"")</f>
        <v/>
      </c>
      <c r="H68" t="inlineStr">
        <is>
          <t>Blanket (page end)</t>
        </is>
      </c>
      <c r="L68" t="inlineStr">
        <is>
          <t>YES</t>
        </is>
      </c>
    </row>
    <row r="69" ht="15.75" customHeight="1" s="67">
      <c r="A69" t="inlineStr">
        <is>
          <t>FG_GREED_THRESHOLD</t>
        </is>
      </c>
      <c r="B69" t="inlineStr">
        <is>
          <t>93.75</t>
        </is>
      </c>
      <c r="D69" t="inlineStr">
        <is>
          <t>GLOBAL_CHECK, STOCKS_EXIT</t>
        </is>
      </c>
      <c r="G69">
        <f>IFERROR(VLOOKUP($A69&amp;"_"&amp;$B69,Results_Deltas!$A$2:$P$15000,5,FALSE),"")</f>
        <v/>
      </c>
      <c r="H69" t="inlineStr">
        <is>
          <t>Blanket (page end)</t>
        </is>
      </c>
      <c r="L69" t="inlineStr">
        <is>
          <t>NO</t>
        </is>
      </c>
    </row>
    <row r="70" ht="15.75" customHeight="1" s="67">
      <c r="A70" t="inlineStr">
        <is>
          <t>FG_GREED_THRESHOLD</t>
        </is>
      </c>
      <c r="B70" t="inlineStr">
        <is>
          <t>56.25</t>
        </is>
      </c>
      <c r="D70" t="inlineStr">
        <is>
          <t>GLOBAL_CHECK, STOCKS_EXIT</t>
        </is>
      </c>
      <c r="G70">
        <f>IFERROR(VLOOKUP($A70&amp;"_"&amp;$B70,Results_Deltas!$A$2:$P$15000,5,FALSE),"")</f>
        <v/>
      </c>
      <c r="H70" t="inlineStr">
        <is>
          <t>Blanket (page end)</t>
        </is>
      </c>
      <c r="L70" t="inlineStr">
        <is>
          <t>NO</t>
        </is>
      </c>
    </row>
    <row r="71" ht="15.75" customHeight="1" s="67">
      <c r="A71" t="inlineStr">
        <is>
          <t>FG_GREED_THRESHOLD</t>
        </is>
      </c>
      <c r="B71" t="inlineStr">
        <is>
          <t>37.5</t>
        </is>
      </c>
      <c r="D71" t="inlineStr">
        <is>
          <t>GLOBAL_CHECK, STOCKS_EXIT</t>
        </is>
      </c>
      <c r="G71">
        <f>IFERROR(VLOOKUP($A71&amp;"_"&amp;$B71,Results_Deltas!$A$2:$P$15000,5,FALSE),"")</f>
        <v/>
      </c>
      <c r="H71" t="inlineStr">
        <is>
          <t>Blanket (page end)</t>
        </is>
      </c>
      <c r="L71" t="inlineStr">
        <is>
          <t>NO</t>
        </is>
      </c>
    </row>
    <row r="72" ht="15.75" customHeight="1" s="67">
      <c r="A72" t="inlineStr">
        <is>
          <t>FUNDING_GATE_FILTER_TF</t>
        </is>
      </c>
      <c r="B72" t="inlineStr">
        <is>
          <t>OFF</t>
        </is>
      </c>
      <c r="D72" t="inlineStr">
        <is>
          <t>GLOBAL_CHECK</t>
        </is>
      </c>
      <c r="G72">
        <f>IFERROR(VLOOKUP($A72&amp;"_"&amp;$B72,Results_Deltas!$A$2:$P$15000,5,FALSE),"")</f>
        <v/>
      </c>
      <c r="H72" t="inlineStr">
        <is>
          <t>Blanket (page end)</t>
        </is>
      </c>
      <c r="L72" t="inlineStr">
        <is>
          <t>NO</t>
        </is>
      </c>
    </row>
    <row r="73" ht="15.75" customHeight="1" s="67">
      <c r="A73" t="inlineStr">
        <is>
          <t>FUNDING_GATE_FILTER_TF</t>
        </is>
      </c>
      <c r="B73" t="inlineStr">
        <is>
          <t>D</t>
        </is>
      </c>
      <c r="D73" t="inlineStr">
        <is>
          <t>GLOBAL_CHECK</t>
        </is>
      </c>
      <c r="G73">
        <f>IFERROR(VLOOKUP($A73&amp;"_"&amp;$B73,Results_Deltas!$A$2:$P$15000,5,FALSE),"")</f>
        <v/>
      </c>
      <c r="H73" t="inlineStr">
        <is>
          <t>Blanket (page end)</t>
        </is>
      </c>
      <c r="L73" t="inlineStr">
        <is>
          <t>NO</t>
        </is>
      </c>
    </row>
    <row r="74" ht="15.75" customHeight="1" s="67">
      <c r="A74" t="inlineStr">
        <is>
          <t>FUNDING_GATE_FILTER_TF</t>
        </is>
      </c>
      <c r="B74" t="inlineStr">
        <is>
          <t>4h</t>
        </is>
      </c>
      <c r="D74" t="inlineStr">
        <is>
          <t>GLOBAL_CHECK</t>
        </is>
      </c>
      <c r="G74">
        <f>IFERROR(VLOOKUP($A74&amp;"_"&amp;$B74,Results_Deltas!$A$2:$P$15000,5,FALSE),"")</f>
        <v/>
      </c>
      <c r="H74" t="inlineStr">
        <is>
          <t>Blanket (page end)</t>
        </is>
      </c>
      <c r="L74" t="inlineStr">
        <is>
          <t>NO</t>
        </is>
      </c>
    </row>
    <row r="75" ht="15.75" customHeight="1" s="67">
      <c r="A75" t="inlineStr">
        <is>
          <t>FUNDING_GATE_FILTER_TF</t>
        </is>
      </c>
      <c r="B75" t="inlineStr">
        <is>
          <t>1h</t>
        </is>
      </c>
      <c r="D75" t="inlineStr">
        <is>
          <t>GLOBAL_CHECK</t>
        </is>
      </c>
      <c r="G75">
        <f>IFERROR(VLOOKUP($A75&amp;"_"&amp;$B75,Results_Deltas!$A$2:$P$15000,5,FALSE),"")</f>
        <v/>
      </c>
      <c r="H75" t="inlineStr">
        <is>
          <t>Blanket (page end)</t>
        </is>
      </c>
      <c r="L75" t="inlineStr">
        <is>
          <t>NO</t>
        </is>
      </c>
    </row>
    <row r="76" ht="15.75" customHeight="1" s="67">
      <c r="A76" t="inlineStr">
        <is>
          <t>FUNDING_GATE_FILTER_TF</t>
        </is>
      </c>
      <c r="B76" t="inlineStr">
        <is>
          <t>15m</t>
        </is>
      </c>
      <c r="D76" t="inlineStr">
        <is>
          <t>GLOBAL_CHECK</t>
        </is>
      </c>
      <c r="G76">
        <f>IFERROR(VLOOKUP($A76&amp;"_"&amp;$B76,Results_Deltas!$A$2:$P$15000,5,FALSE),"")</f>
        <v/>
      </c>
      <c r="H76" t="inlineStr">
        <is>
          <t>Blanket (page end)</t>
        </is>
      </c>
      <c r="L76" t="inlineStr">
        <is>
          <t>YES</t>
        </is>
      </c>
    </row>
    <row r="77" ht="15.75" customHeight="1" s="67">
      <c r="A77" t="inlineStr">
        <is>
          <t>FUNDING_GATE_LONG_MAX</t>
        </is>
      </c>
      <c r="B77" t="inlineStr">
        <is>
          <t>0.0</t>
        </is>
      </c>
      <c r="D77" t="inlineStr">
        <is>
          <t>ENTRY, GLOBAL_CHECK, STOCKS_EXIT</t>
        </is>
      </c>
      <c r="G77">
        <f>IFERROR(VLOOKUP($A77&amp;"_"&amp;$B77,Results_Deltas!$A$2:$P$15000,5,FALSE),"")</f>
        <v/>
      </c>
      <c r="H77" t="inlineStr">
        <is>
          <t>Blanket (page end)</t>
        </is>
      </c>
      <c r="L77" t="inlineStr">
        <is>
          <t>NO</t>
        </is>
      </c>
    </row>
    <row r="78" ht="15.75" customHeight="1" s="67">
      <c r="A78" t="inlineStr">
        <is>
          <t>FUNDING_GATE_LONG_MAX</t>
        </is>
      </c>
      <c r="B78" t="inlineStr">
        <is>
          <t>0.0_ALT</t>
        </is>
      </c>
      <c r="D78" t="inlineStr">
        <is>
          <t>ENTRY, GLOBAL_CHECK, STOCKS_EXIT</t>
        </is>
      </c>
      <c r="G78">
        <f>IFERROR(VLOOKUP($A78&amp;"_"&amp;$B78,Results_Deltas!$A$2:$P$15000,5,FALSE),"")</f>
        <v/>
      </c>
      <c r="H78" t="inlineStr">
        <is>
          <t>Blanket (page end)</t>
        </is>
      </c>
      <c r="L78" t="inlineStr">
        <is>
          <t>NO</t>
        </is>
      </c>
    </row>
    <row r="79" ht="15.75" customHeight="1" s="67">
      <c r="A79" t="inlineStr">
        <is>
          <t>FUNDING_GATE_MTF_REQUIRED</t>
        </is>
      </c>
      <c r="B79" t="inlineStr">
        <is>
          <t>0.0</t>
        </is>
      </c>
      <c r="D79" t="inlineStr">
        <is>
          <t>ENTRY, GLOBAL_CHECK, STOCKS_EXIT</t>
        </is>
      </c>
      <c r="G79">
        <f>IFERROR(VLOOKUP($A79&amp;"_"&amp;$B79,Results_Deltas!$A$2:$P$15000,5,FALSE),"")</f>
        <v/>
      </c>
      <c r="H79" t="inlineStr">
        <is>
          <t>Blanket (page end)</t>
        </is>
      </c>
      <c r="L79" t="inlineStr">
        <is>
          <t>NO</t>
        </is>
      </c>
    </row>
    <row r="80" ht="15.75" customHeight="1" s="67">
      <c r="A80" t="inlineStr">
        <is>
          <t>FUNDING_GATE_MTF_REQUIRED</t>
        </is>
      </c>
      <c r="B80" t="inlineStr">
        <is>
          <t>0.0_ALT</t>
        </is>
      </c>
      <c r="D80" t="inlineStr">
        <is>
          <t>ENTRY, GLOBAL_CHECK, STOCKS_EXIT</t>
        </is>
      </c>
      <c r="G80">
        <f>IFERROR(VLOOKUP($A80&amp;"_"&amp;$B80,Results_Deltas!$A$2:$P$15000,5,FALSE),"")</f>
        <v/>
      </c>
      <c r="H80" t="inlineStr">
        <is>
          <t>Blanket (page end)</t>
        </is>
      </c>
      <c r="L80" t="inlineStr">
        <is>
          <t>NO</t>
        </is>
      </c>
    </row>
    <row r="81" ht="15.75" customHeight="1" s="67">
      <c r="A81" t="inlineStr">
        <is>
          <t>FUNDING_GATE_SHORT_MIN</t>
        </is>
      </c>
      <c r="B81" t="inlineStr">
        <is>
          <t>0.0</t>
        </is>
      </c>
      <c r="D81" t="inlineStr">
        <is>
          <t>ENTRY, GLOBAL_CHECK, STOCKS_EXIT</t>
        </is>
      </c>
      <c r="G81">
        <f>IFERROR(VLOOKUP($A81&amp;"_"&amp;$B81,Results_Deltas!$A$2:$P$15000,5,FALSE),"")</f>
        <v/>
      </c>
      <c r="H81" t="inlineStr">
        <is>
          <t>Blanket (page end)</t>
        </is>
      </c>
      <c r="L81" t="inlineStr">
        <is>
          <t>NO</t>
        </is>
      </c>
    </row>
    <row r="82" ht="15.75" customHeight="1" s="67">
      <c r="A82" t="inlineStr">
        <is>
          <t>FUNDING_GATE_SHORT_MIN</t>
        </is>
      </c>
      <c r="B82" t="inlineStr">
        <is>
          <t>0.0_ALT</t>
        </is>
      </c>
      <c r="D82" t="inlineStr">
        <is>
          <t>ENTRY, GLOBAL_CHECK, STOCKS_EXIT</t>
        </is>
      </c>
      <c r="G82">
        <f>IFERROR(VLOOKUP($A82&amp;"_"&amp;$B82,Results_Deltas!$A$2:$P$15000,5,FALSE),"")</f>
        <v/>
      </c>
      <c r="H82" t="inlineStr">
        <is>
          <t>Blanket (page end)</t>
        </is>
      </c>
      <c r="L82" t="inlineStr">
        <is>
          <t>NO</t>
        </is>
      </c>
    </row>
    <row r="83" ht="15.75" customHeight="1" s="67">
      <c r="A83" t="inlineStr">
        <is>
          <t>GOLDEN_RULE_BASE_USD</t>
        </is>
      </c>
      <c r="B83" t="inlineStr">
        <is>
          <t>0.0</t>
        </is>
      </c>
      <c r="D83" t="inlineStr">
        <is>
          <t>GLOBAL_CHECK, STOCKS_EXIT</t>
        </is>
      </c>
      <c r="G83">
        <f>IFERROR(VLOOKUP($A83&amp;"_"&amp;$B83,Results_Deltas!$A$2:$P$15000,5,FALSE),"")</f>
        <v/>
      </c>
      <c r="H83" t="inlineStr">
        <is>
          <t>Blanket (page end)</t>
        </is>
      </c>
      <c r="L83" t="inlineStr">
        <is>
          <t>NO</t>
        </is>
      </c>
    </row>
    <row r="84" ht="15.75" customHeight="1" s="67">
      <c r="A84" t="inlineStr">
        <is>
          <t>GOLDEN_RULE_BASE_USD</t>
        </is>
      </c>
      <c r="B84" t="inlineStr">
        <is>
          <t>0.0_ALT</t>
        </is>
      </c>
      <c r="D84" t="inlineStr">
        <is>
          <t>GLOBAL_CHECK, STOCKS_EXIT</t>
        </is>
      </c>
      <c r="G84">
        <f>IFERROR(VLOOKUP($A84&amp;"_"&amp;$B84,Results_Deltas!$A$2:$P$15000,5,FALSE),"")</f>
        <v/>
      </c>
      <c r="H84" t="inlineStr">
        <is>
          <t>Blanket (page end)</t>
        </is>
      </c>
      <c r="L84" t="inlineStr">
        <is>
          <t>NO</t>
        </is>
      </c>
    </row>
    <row r="85" ht="15.75" customHeight="1" s="67">
      <c r="A85" t="inlineStr">
        <is>
          <t>GR_FILTER_ALL_ENTRIES</t>
        </is>
      </c>
      <c r="B85" t="inlineStr">
        <is>
          <t>0.0</t>
        </is>
      </c>
      <c r="D85" t="inlineStr">
        <is>
          <t>GLOBAL_CHECK, STOCKS_EXIT</t>
        </is>
      </c>
      <c r="G85">
        <f>IFERROR(VLOOKUP($A85&amp;"_"&amp;$B85,Results_Deltas!$A$2:$P$15000,5,FALSE),"")</f>
        <v/>
      </c>
      <c r="H85" t="inlineStr">
        <is>
          <t>Blanket (page end)</t>
        </is>
      </c>
      <c r="L85" t="inlineStr">
        <is>
          <t>NO</t>
        </is>
      </c>
    </row>
    <row r="86" ht="15.75" customHeight="1" s="67">
      <c r="A86" t="inlineStr">
        <is>
          <t>GR_FILTER_ALL_ENTRIES</t>
        </is>
      </c>
      <c r="B86" t="inlineStr">
        <is>
          <t>0.0_ALT</t>
        </is>
      </c>
      <c r="D86" t="inlineStr">
        <is>
          <t>GLOBAL_CHECK, STOCKS_EXIT</t>
        </is>
      </c>
      <c r="G86">
        <f>IFERROR(VLOOKUP($A86&amp;"_"&amp;$B86,Results_Deltas!$A$2:$P$15000,5,FALSE),"")</f>
        <v/>
      </c>
      <c r="H86" t="inlineStr">
        <is>
          <t>Blanket (page end)</t>
        </is>
      </c>
      <c r="L86" t="inlineStr">
        <is>
          <t>NO</t>
        </is>
      </c>
    </row>
    <row r="87" ht="15.75" customHeight="1" s="67">
      <c r="A87" t="inlineStr">
        <is>
          <t>GR_FILTER_VEC_ENABLED</t>
        </is>
      </c>
      <c r="B87" t="inlineStr">
        <is>
          <t>False</t>
        </is>
      </c>
      <c r="D87" t="inlineStr">
        <is>
          <t>GLOBAL_CHECK</t>
        </is>
      </c>
      <c r="G87">
        <f>IFERROR(VLOOKUP($A87&amp;"_"&amp;$B87,Results_Deltas!$A$2:$P$15000,5,FALSE),"")</f>
        <v/>
      </c>
      <c r="H87" t="inlineStr">
        <is>
          <t>Blanket (page end)</t>
        </is>
      </c>
      <c r="L87" t="inlineStr">
        <is>
          <t>YES</t>
        </is>
      </c>
    </row>
    <row r="88" ht="15.75" customHeight="1" s="67">
      <c r="A88" t="inlineStr">
        <is>
          <t>GR_FILTER_VEC_ENABLED</t>
        </is>
      </c>
      <c r="B88" t="inlineStr">
        <is>
          <t>True</t>
        </is>
      </c>
      <c r="D88" t="inlineStr">
        <is>
          <t>GLOBAL_CHECK</t>
        </is>
      </c>
      <c r="G88">
        <f>IFERROR(VLOOKUP($A88&amp;"_"&amp;$B88,Results_Deltas!$A$2:$P$15000,5,FALSE),"")</f>
        <v/>
      </c>
      <c r="H88" t="inlineStr">
        <is>
          <t>Blanket (page end)</t>
        </is>
      </c>
      <c r="L88" t="inlineStr">
        <is>
          <t>NO</t>
        </is>
      </c>
    </row>
    <row r="89" ht="15.75" customHeight="1" s="67">
      <c r="A89" t="inlineStr">
        <is>
          <t>GR_FILTER_VEC_MIN_TFS</t>
        </is>
      </c>
      <c r="B89" t="inlineStr">
        <is>
          <t>0</t>
        </is>
      </c>
      <c r="D89" t="inlineStr">
        <is>
          <t>GLOBAL_CHECK</t>
        </is>
      </c>
      <c r="G89">
        <f>IFERROR(VLOOKUP($A89&amp;"_"&amp;$B89,Results_Deltas!$A$2:$P$15000,5,FALSE),"")</f>
        <v/>
      </c>
      <c r="H89" t="inlineStr">
        <is>
          <t>Blanket (page end)</t>
        </is>
      </c>
      <c r="L89" t="inlineStr">
        <is>
          <t>NO</t>
        </is>
      </c>
    </row>
    <row r="90" ht="15.75" customHeight="1" s="67">
      <c r="A90" t="inlineStr">
        <is>
          <t>GR_FILTER_VEC_MIN_TFS</t>
        </is>
      </c>
      <c r="B90" t="inlineStr">
        <is>
          <t>2</t>
        </is>
      </c>
      <c r="D90" t="inlineStr">
        <is>
          <t>GLOBAL_CHECK</t>
        </is>
      </c>
      <c r="G90">
        <f>IFERROR(VLOOKUP($A90&amp;"_"&amp;$B90,Results_Deltas!$A$2:$P$15000,5,FALSE),"")</f>
        <v/>
      </c>
      <c r="H90" t="inlineStr">
        <is>
          <t>Blanket (page end)</t>
        </is>
      </c>
      <c r="L90" t="inlineStr">
        <is>
          <t>YES</t>
        </is>
      </c>
    </row>
    <row r="91" ht="15.75" customHeight="1" s="67">
      <c r="A91" t="inlineStr">
        <is>
          <t>GR_FILTER_VEC_MIN_TFS</t>
        </is>
      </c>
      <c r="B91" t="inlineStr">
        <is>
          <t>1</t>
        </is>
      </c>
      <c r="D91" t="inlineStr">
        <is>
          <t>GLOBAL_CHECK</t>
        </is>
      </c>
      <c r="G91">
        <f>IFERROR(VLOOKUP($A91&amp;"_"&amp;$B91,Results_Deltas!$A$2:$P$15000,5,FALSE),"")</f>
        <v/>
      </c>
      <c r="H91" t="inlineStr">
        <is>
          <t>Blanket (page end)</t>
        </is>
      </c>
      <c r="L91" t="inlineStr">
        <is>
          <t>NO</t>
        </is>
      </c>
    </row>
    <row r="92" ht="15.75" customHeight="1" s="67">
      <c r="A92" t="inlineStr">
        <is>
          <t>HA_WICK_QUALITY_ENABLED</t>
        </is>
      </c>
      <c r="B92" t="inlineStr">
        <is>
          <t>False</t>
        </is>
      </c>
      <c r="D92" t="inlineStr">
        <is>
          <t>ENTRY, GLOBAL_CHECK, STOCKS_EXIT</t>
        </is>
      </c>
      <c r="G92">
        <f>IFERROR(VLOOKUP($A92&amp;"_"&amp;$B92,Results_Deltas!$A$2:$P$15000,5,FALSE),"")</f>
        <v/>
      </c>
      <c r="H92" t="inlineStr">
        <is>
          <t>Blanket (page end)</t>
        </is>
      </c>
      <c r="L92" t="inlineStr">
        <is>
          <t>YES</t>
        </is>
      </c>
    </row>
    <row r="93" ht="15.75" customHeight="1" s="67">
      <c r="A93" t="inlineStr">
        <is>
          <t>HA_WICK_QUALITY_ENABLED</t>
        </is>
      </c>
      <c r="B93" t="inlineStr">
        <is>
          <t>True</t>
        </is>
      </c>
      <c r="D93" t="inlineStr">
        <is>
          <t>ENTRY, GLOBAL_CHECK, STOCKS_EXIT</t>
        </is>
      </c>
      <c r="G93">
        <f>IFERROR(VLOOKUP($A93&amp;"_"&amp;$B93,Results_Deltas!$A$2:$P$15000,5,FALSE),"")</f>
        <v/>
      </c>
      <c r="H93" t="inlineStr">
        <is>
          <t>Blanket (page end)</t>
        </is>
      </c>
      <c r="L93" t="inlineStr">
        <is>
          <t>NO</t>
        </is>
      </c>
    </row>
    <row r="94" ht="15.75" customHeight="1" s="67">
      <c r="A94" t="inlineStr">
        <is>
          <t>HA_WICK_QUALITY_SCORE</t>
        </is>
      </c>
      <c r="B94" t="inlineStr">
        <is>
          <t>15</t>
        </is>
      </c>
      <c r="D94" t="inlineStr">
        <is>
          <t>ENTRY, GLOBAL_CHECK, STOCKS_EXIT</t>
        </is>
      </c>
      <c r="G94">
        <f>IFERROR(VLOOKUP($A94&amp;"_"&amp;$B94,Results_Deltas!$A$2:$P$15000,5,FALSE),"")</f>
        <v/>
      </c>
      <c r="H94" t="inlineStr">
        <is>
          <t>Blanket (page end)</t>
        </is>
      </c>
      <c r="L94" t="inlineStr">
        <is>
          <t>YES</t>
        </is>
      </c>
    </row>
    <row r="95" ht="15.75" customHeight="1" s="67">
      <c r="A95" t="inlineStr">
        <is>
          <t>HA_WICK_QUALITY_SCORE</t>
        </is>
      </c>
      <c r="B95" t="inlineStr">
        <is>
          <t>15_ALT</t>
        </is>
      </c>
      <c r="D95" t="inlineStr">
        <is>
          <t>ENTRY, GLOBAL_CHECK, STOCKS_EXIT</t>
        </is>
      </c>
      <c r="G95">
        <f>IFERROR(VLOOKUP($A95&amp;"_"&amp;$B95,Results_Deltas!$A$2:$P$15000,5,FALSE),"")</f>
        <v/>
      </c>
      <c r="H95" t="inlineStr">
        <is>
          <t>Blanket (page end)</t>
        </is>
      </c>
      <c r="L95" t="inlineStr">
        <is>
          <t>NO</t>
        </is>
      </c>
    </row>
    <row r="96" ht="15.75" customHeight="1" s="67">
      <c r="A96" t="inlineStr">
        <is>
          <t>HA_WICK_QUALITY_TF</t>
        </is>
      </c>
      <c r="B96" t="inlineStr">
        <is>
          <t>OFF</t>
        </is>
      </c>
      <c r="D96" t="inlineStr">
        <is>
          <t>ENTRY, GLOBAL_CHECK, STOCKS_EXIT</t>
        </is>
      </c>
      <c r="G96">
        <f>IFERROR(VLOOKUP($A96&amp;"_"&amp;$B96,Results_Deltas!$A$2:$P$15000,5,FALSE),"")</f>
        <v/>
      </c>
      <c r="H96" t="inlineStr">
        <is>
          <t>Blanket (page end)</t>
        </is>
      </c>
      <c r="L96" t="inlineStr">
        <is>
          <t>NO</t>
        </is>
      </c>
    </row>
    <row r="97" ht="15.75" customHeight="1" s="67">
      <c r="A97" t="inlineStr">
        <is>
          <t>HA_WICK_QUALITY_TF</t>
        </is>
      </c>
      <c r="B97" t="inlineStr">
        <is>
          <t>D</t>
        </is>
      </c>
      <c r="D97" t="inlineStr">
        <is>
          <t>ENTRY, GLOBAL_CHECK, STOCKS_EXIT</t>
        </is>
      </c>
      <c r="G97">
        <f>IFERROR(VLOOKUP($A97&amp;"_"&amp;$B97,Results_Deltas!$A$2:$P$15000,5,FALSE),"")</f>
        <v/>
      </c>
      <c r="H97" t="inlineStr">
        <is>
          <t>Blanket (page end)</t>
        </is>
      </c>
      <c r="L97" t="inlineStr">
        <is>
          <t>NO</t>
        </is>
      </c>
    </row>
    <row r="98" ht="15.75" customHeight="1" s="67">
      <c r="A98" t="inlineStr">
        <is>
          <t>HA_WICK_QUALITY_TF</t>
        </is>
      </c>
      <c r="B98" t="inlineStr">
        <is>
          <t>4h</t>
        </is>
      </c>
      <c r="D98" t="inlineStr">
        <is>
          <t>ENTRY, GLOBAL_CHECK, STOCKS_EXIT</t>
        </is>
      </c>
      <c r="G98">
        <f>IFERROR(VLOOKUP($A98&amp;"_"&amp;$B98,Results_Deltas!$A$2:$P$15000,5,FALSE),"")</f>
        <v/>
      </c>
      <c r="H98" t="inlineStr">
        <is>
          <t>Blanket (page end)</t>
        </is>
      </c>
      <c r="L98" t="inlineStr">
        <is>
          <t>NO</t>
        </is>
      </c>
    </row>
    <row r="99" ht="15.75" customHeight="1" s="67">
      <c r="A99" t="inlineStr">
        <is>
          <t>HA_WICK_QUALITY_TF</t>
        </is>
      </c>
      <c r="B99" t="inlineStr">
        <is>
          <t>1h</t>
        </is>
      </c>
      <c r="D99" t="inlineStr">
        <is>
          <t>ENTRY, GLOBAL_CHECK, STOCKS_EXIT</t>
        </is>
      </c>
      <c r="G99">
        <f>IFERROR(VLOOKUP($A99&amp;"_"&amp;$B99,Results_Deltas!$A$2:$P$15000,5,FALSE),"")</f>
        <v/>
      </c>
      <c r="H99" t="inlineStr">
        <is>
          <t>Blanket (page end)</t>
        </is>
      </c>
      <c r="L99" t="inlineStr">
        <is>
          <t>YES</t>
        </is>
      </c>
    </row>
    <row r="100" ht="15.75" customHeight="1" s="67">
      <c r="A100" t="inlineStr">
        <is>
          <t>HA_WICK_QUALITY_TF</t>
        </is>
      </c>
      <c r="B100" t="inlineStr">
        <is>
          <t>15m</t>
        </is>
      </c>
      <c r="D100" t="inlineStr">
        <is>
          <t>ENTRY, GLOBAL_CHECK, STOCKS_EXIT</t>
        </is>
      </c>
      <c r="G100">
        <f>IFERROR(VLOOKUP($A100&amp;"_"&amp;$B100,Results_Deltas!$A$2:$P$15000,5,FALSE),"")</f>
        <v/>
      </c>
      <c r="H100" t="inlineStr">
        <is>
          <t>Blanket (page end)</t>
        </is>
      </c>
      <c r="L100" t="inlineStr">
        <is>
          <t>NO</t>
        </is>
      </c>
    </row>
    <row r="101" ht="15.75" customHeight="1" s="67">
      <c r="A101" t="inlineStr">
        <is>
          <t>HLR_SMA_BAND_PCT</t>
        </is>
      </c>
      <c r="B101" t="inlineStr">
        <is>
          <t>0</t>
        </is>
      </c>
      <c r="D101" t="inlineStr">
        <is>
          <t>ENTRY, GLOBAL_CHECK, STOCKS_EXIT</t>
        </is>
      </c>
      <c r="G101">
        <f>IFERROR(VLOOKUP($A101&amp;"_"&amp;$B101,Results_Deltas!$A$2:$P$15000,5,FALSE),"")</f>
        <v/>
      </c>
      <c r="H101" t="inlineStr">
        <is>
          <t>Blanket (page end)</t>
        </is>
      </c>
      <c r="L101" t="inlineStr">
        <is>
          <t>NO</t>
        </is>
      </c>
    </row>
    <row r="102" ht="15.75" customHeight="1" s="67">
      <c r="A102" t="inlineStr">
        <is>
          <t>HLR_SMA_BAND_PCT</t>
        </is>
      </c>
      <c r="B102" t="inlineStr">
        <is>
          <t>2.0</t>
        </is>
      </c>
      <c r="D102" t="inlineStr">
        <is>
          <t>ENTRY, GLOBAL_CHECK, STOCKS_EXIT</t>
        </is>
      </c>
      <c r="G102">
        <f>IFERROR(VLOOKUP($A102&amp;"_"&amp;$B102,Results_Deltas!$A$2:$P$15000,5,FALSE),"")</f>
        <v/>
      </c>
      <c r="H102" t="inlineStr">
        <is>
          <t>Blanket (page end)</t>
        </is>
      </c>
      <c r="L102" t="inlineStr">
        <is>
          <t>NO</t>
        </is>
      </c>
    </row>
    <row r="103" ht="15.75" customHeight="1" s="67">
      <c r="A103" t="inlineStr">
        <is>
          <t>HLR_SMA_BAND_PCT</t>
        </is>
      </c>
      <c r="B103" t="inlineStr">
        <is>
          <t>1.0</t>
        </is>
      </c>
      <c r="D103" t="inlineStr">
        <is>
          <t>ENTRY, GLOBAL_CHECK, STOCKS_EXIT</t>
        </is>
      </c>
      <c r="G103">
        <f>IFERROR(VLOOKUP($A103&amp;"_"&amp;$B103,Results_Deltas!$A$2:$P$15000,5,FALSE),"")</f>
        <v/>
      </c>
      <c r="H103" t="inlineStr">
        <is>
          <t>Blanket (page end)</t>
        </is>
      </c>
      <c r="L103" t="inlineStr">
        <is>
          <t>NO</t>
        </is>
      </c>
    </row>
    <row r="104" ht="15.75" customHeight="1" s="67">
      <c r="A104" t="inlineStr">
        <is>
          <t>HLR_SMA_BAND_PCT</t>
        </is>
      </c>
      <c r="B104" t="inlineStr">
        <is>
          <t>0.5</t>
        </is>
      </c>
      <c r="D104" t="inlineStr">
        <is>
          <t>ENTRY, GLOBAL_CHECK, STOCKS_EXIT</t>
        </is>
      </c>
      <c r="G104">
        <f>IFERROR(VLOOKUP($A104&amp;"_"&amp;$B104,Results_Deltas!$A$2:$P$15000,5,FALSE),"")</f>
        <v/>
      </c>
      <c r="H104" t="inlineStr">
        <is>
          <t>Blanket (page end)</t>
        </is>
      </c>
      <c r="L104" t="inlineStr">
        <is>
          <t>NO</t>
        </is>
      </c>
    </row>
    <row r="105" ht="15.75" customHeight="1" s="67">
      <c r="A105" t="inlineStr">
        <is>
          <t>HLR_TOP_MIN_TFS</t>
        </is>
      </c>
      <c r="B105" t="inlineStr">
        <is>
          <t>0</t>
        </is>
      </c>
      <c r="D105" t="inlineStr">
        <is>
          <t>GLOBAL_CHECK, REENTRY, STOCKS_EXIT</t>
        </is>
      </c>
      <c r="G105">
        <f>IFERROR(VLOOKUP($A105&amp;"_"&amp;$B105,Results_Deltas!$A$2:$P$15000,5,FALSE),"")</f>
        <v/>
      </c>
      <c r="H105" t="inlineStr">
        <is>
          <t>Blanket (page end)</t>
        </is>
      </c>
      <c r="L105" t="inlineStr">
        <is>
          <t>NO</t>
        </is>
      </c>
    </row>
    <row r="106" ht="15.75" customHeight="1" s="67">
      <c r="A106" t="inlineStr">
        <is>
          <t>HLR_TOP_MIN_TFS</t>
        </is>
      </c>
      <c r="B106" t="inlineStr">
        <is>
          <t>2</t>
        </is>
      </c>
      <c r="D106" t="inlineStr">
        <is>
          <t>GLOBAL_CHECK, REENTRY, STOCKS_EXIT</t>
        </is>
      </c>
      <c r="G106">
        <f>IFERROR(VLOOKUP($A106&amp;"_"&amp;$B106,Results_Deltas!$A$2:$P$15000,5,FALSE),"")</f>
        <v/>
      </c>
      <c r="H106" t="inlineStr">
        <is>
          <t>Blanket (page end)</t>
        </is>
      </c>
      <c r="L106" t="inlineStr">
        <is>
          <t>YES</t>
        </is>
      </c>
    </row>
    <row r="107" ht="15.75" customHeight="1" s="67">
      <c r="A107" t="inlineStr">
        <is>
          <t>HLR_TOP_MIN_TFS</t>
        </is>
      </c>
      <c r="B107" t="inlineStr">
        <is>
          <t>1</t>
        </is>
      </c>
      <c r="D107" t="inlineStr">
        <is>
          <t>GLOBAL_CHECK, REENTRY, STOCKS_EXIT</t>
        </is>
      </c>
      <c r="G107">
        <f>IFERROR(VLOOKUP($A107&amp;"_"&amp;$B107,Results_Deltas!$A$2:$P$15000,5,FALSE),"")</f>
        <v/>
      </c>
      <c r="H107" t="inlineStr">
        <is>
          <t>Blanket (page end)</t>
        </is>
      </c>
      <c r="L107" t="inlineStr">
        <is>
          <t>NO</t>
        </is>
      </c>
    </row>
    <row r="108" ht="15.75" customHeight="1" s="67">
      <c r="A108" t="inlineStr">
        <is>
          <t>HTF4_CONF</t>
        </is>
      </c>
      <c r="B108" t="inlineStr">
        <is>
          <t>False</t>
        </is>
      </c>
      <c r="D108" t="inlineStr">
        <is>
          <t>GLOBAL_CHECK, STOCKS_EXIT</t>
        </is>
      </c>
      <c r="G108">
        <f>IFERROR(VLOOKUP($A108&amp;"_"&amp;$B108,Results_Deltas!$A$2:$P$15000,5,FALSE),"")</f>
        <v/>
      </c>
      <c r="H108" t="inlineStr">
        <is>
          <t>Blanket (page end)</t>
        </is>
      </c>
      <c r="L108" t="inlineStr">
        <is>
          <t>NO</t>
        </is>
      </c>
    </row>
    <row r="109" ht="15.75" customHeight="1" s="67">
      <c r="A109" t="inlineStr">
        <is>
          <t>HTF4_CONF</t>
        </is>
      </c>
      <c r="B109" t="inlineStr">
        <is>
          <t>False_ALT</t>
        </is>
      </c>
      <c r="D109" t="inlineStr">
        <is>
          <t>GLOBAL_CHECK, STOCKS_EXIT</t>
        </is>
      </c>
      <c r="G109">
        <f>IFERROR(VLOOKUP($A109&amp;"_"&amp;$B109,Results_Deltas!$A$2:$P$15000,5,FALSE),"")</f>
        <v/>
      </c>
      <c r="H109" t="inlineStr">
        <is>
          <t>Blanket (page end)</t>
        </is>
      </c>
      <c r="L109" t="inlineStr">
        <is>
          <t>NO</t>
        </is>
      </c>
    </row>
    <row r="110" ht="15.75" customHeight="1" s="67">
      <c r="A110" t="inlineStr">
        <is>
          <t>HTF_DIRECTION_GATE_ENABLED</t>
        </is>
      </c>
      <c r="B110" t="inlineStr">
        <is>
          <t>False</t>
        </is>
      </c>
      <c r="D110" t="inlineStr">
        <is>
          <t>ENTRY, GLOBAL_CHECK, STOCKS_EXIT</t>
        </is>
      </c>
      <c r="G110">
        <f>IFERROR(VLOOKUP($A110&amp;"_"&amp;$B110,Results_Deltas!$A$2:$P$15000,5,FALSE),"")</f>
        <v/>
      </c>
      <c r="H110" t="inlineStr">
        <is>
          <t>Blanket (page end)</t>
        </is>
      </c>
      <c r="L110" t="inlineStr">
        <is>
          <t>YES</t>
        </is>
      </c>
    </row>
    <row r="111" ht="15.75" customHeight="1" s="67">
      <c r="A111" t="inlineStr">
        <is>
          <t>HTF_DIRECTION_GATE_ENABLED</t>
        </is>
      </c>
      <c r="B111" t="inlineStr">
        <is>
          <t>True</t>
        </is>
      </c>
      <c r="D111" t="inlineStr">
        <is>
          <t>ENTRY, GLOBAL_CHECK, STOCKS_EXIT</t>
        </is>
      </c>
      <c r="G111">
        <f>IFERROR(VLOOKUP($A111&amp;"_"&amp;$B111,Results_Deltas!$A$2:$P$15000,5,FALSE),"")</f>
        <v/>
      </c>
      <c r="H111" t="inlineStr">
        <is>
          <t>Blanket (page end)</t>
        </is>
      </c>
      <c r="L111" t="inlineStr">
        <is>
          <t>NO</t>
        </is>
      </c>
    </row>
    <row r="112" ht="15.75" customHeight="1" s="67">
      <c r="A112" t="inlineStr">
        <is>
          <t>HTF_GATE_BYPASS_RZ</t>
        </is>
      </c>
      <c r="B112" t="inlineStr">
        <is>
          <t>0.0</t>
        </is>
      </c>
      <c r="D112" t="inlineStr">
        <is>
          <t>ENTRY, GLOBAL_CHECK, STOCKS_EXIT</t>
        </is>
      </c>
      <c r="G112">
        <f>IFERROR(VLOOKUP($A112&amp;"_"&amp;$B112,Results_Deltas!$A$2:$P$15000,5,FALSE),"")</f>
        <v/>
      </c>
      <c r="H112" t="inlineStr">
        <is>
          <t>Blanket (page end)</t>
        </is>
      </c>
      <c r="L112" t="inlineStr">
        <is>
          <t>NO</t>
        </is>
      </c>
    </row>
    <row r="113" ht="15.75" customHeight="1" s="67">
      <c r="A113" t="inlineStr">
        <is>
          <t>HTF_GATE_BYPASS_RZ</t>
        </is>
      </c>
      <c r="B113" t="inlineStr">
        <is>
          <t>0.0_ALT</t>
        </is>
      </c>
      <c r="D113" t="inlineStr">
        <is>
          <t>ENTRY, GLOBAL_CHECK, STOCKS_EXIT</t>
        </is>
      </c>
      <c r="G113">
        <f>IFERROR(VLOOKUP($A113&amp;"_"&amp;$B113,Results_Deltas!$A$2:$P$15000,5,FALSE),"")</f>
        <v/>
      </c>
      <c r="H113" t="inlineStr">
        <is>
          <t>Blanket (page end)</t>
        </is>
      </c>
      <c r="L113" t="inlineStr">
        <is>
          <t>NO</t>
        </is>
      </c>
    </row>
    <row r="114" ht="15.75" customHeight="1" s="67">
      <c r="A114" t="inlineStr">
        <is>
          <t>HTF_GATE_D_MANDATORY</t>
        </is>
      </c>
      <c r="B114" t="inlineStr">
        <is>
          <t>0.0</t>
        </is>
      </c>
      <c r="D114" t="inlineStr">
        <is>
          <t>ENTRY, GLOBAL_CHECK, STOCKS_EXIT</t>
        </is>
      </c>
      <c r="G114">
        <f>IFERROR(VLOOKUP($A114&amp;"_"&amp;$B114,Results_Deltas!$A$2:$P$15000,5,FALSE),"")</f>
        <v/>
      </c>
      <c r="H114" t="inlineStr">
        <is>
          <t>Blanket (page end)</t>
        </is>
      </c>
      <c r="L114" t="inlineStr">
        <is>
          <t>NO</t>
        </is>
      </c>
    </row>
    <row r="115" ht="15.75" customHeight="1" s="67">
      <c r="A115" t="inlineStr">
        <is>
          <t>HTF_GATE_D_MANDATORY</t>
        </is>
      </c>
      <c r="B115" t="inlineStr">
        <is>
          <t>0.0_ALT</t>
        </is>
      </c>
      <c r="D115" t="inlineStr">
        <is>
          <t>ENTRY, GLOBAL_CHECK, STOCKS_EXIT</t>
        </is>
      </c>
      <c r="G115">
        <f>IFERROR(VLOOKUP($A115&amp;"_"&amp;$B115,Results_Deltas!$A$2:$P$15000,5,FALSE),"")</f>
        <v/>
      </c>
      <c r="H115" t="inlineStr">
        <is>
          <t>Blanket (page end)</t>
        </is>
      </c>
      <c r="L115" t="inlineStr">
        <is>
          <t>NO</t>
        </is>
      </c>
    </row>
    <row r="116" ht="15.75" customHeight="1" s="67">
      <c r="A116" t="inlineStr">
        <is>
          <t>HTF_GATE_MIN_CONFIRMATIONS</t>
        </is>
      </c>
      <c r="B116" t="inlineStr">
        <is>
          <t>0.0</t>
        </is>
      </c>
      <c r="D116" t="inlineStr">
        <is>
          <t>ENTRY, GLOBAL_CHECK, STOCKS_EXIT</t>
        </is>
      </c>
      <c r="G116">
        <f>IFERROR(VLOOKUP($A116&amp;"_"&amp;$B116,Results_Deltas!$A$2:$P$15000,5,FALSE),"")</f>
        <v/>
      </c>
      <c r="H116" t="inlineStr">
        <is>
          <t>Blanket (page end)</t>
        </is>
      </c>
      <c r="L116" t="inlineStr">
        <is>
          <t>NO</t>
        </is>
      </c>
    </row>
    <row r="117" ht="15.75" customHeight="1" s="67">
      <c r="A117" t="inlineStr">
        <is>
          <t>HTF_GATE_MIN_CONFIRMATIONS</t>
        </is>
      </c>
      <c r="B117" t="inlineStr">
        <is>
          <t>0.0_ALT</t>
        </is>
      </c>
      <c r="D117" t="inlineStr">
        <is>
          <t>ENTRY, GLOBAL_CHECK, STOCKS_EXIT</t>
        </is>
      </c>
      <c r="G117">
        <f>IFERROR(VLOOKUP($A117&amp;"_"&amp;$B117,Results_Deltas!$A$2:$P$15000,5,FALSE),"")</f>
        <v/>
      </c>
      <c r="H117" t="inlineStr">
        <is>
          <t>Blanket (page end)</t>
        </is>
      </c>
      <c r="L117" t="inlineStr">
        <is>
          <t>NO</t>
        </is>
      </c>
    </row>
    <row r="118" ht="15.75" customHeight="1" s="67">
      <c r="A118" t="inlineStr">
        <is>
          <t>HTF_TREND_VETO_BYPASS_ENABLED</t>
        </is>
      </c>
      <c r="B118" t="inlineStr">
        <is>
          <t>False</t>
        </is>
      </c>
      <c r="D118" t="inlineStr">
        <is>
          <t>GLOBAL_CHECK, STOCKS_EXIT</t>
        </is>
      </c>
      <c r="G118">
        <f>IFERROR(VLOOKUP($A118&amp;"_"&amp;$B118,Results_Deltas!$A$2:$P$15000,5,FALSE),"")</f>
        <v/>
      </c>
      <c r="H118" t="inlineStr">
        <is>
          <t>Blanket (page end)</t>
        </is>
      </c>
      <c r="L118" t="inlineStr">
        <is>
          <t>NO</t>
        </is>
      </c>
    </row>
    <row r="119" ht="15.75" customHeight="1" s="67">
      <c r="A119" t="inlineStr">
        <is>
          <t>HTF_TREND_VETO_BYPASS_ENABLED</t>
        </is>
      </c>
      <c r="B119" t="inlineStr">
        <is>
          <t>True</t>
        </is>
      </c>
      <c r="D119" t="inlineStr">
        <is>
          <t>GLOBAL_CHECK, STOCKS_EXIT</t>
        </is>
      </c>
      <c r="G119">
        <f>IFERROR(VLOOKUP($A119&amp;"_"&amp;$B119,Results_Deltas!$A$2:$P$15000,5,FALSE),"")</f>
        <v/>
      </c>
      <c r="H119" t="inlineStr">
        <is>
          <t>Blanket (page end)</t>
        </is>
      </c>
      <c r="L119" t="inlineStr">
        <is>
          <t>YES</t>
        </is>
      </c>
    </row>
    <row r="120" ht="15.75" customHeight="1" s="67">
      <c r="A120" t="inlineStr">
        <is>
          <t>HTF_TREND_VETO_BYPASS_REASONS</t>
        </is>
      </c>
      <c r="B120" t="inlineStr">
        <is>
          <t>0.0</t>
        </is>
      </c>
      <c r="D120" t="inlineStr">
        <is>
          <t>GLOBAL_CHECK, STOCKS_EXIT</t>
        </is>
      </c>
      <c r="G120">
        <f>IFERROR(VLOOKUP($A120&amp;"_"&amp;$B120,Results_Deltas!$A$2:$P$15000,5,FALSE),"")</f>
        <v/>
      </c>
      <c r="H120" t="inlineStr">
        <is>
          <t>Blanket (page end)</t>
        </is>
      </c>
      <c r="L120" t="inlineStr">
        <is>
          <t>NO</t>
        </is>
      </c>
    </row>
    <row r="121" ht="15.75" customHeight="1" s="67">
      <c r="A121" t="inlineStr">
        <is>
          <t>HTF_TREND_VETO_BYPASS_REASONS</t>
        </is>
      </c>
      <c r="B121" t="inlineStr">
        <is>
          <t>0.0_ALT</t>
        </is>
      </c>
      <c r="D121" t="inlineStr">
        <is>
          <t>GLOBAL_CHECK, STOCKS_EXIT</t>
        </is>
      </c>
      <c r="G121">
        <f>IFERROR(VLOOKUP($A121&amp;"_"&amp;$B121,Results_Deltas!$A$2:$P$15000,5,FALSE),"")</f>
        <v/>
      </c>
      <c r="H121" t="inlineStr">
        <is>
          <t>Blanket (page end)</t>
        </is>
      </c>
      <c r="L121" t="inlineStr">
        <is>
          <t>NO</t>
        </is>
      </c>
    </row>
    <row r="122" ht="15.75" customHeight="1" s="67">
      <c r="A122" t="inlineStr">
        <is>
          <t>LEADERBOARD_FILTER</t>
        </is>
      </c>
      <c r="B122" t="inlineStr">
        <is>
          <t>False</t>
        </is>
      </c>
      <c r="D122" t="inlineStr">
        <is>
          <t>AUGMENT, ENTRY, EXIT, GLOBAL_CHECK, REDUCE, STOCKS_EXIT</t>
        </is>
      </c>
      <c r="G122">
        <f>IFERROR(VLOOKUP($A122&amp;"_"&amp;$B122,Results_Deltas!$A$2:$P$15000,5,FALSE),"")</f>
        <v/>
      </c>
      <c r="H122" t="inlineStr">
        <is>
          <t>Blanket (page end)</t>
        </is>
      </c>
      <c r="L122" t="inlineStr">
        <is>
          <t>NO</t>
        </is>
      </c>
    </row>
    <row r="123" ht="15.75" customHeight="1" s="67">
      <c r="A123" t="inlineStr">
        <is>
          <t>LEADERBOARD_FILTER</t>
        </is>
      </c>
      <c r="B123" t="inlineStr">
        <is>
          <t>False_ALT</t>
        </is>
      </c>
      <c r="D123" t="inlineStr">
        <is>
          <t>AUGMENT, ENTRY, EXIT, GLOBAL_CHECK, REDUCE, STOCKS_EXIT</t>
        </is>
      </c>
      <c r="G123">
        <f>IFERROR(VLOOKUP($A123&amp;"_"&amp;$B123,Results_Deltas!$A$2:$P$15000,5,FALSE),"")</f>
        <v/>
      </c>
      <c r="H123" t="inlineStr">
        <is>
          <t>Blanket (page end)</t>
        </is>
      </c>
      <c r="L123" t="inlineStr">
        <is>
          <t>NO</t>
        </is>
      </c>
    </row>
    <row r="124" ht="15.75" customHeight="1" s="67">
      <c r="A124" t="inlineStr">
        <is>
          <t>LH_HL_FILTER_ENABLED</t>
        </is>
      </c>
      <c r="B124" t="inlineStr">
        <is>
          <t>False</t>
        </is>
      </c>
      <c r="D124" t="inlineStr">
        <is>
          <t>ENTRY, GLOBAL_CHECK, STOCKS_EXIT</t>
        </is>
      </c>
      <c r="G124">
        <f>IFERROR(VLOOKUP($A124&amp;"_"&amp;$B124,Results_Deltas!$A$2:$P$15000,5,FALSE),"")</f>
        <v/>
      </c>
      <c r="H124" t="inlineStr">
        <is>
          <t>Blanket (page end)</t>
        </is>
      </c>
      <c r="L124" t="inlineStr">
        <is>
          <t>YES</t>
        </is>
      </c>
    </row>
    <row r="125" ht="15.75" customHeight="1" s="67">
      <c r="A125" t="inlineStr">
        <is>
          <t>LH_HL_FILTER_ENABLED</t>
        </is>
      </c>
      <c r="B125" t="inlineStr">
        <is>
          <t>True</t>
        </is>
      </c>
      <c r="D125" t="inlineStr">
        <is>
          <t>ENTRY, GLOBAL_CHECK, STOCKS_EXIT</t>
        </is>
      </c>
      <c r="G125">
        <f>IFERROR(VLOOKUP($A125&amp;"_"&amp;$B125,Results_Deltas!$A$2:$P$15000,5,FALSE),"")</f>
        <v/>
      </c>
      <c r="H125" t="inlineStr">
        <is>
          <t>Blanket (page end)</t>
        </is>
      </c>
      <c r="L125" t="inlineStr">
        <is>
          <t>NO</t>
        </is>
      </c>
    </row>
    <row r="126" ht="15.75" customHeight="1" s="67">
      <c r="A126" t="inlineStr">
        <is>
          <t>LH_HL_FILTER_MODE</t>
        </is>
      </c>
      <c r="B126" t="inlineStr">
        <is>
          <t>STRICT_2BAR</t>
        </is>
      </c>
      <c r="D126" t="inlineStr">
        <is>
          <t>ENTRY, GLOBAL_CHECK, STOCKS_EXIT</t>
        </is>
      </c>
      <c r="G126">
        <f>IFERROR(VLOOKUP($A126&amp;"_"&amp;$B126,Results_Deltas!$A$2:$P$15000,5,FALSE),"")</f>
        <v/>
      </c>
      <c r="H126" t="inlineStr">
        <is>
          <t>Blanket (page end)</t>
        </is>
      </c>
      <c r="L126" t="inlineStr">
        <is>
          <t>YES</t>
        </is>
      </c>
    </row>
    <row r="127" ht="15.75" customHeight="1" s="67">
      <c r="A127" t="inlineStr">
        <is>
          <t>LH_HL_FILTER_MODE</t>
        </is>
      </c>
      <c r="B127" t="inlineStr">
        <is>
          <t>STRICT_2BAR_ALT</t>
        </is>
      </c>
      <c r="D127" t="inlineStr">
        <is>
          <t>ENTRY, GLOBAL_CHECK, STOCKS_EXIT</t>
        </is>
      </c>
      <c r="G127">
        <f>IFERROR(VLOOKUP($A127&amp;"_"&amp;$B127,Results_Deltas!$A$2:$P$15000,5,FALSE),"")</f>
        <v/>
      </c>
      <c r="H127" t="inlineStr">
        <is>
          <t>Blanket (page end)</t>
        </is>
      </c>
      <c r="L127" t="inlineStr">
        <is>
          <t>NO</t>
        </is>
      </c>
    </row>
    <row r="128" ht="15.75" customHeight="1" s="67">
      <c r="A128" t="inlineStr">
        <is>
          <t>LH_HL_FILTER_REQUIRE_BOTH</t>
        </is>
      </c>
      <c r="B128" t="inlineStr">
        <is>
          <t>False</t>
        </is>
      </c>
      <c r="D128" t="inlineStr">
        <is>
          <t>ENTRY, GLOBAL_CHECK, STOCKS_EXIT</t>
        </is>
      </c>
      <c r="G128">
        <f>IFERROR(VLOOKUP($A128&amp;"_"&amp;$B128,Results_Deltas!$A$2:$P$15000,5,FALSE),"")</f>
        <v/>
      </c>
      <c r="H128" t="inlineStr">
        <is>
          <t>Blanket (page end)</t>
        </is>
      </c>
      <c r="L128" t="inlineStr">
        <is>
          <t>YES</t>
        </is>
      </c>
    </row>
    <row r="129" ht="15.75" customHeight="1" s="67">
      <c r="A129" t="inlineStr">
        <is>
          <t>LH_HL_FILTER_REQUIRE_BOTH</t>
        </is>
      </c>
      <c r="B129" t="inlineStr">
        <is>
          <t>False_ALT</t>
        </is>
      </c>
      <c r="D129" t="inlineStr">
        <is>
          <t>ENTRY, GLOBAL_CHECK, STOCKS_EXIT</t>
        </is>
      </c>
      <c r="G129">
        <f>IFERROR(VLOOKUP($A129&amp;"_"&amp;$B129,Results_Deltas!$A$2:$P$15000,5,FALSE),"")</f>
        <v/>
      </c>
      <c r="H129" t="inlineStr">
        <is>
          <t>Blanket (page end)</t>
        </is>
      </c>
      <c r="L129" t="inlineStr">
        <is>
          <t>NO</t>
        </is>
      </c>
    </row>
    <row r="130" ht="15.75" customHeight="1" s="67">
      <c r="A130" t="inlineStr">
        <is>
          <t>LIVE_VEC_EMERGENCY_BRAKE_ENABLED</t>
        </is>
      </c>
      <c r="B130" t="inlineStr">
        <is>
          <t>False</t>
        </is>
      </c>
      <c r="D130" t="inlineStr">
        <is>
          <t>GLOBAL_CHECK, STOCKS_EXIT</t>
        </is>
      </c>
      <c r="G130">
        <f>IFERROR(VLOOKUP($A130&amp;"_"&amp;$B130,Results_Deltas!$A$2:$P$15000,5,FALSE),"")</f>
        <v/>
      </c>
      <c r="H130" t="inlineStr">
        <is>
          <t>Blanket (page end)</t>
        </is>
      </c>
      <c r="L130" t="inlineStr">
        <is>
          <t>YES</t>
        </is>
      </c>
    </row>
    <row r="131" ht="15.75" customHeight="1" s="67">
      <c r="A131" t="inlineStr">
        <is>
          <t>LIVE_VEC_EMERGENCY_BRAKE_ENABLED</t>
        </is>
      </c>
      <c r="B131" t="inlineStr">
        <is>
          <t>True</t>
        </is>
      </c>
      <c r="D131" t="inlineStr">
        <is>
          <t>GLOBAL_CHECK, STOCKS_EXIT</t>
        </is>
      </c>
      <c r="G131">
        <f>IFERROR(VLOOKUP($A131&amp;"_"&amp;$B131,Results_Deltas!$A$2:$P$15000,5,FALSE),"")</f>
        <v/>
      </c>
      <c r="H131" t="inlineStr">
        <is>
          <t>Blanket (page end)</t>
        </is>
      </c>
      <c r="L131" t="inlineStr">
        <is>
          <t>NO</t>
        </is>
      </c>
    </row>
    <row r="132" ht="15.75" customHeight="1" s="67">
      <c r="A132" t="inlineStr">
        <is>
          <t>LR_BAND_LADDER_STOCH_EXTREME</t>
        </is>
      </c>
      <c r="B132" t="inlineStr">
        <is>
          <t>30.0</t>
        </is>
      </c>
      <c r="D132" t="inlineStr">
        <is>
          <t>GLOBAL_CHECK, STOCKS_EXIT</t>
        </is>
      </c>
      <c r="G132">
        <f>IFERROR(VLOOKUP($A132&amp;"_"&amp;$B132,Results_Deltas!$A$2:$P$15000,5,FALSE),"")</f>
        <v/>
      </c>
      <c r="H132" t="inlineStr">
        <is>
          <t>Blanket (page end)</t>
        </is>
      </c>
      <c r="L132" t="inlineStr">
        <is>
          <t>YES</t>
        </is>
      </c>
    </row>
    <row r="133" ht="15.75" customHeight="1" s="67">
      <c r="A133" t="inlineStr">
        <is>
          <t>LR_BAND_LADDER_STOCH_EXTREME</t>
        </is>
      </c>
      <c r="B133" t="inlineStr">
        <is>
          <t>30.0_ALT</t>
        </is>
      </c>
      <c r="D133" t="inlineStr">
        <is>
          <t>GLOBAL_CHECK, STOCKS_EXIT</t>
        </is>
      </c>
      <c r="G133">
        <f>IFERROR(VLOOKUP($A133&amp;"_"&amp;$B133,Results_Deltas!$A$2:$P$15000,5,FALSE),"")</f>
        <v/>
      </c>
      <c r="H133" t="inlineStr">
        <is>
          <t>Blanket (page end)</t>
        </is>
      </c>
      <c r="L133" t="inlineStr">
        <is>
          <t>NO</t>
        </is>
      </c>
    </row>
    <row r="134" ht="15.75" customHeight="1" s="67">
      <c r="A134" t="inlineStr">
        <is>
          <t>LR_BAND_LADDER_TF_BOTTOM</t>
        </is>
      </c>
      <c r="B134" t="inlineStr">
        <is>
          <t>0</t>
        </is>
      </c>
      <c r="D134" t="inlineStr">
        <is>
          <t>GLOBAL_CHECK, STOCKS_EXIT</t>
        </is>
      </c>
      <c r="G134">
        <f>IFERROR(VLOOKUP($A134&amp;"_"&amp;$B134,Results_Deltas!$A$2:$P$15000,5,FALSE),"")</f>
        <v/>
      </c>
      <c r="H134" t="inlineStr">
        <is>
          <t>Blanket (page end)</t>
        </is>
      </c>
      <c r="L134" t="inlineStr">
        <is>
          <t>NO</t>
        </is>
      </c>
    </row>
    <row r="135" ht="15.75" customHeight="1" s="67">
      <c r="A135" t="inlineStr">
        <is>
          <t>LR_BAND_LADDER_TF_BOTTOM</t>
        </is>
      </c>
      <c r="B135" t="inlineStr">
        <is>
          <t>1</t>
        </is>
      </c>
      <c r="D135" t="inlineStr">
        <is>
          <t>GLOBAL_CHECK, STOCKS_EXIT</t>
        </is>
      </c>
      <c r="G135">
        <f>IFERROR(VLOOKUP($A135&amp;"_"&amp;$B135,Results_Deltas!$A$2:$P$15000,5,FALSE),"")</f>
        <v/>
      </c>
      <c r="H135" t="inlineStr">
        <is>
          <t>Blanket (page end)</t>
        </is>
      </c>
      <c r="L135" t="inlineStr">
        <is>
          <t>NO</t>
        </is>
      </c>
    </row>
    <row r="136" ht="15.75" customHeight="1" s="67">
      <c r="A136" t="inlineStr">
        <is>
          <t>LR_BAND_LADDER_TF_TOP</t>
        </is>
      </c>
      <c r="B136" t="inlineStr">
        <is>
          <t>0</t>
        </is>
      </c>
      <c r="D136" t="inlineStr">
        <is>
          <t>GLOBAL_CHECK, STOCKS_EXIT</t>
        </is>
      </c>
      <c r="G136">
        <f>IFERROR(VLOOKUP($A136&amp;"_"&amp;$B136,Results_Deltas!$A$2:$P$15000,5,FALSE),"")</f>
        <v/>
      </c>
      <c r="H136" t="inlineStr">
        <is>
          <t>Blanket (page end)</t>
        </is>
      </c>
      <c r="L136" t="inlineStr">
        <is>
          <t>NO</t>
        </is>
      </c>
    </row>
    <row r="137" ht="15.75" customHeight="1" s="67">
      <c r="A137" t="inlineStr">
        <is>
          <t>LR_BAND_LADDER_TF_TOP</t>
        </is>
      </c>
      <c r="B137" t="inlineStr">
        <is>
          <t>1</t>
        </is>
      </c>
      <c r="D137" t="inlineStr">
        <is>
          <t>GLOBAL_CHECK, STOCKS_EXIT</t>
        </is>
      </c>
      <c r="G137">
        <f>IFERROR(VLOOKUP($A137&amp;"_"&amp;$B137,Results_Deltas!$A$2:$P$15000,5,FALSE),"")</f>
        <v/>
      </c>
      <c r="H137" t="inlineStr">
        <is>
          <t>Blanket (page end)</t>
        </is>
      </c>
      <c r="L137" t="inlineStr">
        <is>
          <t>NO</t>
        </is>
      </c>
    </row>
    <row r="138" ht="15.75" customHeight="1" s="67">
      <c r="A138" t="inlineStr">
        <is>
          <t>MANDATORY_REENTRY_WT_FILTER_MIN_TFS</t>
        </is>
      </c>
      <c r="B138" t="inlineStr">
        <is>
          <t>1</t>
        </is>
      </c>
      <c r="D138" t="inlineStr">
        <is>
          <t>GLOBAL_CHECK, STOCKS_EXIT</t>
        </is>
      </c>
      <c r="G138">
        <f>IFERROR(VLOOKUP($A138&amp;"_"&amp;$B138,Results_Deltas!$A$2:$P$15000,5,FALSE),"")</f>
        <v/>
      </c>
      <c r="H138" t="inlineStr">
        <is>
          <t>Blanket (page end)</t>
        </is>
      </c>
      <c r="L138" t="inlineStr">
        <is>
          <t>YES</t>
        </is>
      </c>
    </row>
    <row r="139" ht="15.75" customHeight="1" s="67">
      <c r="A139" t="inlineStr">
        <is>
          <t>MANDATORY_REENTRY_WT_FILTER_MIN_TFS</t>
        </is>
      </c>
      <c r="B139" t="inlineStr">
        <is>
          <t>3</t>
        </is>
      </c>
      <c r="D139" t="inlineStr">
        <is>
          <t>GLOBAL_CHECK, STOCKS_EXIT</t>
        </is>
      </c>
      <c r="G139">
        <f>IFERROR(VLOOKUP($A139&amp;"_"&amp;$B139,Results_Deltas!$A$2:$P$15000,5,FALSE),"")</f>
        <v/>
      </c>
      <c r="H139" t="inlineStr">
        <is>
          <t>Blanket (page end)</t>
        </is>
      </c>
      <c r="L139" t="inlineStr">
        <is>
          <t>NO</t>
        </is>
      </c>
    </row>
    <row r="140" ht="15.75" customHeight="1" s="67">
      <c r="A140" t="inlineStr">
        <is>
          <t>MANDATORY_REENTRY_WT_FILTER_MIN_TFS</t>
        </is>
      </c>
      <c r="B140" t="inlineStr">
        <is>
          <t>2</t>
        </is>
      </c>
      <c r="D140" t="inlineStr">
        <is>
          <t>GLOBAL_CHECK, STOCKS_EXIT</t>
        </is>
      </c>
      <c r="G140">
        <f>IFERROR(VLOOKUP($A140&amp;"_"&amp;$B140,Results_Deltas!$A$2:$P$15000,5,FALSE),"")</f>
        <v/>
      </c>
      <c r="H140" t="inlineStr">
        <is>
          <t>Blanket (page end)</t>
        </is>
      </c>
      <c r="L140" t="inlineStr">
        <is>
          <t>NO</t>
        </is>
      </c>
    </row>
    <row r="141" ht="15.75" customHeight="1" s="67">
      <c r="A141" t="inlineStr">
        <is>
          <t>MANDATORY_REENTRY_WT_FILTER_MIN_VELOCITY</t>
        </is>
      </c>
      <c r="B141" t="inlineStr">
        <is>
          <t>0.0</t>
        </is>
      </c>
      <c r="D141" t="inlineStr">
        <is>
          <t>GLOBAL_CHECK, STOCKS_EXIT</t>
        </is>
      </c>
      <c r="G141">
        <f>IFERROR(VLOOKUP($A141&amp;"_"&amp;$B141,Results_Deltas!$A$2:$P$15000,5,FALSE),"")</f>
        <v/>
      </c>
      <c r="H141" t="inlineStr">
        <is>
          <t>Blanket (page end)</t>
        </is>
      </c>
      <c r="L141" t="inlineStr">
        <is>
          <t>YES</t>
        </is>
      </c>
    </row>
    <row r="142" ht="15.75" customHeight="1" s="67">
      <c r="A142" t="inlineStr">
        <is>
          <t>MANDATORY_REENTRY_WT_FILTER_MIN_VELOCITY</t>
        </is>
      </c>
      <c r="B142" t="inlineStr">
        <is>
          <t>0.0_ALT</t>
        </is>
      </c>
      <c r="D142" t="inlineStr">
        <is>
          <t>GLOBAL_CHECK, STOCKS_EXIT</t>
        </is>
      </c>
      <c r="G142">
        <f>IFERROR(VLOOKUP($A142&amp;"_"&amp;$B142,Results_Deltas!$A$2:$P$15000,5,FALSE),"")</f>
        <v/>
      </c>
      <c r="H142" t="inlineStr">
        <is>
          <t>Blanket (page end)</t>
        </is>
      </c>
      <c r="L142" t="inlineStr">
        <is>
          <t>NO</t>
        </is>
      </c>
    </row>
    <row r="143" ht="15.75" customHeight="1" s="67">
      <c r="A143" t="inlineStr">
        <is>
          <t>MANDATORY_REENTRY_WT_FILTER_REQUIRE_FLIP</t>
        </is>
      </c>
      <c r="B143" t="inlineStr">
        <is>
          <t>False</t>
        </is>
      </c>
      <c r="D143" t="inlineStr">
        <is>
          <t>GLOBAL_CHECK, STOCKS_EXIT</t>
        </is>
      </c>
      <c r="G143">
        <f>IFERROR(VLOOKUP($A143&amp;"_"&amp;$B143,Results_Deltas!$A$2:$P$15000,5,FALSE),"")</f>
        <v/>
      </c>
      <c r="H143" t="inlineStr">
        <is>
          <t>Blanket (page end)</t>
        </is>
      </c>
      <c r="L143" t="inlineStr">
        <is>
          <t>YES</t>
        </is>
      </c>
    </row>
    <row r="144" ht="15.75" customHeight="1" s="67">
      <c r="A144" t="inlineStr">
        <is>
          <t>MANDATORY_REENTRY_WT_FILTER_REQUIRE_FLIP</t>
        </is>
      </c>
      <c r="B144" t="inlineStr">
        <is>
          <t>False_ALT</t>
        </is>
      </c>
      <c r="D144" t="inlineStr">
        <is>
          <t>GLOBAL_CHECK, STOCKS_EXIT</t>
        </is>
      </c>
      <c r="G144">
        <f>IFERROR(VLOOKUP($A144&amp;"_"&amp;$B144,Results_Deltas!$A$2:$P$15000,5,FALSE),"")</f>
        <v/>
      </c>
      <c r="H144" t="inlineStr">
        <is>
          <t>Blanket (page end)</t>
        </is>
      </c>
      <c r="L144" t="inlineStr">
        <is>
          <t>NO</t>
        </is>
      </c>
    </row>
    <row r="145" ht="15.75" customHeight="1" s="67">
      <c r="A145" t="inlineStr">
        <is>
          <t>MANDATORY_REENTRY_WT_FILTER_VELOCITY_RATIO</t>
        </is>
      </c>
      <c r="B145" t="inlineStr">
        <is>
          <t>0.90</t>
        </is>
      </c>
      <c r="D145" t="inlineStr">
        <is>
          <t>GLOBAL_CHECK, STOCKS_EXIT</t>
        </is>
      </c>
      <c r="G145">
        <f>IFERROR(VLOOKUP($A145&amp;"_"&amp;$B145,Results_Deltas!$A$2:$P$15000,5,FALSE),"")</f>
        <v/>
      </c>
      <c r="H145" t="inlineStr">
        <is>
          <t>Blanket (page end)</t>
        </is>
      </c>
      <c r="L145" t="inlineStr">
        <is>
          <t>YES</t>
        </is>
      </c>
    </row>
    <row r="146" ht="15.75" customHeight="1" s="67">
      <c r="A146" t="inlineStr">
        <is>
          <t>MANDATORY_REENTRY_WT_FILTER_VELOCITY_RATIO</t>
        </is>
      </c>
      <c r="B146" t="inlineStr">
        <is>
          <t>0.90_ALT</t>
        </is>
      </c>
      <c r="D146" t="inlineStr">
        <is>
          <t>GLOBAL_CHECK, STOCKS_EXIT</t>
        </is>
      </c>
      <c r="G146">
        <f>IFERROR(VLOOKUP($A146&amp;"_"&amp;$B146,Results_Deltas!$A$2:$P$15000,5,FALSE),"")</f>
        <v/>
      </c>
      <c r="H146" t="inlineStr">
        <is>
          <t>Blanket (page end)</t>
        </is>
      </c>
      <c r="L146" t="inlineStr">
        <is>
          <t>NO</t>
        </is>
      </c>
    </row>
    <row r="147" ht="15.75" customHeight="1" s="67">
      <c r="A147" t="inlineStr">
        <is>
          <t>MARKET_QUALITY_SCORE_ENABLED</t>
        </is>
      </c>
      <c r="B147" t="inlineStr">
        <is>
          <t>False</t>
        </is>
      </c>
      <c r="D147" t="inlineStr">
        <is>
          <t>ENTRY, GLOBAL_CHECK, STOCKS_EXIT</t>
        </is>
      </c>
      <c r="G147">
        <f>IFERROR(VLOOKUP($A147&amp;"_"&amp;$B147,Results_Deltas!$A$2:$P$15000,5,FALSE),"")</f>
        <v/>
      </c>
      <c r="H147" t="inlineStr">
        <is>
          <t>Blanket (page end)</t>
        </is>
      </c>
      <c r="L147" t="inlineStr">
        <is>
          <t>YES</t>
        </is>
      </c>
    </row>
    <row r="148" ht="15.75" customHeight="1" s="67">
      <c r="A148" t="inlineStr">
        <is>
          <t>MARKET_QUALITY_SCORE_ENABLED</t>
        </is>
      </c>
      <c r="B148" t="inlineStr">
        <is>
          <t>True</t>
        </is>
      </c>
      <c r="D148" t="inlineStr">
        <is>
          <t>ENTRY, GLOBAL_CHECK, STOCKS_EXIT</t>
        </is>
      </c>
      <c r="G148">
        <f>IFERROR(VLOOKUP($A148&amp;"_"&amp;$B148,Results_Deltas!$A$2:$P$15000,5,FALSE),"")</f>
        <v/>
      </c>
      <c r="H148" t="inlineStr">
        <is>
          <t>Blanket (page end)</t>
        </is>
      </c>
      <c r="L148" t="inlineStr">
        <is>
          <t>NO</t>
        </is>
      </c>
    </row>
    <row r="149" ht="15.75" customHeight="1" s="67">
      <c r="A149" t="inlineStr">
        <is>
          <t>MI_TF_AGREE_MIN</t>
        </is>
      </c>
      <c r="B149" t="inlineStr">
        <is>
          <t>0.0</t>
        </is>
      </c>
      <c r="D149" t="inlineStr">
        <is>
          <t>ENTRY, GLOBAL_CHECK, STOCKS_EXIT</t>
        </is>
      </c>
      <c r="G149">
        <f>IFERROR(VLOOKUP($A149&amp;"_"&amp;$B149,Results_Deltas!$A$2:$P$15000,5,FALSE),"")</f>
        <v/>
      </c>
      <c r="H149" t="inlineStr">
        <is>
          <t>Blanket (page end)</t>
        </is>
      </c>
      <c r="L149" t="inlineStr">
        <is>
          <t>NO</t>
        </is>
      </c>
    </row>
    <row r="150" ht="15.75" customHeight="1" s="67">
      <c r="A150" t="inlineStr">
        <is>
          <t>MI_TF_AGREE_MIN</t>
        </is>
      </c>
      <c r="B150" t="inlineStr">
        <is>
          <t>0.0_ALT</t>
        </is>
      </c>
      <c r="D150" t="inlineStr">
        <is>
          <t>ENTRY, GLOBAL_CHECK, STOCKS_EXIT</t>
        </is>
      </c>
      <c r="G150">
        <f>IFERROR(VLOOKUP($A150&amp;"_"&amp;$B150,Results_Deltas!$A$2:$P$15000,5,FALSE),"")</f>
        <v/>
      </c>
      <c r="H150" t="inlineStr">
        <is>
          <t>Blanket (page end)</t>
        </is>
      </c>
      <c r="L150" t="inlineStr">
        <is>
          <t>NO</t>
        </is>
      </c>
    </row>
    <row r="151" ht="15.75" customHeight="1" s="67">
      <c r="A151" t="inlineStr">
        <is>
          <t>MOVER_THRESHOLD</t>
        </is>
      </c>
      <c r="B151" t="inlineStr">
        <is>
          <t>5</t>
        </is>
      </c>
      <c r="D151" t="inlineStr">
        <is>
          <t>ENTRY, GLOBAL_CHECK, STOCKS_EXIT</t>
        </is>
      </c>
      <c r="G151">
        <f>IFERROR(VLOOKUP($A151&amp;"_"&amp;$B151,Results_Deltas!$A$2:$P$15000,5,FALSE),"")</f>
        <v/>
      </c>
      <c r="H151" t="inlineStr">
        <is>
          <t>Blanket (page end)</t>
        </is>
      </c>
      <c r="L151" t="inlineStr">
        <is>
          <t>YES</t>
        </is>
      </c>
    </row>
    <row r="152" ht="15.75" customHeight="1" s="67">
      <c r="A152" t="inlineStr">
        <is>
          <t>MOVER_THRESHOLD</t>
        </is>
      </c>
      <c r="B152" t="inlineStr">
        <is>
          <t>6.25</t>
        </is>
      </c>
      <c r="D152" t="inlineStr">
        <is>
          <t>ENTRY, GLOBAL_CHECK, STOCKS_EXIT</t>
        </is>
      </c>
      <c r="G152">
        <f>IFERROR(VLOOKUP($A152&amp;"_"&amp;$B152,Results_Deltas!$A$2:$P$15000,5,FALSE),"")</f>
        <v/>
      </c>
      <c r="H152" t="inlineStr">
        <is>
          <t>Blanket (page end)</t>
        </is>
      </c>
      <c r="L152" t="inlineStr">
        <is>
          <t>NO</t>
        </is>
      </c>
    </row>
    <row r="153" ht="15.75" customHeight="1" s="67">
      <c r="A153" t="inlineStr">
        <is>
          <t>MOVER_THRESHOLD</t>
        </is>
      </c>
      <c r="B153" t="inlineStr">
        <is>
          <t>3.75</t>
        </is>
      </c>
      <c r="D153" t="inlineStr">
        <is>
          <t>ENTRY, GLOBAL_CHECK, STOCKS_EXIT</t>
        </is>
      </c>
      <c r="G153">
        <f>IFERROR(VLOOKUP($A153&amp;"_"&amp;$B153,Results_Deltas!$A$2:$P$15000,5,FALSE),"")</f>
        <v/>
      </c>
      <c r="H153" t="inlineStr">
        <is>
          <t>Blanket (page end)</t>
        </is>
      </c>
      <c r="L153" t="inlineStr">
        <is>
          <t>NO</t>
        </is>
      </c>
    </row>
    <row r="154" ht="15.75" customHeight="1" s="67">
      <c r="A154" t="inlineStr">
        <is>
          <t>MOVER_THRESHOLD</t>
        </is>
      </c>
      <c r="B154" t="inlineStr">
        <is>
          <t>2.5</t>
        </is>
      </c>
      <c r="D154" t="inlineStr">
        <is>
          <t>ENTRY, GLOBAL_CHECK, STOCKS_EXIT</t>
        </is>
      </c>
      <c r="G154">
        <f>IFERROR(VLOOKUP($A154&amp;"_"&amp;$B154,Results_Deltas!$A$2:$P$15000,5,FALSE),"")</f>
        <v/>
      </c>
      <c r="H154" t="inlineStr">
        <is>
          <t>Blanket (page end)</t>
        </is>
      </c>
      <c r="L154" t="inlineStr">
        <is>
          <t>NO</t>
        </is>
      </c>
    </row>
    <row r="155" ht="15.75" customHeight="1" s="67">
      <c r="A155" t="inlineStr">
        <is>
          <t>MTF_FILTER_STRONG_BUY_QUICK_BYPASS</t>
        </is>
      </c>
      <c r="B155" t="inlineStr">
        <is>
          <t>0.0</t>
        </is>
      </c>
      <c r="D155" t="inlineStr">
        <is>
          <t>GLOBAL_CHECK, STOCKS_EXIT</t>
        </is>
      </c>
      <c r="G155">
        <f>IFERROR(VLOOKUP($A155&amp;"_"&amp;$B155,Results_Deltas!$A$2:$P$15000,5,FALSE),"")</f>
        <v/>
      </c>
      <c r="H155" t="inlineStr">
        <is>
          <t>Blanket (page end)</t>
        </is>
      </c>
      <c r="L155" t="inlineStr">
        <is>
          <t>NO</t>
        </is>
      </c>
    </row>
    <row r="156" ht="15.75" customHeight="1" s="67">
      <c r="A156" t="inlineStr">
        <is>
          <t>MTF_FILTER_STRONG_BUY_QUICK_BYPASS</t>
        </is>
      </c>
      <c r="B156" t="inlineStr">
        <is>
          <t>0.0_ALT</t>
        </is>
      </c>
      <c r="D156" t="inlineStr">
        <is>
          <t>GLOBAL_CHECK, STOCKS_EXIT</t>
        </is>
      </c>
      <c r="G156">
        <f>IFERROR(VLOOKUP($A156&amp;"_"&amp;$B156,Results_Deltas!$A$2:$P$15000,5,FALSE),"")</f>
        <v/>
      </c>
      <c r="H156" t="inlineStr">
        <is>
          <t>Blanket (page end)</t>
        </is>
      </c>
      <c r="L156" t="inlineStr">
        <is>
          <t>NO</t>
        </is>
      </c>
    </row>
    <row r="157" ht="15.75" customHeight="1" s="67">
      <c r="A157" t="inlineStr">
        <is>
          <t>MTF_GR_MIN_IND</t>
        </is>
      </c>
      <c r="B157" t="inlineStr">
        <is>
          <t>5</t>
        </is>
      </c>
      <c r="D157" t="inlineStr">
        <is>
          <t>GLOBAL_CHECK, STOCKS_EXIT</t>
        </is>
      </c>
      <c r="G157">
        <f>IFERROR(VLOOKUP($A157&amp;"_"&amp;$B157,Results_Deltas!$A$2:$P$15000,5,FALSE),"")</f>
        <v/>
      </c>
      <c r="H157" t="inlineStr">
        <is>
          <t>Blanket (page end)</t>
        </is>
      </c>
      <c r="L157" t="inlineStr">
        <is>
          <t>NO</t>
        </is>
      </c>
    </row>
    <row r="158" ht="15.75" customHeight="1" s="67">
      <c r="A158" t="inlineStr">
        <is>
          <t>MTF_GR_MIN_IND</t>
        </is>
      </c>
      <c r="B158" t="inlineStr">
        <is>
          <t>5_ALT</t>
        </is>
      </c>
      <c r="D158" t="inlineStr">
        <is>
          <t>GLOBAL_CHECK, STOCKS_EXIT</t>
        </is>
      </c>
      <c r="G158">
        <f>IFERROR(VLOOKUP($A158&amp;"_"&amp;$B158,Results_Deltas!$A$2:$P$15000,5,FALSE),"")</f>
        <v/>
      </c>
      <c r="H158" t="inlineStr">
        <is>
          <t>Blanket (page end)</t>
        </is>
      </c>
      <c r="L158" t="inlineStr">
        <is>
          <t>NO</t>
        </is>
      </c>
    </row>
    <row r="159" ht="15.75" customHeight="1" s="67">
      <c r="A159" t="inlineStr">
        <is>
          <t>MTS_BOTTOM_BONUS_THRESHOLD</t>
        </is>
      </c>
      <c r="B159" t="inlineStr">
        <is>
          <t>25</t>
        </is>
      </c>
      <c r="D159" t="inlineStr">
        <is>
          <t>ENTRY, GLOBAL_CHECK, STOCKS_EXIT</t>
        </is>
      </c>
      <c r="G159">
        <f>IFERROR(VLOOKUP($A159&amp;"_"&amp;$B159,Results_Deltas!$A$2:$P$15000,5,FALSE),"")</f>
        <v/>
      </c>
      <c r="H159" t="inlineStr">
        <is>
          <t>Blanket (page end)</t>
        </is>
      </c>
      <c r="L159" t="inlineStr">
        <is>
          <t>YES</t>
        </is>
      </c>
    </row>
    <row r="160" ht="15.75" customHeight="1" s="67">
      <c r="A160" t="inlineStr">
        <is>
          <t>MTS_BOTTOM_BONUS_THRESHOLD</t>
        </is>
      </c>
      <c r="B160" t="inlineStr">
        <is>
          <t>31.25</t>
        </is>
      </c>
      <c r="D160" t="inlineStr">
        <is>
          <t>ENTRY, GLOBAL_CHECK, STOCKS_EXIT</t>
        </is>
      </c>
      <c r="G160">
        <f>IFERROR(VLOOKUP($A160&amp;"_"&amp;$B160,Results_Deltas!$A$2:$P$15000,5,FALSE),"")</f>
        <v/>
      </c>
      <c r="H160" t="inlineStr">
        <is>
          <t>Blanket (page end)</t>
        </is>
      </c>
      <c r="L160" t="inlineStr">
        <is>
          <t>NO</t>
        </is>
      </c>
    </row>
    <row r="161" ht="15.75" customHeight="1" s="67">
      <c r="A161" t="inlineStr">
        <is>
          <t>MTS_BOTTOM_BONUS_THRESHOLD</t>
        </is>
      </c>
      <c r="B161" t="inlineStr">
        <is>
          <t>18.75</t>
        </is>
      </c>
      <c r="D161" t="inlineStr">
        <is>
          <t>ENTRY, GLOBAL_CHECK, STOCKS_EXIT</t>
        </is>
      </c>
      <c r="G161">
        <f>IFERROR(VLOOKUP($A161&amp;"_"&amp;$B161,Results_Deltas!$A$2:$P$15000,5,FALSE),"")</f>
        <v/>
      </c>
      <c r="H161" t="inlineStr">
        <is>
          <t>Blanket (page end)</t>
        </is>
      </c>
      <c r="L161" t="inlineStr">
        <is>
          <t>NO</t>
        </is>
      </c>
    </row>
    <row r="162" ht="15.75" customHeight="1" s="67">
      <c r="A162" t="inlineStr">
        <is>
          <t>MTS_BOTTOM_BONUS_THRESHOLD</t>
        </is>
      </c>
      <c r="B162" t="inlineStr">
        <is>
          <t>12.5</t>
        </is>
      </c>
      <c r="D162" t="inlineStr">
        <is>
          <t>ENTRY, GLOBAL_CHECK, STOCKS_EXIT</t>
        </is>
      </c>
      <c r="G162">
        <f>IFERROR(VLOOKUP($A162&amp;"_"&amp;$B162,Results_Deltas!$A$2:$P$15000,5,FALSE),"")</f>
        <v/>
      </c>
      <c r="H162" t="inlineStr">
        <is>
          <t>Blanket (page end)</t>
        </is>
      </c>
      <c r="L162" t="inlineStr">
        <is>
          <t>NO</t>
        </is>
      </c>
    </row>
    <row r="163" ht="15.75" customHeight="1" s="67">
      <c r="A163" t="inlineStr">
        <is>
          <t>MTS_BOTTOM_STRONG_THRESHOLD</t>
        </is>
      </c>
      <c r="B163" t="inlineStr">
        <is>
          <t>40</t>
        </is>
      </c>
      <c r="D163" t="inlineStr">
        <is>
          <t>ENTRY, GLOBAL_CHECK, STOCKS_EXIT</t>
        </is>
      </c>
      <c r="G163">
        <f>IFERROR(VLOOKUP($A163&amp;"_"&amp;$B163,Results_Deltas!$A$2:$P$15000,5,FALSE),"")</f>
        <v/>
      </c>
      <c r="H163" t="inlineStr">
        <is>
          <t>Blanket (page end)</t>
        </is>
      </c>
      <c r="L163" t="inlineStr">
        <is>
          <t>YES</t>
        </is>
      </c>
    </row>
    <row r="164" ht="15.75" customHeight="1" s="67">
      <c r="A164" t="inlineStr">
        <is>
          <t>MTS_BOTTOM_STRONG_THRESHOLD</t>
        </is>
      </c>
      <c r="B164" t="inlineStr">
        <is>
          <t>50</t>
        </is>
      </c>
      <c r="D164" t="inlineStr">
        <is>
          <t>ENTRY, GLOBAL_CHECK, STOCKS_EXIT</t>
        </is>
      </c>
      <c r="G164">
        <f>IFERROR(VLOOKUP($A164&amp;"_"&amp;$B164,Results_Deltas!$A$2:$P$15000,5,FALSE),"")</f>
        <v/>
      </c>
      <c r="H164" t="inlineStr">
        <is>
          <t>Blanket (page end)</t>
        </is>
      </c>
      <c r="L164" t="inlineStr">
        <is>
          <t>NO</t>
        </is>
      </c>
    </row>
    <row r="165" ht="15.75" customHeight="1" s="67">
      <c r="A165" t="inlineStr">
        <is>
          <t>MTS_BOTTOM_STRONG_THRESHOLD</t>
        </is>
      </c>
      <c r="B165" t="inlineStr">
        <is>
          <t>30</t>
        </is>
      </c>
      <c r="D165" t="inlineStr">
        <is>
          <t>ENTRY, GLOBAL_CHECK, STOCKS_EXIT</t>
        </is>
      </c>
      <c r="G165">
        <f>IFERROR(VLOOKUP($A165&amp;"_"&amp;$B165,Results_Deltas!$A$2:$P$15000,5,FALSE),"")</f>
        <v/>
      </c>
      <c r="H165" t="inlineStr">
        <is>
          <t>Blanket (page end)</t>
        </is>
      </c>
      <c r="L165" t="inlineStr">
        <is>
          <t>NO</t>
        </is>
      </c>
    </row>
    <row r="166" ht="15.75" customHeight="1" s="67">
      <c r="A166" t="inlineStr">
        <is>
          <t>MTS_BOTTOM_STRONG_THRESHOLD</t>
        </is>
      </c>
      <c r="B166" t="inlineStr">
        <is>
          <t>20</t>
        </is>
      </c>
      <c r="D166" t="inlineStr">
        <is>
          <t>ENTRY, GLOBAL_CHECK, STOCKS_EXIT</t>
        </is>
      </c>
      <c r="G166">
        <f>IFERROR(VLOOKUP($A166&amp;"_"&amp;$B166,Results_Deltas!$A$2:$P$15000,5,FALSE),"")</f>
        <v/>
      </c>
      <c r="H166" t="inlineStr">
        <is>
          <t>Blanket (page end)</t>
        </is>
      </c>
      <c r="L166" t="inlineStr">
        <is>
          <t>NO</t>
        </is>
      </c>
    </row>
    <row r="167" ht="15.75" customHeight="1" s="67">
      <c r="A167" t="inlineStr">
        <is>
          <t>MTS_GATE_ENABLED</t>
        </is>
      </c>
      <c r="B167" t="inlineStr">
        <is>
          <t>False</t>
        </is>
      </c>
      <c r="D167" t="inlineStr">
        <is>
          <t>ENTRY, GLOBAL_CHECK, STOCKS_EXIT</t>
        </is>
      </c>
      <c r="G167">
        <f>IFERROR(VLOOKUP($A167&amp;"_"&amp;$B167,Results_Deltas!$A$2:$P$15000,5,FALSE),"")</f>
        <v/>
      </c>
      <c r="H167" t="inlineStr">
        <is>
          <t>Blanket (page end)</t>
        </is>
      </c>
      <c r="L167" t="inlineStr">
        <is>
          <t>NO</t>
        </is>
      </c>
    </row>
    <row r="168" ht="15.75" customHeight="1" s="67">
      <c r="A168" t="inlineStr">
        <is>
          <t>MTS_GATE_ENABLED</t>
        </is>
      </c>
      <c r="B168" t="inlineStr">
        <is>
          <t>True</t>
        </is>
      </c>
      <c r="D168" t="inlineStr">
        <is>
          <t>ENTRY, GLOBAL_CHECK, STOCKS_EXIT</t>
        </is>
      </c>
      <c r="G168">
        <f>IFERROR(VLOOKUP($A168&amp;"_"&amp;$B168,Results_Deltas!$A$2:$P$15000,5,FALSE),"")</f>
        <v/>
      </c>
      <c r="H168" t="inlineStr">
        <is>
          <t>Blanket (page end)</t>
        </is>
      </c>
      <c r="L168" t="inlineStr">
        <is>
          <t>YES</t>
        </is>
      </c>
    </row>
    <row r="169" ht="15.75" customHeight="1" s="67">
      <c r="A169" t="inlineStr">
        <is>
          <t>NEWBORN_LOSS_KILL_GAIN_THRESHOLD_PCT</t>
        </is>
      </c>
      <c r="B169" t="inlineStr">
        <is>
          <t>0</t>
        </is>
      </c>
      <c r="D169" t="inlineStr">
        <is>
          <t>AUGMENT, EXIT, GLOBAL_CHECK, REDUCE, STOCKS_EXIT</t>
        </is>
      </c>
      <c r="G169">
        <f>IFERROR(VLOOKUP($A169&amp;"_"&amp;$B169,Results_Deltas!$A$2:$P$15000,5,FALSE),"")</f>
        <v/>
      </c>
      <c r="H169" t="inlineStr">
        <is>
          <t>Blanket (page end)</t>
        </is>
      </c>
      <c r="L169" t="inlineStr">
        <is>
          <t>YES</t>
        </is>
      </c>
    </row>
    <row r="170" ht="15.75" customHeight="1" s="67">
      <c r="A170" t="inlineStr">
        <is>
          <t>NEWBORN_LOSS_KILL_GAIN_THRESHOLD_PCT</t>
        </is>
      </c>
      <c r="B170" t="inlineStr">
        <is>
          <t>2.0</t>
        </is>
      </c>
      <c r="D170" t="inlineStr">
        <is>
          <t>AUGMENT, EXIT, GLOBAL_CHECK, REDUCE, STOCKS_EXIT</t>
        </is>
      </c>
      <c r="G170">
        <f>IFERROR(VLOOKUP($A170&amp;"_"&amp;$B170,Results_Deltas!$A$2:$P$15000,5,FALSE),"")</f>
        <v/>
      </c>
      <c r="H170" t="inlineStr">
        <is>
          <t>Blanket (page end)</t>
        </is>
      </c>
      <c r="L170" t="inlineStr">
        <is>
          <t>NO</t>
        </is>
      </c>
    </row>
    <row r="171" ht="15.75" customHeight="1" s="67">
      <c r="A171" t="inlineStr">
        <is>
          <t>NEWBORN_LOSS_KILL_GAIN_THRESHOLD_PCT</t>
        </is>
      </c>
      <c r="B171" t="inlineStr">
        <is>
          <t>1.0</t>
        </is>
      </c>
      <c r="D171" t="inlineStr">
        <is>
          <t>AUGMENT, EXIT, GLOBAL_CHECK, REDUCE, STOCKS_EXIT</t>
        </is>
      </c>
      <c r="G171">
        <f>IFERROR(VLOOKUP($A171&amp;"_"&amp;$B171,Results_Deltas!$A$2:$P$15000,5,FALSE),"")</f>
        <v/>
      </c>
      <c r="H171" t="inlineStr">
        <is>
          <t>Blanket (page end)</t>
        </is>
      </c>
      <c r="L171" t="inlineStr">
        <is>
          <t>NO</t>
        </is>
      </c>
    </row>
    <row r="172" ht="15.75" customHeight="1" s="67">
      <c r="A172" t="inlineStr">
        <is>
          <t>NEWBORN_LOSS_KILL_GAIN_THRESHOLD_PCT</t>
        </is>
      </c>
      <c r="B172" t="inlineStr">
        <is>
          <t>0.5</t>
        </is>
      </c>
      <c r="D172" t="inlineStr">
        <is>
          <t>AUGMENT, EXIT, GLOBAL_CHECK, REDUCE, STOCKS_EXIT</t>
        </is>
      </c>
      <c r="G172">
        <f>IFERROR(VLOOKUP($A172&amp;"_"&amp;$B172,Results_Deltas!$A$2:$P$15000,5,FALSE),"")</f>
        <v/>
      </c>
      <c r="H172" t="inlineStr">
        <is>
          <t>Blanket (page end)</t>
        </is>
      </c>
      <c r="L172" t="inlineStr">
        <is>
          <t>NO</t>
        </is>
      </c>
    </row>
    <row r="173" ht="15.75" customHeight="1" s="67">
      <c r="A173" t="inlineStr">
        <is>
          <t>NEWBORN_LOSS_KILL_REQUIRE_VEL_AGAINST</t>
        </is>
      </c>
      <c r="B173" t="inlineStr">
        <is>
          <t>0.0</t>
        </is>
      </c>
      <c r="D173" t="inlineStr">
        <is>
          <t>AUGMENT, EXIT, GLOBAL_CHECK, REDUCE, STOCKS_EXIT</t>
        </is>
      </c>
      <c r="G173">
        <f>IFERROR(VLOOKUP($A173&amp;"_"&amp;$B173,Results_Deltas!$A$2:$P$15000,5,FALSE),"")</f>
        <v/>
      </c>
      <c r="H173" t="inlineStr">
        <is>
          <t>Blanket (page end)</t>
        </is>
      </c>
      <c r="L173" t="inlineStr">
        <is>
          <t>NO</t>
        </is>
      </c>
    </row>
    <row r="174" ht="15.75" customHeight="1" s="67">
      <c r="A174" t="inlineStr">
        <is>
          <t>NEWBORN_LOSS_KILL_REQUIRE_VEL_AGAINST</t>
        </is>
      </c>
      <c r="B174" t="inlineStr">
        <is>
          <t>0.0_ALT</t>
        </is>
      </c>
      <c r="D174" t="inlineStr">
        <is>
          <t>AUGMENT, EXIT, GLOBAL_CHECK, REDUCE, STOCKS_EXIT</t>
        </is>
      </c>
      <c r="G174">
        <f>IFERROR(VLOOKUP($A174&amp;"_"&amp;$B174,Results_Deltas!$A$2:$P$15000,5,FALSE),"")</f>
        <v/>
      </c>
      <c r="H174" t="inlineStr">
        <is>
          <t>Blanket (page end)</t>
        </is>
      </c>
      <c r="L174" t="inlineStr">
        <is>
          <t>NO</t>
        </is>
      </c>
    </row>
    <row r="175" ht="15.75" customHeight="1" s="67">
      <c r="A175" t="inlineStr">
        <is>
          <t>NEW_POSITION_MAX_LOSS_THRESHOLD</t>
        </is>
      </c>
      <c r="B175" t="inlineStr">
        <is>
          <t>0</t>
        </is>
      </c>
      <c r="D175" t="inlineStr">
        <is>
          <t>AUGMENT, EXIT, GLOBAL_CHECK, REDUCE, STOCKS_EXIT</t>
        </is>
      </c>
      <c r="G175">
        <f>IFERROR(VLOOKUP($A175&amp;"_"&amp;$B175,Results_Deltas!$A$2:$P$15000,5,FALSE),"")</f>
        <v/>
      </c>
      <c r="H175" t="inlineStr">
        <is>
          <t>Blanket (page end)</t>
        </is>
      </c>
      <c r="L175" t="inlineStr">
        <is>
          <t>NO</t>
        </is>
      </c>
    </row>
    <row r="176" ht="15.75" customHeight="1" s="67">
      <c r="A176" t="inlineStr">
        <is>
          <t>NEW_POSITION_MAX_LOSS_THRESHOLD</t>
        </is>
      </c>
      <c r="B176" t="inlineStr">
        <is>
          <t>2.0</t>
        </is>
      </c>
      <c r="D176" t="inlineStr">
        <is>
          <t>AUGMENT, EXIT, GLOBAL_CHECK, REDUCE, STOCKS_EXIT</t>
        </is>
      </c>
      <c r="G176">
        <f>IFERROR(VLOOKUP($A176&amp;"_"&amp;$B176,Results_Deltas!$A$2:$P$15000,5,FALSE),"")</f>
        <v/>
      </c>
      <c r="H176" t="inlineStr">
        <is>
          <t>Blanket (page end)</t>
        </is>
      </c>
      <c r="L176" t="inlineStr">
        <is>
          <t>NO</t>
        </is>
      </c>
    </row>
    <row r="177" ht="15.75" customHeight="1" s="67">
      <c r="A177" t="inlineStr">
        <is>
          <t>NEW_POSITION_MAX_LOSS_THRESHOLD</t>
        </is>
      </c>
      <c r="B177" t="inlineStr">
        <is>
          <t>1.0</t>
        </is>
      </c>
      <c r="D177" t="inlineStr">
        <is>
          <t>AUGMENT, EXIT, GLOBAL_CHECK, REDUCE, STOCKS_EXIT</t>
        </is>
      </c>
      <c r="G177">
        <f>IFERROR(VLOOKUP($A177&amp;"_"&amp;$B177,Results_Deltas!$A$2:$P$15000,5,FALSE),"")</f>
        <v/>
      </c>
      <c r="H177" t="inlineStr">
        <is>
          <t>Blanket (page end)</t>
        </is>
      </c>
      <c r="L177" t="inlineStr">
        <is>
          <t>NO</t>
        </is>
      </c>
    </row>
    <row r="178" ht="15.75" customHeight="1" s="67">
      <c r="A178" t="inlineStr">
        <is>
          <t>NEW_POSITION_MAX_LOSS_THRESHOLD</t>
        </is>
      </c>
      <c r="B178" t="inlineStr">
        <is>
          <t>0.5</t>
        </is>
      </c>
      <c r="D178" t="inlineStr">
        <is>
          <t>AUGMENT, EXIT, GLOBAL_CHECK, REDUCE, STOCKS_EXIT</t>
        </is>
      </c>
      <c r="G178">
        <f>IFERROR(VLOOKUP($A178&amp;"_"&amp;$B178,Results_Deltas!$A$2:$P$15000,5,FALSE),"")</f>
        <v/>
      </c>
      <c r="H178" t="inlineStr">
        <is>
          <t>Blanket (page end)</t>
        </is>
      </c>
      <c r="L178" t="inlineStr">
        <is>
          <t>NO</t>
        </is>
      </c>
    </row>
    <row r="179" ht="15.75" customHeight="1" s="67">
      <c r="A179" t="inlineStr">
        <is>
          <t>OI_CONFIRM_ENABLED</t>
        </is>
      </c>
      <c r="B179" t="inlineStr">
        <is>
          <t>False</t>
        </is>
      </c>
      <c r="D179" t="inlineStr">
        <is>
          <t>ENTRY, GLOBAL_CHECK, STOCKS_EXIT</t>
        </is>
      </c>
      <c r="G179">
        <f>IFERROR(VLOOKUP($A179&amp;"_"&amp;$B179,Results_Deltas!$A$2:$P$15000,5,FALSE),"")</f>
        <v/>
      </c>
      <c r="H179" t="inlineStr">
        <is>
          <t>Blanket (page end)</t>
        </is>
      </c>
      <c r="L179" t="inlineStr">
        <is>
          <t>NO</t>
        </is>
      </c>
    </row>
    <row r="180" ht="15.75" customHeight="1" s="67">
      <c r="A180" t="inlineStr">
        <is>
          <t>OI_CONFIRM_ENABLED</t>
        </is>
      </c>
      <c r="B180" t="inlineStr">
        <is>
          <t>True</t>
        </is>
      </c>
      <c r="D180" t="inlineStr">
        <is>
          <t>ENTRY, GLOBAL_CHECK, STOCKS_EXIT</t>
        </is>
      </c>
      <c r="G180">
        <f>IFERROR(VLOOKUP($A180&amp;"_"&amp;$B180,Results_Deltas!$A$2:$P$15000,5,FALSE),"")</f>
        <v/>
      </c>
      <c r="H180" t="inlineStr">
        <is>
          <t>Blanket (page end)</t>
        </is>
      </c>
      <c r="L180" t="inlineStr">
        <is>
          <t>YES</t>
        </is>
      </c>
    </row>
    <row r="181" ht="15.75" customHeight="1" s="67">
      <c r="A181" t="inlineStr">
        <is>
          <t>OI_CONFIRM_MIN_CHANGE_PCT</t>
        </is>
      </c>
      <c r="B181" t="inlineStr">
        <is>
          <t>0</t>
        </is>
      </c>
      <c r="D181" t="inlineStr">
        <is>
          <t>ENTRY, GLOBAL_CHECK, STOCKS_EXIT</t>
        </is>
      </c>
      <c r="G181">
        <f>IFERROR(VLOOKUP($A181&amp;"_"&amp;$B181,Results_Deltas!$A$2:$P$15000,5,FALSE),"")</f>
        <v/>
      </c>
      <c r="H181" t="inlineStr">
        <is>
          <t>Blanket (page end)</t>
        </is>
      </c>
      <c r="L181" t="inlineStr">
        <is>
          <t>NO</t>
        </is>
      </c>
    </row>
    <row r="182" ht="15.75" customHeight="1" s="67">
      <c r="A182" t="inlineStr">
        <is>
          <t>OI_CONFIRM_MIN_CHANGE_PCT</t>
        </is>
      </c>
      <c r="B182" t="inlineStr">
        <is>
          <t>2.0</t>
        </is>
      </c>
      <c r="D182" t="inlineStr">
        <is>
          <t>ENTRY, GLOBAL_CHECK, STOCKS_EXIT</t>
        </is>
      </c>
      <c r="G182">
        <f>IFERROR(VLOOKUP($A182&amp;"_"&amp;$B182,Results_Deltas!$A$2:$P$15000,5,FALSE),"")</f>
        <v/>
      </c>
      <c r="H182" t="inlineStr">
        <is>
          <t>Blanket (page end)</t>
        </is>
      </c>
      <c r="L182" t="inlineStr">
        <is>
          <t>NO</t>
        </is>
      </c>
    </row>
    <row r="183" ht="15.75" customHeight="1" s="67">
      <c r="A183" t="inlineStr">
        <is>
          <t>OI_CONFIRM_MIN_CHANGE_PCT</t>
        </is>
      </c>
      <c r="B183" t="inlineStr">
        <is>
          <t>1.0</t>
        </is>
      </c>
      <c r="D183" t="inlineStr">
        <is>
          <t>ENTRY, GLOBAL_CHECK, STOCKS_EXIT</t>
        </is>
      </c>
      <c r="G183">
        <f>IFERROR(VLOOKUP($A183&amp;"_"&amp;$B183,Results_Deltas!$A$2:$P$15000,5,FALSE),"")</f>
        <v/>
      </c>
      <c r="H183" t="inlineStr">
        <is>
          <t>Blanket (page end)</t>
        </is>
      </c>
      <c r="L183" t="inlineStr">
        <is>
          <t>NO</t>
        </is>
      </c>
    </row>
    <row r="184" ht="15.75" customHeight="1" s="67">
      <c r="A184" t="inlineStr">
        <is>
          <t>OI_CONFIRM_MIN_CHANGE_PCT</t>
        </is>
      </c>
      <c r="B184" t="inlineStr">
        <is>
          <t>0.5</t>
        </is>
      </c>
      <c r="D184" t="inlineStr">
        <is>
          <t>ENTRY, GLOBAL_CHECK, STOCKS_EXIT</t>
        </is>
      </c>
      <c r="G184">
        <f>IFERROR(VLOOKUP($A184&amp;"_"&amp;$B184,Results_Deltas!$A$2:$P$15000,5,FALSE),"")</f>
        <v/>
      </c>
      <c r="H184" t="inlineStr">
        <is>
          <t>Blanket (page end)</t>
        </is>
      </c>
      <c r="L184" t="inlineStr">
        <is>
          <t>YES</t>
        </is>
      </c>
    </row>
    <row r="185" ht="15.75" customHeight="1" s="67">
      <c r="A185" t="inlineStr">
        <is>
          <t>OI_CONFIRM_MIN_PRICE_PCT</t>
        </is>
      </c>
      <c r="B185" t="inlineStr">
        <is>
          <t>0</t>
        </is>
      </c>
      <c r="D185" t="inlineStr">
        <is>
          <t>ENTRY, GLOBAL_CHECK, STOCKS_EXIT</t>
        </is>
      </c>
      <c r="G185">
        <f>IFERROR(VLOOKUP($A185&amp;"_"&amp;$B185,Results_Deltas!$A$2:$P$15000,5,FALSE),"")</f>
        <v/>
      </c>
      <c r="H185" t="inlineStr">
        <is>
          <t>Blanket (page end)</t>
        </is>
      </c>
      <c r="L185" t="inlineStr">
        <is>
          <t>NO</t>
        </is>
      </c>
    </row>
    <row r="186" ht="15.75" customHeight="1" s="67">
      <c r="A186" t="inlineStr">
        <is>
          <t>OI_CONFIRM_MIN_PRICE_PCT</t>
        </is>
      </c>
      <c r="B186" t="inlineStr">
        <is>
          <t>2.0</t>
        </is>
      </c>
      <c r="D186" t="inlineStr">
        <is>
          <t>ENTRY, GLOBAL_CHECK, STOCKS_EXIT</t>
        </is>
      </c>
      <c r="G186">
        <f>IFERROR(VLOOKUP($A186&amp;"_"&amp;$B186,Results_Deltas!$A$2:$P$15000,5,FALSE),"")</f>
        <v/>
      </c>
      <c r="H186" t="inlineStr">
        <is>
          <t>Blanket (page end)</t>
        </is>
      </c>
      <c r="L186" t="inlineStr">
        <is>
          <t>NO</t>
        </is>
      </c>
    </row>
    <row r="187" ht="15.75" customHeight="1" s="67">
      <c r="A187" t="inlineStr">
        <is>
          <t>OI_CONFIRM_MIN_PRICE_PCT</t>
        </is>
      </c>
      <c r="B187" t="inlineStr">
        <is>
          <t>1.0</t>
        </is>
      </c>
      <c r="D187" t="inlineStr">
        <is>
          <t>ENTRY, GLOBAL_CHECK, STOCKS_EXIT</t>
        </is>
      </c>
      <c r="G187">
        <f>IFERROR(VLOOKUP($A187&amp;"_"&amp;$B187,Results_Deltas!$A$2:$P$15000,5,FALSE),"")</f>
        <v/>
      </c>
      <c r="H187" t="inlineStr">
        <is>
          <t>Blanket (page end)</t>
        </is>
      </c>
      <c r="L187" t="inlineStr">
        <is>
          <t>NO</t>
        </is>
      </c>
    </row>
    <row r="188" ht="15.75" customHeight="1" s="67">
      <c r="A188" t="inlineStr">
        <is>
          <t>OI_CONFIRM_MIN_PRICE_PCT</t>
        </is>
      </c>
      <c r="B188" t="inlineStr">
        <is>
          <t>0.5</t>
        </is>
      </c>
      <c r="D188" t="inlineStr">
        <is>
          <t>ENTRY, GLOBAL_CHECK, STOCKS_EXIT</t>
        </is>
      </c>
      <c r="G188">
        <f>IFERROR(VLOOKUP($A188&amp;"_"&amp;$B188,Results_Deltas!$A$2:$P$15000,5,FALSE),"")</f>
        <v/>
      </c>
      <c r="H188" t="inlineStr">
        <is>
          <t>Blanket (page end)</t>
        </is>
      </c>
      <c r="L188" t="inlineStr">
        <is>
          <t>NO</t>
        </is>
      </c>
    </row>
    <row r="189">
      <c r="A189" t="inlineStr">
        <is>
          <t>WT_DC_ENTRY_THRESHOLD</t>
        </is>
      </c>
      <c r="B189" t="n">
        <v>45</v>
      </c>
    </row>
    <row r="190">
      <c r="A190" t="inlineStr">
        <is>
          <t>WT_DC_ENTRY_THRESHOLD</t>
        </is>
      </c>
      <c r="B190" t="n">
        <v>20</v>
      </c>
    </row>
    <row r="191">
      <c r="A191" t="inlineStr">
        <is>
          <t>WT_DC_ENTRY_THRESHOLD</t>
        </is>
      </c>
      <c r="B191" t="n">
        <v>30</v>
      </c>
    </row>
    <row r="192">
      <c r="A192" t="inlineStr">
        <is>
          <t>WT_DC_ENTRY_THRESHOLD</t>
        </is>
      </c>
      <c r="B192" t="n">
        <v>35</v>
      </c>
    </row>
    <row r="193">
      <c r="A193" t="inlineStr">
        <is>
          <t>WT_DC_ENTRY_THRESHOLD</t>
        </is>
      </c>
      <c r="B193" t="n">
        <v>55</v>
      </c>
    </row>
    <row r="194">
      <c r="A194" t="inlineStr">
        <is>
          <t>WT_DC_ENTRY_THRESHOLD</t>
        </is>
      </c>
      <c r="B194" t="n">
        <v>60</v>
      </c>
    </row>
    <row r="195">
      <c r="A195" t="inlineStr">
        <is>
          <t>WT_DC_ENTRY_THRESHOLD</t>
        </is>
      </c>
      <c r="B195" t="n">
        <v>75</v>
      </c>
    </row>
    <row r="196">
      <c r="A196" t="inlineStr">
        <is>
          <t>WT_DC_DIRECT_THRESHOLD</t>
        </is>
      </c>
      <c r="B196" t="n">
        <v>20</v>
      </c>
    </row>
    <row r="197">
      <c r="A197" t="inlineStr">
        <is>
          <t>WT_DC_DIRECT_THRESHOLD</t>
        </is>
      </c>
      <c r="B197" t="n">
        <v>10</v>
      </c>
    </row>
    <row r="198">
      <c r="A198" t="inlineStr">
        <is>
          <t>WT_DC_DIRECT_THRESHOLD</t>
        </is>
      </c>
      <c r="B198" t="n">
        <v>30</v>
      </c>
    </row>
    <row r="199">
      <c r="A199" t="inlineStr">
        <is>
          <t>WT_DC_DIRECT_THRESHOLD</t>
        </is>
      </c>
      <c r="B199" t="n">
        <v>35</v>
      </c>
    </row>
    <row r="200">
      <c r="A200" t="inlineStr">
        <is>
          <t>WT_DC_HTF_GATE</t>
        </is>
      </c>
      <c r="B200" t="inlineStr">
        <is>
          <t>4h_D</t>
        </is>
      </c>
    </row>
    <row r="201">
      <c r="A201" t="inlineStr">
        <is>
          <t>WT_DC_HTF_GATE</t>
        </is>
      </c>
      <c r="B201" t="inlineStr">
        <is>
          <t>none</t>
        </is>
      </c>
    </row>
    <row r="202">
      <c r="A202" t="inlineStr">
        <is>
          <t>WT_DC_HTF_GATE</t>
        </is>
      </c>
      <c r="B202" t="inlineStr">
        <is>
          <t>1h</t>
        </is>
      </c>
    </row>
    <row r="203">
      <c r="A203" t="inlineStr">
        <is>
          <t>WT_DC_HTF_GATE</t>
        </is>
      </c>
      <c r="B203" t="inlineStr">
        <is>
          <t>4h</t>
        </is>
      </c>
    </row>
    <row r="204">
      <c r="A204" t="inlineStr">
        <is>
          <t>WT_DC_HTF_GATE</t>
        </is>
      </c>
      <c r="B204" t="inlineStr">
        <is>
          <t>15m</t>
        </is>
      </c>
    </row>
    <row r="205">
      <c r="A205" t="inlineStr">
        <is>
          <t>WT_DC_HTF_GATE</t>
        </is>
      </c>
      <c r="B205" t="inlineStr">
        <is>
          <t>1h_4h</t>
        </is>
      </c>
    </row>
    <row r="206">
      <c r="A206" t="inlineStr">
        <is>
          <t>EMA50_15M_ENTRY_FILTER_ENABLED</t>
        </is>
      </c>
      <c r="B206" t="b">
        <v>1</v>
      </c>
      <c r="D206" t="inlineStr">
        <is>
          <t>ENTRY, FILTER</t>
        </is>
      </c>
    </row>
    <row r="207">
      <c r="A207" t="inlineStr">
        <is>
          <t>EMA50_15M_ENTRY_FILTER_PCT</t>
        </is>
      </c>
      <c r="B207" t="n">
        <v>0</v>
      </c>
      <c r="D207"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04 EXIT_STRUCTURAL - 2 bases -&gt; 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STDEV_BREAKOUT_EXIT_PCTB_FAIL</t>
        </is>
      </c>
      <c r="B3" t="inlineStr">
        <is>
          <t>0</t>
        </is>
      </c>
      <c r="G3">
        <f>IFERROR(VLOOKUP($A3&amp;"="&amp;$B3,Results_Deltas!$A$2:$P$15000,5,FALSE),"")</f>
        <v/>
      </c>
      <c r="H3">
        <f>IFERROR(VLOOKUP($A3,Results_30d_Deltas!$A$2:$H$5000,7,FALSE)-E3,"")</f>
        <v/>
      </c>
      <c r="I3">
        <f>IFERROR(VLOOKUP($A3,Results_30d_Deltas!$A$2:$H$5000,6,FALSE),"")</f>
        <v/>
      </c>
      <c r="L3" t="inlineStr">
        <is>
          <t>NO</t>
        </is>
      </c>
      <c r="IK3" t="inlineStr">
        <is>
          <t>ez_manage.py:4040 top()</t>
        </is>
      </c>
      <c r="IL3" t="inlineStr">
        <is>
          <t>v12_quick_engine.py:3276 x2</t>
        </is>
      </c>
    </row>
    <row r="4" ht="10.5" customHeight="1" s="67">
      <c r="A4" t="inlineStr">
        <is>
          <t>STDEV_BREAKOUT_EXIT_PCTB_FAIL</t>
        </is>
      </c>
      <c r="B4" t="inlineStr">
        <is>
          <t>0.5</t>
        </is>
      </c>
      <c r="G4">
        <f>IFERROR(VLOOKUP($A4&amp;"_"&amp;$B4,Results_Deltas!$A$2:$P$15000,5,FALSE),"")</f>
        <v/>
      </c>
      <c r="H4">
        <f>IFERROR(VLOOKUP($A4,Results_30d_Deltas!$A$2:$H$5000,7,FALSE)-E3,"")</f>
        <v/>
      </c>
      <c r="I4">
        <f>IFERROR(VLOOKUP($A4,Results_30d_Deltas!$A$2:$H$5000,6,FALSE),"")</f>
        <v/>
      </c>
      <c r="L4" t="inlineStr">
        <is>
          <t>NO</t>
        </is>
      </c>
      <c r="IK4" t="inlineStr">
        <is>
          <t>ez_manage.py:4040 top()</t>
        </is>
      </c>
      <c r="IL4" t="inlineStr">
        <is>
          <t>v12_quick_engine.py:3276 x2</t>
        </is>
      </c>
    </row>
    <row r="5" ht="10.5" customHeight="1" s="67">
      <c r="A5" t="inlineStr">
        <is>
          <t>STDEV_BREAKOUT_EXIT_PCTB_FAIL</t>
        </is>
      </c>
      <c r="B5" t="inlineStr">
        <is>
          <t>1.0</t>
        </is>
      </c>
      <c r="G5">
        <f>IFERROR(VLOOKUP($A5&amp;"_"&amp;$B5,Results_Deltas!$A$2:$P$15000,5,FALSE),"")</f>
        <v/>
      </c>
      <c r="H5">
        <f>IFERROR(VLOOKUP($A5,Results_30d_Deltas!$A$2:$H$5000,7,FALSE)-E4,"")</f>
        <v/>
      </c>
      <c r="I5">
        <f>IFERROR(VLOOKUP($A5,Results_30d_Deltas!$A$2:$H$5000,6,FALSE),"")</f>
        <v/>
      </c>
      <c r="L5" t="inlineStr">
        <is>
          <t>NO</t>
        </is>
      </c>
      <c r="IK5" t="inlineStr">
        <is>
          <t>ez_manage.py:4040 top()</t>
        </is>
      </c>
      <c r="IL5" t="inlineStr">
        <is>
          <t>v12_quick_engine.py:3276 x2</t>
        </is>
      </c>
    </row>
    <row r="6" ht="10.5" customHeight="1" s="67">
      <c r="A6" t="inlineStr">
        <is>
          <t>STDEV_BREAKOUT_EXIT_PCTB_FAIL</t>
        </is>
      </c>
      <c r="B6" t="inlineStr">
        <is>
          <t>2.0</t>
        </is>
      </c>
      <c r="G6">
        <f>IFERROR(VLOOKUP($A6&amp;"_"&amp;$B6,Results_Deltas!$A$2:$P$15000,5,FALSE),"")</f>
        <v/>
      </c>
      <c r="H6">
        <f>IFERROR(VLOOKUP($A6,Results_30d_Deltas!$A$2:$H$5000,7,FALSE)-E5,"")</f>
        <v/>
      </c>
      <c r="I6">
        <f>IFERROR(VLOOKUP($A6,Results_30d_Deltas!$A$2:$H$5000,6,FALSE),"")</f>
        <v/>
      </c>
      <c r="L6" t="inlineStr">
        <is>
          <t>NO</t>
        </is>
      </c>
      <c r="IK6" t="inlineStr">
        <is>
          <t>ez_manage.py:4040 top()</t>
        </is>
      </c>
      <c r="IL6" t="inlineStr">
        <is>
          <t>v12_quick_engine.py:3276 x2</t>
        </is>
      </c>
    </row>
    <row r="7" ht="10.5" customHeight="1" s="67">
      <c r="A7" t="inlineStr">
        <is>
          <t>ALL_TF_AGAINST_CLOSE_ENABLED</t>
        </is>
      </c>
      <c r="B7" t="inlineStr">
        <is>
          <t>False</t>
        </is>
      </c>
      <c r="G7">
        <f>IFERROR(VLOOKUP($A7&amp;"_"&amp;$B7,Results_Deltas!$A$2:$P$15000,5,FALSE),"")</f>
        <v/>
      </c>
      <c r="H7">
        <f>IFERROR(VLOOKUP($A7,Results_30d_Deltas!$A$2:$H$5000,7,FALSE)-E6,"")</f>
        <v/>
      </c>
      <c r="I7">
        <f>IFERROR(VLOOKUP($A7,Results_30d_Deltas!$A$2:$H$5000,6,FALSE),"")</f>
        <v/>
      </c>
      <c r="L7" t="inlineStr">
        <is>
          <t>NO</t>
        </is>
      </c>
      <c r="IK7" t="inlineStr">
        <is>
          <t>ez_manage.py:4325 top()</t>
        </is>
      </c>
      <c r="IL7" t="inlineStr">
        <is>
          <t>v12_quick_engine.py:174 x6</t>
        </is>
      </c>
    </row>
    <row r="8" ht="10.5" customHeight="1" s="67">
      <c r="A8" t="inlineStr">
        <is>
          <t>ALL_TF_AGAINST_CLOSE_ENABLED</t>
        </is>
      </c>
      <c r="B8" t="inlineStr">
        <is>
          <t>True</t>
        </is>
      </c>
      <c r="G8">
        <f>IFERROR(VLOOKUP($A8&amp;"_"&amp;$B8,Results_Deltas!$A$2:$P$15000,5,FALSE),"")</f>
        <v/>
      </c>
      <c r="H8">
        <f>IFERROR(VLOOKUP($A8,Results_30d_Deltas!$A$2:$H$5000,7,FALSE)-E7,"")</f>
        <v/>
      </c>
      <c r="I8">
        <f>IFERROR(VLOOKUP($A8,Results_30d_Deltas!$A$2:$H$5000,6,FALSE),"")</f>
        <v/>
      </c>
      <c r="L8" t="inlineStr">
        <is>
          <t>YES</t>
        </is>
      </c>
      <c r="IK8" t="inlineStr">
        <is>
          <t>ez_manage.py:4325 top()</t>
        </is>
      </c>
      <c r="IL8" t="inlineStr">
        <is>
          <t>v12_quick_engine.py:174 x6</t>
        </is>
      </c>
    </row>
    <row r="9">
      <c r="A9" t="inlineStr">
        <is>
          <t>ADX_RANGING_THRESHOLD</t>
        </is>
      </c>
      <c r="B9" t="inlineStr">
        <is>
          <t>20</t>
        </is>
      </c>
      <c r="D9" t="inlineStr">
        <is>
          <t>ENTRY, GLOBAL_CHECK, STOCKS_EXIT</t>
        </is>
      </c>
      <c r="G9">
        <f>IFERROR(VLOOKUP($A9&amp;"_"&amp;$B9,Results_Deltas!$A$2:$P$15000,5,FALSE),"")</f>
        <v/>
      </c>
      <c r="H9" t="inlineStr">
        <is>
          <t>Blanket (page end)</t>
        </is>
      </c>
      <c r="L9" t="inlineStr">
        <is>
          <t>NO</t>
        </is>
      </c>
    </row>
    <row r="10">
      <c r="A10" t="inlineStr">
        <is>
          <t>ADX_RANGING_THRESHOLD</t>
        </is>
      </c>
      <c r="B10" t="inlineStr">
        <is>
          <t>25</t>
        </is>
      </c>
      <c r="D10" t="inlineStr">
        <is>
          <t>ENTRY, GLOBAL_CHECK, STOCKS_EXIT</t>
        </is>
      </c>
      <c r="G10">
        <f>IFERROR(VLOOKUP($A10&amp;"_"&amp;$B10,Results_Deltas!$A$2:$P$15000,5,FALSE),"")</f>
        <v/>
      </c>
      <c r="H10" t="inlineStr">
        <is>
          <t>Blanket (page end)</t>
        </is>
      </c>
      <c r="L10" t="inlineStr">
        <is>
          <t>NO</t>
        </is>
      </c>
    </row>
    <row r="11">
      <c r="A11" t="inlineStr">
        <is>
          <t>ADX_RANGING_THRESHOLD</t>
        </is>
      </c>
      <c r="B11" t="inlineStr">
        <is>
          <t>15</t>
        </is>
      </c>
      <c r="D11" t="inlineStr">
        <is>
          <t>ENTRY, GLOBAL_CHECK, STOCKS_EXIT</t>
        </is>
      </c>
      <c r="G11">
        <f>IFERROR(VLOOKUP($A11&amp;"_"&amp;$B11,Results_Deltas!$A$2:$P$15000,5,FALSE),"")</f>
        <v/>
      </c>
      <c r="H11" t="inlineStr">
        <is>
          <t>Blanket (page end)</t>
        </is>
      </c>
      <c r="L11" t="inlineStr">
        <is>
          <t>NO</t>
        </is>
      </c>
    </row>
    <row r="12">
      <c r="A12" t="inlineStr">
        <is>
          <t>ADX_RANGING_THRESHOLD</t>
        </is>
      </c>
      <c r="B12" t="inlineStr">
        <is>
          <t>10</t>
        </is>
      </c>
      <c r="D12" t="inlineStr">
        <is>
          <t>ENTRY, GLOBAL_CHECK, STOCKS_EXIT</t>
        </is>
      </c>
      <c r="G12">
        <f>IFERROR(VLOOKUP($A12&amp;"_"&amp;$B12,Results_Deltas!$A$2:$P$15000,5,FALSE),"")</f>
        <v/>
      </c>
      <c r="H12" t="inlineStr">
        <is>
          <t>Blanket (page end)</t>
        </is>
      </c>
      <c r="L12" t="inlineStr">
        <is>
          <t>YES</t>
        </is>
      </c>
    </row>
    <row r="13">
      <c r="A13" t="inlineStr">
        <is>
          <t>BANDAID_OFF_LOSER_RECOVER_PCT</t>
        </is>
      </c>
      <c r="B13" t="inlineStr">
        <is>
          <t>0</t>
        </is>
      </c>
      <c r="D13" t="inlineStr">
        <is>
          <t>AUGMENT, ENTRY, EXIT, GLOBAL_CHECK, REDUCE, STOCKS_EXIT</t>
        </is>
      </c>
      <c r="G13">
        <f>IFERROR(VLOOKUP($A13&amp;"_"&amp;$B13,Results_Deltas!$A$2:$P$15000,5,FALSE),"")</f>
        <v/>
      </c>
      <c r="H13" t="inlineStr">
        <is>
          <t>Blanket (page end)</t>
        </is>
      </c>
      <c r="L13" t="inlineStr">
        <is>
          <t>NO</t>
        </is>
      </c>
    </row>
    <row r="14">
      <c r="A14" t="inlineStr">
        <is>
          <t>BANDAID_OFF_LOSER_RECOVER_PCT</t>
        </is>
      </c>
      <c r="B14" t="inlineStr">
        <is>
          <t>2.0</t>
        </is>
      </c>
      <c r="D14" t="inlineStr">
        <is>
          <t>AUGMENT, ENTRY, EXIT, GLOBAL_CHECK, REDUCE, STOCKS_EXIT</t>
        </is>
      </c>
      <c r="G14">
        <f>IFERROR(VLOOKUP($A14&amp;"_"&amp;$B14,Results_Deltas!$A$2:$P$15000,5,FALSE),"")</f>
        <v/>
      </c>
      <c r="H14" t="inlineStr">
        <is>
          <t>Blanket (page end)</t>
        </is>
      </c>
      <c r="L14" t="inlineStr">
        <is>
          <t>NO</t>
        </is>
      </c>
    </row>
    <row r="15">
      <c r="A15" t="inlineStr">
        <is>
          <t>BANDAID_OFF_LOSER_RECOVER_PCT</t>
        </is>
      </c>
      <c r="B15" t="inlineStr">
        <is>
          <t>1.0</t>
        </is>
      </c>
      <c r="D15" t="inlineStr">
        <is>
          <t>AUGMENT, ENTRY, EXIT, GLOBAL_CHECK, REDUCE, STOCKS_EXIT</t>
        </is>
      </c>
      <c r="G15">
        <f>IFERROR(VLOOKUP($A15&amp;"_"&amp;$B15,Results_Deltas!$A$2:$P$15000,5,FALSE),"")</f>
        <v/>
      </c>
      <c r="H15" t="inlineStr">
        <is>
          <t>Blanket (page end)</t>
        </is>
      </c>
      <c r="L15" t="inlineStr">
        <is>
          <t>NO</t>
        </is>
      </c>
    </row>
    <row r="16">
      <c r="A16" t="inlineStr">
        <is>
          <t>BANDAID_OFF_LOSER_RECOVER_PCT</t>
        </is>
      </c>
      <c r="B16" t="inlineStr">
        <is>
          <t>0.5</t>
        </is>
      </c>
      <c r="D16" t="inlineStr">
        <is>
          <t>AUGMENT, ENTRY, EXIT, GLOBAL_CHECK, REDUCE, STOCKS_EXIT</t>
        </is>
      </c>
      <c r="G16">
        <f>IFERROR(VLOOKUP($A16&amp;"_"&amp;$B16,Results_Deltas!$A$2:$P$15000,5,FALSE),"")</f>
        <v/>
      </c>
      <c r="H16" t="inlineStr">
        <is>
          <t>Blanket (page end)</t>
        </is>
      </c>
      <c r="L16" t="inlineStr">
        <is>
          <t>NO</t>
        </is>
      </c>
    </row>
    <row r="17">
      <c r="A17" t="inlineStr">
        <is>
          <t>BAND_ARROW_ENABLED</t>
        </is>
      </c>
      <c r="B17" t="inlineStr">
        <is>
          <t>False</t>
        </is>
      </c>
      <c r="D17" t="inlineStr">
        <is>
          <t>GLOBAL_CHECK, STOCKS_EXIT</t>
        </is>
      </c>
      <c r="G17">
        <f>IFERROR(VLOOKUP($A17&amp;"_"&amp;$B17,Results_Deltas!$A$2:$P$15000,5,FALSE),"")</f>
        <v/>
      </c>
      <c r="H17" t="inlineStr">
        <is>
          <t>Blanket (page end)</t>
        </is>
      </c>
      <c r="L17" t="inlineStr">
        <is>
          <t>YES</t>
        </is>
      </c>
    </row>
    <row r="18">
      <c r="A18" t="inlineStr">
        <is>
          <t>BAND_ARROW_ENABLED</t>
        </is>
      </c>
      <c r="B18" t="inlineStr">
        <is>
          <t>True</t>
        </is>
      </c>
      <c r="D18" t="inlineStr">
        <is>
          <t>GLOBAL_CHECK, STOCKS_EXIT</t>
        </is>
      </c>
      <c r="G18">
        <f>IFERROR(VLOOKUP($A18&amp;"_"&amp;$B18,Results_Deltas!$A$2:$P$15000,5,FALSE),"")</f>
        <v/>
      </c>
      <c r="H18" t="inlineStr">
        <is>
          <t>Blanket (page end)</t>
        </is>
      </c>
      <c r="L18" t="inlineStr">
        <is>
          <t>NO</t>
        </is>
      </c>
    </row>
    <row r="19">
      <c r="A19" t="inlineStr">
        <is>
          <t>BTC_ACCEL_RAMP_REQUIRE_POSITIVE</t>
        </is>
      </c>
      <c r="B19" t="inlineStr">
        <is>
          <t>0.0</t>
        </is>
      </c>
      <c r="D19" t="inlineStr">
        <is>
          <t>UNIVERSAL (ex-BTC) — ENTRY/EXIT/REENTRY</t>
        </is>
      </c>
      <c r="G19">
        <f>IFERROR(VLOOKUP($A19&amp;"_"&amp;$B19,Results_Deltas!$A$2:$P$15000,5,FALSE),"")</f>
        <v/>
      </c>
      <c r="H19" t="inlineStr">
        <is>
          <t>Blanket (page end)</t>
        </is>
      </c>
      <c r="L19" t="inlineStr">
        <is>
          <t>NO</t>
        </is>
      </c>
    </row>
    <row r="20">
      <c r="A20" t="inlineStr">
        <is>
          <t>BTC_ACCEL_RAMP_REQUIRE_POSITIVE</t>
        </is>
      </c>
      <c r="B20" t="inlineStr">
        <is>
          <t>0.0_ALT</t>
        </is>
      </c>
      <c r="D20" t="inlineStr">
        <is>
          <t>UNIVERSAL (ex-BTC) — ENTRY/EXIT/REENTRY</t>
        </is>
      </c>
      <c r="G20">
        <f>IFERROR(VLOOKUP($A20&amp;"_"&amp;$B20,Results_Deltas!$A$2:$P$15000,5,FALSE),"")</f>
        <v/>
      </c>
      <c r="H20" t="inlineStr">
        <is>
          <t>Blanket (page end)</t>
        </is>
      </c>
      <c r="L20" t="inlineStr">
        <is>
          <t>NO</t>
        </is>
      </c>
    </row>
    <row r="21" ht="15.75" customHeight="1" s="67">
      <c r="A21" t="inlineStr">
        <is>
          <t>BTC_HARD_BLOCK_OTHER_ACCOUNTS</t>
        </is>
      </c>
      <c r="B21" t="inlineStr">
        <is>
          <t>0.0</t>
        </is>
      </c>
      <c r="D21" t="inlineStr">
        <is>
          <t>UNIVERSAL (ex-BTC) — ENTRY/EXIT/REENTRY</t>
        </is>
      </c>
      <c r="G21">
        <f>IFERROR(VLOOKUP($A21&amp;"_"&amp;$B21,Results_Deltas!$A$2:$P$15000,5,FALSE),"")</f>
        <v/>
      </c>
      <c r="H21" t="inlineStr">
        <is>
          <t>Blanket (page end)</t>
        </is>
      </c>
      <c r="L21" t="inlineStr">
        <is>
          <t>NO</t>
        </is>
      </c>
    </row>
    <row r="22" ht="15.75" customHeight="1" s="67">
      <c r="A22" t="inlineStr">
        <is>
          <t>BTC_HARD_BLOCK_OTHER_ACCOUNTS</t>
        </is>
      </c>
      <c r="B22" t="inlineStr">
        <is>
          <t>0.0_ALT</t>
        </is>
      </c>
      <c r="D22" t="inlineStr">
        <is>
          <t>UNIVERSAL (ex-BTC) — ENTRY/EXIT/REENTRY</t>
        </is>
      </c>
      <c r="G22">
        <f>IFERROR(VLOOKUP($A22&amp;"_"&amp;$B22,Results_Deltas!$A$2:$P$15000,5,FALSE),"")</f>
        <v/>
      </c>
      <c r="H22" t="inlineStr">
        <is>
          <t>Blanket (page end)</t>
        </is>
      </c>
      <c r="L22" t="inlineStr">
        <is>
          <t>NO</t>
        </is>
      </c>
    </row>
    <row r="23" ht="15.75" customHeight="1" s="67">
      <c r="A23" t="inlineStr">
        <is>
          <t>BTC_ROUND_BANDS_EACH_SIDE</t>
        </is>
      </c>
      <c r="B23" t="inlineStr">
        <is>
          <t>0.0</t>
        </is>
      </c>
      <c r="D23" t="inlineStr">
        <is>
          <t>UNIVERSAL (ex-BTC) — ENTRY/EXIT/REENTRY</t>
        </is>
      </c>
      <c r="G23">
        <f>IFERROR(VLOOKUP($A23&amp;"_"&amp;$B23,Results_Deltas!$A$2:$P$15000,5,FALSE),"")</f>
        <v/>
      </c>
      <c r="H23" t="inlineStr">
        <is>
          <t>Blanket (page end)</t>
        </is>
      </c>
      <c r="L23" t="inlineStr">
        <is>
          <t>NO</t>
        </is>
      </c>
    </row>
    <row r="24" ht="15.75" customHeight="1" s="67">
      <c r="A24" t="inlineStr">
        <is>
          <t>BTC_ROUND_BANDS_EACH_SIDE</t>
        </is>
      </c>
      <c r="B24" t="inlineStr">
        <is>
          <t>0.0_ALT</t>
        </is>
      </c>
      <c r="D24" t="inlineStr">
        <is>
          <t>UNIVERSAL (ex-BTC) — ENTRY/EXIT/REENTRY</t>
        </is>
      </c>
      <c r="G24">
        <f>IFERROR(VLOOKUP($A24&amp;"_"&amp;$B24,Results_Deltas!$A$2:$P$15000,5,FALSE),"")</f>
        <v/>
      </c>
      <c r="H24" t="inlineStr">
        <is>
          <t>Blanket (page end)</t>
        </is>
      </c>
      <c r="L24" t="inlineStr">
        <is>
          <t>NO</t>
        </is>
      </c>
    </row>
    <row r="25" ht="15.75" customHeight="1" s="67">
      <c r="A25" t="inlineStr">
        <is>
          <t>COOLDOWN_LOCKS_FILTER_TF</t>
        </is>
      </c>
      <c r="B25" t="inlineStr">
        <is>
          <t>OFF</t>
        </is>
      </c>
      <c r="D25" t="inlineStr">
        <is>
          <t>GLOBAL_CHECK</t>
        </is>
      </c>
      <c r="G25">
        <f>IFERROR(VLOOKUP($A25&amp;"_"&amp;$B25,Results_Deltas!$A$2:$P$15000,5,FALSE),"")</f>
        <v/>
      </c>
      <c r="H25" t="inlineStr">
        <is>
          <t>Blanket (page end)</t>
        </is>
      </c>
      <c r="L25" t="inlineStr">
        <is>
          <t>NO</t>
        </is>
      </c>
    </row>
    <row r="26" ht="15.75" customHeight="1" s="67">
      <c r="A26" t="inlineStr">
        <is>
          <t>COOLDOWN_LOCKS_FILTER_TF</t>
        </is>
      </c>
      <c r="B26" t="inlineStr">
        <is>
          <t>D</t>
        </is>
      </c>
      <c r="D26" t="inlineStr">
        <is>
          <t>GLOBAL_CHECK</t>
        </is>
      </c>
      <c r="G26">
        <f>IFERROR(VLOOKUP($A26&amp;"_"&amp;$B26,Results_Deltas!$A$2:$P$15000,5,FALSE),"")</f>
        <v/>
      </c>
      <c r="H26" t="inlineStr">
        <is>
          <t>Blanket (page end)</t>
        </is>
      </c>
      <c r="L26" t="inlineStr">
        <is>
          <t>NO</t>
        </is>
      </c>
    </row>
    <row r="27" ht="15.75" customHeight="1" s="67">
      <c r="A27" t="inlineStr">
        <is>
          <t>COOLDOWN_LOCKS_FILTER_TF</t>
        </is>
      </c>
      <c r="B27" t="inlineStr">
        <is>
          <t>4h</t>
        </is>
      </c>
      <c r="D27" t="inlineStr">
        <is>
          <t>GLOBAL_CHECK</t>
        </is>
      </c>
      <c r="G27">
        <f>IFERROR(VLOOKUP($A27&amp;"_"&amp;$B27,Results_Deltas!$A$2:$P$15000,5,FALSE),"")</f>
        <v/>
      </c>
      <c r="H27" t="inlineStr">
        <is>
          <t>Blanket (page end)</t>
        </is>
      </c>
      <c r="L27" t="inlineStr">
        <is>
          <t>NO</t>
        </is>
      </c>
    </row>
    <row r="28" ht="15.75" customHeight="1" s="67">
      <c r="A28" t="inlineStr">
        <is>
          <t>COOLDOWN_LOCKS_FILTER_TF</t>
        </is>
      </c>
      <c r="B28" t="inlineStr">
        <is>
          <t>1h</t>
        </is>
      </c>
      <c r="D28" t="inlineStr">
        <is>
          <t>GLOBAL_CHECK</t>
        </is>
      </c>
      <c r="G28">
        <f>IFERROR(VLOOKUP($A28&amp;"_"&amp;$B28,Results_Deltas!$A$2:$P$15000,5,FALSE),"")</f>
        <v/>
      </c>
      <c r="H28" t="inlineStr">
        <is>
          <t>Blanket (page end)</t>
        </is>
      </c>
      <c r="L28" t="inlineStr">
        <is>
          <t>NO</t>
        </is>
      </c>
    </row>
    <row r="29" ht="15.75" customHeight="1" s="67">
      <c r="A29" t="inlineStr">
        <is>
          <t>COOLDOWN_LOCKS_FILTER_TF</t>
        </is>
      </c>
      <c r="B29" t="inlineStr">
        <is>
          <t>15m</t>
        </is>
      </c>
      <c r="D29" t="inlineStr">
        <is>
          <t>GLOBAL_CHECK</t>
        </is>
      </c>
      <c r="G29">
        <f>IFERROR(VLOOKUP($A29&amp;"_"&amp;$B29,Results_Deltas!$A$2:$P$15000,5,FALSE),"")</f>
        <v/>
      </c>
      <c r="H29" t="inlineStr">
        <is>
          <t>Blanket (page end)</t>
        </is>
      </c>
      <c r="L29" t="inlineStr">
        <is>
          <t>YES</t>
        </is>
      </c>
    </row>
    <row r="30" ht="15.75" customHeight="1" s="67">
      <c r="A30" t="inlineStr">
        <is>
          <t>CRYPTO_SPIKE_FADE_THRESHOLD_PCT</t>
        </is>
      </c>
      <c r="B30" t="inlineStr">
        <is>
          <t>10</t>
        </is>
      </c>
      <c r="D30" t="inlineStr">
        <is>
          <t>GLOBAL_CHECK, STOCKS_EXIT</t>
        </is>
      </c>
      <c r="G30">
        <f>IFERROR(VLOOKUP($A30&amp;"_"&amp;$B30,Results_Deltas!$A$2:$P$15000,5,FALSE),"")</f>
        <v/>
      </c>
      <c r="H30" t="inlineStr">
        <is>
          <t>Blanket (page end)</t>
        </is>
      </c>
      <c r="L30" t="inlineStr">
        <is>
          <t>YES</t>
        </is>
      </c>
    </row>
    <row r="31" ht="15.75" customHeight="1" s="67">
      <c r="A31" t="inlineStr">
        <is>
          <t>CRYPTO_SPIKE_FADE_THRESHOLD_PCT</t>
        </is>
      </c>
      <c r="B31" t="inlineStr">
        <is>
          <t>12.5</t>
        </is>
      </c>
      <c r="D31" t="inlineStr">
        <is>
          <t>GLOBAL_CHECK, STOCKS_EXIT</t>
        </is>
      </c>
      <c r="G31">
        <f>IFERROR(VLOOKUP($A31&amp;"_"&amp;$B31,Results_Deltas!$A$2:$P$15000,5,FALSE),"")</f>
        <v/>
      </c>
      <c r="H31" t="inlineStr">
        <is>
          <t>Blanket (page end)</t>
        </is>
      </c>
      <c r="L31" t="inlineStr">
        <is>
          <t>NO</t>
        </is>
      </c>
    </row>
    <row r="32" ht="15.75" customHeight="1" s="67">
      <c r="A32" t="inlineStr">
        <is>
          <t>CRYPTO_SPIKE_FADE_THRESHOLD_PCT</t>
        </is>
      </c>
      <c r="B32" t="inlineStr">
        <is>
          <t>7.5</t>
        </is>
      </c>
      <c r="D32" t="inlineStr">
        <is>
          <t>GLOBAL_CHECK, STOCKS_EXIT</t>
        </is>
      </c>
      <c r="G32">
        <f>IFERROR(VLOOKUP($A32&amp;"_"&amp;$B32,Results_Deltas!$A$2:$P$15000,5,FALSE),"")</f>
        <v/>
      </c>
      <c r="H32" t="inlineStr">
        <is>
          <t>Blanket (page end)</t>
        </is>
      </c>
      <c r="L32" t="inlineStr">
        <is>
          <t>NO</t>
        </is>
      </c>
    </row>
    <row r="33" ht="15.75" customHeight="1" s="67">
      <c r="A33" t="inlineStr">
        <is>
          <t>CRYPTO_SPIKE_FADE_THRESHOLD_PCT</t>
        </is>
      </c>
      <c r="B33" t="inlineStr">
        <is>
          <t>5</t>
        </is>
      </c>
      <c r="D33" t="inlineStr">
        <is>
          <t>GLOBAL_CHECK, STOCKS_EXIT</t>
        </is>
      </c>
      <c r="G33">
        <f>IFERROR(VLOOKUP($A33&amp;"_"&amp;$B33,Results_Deltas!$A$2:$P$15000,5,FALSE),"")</f>
        <v/>
      </c>
      <c r="H33" t="inlineStr">
        <is>
          <t>Blanket (page end)</t>
        </is>
      </c>
      <c r="L33" t="inlineStr">
        <is>
          <t>NO</t>
        </is>
      </c>
    </row>
    <row r="34" ht="15.75" customHeight="1" s="67">
      <c r="A34" t="inlineStr">
        <is>
          <t>DC_MOMENT_STRONG_THRESHOLD</t>
        </is>
      </c>
      <c r="B34" t="inlineStr">
        <is>
          <t>40</t>
        </is>
      </c>
      <c r="D34" t="inlineStr">
        <is>
          <t>ENTRY, GLOBAL_CHECK, STOCKS_EXIT</t>
        </is>
      </c>
      <c r="G34">
        <f>IFERROR(VLOOKUP($A34&amp;"_"&amp;$B34,Results_Deltas!$A$2:$P$15000,5,FALSE),"")</f>
        <v/>
      </c>
      <c r="H34" t="inlineStr">
        <is>
          <t>Blanket (page end)</t>
        </is>
      </c>
      <c r="L34" t="inlineStr">
        <is>
          <t>YES</t>
        </is>
      </c>
    </row>
    <row r="35" ht="15.75" customHeight="1" s="67">
      <c r="A35" t="inlineStr">
        <is>
          <t>DC_MOMENT_STRONG_THRESHOLD</t>
        </is>
      </c>
      <c r="B35" t="inlineStr">
        <is>
          <t>50</t>
        </is>
      </c>
      <c r="D35" t="inlineStr">
        <is>
          <t>ENTRY, GLOBAL_CHECK, STOCKS_EXIT</t>
        </is>
      </c>
      <c r="G35">
        <f>IFERROR(VLOOKUP($A35&amp;"_"&amp;$B35,Results_Deltas!$A$2:$P$15000,5,FALSE),"")</f>
        <v/>
      </c>
      <c r="H35" t="inlineStr">
        <is>
          <t>Blanket (page end)</t>
        </is>
      </c>
      <c r="L35" t="inlineStr">
        <is>
          <t>NO</t>
        </is>
      </c>
    </row>
    <row r="36" ht="15.75" customHeight="1" s="67">
      <c r="A36" t="inlineStr">
        <is>
          <t>DC_MOMENT_STRONG_THRESHOLD</t>
        </is>
      </c>
      <c r="B36" t="inlineStr">
        <is>
          <t>30</t>
        </is>
      </c>
      <c r="D36" t="inlineStr">
        <is>
          <t>ENTRY, GLOBAL_CHECK, STOCKS_EXIT</t>
        </is>
      </c>
      <c r="G36">
        <f>IFERROR(VLOOKUP($A36&amp;"_"&amp;$B36,Results_Deltas!$A$2:$P$15000,5,FALSE),"")</f>
        <v/>
      </c>
      <c r="H36" t="inlineStr">
        <is>
          <t>Blanket (page end)</t>
        </is>
      </c>
      <c r="L36" t="inlineStr">
        <is>
          <t>NO</t>
        </is>
      </c>
    </row>
    <row r="37" ht="15.75" customHeight="1" s="67">
      <c r="A37" t="inlineStr">
        <is>
          <t>DC_MOMENT_STRONG_THRESHOLD</t>
        </is>
      </c>
      <c r="B37" t="inlineStr">
        <is>
          <t>20</t>
        </is>
      </c>
      <c r="D37" t="inlineStr">
        <is>
          <t>ENTRY, GLOBAL_CHECK, STOCKS_EXIT</t>
        </is>
      </c>
      <c r="G37">
        <f>IFERROR(VLOOKUP($A37&amp;"_"&amp;$B37,Results_Deltas!$A$2:$P$15000,5,FALSE),"")</f>
        <v/>
      </c>
      <c r="H37" t="inlineStr">
        <is>
          <t>Blanket (page end)</t>
        </is>
      </c>
      <c r="L37" t="inlineStr">
        <is>
          <t>NO</t>
        </is>
      </c>
    </row>
    <row r="38" ht="15.75" customHeight="1" s="67">
      <c r="A38" t="inlineStr">
        <is>
          <t>DELTA_HTF_GATE</t>
        </is>
      </c>
      <c r="B38" t="inlineStr">
        <is>
          <t>4h</t>
        </is>
      </c>
      <c r="D38" t="inlineStr">
        <is>
          <t>ENTRY, GLOBAL_CHECK, STOCKS_EXIT</t>
        </is>
      </c>
      <c r="G38">
        <f>IFERROR(VLOOKUP($A38&amp;"_"&amp;$B38,Results_Deltas!$A$2:$P$15000,5,FALSE),"")</f>
        <v/>
      </c>
      <c r="H38" t="inlineStr">
        <is>
          <t>Blanket (page end)</t>
        </is>
      </c>
      <c r="L38" t="inlineStr">
        <is>
          <t>NO</t>
        </is>
      </c>
    </row>
    <row r="39" ht="15.75" customHeight="1" s="67">
      <c r="A39" t="inlineStr">
        <is>
          <t>DELTA_HTF_GATE</t>
        </is>
      </c>
      <c r="B39" t="inlineStr">
        <is>
          <t>4h_ALT</t>
        </is>
      </c>
      <c r="D39" t="inlineStr">
        <is>
          <t>ENTRY, GLOBAL_CHECK, STOCKS_EXIT</t>
        </is>
      </c>
      <c r="G39">
        <f>IFERROR(VLOOKUP($A39&amp;"_"&amp;$B39,Results_Deltas!$A$2:$P$15000,5,FALSE),"")</f>
        <v/>
      </c>
      <c r="H39" t="inlineStr">
        <is>
          <t>Blanket (page end)</t>
        </is>
      </c>
      <c r="L39" t="inlineStr">
        <is>
          <t>NO</t>
        </is>
      </c>
    </row>
    <row r="40" ht="15.75" customHeight="1" s="67">
      <c r="A40" t="inlineStr">
        <is>
          <t>DELTA_REENTRY_FILTER_ENABLED</t>
        </is>
      </c>
      <c r="B40" t="inlineStr">
        <is>
          <t>False</t>
        </is>
      </c>
      <c r="D40" t="inlineStr">
        <is>
          <t>ENTRY, GLOBAL_CHECK, STOCKS_EXIT</t>
        </is>
      </c>
      <c r="G40">
        <f>IFERROR(VLOOKUP($A40&amp;"_"&amp;$B40,Results_Deltas!$A$2:$P$15000,5,FALSE),"")</f>
        <v/>
      </c>
      <c r="H40" t="inlineStr">
        <is>
          <t>Blanket (page end)</t>
        </is>
      </c>
      <c r="L40" t="inlineStr">
        <is>
          <t>YES</t>
        </is>
      </c>
    </row>
    <row r="41" ht="15.75" customHeight="1" s="67">
      <c r="A41" t="inlineStr">
        <is>
          <t>DELTA_REENTRY_FILTER_ENABLED</t>
        </is>
      </c>
      <c r="B41" t="inlineStr">
        <is>
          <t>True</t>
        </is>
      </c>
      <c r="D41" t="inlineStr">
        <is>
          <t>ENTRY, GLOBAL_CHECK, STOCKS_EXIT</t>
        </is>
      </c>
      <c r="G41">
        <f>IFERROR(VLOOKUP($A41&amp;"_"&amp;$B41,Results_Deltas!$A$2:$P$15000,5,FALSE),"")</f>
        <v/>
      </c>
      <c r="H41" t="inlineStr">
        <is>
          <t>Blanket (page end)</t>
        </is>
      </c>
      <c r="L41" t="inlineStr">
        <is>
          <t>NO</t>
        </is>
      </c>
    </row>
    <row r="42" ht="15.75" customHeight="1" s="67">
      <c r="A42" t="inlineStr">
        <is>
          <t>DUP_GUARD_FILTER_TF</t>
        </is>
      </c>
      <c r="B42" t="inlineStr">
        <is>
          <t>OFF</t>
        </is>
      </c>
      <c r="D42" t="inlineStr">
        <is>
          <t>GLOBAL_CHECK</t>
        </is>
      </c>
      <c r="G42">
        <f>IFERROR(VLOOKUP($A42&amp;"_"&amp;$B42,Results_Deltas!$A$2:$P$15000,5,FALSE),"")</f>
        <v/>
      </c>
      <c r="H42" t="inlineStr">
        <is>
          <t>Blanket (page end)</t>
        </is>
      </c>
      <c r="L42" t="inlineStr">
        <is>
          <t>NO</t>
        </is>
      </c>
    </row>
    <row r="43" ht="15.75" customHeight="1" s="67">
      <c r="A43" t="inlineStr">
        <is>
          <t>DUP_GUARD_FILTER_TF</t>
        </is>
      </c>
      <c r="B43" t="inlineStr">
        <is>
          <t>D</t>
        </is>
      </c>
      <c r="D43" t="inlineStr">
        <is>
          <t>GLOBAL_CHECK</t>
        </is>
      </c>
      <c r="G43">
        <f>IFERROR(VLOOKUP($A43&amp;"_"&amp;$B43,Results_Deltas!$A$2:$P$15000,5,FALSE),"")</f>
        <v/>
      </c>
      <c r="H43" t="inlineStr">
        <is>
          <t>Blanket (page end)</t>
        </is>
      </c>
      <c r="L43" t="inlineStr">
        <is>
          <t>NO</t>
        </is>
      </c>
    </row>
    <row r="44" ht="15.75" customHeight="1" s="67">
      <c r="A44" t="inlineStr">
        <is>
          <t>DUP_GUARD_FILTER_TF</t>
        </is>
      </c>
      <c r="B44" t="inlineStr">
        <is>
          <t>4h</t>
        </is>
      </c>
      <c r="D44" t="inlineStr">
        <is>
          <t>GLOBAL_CHECK</t>
        </is>
      </c>
      <c r="G44">
        <f>IFERROR(VLOOKUP($A44&amp;"_"&amp;$B44,Results_Deltas!$A$2:$P$15000,5,FALSE),"")</f>
        <v/>
      </c>
      <c r="H44" t="inlineStr">
        <is>
          <t>Blanket (page end)</t>
        </is>
      </c>
      <c r="L44" t="inlineStr">
        <is>
          <t>NO</t>
        </is>
      </c>
    </row>
    <row r="45" ht="15.75" customHeight="1" s="67">
      <c r="A45" t="inlineStr">
        <is>
          <t>DUP_GUARD_FILTER_TF</t>
        </is>
      </c>
      <c r="B45" t="inlineStr">
        <is>
          <t>1h</t>
        </is>
      </c>
      <c r="D45" t="inlineStr">
        <is>
          <t>GLOBAL_CHECK</t>
        </is>
      </c>
      <c r="G45">
        <f>IFERROR(VLOOKUP($A45&amp;"_"&amp;$B45,Results_Deltas!$A$2:$P$15000,5,FALSE),"")</f>
        <v/>
      </c>
      <c r="H45" t="inlineStr">
        <is>
          <t>Blanket (page end)</t>
        </is>
      </c>
      <c r="L45" t="inlineStr">
        <is>
          <t>NO</t>
        </is>
      </c>
    </row>
    <row r="46" ht="15.75" customHeight="1" s="67">
      <c r="A46" t="inlineStr">
        <is>
          <t>DUP_GUARD_FILTER_TF</t>
        </is>
      </c>
      <c r="B46" t="inlineStr">
        <is>
          <t>15m</t>
        </is>
      </c>
      <c r="D46" t="inlineStr">
        <is>
          <t>GLOBAL_CHECK</t>
        </is>
      </c>
      <c r="G46">
        <f>IFERROR(VLOOKUP($A46&amp;"_"&amp;$B46,Results_Deltas!$A$2:$P$15000,5,FALSE),"")</f>
        <v/>
      </c>
      <c r="H46" t="inlineStr">
        <is>
          <t>Blanket (page end)</t>
        </is>
      </c>
      <c r="L46" t="inlineStr">
        <is>
          <t>YES</t>
        </is>
      </c>
    </row>
    <row r="47" ht="15.75" customHeight="1" s="67">
      <c r="A47" t="inlineStr">
        <is>
          <t>EMA_9_21_FILTER_MIN_TFS</t>
        </is>
      </c>
      <c r="B47" t="inlineStr">
        <is>
          <t>0</t>
        </is>
      </c>
      <c r="D47" t="inlineStr">
        <is>
          <t>GLOBAL_CHECK</t>
        </is>
      </c>
      <c r="G47">
        <f>IFERROR(VLOOKUP($A47&amp;"_"&amp;$B47,Results_Deltas!$A$2:$P$15000,5,FALSE),"")</f>
        <v/>
      </c>
      <c r="H47" t="inlineStr">
        <is>
          <t>Blanket (page end)</t>
        </is>
      </c>
      <c r="L47" t="inlineStr">
        <is>
          <t>NO</t>
        </is>
      </c>
    </row>
    <row r="48" ht="15.75" customHeight="1" s="67">
      <c r="A48" t="inlineStr">
        <is>
          <t>EMA_9_21_FILTER_MIN_TFS</t>
        </is>
      </c>
      <c r="B48" t="inlineStr">
        <is>
          <t>2</t>
        </is>
      </c>
      <c r="D48" t="inlineStr">
        <is>
          <t>GLOBAL_CHECK</t>
        </is>
      </c>
      <c r="G48">
        <f>IFERROR(VLOOKUP($A48&amp;"_"&amp;$B48,Results_Deltas!$A$2:$P$15000,5,FALSE),"")</f>
        <v/>
      </c>
      <c r="H48" t="inlineStr">
        <is>
          <t>Blanket (page end)</t>
        </is>
      </c>
      <c r="L48" t="inlineStr">
        <is>
          <t>NO</t>
        </is>
      </c>
    </row>
    <row r="49" ht="15.75" customHeight="1" s="67">
      <c r="A49" t="inlineStr">
        <is>
          <t>EMA_9_21_FILTER_MIN_TFS</t>
        </is>
      </c>
      <c r="B49" t="inlineStr">
        <is>
          <t>1</t>
        </is>
      </c>
      <c r="D49" t="inlineStr">
        <is>
          <t>GLOBAL_CHECK</t>
        </is>
      </c>
      <c r="G49">
        <f>IFERROR(VLOOKUP($A49&amp;"_"&amp;$B49,Results_Deltas!$A$2:$P$15000,5,FALSE),"")</f>
        <v/>
      </c>
      <c r="H49" t="inlineStr">
        <is>
          <t>Blanket (page end)</t>
        </is>
      </c>
      <c r="L49" t="inlineStr">
        <is>
          <t>NO</t>
        </is>
      </c>
    </row>
    <row r="50" ht="15.75" customHeight="1" s="67">
      <c r="A50" t="inlineStr">
        <is>
          <t>EMA_BLANKET_FILTER_ENABLED</t>
        </is>
      </c>
      <c r="B50" t="inlineStr">
        <is>
          <t>False</t>
        </is>
      </c>
      <c r="D50" t="inlineStr">
        <is>
          <t>GLOBAL_CHECK</t>
        </is>
      </c>
      <c r="G50">
        <f>IFERROR(VLOOKUP($A50&amp;"_"&amp;$B50,Results_Deltas!$A$2:$P$15000,5,FALSE),"")</f>
        <v/>
      </c>
      <c r="H50" t="inlineStr">
        <is>
          <t>Blanket (page end)</t>
        </is>
      </c>
      <c r="L50" t="inlineStr">
        <is>
          <t>NO</t>
        </is>
      </c>
    </row>
    <row r="51" ht="15.75" customHeight="1" s="67">
      <c r="A51" t="inlineStr">
        <is>
          <t>EMA_BLANKET_FILTER_ENABLED</t>
        </is>
      </c>
      <c r="B51" t="inlineStr">
        <is>
          <t>True</t>
        </is>
      </c>
      <c r="D51" t="inlineStr">
        <is>
          <t>GLOBAL_CHECK</t>
        </is>
      </c>
      <c r="G51">
        <f>IFERROR(VLOOKUP($A51&amp;"_"&amp;$B51,Results_Deltas!$A$2:$P$15000,5,FALSE),"")</f>
        <v/>
      </c>
      <c r="H51" t="inlineStr">
        <is>
          <t>Blanket (page end)</t>
        </is>
      </c>
      <c r="L51" t="inlineStr">
        <is>
          <t>YES</t>
        </is>
      </c>
    </row>
    <row r="52" ht="15.75" customHeight="1" s="67">
      <c r="A52" t="inlineStr">
        <is>
          <t>EMA_BLANKET_FILTER_MIN_TFS</t>
        </is>
      </c>
      <c r="B52" t="inlineStr">
        <is>
          <t>0</t>
        </is>
      </c>
      <c r="D52" t="inlineStr">
        <is>
          <t>GLOBAL_CHECK</t>
        </is>
      </c>
      <c r="G52">
        <f>IFERROR(VLOOKUP($A52&amp;"_"&amp;$B52,Results_Deltas!$A$2:$P$15000,5,FALSE),"")</f>
        <v/>
      </c>
      <c r="H52" t="inlineStr">
        <is>
          <t>Blanket (page end)</t>
        </is>
      </c>
      <c r="L52" t="inlineStr">
        <is>
          <t>NO</t>
        </is>
      </c>
    </row>
    <row r="53" ht="15.75" customHeight="1" s="67">
      <c r="A53" t="inlineStr">
        <is>
          <t>EMA_BLANKET_FILTER_MIN_TFS</t>
        </is>
      </c>
      <c r="B53" t="inlineStr">
        <is>
          <t>2</t>
        </is>
      </c>
      <c r="D53" t="inlineStr">
        <is>
          <t>GLOBAL_CHECK</t>
        </is>
      </c>
      <c r="G53">
        <f>IFERROR(VLOOKUP($A53&amp;"_"&amp;$B53,Results_Deltas!$A$2:$P$15000,5,FALSE),"")</f>
        <v/>
      </c>
      <c r="H53" t="inlineStr">
        <is>
          <t>Blanket (page end)</t>
        </is>
      </c>
      <c r="L53" t="inlineStr">
        <is>
          <t>NO</t>
        </is>
      </c>
    </row>
    <row r="54" ht="15.75" customHeight="1" s="67">
      <c r="A54" t="inlineStr">
        <is>
          <t>EMA_BLANKET_FILTER_MIN_TFS</t>
        </is>
      </c>
      <c r="B54" t="inlineStr">
        <is>
          <t>1</t>
        </is>
      </c>
      <c r="D54" t="inlineStr">
        <is>
          <t>GLOBAL_CHECK</t>
        </is>
      </c>
      <c r="G54">
        <f>IFERROR(VLOOKUP($A54&amp;"_"&amp;$B54,Results_Deltas!$A$2:$P$15000,5,FALSE),"")</f>
        <v/>
      </c>
      <c r="H54" t="inlineStr">
        <is>
          <t>Blanket (page end)</t>
        </is>
      </c>
      <c r="L54" t="inlineStr">
        <is>
          <t>NO</t>
        </is>
      </c>
    </row>
    <row r="55" ht="15.75" customHeight="1" s="67">
      <c r="A55" t="inlineStr">
        <is>
          <t>EXECUTE_NOW_SINGLE_GATE_ENFORCE</t>
        </is>
      </c>
      <c r="B55" t="inlineStr">
        <is>
          <t>0.0</t>
        </is>
      </c>
      <c r="D55" t="inlineStr">
        <is>
          <t>ENTRY, GLOBAL_CHECK, STOCKS_EXIT</t>
        </is>
      </c>
      <c r="G55">
        <f>IFERROR(VLOOKUP($A55&amp;"_"&amp;$B55,Results_Deltas!$A$2:$P$15000,5,FALSE),"")</f>
        <v/>
      </c>
      <c r="H55" t="inlineStr">
        <is>
          <t>Blanket (page end)</t>
        </is>
      </c>
      <c r="L55" t="inlineStr">
        <is>
          <t>NO</t>
        </is>
      </c>
    </row>
    <row r="56" ht="15.75" customHeight="1" s="67">
      <c r="A56" t="inlineStr">
        <is>
          <t>EXECUTE_NOW_SINGLE_GATE_ENFORCE</t>
        </is>
      </c>
      <c r="B56" t="inlineStr">
        <is>
          <t>0.0_ALT</t>
        </is>
      </c>
      <c r="D56" t="inlineStr">
        <is>
          <t>ENTRY, GLOBAL_CHECK, STOCKS_EXIT</t>
        </is>
      </c>
      <c r="G56">
        <f>IFERROR(VLOOKUP($A56&amp;"_"&amp;$B56,Results_Deltas!$A$2:$P$15000,5,FALSE),"")</f>
        <v/>
      </c>
      <c r="H56" t="inlineStr">
        <is>
          <t>Blanket (page end)</t>
        </is>
      </c>
      <c r="L56" t="inlineStr">
        <is>
          <t>NO</t>
        </is>
      </c>
    </row>
    <row r="57" ht="15.75" customHeight="1" s="67">
      <c r="A57" t="inlineStr">
        <is>
          <t>EZ_MANAGE_THROTTLER_RATE</t>
        </is>
      </c>
      <c r="B57" t="inlineStr">
        <is>
          <t>0.0</t>
        </is>
      </c>
      <c r="D57" t="inlineStr">
        <is>
          <t>GLOBAL_CHECK, STOCKS_EXIT</t>
        </is>
      </c>
      <c r="G57">
        <f>IFERROR(VLOOKUP($A57&amp;"_"&amp;$B57,Results_Deltas!$A$2:$P$15000,5,FALSE),"")</f>
        <v/>
      </c>
      <c r="H57" t="inlineStr">
        <is>
          <t>Blanket (page end)</t>
        </is>
      </c>
      <c r="L57" t="inlineStr">
        <is>
          <t>NO</t>
        </is>
      </c>
    </row>
    <row r="58" ht="15.75" customHeight="1" s="67">
      <c r="A58" t="inlineStr">
        <is>
          <t>EZ_MANAGE_THROTTLER_RATE</t>
        </is>
      </c>
      <c r="B58" t="inlineStr">
        <is>
          <t>0.0_ALT</t>
        </is>
      </c>
      <c r="D58" t="inlineStr">
        <is>
          <t>GLOBAL_CHECK, STOCKS_EXIT</t>
        </is>
      </c>
      <c r="G58">
        <f>IFERROR(VLOOKUP($A58&amp;"_"&amp;$B58,Results_Deltas!$A$2:$P$15000,5,FALSE),"")</f>
        <v/>
      </c>
      <c r="H58" t="inlineStr">
        <is>
          <t>Blanket (page end)</t>
        </is>
      </c>
      <c r="L58" t="inlineStr">
        <is>
          <t>NO</t>
        </is>
      </c>
    </row>
    <row r="59" ht="15.75" customHeight="1" s="67">
      <c r="A59" t="inlineStr">
        <is>
          <t>FG_FEAR_THRESHOLD</t>
        </is>
      </c>
      <c r="B59" t="inlineStr">
        <is>
          <t>25</t>
        </is>
      </c>
      <c r="D59" t="inlineStr">
        <is>
          <t>GLOBAL_CHECK, STOCKS_EXIT</t>
        </is>
      </c>
      <c r="G59">
        <f>IFERROR(VLOOKUP($A59&amp;"_"&amp;$B59,Results_Deltas!$A$2:$P$15000,5,FALSE),"")</f>
        <v/>
      </c>
      <c r="H59" t="inlineStr">
        <is>
          <t>Blanket (page end)</t>
        </is>
      </c>
      <c r="L59" t="inlineStr">
        <is>
          <t>YES</t>
        </is>
      </c>
    </row>
    <row r="60" ht="15.75" customHeight="1" s="67">
      <c r="A60" t="inlineStr">
        <is>
          <t>FG_FEAR_THRESHOLD</t>
        </is>
      </c>
      <c r="B60" t="inlineStr">
        <is>
          <t>31.25</t>
        </is>
      </c>
      <c r="D60" t="inlineStr">
        <is>
          <t>GLOBAL_CHECK, STOCKS_EXIT</t>
        </is>
      </c>
      <c r="G60">
        <f>IFERROR(VLOOKUP($A60&amp;"_"&amp;$B60,Results_Deltas!$A$2:$P$15000,5,FALSE),"")</f>
        <v/>
      </c>
      <c r="H60" t="inlineStr">
        <is>
          <t>Blanket (page end)</t>
        </is>
      </c>
      <c r="L60" t="inlineStr">
        <is>
          <t>NO</t>
        </is>
      </c>
    </row>
    <row r="61" ht="15.75" customHeight="1" s="67">
      <c r="A61" t="inlineStr">
        <is>
          <t>FG_FEAR_THRESHOLD</t>
        </is>
      </c>
      <c r="B61" t="inlineStr">
        <is>
          <t>18.75</t>
        </is>
      </c>
      <c r="D61" t="inlineStr">
        <is>
          <t>GLOBAL_CHECK, STOCKS_EXIT</t>
        </is>
      </c>
      <c r="G61">
        <f>IFERROR(VLOOKUP($A61&amp;"_"&amp;$B61,Results_Deltas!$A$2:$P$15000,5,FALSE),"")</f>
        <v/>
      </c>
      <c r="H61" t="inlineStr">
        <is>
          <t>Blanket (page end)</t>
        </is>
      </c>
      <c r="L61" t="inlineStr">
        <is>
          <t>NO</t>
        </is>
      </c>
    </row>
    <row r="62" ht="15.75" customHeight="1" s="67">
      <c r="A62" t="inlineStr">
        <is>
          <t>FG_FEAR_THRESHOLD</t>
        </is>
      </c>
      <c r="B62" t="inlineStr">
        <is>
          <t>12.5</t>
        </is>
      </c>
      <c r="D62" t="inlineStr">
        <is>
          <t>GLOBAL_CHECK, STOCKS_EXIT</t>
        </is>
      </c>
      <c r="G62">
        <f>IFERROR(VLOOKUP($A62&amp;"_"&amp;$B62,Results_Deltas!$A$2:$P$15000,5,FALSE),"")</f>
        <v/>
      </c>
      <c r="H62" t="inlineStr">
        <is>
          <t>Blanket (page end)</t>
        </is>
      </c>
      <c r="L62" t="inlineStr">
        <is>
          <t>NO</t>
        </is>
      </c>
    </row>
    <row r="63" ht="15.75" customHeight="1" s="67">
      <c r="A63" t="inlineStr">
        <is>
          <t>FG_GREED_THRESHOLD</t>
        </is>
      </c>
      <c r="B63" t="inlineStr">
        <is>
          <t>75</t>
        </is>
      </c>
      <c r="D63" t="inlineStr">
        <is>
          <t>GLOBAL_CHECK, STOCKS_EXIT</t>
        </is>
      </c>
      <c r="G63">
        <f>IFERROR(VLOOKUP($A63&amp;"_"&amp;$B63,Results_Deltas!$A$2:$P$15000,5,FALSE),"")</f>
        <v/>
      </c>
      <c r="H63" t="inlineStr">
        <is>
          <t>Blanket (page end)</t>
        </is>
      </c>
      <c r="L63" t="inlineStr">
        <is>
          <t>YES</t>
        </is>
      </c>
    </row>
    <row r="64" ht="15.75" customHeight="1" s="67">
      <c r="A64" t="inlineStr">
        <is>
          <t>FG_GREED_THRESHOLD</t>
        </is>
      </c>
      <c r="B64" t="inlineStr">
        <is>
          <t>93.75</t>
        </is>
      </c>
      <c r="D64" t="inlineStr">
        <is>
          <t>GLOBAL_CHECK, STOCKS_EXIT</t>
        </is>
      </c>
      <c r="G64">
        <f>IFERROR(VLOOKUP($A64&amp;"_"&amp;$B64,Results_Deltas!$A$2:$P$15000,5,FALSE),"")</f>
        <v/>
      </c>
      <c r="H64" t="inlineStr">
        <is>
          <t>Blanket (page end)</t>
        </is>
      </c>
      <c r="L64" t="inlineStr">
        <is>
          <t>NO</t>
        </is>
      </c>
    </row>
    <row r="65" ht="15.75" customHeight="1" s="67">
      <c r="A65" t="inlineStr">
        <is>
          <t>FG_GREED_THRESHOLD</t>
        </is>
      </c>
      <c r="B65" t="inlineStr">
        <is>
          <t>56.25</t>
        </is>
      </c>
      <c r="D65" t="inlineStr">
        <is>
          <t>GLOBAL_CHECK, STOCKS_EXIT</t>
        </is>
      </c>
      <c r="G65">
        <f>IFERROR(VLOOKUP($A65&amp;"_"&amp;$B65,Results_Deltas!$A$2:$P$15000,5,FALSE),"")</f>
        <v/>
      </c>
      <c r="H65" t="inlineStr">
        <is>
          <t>Blanket (page end)</t>
        </is>
      </c>
      <c r="L65" t="inlineStr">
        <is>
          <t>NO</t>
        </is>
      </c>
    </row>
    <row r="66" ht="15.75" customHeight="1" s="67">
      <c r="A66" t="inlineStr">
        <is>
          <t>FG_GREED_THRESHOLD</t>
        </is>
      </c>
      <c r="B66" t="inlineStr">
        <is>
          <t>37.5</t>
        </is>
      </c>
      <c r="D66" t="inlineStr">
        <is>
          <t>GLOBAL_CHECK, STOCKS_EXIT</t>
        </is>
      </c>
      <c r="G66">
        <f>IFERROR(VLOOKUP($A66&amp;"_"&amp;$B66,Results_Deltas!$A$2:$P$15000,5,FALSE),"")</f>
        <v/>
      </c>
      <c r="H66" t="inlineStr">
        <is>
          <t>Blanket (page end)</t>
        </is>
      </c>
      <c r="L66" t="inlineStr">
        <is>
          <t>NO</t>
        </is>
      </c>
    </row>
    <row r="67" ht="15.75" customHeight="1" s="67">
      <c r="A67" t="inlineStr">
        <is>
          <t>FUNDING_GATE_FILTER_TF</t>
        </is>
      </c>
      <c r="B67" t="inlineStr">
        <is>
          <t>OFF</t>
        </is>
      </c>
      <c r="D67" t="inlineStr">
        <is>
          <t>GLOBAL_CHECK</t>
        </is>
      </c>
      <c r="G67">
        <f>IFERROR(VLOOKUP($A67&amp;"_"&amp;$B67,Results_Deltas!$A$2:$P$15000,5,FALSE),"")</f>
        <v/>
      </c>
      <c r="H67" t="inlineStr">
        <is>
          <t>Blanket (page end)</t>
        </is>
      </c>
      <c r="L67" t="inlineStr">
        <is>
          <t>NO</t>
        </is>
      </c>
    </row>
    <row r="68" ht="15.75" customHeight="1" s="67">
      <c r="A68" t="inlineStr">
        <is>
          <t>FUNDING_GATE_FILTER_TF</t>
        </is>
      </c>
      <c r="B68" t="inlineStr">
        <is>
          <t>D</t>
        </is>
      </c>
      <c r="D68" t="inlineStr">
        <is>
          <t>GLOBAL_CHECK</t>
        </is>
      </c>
      <c r="G68">
        <f>IFERROR(VLOOKUP($A68&amp;"_"&amp;$B68,Results_Deltas!$A$2:$P$15000,5,FALSE),"")</f>
        <v/>
      </c>
      <c r="H68" t="inlineStr">
        <is>
          <t>Blanket (page end)</t>
        </is>
      </c>
      <c r="L68" t="inlineStr">
        <is>
          <t>NO</t>
        </is>
      </c>
    </row>
    <row r="69" ht="15.75" customHeight="1" s="67">
      <c r="A69" t="inlineStr">
        <is>
          <t>FUNDING_GATE_FILTER_TF</t>
        </is>
      </c>
      <c r="B69" t="inlineStr">
        <is>
          <t>4h</t>
        </is>
      </c>
      <c r="D69" t="inlineStr">
        <is>
          <t>GLOBAL_CHECK</t>
        </is>
      </c>
      <c r="G69">
        <f>IFERROR(VLOOKUP($A69&amp;"_"&amp;$B69,Results_Deltas!$A$2:$P$15000,5,FALSE),"")</f>
        <v/>
      </c>
      <c r="H69" t="inlineStr">
        <is>
          <t>Blanket (page end)</t>
        </is>
      </c>
      <c r="L69" t="inlineStr">
        <is>
          <t>NO</t>
        </is>
      </c>
    </row>
    <row r="70" ht="15.75" customHeight="1" s="67">
      <c r="A70" t="inlineStr">
        <is>
          <t>FUNDING_GATE_FILTER_TF</t>
        </is>
      </c>
      <c r="B70" t="inlineStr">
        <is>
          <t>1h</t>
        </is>
      </c>
      <c r="D70" t="inlineStr">
        <is>
          <t>GLOBAL_CHECK</t>
        </is>
      </c>
      <c r="G70">
        <f>IFERROR(VLOOKUP($A70&amp;"_"&amp;$B70,Results_Deltas!$A$2:$P$15000,5,FALSE),"")</f>
        <v/>
      </c>
      <c r="H70" t="inlineStr">
        <is>
          <t>Blanket (page end)</t>
        </is>
      </c>
      <c r="L70" t="inlineStr">
        <is>
          <t>NO</t>
        </is>
      </c>
    </row>
    <row r="71" ht="15.75" customHeight="1" s="67">
      <c r="A71" t="inlineStr">
        <is>
          <t>FUNDING_GATE_FILTER_TF</t>
        </is>
      </c>
      <c r="B71" t="inlineStr">
        <is>
          <t>15m</t>
        </is>
      </c>
      <c r="D71" t="inlineStr">
        <is>
          <t>GLOBAL_CHECK</t>
        </is>
      </c>
      <c r="G71">
        <f>IFERROR(VLOOKUP($A71&amp;"_"&amp;$B71,Results_Deltas!$A$2:$P$15000,5,FALSE),"")</f>
        <v/>
      </c>
      <c r="H71" t="inlineStr">
        <is>
          <t>Blanket (page end)</t>
        </is>
      </c>
      <c r="L71" t="inlineStr">
        <is>
          <t>YES</t>
        </is>
      </c>
    </row>
    <row r="72" ht="15.75" customHeight="1" s="67">
      <c r="A72" t="inlineStr">
        <is>
          <t>FUNDING_GATE_LONG_MAX</t>
        </is>
      </c>
      <c r="B72" t="inlineStr">
        <is>
          <t>0.0</t>
        </is>
      </c>
      <c r="D72" t="inlineStr">
        <is>
          <t>ENTRY, GLOBAL_CHECK, STOCKS_EXIT</t>
        </is>
      </c>
      <c r="G72">
        <f>IFERROR(VLOOKUP($A72&amp;"_"&amp;$B72,Results_Deltas!$A$2:$P$15000,5,FALSE),"")</f>
        <v/>
      </c>
      <c r="H72" t="inlineStr">
        <is>
          <t>Blanket (page end)</t>
        </is>
      </c>
      <c r="L72" t="inlineStr">
        <is>
          <t>NO</t>
        </is>
      </c>
    </row>
    <row r="73" ht="15.75" customHeight="1" s="67">
      <c r="A73" t="inlineStr">
        <is>
          <t>FUNDING_GATE_LONG_MAX</t>
        </is>
      </c>
      <c r="B73" t="inlineStr">
        <is>
          <t>0.0_ALT</t>
        </is>
      </c>
      <c r="D73" t="inlineStr">
        <is>
          <t>ENTRY, GLOBAL_CHECK, STOCKS_EXIT</t>
        </is>
      </c>
      <c r="G73">
        <f>IFERROR(VLOOKUP($A73&amp;"_"&amp;$B73,Results_Deltas!$A$2:$P$15000,5,FALSE),"")</f>
        <v/>
      </c>
      <c r="H73" t="inlineStr">
        <is>
          <t>Blanket (page end)</t>
        </is>
      </c>
      <c r="L73" t="inlineStr">
        <is>
          <t>NO</t>
        </is>
      </c>
    </row>
    <row r="74" ht="15.75" customHeight="1" s="67">
      <c r="A74" t="inlineStr">
        <is>
          <t>FUNDING_GATE_MTF_REQUIRED</t>
        </is>
      </c>
      <c r="B74" t="inlineStr">
        <is>
          <t>0.0</t>
        </is>
      </c>
      <c r="D74" t="inlineStr">
        <is>
          <t>ENTRY, GLOBAL_CHECK, STOCKS_EXIT</t>
        </is>
      </c>
      <c r="G74">
        <f>IFERROR(VLOOKUP($A74&amp;"_"&amp;$B74,Results_Deltas!$A$2:$P$15000,5,FALSE),"")</f>
        <v/>
      </c>
      <c r="H74" t="inlineStr">
        <is>
          <t>Blanket (page end)</t>
        </is>
      </c>
      <c r="L74" t="inlineStr">
        <is>
          <t>NO</t>
        </is>
      </c>
    </row>
    <row r="75" ht="15.75" customHeight="1" s="67">
      <c r="A75" t="inlineStr">
        <is>
          <t>FUNDING_GATE_MTF_REQUIRED</t>
        </is>
      </c>
      <c r="B75" t="inlineStr">
        <is>
          <t>0.0_ALT</t>
        </is>
      </c>
      <c r="D75" t="inlineStr">
        <is>
          <t>ENTRY, GLOBAL_CHECK, STOCKS_EXIT</t>
        </is>
      </c>
      <c r="G75">
        <f>IFERROR(VLOOKUP($A75&amp;"_"&amp;$B75,Results_Deltas!$A$2:$P$15000,5,FALSE),"")</f>
        <v/>
      </c>
      <c r="H75" t="inlineStr">
        <is>
          <t>Blanket (page end)</t>
        </is>
      </c>
      <c r="L75" t="inlineStr">
        <is>
          <t>NO</t>
        </is>
      </c>
    </row>
    <row r="76" ht="15.75" customHeight="1" s="67">
      <c r="A76" t="inlineStr">
        <is>
          <t>FUNDING_GATE_SHORT_MIN</t>
        </is>
      </c>
      <c r="B76" t="inlineStr">
        <is>
          <t>0.0</t>
        </is>
      </c>
      <c r="D76" t="inlineStr">
        <is>
          <t>ENTRY, GLOBAL_CHECK, STOCKS_EXIT</t>
        </is>
      </c>
      <c r="G76">
        <f>IFERROR(VLOOKUP($A76&amp;"_"&amp;$B76,Results_Deltas!$A$2:$P$15000,5,FALSE),"")</f>
        <v/>
      </c>
      <c r="H76" t="inlineStr">
        <is>
          <t>Blanket (page end)</t>
        </is>
      </c>
      <c r="L76" t="inlineStr">
        <is>
          <t>NO</t>
        </is>
      </c>
    </row>
    <row r="77" ht="15.75" customHeight="1" s="67">
      <c r="A77" t="inlineStr">
        <is>
          <t>FUNDING_GATE_SHORT_MIN</t>
        </is>
      </c>
      <c r="B77" t="inlineStr">
        <is>
          <t>0.0_ALT</t>
        </is>
      </c>
      <c r="D77" t="inlineStr">
        <is>
          <t>ENTRY, GLOBAL_CHECK, STOCKS_EXIT</t>
        </is>
      </c>
      <c r="G77">
        <f>IFERROR(VLOOKUP($A77&amp;"_"&amp;$B77,Results_Deltas!$A$2:$P$15000,5,FALSE),"")</f>
        <v/>
      </c>
      <c r="H77" t="inlineStr">
        <is>
          <t>Blanket (page end)</t>
        </is>
      </c>
      <c r="L77" t="inlineStr">
        <is>
          <t>NO</t>
        </is>
      </c>
    </row>
    <row r="78" ht="15.75" customHeight="1" s="67">
      <c r="A78" t="inlineStr">
        <is>
          <t>GOLDEN_RULE_BASE_USD</t>
        </is>
      </c>
      <c r="B78" t="inlineStr">
        <is>
          <t>0.0</t>
        </is>
      </c>
      <c r="D78" t="inlineStr">
        <is>
          <t>GLOBAL_CHECK, STOCKS_EXIT</t>
        </is>
      </c>
      <c r="G78">
        <f>IFERROR(VLOOKUP($A78&amp;"_"&amp;$B78,Results_Deltas!$A$2:$P$15000,5,FALSE),"")</f>
        <v/>
      </c>
      <c r="H78" t="inlineStr">
        <is>
          <t>Blanket (page end)</t>
        </is>
      </c>
      <c r="L78" t="inlineStr">
        <is>
          <t>NO</t>
        </is>
      </c>
    </row>
    <row r="79" ht="15.75" customHeight="1" s="67">
      <c r="A79" t="inlineStr">
        <is>
          <t>GOLDEN_RULE_BASE_USD</t>
        </is>
      </c>
      <c r="B79" t="inlineStr">
        <is>
          <t>0.0_ALT</t>
        </is>
      </c>
      <c r="D79" t="inlineStr">
        <is>
          <t>GLOBAL_CHECK, STOCKS_EXIT</t>
        </is>
      </c>
      <c r="G79">
        <f>IFERROR(VLOOKUP($A79&amp;"_"&amp;$B79,Results_Deltas!$A$2:$P$15000,5,FALSE),"")</f>
        <v/>
      </c>
      <c r="H79" t="inlineStr">
        <is>
          <t>Blanket (page end)</t>
        </is>
      </c>
      <c r="L79" t="inlineStr">
        <is>
          <t>NO</t>
        </is>
      </c>
    </row>
    <row r="80" ht="15.75" customHeight="1" s="67">
      <c r="A80" t="inlineStr">
        <is>
          <t>GR_FILTER_ALL_ENTRIES</t>
        </is>
      </c>
      <c r="B80" t="inlineStr">
        <is>
          <t>0.0</t>
        </is>
      </c>
      <c r="D80" t="inlineStr">
        <is>
          <t>GLOBAL_CHECK, STOCKS_EXIT</t>
        </is>
      </c>
      <c r="G80">
        <f>IFERROR(VLOOKUP($A80&amp;"_"&amp;$B80,Results_Deltas!$A$2:$P$15000,5,FALSE),"")</f>
        <v/>
      </c>
      <c r="H80" t="inlineStr">
        <is>
          <t>Blanket (page end)</t>
        </is>
      </c>
      <c r="L80" t="inlineStr">
        <is>
          <t>NO</t>
        </is>
      </c>
    </row>
    <row r="81" ht="15.75" customHeight="1" s="67">
      <c r="A81" t="inlineStr">
        <is>
          <t>GR_FILTER_ALL_ENTRIES</t>
        </is>
      </c>
      <c r="B81" t="inlineStr">
        <is>
          <t>0.0_ALT</t>
        </is>
      </c>
      <c r="D81" t="inlineStr">
        <is>
          <t>GLOBAL_CHECK, STOCKS_EXIT</t>
        </is>
      </c>
      <c r="G81">
        <f>IFERROR(VLOOKUP($A81&amp;"_"&amp;$B81,Results_Deltas!$A$2:$P$15000,5,FALSE),"")</f>
        <v/>
      </c>
      <c r="H81" t="inlineStr">
        <is>
          <t>Blanket (page end)</t>
        </is>
      </c>
      <c r="L81" t="inlineStr">
        <is>
          <t>NO</t>
        </is>
      </c>
    </row>
    <row r="82" ht="15.75" customHeight="1" s="67">
      <c r="A82" t="inlineStr">
        <is>
          <t>GR_FILTER_VEC_ENABLED</t>
        </is>
      </c>
      <c r="B82" t="inlineStr">
        <is>
          <t>False</t>
        </is>
      </c>
      <c r="D82" t="inlineStr">
        <is>
          <t>GLOBAL_CHECK</t>
        </is>
      </c>
      <c r="G82">
        <f>IFERROR(VLOOKUP($A82&amp;"_"&amp;$B82,Results_Deltas!$A$2:$P$15000,5,FALSE),"")</f>
        <v/>
      </c>
      <c r="H82" t="inlineStr">
        <is>
          <t>Blanket (page end)</t>
        </is>
      </c>
      <c r="L82" t="inlineStr">
        <is>
          <t>YES</t>
        </is>
      </c>
    </row>
    <row r="83" ht="15.75" customHeight="1" s="67">
      <c r="A83" t="inlineStr">
        <is>
          <t>GR_FILTER_VEC_ENABLED</t>
        </is>
      </c>
      <c r="B83" t="inlineStr">
        <is>
          <t>True</t>
        </is>
      </c>
      <c r="D83" t="inlineStr">
        <is>
          <t>GLOBAL_CHECK</t>
        </is>
      </c>
      <c r="G83">
        <f>IFERROR(VLOOKUP($A83&amp;"_"&amp;$B83,Results_Deltas!$A$2:$P$15000,5,FALSE),"")</f>
        <v/>
      </c>
      <c r="H83" t="inlineStr">
        <is>
          <t>Blanket (page end)</t>
        </is>
      </c>
      <c r="L83" t="inlineStr">
        <is>
          <t>NO</t>
        </is>
      </c>
    </row>
    <row r="84" ht="15.75" customHeight="1" s="67">
      <c r="A84" t="inlineStr">
        <is>
          <t>GR_FILTER_VEC_MIN_TFS</t>
        </is>
      </c>
      <c r="B84" t="inlineStr">
        <is>
          <t>0</t>
        </is>
      </c>
      <c r="D84" t="inlineStr">
        <is>
          <t>GLOBAL_CHECK</t>
        </is>
      </c>
      <c r="G84">
        <f>IFERROR(VLOOKUP($A84&amp;"_"&amp;$B84,Results_Deltas!$A$2:$P$15000,5,FALSE),"")</f>
        <v/>
      </c>
      <c r="H84" t="inlineStr">
        <is>
          <t>Blanket (page end)</t>
        </is>
      </c>
      <c r="L84" t="inlineStr">
        <is>
          <t>NO</t>
        </is>
      </c>
    </row>
    <row r="85" ht="15.75" customHeight="1" s="67">
      <c r="A85" t="inlineStr">
        <is>
          <t>GR_FILTER_VEC_MIN_TFS</t>
        </is>
      </c>
      <c r="B85" t="inlineStr">
        <is>
          <t>2</t>
        </is>
      </c>
      <c r="D85" t="inlineStr">
        <is>
          <t>GLOBAL_CHECK</t>
        </is>
      </c>
      <c r="G85">
        <f>IFERROR(VLOOKUP($A85&amp;"_"&amp;$B85,Results_Deltas!$A$2:$P$15000,5,FALSE),"")</f>
        <v/>
      </c>
      <c r="H85" t="inlineStr">
        <is>
          <t>Blanket (page end)</t>
        </is>
      </c>
      <c r="L85" t="inlineStr">
        <is>
          <t>YES</t>
        </is>
      </c>
    </row>
    <row r="86" ht="15.75" customHeight="1" s="67">
      <c r="A86" t="inlineStr">
        <is>
          <t>GR_FILTER_VEC_MIN_TFS</t>
        </is>
      </c>
      <c r="B86" t="inlineStr">
        <is>
          <t>1</t>
        </is>
      </c>
      <c r="D86" t="inlineStr">
        <is>
          <t>GLOBAL_CHECK</t>
        </is>
      </c>
      <c r="G86">
        <f>IFERROR(VLOOKUP($A86&amp;"_"&amp;$B86,Results_Deltas!$A$2:$P$15000,5,FALSE),"")</f>
        <v/>
      </c>
      <c r="H86" t="inlineStr">
        <is>
          <t>Blanket (page end)</t>
        </is>
      </c>
      <c r="L86" t="inlineStr">
        <is>
          <t>NO</t>
        </is>
      </c>
    </row>
    <row r="87" ht="15.75" customHeight="1" s="67">
      <c r="A87" t="inlineStr">
        <is>
          <t>HA_WICK_QUALITY_ENABLED</t>
        </is>
      </c>
      <c r="B87" t="inlineStr">
        <is>
          <t>False</t>
        </is>
      </c>
      <c r="D87" t="inlineStr">
        <is>
          <t>ENTRY, GLOBAL_CHECK, STOCKS_EXIT</t>
        </is>
      </c>
      <c r="G87">
        <f>IFERROR(VLOOKUP($A87&amp;"_"&amp;$B87,Results_Deltas!$A$2:$P$15000,5,FALSE),"")</f>
        <v/>
      </c>
      <c r="H87" t="inlineStr">
        <is>
          <t>Blanket (page end)</t>
        </is>
      </c>
      <c r="L87" t="inlineStr">
        <is>
          <t>YES</t>
        </is>
      </c>
    </row>
    <row r="88" ht="15.75" customHeight="1" s="67">
      <c r="A88" t="inlineStr">
        <is>
          <t>HA_WICK_QUALITY_ENABLED</t>
        </is>
      </c>
      <c r="B88" t="inlineStr">
        <is>
          <t>True</t>
        </is>
      </c>
      <c r="D88" t="inlineStr">
        <is>
          <t>ENTRY, GLOBAL_CHECK, STOCKS_EXIT</t>
        </is>
      </c>
      <c r="G88">
        <f>IFERROR(VLOOKUP($A88&amp;"_"&amp;$B88,Results_Deltas!$A$2:$P$15000,5,FALSE),"")</f>
        <v/>
      </c>
      <c r="H88" t="inlineStr">
        <is>
          <t>Blanket (page end)</t>
        </is>
      </c>
      <c r="L88" t="inlineStr">
        <is>
          <t>NO</t>
        </is>
      </c>
    </row>
    <row r="89" ht="15.75" customHeight="1" s="67">
      <c r="A89" t="inlineStr">
        <is>
          <t>HA_WICK_QUALITY_SCORE</t>
        </is>
      </c>
      <c r="B89" t="inlineStr">
        <is>
          <t>15</t>
        </is>
      </c>
      <c r="D89" t="inlineStr">
        <is>
          <t>ENTRY, GLOBAL_CHECK, STOCKS_EXIT</t>
        </is>
      </c>
      <c r="G89">
        <f>IFERROR(VLOOKUP($A89&amp;"_"&amp;$B89,Results_Deltas!$A$2:$P$15000,5,FALSE),"")</f>
        <v/>
      </c>
      <c r="H89" t="inlineStr">
        <is>
          <t>Blanket (page end)</t>
        </is>
      </c>
      <c r="L89" t="inlineStr">
        <is>
          <t>YES</t>
        </is>
      </c>
    </row>
    <row r="90" ht="15.75" customHeight="1" s="67">
      <c r="A90" t="inlineStr">
        <is>
          <t>HA_WICK_QUALITY_SCORE</t>
        </is>
      </c>
      <c r="B90" t="inlineStr">
        <is>
          <t>15_ALT</t>
        </is>
      </c>
      <c r="D90" t="inlineStr">
        <is>
          <t>ENTRY, GLOBAL_CHECK, STOCKS_EXIT</t>
        </is>
      </c>
      <c r="G90">
        <f>IFERROR(VLOOKUP($A90&amp;"_"&amp;$B90,Results_Deltas!$A$2:$P$15000,5,FALSE),"")</f>
        <v/>
      </c>
      <c r="H90" t="inlineStr">
        <is>
          <t>Blanket (page end)</t>
        </is>
      </c>
      <c r="L90" t="inlineStr">
        <is>
          <t>NO</t>
        </is>
      </c>
    </row>
    <row r="91" ht="15.75" customHeight="1" s="67">
      <c r="A91" t="inlineStr">
        <is>
          <t>HA_WICK_QUALITY_TF</t>
        </is>
      </c>
      <c r="B91" t="inlineStr">
        <is>
          <t>OFF</t>
        </is>
      </c>
      <c r="D91" t="inlineStr">
        <is>
          <t>ENTRY, GLOBAL_CHECK, STOCKS_EXIT</t>
        </is>
      </c>
      <c r="G91">
        <f>IFERROR(VLOOKUP($A91&amp;"_"&amp;$B91,Results_Deltas!$A$2:$P$15000,5,FALSE),"")</f>
        <v/>
      </c>
      <c r="H91" t="inlineStr">
        <is>
          <t>Blanket (page end)</t>
        </is>
      </c>
      <c r="L91" t="inlineStr">
        <is>
          <t>NO</t>
        </is>
      </c>
    </row>
    <row r="92" ht="15.75" customHeight="1" s="67">
      <c r="A92" t="inlineStr">
        <is>
          <t>HA_WICK_QUALITY_TF</t>
        </is>
      </c>
      <c r="B92" t="inlineStr">
        <is>
          <t>D</t>
        </is>
      </c>
      <c r="D92" t="inlineStr">
        <is>
          <t>ENTRY, GLOBAL_CHECK, STOCKS_EXIT</t>
        </is>
      </c>
      <c r="G92">
        <f>IFERROR(VLOOKUP($A92&amp;"_"&amp;$B92,Results_Deltas!$A$2:$P$15000,5,FALSE),"")</f>
        <v/>
      </c>
      <c r="H92" t="inlineStr">
        <is>
          <t>Blanket (page end)</t>
        </is>
      </c>
      <c r="L92" t="inlineStr">
        <is>
          <t>NO</t>
        </is>
      </c>
    </row>
    <row r="93" ht="15.75" customHeight="1" s="67">
      <c r="A93" t="inlineStr">
        <is>
          <t>HA_WICK_QUALITY_TF</t>
        </is>
      </c>
      <c r="B93" t="inlineStr">
        <is>
          <t>4h</t>
        </is>
      </c>
      <c r="D93" t="inlineStr">
        <is>
          <t>ENTRY, GLOBAL_CHECK, STOCKS_EXIT</t>
        </is>
      </c>
      <c r="G93">
        <f>IFERROR(VLOOKUP($A93&amp;"_"&amp;$B93,Results_Deltas!$A$2:$P$15000,5,FALSE),"")</f>
        <v/>
      </c>
      <c r="H93" t="inlineStr">
        <is>
          <t>Blanket (page end)</t>
        </is>
      </c>
      <c r="L93" t="inlineStr">
        <is>
          <t>NO</t>
        </is>
      </c>
    </row>
    <row r="94" ht="15.75" customHeight="1" s="67">
      <c r="A94" t="inlineStr">
        <is>
          <t>HA_WICK_QUALITY_TF</t>
        </is>
      </c>
      <c r="B94" t="inlineStr">
        <is>
          <t>1h</t>
        </is>
      </c>
      <c r="D94" t="inlineStr">
        <is>
          <t>ENTRY, GLOBAL_CHECK, STOCKS_EXIT</t>
        </is>
      </c>
      <c r="G94">
        <f>IFERROR(VLOOKUP($A94&amp;"_"&amp;$B94,Results_Deltas!$A$2:$P$15000,5,FALSE),"")</f>
        <v/>
      </c>
      <c r="H94" t="inlineStr">
        <is>
          <t>Blanket (page end)</t>
        </is>
      </c>
      <c r="L94" t="inlineStr">
        <is>
          <t>YES</t>
        </is>
      </c>
    </row>
    <row r="95" ht="15.75" customHeight="1" s="67">
      <c r="A95" t="inlineStr">
        <is>
          <t>HA_WICK_QUALITY_TF</t>
        </is>
      </c>
      <c r="B95" t="inlineStr">
        <is>
          <t>15m</t>
        </is>
      </c>
      <c r="D95" t="inlineStr">
        <is>
          <t>ENTRY, GLOBAL_CHECK, STOCKS_EXIT</t>
        </is>
      </c>
      <c r="G95">
        <f>IFERROR(VLOOKUP($A95&amp;"_"&amp;$B95,Results_Deltas!$A$2:$P$15000,5,FALSE),"")</f>
        <v/>
      </c>
      <c r="H95" t="inlineStr">
        <is>
          <t>Blanket (page end)</t>
        </is>
      </c>
      <c r="L95" t="inlineStr">
        <is>
          <t>NO</t>
        </is>
      </c>
    </row>
    <row r="96" ht="15.75" customHeight="1" s="67">
      <c r="A96" t="inlineStr">
        <is>
          <t>HLR_SMA_BAND_PCT</t>
        </is>
      </c>
      <c r="B96" t="inlineStr">
        <is>
          <t>0</t>
        </is>
      </c>
      <c r="D96" t="inlineStr">
        <is>
          <t>ENTRY, GLOBAL_CHECK, STOCKS_EXIT</t>
        </is>
      </c>
      <c r="G96">
        <f>IFERROR(VLOOKUP($A96&amp;"_"&amp;$B96,Results_Deltas!$A$2:$P$15000,5,FALSE),"")</f>
        <v/>
      </c>
      <c r="H96" t="inlineStr">
        <is>
          <t>Blanket (page end)</t>
        </is>
      </c>
      <c r="L96" t="inlineStr">
        <is>
          <t>NO</t>
        </is>
      </c>
    </row>
    <row r="97" ht="15.75" customHeight="1" s="67">
      <c r="A97" t="inlineStr">
        <is>
          <t>HLR_SMA_BAND_PCT</t>
        </is>
      </c>
      <c r="B97" t="inlineStr">
        <is>
          <t>2.0</t>
        </is>
      </c>
      <c r="D97" t="inlineStr">
        <is>
          <t>ENTRY, GLOBAL_CHECK, STOCKS_EXIT</t>
        </is>
      </c>
      <c r="G97">
        <f>IFERROR(VLOOKUP($A97&amp;"_"&amp;$B97,Results_Deltas!$A$2:$P$15000,5,FALSE),"")</f>
        <v/>
      </c>
      <c r="H97" t="inlineStr">
        <is>
          <t>Blanket (page end)</t>
        </is>
      </c>
      <c r="L97" t="inlineStr">
        <is>
          <t>NO</t>
        </is>
      </c>
    </row>
    <row r="98" ht="15.75" customHeight="1" s="67">
      <c r="A98" t="inlineStr">
        <is>
          <t>HLR_SMA_BAND_PCT</t>
        </is>
      </c>
      <c r="B98" t="inlineStr">
        <is>
          <t>1.0</t>
        </is>
      </c>
      <c r="D98" t="inlineStr">
        <is>
          <t>ENTRY, GLOBAL_CHECK, STOCKS_EXIT</t>
        </is>
      </c>
      <c r="G98">
        <f>IFERROR(VLOOKUP($A98&amp;"_"&amp;$B98,Results_Deltas!$A$2:$P$15000,5,FALSE),"")</f>
        <v/>
      </c>
      <c r="H98" t="inlineStr">
        <is>
          <t>Blanket (page end)</t>
        </is>
      </c>
      <c r="L98" t="inlineStr">
        <is>
          <t>NO</t>
        </is>
      </c>
    </row>
    <row r="99" ht="15.75" customHeight="1" s="67">
      <c r="A99" t="inlineStr">
        <is>
          <t>HLR_SMA_BAND_PCT</t>
        </is>
      </c>
      <c r="B99" t="inlineStr">
        <is>
          <t>0.5</t>
        </is>
      </c>
      <c r="D99" t="inlineStr">
        <is>
          <t>ENTRY, GLOBAL_CHECK, STOCKS_EXIT</t>
        </is>
      </c>
      <c r="G99">
        <f>IFERROR(VLOOKUP($A99&amp;"_"&amp;$B99,Results_Deltas!$A$2:$P$15000,5,FALSE),"")</f>
        <v/>
      </c>
      <c r="H99" t="inlineStr">
        <is>
          <t>Blanket (page end)</t>
        </is>
      </c>
      <c r="L99" t="inlineStr">
        <is>
          <t>NO</t>
        </is>
      </c>
    </row>
    <row r="100" ht="15.75" customHeight="1" s="67">
      <c r="A100" t="inlineStr">
        <is>
          <t>HLR_TOP_MIN_TFS</t>
        </is>
      </c>
      <c r="B100" t="inlineStr">
        <is>
          <t>0</t>
        </is>
      </c>
      <c r="D100" t="inlineStr">
        <is>
          <t>GLOBAL_CHECK, REENTRY, STOCKS_EXIT</t>
        </is>
      </c>
      <c r="G100">
        <f>IFERROR(VLOOKUP($A100&amp;"_"&amp;$B100,Results_Deltas!$A$2:$P$15000,5,FALSE),"")</f>
        <v/>
      </c>
      <c r="H100" t="inlineStr">
        <is>
          <t>Blanket (page end)</t>
        </is>
      </c>
      <c r="L100" t="inlineStr">
        <is>
          <t>NO</t>
        </is>
      </c>
    </row>
    <row r="101" ht="15.75" customHeight="1" s="67">
      <c r="A101" t="inlineStr">
        <is>
          <t>HLR_TOP_MIN_TFS</t>
        </is>
      </c>
      <c r="B101" t="inlineStr">
        <is>
          <t>2</t>
        </is>
      </c>
      <c r="D101" t="inlineStr">
        <is>
          <t>GLOBAL_CHECK, REENTRY, STOCKS_EXIT</t>
        </is>
      </c>
      <c r="G101">
        <f>IFERROR(VLOOKUP($A101&amp;"_"&amp;$B101,Results_Deltas!$A$2:$P$15000,5,FALSE),"")</f>
        <v/>
      </c>
      <c r="H101" t="inlineStr">
        <is>
          <t>Blanket (page end)</t>
        </is>
      </c>
      <c r="L101" t="inlineStr">
        <is>
          <t>YES</t>
        </is>
      </c>
    </row>
    <row r="102" ht="15.75" customHeight="1" s="67">
      <c r="A102" t="inlineStr">
        <is>
          <t>HLR_TOP_MIN_TFS</t>
        </is>
      </c>
      <c r="B102" t="inlineStr">
        <is>
          <t>1</t>
        </is>
      </c>
      <c r="D102" t="inlineStr">
        <is>
          <t>GLOBAL_CHECK, REENTRY, STOCKS_EXIT</t>
        </is>
      </c>
      <c r="G102">
        <f>IFERROR(VLOOKUP($A102&amp;"_"&amp;$B102,Results_Deltas!$A$2:$P$15000,5,FALSE),"")</f>
        <v/>
      </c>
      <c r="H102" t="inlineStr">
        <is>
          <t>Blanket (page end)</t>
        </is>
      </c>
      <c r="L102" t="inlineStr">
        <is>
          <t>NO</t>
        </is>
      </c>
    </row>
    <row r="103" ht="15.75" customHeight="1" s="67">
      <c r="A103" t="inlineStr">
        <is>
          <t>HTF4_CONF</t>
        </is>
      </c>
      <c r="B103" t="inlineStr">
        <is>
          <t>False</t>
        </is>
      </c>
      <c r="D103" t="inlineStr">
        <is>
          <t>GLOBAL_CHECK, STOCKS_EXIT</t>
        </is>
      </c>
      <c r="G103">
        <f>IFERROR(VLOOKUP($A103&amp;"_"&amp;$B103,Results_Deltas!$A$2:$P$15000,5,FALSE),"")</f>
        <v/>
      </c>
      <c r="H103" t="inlineStr">
        <is>
          <t>Blanket (page end)</t>
        </is>
      </c>
      <c r="L103" t="inlineStr">
        <is>
          <t>NO</t>
        </is>
      </c>
    </row>
    <row r="104" ht="15.75" customHeight="1" s="67">
      <c r="A104" t="inlineStr">
        <is>
          <t>HTF4_CONF</t>
        </is>
      </c>
      <c r="B104" t="inlineStr">
        <is>
          <t>False_ALT</t>
        </is>
      </c>
      <c r="D104" t="inlineStr">
        <is>
          <t>GLOBAL_CHECK, STOCKS_EXIT</t>
        </is>
      </c>
      <c r="G104">
        <f>IFERROR(VLOOKUP($A104&amp;"_"&amp;$B104,Results_Deltas!$A$2:$P$15000,5,FALSE),"")</f>
        <v/>
      </c>
      <c r="H104" t="inlineStr">
        <is>
          <t>Blanket (page end)</t>
        </is>
      </c>
      <c r="L104" t="inlineStr">
        <is>
          <t>NO</t>
        </is>
      </c>
    </row>
    <row r="105" ht="15.75" customHeight="1" s="67">
      <c r="A105" t="inlineStr">
        <is>
          <t>HTF_DIRECTION_GATE_ENABLED</t>
        </is>
      </c>
      <c r="B105" t="inlineStr">
        <is>
          <t>False</t>
        </is>
      </c>
      <c r="D105" t="inlineStr">
        <is>
          <t>ENTRY, GLOBAL_CHECK, STOCKS_EXIT</t>
        </is>
      </c>
      <c r="G105">
        <f>IFERROR(VLOOKUP($A105&amp;"_"&amp;$B105,Results_Deltas!$A$2:$P$15000,5,FALSE),"")</f>
        <v/>
      </c>
      <c r="H105" t="inlineStr">
        <is>
          <t>Blanket (page end)</t>
        </is>
      </c>
      <c r="L105" t="inlineStr">
        <is>
          <t>YES</t>
        </is>
      </c>
    </row>
    <row r="106" ht="15.75" customHeight="1" s="67">
      <c r="A106" t="inlineStr">
        <is>
          <t>HTF_DIRECTION_GATE_ENABLED</t>
        </is>
      </c>
      <c r="B106" t="inlineStr">
        <is>
          <t>True</t>
        </is>
      </c>
      <c r="D106" t="inlineStr">
        <is>
          <t>ENTRY, GLOBAL_CHECK, STOCKS_EXIT</t>
        </is>
      </c>
      <c r="G106">
        <f>IFERROR(VLOOKUP($A106&amp;"_"&amp;$B106,Results_Deltas!$A$2:$P$15000,5,FALSE),"")</f>
        <v/>
      </c>
      <c r="H106" t="inlineStr">
        <is>
          <t>Blanket (page end)</t>
        </is>
      </c>
      <c r="L106" t="inlineStr">
        <is>
          <t>NO</t>
        </is>
      </c>
    </row>
    <row r="107" ht="15.75" customHeight="1" s="67">
      <c r="A107" t="inlineStr">
        <is>
          <t>HTF_GATE_BYPASS_RZ</t>
        </is>
      </c>
      <c r="B107" t="inlineStr">
        <is>
          <t>0.0</t>
        </is>
      </c>
      <c r="D107" t="inlineStr">
        <is>
          <t>ENTRY, GLOBAL_CHECK, STOCKS_EXIT</t>
        </is>
      </c>
      <c r="G107">
        <f>IFERROR(VLOOKUP($A107&amp;"_"&amp;$B107,Results_Deltas!$A$2:$P$15000,5,FALSE),"")</f>
        <v/>
      </c>
      <c r="H107" t="inlineStr">
        <is>
          <t>Blanket (page end)</t>
        </is>
      </c>
      <c r="L107" t="inlineStr">
        <is>
          <t>NO</t>
        </is>
      </c>
    </row>
    <row r="108" ht="15.75" customHeight="1" s="67">
      <c r="A108" t="inlineStr">
        <is>
          <t>HTF_GATE_BYPASS_RZ</t>
        </is>
      </c>
      <c r="B108" t="inlineStr">
        <is>
          <t>0.0_ALT</t>
        </is>
      </c>
      <c r="D108" t="inlineStr">
        <is>
          <t>ENTRY, GLOBAL_CHECK, STOCKS_EXIT</t>
        </is>
      </c>
      <c r="G108">
        <f>IFERROR(VLOOKUP($A108&amp;"_"&amp;$B108,Results_Deltas!$A$2:$P$15000,5,FALSE),"")</f>
        <v/>
      </c>
      <c r="H108" t="inlineStr">
        <is>
          <t>Blanket (page end)</t>
        </is>
      </c>
      <c r="L108" t="inlineStr">
        <is>
          <t>NO</t>
        </is>
      </c>
    </row>
    <row r="109" ht="15.75" customHeight="1" s="67">
      <c r="A109" t="inlineStr">
        <is>
          <t>HTF_GATE_D_MANDATORY</t>
        </is>
      </c>
      <c r="B109" t="inlineStr">
        <is>
          <t>0.0</t>
        </is>
      </c>
      <c r="D109" t="inlineStr">
        <is>
          <t>ENTRY, GLOBAL_CHECK, STOCKS_EXIT</t>
        </is>
      </c>
      <c r="G109">
        <f>IFERROR(VLOOKUP($A109&amp;"_"&amp;$B109,Results_Deltas!$A$2:$P$15000,5,FALSE),"")</f>
        <v/>
      </c>
      <c r="H109" t="inlineStr">
        <is>
          <t>Blanket (page end)</t>
        </is>
      </c>
      <c r="L109" t="inlineStr">
        <is>
          <t>NO</t>
        </is>
      </c>
    </row>
    <row r="110" ht="15.75" customHeight="1" s="67">
      <c r="A110" t="inlineStr">
        <is>
          <t>HTF_GATE_D_MANDATORY</t>
        </is>
      </c>
      <c r="B110" t="inlineStr">
        <is>
          <t>0.0_ALT</t>
        </is>
      </c>
      <c r="D110" t="inlineStr">
        <is>
          <t>ENTRY, GLOBAL_CHECK, STOCKS_EXIT</t>
        </is>
      </c>
      <c r="G110">
        <f>IFERROR(VLOOKUP($A110&amp;"_"&amp;$B110,Results_Deltas!$A$2:$P$15000,5,FALSE),"")</f>
        <v/>
      </c>
      <c r="H110" t="inlineStr">
        <is>
          <t>Blanket (page end)</t>
        </is>
      </c>
      <c r="L110" t="inlineStr">
        <is>
          <t>NO</t>
        </is>
      </c>
    </row>
    <row r="111" ht="15.75" customHeight="1" s="67">
      <c r="A111" t="inlineStr">
        <is>
          <t>HTF_GATE_MIN_CONFIRMATIONS</t>
        </is>
      </c>
      <c r="B111" t="inlineStr">
        <is>
          <t>0.0</t>
        </is>
      </c>
      <c r="D111" t="inlineStr">
        <is>
          <t>ENTRY, GLOBAL_CHECK, STOCKS_EXIT</t>
        </is>
      </c>
      <c r="G111">
        <f>IFERROR(VLOOKUP($A111&amp;"_"&amp;$B111,Results_Deltas!$A$2:$P$15000,5,FALSE),"")</f>
        <v/>
      </c>
      <c r="H111" t="inlineStr">
        <is>
          <t>Blanket (page end)</t>
        </is>
      </c>
      <c r="L111" t="inlineStr">
        <is>
          <t>NO</t>
        </is>
      </c>
    </row>
    <row r="112" ht="15.75" customHeight="1" s="67">
      <c r="A112" t="inlineStr">
        <is>
          <t>HTF_GATE_MIN_CONFIRMATIONS</t>
        </is>
      </c>
      <c r="B112" t="inlineStr">
        <is>
          <t>0.0_ALT</t>
        </is>
      </c>
      <c r="D112" t="inlineStr">
        <is>
          <t>ENTRY, GLOBAL_CHECK, STOCKS_EXIT</t>
        </is>
      </c>
      <c r="G112">
        <f>IFERROR(VLOOKUP($A112&amp;"_"&amp;$B112,Results_Deltas!$A$2:$P$15000,5,FALSE),"")</f>
        <v/>
      </c>
      <c r="H112" t="inlineStr">
        <is>
          <t>Blanket (page end)</t>
        </is>
      </c>
      <c r="L112" t="inlineStr">
        <is>
          <t>NO</t>
        </is>
      </c>
    </row>
    <row r="113" ht="15.75" customHeight="1" s="67">
      <c r="A113" t="inlineStr">
        <is>
          <t>HTF_TREND_VETO_BYPASS_ENABLED</t>
        </is>
      </c>
      <c r="B113" t="inlineStr">
        <is>
          <t>False</t>
        </is>
      </c>
      <c r="D113" t="inlineStr">
        <is>
          <t>GLOBAL_CHECK, STOCKS_EXIT</t>
        </is>
      </c>
      <c r="G113">
        <f>IFERROR(VLOOKUP($A113&amp;"_"&amp;$B113,Results_Deltas!$A$2:$P$15000,5,FALSE),"")</f>
        <v/>
      </c>
      <c r="H113" t="inlineStr">
        <is>
          <t>Blanket (page end)</t>
        </is>
      </c>
      <c r="L113" t="inlineStr">
        <is>
          <t>NO</t>
        </is>
      </c>
    </row>
    <row r="114" ht="15.75" customHeight="1" s="67">
      <c r="A114" t="inlineStr">
        <is>
          <t>HTF_TREND_VETO_BYPASS_ENABLED</t>
        </is>
      </c>
      <c r="B114" t="inlineStr">
        <is>
          <t>True</t>
        </is>
      </c>
      <c r="D114" t="inlineStr">
        <is>
          <t>GLOBAL_CHECK, STOCKS_EXIT</t>
        </is>
      </c>
      <c r="G114">
        <f>IFERROR(VLOOKUP($A114&amp;"_"&amp;$B114,Results_Deltas!$A$2:$P$15000,5,FALSE),"")</f>
        <v/>
      </c>
      <c r="H114" t="inlineStr">
        <is>
          <t>Blanket (page end)</t>
        </is>
      </c>
      <c r="L114" t="inlineStr">
        <is>
          <t>YES</t>
        </is>
      </c>
    </row>
    <row r="115" ht="15.75" customHeight="1" s="67">
      <c r="A115" t="inlineStr">
        <is>
          <t>HTF_TREND_VETO_BYPASS_REASONS</t>
        </is>
      </c>
      <c r="B115" t="inlineStr">
        <is>
          <t>0.0</t>
        </is>
      </c>
      <c r="D115" t="inlineStr">
        <is>
          <t>GLOBAL_CHECK, STOCKS_EXIT</t>
        </is>
      </c>
      <c r="G115">
        <f>IFERROR(VLOOKUP($A115&amp;"_"&amp;$B115,Results_Deltas!$A$2:$P$15000,5,FALSE),"")</f>
        <v/>
      </c>
      <c r="H115" t="inlineStr">
        <is>
          <t>Blanket (page end)</t>
        </is>
      </c>
      <c r="L115" t="inlineStr">
        <is>
          <t>NO</t>
        </is>
      </c>
    </row>
    <row r="116" ht="15.75" customHeight="1" s="67">
      <c r="A116" t="inlineStr">
        <is>
          <t>HTF_TREND_VETO_BYPASS_REASONS</t>
        </is>
      </c>
      <c r="B116" t="inlineStr">
        <is>
          <t>0.0_ALT</t>
        </is>
      </c>
      <c r="D116" t="inlineStr">
        <is>
          <t>GLOBAL_CHECK, STOCKS_EXIT</t>
        </is>
      </c>
      <c r="G116">
        <f>IFERROR(VLOOKUP($A116&amp;"_"&amp;$B116,Results_Deltas!$A$2:$P$15000,5,FALSE),"")</f>
        <v/>
      </c>
      <c r="H116" t="inlineStr">
        <is>
          <t>Blanket (page end)</t>
        </is>
      </c>
      <c r="L116" t="inlineStr">
        <is>
          <t>NO</t>
        </is>
      </c>
    </row>
    <row r="117" ht="15.75" customHeight="1" s="67">
      <c r="A117" t="inlineStr">
        <is>
          <t>LEADERBOARD_FILTER</t>
        </is>
      </c>
      <c r="B117" t="inlineStr">
        <is>
          <t>False</t>
        </is>
      </c>
      <c r="D117" t="inlineStr">
        <is>
          <t>AUGMENT, ENTRY, EXIT, GLOBAL_CHECK, REDUCE, STOCKS_EXIT</t>
        </is>
      </c>
      <c r="G117">
        <f>IFERROR(VLOOKUP($A117&amp;"_"&amp;$B117,Results_Deltas!$A$2:$P$15000,5,FALSE),"")</f>
        <v/>
      </c>
      <c r="H117" t="inlineStr">
        <is>
          <t>Blanket (page end)</t>
        </is>
      </c>
      <c r="L117" t="inlineStr">
        <is>
          <t>NO</t>
        </is>
      </c>
    </row>
    <row r="118" ht="15.75" customHeight="1" s="67">
      <c r="A118" t="inlineStr">
        <is>
          <t>LEADERBOARD_FILTER</t>
        </is>
      </c>
      <c r="B118" t="inlineStr">
        <is>
          <t>False_ALT</t>
        </is>
      </c>
      <c r="D118" t="inlineStr">
        <is>
          <t>AUGMENT, ENTRY, EXIT, GLOBAL_CHECK, REDUCE, STOCKS_EXIT</t>
        </is>
      </c>
      <c r="G118">
        <f>IFERROR(VLOOKUP($A118&amp;"_"&amp;$B118,Results_Deltas!$A$2:$P$15000,5,FALSE),"")</f>
        <v/>
      </c>
      <c r="H118" t="inlineStr">
        <is>
          <t>Blanket (page end)</t>
        </is>
      </c>
      <c r="L118" t="inlineStr">
        <is>
          <t>NO</t>
        </is>
      </c>
    </row>
    <row r="119" ht="15.75" customHeight="1" s="67">
      <c r="A119" t="inlineStr">
        <is>
          <t>LH_HL_FILTER_ENABLED</t>
        </is>
      </c>
      <c r="B119" t="inlineStr">
        <is>
          <t>False</t>
        </is>
      </c>
      <c r="D119" t="inlineStr">
        <is>
          <t>ENTRY, GLOBAL_CHECK, STOCKS_EXIT</t>
        </is>
      </c>
      <c r="G119">
        <f>IFERROR(VLOOKUP($A119&amp;"_"&amp;$B119,Results_Deltas!$A$2:$P$15000,5,FALSE),"")</f>
        <v/>
      </c>
      <c r="H119" t="inlineStr">
        <is>
          <t>Blanket (page end)</t>
        </is>
      </c>
      <c r="L119" t="inlineStr">
        <is>
          <t>YES</t>
        </is>
      </c>
    </row>
    <row r="120" ht="15.75" customHeight="1" s="67">
      <c r="A120" t="inlineStr">
        <is>
          <t>LH_HL_FILTER_ENABLED</t>
        </is>
      </c>
      <c r="B120" t="inlineStr">
        <is>
          <t>True</t>
        </is>
      </c>
      <c r="D120" t="inlineStr">
        <is>
          <t>ENTRY, GLOBAL_CHECK, STOCKS_EXIT</t>
        </is>
      </c>
      <c r="G120">
        <f>IFERROR(VLOOKUP($A120&amp;"_"&amp;$B120,Results_Deltas!$A$2:$P$15000,5,FALSE),"")</f>
        <v/>
      </c>
      <c r="H120" t="inlineStr">
        <is>
          <t>Blanket (page end)</t>
        </is>
      </c>
      <c r="L120" t="inlineStr">
        <is>
          <t>NO</t>
        </is>
      </c>
    </row>
    <row r="121" ht="15.75" customHeight="1" s="67">
      <c r="A121" t="inlineStr">
        <is>
          <t>LH_HL_FILTER_MODE</t>
        </is>
      </c>
      <c r="B121" t="inlineStr">
        <is>
          <t>STRICT_2BAR</t>
        </is>
      </c>
      <c r="D121" t="inlineStr">
        <is>
          <t>ENTRY, GLOBAL_CHECK, STOCKS_EXIT</t>
        </is>
      </c>
      <c r="G121">
        <f>IFERROR(VLOOKUP($A121&amp;"_"&amp;$B121,Results_Deltas!$A$2:$P$15000,5,FALSE),"")</f>
        <v/>
      </c>
      <c r="H121" t="inlineStr">
        <is>
          <t>Blanket (page end)</t>
        </is>
      </c>
      <c r="L121" t="inlineStr">
        <is>
          <t>YES</t>
        </is>
      </c>
    </row>
    <row r="122" ht="15.75" customHeight="1" s="67">
      <c r="A122" t="inlineStr">
        <is>
          <t>LH_HL_FILTER_MODE</t>
        </is>
      </c>
      <c r="B122" t="inlineStr">
        <is>
          <t>STRICT_2BAR_ALT</t>
        </is>
      </c>
      <c r="D122" t="inlineStr">
        <is>
          <t>ENTRY, GLOBAL_CHECK, STOCKS_EXIT</t>
        </is>
      </c>
      <c r="G122">
        <f>IFERROR(VLOOKUP($A122&amp;"_"&amp;$B122,Results_Deltas!$A$2:$P$15000,5,FALSE),"")</f>
        <v/>
      </c>
      <c r="H122" t="inlineStr">
        <is>
          <t>Blanket (page end)</t>
        </is>
      </c>
      <c r="L122" t="inlineStr">
        <is>
          <t>NO</t>
        </is>
      </c>
    </row>
    <row r="123" ht="15.75" customHeight="1" s="67">
      <c r="A123" t="inlineStr">
        <is>
          <t>LH_HL_FILTER_REQUIRE_BOTH</t>
        </is>
      </c>
      <c r="B123" t="inlineStr">
        <is>
          <t>False</t>
        </is>
      </c>
      <c r="D123" t="inlineStr">
        <is>
          <t>ENTRY, GLOBAL_CHECK, STOCKS_EXIT</t>
        </is>
      </c>
      <c r="G123">
        <f>IFERROR(VLOOKUP($A123&amp;"_"&amp;$B123,Results_Deltas!$A$2:$P$15000,5,FALSE),"")</f>
        <v/>
      </c>
      <c r="H123" t="inlineStr">
        <is>
          <t>Blanket (page end)</t>
        </is>
      </c>
      <c r="L123" t="inlineStr">
        <is>
          <t>YES</t>
        </is>
      </c>
    </row>
    <row r="124" ht="15.75" customHeight="1" s="67">
      <c r="A124" t="inlineStr">
        <is>
          <t>LH_HL_FILTER_REQUIRE_BOTH</t>
        </is>
      </c>
      <c r="B124" t="inlineStr">
        <is>
          <t>False_ALT</t>
        </is>
      </c>
      <c r="D124" t="inlineStr">
        <is>
          <t>ENTRY, GLOBAL_CHECK, STOCKS_EXIT</t>
        </is>
      </c>
      <c r="G124">
        <f>IFERROR(VLOOKUP($A124&amp;"_"&amp;$B124,Results_Deltas!$A$2:$P$15000,5,FALSE),"")</f>
        <v/>
      </c>
      <c r="H124" t="inlineStr">
        <is>
          <t>Blanket (page end)</t>
        </is>
      </c>
      <c r="L124" t="inlineStr">
        <is>
          <t>NO</t>
        </is>
      </c>
    </row>
    <row r="125" ht="15.75" customHeight="1" s="67">
      <c r="A125" t="inlineStr">
        <is>
          <t>LIVE_VEC_EMERGENCY_BRAKE_ENABLED</t>
        </is>
      </c>
      <c r="B125" t="inlineStr">
        <is>
          <t>False</t>
        </is>
      </c>
      <c r="D125" t="inlineStr">
        <is>
          <t>GLOBAL_CHECK, STOCKS_EXIT</t>
        </is>
      </c>
      <c r="G125">
        <f>IFERROR(VLOOKUP($A125&amp;"_"&amp;$B125,Results_Deltas!$A$2:$P$15000,5,FALSE),"")</f>
        <v/>
      </c>
      <c r="H125" t="inlineStr">
        <is>
          <t>Blanket (page end)</t>
        </is>
      </c>
      <c r="L125" t="inlineStr">
        <is>
          <t>YES</t>
        </is>
      </c>
    </row>
    <row r="126" ht="15.75" customHeight="1" s="67">
      <c r="A126" t="inlineStr">
        <is>
          <t>LIVE_VEC_EMERGENCY_BRAKE_ENABLED</t>
        </is>
      </c>
      <c r="B126" t="inlineStr">
        <is>
          <t>True</t>
        </is>
      </c>
      <c r="D126" t="inlineStr">
        <is>
          <t>GLOBAL_CHECK, STOCKS_EXIT</t>
        </is>
      </c>
      <c r="G126">
        <f>IFERROR(VLOOKUP($A126&amp;"_"&amp;$B126,Results_Deltas!$A$2:$P$15000,5,FALSE),"")</f>
        <v/>
      </c>
      <c r="H126" t="inlineStr">
        <is>
          <t>Blanket (page end)</t>
        </is>
      </c>
      <c r="L126" t="inlineStr">
        <is>
          <t>NO</t>
        </is>
      </c>
    </row>
    <row r="127" ht="15.75" customHeight="1" s="67">
      <c r="A127" t="inlineStr">
        <is>
          <t>LR_BAND_LADDER_STOCH_EXTREME</t>
        </is>
      </c>
      <c r="B127" t="inlineStr">
        <is>
          <t>30.0</t>
        </is>
      </c>
      <c r="D127" t="inlineStr">
        <is>
          <t>GLOBAL_CHECK, STOCKS_EXIT</t>
        </is>
      </c>
      <c r="G127">
        <f>IFERROR(VLOOKUP($A127&amp;"_"&amp;$B127,Results_Deltas!$A$2:$P$15000,5,FALSE),"")</f>
        <v/>
      </c>
      <c r="H127" t="inlineStr">
        <is>
          <t>Blanket (page end)</t>
        </is>
      </c>
      <c r="L127" t="inlineStr">
        <is>
          <t>YES</t>
        </is>
      </c>
    </row>
    <row r="128" ht="15.75" customHeight="1" s="67">
      <c r="A128" t="inlineStr">
        <is>
          <t>LR_BAND_LADDER_STOCH_EXTREME</t>
        </is>
      </c>
      <c r="B128" t="inlineStr">
        <is>
          <t>30.0_ALT</t>
        </is>
      </c>
      <c r="D128" t="inlineStr">
        <is>
          <t>GLOBAL_CHECK, STOCKS_EXIT</t>
        </is>
      </c>
      <c r="G128">
        <f>IFERROR(VLOOKUP($A128&amp;"_"&amp;$B128,Results_Deltas!$A$2:$P$15000,5,FALSE),"")</f>
        <v/>
      </c>
      <c r="H128" t="inlineStr">
        <is>
          <t>Blanket (page end)</t>
        </is>
      </c>
      <c r="L128" t="inlineStr">
        <is>
          <t>NO</t>
        </is>
      </c>
    </row>
    <row r="129" ht="15.75" customHeight="1" s="67">
      <c r="A129" t="inlineStr">
        <is>
          <t>LR_BAND_LADDER_TF_BOTTOM</t>
        </is>
      </c>
      <c r="B129" t="inlineStr">
        <is>
          <t>0</t>
        </is>
      </c>
      <c r="D129" t="inlineStr">
        <is>
          <t>GLOBAL_CHECK, STOCKS_EXIT</t>
        </is>
      </c>
      <c r="G129">
        <f>IFERROR(VLOOKUP($A129&amp;"_"&amp;$B129,Results_Deltas!$A$2:$P$15000,5,FALSE),"")</f>
        <v/>
      </c>
      <c r="H129" t="inlineStr">
        <is>
          <t>Blanket (page end)</t>
        </is>
      </c>
      <c r="L129" t="inlineStr">
        <is>
          <t>NO</t>
        </is>
      </c>
    </row>
    <row r="130" ht="15.75" customHeight="1" s="67">
      <c r="A130" t="inlineStr">
        <is>
          <t>LR_BAND_LADDER_TF_BOTTOM</t>
        </is>
      </c>
      <c r="B130" t="inlineStr">
        <is>
          <t>1</t>
        </is>
      </c>
      <c r="D130" t="inlineStr">
        <is>
          <t>GLOBAL_CHECK, STOCKS_EXIT</t>
        </is>
      </c>
      <c r="G130">
        <f>IFERROR(VLOOKUP($A130&amp;"_"&amp;$B130,Results_Deltas!$A$2:$P$15000,5,FALSE),"")</f>
        <v/>
      </c>
      <c r="H130" t="inlineStr">
        <is>
          <t>Blanket (page end)</t>
        </is>
      </c>
      <c r="L130" t="inlineStr">
        <is>
          <t>NO</t>
        </is>
      </c>
    </row>
    <row r="131" ht="15.75" customHeight="1" s="67">
      <c r="A131" t="inlineStr">
        <is>
          <t>LR_BAND_LADDER_TF_TOP</t>
        </is>
      </c>
      <c r="B131" t="inlineStr">
        <is>
          <t>0</t>
        </is>
      </c>
      <c r="D131" t="inlineStr">
        <is>
          <t>GLOBAL_CHECK, STOCKS_EXIT</t>
        </is>
      </c>
      <c r="G131">
        <f>IFERROR(VLOOKUP($A131&amp;"_"&amp;$B131,Results_Deltas!$A$2:$P$15000,5,FALSE),"")</f>
        <v/>
      </c>
      <c r="H131" t="inlineStr">
        <is>
          <t>Blanket (page end)</t>
        </is>
      </c>
      <c r="L131" t="inlineStr">
        <is>
          <t>NO</t>
        </is>
      </c>
    </row>
    <row r="132" ht="15.75" customHeight="1" s="67">
      <c r="A132" t="inlineStr">
        <is>
          <t>LR_BAND_LADDER_TF_TOP</t>
        </is>
      </c>
      <c r="B132" t="inlineStr">
        <is>
          <t>1</t>
        </is>
      </c>
      <c r="D132" t="inlineStr">
        <is>
          <t>GLOBAL_CHECK, STOCKS_EXIT</t>
        </is>
      </c>
      <c r="G132">
        <f>IFERROR(VLOOKUP($A132&amp;"_"&amp;$B132,Results_Deltas!$A$2:$P$15000,5,FALSE),"")</f>
        <v/>
      </c>
      <c r="H132" t="inlineStr">
        <is>
          <t>Blanket (page end)</t>
        </is>
      </c>
      <c r="L132" t="inlineStr">
        <is>
          <t>NO</t>
        </is>
      </c>
    </row>
    <row r="133" ht="15.75" customHeight="1" s="67">
      <c r="A133" t="inlineStr">
        <is>
          <t>MANDATORY_REENTRY_WT_FILTER_MIN_TFS</t>
        </is>
      </c>
      <c r="B133" t="inlineStr">
        <is>
          <t>1</t>
        </is>
      </c>
      <c r="D133" t="inlineStr">
        <is>
          <t>GLOBAL_CHECK, STOCKS_EXIT</t>
        </is>
      </c>
      <c r="G133">
        <f>IFERROR(VLOOKUP($A133&amp;"_"&amp;$B133,Results_Deltas!$A$2:$P$15000,5,FALSE),"")</f>
        <v/>
      </c>
      <c r="H133" t="inlineStr">
        <is>
          <t>Blanket (page end)</t>
        </is>
      </c>
      <c r="L133" t="inlineStr">
        <is>
          <t>YES</t>
        </is>
      </c>
    </row>
    <row r="134" ht="15.75" customHeight="1" s="67">
      <c r="A134" t="inlineStr">
        <is>
          <t>MANDATORY_REENTRY_WT_FILTER_MIN_TFS</t>
        </is>
      </c>
      <c r="B134" t="inlineStr">
        <is>
          <t>3</t>
        </is>
      </c>
      <c r="D134" t="inlineStr">
        <is>
          <t>GLOBAL_CHECK, STOCKS_EXIT</t>
        </is>
      </c>
      <c r="G134">
        <f>IFERROR(VLOOKUP($A134&amp;"_"&amp;$B134,Results_Deltas!$A$2:$P$15000,5,FALSE),"")</f>
        <v/>
      </c>
      <c r="H134" t="inlineStr">
        <is>
          <t>Blanket (page end)</t>
        </is>
      </c>
      <c r="L134" t="inlineStr">
        <is>
          <t>NO</t>
        </is>
      </c>
    </row>
    <row r="135" ht="15.75" customHeight="1" s="67">
      <c r="A135" t="inlineStr">
        <is>
          <t>MANDATORY_REENTRY_WT_FILTER_MIN_TFS</t>
        </is>
      </c>
      <c r="B135" t="inlineStr">
        <is>
          <t>2</t>
        </is>
      </c>
      <c r="D135" t="inlineStr">
        <is>
          <t>GLOBAL_CHECK, STOCKS_EXIT</t>
        </is>
      </c>
      <c r="G135">
        <f>IFERROR(VLOOKUP($A135&amp;"_"&amp;$B135,Results_Deltas!$A$2:$P$15000,5,FALSE),"")</f>
        <v/>
      </c>
      <c r="H135" t="inlineStr">
        <is>
          <t>Blanket (page end)</t>
        </is>
      </c>
      <c r="L135" t="inlineStr">
        <is>
          <t>NO</t>
        </is>
      </c>
    </row>
    <row r="136" ht="15.75" customHeight="1" s="67">
      <c r="A136" t="inlineStr">
        <is>
          <t>MANDATORY_REENTRY_WT_FILTER_MIN_VELOCITY</t>
        </is>
      </c>
      <c r="B136" t="inlineStr">
        <is>
          <t>0.0</t>
        </is>
      </c>
      <c r="D136" t="inlineStr">
        <is>
          <t>GLOBAL_CHECK, STOCKS_EXIT</t>
        </is>
      </c>
      <c r="G136">
        <f>IFERROR(VLOOKUP($A136&amp;"_"&amp;$B136,Results_Deltas!$A$2:$P$15000,5,FALSE),"")</f>
        <v/>
      </c>
      <c r="H136" t="inlineStr">
        <is>
          <t>Blanket (page end)</t>
        </is>
      </c>
      <c r="L136" t="inlineStr">
        <is>
          <t>YES</t>
        </is>
      </c>
    </row>
    <row r="137" ht="15.75" customHeight="1" s="67">
      <c r="A137" t="inlineStr">
        <is>
          <t>MANDATORY_REENTRY_WT_FILTER_MIN_VELOCITY</t>
        </is>
      </c>
      <c r="B137" t="inlineStr">
        <is>
          <t>0.0_ALT</t>
        </is>
      </c>
      <c r="D137" t="inlineStr">
        <is>
          <t>GLOBAL_CHECK, STOCKS_EXIT</t>
        </is>
      </c>
      <c r="G137">
        <f>IFERROR(VLOOKUP($A137&amp;"_"&amp;$B137,Results_Deltas!$A$2:$P$15000,5,FALSE),"")</f>
        <v/>
      </c>
      <c r="H137" t="inlineStr">
        <is>
          <t>Blanket (page end)</t>
        </is>
      </c>
      <c r="L137" t="inlineStr">
        <is>
          <t>NO</t>
        </is>
      </c>
    </row>
    <row r="138" ht="15.75" customHeight="1" s="67">
      <c r="A138" t="inlineStr">
        <is>
          <t>MANDATORY_REENTRY_WT_FILTER_REQUIRE_FLIP</t>
        </is>
      </c>
      <c r="B138" t="inlineStr">
        <is>
          <t>False</t>
        </is>
      </c>
      <c r="D138" t="inlineStr">
        <is>
          <t>GLOBAL_CHECK, STOCKS_EXIT</t>
        </is>
      </c>
      <c r="G138">
        <f>IFERROR(VLOOKUP($A138&amp;"_"&amp;$B138,Results_Deltas!$A$2:$P$15000,5,FALSE),"")</f>
        <v/>
      </c>
      <c r="H138" t="inlineStr">
        <is>
          <t>Blanket (page end)</t>
        </is>
      </c>
      <c r="L138" t="inlineStr">
        <is>
          <t>YES</t>
        </is>
      </c>
    </row>
    <row r="139" ht="15.75" customHeight="1" s="67">
      <c r="A139" t="inlineStr">
        <is>
          <t>MANDATORY_REENTRY_WT_FILTER_REQUIRE_FLIP</t>
        </is>
      </c>
      <c r="B139" t="inlineStr">
        <is>
          <t>False_ALT</t>
        </is>
      </c>
      <c r="D139" t="inlineStr">
        <is>
          <t>GLOBAL_CHECK, STOCKS_EXIT</t>
        </is>
      </c>
      <c r="G139">
        <f>IFERROR(VLOOKUP($A139&amp;"_"&amp;$B139,Results_Deltas!$A$2:$P$15000,5,FALSE),"")</f>
        <v/>
      </c>
      <c r="H139" t="inlineStr">
        <is>
          <t>Blanket (page end)</t>
        </is>
      </c>
      <c r="L139" t="inlineStr">
        <is>
          <t>NO</t>
        </is>
      </c>
    </row>
    <row r="140" ht="15.75" customHeight="1" s="67">
      <c r="A140" t="inlineStr">
        <is>
          <t>MANDATORY_REENTRY_WT_FILTER_VELOCITY_RATIO</t>
        </is>
      </c>
      <c r="B140" t="inlineStr">
        <is>
          <t>0.90</t>
        </is>
      </c>
      <c r="D140" t="inlineStr">
        <is>
          <t>GLOBAL_CHECK, STOCKS_EXIT</t>
        </is>
      </c>
      <c r="G140">
        <f>IFERROR(VLOOKUP($A140&amp;"_"&amp;$B140,Results_Deltas!$A$2:$P$15000,5,FALSE),"")</f>
        <v/>
      </c>
      <c r="H140" t="inlineStr">
        <is>
          <t>Blanket (page end)</t>
        </is>
      </c>
      <c r="L140" t="inlineStr">
        <is>
          <t>YES</t>
        </is>
      </c>
    </row>
    <row r="141" ht="15.75" customHeight="1" s="67">
      <c r="A141" t="inlineStr">
        <is>
          <t>MANDATORY_REENTRY_WT_FILTER_VELOCITY_RATIO</t>
        </is>
      </c>
      <c r="B141" t="inlineStr">
        <is>
          <t>0.90_ALT</t>
        </is>
      </c>
      <c r="D141" t="inlineStr">
        <is>
          <t>GLOBAL_CHECK, STOCKS_EXIT</t>
        </is>
      </c>
      <c r="G141">
        <f>IFERROR(VLOOKUP($A141&amp;"_"&amp;$B141,Results_Deltas!$A$2:$P$15000,5,FALSE),"")</f>
        <v/>
      </c>
      <c r="H141" t="inlineStr">
        <is>
          <t>Blanket (page end)</t>
        </is>
      </c>
      <c r="L141" t="inlineStr">
        <is>
          <t>NO</t>
        </is>
      </c>
    </row>
    <row r="142" ht="15.75" customHeight="1" s="67">
      <c r="A142" t="inlineStr">
        <is>
          <t>MARKET_QUALITY_SCORE_ENABLED</t>
        </is>
      </c>
      <c r="B142" t="inlineStr">
        <is>
          <t>False</t>
        </is>
      </c>
      <c r="D142" t="inlineStr">
        <is>
          <t>ENTRY, GLOBAL_CHECK, STOCKS_EXIT</t>
        </is>
      </c>
      <c r="G142">
        <f>IFERROR(VLOOKUP($A142&amp;"_"&amp;$B142,Results_Deltas!$A$2:$P$15000,5,FALSE),"")</f>
        <v/>
      </c>
      <c r="H142" t="inlineStr">
        <is>
          <t>Blanket (page end)</t>
        </is>
      </c>
      <c r="L142" t="inlineStr">
        <is>
          <t>YES</t>
        </is>
      </c>
    </row>
    <row r="143" ht="15.75" customHeight="1" s="67">
      <c r="A143" t="inlineStr">
        <is>
          <t>MARKET_QUALITY_SCORE_ENABLED</t>
        </is>
      </c>
      <c r="B143" t="inlineStr">
        <is>
          <t>True</t>
        </is>
      </c>
      <c r="D143" t="inlineStr">
        <is>
          <t>ENTRY, GLOBAL_CHECK, STOCKS_EXIT</t>
        </is>
      </c>
      <c r="G143">
        <f>IFERROR(VLOOKUP($A143&amp;"_"&amp;$B143,Results_Deltas!$A$2:$P$15000,5,FALSE),"")</f>
        <v/>
      </c>
      <c r="H143" t="inlineStr">
        <is>
          <t>Blanket (page end)</t>
        </is>
      </c>
      <c r="L143" t="inlineStr">
        <is>
          <t>NO</t>
        </is>
      </c>
    </row>
    <row r="144" ht="15.75" customHeight="1" s="67">
      <c r="A144" t="inlineStr">
        <is>
          <t>MI_TF_AGREE_MIN</t>
        </is>
      </c>
      <c r="B144" t="inlineStr">
        <is>
          <t>0.0</t>
        </is>
      </c>
      <c r="D144" t="inlineStr">
        <is>
          <t>ENTRY, GLOBAL_CHECK, STOCKS_EXIT</t>
        </is>
      </c>
      <c r="G144">
        <f>IFERROR(VLOOKUP($A144&amp;"_"&amp;$B144,Results_Deltas!$A$2:$P$15000,5,FALSE),"")</f>
        <v/>
      </c>
      <c r="H144" t="inlineStr">
        <is>
          <t>Blanket (page end)</t>
        </is>
      </c>
      <c r="L144" t="inlineStr">
        <is>
          <t>NO</t>
        </is>
      </c>
    </row>
    <row r="145" ht="15.75" customHeight="1" s="67">
      <c r="A145" t="inlineStr">
        <is>
          <t>MI_TF_AGREE_MIN</t>
        </is>
      </c>
      <c r="B145" t="inlineStr">
        <is>
          <t>0.0_ALT</t>
        </is>
      </c>
      <c r="D145" t="inlineStr">
        <is>
          <t>ENTRY, GLOBAL_CHECK, STOCKS_EXIT</t>
        </is>
      </c>
      <c r="G145">
        <f>IFERROR(VLOOKUP($A145&amp;"_"&amp;$B145,Results_Deltas!$A$2:$P$15000,5,FALSE),"")</f>
        <v/>
      </c>
      <c r="H145" t="inlineStr">
        <is>
          <t>Blanket (page end)</t>
        </is>
      </c>
      <c r="L145" t="inlineStr">
        <is>
          <t>NO</t>
        </is>
      </c>
    </row>
    <row r="146" ht="15.75" customHeight="1" s="67">
      <c r="A146" t="inlineStr">
        <is>
          <t>MOVER_THRESHOLD</t>
        </is>
      </c>
      <c r="B146" t="inlineStr">
        <is>
          <t>5</t>
        </is>
      </c>
      <c r="D146" t="inlineStr">
        <is>
          <t>ENTRY, GLOBAL_CHECK, STOCKS_EXIT</t>
        </is>
      </c>
      <c r="G146">
        <f>IFERROR(VLOOKUP($A146&amp;"_"&amp;$B146,Results_Deltas!$A$2:$P$15000,5,FALSE),"")</f>
        <v/>
      </c>
      <c r="H146" t="inlineStr">
        <is>
          <t>Blanket (page end)</t>
        </is>
      </c>
      <c r="L146" t="inlineStr">
        <is>
          <t>YES</t>
        </is>
      </c>
    </row>
    <row r="147" ht="15.75" customHeight="1" s="67">
      <c r="A147" t="inlineStr">
        <is>
          <t>MOVER_THRESHOLD</t>
        </is>
      </c>
      <c r="B147" t="inlineStr">
        <is>
          <t>6.25</t>
        </is>
      </c>
      <c r="D147" t="inlineStr">
        <is>
          <t>ENTRY, GLOBAL_CHECK, STOCKS_EXIT</t>
        </is>
      </c>
      <c r="G147">
        <f>IFERROR(VLOOKUP($A147&amp;"_"&amp;$B147,Results_Deltas!$A$2:$P$15000,5,FALSE),"")</f>
        <v/>
      </c>
      <c r="H147" t="inlineStr">
        <is>
          <t>Blanket (page end)</t>
        </is>
      </c>
      <c r="L147" t="inlineStr">
        <is>
          <t>NO</t>
        </is>
      </c>
    </row>
    <row r="148" ht="15.75" customHeight="1" s="67">
      <c r="A148" t="inlineStr">
        <is>
          <t>MOVER_THRESHOLD</t>
        </is>
      </c>
      <c r="B148" t="inlineStr">
        <is>
          <t>3.75</t>
        </is>
      </c>
      <c r="D148" t="inlineStr">
        <is>
          <t>ENTRY, GLOBAL_CHECK, STOCKS_EXIT</t>
        </is>
      </c>
      <c r="G148">
        <f>IFERROR(VLOOKUP($A148&amp;"_"&amp;$B148,Results_Deltas!$A$2:$P$15000,5,FALSE),"")</f>
        <v/>
      </c>
      <c r="H148" t="inlineStr">
        <is>
          <t>Blanket (page end)</t>
        </is>
      </c>
      <c r="L148" t="inlineStr">
        <is>
          <t>NO</t>
        </is>
      </c>
    </row>
    <row r="149" ht="15.75" customHeight="1" s="67">
      <c r="A149" t="inlineStr">
        <is>
          <t>MOVER_THRESHOLD</t>
        </is>
      </c>
      <c r="B149" t="inlineStr">
        <is>
          <t>2.5</t>
        </is>
      </c>
      <c r="D149" t="inlineStr">
        <is>
          <t>ENTRY, GLOBAL_CHECK, STOCKS_EXIT</t>
        </is>
      </c>
      <c r="G149">
        <f>IFERROR(VLOOKUP($A149&amp;"_"&amp;$B149,Results_Deltas!$A$2:$P$15000,5,FALSE),"")</f>
        <v/>
      </c>
      <c r="H149" t="inlineStr">
        <is>
          <t>Blanket (page end)</t>
        </is>
      </c>
      <c r="L149" t="inlineStr">
        <is>
          <t>NO</t>
        </is>
      </c>
    </row>
    <row r="150" ht="15.75" customHeight="1" s="67">
      <c r="A150" t="inlineStr">
        <is>
          <t>MTF_FILTER_STRONG_BUY_QUICK_BYPASS</t>
        </is>
      </c>
      <c r="B150" t="inlineStr">
        <is>
          <t>0.0</t>
        </is>
      </c>
      <c r="D150" t="inlineStr">
        <is>
          <t>GLOBAL_CHECK, STOCKS_EXIT</t>
        </is>
      </c>
      <c r="G150">
        <f>IFERROR(VLOOKUP($A150&amp;"_"&amp;$B150,Results_Deltas!$A$2:$P$15000,5,FALSE),"")</f>
        <v/>
      </c>
      <c r="H150" t="inlineStr">
        <is>
          <t>Blanket (page end)</t>
        </is>
      </c>
      <c r="L150" t="inlineStr">
        <is>
          <t>NO</t>
        </is>
      </c>
    </row>
    <row r="151" ht="15.75" customHeight="1" s="67">
      <c r="A151" t="inlineStr">
        <is>
          <t>MTF_FILTER_STRONG_BUY_QUICK_BYPASS</t>
        </is>
      </c>
      <c r="B151" t="inlineStr">
        <is>
          <t>0.0_ALT</t>
        </is>
      </c>
      <c r="D151" t="inlineStr">
        <is>
          <t>GLOBAL_CHECK, STOCKS_EXIT</t>
        </is>
      </c>
      <c r="G151">
        <f>IFERROR(VLOOKUP($A151&amp;"_"&amp;$B151,Results_Deltas!$A$2:$P$15000,5,FALSE),"")</f>
        <v/>
      </c>
      <c r="H151" t="inlineStr">
        <is>
          <t>Blanket (page end)</t>
        </is>
      </c>
      <c r="L151" t="inlineStr">
        <is>
          <t>NO</t>
        </is>
      </c>
    </row>
    <row r="152" ht="15.75" customHeight="1" s="67">
      <c r="A152" t="inlineStr">
        <is>
          <t>MTF_GR_MIN_IND</t>
        </is>
      </c>
      <c r="B152" t="inlineStr">
        <is>
          <t>5</t>
        </is>
      </c>
      <c r="D152" t="inlineStr">
        <is>
          <t>GLOBAL_CHECK, STOCKS_EXIT</t>
        </is>
      </c>
      <c r="G152">
        <f>IFERROR(VLOOKUP($A152&amp;"_"&amp;$B152,Results_Deltas!$A$2:$P$15000,5,FALSE),"")</f>
        <v/>
      </c>
      <c r="H152" t="inlineStr">
        <is>
          <t>Blanket (page end)</t>
        </is>
      </c>
      <c r="L152" t="inlineStr">
        <is>
          <t>NO</t>
        </is>
      </c>
    </row>
    <row r="153" ht="15.75" customHeight="1" s="67">
      <c r="A153" t="inlineStr">
        <is>
          <t>MTF_GR_MIN_IND</t>
        </is>
      </c>
      <c r="B153" t="inlineStr">
        <is>
          <t>5_ALT</t>
        </is>
      </c>
      <c r="D153" t="inlineStr">
        <is>
          <t>GLOBAL_CHECK, STOCKS_EXIT</t>
        </is>
      </c>
      <c r="G153">
        <f>IFERROR(VLOOKUP($A153&amp;"_"&amp;$B153,Results_Deltas!$A$2:$P$15000,5,FALSE),"")</f>
        <v/>
      </c>
      <c r="H153" t="inlineStr">
        <is>
          <t>Blanket (page end)</t>
        </is>
      </c>
      <c r="L153" t="inlineStr">
        <is>
          <t>NO</t>
        </is>
      </c>
    </row>
    <row r="154" ht="15.75" customHeight="1" s="67">
      <c r="A154" t="inlineStr">
        <is>
          <t>MTS_BOTTOM_BONUS_THRESHOLD</t>
        </is>
      </c>
      <c r="B154" t="inlineStr">
        <is>
          <t>25</t>
        </is>
      </c>
      <c r="D154" t="inlineStr">
        <is>
          <t>ENTRY, GLOBAL_CHECK, STOCKS_EXIT</t>
        </is>
      </c>
      <c r="G154">
        <f>IFERROR(VLOOKUP($A154&amp;"_"&amp;$B154,Results_Deltas!$A$2:$P$15000,5,FALSE),"")</f>
        <v/>
      </c>
      <c r="H154" t="inlineStr">
        <is>
          <t>Blanket (page end)</t>
        </is>
      </c>
      <c r="L154" t="inlineStr">
        <is>
          <t>YES</t>
        </is>
      </c>
    </row>
    <row r="155" ht="15.75" customHeight="1" s="67">
      <c r="A155" t="inlineStr">
        <is>
          <t>MTS_BOTTOM_BONUS_THRESHOLD</t>
        </is>
      </c>
      <c r="B155" t="inlineStr">
        <is>
          <t>31.25</t>
        </is>
      </c>
      <c r="D155" t="inlineStr">
        <is>
          <t>ENTRY, GLOBAL_CHECK, STOCKS_EXIT</t>
        </is>
      </c>
      <c r="G155">
        <f>IFERROR(VLOOKUP($A155&amp;"_"&amp;$B155,Results_Deltas!$A$2:$P$15000,5,FALSE),"")</f>
        <v/>
      </c>
      <c r="H155" t="inlineStr">
        <is>
          <t>Blanket (page end)</t>
        </is>
      </c>
      <c r="L155" t="inlineStr">
        <is>
          <t>NO</t>
        </is>
      </c>
    </row>
    <row r="156" ht="15.75" customHeight="1" s="67">
      <c r="A156" t="inlineStr">
        <is>
          <t>MTS_BOTTOM_BONUS_THRESHOLD</t>
        </is>
      </c>
      <c r="B156" t="inlineStr">
        <is>
          <t>18.75</t>
        </is>
      </c>
      <c r="D156" t="inlineStr">
        <is>
          <t>ENTRY, GLOBAL_CHECK, STOCKS_EXIT</t>
        </is>
      </c>
      <c r="G156">
        <f>IFERROR(VLOOKUP($A156&amp;"_"&amp;$B156,Results_Deltas!$A$2:$P$15000,5,FALSE),"")</f>
        <v/>
      </c>
      <c r="H156" t="inlineStr">
        <is>
          <t>Blanket (page end)</t>
        </is>
      </c>
      <c r="L156" t="inlineStr">
        <is>
          <t>NO</t>
        </is>
      </c>
    </row>
    <row r="157" ht="15.75" customHeight="1" s="67">
      <c r="A157" t="inlineStr">
        <is>
          <t>MTS_BOTTOM_BONUS_THRESHOLD</t>
        </is>
      </c>
      <c r="B157" t="inlineStr">
        <is>
          <t>12.5</t>
        </is>
      </c>
      <c r="D157" t="inlineStr">
        <is>
          <t>ENTRY, GLOBAL_CHECK, STOCKS_EXIT</t>
        </is>
      </c>
      <c r="G157">
        <f>IFERROR(VLOOKUP($A157&amp;"_"&amp;$B157,Results_Deltas!$A$2:$P$15000,5,FALSE),"")</f>
        <v/>
      </c>
      <c r="H157" t="inlineStr">
        <is>
          <t>Blanket (page end)</t>
        </is>
      </c>
      <c r="L157" t="inlineStr">
        <is>
          <t>NO</t>
        </is>
      </c>
    </row>
    <row r="158" ht="15.75" customHeight="1" s="67">
      <c r="A158" t="inlineStr">
        <is>
          <t>MTS_BOTTOM_STRONG_THRESHOLD</t>
        </is>
      </c>
      <c r="B158" t="inlineStr">
        <is>
          <t>40</t>
        </is>
      </c>
      <c r="D158" t="inlineStr">
        <is>
          <t>ENTRY, GLOBAL_CHECK, STOCKS_EXIT</t>
        </is>
      </c>
      <c r="G158">
        <f>IFERROR(VLOOKUP($A158&amp;"_"&amp;$B158,Results_Deltas!$A$2:$P$15000,5,FALSE),"")</f>
        <v/>
      </c>
      <c r="H158" t="inlineStr">
        <is>
          <t>Blanket (page end)</t>
        </is>
      </c>
      <c r="L158" t="inlineStr">
        <is>
          <t>YES</t>
        </is>
      </c>
    </row>
    <row r="159" ht="15.75" customHeight="1" s="67">
      <c r="A159" t="inlineStr">
        <is>
          <t>MTS_BOTTOM_STRONG_THRESHOLD</t>
        </is>
      </c>
      <c r="B159" t="inlineStr">
        <is>
          <t>50</t>
        </is>
      </c>
      <c r="D159" t="inlineStr">
        <is>
          <t>ENTRY, GLOBAL_CHECK, STOCKS_EXIT</t>
        </is>
      </c>
      <c r="G159">
        <f>IFERROR(VLOOKUP($A159&amp;"_"&amp;$B159,Results_Deltas!$A$2:$P$15000,5,FALSE),"")</f>
        <v/>
      </c>
      <c r="H159" t="inlineStr">
        <is>
          <t>Blanket (page end)</t>
        </is>
      </c>
      <c r="L159" t="inlineStr">
        <is>
          <t>NO</t>
        </is>
      </c>
    </row>
    <row r="160" ht="15.75" customHeight="1" s="67">
      <c r="A160" t="inlineStr">
        <is>
          <t>MTS_BOTTOM_STRONG_THRESHOLD</t>
        </is>
      </c>
      <c r="B160" t="inlineStr">
        <is>
          <t>30</t>
        </is>
      </c>
      <c r="D160" t="inlineStr">
        <is>
          <t>ENTRY, GLOBAL_CHECK, STOCKS_EXIT</t>
        </is>
      </c>
      <c r="G160">
        <f>IFERROR(VLOOKUP($A160&amp;"_"&amp;$B160,Results_Deltas!$A$2:$P$15000,5,FALSE),"")</f>
        <v/>
      </c>
      <c r="H160" t="inlineStr">
        <is>
          <t>Blanket (page end)</t>
        </is>
      </c>
      <c r="L160" t="inlineStr">
        <is>
          <t>NO</t>
        </is>
      </c>
    </row>
    <row r="161" ht="15.75" customHeight="1" s="67">
      <c r="A161" t="inlineStr">
        <is>
          <t>MTS_BOTTOM_STRONG_THRESHOLD</t>
        </is>
      </c>
      <c r="B161" t="inlineStr">
        <is>
          <t>20</t>
        </is>
      </c>
      <c r="D161" t="inlineStr">
        <is>
          <t>ENTRY, GLOBAL_CHECK, STOCKS_EXIT</t>
        </is>
      </c>
      <c r="G161">
        <f>IFERROR(VLOOKUP($A161&amp;"_"&amp;$B161,Results_Deltas!$A$2:$P$15000,5,FALSE),"")</f>
        <v/>
      </c>
      <c r="H161" t="inlineStr">
        <is>
          <t>Blanket (page end)</t>
        </is>
      </c>
      <c r="L161" t="inlineStr">
        <is>
          <t>NO</t>
        </is>
      </c>
    </row>
    <row r="162" ht="15.75" customHeight="1" s="67">
      <c r="A162" t="inlineStr">
        <is>
          <t>MTS_GATE_ENABLED</t>
        </is>
      </c>
      <c r="B162" t="inlineStr">
        <is>
          <t>False</t>
        </is>
      </c>
      <c r="D162" t="inlineStr">
        <is>
          <t>ENTRY, GLOBAL_CHECK, STOCKS_EXIT</t>
        </is>
      </c>
      <c r="G162">
        <f>IFERROR(VLOOKUP($A162&amp;"_"&amp;$B162,Results_Deltas!$A$2:$P$15000,5,FALSE),"")</f>
        <v/>
      </c>
      <c r="H162" t="inlineStr">
        <is>
          <t>Blanket (page end)</t>
        </is>
      </c>
      <c r="L162" t="inlineStr">
        <is>
          <t>NO</t>
        </is>
      </c>
    </row>
    <row r="163" ht="15.75" customHeight="1" s="67">
      <c r="A163" t="inlineStr">
        <is>
          <t>MTS_GATE_ENABLED</t>
        </is>
      </c>
      <c r="B163" t="inlineStr">
        <is>
          <t>True</t>
        </is>
      </c>
      <c r="D163" t="inlineStr">
        <is>
          <t>ENTRY, GLOBAL_CHECK, STOCKS_EXIT</t>
        </is>
      </c>
      <c r="G163">
        <f>IFERROR(VLOOKUP($A163&amp;"_"&amp;$B163,Results_Deltas!$A$2:$P$15000,5,FALSE),"")</f>
        <v/>
      </c>
      <c r="H163" t="inlineStr">
        <is>
          <t>Blanket (page end)</t>
        </is>
      </c>
      <c r="L163" t="inlineStr">
        <is>
          <t>YES</t>
        </is>
      </c>
    </row>
    <row r="164" ht="15.75" customHeight="1" s="67">
      <c r="A164" t="inlineStr">
        <is>
          <t>NEWBORN_LOSS_KILL_GAIN_THRESHOLD_PCT</t>
        </is>
      </c>
      <c r="B164" t="inlineStr">
        <is>
          <t>0</t>
        </is>
      </c>
      <c r="D164" t="inlineStr">
        <is>
          <t>AUGMENT, EXIT, GLOBAL_CHECK, REDUCE, STOCKS_EXIT</t>
        </is>
      </c>
      <c r="G164">
        <f>IFERROR(VLOOKUP($A164&amp;"_"&amp;$B164,Results_Deltas!$A$2:$P$15000,5,FALSE),"")</f>
        <v/>
      </c>
      <c r="H164" t="inlineStr">
        <is>
          <t>Blanket (page end)</t>
        </is>
      </c>
      <c r="L164" t="inlineStr">
        <is>
          <t>YES</t>
        </is>
      </c>
    </row>
    <row r="165" ht="15.75" customHeight="1" s="67">
      <c r="A165" t="inlineStr">
        <is>
          <t>NEWBORN_LOSS_KILL_GAIN_THRESHOLD_PCT</t>
        </is>
      </c>
      <c r="B165" t="inlineStr">
        <is>
          <t>2.0</t>
        </is>
      </c>
      <c r="D165" t="inlineStr">
        <is>
          <t>AUGMENT, EXIT, GLOBAL_CHECK, REDUCE, STOCKS_EXIT</t>
        </is>
      </c>
      <c r="G165">
        <f>IFERROR(VLOOKUP($A165&amp;"_"&amp;$B165,Results_Deltas!$A$2:$P$15000,5,FALSE),"")</f>
        <v/>
      </c>
      <c r="H165" t="inlineStr">
        <is>
          <t>Blanket (page end)</t>
        </is>
      </c>
      <c r="L165" t="inlineStr">
        <is>
          <t>NO</t>
        </is>
      </c>
    </row>
    <row r="166" ht="15.75" customHeight="1" s="67">
      <c r="A166" t="inlineStr">
        <is>
          <t>NEWBORN_LOSS_KILL_GAIN_THRESHOLD_PCT</t>
        </is>
      </c>
      <c r="B166" t="inlineStr">
        <is>
          <t>1.0</t>
        </is>
      </c>
      <c r="D166" t="inlineStr">
        <is>
          <t>AUGMENT, EXIT, GLOBAL_CHECK, REDUCE, STOCKS_EXIT</t>
        </is>
      </c>
      <c r="G166">
        <f>IFERROR(VLOOKUP($A166&amp;"_"&amp;$B166,Results_Deltas!$A$2:$P$15000,5,FALSE),"")</f>
        <v/>
      </c>
      <c r="H166" t="inlineStr">
        <is>
          <t>Blanket (page end)</t>
        </is>
      </c>
      <c r="L166" t="inlineStr">
        <is>
          <t>NO</t>
        </is>
      </c>
    </row>
    <row r="167" ht="15.75" customHeight="1" s="67">
      <c r="A167" t="inlineStr">
        <is>
          <t>NEWBORN_LOSS_KILL_GAIN_THRESHOLD_PCT</t>
        </is>
      </c>
      <c r="B167" t="inlineStr">
        <is>
          <t>0.5</t>
        </is>
      </c>
      <c r="D167" t="inlineStr">
        <is>
          <t>AUGMENT, EXIT, GLOBAL_CHECK, REDUCE, STOCKS_EXIT</t>
        </is>
      </c>
      <c r="G167">
        <f>IFERROR(VLOOKUP($A167&amp;"_"&amp;$B167,Results_Deltas!$A$2:$P$15000,5,FALSE),"")</f>
        <v/>
      </c>
      <c r="H167" t="inlineStr">
        <is>
          <t>Blanket (page end)</t>
        </is>
      </c>
      <c r="L167" t="inlineStr">
        <is>
          <t>NO</t>
        </is>
      </c>
    </row>
    <row r="168" ht="15.75" customHeight="1" s="67">
      <c r="A168" t="inlineStr">
        <is>
          <t>NEWBORN_LOSS_KILL_REQUIRE_VEL_AGAINST</t>
        </is>
      </c>
      <c r="B168" t="inlineStr">
        <is>
          <t>0.0</t>
        </is>
      </c>
      <c r="D168" t="inlineStr">
        <is>
          <t>AUGMENT, EXIT, GLOBAL_CHECK, REDUCE, STOCKS_EXIT</t>
        </is>
      </c>
      <c r="G168">
        <f>IFERROR(VLOOKUP($A168&amp;"_"&amp;$B168,Results_Deltas!$A$2:$P$15000,5,FALSE),"")</f>
        <v/>
      </c>
      <c r="H168" t="inlineStr">
        <is>
          <t>Blanket (page end)</t>
        </is>
      </c>
      <c r="L168" t="inlineStr">
        <is>
          <t>NO</t>
        </is>
      </c>
    </row>
    <row r="169" ht="15.75" customHeight="1" s="67">
      <c r="A169" t="inlineStr">
        <is>
          <t>NEWBORN_LOSS_KILL_REQUIRE_VEL_AGAINST</t>
        </is>
      </c>
      <c r="B169" t="inlineStr">
        <is>
          <t>0.0_ALT</t>
        </is>
      </c>
      <c r="D169" t="inlineStr">
        <is>
          <t>AUGMENT, EXIT, GLOBAL_CHECK, REDUCE, STOCKS_EXIT</t>
        </is>
      </c>
      <c r="G169">
        <f>IFERROR(VLOOKUP($A169&amp;"_"&amp;$B169,Results_Deltas!$A$2:$P$15000,5,FALSE),"")</f>
        <v/>
      </c>
      <c r="H169" t="inlineStr">
        <is>
          <t>Blanket (page end)</t>
        </is>
      </c>
      <c r="L169" t="inlineStr">
        <is>
          <t>NO</t>
        </is>
      </c>
    </row>
    <row r="170" ht="15.75" customHeight="1" s="67">
      <c r="A170" t="inlineStr">
        <is>
          <t>NEW_POSITION_MAX_LOSS_THRESHOLD</t>
        </is>
      </c>
      <c r="B170" t="inlineStr">
        <is>
          <t>0</t>
        </is>
      </c>
      <c r="D170" t="inlineStr">
        <is>
          <t>AUGMENT, EXIT, GLOBAL_CHECK, REDUCE, STOCKS_EXIT</t>
        </is>
      </c>
      <c r="G170">
        <f>IFERROR(VLOOKUP($A170&amp;"_"&amp;$B170,Results_Deltas!$A$2:$P$15000,5,FALSE),"")</f>
        <v/>
      </c>
      <c r="H170" t="inlineStr">
        <is>
          <t>Blanket (page end)</t>
        </is>
      </c>
      <c r="L170" t="inlineStr">
        <is>
          <t>NO</t>
        </is>
      </c>
    </row>
    <row r="171" ht="15.75" customHeight="1" s="67">
      <c r="A171" t="inlineStr">
        <is>
          <t>NEW_POSITION_MAX_LOSS_THRESHOLD</t>
        </is>
      </c>
      <c r="B171" t="inlineStr">
        <is>
          <t>2.0</t>
        </is>
      </c>
      <c r="D171" t="inlineStr">
        <is>
          <t>AUGMENT, EXIT, GLOBAL_CHECK, REDUCE, STOCKS_EXIT</t>
        </is>
      </c>
      <c r="G171">
        <f>IFERROR(VLOOKUP($A171&amp;"_"&amp;$B171,Results_Deltas!$A$2:$P$15000,5,FALSE),"")</f>
        <v/>
      </c>
      <c r="H171" t="inlineStr">
        <is>
          <t>Blanket (page end)</t>
        </is>
      </c>
      <c r="L171" t="inlineStr">
        <is>
          <t>NO</t>
        </is>
      </c>
    </row>
    <row r="172" ht="15.75" customHeight="1" s="67">
      <c r="A172" t="inlineStr">
        <is>
          <t>NEW_POSITION_MAX_LOSS_THRESHOLD</t>
        </is>
      </c>
      <c r="B172" t="inlineStr">
        <is>
          <t>1.0</t>
        </is>
      </c>
      <c r="D172" t="inlineStr">
        <is>
          <t>AUGMENT, EXIT, GLOBAL_CHECK, REDUCE, STOCKS_EXIT</t>
        </is>
      </c>
      <c r="G172">
        <f>IFERROR(VLOOKUP($A172&amp;"_"&amp;$B172,Results_Deltas!$A$2:$P$15000,5,FALSE),"")</f>
        <v/>
      </c>
      <c r="H172" t="inlineStr">
        <is>
          <t>Blanket (page end)</t>
        </is>
      </c>
      <c r="L172" t="inlineStr">
        <is>
          <t>NO</t>
        </is>
      </c>
    </row>
    <row r="173" ht="15.75" customHeight="1" s="67">
      <c r="A173" t="inlineStr">
        <is>
          <t>NEW_POSITION_MAX_LOSS_THRESHOLD</t>
        </is>
      </c>
      <c r="B173" t="inlineStr">
        <is>
          <t>0.5</t>
        </is>
      </c>
      <c r="D173" t="inlineStr">
        <is>
          <t>AUGMENT, EXIT, GLOBAL_CHECK, REDUCE, STOCKS_EXIT</t>
        </is>
      </c>
      <c r="G173">
        <f>IFERROR(VLOOKUP($A173&amp;"_"&amp;$B173,Results_Deltas!$A$2:$P$15000,5,FALSE),"")</f>
        <v/>
      </c>
      <c r="H173" t="inlineStr">
        <is>
          <t>Blanket (page end)</t>
        </is>
      </c>
      <c r="L173" t="inlineStr">
        <is>
          <t>NO</t>
        </is>
      </c>
    </row>
    <row r="174" ht="15.75" customHeight="1" s="67">
      <c r="A174" t="inlineStr">
        <is>
          <t>OI_CONFIRM_ENABLED</t>
        </is>
      </c>
      <c r="B174" t="inlineStr">
        <is>
          <t>False</t>
        </is>
      </c>
      <c r="D174" t="inlineStr">
        <is>
          <t>ENTRY, GLOBAL_CHECK, STOCKS_EXIT</t>
        </is>
      </c>
      <c r="G174">
        <f>IFERROR(VLOOKUP($A174&amp;"_"&amp;$B174,Results_Deltas!$A$2:$P$15000,5,FALSE),"")</f>
        <v/>
      </c>
      <c r="H174" t="inlineStr">
        <is>
          <t>Blanket (page end)</t>
        </is>
      </c>
      <c r="L174" t="inlineStr">
        <is>
          <t>NO</t>
        </is>
      </c>
    </row>
    <row r="175" ht="15.75" customHeight="1" s="67">
      <c r="A175" t="inlineStr">
        <is>
          <t>OI_CONFIRM_ENABLED</t>
        </is>
      </c>
      <c r="B175" t="inlineStr">
        <is>
          <t>True</t>
        </is>
      </c>
      <c r="D175" t="inlineStr">
        <is>
          <t>ENTRY, GLOBAL_CHECK, STOCKS_EXIT</t>
        </is>
      </c>
      <c r="G175">
        <f>IFERROR(VLOOKUP($A175&amp;"_"&amp;$B175,Results_Deltas!$A$2:$P$15000,5,FALSE),"")</f>
        <v/>
      </c>
      <c r="H175" t="inlineStr">
        <is>
          <t>Blanket (page end)</t>
        </is>
      </c>
      <c r="L175" t="inlineStr">
        <is>
          <t>YES</t>
        </is>
      </c>
    </row>
    <row r="176" ht="15.75" customHeight="1" s="67">
      <c r="A176" t="inlineStr">
        <is>
          <t>OI_CONFIRM_MIN_CHANGE_PCT</t>
        </is>
      </c>
      <c r="B176" t="inlineStr">
        <is>
          <t>0</t>
        </is>
      </c>
      <c r="D176" t="inlineStr">
        <is>
          <t>ENTRY, GLOBAL_CHECK, STOCKS_EXIT</t>
        </is>
      </c>
      <c r="G176">
        <f>IFERROR(VLOOKUP($A176&amp;"_"&amp;$B176,Results_Deltas!$A$2:$P$15000,5,FALSE),"")</f>
        <v/>
      </c>
      <c r="H176" t="inlineStr">
        <is>
          <t>Blanket (page end)</t>
        </is>
      </c>
      <c r="L176" t="inlineStr">
        <is>
          <t>NO</t>
        </is>
      </c>
    </row>
    <row r="177" ht="15.75" customHeight="1" s="67">
      <c r="A177" t="inlineStr">
        <is>
          <t>OI_CONFIRM_MIN_CHANGE_PCT</t>
        </is>
      </c>
      <c r="B177" t="inlineStr">
        <is>
          <t>2.0</t>
        </is>
      </c>
      <c r="D177" t="inlineStr">
        <is>
          <t>ENTRY, GLOBAL_CHECK, STOCKS_EXIT</t>
        </is>
      </c>
      <c r="G177">
        <f>IFERROR(VLOOKUP($A177&amp;"_"&amp;$B177,Results_Deltas!$A$2:$P$15000,5,FALSE),"")</f>
        <v/>
      </c>
      <c r="H177" t="inlineStr">
        <is>
          <t>Blanket (page end)</t>
        </is>
      </c>
      <c r="L177" t="inlineStr">
        <is>
          <t>NO</t>
        </is>
      </c>
    </row>
    <row r="178" ht="15.75" customHeight="1" s="67">
      <c r="A178" t="inlineStr">
        <is>
          <t>OI_CONFIRM_MIN_CHANGE_PCT</t>
        </is>
      </c>
      <c r="B178" t="inlineStr">
        <is>
          <t>1.0</t>
        </is>
      </c>
      <c r="D178" t="inlineStr">
        <is>
          <t>ENTRY, GLOBAL_CHECK, STOCKS_EXIT</t>
        </is>
      </c>
      <c r="G178">
        <f>IFERROR(VLOOKUP($A178&amp;"_"&amp;$B178,Results_Deltas!$A$2:$P$15000,5,FALSE),"")</f>
        <v/>
      </c>
      <c r="H178" t="inlineStr">
        <is>
          <t>Blanket (page end)</t>
        </is>
      </c>
      <c r="L178" t="inlineStr">
        <is>
          <t>NO</t>
        </is>
      </c>
    </row>
    <row r="179" ht="15.75" customHeight="1" s="67">
      <c r="A179" t="inlineStr">
        <is>
          <t>OI_CONFIRM_MIN_CHANGE_PCT</t>
        </is>
      </c>
      <c r="B179" t="inlineStr">
        <is>
          <t>0.5</t>
        </is>
      </c>
      <c r="D179" t="inlineStr">
        <is>
          <t>ENTRY, GLOBAL_CHECK, STOCKS_EXIT</t>
        </is>
      </c>
      <c r="G179">
        <f>IFERROR(VLOOKUP($A179&amp;"_"&amp;$B179,Results_Deltas!$A$2:$P$15000,5,FALSE),"")</f>
        <v/>
      </c>
      <c r="H179" t="inlineStr">
        <is>
          <t>Blanket (page end)</t>
        </is>
      </c>
      <c r="L179" t="inlineStr">
        <is>
          <t>YES</t>
        </is>
      </c>
    </row>
    <row r="180" ht="15.75" customHeight="1" s="67">
      <c r="A180" t="inlineStr">
        <is>
          <t>OI_CONFIRM_MIN_PRICE_PCT</t>
        </is>
      </c>
      <c r="B180" t="inlineStr">
        <is>
          <t>0</t>
        </is>
      </c>
      <c r="D180" t="inlineStr">
        <is>
          <t>ENTRY, GLOBAL_CHECK, STOCKS_EXIT</t>
        </is>
      </c>
      <c r="G180">
        <f>IFERROR(VLOOKUP($A180&amp;"_"&amp;$B180,Results_Deltas!$A$2:$P$15000,5,FALSE),"")</f>
        <v/>
      </c>
      <c r="H180" t="inlineStr">
        <is>
          <t>Blanket (page end)</t>
        </is>
      </c>
      <c r="L180" t="inlineStr">
        <is>
          <t>NO</t>
        </is>
      </c>
    </row>
    <row r="181" ht="15.75" customHeight="1" s="67">
      <c r="A181" t="inlineStr">
        <is>
          <t>OI_CONFIRM_MIN_PRICE_PCT</t>
        </is>
      </c>
      <c r="B181" t="inlineStr">
        <is>
          <t>2.0</t>
        </is>
      </c>
      <c r="D181" t="inlineStr">
        <is>
          <t>ENTRY, GLOBAL_CHECK, STOCKS_EXIT</t>
        </is>
      </c>
      <c r="G181">
        <f>IFERROR(VLOOKUP($A181&amp;"_"&amp;$B181,Results_Deltas!$A$2:$P$15000,5,FALSE),"")</f>
        <v/>
      </c>
      <c r="H181" t="inlineStr">
        <is>
          <t>Blanket (page end)</t>
        </is>
      </c>
      <c r="L181" t="inlineStr">
        <is>
          <t>NO</t>
        </is>
      </c>
    </row>
    <row r="182" ht="15.75" customHeight="1" s="67">
      <c r="A182" t="inlineStr">
        <is>
          <t>OI_CONFIRM_MIN_PRICE_PCT</t>
        </is>
      </c>
      <c r="B182" t="inlineStr">
        <is>
          <t>1.0</t>
        </is>
      </c>
      <c r="D182" t="inlineStr">
        <is>
          <t>ENTRY, GLOBAL_CHECK, STOCKS_EXIT</t>
        </is>
      </c>
      <c r="G182">
        <f>IFERROR(VLOOKUP($A182&amp;"_"&amp;$B182,Results_Deltas!$A$2:$P$15000,5,FALSE),"")</f>
        <v/>
      </c>
      <c r="H182" t="inlineStr">
        <is>
          <t>Blanket (page end)</t>
        </is>
      </c>
      <c r="L182" t="inlineStr">
        <is>
          <t>NO</t>
        </is>
      </c>
    </row>
    <row r="183" ht="15.75" customHeight="1" s="67">
      <c r="A183" t="inlineStr">
        <is>
          <t>OI_CONFIRM_MIN_PRICE_PCT</t>
        </is>
      </c>
      <c r="B183" t="inlineStr">
        <is>
          <t>0.5</t>
        </is>
      </c>
      <c r="D183" t="inlineStr">
        <is>
          <t>ENTRY, GLOBAL_CHECK, STOCKS_EXIT</t>
        </is>
      </c>
      <c r="G183">
        <f>IFERROR(VLOOKUP($A183&amp;"_"&amp;$B183,Results_Deltas!$A$2:$P$15000,5,FALSE),"")</f>
        <v/>
      </c>
      <c r="H183" t="inlineStr">
        <is>
          <t>Blanket (page end)</t>
        </is>
      </c>
      <c r="L183" t="inlineStr">
        <is>
          <t>NO</t>
        </is>
      </c>
    </row>
    <row r="184">
      <c r="A184" t="inlineStr">
        <is>
          <t>BB_EXIT_AT_LOSS_TF</t>
        </is>
      </c>
      <c r="B184" t="inlineStr">
        <is>
          <t>OFF</t>
        </is>
      </c>
      <c r="D184" t="inlineStr">
        <is>
          <t>EXIT_BB</t>
        </is>
      </c>
      <c r="G184">
        <f>IFERROR(VLOOKUP($A184&amp;"_"&amp;$B184,Results_Deltas!$A$2:$P$15000,5,FALSE),"")</f>
        <v/>
      </c>
      <c r="L184" t="inlineStr">
        <is>
          <t>YES</t>
        </is>
      </c>
    </row>
    <row r="185">
      <c r="A185" t="inlineStr">
        <is>
          <t>BB_EXIT_AT_LOSS_TF</t>
        </is>
      </c>
      <c r="B185" t="inlineStr">
        <is>
          <t>15m</t>
        </is>
      </c>
      <c r="D185" t="inlineStr">
        <is>
          <t>EXIT_BB</t>
        </is>
      </c>
      <c r="G185">
        <f>IFERROR(VLOOKUP($A185&amp;"_"&amp;$B185,Results_Deltas!$A$2:$P$15000,5,FALSE),"")</f>
        <v/>
      </c>
      <c r="L185" t="inlineStr">
        <is>
          <t>NO</t>
        </is>
      </c>
    </row>
    <row r="186">
      <c r="A186" t="inlineStr">
        <is>
          <t>BB_EXIT_AT_LOSS_TF</t>
        </is>
      </c>
      <c r="B186" t="inlineStr">
        <is>
          <t>1h</t>
        </is>
      </c>
      <c r="D186" t="inlineStr">
        <is>
          <t>EXIT_BB</t>
        </is>
      </c>
      <c r="G186">
        <f>IFERROR(VLOOKUP($A186&amp;"_"&amp;$B186,Results_Deltas!$A$2:$P$15000,5,FALSE),"")</f>
        <v/>
      </c>
      <c r="L186" t="inlineStr">
        <is>
          <t>NO</t>
        </is>
      </c>
    </row>
    <row r="187">
      <c r="A187" t="inlineStr">
        <is>
          <t>BB_EXIT_AT_LOSS_TF</t>
        </is>
      </c>
      <c r="B187" t="inlineStr">
        <is>
          <t>4h</t>
        </is>
      </c>
      <c r="D187" t="inlineStr">
        <is>
          <t>EXIT_BB</t>
        </is>
      </c>
      <c r="G187">
        <f>IFERROR(VLOOKUP($A187&amp;"_"&amp;$B187,Results_Deltas!$A$2:$P$15000,5,FALSE),"")</f>
        <v/>
      </c>
      <c r="L187" t="inlineStr">
        <is>
          <t>NO</t>
        </is>
      </c>
    </row>
    <row r="188">
      <c r="A188" t="inlineStr">
        <is>
          <t>BB_EXIT_AT_LOSS_TF</t>
        </is>
      </c>
      <c r="B188" t="inlineStr">
        <is>
          <t>D</t>
        </is>
      </c>
      <c r="D188" t="inlineStr">
        <is>
          <t>EXIT_BB</t>
        </is>
      </c>
      <c r="G188">
        <f>IFERROR(VLOOKUP($A188&amp;"_"&amp;$B188,Results_Deltas!$A$2:$P$15000,5,FALSE),"")</f>
        <v/>
      </c>
      <c r="L188"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05 EXIT_VELOCITY - 26 bases -&gt; 80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WT_CROSS_EXIT_ENABLED</t>
        </is>
      </c>
      <c r="B3" t="inlineStr">
        <is>
          <t>False</t>
        </is>
      </c>
      <c r="G3">
        <f>IFERROR(VLOOKUP($A3&amp;"="&amp;$B3,Results_Deltas!$A$2:$P$15000,5,FALSE),"")</f>
        <v/>
      </c>
      <c r="H3">
        <f>IFERROR(VLOOKUP($A3,Results_30d_Deltas!$A$2:$H$5000,7,FALSE)-E3,"")</f>
        <v/>
      </c>
      <c r="I3">
        <f>IFERROR(VLOOKUP($A3,Results_30d_Deltas!$A$2:$H$5000,6,FALSE),"")</f>
        <v/>
      </c>
      <c r="L3" t="inlineStr">
        <is>
          <t>YES</t>
        </is>
      </c>
      <c r="IK3" t="inlineStr">
        <is>
          <t>ez_manage.py:1751 top()</t>
        </is>
      </c>
      <c r="IL3" t="inlineStr">
        <is>
          <t>v12_quick_engine.py:2439 x5</t>
        </is>
      </c>
    </row>
    <row r="4" ht="10.5" customHeight="1" s="67">
      <c r="A4" t="inlineStr">
        <is>
          <t>WT_CROSS_EXIT_ENABLED</t>
        </is>
      </c>
      <c r="B4" t="inlineStr">
        <is>
          <t>True</t>
        </is>
      </c>
      <c r="G4">
        <f>IFERROR(VLOOKUP($A4&amp;"_"&amp;$B4,Results_Deltas!$A$2:$P$15000,5,FALSE),"")</f>
        <v/>
      </c>
      <c r="H4">
        <f>IFERROR(VLOOKUP($A4,Results_30d_Deltas!$A$2:$H$5000,7,FALSE)-E3,"")</f>
        <v/>
      </c>
      <c r="I4">
        <f>IFERROR(VLOOKUP($A4,Results_30d_Deltas!$A$2:$H$5000,6,FALSE),"")</f>
        <v/>
      </c>
      <c r="L4" t="inlineStr">
        <is>
          <t>NO</t>
        </is>
      </c>
      <c r="IK4" t="inlineStr">
        <is>
          <t>ez_manage.py:1751 top()</t>
        </is>
      </c>
      <c r="IL4" t="inlineStr">
        <is>
          <t>v12_quick_engine.py:2439 x5</t>
        </is>
      </c>
    </row>
    <row r="5" ht="10.5" customHeight="1" s="67">
      <c r="A5" t="inlineStr">
        <is>
          <t>BB_SQUEEZE_EXIT_ENABLED</t>
        </is>
      </c>
      <c r="B5" t="inlineStr">
        <is>
          <t>False</t>
        </is>
      </c>
      <c r="G5">
        <f>IFERROR(VLOOKUP($A5&amp;"_"&amp;$B5,Results_Deltas!$A$2:$P$15000,5,FALSE),"")</f>
        <v/>
      </c>
      <c r="H5">
        <f>IFERROR(VLOOKUP($A5,Results_30d_Deltas!$A$2:$H$5000,7,FALSE)-E4,"")</f>
        <v/>
      </c>
      <c r="I5">
        <f>IFERROR(VLOOKUP($A5,Results_30d_Deltas!$A$2:$H$5000,6,FALSE),"")</f>
        <v/>
      </c>
      <c r="L5" t="inlineStr">
        <is>
          <t>NO</t>
        </is>
      </c>
      <c r="IK5" t="inlineStr">
        <is>
          <t>ez_manage.py:6163 top()</t>
        </is>
      </c>
      <c r="IL5" t="inlineStr">
        <is>
          <t>v12_quick_engine.py:891 x4</t>
        </is>
      </c>
    </row>
    <row r="6" ht="10.5" customHeight="1" s="67">
      <c r="A6" t="inlineStr">
        <is>
          <t>BB_SQUEEZE_EXIT_ENABLED</t>
        </is>
      </c>
      <c r="B6" t="inlineStr">
        <is>
          <t>True</t>
        </is>
      </c>
      <c r="G6">
        <f>IFERROR(VLOOKUP($A6&amp;"_"&amp;$B6,Results_Deltas!$A$2:$P$15000,5,FALSE),"")</f>
        <v/>
      </c>
      <c r="H6">
        <f>IFERROR(VLOOKUP($A6,Results_30d_Deltas!$A$2:$H$5000,7,FALSE)-E5,"")</f>
        <v/>
      </c>
      <c r="I6">
        <f>IFERROR(VLOOKUP($A6,Results_30d_Deltas!$A$2:$H$5000,6,FALSE),"")</f>
        <v/>
      </c>
      <c r="L6" t="inlineStr">
        <is>
          <t>NO</t>
        </is>
      </c>
      <c r="IK6" t="inlineStr">
        <is>
          <t>ez_manage.py:6163 top()</t>
        </is>
      </c>
      <c r="IL6" t="inlineStr">
        <is>
          <t>v12_quick_engine.py:891 x4</t>
        </is>
      </c>
    </row>
    <row r="7" ht="10.5" customHeight="1" s="67">
      <c r="A7" t="inlineStr">
        <is>
          <t>BTC_DIVERGENCE_EXIT_AGAINST</t>
        </is>
      </c>
      <c r="B7" t="inlineStr">
        <is>
          <t>0</t>
        </is>
      </c>
      <c r="G7">
        <f>IFERROR(VLOOKUP($A7&amp;"_"&amp;$B7,Results_Deltas!$A$2:$P$15000,5,FALSE),"")</f>
        <v/>
      </c>
      <c r="H7">
        <f>IFERROR(VLOOKUP($A7,Results_30d_Deltas!$A$2:$H$5000,7,FALSE)-E6,"")</f>
        <v/>
      </c>
      <c r="I7">
        <f>IFERROR(VLOOKUP($A7,Results_30d_Deltas!$A$2:$H$5000,6,FALSE),"")</f>
        <v/>
      </c>
      <c r="L7" t="inlineStr">
        <is>
          <t>NO</t>
        </is>
      </c>
      <c r="IK7" t="inlineStr">
        <is>
          <t>ez_manage.py:4448 top()</t>
        </is>
      </c>
      <c r="IL7" t="inlineStr">
        <is>
          <t>v12_quick_engine.py:408 x8</t>
        </is>
      </c>
    </row>
    <row r="8" ht="10.5" customHeight="1" s="67">
      <c r="A8" t="inlineStr">
        <is>
          <t>BTC_DIVERGENCE_EXIT_AGAINST</t>
        </is>
      </c>
      <c r="B8" t="inlineStr">
        <is>
          <t>0.5</t>
        </is>
      </c>
      <c r="G8">
        <f>IFERROR(VLOOKUP($A8&amp;"_"&amp;$B8,Results_Deltas!$A$2:$P$15000,5,FALSE),"")</f>
        <v/>
      </c>
      <c r="H8">
        <f>IFERROR(VLOOKUP($A8,Results_30d_Deltas!$A$2:$H$5000,7,FALSE)-E7,"")</f>
        <v/>
      </c>
      <c r="I8">
        <f>IFERROR(VLOOKUP($A8,Results_30d_Deltas!$A$2:$H$5000,6,FALSE),"")</f>
        <v/>
      </c>
      <c r="L8" t="inlineStr">
        <is>
          <t>NO</t>
        </is>
      </c>
      <c r="IK8" t="inlineStr">
        <is>
          <t>ez_manage.py:4448 top()</t>
        </is>
      </c>
      <c r="IL8" t="inlineStr">
        <is>
          <t>v12_quick_engine.py:408 x8</t>
        </is>
      </c>
    </row>
    <row r="9" ht="10.5" customHeight="1" s="67">
      <c r="A9" t="inlineStr">
        <is>
          <t>BTC_DIVERGENCE_EXIT_AGAINST</t>
        </is>
      </c>
      <c r="B9" t="inlineStr">
        <is>
          <t>1.0</t>
        </is>
      </c>
      <c r="G9">
        <f>IFERROR(VLOOKUP($A9&amp;"_"&amp;$B9,Results_Deltas!$A$2:$P$15000,5,FALSE),"")</f>
        <v/>
      </c>
      <c r="H9">
        <f>IFERROR(VLOOKUP($A9,Results_30d_Deltas!$A$2:$H$5000,7,FALSE)-E8,"")</f>
        <v/>
      </c>
      <c r="I9">
        <f>IFERROR(VLOOKUP($A9,Results_30d_Deltas!$A$2:$H$5000,6,FALSE),"")</f>
        <v/>
      </c>
      <c r="L9" t="inlineStr">
        <is>
          <t>NO</t>
        </is>
      </c>
      <c r="IK9" t="inlineStr">
        <is>
          <t>ez_manage.py:4448 top()</t>
        </is>
      </c>
      <c r="IL9" t="inlineStr">
        <is>
          <t>v12_quick_engine.py:408 x8</t>
        </is>
      </c>
    </row>
    <row r="10" ht="10.5" customHeight="1" s="67">
      <c r="A10" t="inlineStr">
        <is>
          <t>BTC_DIVERGENCE_EXIT_AGAINST</t>
        </is>
      </c>
      <c r="B10" t="inlineStr">
        <is>
          <t>2.0</t>
        </is>
      </c>
      <c r="G10">
        <f>IFERROR(VLOOKUP($A10&amp;"_"&amp;$B10,Results_Deltas!$A$2:$P$15000,5,FALSE),"")</f>
        <v/>
      </c>
      <c r="H10">
        <f>IFERROR(VLOOKUP($A10,Results_30d_Deltas!$A$2:$H$5000,7,FALSE)-E9,"")</f>
        <v/>
      </c>
      <c r="I10">
        <f>IFERROR(VLOOKUP($A10,Results_30d_Deltas!$A$2:$H$5000,6,FALSE),"")</f>
        <v/>
      </c>
      <c r="L10" t="inlineStr">
        <is>
          <t>NO</t>
        </is>
      </c>
      <c r="IK10" t="inlineStr">
        <is>
          <t>ez_manage.py:4448 top()</t>
        </is>
      </c>
      <c r="IL10" t="inlineStr">
        <is>
          <t>v12_quick_engine.py:408 x8</t>
        </is>
      </c>
    </row>
    <row r="11" ht="10.5" customHeight="1" s="67">
      <c r="A11" t="inlineStr">
        <is>
          <t>DELTA_EXIT_DC_FLOOR</t>
        </is>
      </c>
      <c r="B11" t="inlineStr">
        <is>
          <t>False</t>
        </is>
      </c>
      <c r="G11">
        <f>IFERROR(VLOOKUP($A11&amp;"_"&amp;$B11,Results_Deltas!$A$2:$P$15000,5,FALSE),"")</f>
        <v/>
      </c>
      <c r="H11">
        <f>IFERROR(VLOOKUP($A11,Results_30d_Deltas!$A$2:$H$5000,7,FALSE)-E10,"")</f>
        <v/>
      </c>
      <c r="I11">
        <f>IFERROR(VLOOKUP($A11,Results_30d_Deltas!$A$2:$H$5000,6,FALSE),"")</f>
        <v/>
      </c>
      <c r="L11" t="inlineStr">
        <is>
          <t>NO</t>
        </is>
      </c>
      <c r="IK11" t="inlineStr">
        <is>
          <t>ez_manage.py:4596 top()</t>
        </is>
      </c>
      <c r="IL11" t="inlineStr">
        <is>
          <t>v12_quick_engine.py:967 x8</t>
        </is>
      </c>
    </row>
    <row r="12" ht="10.5" customHeight="1" s="67">
      <c r="A12" t="inlineStr">
        <is>
          <t>DELTA_EXIT_DC_FLOOR</t>
        </is>
      </c>
      <c r="B12" t="inlineStr">
        <is>
          <t>True</t>
        </is>
      </c>
      <c r="G12">
        <f>IFERROR(VLOOKUP($A12&amp;"_"&amp;$B12,Results_Deltas!$A$2:$P$15000,5,FALSE),"")</f>
        <v/>
      </c>
      <c r="H12">
        <f>IFERROR(VLOOKUP($A12,Results_30d_Deltas!$A$2:$H$5000,7,FALSE)-E11,"")</f>
        <v/>
      </c>
      <c r="I12">
        <f>IFERROR(VLOOKUP($A12,Results_30d_Deltas!$A$2:$H$5000,6,FALSE),"")</f>
        <v/>
      </c>
      <c r="L12" t="inlineStr">
        <is>
          <t>YES</t>
        </is>
      </c>
      <c r="IK12" t="inlineStr">
        <is>
          <t>ez_manage.py:4596 top()</t>
        </is>
      </c>
      <c r="IL12" t="inlineStr">
        <is>
          <t>v12_quick_engine.py:967 x8</t>
        </is>
      </c>
    </row>
    <row r="13" ht="10.5" customHeight="1" s="67">
      <c r="A13" t="inlineStr">
        <is>
          <t>E_1_WT_EXIT_USE_DELTA_ENABLED</t>
        </is>
      </c>
      <c r="B13" t="inlineStr">
        <is>
          <t>False</t>
        </is>
      </c>
      <c r="G13">
        <f>IFERROR(VLOOKUP($A13&amp;"_"&amp;$B13,Results_Deltas!$A$2:$P$15000,5,FALSE),"")</f>
        <v/>
      </c>
      <c r="H13">
        <f>IFERROR(VLOOKUP($A13,Results_30d_Deltas!$A$2:$H$5000,7,FALSE)-E12,"")</f>
        <v/>
      </c>
      <c r="I13">
        <f>IFERROR(VLOOKUP($A13,Results_30d_Deltas!$A$2:$H$5000,6,FALSE),"")</f>
        <v/>
      </c>
      <c r="L13" t="inlineStr">
        <is>
          <t>YES</t>
        </is>
      </c>
      <c r="IK13" t="inlineStr">
        <is>
          <t>ez_manage.py:4699 top()</t>
        </is>
      </c>
      <c r="IL13" t="inlineStr">
        <is>
          <t>v12_quick_engine.py:1818 x7</t>
        </is>
      </c>
    </row>
    <row r="14" ht="10.5" customHeight="1" s="67">
      <c r="A14" t="inlineStr">
        <is>
          <t>E_1_WT_EXIT_USE_DELTA_ENABLED</t>
        </is>
      </c>
      <c r="B14" t="inlineStr">
        <is>
          <t>True</t>
        </is>
      </c>
      <c r="G14">
        <f>IFERROR(VLOOKUP($A14&amp;"_"&amp;$B14,Results_Deltas!$A$2:$P$15000,5,FALSE),"")</f>
        <v/>
      </c>
      <c r="H14">
        <f>IFERROR(VLOOKUP($A14,Results_30d_Deltas!$A$2:$H$5000,7,FALSE)-E13,"")</f>
        <v/>
      </c>
      <c r="I14">
        <f>IFERROR(VLOOKUP($A14,Results_30d_Deltas!$A$2:$H$5000,6,FALSE),"")</f>
        <v/>
      </c>
      <c r="L14" t="inlineStr">
        <is>
          <t>NO</t>
        </is>
      </c>
      <c r="IK14" t="inlineStr">
        <is>
          <t>ez_manage.py:4699 top()</t>
        </is>
      </c>
      <c r="IL14" t="inlineStr">
        <is>
          <t>v12_quick_engine.py:1818 x7</t>
        </is>
      </c>
    </row>
    <row r="15" ht="10.5" customHeight="1" s="67">
      <c r="A15" t="inlineStr">
        <is>
          <t>E_3_USE_WT_STRUCTURE_EXIT_MODE</t>
        </is>
      </c>
      <c r="B15" t="inlineStr">
        <is>
          <t>0</t>
        </is>
      </c>
      <c r="G15">
        <f>IFERROR(VLOOKUP($A15&amp;"_"&amp;$B15,Results_Deltas!$A$2:$P$15000,5,FALSE),"")</f>
        <v/>
      </c>
      <c r="H15">
        <f>IFERROR(VLOOKUP($A15,Results_30d_Deltas!$A$2:$H$5000,7,FALSE)-E14,"")</f>
        <v/>
      </c>
      <c r="I15">
        <f>IFERROR(VLOOKUP($A15,Results_30d_Deltas!$A$2:$H$5000,6,FALSE),"")</f>
        <v/>
      </c>
      <c r="L15" t="inlineStr">
        <is>
          <t>YES</t>
        </is>
      </c>
      <c r="IK15" t="inlineStr">
        <is>
          <t>ez_manage.py:4700 top()</t>
        </is>
      </c>
      <c r="IL15" t="inlineStr">
        <is>
          <t>v12_quick_engine.py:1819 x8</t>
        </is>
      </c>
    </row>
    <row r="16" ht="10.5" customHeight="1" s="67">
      <c r="A16" t="inlineStr">
        <is>
          <t>E_3_USE_WT_STRUCTURE_EXIT_MODE</t>
        </is>
      </c>
      <c r="B16" t="inlineStr">
        <is>
          <t>0.5</t>
        </is>
      </c>
      <c r="G16">
        <f>IFERROR(VLOOKUP($A16&amp;"_"&amp;$B16,Results_Deltas!$A$2:$P$15000,5,FALSE),"")</f>
        <v/>
      </c>
      <c r="H16">
        <f>IFERROR(VLOOKUP($A16,Results_30d_Deltas!$A$2:$H$5000,7,FALSE)-E15,"")</f>
        <v/>
      </c>
      <c r="I16">
        <f>IFERROR(VLOOKUP($A16,Results_30d_Deltas!$A$2:$H$5000,6,FALSE),"")</f>
        <v/>
      </c>
      <c r="L16" t="inlineStr">
        <is>
          <t>NO</t>
        </is>
      </c>
      <c r="IK16" t="inlineStr">
        <is>
          <t>ez_manage.py:4700 top()</t>
        </is>
      </c>
      <c r="IL16" t="inlineStr">
        <is>
          <t>v12_quick_engine.py:1819 x8</t>
        </is>
      </c>
    </row>
    <row r="17" ht="10.5" customHeight="1" s="67">
      <c r="A17" t="inlineStr">
        <is>
          <t>E_3_USE_WT_STRUCTURE_EXIT_MODE</t>
        </is>
      </c>
      <c r="B17" t="inlineStr">
        <is>
          <t>1.0</t>
        </is>
      </c>
      <c r="G17">
        <f>IFERROR(VLOOKUP($A17&amp;"_"&amp;$B17,Results_Deltas!$A$2:$P$15000,5,FALSE),"")</f>
        <v/>
      </c>
      <c r="H17">
        <f>IFERROR(VLOOKUP($A17,Results_30d_Deltas!$A$2:$H$5000,7,FALSE)-E16,"")</f>
        <v/>
      </c>
      <c r="I17">
        <f>IFERROR(VLOOKUP($A17,Results_30d_Deltas!$A$2:$H$5000,6,FALSE),"")</f>
        <v/>
      </c>
      <c r="L17" t="inlineStr">
        <is>
          <t>NO</t>
        </is>
      </c>
      <c r="IK17" t="inlineStr">
        <is>
          <t>ez_manage.py:4700 top()</t>
        </is>
      </c>
      <c r="IL17" t="inlineStr">
        <is>
          <t>v12_quick_engine.py:1819 x8</t>
        </is>
      </c>
    </row>
    <row r="18" ht="10.5" customHeight="1" s="67">
      <c r="A18" t="inlineStr">
        <is>
          <t>E_3_USE_WT_STRUCTURE_EXIT_MODE</t>
        </is>
      </c>
      <c r="B18" t="inlineStr">
        <is>
          <t>2.0</t>
        </is>
      </c>
      <c r="G18">
        <f>IFERROR(VLOOKUP($A18&amp;"_"&amp;$B18,Results_Deltas!$A$2:$P$15000,5,FALSE),"")</f>
        <v/>
      </c>
      <c r="H18">
        <f>IFERROR(VLOOKUP($A18,Results_30d_Deltas!$A$2:$H$5000,7,FALSE)-E17,"")</f>
        <v/>
      </c>
      <c r="I18">
        <f>IFERROR(VLOOKUP($A18,Results_30d_Deltas!$A$2:$H$5000,6,FALSE),"")</f>
        <v/>
      </c>
      <c r="L18" t="inlineStr">
        <is>
          <t>NO</t>
        </is>
      </c>
      <c r="IK18" t="inlineStr">
        <is>
          <t>ez_manage.py:4700 top()</t>
        </is>
      </c>
      <c r="IL18" t="inlineStr">
        <is>
          <t>v12_quick_engine.py:1819 x8</t>
        </is>
      </c>
    </row>
    <row r="19" ht="10.5" customHeight="1" s="67">
      <c r="A19" t="inlineStr">
        <is>
          <t>HARD_BREAKEVEN_FLOOR_ENABLED</t>
        </is>
      </c>
      <c r="B19" t="inlineStr">
        <is>
          <t>False</t>
        </is>
      </c>
      <c r="G19">
        <f>IFERROR(VLOOKUP($A19&amp;"_"&amp;$B19,Results_Deltas!$A$2:$P$15000,5,FALSE),"")</f>
        <v/>
      </c>
      <c r="H19">
        <f>IFERROR(VLOOKUP($A19,Results_30d_Deltas!$A$2:$H$5000,7,FALSE)-E18,"")</f>
        <v/>
      </c>
      <c r="I19">
        <f>IFERROR(VLOOKUP($A19,Results_30d_Deltas!$A$2:$H$5000,6,FALSE),"")</f>
        <v/>
      </c>
      <c r="L19" t="inlineStr">
        <is>
          <t>NO</t>
        </is>
      </c>
      <c r="IK19" t="inlineStr">
        <is>
          <t>ez_manage.py:4783 top()</t>
        </is>
      </c>
      <c r="IL19" t="inlineStr">
        <is>
          <t>v12_quick_engine.py:856 x6</t>
        </is>
      </c>
    </row>
    <row r="20" ht="10.5" customHeight="1" s="67">
      <c r="A20" t="inlineStr">
        <is>
          <t>HARD_BREAKEVEN_FLOOR_ENABLED</t>
        </is>
      </c>
      <c r="B20" t="inlineStr">
        <is>
          <t>True</t>
        </is>
      </c>
      <c r="G20">
        <f>IFERROR(VLOOKUP($A20&amp;"_"&amp;$B20,Results_Deltas!$A$2:$P$15000,5,FALSE),"")</f>
        <v/>
      </c>
      <c r="H20">
        <f>IFERROR(VLOOKUP($A20,Results_30d_Deltas!$A$2:$H$5000,7,FALSE)-E19,"")</f>
        <v/>
      </c>
      <c r="I20">
        <f>IFERROR(VLOOKUP($A20,Results_30d_Deltas!$A$2:$H$5000,6,FALSE),"")</f>
        <v/>
      </c>
      <c r="L20" t="inlineStr">
        <is>
          <t>YES</t>
        </is>
      </c>
      <c r="IK20" t="inlineStr">
        <is>
          <t>ez_manage.py:4783 top()</t>
        </is>
      </c>
      <c r="IL20" t="inlineStr">
        <is>
          <t>v12_quick_engine.py:856 x6</t>
        </is>
      </c>
    </row>
    <row r="21" ht="10.5" customHeight="1" s="67">
      <c r="A21" t="inlineStr">
        <is>
          <t>HARD_BREAKEVEN_MIN_PEAK_PCT</t>
        </is>
      </c>
      <c r="B21" t="inlineStr">
        <is>
          <t>0.25</t>
        </is>
      </c>
      <c r="G21">
        <f>IFERROR(VLOOKUP($A21&amp;"_"&amp;$B21,Results_Deltas!$A$2:$P$15000,5,FALSE),"")</f>
        <v/>
      </c>
      <c r="H21">
        <f>IFERROR(VLOOKUP($A21,Results_30d_Deltas!$A$2:$H$5000,7,FALSE)-E20,"")</f>
        <v/>
      </c>
      <c r="I21">
        <f>IFERROR(VLOOKUP($A21,Results_30d_Deltas!$A$2:$H$5000,6,FALSE),"")</f>
        <v/>
      </c>
      <c r="L21" t="inlineStr">
        <is>
          <t>NO</t>
        </is>
      </c>
      <c r="IK21" t="inlineStr">
        <is>
          <t>ez_manage.py:4784 top()</t>
        </is>
      </c>
      <c r="IL21" t="inlineStr">
        <is>
          <t>v12_quick_engine.py:858 x8</t>
        </is>
      </c>
    </row>
    <row r="22" ht="10.5" customHeight="1" s="67">
      <c r="A22" t="inlineStr">
        <is>
          <t>HARD_BREAKEVEN_MIN_PEAK_PCT</t>
        </is>
      </c>
      <c r="B22" t="inlineStr">
        <is>
          <t>0.375</t>
        </is>
      </c>
      <c r="G22">
        <f>IFERROR(VLOOKUP($A22&amp;"_"&amp;$B22,Results_Deltas!$A$2:$P$15000,5,FALSE),"")</f>
        <v/>
      </c>
      <c r="H22">
        <f>IFERROR(VLOOKUP($A22,Results_30d_Deltas!$A$2:$H$5000,7,FALSE)-E21,"")</f>
        <v/>
      </c>
      <c r="I22">
        <f>IFERROR(VLOOKUP($A22,Results_30d_Deltas!$A$2:$H$5000,6,FALSE),"")</f>
        <v/>
      </c>
      <c r="L22" t="inlineStr">
        <is>
          <t>NO</t>
        </is>
      </c>
      <c r="IK22" t="inlineStr">
        <is>
          <t>ez_manage.py:4784 top()</t>
        </is>
      </c>
      <c r="IL22" t="inlineStr">
        <is>
          <t>v12_quick_engine.py:858 x8</t>
        </is>
      </c>
    </row>
    <row r="23" ht="10.5" customHeight="1" s="67">
      <c r="A23" t="inlineStr">
        <is>
          <t>HARD_BREAKEVEN_MIN_PEAK_PCT</t>
        </is>
      </c>
      <c r="B23" t="inlineStr">
        <is>
          <t>0.5</t>
        </is>
      </c>
      <c r="G23">
        <f>IFERROR(VLOOKUP($A23&amp;"_"&amp;$B23,Results_Deltas!$A$2:$P$15000,5,FALSE),"")</f>
        <v/>
      </c>
      <c r="H23">
        <f>IFERROR(VLOOKUP($A23,Results_30d_Deltas!$A$2:$H$5000,7,FALSE)-E22,"")</f>
        <v/>
      </c>
      <c r="I23">
        <f>IFERROR(VLOOKUP($A23,Results_30d_Deltas!$A$2:$H$5000,6,FALSE),"")</f>
        <v/>
      </c>
      <c r="L23" t="inlineStr">
        <is>
          <t>YES</t>
        </is>
      </c>
      <c r="IK23" t="inlineStr">
        <is>
          <t>ez_manage.py:4784 top()</t>
        </is>
      </c>
      <c r="IL23" t="inlineStr">
        <is>
          <t>v12_quick_engine.py:858 x8</t>
        </is>
      </c>
    </row>
    <row r="24" ht="10.5" customHeight="1" s="67">
      <c r="A24" t="inlineStr">
        <is>
          <t>HARD_BREAKEVEN_MIN_PEAK_PCT</t>
        </is>
      </c>
      <c r="B24" t="inlineStr">
        <is>
          <t>0.625</t>
        </is>
      </c>
      <c r="G24">
        <f>IFERROR(VLOOKUP($A24&amp;"_"&amp;$B24,Results_Deltas!$A$2:$P$15000,5,FALSE),"")</f>
        <v/>
      </c>
      <c r="H24">
        <f>IFERROR(VLOOKUP($A24,Results_30d_Deltas!$A$2:$H$5000,7,FALSE)-E23,"")</f>
        <v/>
      </c>
      <c r="I24">
        <f>IFERROR(VLOOKUP($A24,Results_30d_Deltas!$A$2:$H$5000,6,FALSE),"")</f>
        <v/>
      </c>
      <c r="L24" t="inlineStr">
        <is>
          <t>NO</t>
        </is>
      </c>
      <c r="IK24" t="inlineStr">
        <is>
          <t>ez_manage.py:4784 top()</t>
        </is>
      </c>
      <c r="IL24" t="inlineStr">
        <is>
          <t>v12_quick_engine.py:858 x8</t>
        </is>
      </c>
    </row>
    <row r="25" ht="10.5" customHeight="1" s="67">
      <c r="A25" t="inlineStr">
        <is>
          <t>HARD_BREAKEVEN_MIN_PEAK_PCT</t>
        </is>
      </c>
      <c r="B25" t="inlineStr">
        <is>
          <t>0.75</t>
        </is>
      </c>
      <c r="G25">
        <f>IFERROR(VLOOKUP($A25&amp;"_"&amp;$B25,Results_Deltas!$A$2:$P$15000,5,FALSE),"")</f>
        <v/>
      </c>
      <c r="H25">
        <f>IFERROR(VLOOKUP($A25,Results_30d_Deltas!$A$2:$H$5000,7,FALSE)-E24,"")</f>
        <v/>
      </c>
      <c r="I25">
        <f>IFERROR(VLOOKUP($A25,Results_30d_Deltas!$A$2:$H$5000,6,FALSE),"")</f>
        <v/>
      </c>
      <c r="L25" t="inlineStr">
        <is>
          <t>NO</t>
        </is>
      </c>
      <c r="IK25" t="inlineStr">
        <is>
          <t>ez_manage.py:4784 top()</t>
        </is>
      </c>
      <c r="IL25" t="inlineStr">
        <is>
          <t>v12_quick_engine.py:858 x8</t>
        </is>
      </c>
    </row>
    <row r="26" ht="10.5" customHeight="1" s="67">
      <c r="A26" t="inlineStr">
        <is>
          <t>LOSS_TECHNICAL_EXIT_NO_STALE_BLOCK</t>
        </is>
      </c>
      <c r="B26" t="inlineStr">
        <is>
          <t>0</t>
        </is>
      </c>
      <c r="G26">
        <f>IFERROR(VLOOKUP($A26&amp;"_"&amp;$B26,Results_Deltas!$A$2:$P$15000,5,FALSE),"")</f>
        <v/>
      </c>
      <c r="H26">
        <f>IFERROR(VLOOKUP($A26,Results_30d_Deltas!$A$2:$H$5000,7,FALSE)-E25,"")</f>
        <v/>
      </c>
      <c r="I26">
        <f>IFERROR(VLOOKUP($A26,Results_30d_Deltas!$A$2:$H$5000,6,FALSE),"")</f>
        <v/>
      </c>
      <c r="L26" t="inlineStr">
        <is>
          <t>NO</t>
        </is>
      </c>
      <c r="IK26" t="inlineStr">
        <is>
          <t>ez_manage.py:4933 top()</t>
        </is>
      </c>
      <c r="IL26" t="inlineStr">
        <is>
          <t>v12_quick_engine.py:2172 x2</t>
        </is>
      </c>
    </row>
    <row r="27" ht="10.5" customHeight="1" s="67">
      <c r="A27" t="inlineStr">
        <is>
          <t>LOSS_TECHNICAL_EXIT_NO_STALE_BLOCK</t>
        </is>
      </c>
      <c r="B27" t="inlineStr">
        <is>
          <t>0.5</t>
        </is>
      </c>
      <c r="G27">
        <f>IFERROR(VLOOKUP($A27&amp;"_"&amp;$B27,Results_Deltas!$A$2:$P$15000,5,FALSE),"")</f>
        <v/>
      </c>
      <c r="H27">
        <f>IFERROR(VLOOKUP($A27,Results_30d_Deltas!$A$2:$H$5000,7,FALSE)-E26,"")</f>
        <v/>
      </c>
      <c r="I27">
        <f>IFERROR(VLOOKUP($A27,Results_30d_Deltas!$A$2:$H$5000,6,FALSE),"")</f>
        <v/>
      </c>
      <c r="L27" t="inlineStr">
        <is>
          <t>NO</t>
        </is>
      </c>
      <c r="IK27" t="inlineStr">
        <is>
          <t>ez_manage.py:4933 top()</t>
        </is>
      </c>
      <c r="IL27" t="inlineStr">
        <is>
          <t>v12_quick_engine.py:2172 x2</t>
        </is>
      </c>
    </row>
    <row r="28" ht="10.5" customHeight="1" s="67">
      <c r="A28" t="inlineStr">
        <is>
          <t>LOSS_TECHNICAL_EXIT_NO_STALE_BLOCK</t>
        </is>
      </c>
      <c r="B28" t="inlineStr">
        <is>
          <t>1.0</t>
        </is>
      </c>
      <c r="G28">
        <f>IFERROR(VLOOKUP($A28&amp;"_"&amp;$B28,Results_Deltas!$A$2:$P$15000,5,FALSE),"")</f>
        <v/>
      </c>
      <c r="H28">
        <f>IFERROR(VLOOKUP($A28,Results_30d_Deltas!$A$2:$H$5000,7,FALSE)-E27,"")</f>
        <v/>
      </c>
      <c r="I28">
        <f>IFERROR(VLOOKUP($A28,Results_30d_Deltas!$A$2:$H$5000,6,FALSE),"")</f>
        <v/>
      </c>
      <c r="L28" t="inlineStr">
        <is>
          <t>NO</t>
        </is>
      </c>
      <c r="IK28" t="inlineStr">
        <is>
          <t>ez_manage.py:4933 top()</t>
        </is>
      </c>
      <c r="IL28" t="inlineStr">
        <is>
          <t>v12_quick_engine.py:2172 x2</t>
        </is>
      </c>
    </row>
    <row r="29" ht="10.5" customHeight="1" s="67">
      <c r="A29" t="inlineStr">
        <is>
          <t>LOSS_TECHNICAL_EXIT_NO_STALE_BLOCK</t>
        </is>
      </c>
      <c r="B29" t="inlineStr">
        <is>
          <t>2.0</t>
        </is>
      </c>
      <c r="G29">
        <f>IFERROR(VLOOKUP($A29&amp;"_"&amp;$B29,Results_Deltas!$A$2:$P$15000,5,FALSE),"")</f>
        <v/>
      </c>
      <c r="H29">
        <f>IFERROR(VLOOKUP($A29,Results_30d_Deltas!$A$2:$H$5000,7,FALSE)-E28,"")</f>
        <v/>
      </c>
      <c r="I29">
        <f>IFERROR(VLOOKUP($A29,Results_30d_Deltas!$A$2:$H$5000,6,FALSE),"")</f>
        <v/>
      </c>
      <c r="L29" t="inlineStr">
        <is>
          <t>NO</t>
        </is>
      </c>
      <c r="IK29" t="inlineStr">
        <is>
          <t>ez_manage.py:4933 top()</t>
        </is>
      </c>
      <c r="IL29" t="inlineStr">
        <is>
          <t>v12_quick_engine.py:2172 x2</t>
        </is>
      </c>
    </row>
    <row r="30" ht="10.5" customHeight="1" s="67">
      <c r="A30" t="inlineStr">
        <is>
          <t>MI_STRUCT_EXIT_ENABLED</t>
        </is>
      </c>
      <c r="B30" t="inlineStr">
        <is>
          <t>False</t>
        </is>
      </c>
      <c r="G30">
        <f>IFERROR(VLOOKUP($A30&amp;"_"&amp;$B30,Results_Deltas!$A$2:$P$15000,5,FALSE),"")</f>
        <v/>
      </c>
      <c r="H30">
        <f>IFERROR(VLOOKUP($A30,Results_30d_Deltas!$A$2:$H$5000,7,FALSE)-E29,"")</f>
        <v/>
      </c>
      <c r="I30">
        <f>IFERROR(VLOOKUP($A30,Results_30d_Deltas!$A$2:$H$5000,6,FALSE),"")</f>
        <v/>
      </c>
      <c r="L30" t="inlineStr">
        <is>
          <t>YES</t>
        </is>
      </c>
      <c r="IK30" t="inlineStr">
        <is>
          <t>ez_manage.py:3566 top()</t>
        </is>
      </c>
      <c r="IL30" t="inlineStr">
        <is>
          <t>v12_quick_engine.py:2344 x8</t>
        </is>
      </c>
    </row>
    <row r="31" ht="10.5" customHeight="1" s="67">
      <c r="A31" t="inlineStr">
        <is>
          <t>MI_STRUCT_EXIT_ENABLED</t>
        </is>
      </c>
      <c r="B31" t="inlineStr">
        <is>
          <t>True</t>
        </is>
      </c>
      <c r="G31">
        <f>IFERROR(VLOOKUP($A31&amp;"_"&amp;$B31,Results_Deltas!$A$2:$P$15000,5,FALSE),"")</f>
        <v/>
      </c>
      <c r="H31">
        <f>IFERROR(VLOOKUP($A31,Results_30d_Deltas!$A$2:$H$5000,7,FALSE)-E30,"")</f>
        <v/>
      </c>
      <c r="I31">
        <f>IFERROR(VLOOKUP($A31,Results_30d_Deltas!$A$2:$H$5000,6,FALSE),"")</f>
        <v/>
      </c>
      <c r="L31" t="inlineStr">
        <is>
          <t>NO</t>
        </is>
      </c>
      <c r="IK31" t="inlineStr">
        <is>
          <t>ez_manage.py:3566 top()</t>
        </is>
      </c>
      <c r="IL31" t="inlineStr">
        <is>
          <t>v12_quick_engine.py:2344 x8</t>
        </is>
      </c>
    </row>
    <row r="32" ht="10.5" customHeight="1" s="67">
      <c r="A32" t="inlineStr">
        <is>
          <t>MI_VELOCITY_EXIT_ENABLED</t>
        </is>
      </c>
      <c r="B32" t="inlineStr">
        <is>
          <t>False</t>
        </is>
      </c>
      <c r="G32">
        <f>IFERROR(VLOOKUP($A32&amp;"_"&amp;$B32,Results_Deltas!$A$2:$P$15000,5,FALSE),"")</f>
        <v/>
      </c>
      <c r="H32">
        <f>IFERROR(VLOOKUP($A32,Results_30d_Deltas!$A$2:$H$5000,7,FALSE)-E31,"")</f>
        <v/>
      </c>
      <c r="I32">
        <f>IFERROR(VLOOKUP($A32,Results_30d_Deltas!$A$2:$H$5000,6,FALSE),"")</f>
        <v/>
      </c>
      <c r="L32" t="inlineStr">
        <is>
          <t>YES</t>
        </is>
      </c>
      <c r="IK32" t="inlineStr">
        <is>
          <t>ez_manage.py:3568 top()</t>
        </is>
      </c>
      <c r="IL32" t="inlineStr">
        <is>
          <t>v12_quick_engine.py:2347 x8</t>
        </is>
      </c>
    </row>
    <row r="33" ht="10.5" customHeight="1" s="67">
      <c r="A33" t="inlineStr">
        <is>
          <t>MI_VELOCITY_EXIT_ENABLED</t>
        </is>
      </c>
      <c r="B33" t="inlineStr">
        <is>
          <t>True</t>
        </is>
      </c>
      <c r="G33">
        <f>IFERROR(VLOOKUP($A33&amp;"_"&amp;$B33,Results_Deltas!$A$2:$P$15000,5,FALSE),"")</f>
        <v/>
      </c>
      <c r="H33">
        <f>IFERROR(VLOOKUP($A33,Results_30d_Deltas!$A$2:$H$5000,7,FALSE)-E32,"")</f>
        <v/>
      </c>
      <c r="I33">
        <f>IFERROR(VLOOKUP($A33,Results_30d_Deltas!$A$2:$H$5000,6,FALSE),"")</f>
        <v/>
      </c>
      <c r="L33" t="inlineStr">
        <is>
          <t>NO</t>
        </is>
      </c>
      <c r="IK33" t="inlineStr">
        <is>
          <t>ez_manage.py:3568 top()</t>
        </is>
      </c>
      <c r="IL33" t="inlineStr">
        <is>
          <t>v12_quick_engine.py:2347 x8</t>
        </is>
      </c>
    </row>
    <row r="34" ht="10.5" customHeight="1" s="67">
      <c r="A34" t="inlineStr">
        <is>
          <t>MI_WAVE_EXIT_ENABLED</t>
        </is>
      </c>
      <c r="B34" t="inlineStr">
        <is>
          <t>False</t>
        </is>
      </c>
      <c r="G34">
        <f>IFERROR(VLOOKUP($A34&amp;"_"&amp;$B34,Results_Deltas!$A$2:$P$15000,5,FALSE),"")</f>
        <v/>
      </c>
      <c r="H34">
        <f>IFERROR(VLOOKUP($A34,Results_30d_Deltas!$A$2:$H$5000,7,FALSE)-E33,"")</f>
        <v/>
      </c>
      <c r="I34">
        <f>IFERROR(VLOOKUP($A34,Results_30d_Deltas!$A$2:$H$5000,6,FALSE),"")</f>
        <v/>
      </c>
      <c r="L34" t="inlineStr">
        <is>
          <t>YES</t>
        </is>
      </c>
      <c r="IK34" t="inlineStr">
        <is>
          <t>ez_manage.py:3569 top()</t>
        </is>
      </c>
      <c r="IL34" t="inlineStr">
        <is>
          <t>v12_quick_engine.py:2349 x8</t>
        </is>
      </c>
    </row>
    <row r="35" ht="10.5" customHeight="1" s="67">
      <c r="A35" t="inlineStr">
        <is>
          <t>MI_WAVE_EXIT_ENABLED</t>
        </is>
      </c>
      <c r="B35" t="inlineStr">
        <is>
          <t>True</t>
        </is>
      </c>
      <c r="G35">
        <f>IFERROR(VLOOKUP($A35&amp;"_"&amp;$B35,Results_Deltas!$A$2:$P$15000,5,FALSE),"")</f>
        <v/>
      </c>
      <c r="H35">
        <f>IFERROR(VLOOKUP($A35,Results_30d_Deltas!$A$2:$H$5000,7,FALSE)-E34,"")</f>
        <v/>
      </c>
      <c r="I35">
        <f>IFERROR(VLOOKUP($A35,Results_30d_Deltas!$A$2:$H$5000,6,FALSE),"")</f>
        <v/>
      </c>
      <c r="L35" t="inlineStr">
        <is>
          <t>YES</t>
        </is>
      </c>
      <c r="IK35" t="inlineStr">
        <is>
          <t>ez_manage.py:3569 top()</t>
        </is>
      </c>
      <c r="IL35" t="inlineStr">
        <is>
          <t>v12_quick_engine.py:2349 x8</t>
        </is>
      </c>
    </row>
    <row r="36" ht="10.5" customHeight="1" s="67">
      <c r="A36" t="inlineStr">
        <is>
          <t>MU_CORRECTION_EXIT_ENABLED</t>
        </is>
      </c>
      <c r="B36" t="inlineStr">
        <is>
          <t>False</t>
        </is>
      </c>
      <c r="G36">
        <f>IFERROR(VLOOKUP($A36&amp;"_"&amp;$B36,Results_Deltas!$A$2:$P$15000,5,FALSE),"")</f>
        <v/>
      </c>
      <c r="H36">
        <f>IFERROR(VLOOKUP($A36,Results_30d_Deltas!$A$2:$H$5000,7,FALSE)-E35,"")</f>
        <v/>
      </c>
      <c r="I36">
        <f>IFERROR(VLOOKUP($A36,Results_30d_Deltas!$A$2:$H$5000,6,FALSE),"")</f>
        <v/>
      </c>
      <c r="L36" t="inlineStr">
        <is>
          <t>NO</t>
        </is>
      </c>
      <c r="IK36" t="inlineStr">
        <is>
          <t>ez_manage.py:5068 top()</t>
        </is>
      </c>
      <c r="IL36" t="inlineStr">
        <is>
          <t>v12_quick_engine.py:2454 x3</t>
        </is>
      </c>
    </row>
    <row r="37" ht="10.5" customHeight="1" s="67">
      <c r="A37" t="inlineStr">
        <is>
          <t>MU_CORRECTION_EXIT_ENABLED</t>
        </is>
      </c>
      <c r="B37" t="inlineStr">
        <is>
          <t>True</t>
        </is>
      </c>
      <c r="G37">
        <f>IFERROR(VLOOKUP($A37&amp;"_"&amp;$B37,Results_Deltas!$A$2:$P$15000,5,FALSE),"")</f>
        <v/>
      </c>
      <c r="H37">
        <f>IFERROR(VLOOKUP($A37,Results_30d_Deltas!$A$2:$H$5000,7,FALSE)-E36,"")</f>
        <v/>
      </c>
      <c r="I37">
        <f>IFERROR(VLOOKUP($A37,Results_30d_Deltas!$A$2:$H$5000,6,FALSE),"")</f>
        <v/>
      </c>
      <c r="L37" t="inlineStr">
        <is>
          <t>NO</t>
        </is>
      </c>
      <c r="IK37" t="inlineStr">
        <is>
          <t>ez_manage.py:5068 top()</t>
        </is>
      </c>
      <c r="IL37" t="inlineStr">
        <is>
          <t>v12_quick_engine.py:2454 x3</t>
        </is>
      </c>
    </row>
    <row r="38" ht="10.5" customHeight="1" s="67">
      <c r="A38" t="inlineStr">
        <is>
          <t>RULE_B_3M_EXIT_ENABLED</t>
        </is>
      </c>
      <c r="B38" t="inlineStr">
        <is>
          <t>False</t>
        </is>
      </c>
      <c r="G38">
        <f>IFERROR(VLOOKUP($A38&amp;"_"&amp;$B38,Results_Deltas!$A$2:$P$15000,5,FALSE),"")</f>
        <v/>
      </c>
      <c r="H38">
        <f>IFERROR(VLOOKUP($A38,Results_30d_Deltas!$A$2:$H$5000,7,FALSE)-E37,"")</f>
        <v/>
      </c>
      <c r="I38">
        <f>IFERROR(VLOOKUP($A38,Results_30d_Deltas!$A$2:$H$5000,6,FALSE),"")</f>
        <v/>
      </c>
      <c r="L38" t="inlineStr">
        <is>
          <t>YES</t>
        </is>
      </c>
      <c r="IK38" t="inlineStr">
        <is>
          <t>ez_manage.py:5395 top()</t>
        </is>
      </c>
      <c r="IL38" t="inlineStr">
        <is>
          <t>v12_quick_engine.py:3009 x4</t>
        </is>
      </c>
    </row>
    <row r="39" ht="10.5" customHeight="1" s="67">
      <c r="A39" t="inlineStr">
        <is>
          <t>RULE_B_3M_EXIT_ENABLED</t>
        </is>
      </c>
      <c r="B39" t="inlineStr">
        <is>
          <t>True</t>
        </is>
      </c>
      <c r="G39">
        <f>IFERROR(VLOOKUP($A39&amp;"_"&amp;$B39,Results_Deltas!$A$2:$P$15000,5,FALSE),"")</f>
        <v/>
      </c>
      <c r="H39">
        <f>IFERROR(VLOOKUP($A39,Results_30d_Deltas!$A$2:$H$5000,7,FALSE)-E38,"")</f>
        <v/>
      </c>
      <c r="I39">
        <f>IFERROR(VLOOKUP($A39,Results_30d_Deltas!$A$2:$H$5000,6,FALSE),"")</f>
        <v/>
      </c>
      <c r="L39" t="inlineStr">
        <is>
          <t>NO</t>
        </is>
      </c>
      <c r="IK39" t="inlineStr">
        <is>
          <t>ez_manage.py:5395 top()</t>
        </is>
      </c>
      <c r="IL39" t="inlineStr">
        <is>
          <t>v12_quick_engine.py:3009 x4</t>
        </is>
      </c>
    </row>
    <row r="40" ht="10.5" customHeight="1" s="67">
      <c r="A40" t="inlineStr">
        <is>
          <t>SCALP_V3_K_OB_EXIT_ENABLED</t>
        </is>
      </c>
      <c r="B40" t="inlineStr">
        <is>
          <t>False</t>
        </is>
      </c>
      <c r="G40">
        <f>IFERROR(VLOOKUP($A40&amp;"_"&amp;$B40,Results_Deltas!$A$2:$P$15000,5,FALSE),"")</f>
        <v/>
      </c>
      <c r="H40">
        <f>IFERROR(VLOOKUP($A40,Results_30d_Deltas!$A$2:$H$5000,7,FALSE)-E39,"")</f>
        <v/>
      </c>
      <c r="I40">
        <f>IFERROR(VLOOKUP($A40,Results_30d_Deltas!$A$2:$H$5000,6,FALSE),"")</f>
        <v/>
      </c>
      <c r="L40" t="inlineStr">
        <is>
          <t>YES</t>
        </is>
      </c>
      <c r="IK40" t="inlineStr">
        <is>
          <t>ez_manage.py:5550 top()</t>
        </is>
      </c>
      <c r="IL40" t="inlineStr">
        <is>
          <t>v12_quick_engine.py:3178 x4</t>
        </is>
      </c>
    </row>
    <row r="41" ht="10.5" customHeight="1" s="67">
      <c r="A41" t="inlineStr">
        <is>
          <t>SCALP_V3_K_OB_EXIT_ENABLED</t>
        </is>
      </c>
      <c r="B41" t="inlineStr">
        <is>
          <t>True</t>
        </is>
      </c>
      <c r="G41">
        <f>IFERROR(VLOOKUP($A41&amp;"_"&amp;$B41,Results_Deltas!$A$2:$P$15000,5,FALSE),"")</f>
        <v/>
      </c>
      <c r="H41">
        <f>IFERROR(VLOOKUP($A41,Results_30d_Deltas!$A$2:$H$5000,7,FALSE)-E40,"")</f>
        <v/>
      </c>
      <c r="I41">
        <f>IFERROR(VLOOKUP($A41,Results_30d_Deltas!$A$2:$H$5000,6,FALSE),"")</f>
        <v/>
      </c>
      <c r="L41" t="inlineStr">
        <is>
          <t>NO</t>
        </is>
      </c>
      <c r="IK41" t="inlineStr">
        <is>
          <t>ez_manage.py:5550 top()</t>
        </is>
      </c>
      <c r="IL41" t="inlineStr">
        <is>
          <t>v12_quick_engine.py:3178 x4</t>
        </is>
      </c>
    </row>
    <row r="42" ht="10.5" customHeight="1" s="67">
      <c r="A42" t="inlineStr">
        <is>
          <t>SCALP_V3_PROTECTIVE_EXIT_ENABLED</t>
        </is>
      </c>
      <c r="B42" t="inlineStr">
        <is>
          <t>False</t>
        </is>
      </c>
      <c r="G42">
        <f>IFERROR(VLOOKUP($A42&amp;"_"&amp;$B42,Results_Deltas!$A$2:$P$15000,5,FALSE),"")</f>
        <v/>
      </c>
      <c r="H42">
        <f>IFERROR(VLOOKUP($A42,Results_30d_Deltas!$A$2:$H$5000,7,FALSE)-E41,"")</f>
        <v/>
      </c>
      <c r="I42">
        <f>IFERROR(VLOOKUP($A42,Results_30d_Deltas!$A$2:$H$5000,6,FALSE),"")</f>
        <v/>
      </c>
      <c r="L42" t="inlineStr">
        <is>
          <t>YES</t>
        </is>
      </c>
      <c r="IK42" t="inlineStr">
        <is>
          <t>ez_manage.py:5586 top()</t>
        </is>
      </c>
      <c r="IL42" t="inlineStr">
        <is>
          <t>v12_quick_engine.py:3192 x4</t>
        </is>
      </c>
    </row>
    <row r="43" ht="10.5" customHeight="1" s="67">
      <c r="A43" t="inlineStr">
        <is>
          <t>SCALP_V3_PROTECTIVE_EXIT_ENABLED</t>
        </is>
      </c>
      <c r="B43" t="inlineStr">
        <is>
          <t>True</t>
        </is>
      </c>
      <c r="G43">
        <f>IFERROR(VLOOKUP($A43&amp;"_"&amp;$B43,Results_Deltas!$A$2:$P$15000,5,FALSE),"")</f>
        <v/>
      </c>
      <c r="H43">
        <f>IFERROR(VLOOKUP($A43,Results_30d_Deltas!$A$2:$H$5000,7,FALSE)-E42,"")</f>
        <v/>
      </c>
      <c r="I43">
        <f>IFERROR(VLOOKUP($A43,Results_30d_Deltas!$A$2:$H$5000,6,FALSE),"")</f>
        <v/>
      </c>
      <c r="L43" t="inlineStr">
        <is>
          <t>NO</t>
        </is>
      </c>
      <c r="IK43" t="inlineStr">
        <is>
          <t>ez_manage.py:5586 top()</t>
        </is>
      </c>
      <c r="IL43" t="inlineStr">
        <is>
          <t>v12_quick_engine.py:3192 x4</t>
        </is>
      </c>
    </row>
    <row r="44" ht="10.5" customHeight="1" s="67">
      <c r="A44" t="inlineStr">
        <is>
          <t>STDEV_REJECT_EXIT_TF</t>
        </is>
      </c>
      <c r="B44" t="inlineStr">
        <is>
          <t>OFF</t>
        </is>
      </c>
      <c r="G44">
        <f>IFERROR(VLOOKUP($A44&amp;"_"&amp;$B44,Results_Deltas!$A$2:$P$15000,5,FALSE),"")</f>
        <v/>
      </c>
      <c r="H44">
        <f>IFERROR(VLOOKUP($A44,Results_30d_Deltas!$A$2:$H$5000,7,FALSE)-E43,"")</f>
        <v/>
      </c>
      <c r="I44">
        <f>IFERROR(VLOOKUP($A44,Results_30d_Deltas!$A$2:$H$5000,6,FALSE),"")</f>
        <v/>
      </c>
      <c r="L44" t="inlineStr">
        <is>
          <t>YES</t>
        </is>
      </c>
      <c r="IK44" t="inlineStr">
        <is>
          <t>ez_manage.py:4058 top()</t>
        </is>
      </c>
      <c r="IL44" t="inlineStr">
        <is>
          <t>v12_quick_engine.py:3298 x3</t>
        </is>
      </c>
    </row>
    <row r="45" ht="10.5" customHeight="1" s="67">
      <c r="A45" t="inlineStr">
        <is>
          <t>STDEV_REJECT_EXIT_TF</t>
        </is>
      </c>
      <c r="B45" t="inlineStr">
        <is>
          <t>D</t>
        </is>
      </c>
      <c r="G45">
        <f>IFERROR(VLOOKUP($A45&amp;"_"&amp;$B45,Results_Deltas!$A$2:$P$15000,5,FALSE),"")</f>
        <v/>
      </c>
      <c r="H45">
        <f>IFERROR(VLOOKUP($A45,Results_30d_Deltas!$A$2:$H$5000,7,FALSE)-E44,"")</f>
        <v/>
      </c>
      <c r="I45">
        <f>IFERROR(VLOOKUP($A45,Results_30d_Deltas!$A$2:$H$5000,6,FALSE),"")</f>
        <v/>
      </c>
      <c r="L45" t="inlineStr">
        <is>
          <t>NO</t>
        </is>
      </c>
      <c r="IK45" t="inlineStr">
        <is>
          <t>ez_manage.py:4058 top()</t>
        </is>
      </c>
      <c r="IL45" t="inlineStr">
        <is>
          <t>v12_quick_engine.py:3298 x3</t>
        </is>
      </c>
    </row>
    <row r="46" ht="10.5" customHeight="1" s="67">
      <c r="A46" t="inlineStr">
        <is>
          <t>STDEV_REJECT_EXIT_TF</t>
        </is>
      </c>
      <c r="B46" t="inlineStr">
        <is>
          <t>4h</t>
        </is>
      </c>
      <c r="G46">
        <f>IFERROR(VLOOKUP($A46&amp;"_"&amp;$B46,Results_Deltas!$A$2:$P$15000,5,FALSE),"")</f>
        <v/>
      </c>
      <c r="H46">
        <f>IFERROR(VLOOKUP($A46,Results_30d_Deltas!$A$2:$H$5000,7,FALSE)-E45,"")</f>
        <v/>
      </c>
      <c r="I46">
        <f>IFERROR(VLOOKUP($A46,Results_30d_Deltas!$A$2:$H$5000,6,FALSE),"")</f>
        <v/>
      </c>
      <c r="L46" t="inlineStr">
        <is>
          <t>NO</t>
        </is>
      </c>
      <c r="IK46" t="inlineStr">
        <is>
          <t>ez_manage.py:4058 top()</t>
        </is>
      </c>
      <c r="IL46" t="inlineStr">
        <is>
          <t>v12_quick_engine.py:3298 x3</t>
        </is>
      </c>
    </row>
    <row r="47" ht="10.5" customHeight="1" s="67">
      <c r="A47" t="inlineStr">
        <is>
          <t>STDEV_REJECT_EXIT_TF</t>
        </is>
      </c>
      <c r="B47" t="inlineStr">
        <is>
          <t>1h</t>
        </is>
      </c>
      <c r="G47">
        <f>IFERROR(VLOOKUP($A47&amp;"_"&amp;$B47,Results_Deltas!$A$2:$P$15000,5,FALSE),"")</f>
        <v/>
      </c>
      <c r="H47">
        <f>IFERROR(VLOOKUP($A47,Results_30d_Deltas!$A$2:$H$5000,7,FALSE)-E46,"")</f>
        <v/>
      </c>
      <c r="I47">
        <f>IFERROR(VLOOKUP($A47,Results_30d_Deltas!$A$2:$H$5000,6,FALSE),"")</f>
        <v/>
      </c>
      <c r="L47" t="inlineStr">
        <is>
          <t>NO</t>
        </is>
      </c>
      <c r="IK47" t="inlineStr">
        <is>
          <t>ez_manage.py:4058 top()</t>
        </is>
      </c>
      <c r="IL47" t="inlineStr">
        <is>
          <t>v12_quick_engine.py:3298 x3</t>
        </is>
      </c>
    </row>
    <row r="48" ht="10.5" customHeight="1" s="67">
      <c r="A48" t="inlineStr">
        <is>
          <t>STDEV_REJECT_EXIT_TF</t>
        </is>
      </c>
      <c r="B48" t="inlineStr">
        <is>
          <t>15m</t>
        </is>
      </c>
      <c r="G48">
        <f>IFERROR(VLOOKUP($A48&amp;"_"&amp;$B48,Results_Deltas!$A$2:$P$15000,5,FALSE),"")</f>
        <v/>
      </c>
      <c r="H48">
        <f>IFERROR(VLOOKUP($A48,Results_30d_Deltas!$A$2:$H$5000,7,FALSE)-E47,"")</f>
        <v/>
      </c>
      <c r="I48">
        <f>IFERROR(VLOOKUP($A48,Results_30d_Deltas!$A$2:$H$5000,6,FALSE),"")</f>
        <v/>
      </c>
      <c r="L48" t="inlineStr">
        <is>
          <t>YES</t>
        </is>
      </c>
      <c r="IK48" t="inlineStr">
        <is>
          <t>ez_manage.py:4058 top()</t>
        </is>
      </c>
      <c r="IL48" t="inlineStr">
        <is>
          <t>v12_quick_engine.py:3298 x3</t>
        </is>
      </c>
    </row>
    <row r="49" ht="10.5" customHeight="1" s="67">
      <c r="A49" t="inlineStr">
        <is>
          <t>TREND_EXIT_SCORE_FLIP</t>
        </is>
      </c>
      <c r="B49" t="inlineStr">
        <is>
          <t>0</t>
        </is>
      </c>
      <c r="G49">
        <f>IFERROR(VLOOKUP($A49&amp;"_"&amp;$B49,Results_Deltas!$A$2:$P$15000,5,FALSE),"")</f>
        <v/>
      </c>
      <c r="H49">
        <f>IFERROR(VLOOKUP($A49,Results_30d_Deltas!$A$2:$H$5000,7,FALSE)-E48,"")</f>
        <v/>
      </c>
      <c r="I49">
        <f>IFERROR(VLOOKUP($A49,Results_30d_Deltas!$A$2:$H$5000,6,FALSE),"")</f>
        <v/>
      </c>
      <c r="L49" t="inlineStr">
        <is>
          <t>NO</t>
        </is>
      </c>
      <c r="IK49" t="inlineStr">
        <is>
          <t>ez_manage.py:4200 top()</t>
        </is>
      </c>
      <c r="IL49" t="inlineStr">
        <is>
          <t>v12_quick_engine.py:3540 x2</t>
        </is>
      </c>
    </row>
    <row r="50" ht="10.5" customHeight="1" s="67">
      <c r="A50" t="inlineStr">
        <is>
          <t>TREND_EXIT_SCORE_FLIP</t>
        </is>
      </c>
      <c r="B50" t="inlineStr">
        <is>
          <t>0.5</t>
        </is>
      </c>
      <c r="G50">
        <f>IFERROR(VLOOKUP($A50&amp;"_"&amp;$B50,Results_Deltas!$A$2:$P$15000,5,FALSE),"")</f>
        <v/>
      </c>
      <c r="H50">
        <f>IFERROR(VLOOKUP($A50,Results_30d_Deltas!$A$2:$H$5000,7,FALSE)-E49,"")</f>
        <v/>
      </c>
      <c r="I50">
        <f>IFERROR(VLOOKUP($A50,Results_30d_Deltas!$A$2:$H$5000,6,FALSE),"")</f>
        <v/>
      </c>
      <c r="L50" t="inlineStr">
        <is>
          <t>NO</t>
        </is>
      </c>
      <c r="IK50" t="inlineStr">
        <is>
          <t>ez_manage.py:4200 top()</t>
        </is>
      </c>
      <c r="IL50" t="inlineStr">
        <is>
          <t>v12_quick_engine.py:3540 x2</t>
        </is>
      </c>
    </row>
    <row r="51" ht="10.5" customHeight="1" s="67">
      <c r="A51" t="inlineStr">
        <is>
          <t>TREND_EXIT_SCORE_FLIP</t>
        </is>
      </c>
      <c r="B51" t="inlineStr">
        <is>
          <t>1.0</t>
        </is>
      </c>
      <c r="G51">
        <f>IFERROR(VLOOKUP($A51&amp;"_"&amp;$B51,Results_Deltas!$A$2:$P$15000,5,FALSE),"")</f>
        <v/>
      </c>
      <c r="H51">
        <f>IFERROR(VLOOKUP($A51,Results_30d_Deltas!$A$2:$H$5000,7,FALSE)-E50,"")</f>
        <v/>
      </c>
      <c r="I51">
        <f>IFERROR(VLOOKUP($A51,Results_30d_Deltas!$A$2:$H$5000,6,FALSE),"")</f>
        <v/>
      </c>
      <c r="L51" t="inlineStr">
        <is>
          <t>NO</t>
        </is>
      </c>
      <c r="IK51" t="inlineStr">
        <is>
          <t>ez_manage.py:4200 top()</t>
        </is>
      </c>
      <c r="IL51" t="inlineStr">
        <is>
          <t>v12_quick_engine.py:3540 x2</t>
        </is>
      </c>
    </row>
    <row r="52" ht="10.5" customHeight="1" s="67">
      <c r="A52" t="inlineStr">
        <is>
          <t>TREND_EXIT_SCORE_FLIP</t>
        </is>
      </c>
      <c r="B52" t="inlineStr">
        <is>
          <t>2.0</t>
        </is>
      </c>
      <c r="G52">
        <f>IFERROR(VLOOKUP($A52&amp;"_"&amp;$B52,Results_Deltas!$A$2:$P$15000,5,FALSE),"")</f>
        <v/>
      </c>
      <c r="H52">
        <f>IFERROR(VLOOKUP($A52,Results_30d_Deltas!$A$2:$H$5000,7,FALSE)-E51,"")</f>
        <v/>
      </c>
      <c r="I52">
        <f>IFERROR(VLOOKUP($A52,Results_30d_Deltas!$A$2:$H$5000,6,FALSE),"")</f>
        <v/>
      </c>
      <c r="L52" t="inlineStr">
        <is>
          <t>NO</t>
        </is>
      </c>
      <c r="IK52" t="inlineStr">
        <is>
          <t>ez_manage.py:4200 top()</t>
        </is>
      </c>
      <c r="IL52" t="inlineStr">
        <is>
          <t>v12_quick_engine.py:3540 x2</t>
        </is>
      </c>
    </row>
    <row r="53" ht="10.5" customHeight="1" s="67">
      <c r="A53" t="inlineStr">
        <is>
          <t>WT_4H_VEL_EXIT_ENABLED</t>
        </is>
      </c>
      <c r="B53" t="inlineStr">
        <is>
          <t>False</t>
        </is>
      </c>
      <c r="G53">
        <f>IFERROR(VLOOKUP($A53&amp;"_"&amp;$B53,Results_Deltas!$A$2:$P$15000,5,FALSE),"")</f>
        <v/>
      </c>
      <c r="H53">
        <f>IFERROR(VLOOKUP($A53,Results_30d_Deltas!$A$2:$H$5000,7,FALSE)-E52,"")</f>
        <v/>
      </c>
      <c r="I53">
        <f>IFERROR(VLOOKUP($A53,Results_30d_Deltas!$A$2:$H$5000,6,FALSE),"")</f>
        <v/>
      </c>
      <c r="L53" t="inlineStr">
        <is>
          <t>YES</t>
        </is>
      </c>
      <c r="IK53" t="inlineStr">
        <is>
          <t>ez_manage.py:5876 top()</t>
        </is>
      </c>
      <c r="IL53" t="inlineStr">
        <is>
          <t>v12_quick_engine.py:3695 x5</t>
        </is>
      </c>
    </row>
    <row r="54" ht="10.5" customHeight="1" s="67">
      <c r="A54" t="inlineStr">
        <is>
          <t>WT_4H_VEL_EXIT_ENABLED</t>
        </is>
      </c>
      <c r="B54" t="inlineStr">
        <is>
          <t>True</t>
        </is>
      </c>
      <c r="G54">
        <f>IFERROR(VLOOKUP($A54&amp;"_"&amp;$B54,Results_Deltas!$A$2:$P$15000,5,FALSE),"")</f>
        <v/>
      </c>
      <c r="H54">
        <f>IFERROR(VLOOKUP($A54,Results_30d_Deltas!$A$2:$H$5000,7,FALSE)-E53,"")</f>
        <v/>
      </c>
      <c r="I54">
        <f>IFERROR(VLOOKUP($A54,Results_30d_Deltas!$A$2:$H$5000,6,FALSE),"")</f>
        <v/>
      </c>
      <c r="L54" t="inlineStr">
        <is>
          <t>NO</t>
        </is>
      </c>
      <c r="IK54" t="inlineStr">
        <is>
          <t>ez_manage.py:5876 top()</t>
        </is>
      </c>
      <c r="IL54" t="inlineStr">
        <is>
          <t>v12_quick_engine.py:3695 x5</t>
        </is>
      </c>
    </row>
    <row r="55" ht="10.5" customHeight="1" s="67">
      <c r="A55" t="inlineStr">
        <is>
          <t>WT_4H_VEL_EXIT_K_EXTREME_HIGH</t>
        </is>
      </c>
      <c r="B55" t="inlineStr">
        <is>
          <t>0</t>
        </is>
      </c>
      <c r="G55">
        <f>IFERROR(VLOOKUP($A55&amp;"_"&amp;$B55,Results_Deltas!$A$2:$P$15000,5,FALSE),"")</f>
        <v/>
      </c>
      <c r="H55">
        <f>IFERROR(VLOOKUP($A55,Results_30d_Deltas!$A$2:$H$5000,7,FALSE)-E54,"")</f>
        <v/>
      </c>
      <c r="I55">
        <f>IFERROR(VLOOKUP($A55,Results_30d_Deltas!$A$2:$H$5000,6,FALSE),"")</f>
        <v/>
      </c>
      <c r="L55" t="inlineStr">
        <is>
          <t>NO</t>
        </is>
      </c>
      <c r="IK55" t="inlineStr">
        <is>
          <t>ez_manage.py:5877 top()</t>
        </is>
      </c>
      <c r="IL55" t="inlineStr">
        <is>
          <t>v12_quick_engine.py:3696 x5</t>
        </is>
      </c>
    </row>
    <row r="56" ht="10.5" customHeight="1" s="67">
      <c r="A56" t="inlineStr">
        <is>
          <t>WT_4H_VEL_EXIT_K_EXTREME_HIGH</t>
        </is>
      </c>
      <c r="B56" t="inlineStr">
        <is>
          <t>0.5</t>
        </is>
      </c>
      <c r="G56">
        <f>IFERROR(VLOOKUP($A56&amp;"_"&amp;$B56,Results_Deltas!$A$2:$P$15000,5,FALSE),"")</f>
        <v/>
      </c>
      <c r="H56">
        <f>IFERROR(VLOOKUP($A56,Results_30d_Deltas!$A$2:$H$5000,7,FALSE)-E55,"")</f>
        <v/>
      </c>
      <c r="I56">
        <f>IFERROR(VLOOKUP($A56,Results_30d_Deltas!$A$2:$H$5000,6,FALSE),"")</f>
        <v/>
      </c>
      <c r="L56" t="inlineStr">
        <is>
          <t>NO</t>
        </is>
      </c>
      <c r="IK56" t="inlineStr">
        <is>
          <t>ez_manage.py:5877 top()</t>
        </is>
      </c>
      <c r="IL56" t="inlineStr">
        <is>
          <t>v12_quick_engine.py:3696 x5</t>
        </is>
      </c>
    </row>
    <row r="57" ht="10.5" customHeight="1" s="67">
      <c r="A57" t="inlineStr">
        <is>
          <t>WT_4H_VEL_EXIT_K_EXTREME_HIGH</t>
        </is>
      </c>
      <c r="B57" t="inlineStr">
        <is>
          <t>1.0</t>
        </is>
      </c>
      <c r="G57">
        <f>IFERROR(VLOOKUP($A57&amp;"_"&amp;$B57,Results_Deltas!$A$2:$P$15000,5,FALSE),"")</f>
        <v/>
      </c>
      <c r="H57">
        <f>IFERROR(VLOOKUP($A57,Results_30d_Deltas!$A$2:$H$5000,7,FALSE)-E56,"")</f>
        <v/>
      </c>
      <c r="I57">
        <f>IFERROR(VLOOKUP($A57,Results_30d_Deltas!$A$2:$H$5000,6,FALSE),"")</f>
        <v/>
      </c>
      <c r="L57" t="inlineStr">
        <is>
          <t>NO</t>
        </is>
      </c>
      <c r="IK57" t="inlineStr">
        <is>
          <t>ez_manage.py:5877 top()</t>
        </is>
      </c>
      <c r="IL57" t="inlineStr">
        <is>
          <t>v12_quick_engine.py:3696 x5</t>
        </is>
      </c>
    </row>
    <row r="58" ht="10.5" customHeight="1" s="67">
      <c r="A58" t="inlineStr">
        <is>
          <t>WT_4H_VEL_EXIT_K_EXTREME_HIGH</t>
        </is>
      </c>
      <c r="B58" t="inlineStr">
        <is>
          <t>2.0</t>
        </is>
      </c>
      <c r="G58">
        <f>IFERROR(VLOOKUP($A58&amp;"_"&amp;$B58,Results_Deltas!$A$2:$P$15000,5,FALSE),"")</f>
        <v/>
      </c>
      <c r="H58">
        <f>IFERROR(VLOOKUP($A58,Results_30d_Deltas!$A$2:$H$5000,7,FALSE)-E57,"")</f>
        <v/>
      </c>
      <c r="I58">
        <f>IFERROR(VLOOKUP($A58,Results_30d_Deltas!$A$2:$H$5000,6,FALSE),"")</f>
        <v/>
      </c>
      <c r="L58" t="inlineStr">
        <is>
          <t>NO</t>
        </is>
      </c>
      <c r="IK58" t="inlineStr">
        <is>
          <t>ez_manage.py:5877 top()</t>
        </is>
      </c>
      <c r="IL58" t="inlineStr">
        <is>
          <t>v12_quick_engine.py:3696 x5</t>
        </is>
      </c>
    </row>
    <row r="59" ht="10.5" customHeight="1" s="67">
      <c r="A59" t="inlineStr">
        <is>
          <t>WT_4H_VEL_EXIT_K_EXTREME_LOW</t>
        </is>
      </c>
      <c r="B59" t="inlineStr">
        <is>
          <t>0</t>
        </is>
      </c>
      <c r="G59">
        <f>IFERROR(VLOOKUP($A59&amp;"_"&amp;$B59,Results_Deltas!$A$2:$P$15000,5,FALSE),"")</f>
        <v/>
      </c>
      <c r="H59">
        <f>IFERROR(VLOOKUP($A59,Results_30d_Deltas!$A$2:$H$5000,7,FALSE)-E58,"")</f>
        <v/>
      </c>
      <c r="I59">
        <f>IFERROR(VLOOKUP($A59,Results_30d_Deltas!$A$2:$H$5000,6,FALSE),"")</f>
        <v/>
      </c>
      <c r="L59" t="inlineStr">
        <is>
          <t>NO</t>
        </is>
      </c>
      <c r="IK59" t="inlineStr">
        <is>
          <t>ez_manage.py:5878 top()</t>
        </is>
      </c>
      <c r="IL59" t="inlineStr">
        <is>
          <t>v12_quick_engine.py:3697 x5</t>
        </is>
      </c>
    </row>
    <row r="60" ht="10.5" customHeight="1" s="67">
      <c r="A60" t="inlineStr">
        <is>
          <t>WT_4H_VEL_EXIT_K_EXTREME_LOW</t>
        </is>
      </c>
      <c r="B60" t="inlineStr">
        <is>
          <t>0.5</t>
        </is>
      </c>
      <c r="G60">
        <f>IFERROR(VLOOKUP($A60&amp;"_"&amp;$B60,Results_Deltas!$A$2:$P$15000,5,FALSE),"")</f>
        <v/>
      </c>
      <c r="H60">
        <f>IFERROR(VLOOKUP($A60,Results_30d_Deltas!$A$2:$H$5000,7,FALSE)-E59,"")</f>
        <v/>
      </c>
      <c r="I60">
        <f>IFERROR(VLOOKUP($A60,Results_30d_Deltas!$A$2:$H$5000,6,FALSE),"")</f>
        <v/>
      </c>
      <c r="L60" t="inlineStr">
        <is>
          <t>NO</t>
        </is>
      </c>
      <c r="IK60" t="inlineStr">
        <is>
          <t>ez_manage.py:5878 top()</t>
        </is>
      </c>
      <c r="IL60" t="inlineStr">
        <is>
          <t>v12_quick_engine.py:3697 x5</t>
        </is>
      </c>
    </row>
    <row r="61" ht="10.5" customHeight="1" s="67">
      <c r="A61" t="inlineStr">
        <is>
          <t>WT_4H_VEL_EXIT_K_EXTREME_LOW</t>
        </is>
      </c>
      <c r="B61" t="inlineStr">
        <is>
          <t>1.0</t>
        </is>
      </c>
      <c r="G61">
        <f>IFERROR(VLOOKUP($A61&amp;"_"&amp;$B61,Results_Deltas!$A$2:$P$15000,5,FALSE),"")</f>
        <v/>
      </c>
      <c r="H61">
        <f>IFERROR(VLOOKUP($A61,Results_30d_Deltas!$A$2:$H$5000,7,FALSE)-E60,"")</f>
        <v/>
      </c>
      <c r="I61">
        <f>IFERROR(VLOOKUP($A61,Results_30d_Deltas!$A$2:$H$5000,6,FALSE),"")</f>
        <v/>
      </c>
      <c r="L61" t="inlineStr">
        <is>
          <t>NO</t>
        </is>
      </c>
      <c r="IK61" t="inlineStr">
        <is>
          <t>ez_manage.py:5878 top()</t>
        </is>
      </c>
      <c r="IL61" t="inlineStr">
        <is>
          <t>v12_quick_engine.py:3697 x5</t>
        </is>
      </c>
    </row>
    <row r="62" ht="10.5" customHeight="1" s="67">
      <c r="A62" t="inlineStr">
        <is>
          <t>WT_4H_VEL_EXIT_K_EXTREME_LOW</t>
        </is>
      </c>
      <c r="B62" t="inlineStr">
        <is>
          <t>2.0</t>
        </is>
      </c>
      <c r="G62">
        <f>IFERROR(VLOOKUP($A62&amp;"_"&amp;$B62,Results_Deltas!$A$2:$P$15000,5,FALSE),"")</f>
        <v/>
      </c>
      <c r="H62">
        <f>IFERROR(VLOOKUP($A62,Results_30d_Deltas!$A$2:$H$5000,7,FALSE)-E61,"")</f>
        <v/>
      </c>
      <c r="I62">
        <f>IFERROR(VLOOKUP($A62,Results_30d_Deltas!$A$2:$H$5000,6,FALSE),"")</f>
        <v/>
      </c>
      <c r="L62" t="inlineStr">
        <is>
          <t>NO</t>
        </is>
      </c>
      <c r="IK62" t="inlineStr">
        <is>
          <t>ez_manage.py:5878 top()</t>
        </is>
      </c>
      <c r="IL62" t="inlineStr">
        <is>
          <t>v12_quick_engine.py:3697 x5</t>
        </is>
      </c>
    </row>
    <row r="63" ht="10.5" customHeight="1" s="67">
      <c r="A63" t="inlineStr">
        <is>
          <t>WT_4H_VEL_EXIT_REQUIRE_K_EXTREME</t>
        </is>
      </c>
      <c r="B63" t="inlineStr">
        <is>
          <t>0</t>
        </is>
      </c>
      <c r="G63">
        <f>IFERROR(VLOOKUP($A63&amp;"_"&amp;$B63,Results_Deltas!$A$2:$P$15000,5,FALSE),"")</f>
        <v/>
      </c>
      <c r="H63">
        <f>IFERROR(VLOOKUP($A63,Results_30d_Deltas!$A$2:$H$5000,7,FALSE)-E62,"")</f>
        <v/>
      </c>
      <c r="I63">
        <f>IFERROR(VLOOKUP($A63,Results_30d_Deltas!$A$2:$H$5000,6,FALSE),"")</f>
        <v/>
      </c>
      <c r="L63" t="inlineStr">
        <is>
          <t>NO</t>
        </is>
      </c>
      <c r="IK63" t="inlineStr">
        <is>
          <t>ez_manage.py:5880 top()</t>
        </is>
      </c>
      <c r="IL63" t="inlineStr">
        <is>
          <t>v12_quick_engine.py:3699 x5</t>
        </is>
      </c>
    </row>
    <row r="64" ht="10.5" customHeight="1" s="67">
      <c r="A64" t="inlineStr">
        <is>
          <t>WT_4H_VEL_EXIT_REQUIRE_K_EXTREME</t>
        </is>
      </c>
      <c r="B64" t="inlineStr">
        <is>
          <t>0.5</t>
        </is>
      </c>
      <c r="G64">
        <f>IFERROR(VLOOKUP($A64&amp;"_"&amp;$B64,Results_Deltas!$A$2:$P$15000,5,FALSE),"")</f>
        <v/>
      </c>
      <c r="H64">
        <f>IFERROR(VLOOKUP($A64,Results_30d_Deltas!$A$2:$H$5000,7,FALSE)-E63,"")</f>
        <v/>
      </c>
      <c r="I64">
        <f>IFERROR(VLOOKUP($A64,Results_30d_Deltas!$A$2:$H$5000,6,FALSE),"")</f>
        <v/>
      </c>
      <c r="L64" t="inlineStr">
        <is>
          <t>NO</t>
        </is>
      </c>
      <c r="IK64" t="inlineStr">
        <is>
          <t>ez_manage.py:5880 top()</t>
        </is>
      </c>
      <c r="IL64" t="inlineStr">
        <is>
          <t>v12_quick_engine.py:3699 x5</t>
        </is>
      </c>
    </row>
    <row r="65" ht="10.5" customHeight="1" s="67">
      <c r="A65" t="inlineStr">
        <is>
          <t>WT_4H_VEL_EXIT_REQUIRE_K_EXTREME</t>
        </is>
      </c>
      <c r="B65" t="inlineStr">
        <is>
          <t>1.0</t>
        </is>
      </c>
      <c r="G65">
        <f>IFERROR(VLOOKUP($A65&amp;"_"&amp;$B65,Results_Deltas!$A$2:$P$15000,5,FALSE),"")</f>
        <v/>
      </c>
      <c r="H65">
        <f>IFERROR(VLOOKUP($A65,Results_30d_Deltas!$A$2:$H$5000,7,FALSE)-E64,"")</f>
        <v/>
      </c>
      <c r="I65">
        <f>IFERROR(VLOOKUP($A65,Results_30d_Deltas!$A$2:$H$5000,6,FALSE),"")</f>
        <v/>
      </c>
      <c r="L65" t="inlineStr">
        <is>
          <t>NO</t>
        </is>
      </c>
      <c r="IK65" t="inlineStr">
        <is>
          <t>ez_manage.py:5880 top()</t>
        </is>
      </c>
      <c r="IL65" t="inlineStr">
        <is>
          <t>v12_quick_engine.py:3699 x5</t>
        </is>
      </c>
    </row>
    <row r="66" ht="10.5" customHeight="1" s="67">
      <c r="A66" t="inlineStr">
        <is>
          <t>WT_4H_VEL_EXIT_REQUIRE_K_EXTREME</t>
        </is>
      </c>
      <c r="B66" t="inlineStr">
        <is>
          <t>2.0</t>
        </is>
      </c>
      <c r="G66">
        <f>IFERROR(VLOOKUP($A66&amp;"_"&amp;$B66,Results_Deltas!$A$2:$P$15000,5,FALSE),"")</f>
        <v/>
      </c>
      <c r="H66">
        <f>IFERROR(VLOOKUP($A66,Results_30d_Deltas!$A$2:$H$5000,7,FALSE)-E65,"")</f>
        <v/>
      </c>
      <c r="I66">
        <f>IFERROR(VLOOKUP($A66,Results_30d_Deltas!$A$2:$H$5000,6,FALSE),"")</f>
        <v/>
      </c>
      <c r="L66" t="inlineStr">
        <is>
          <t>NO</t>
        </is>
      </c>
      <c r="IK66" t="inlineStr">
        <is>
          <t>ez_manage.py:5880 top()</t>
        </is>
      </c>
      <c r="IL66" t="inlineStr">
        <is>
          <t>v12_quick_engine.py:3699 x5</t>
        </is>
      </c>
    </row>
    <row r="67" ht="10.5" customHeight="1" s="67">
      <c r="A67" t="inlineStr">
        <is>
          <t>WT_4H_VEL_EXIT_REQUIRE_PROFIT</t>
        </is>
      </c>
      <c r="B67" t="inlineStr">
        <is>
          <t>0</t>
        </is>
      </c>
      <c r="G67">
        <f>IFERROR(VLOOKUP($A67&amp;"_"&amp;$B67,Results_Deltas!$A$2:$P$15000,5,FALSE),"")</f>
        <v/>
      </c>
      <c r="H67">
        <f>IFERROR(VLOOKUP($A67,Results_30d_Deltas!$A$2:$H$5000,7,FALSE)-E66,"")</f>
        <v/>
      </c>
      <c r="I67">
        <f>IFERROR(VLOOKUP($A67,Results_30d_Deltas!$A$2:$H$5000,6,FALSE),"")</f>
        <v/>
      </c>
      <c r="L67" t="inlineStr">
        <is>
          <t>NO</t>
        </is>
      </c>
      <c r="IK67" t="inlineStr">
        <is>
          <t>ez_manage.py:5881 top()</t>
        </is>
      </c>
      <c r="IL67" t="inlineStr">
        <is>
          <t>v12_quick_engine.py:3700 x5</t>
        </is>
      </c>
    </row>
    <row r="68" ht="10.5" customHeight="1" s="67">
      <c r="A68" t="inlineStr">
        <is>
          <t>WT_4H_VEL_EXIT_REQUIRE_PROFIT</t>
        </is>
      </c>
      <c r="B68" t="inlineStr">
        <is>
          <t>0.5</t>
        </is>
      </c>
      <c r="G68">
        <f>IFERROR(VLOOKUP($A68&amp;"_"&amp;$B68,Results_Deltas!$A$2:$P$15000,5,FALSE),"")</f>
        <v/>
      </c>
      <c r="H68">
        <f>IFERROR(VLOOKUP($A68,Results_30d_Deltas!$A$2:$H$5000,7,FALSE)-E67,"")</f>
        <v/>
      </c>
      <c r="I68">
        <f>IFERROR(VLOOKUP($A68,Results_30d_Deltas!$A$2:$H$5000,6,FALSE),"")</f>
        <v/>
      </c>
      <c r="L68" t="inlineStr">
        <is>
          <t>NO</t>
        </is>
      </c>
      <c r="IK68" t="inlineStr">
        <is>
          <t>ez_manage.py:5881 top()</t>
        </is>
      </c>
      <c r="IL68" t="inlineStr">
        <is>
          <t>v12_quick_engine.py:3700 x5</t>
        </is>
      </c>
    </row>
    <row r="69" ht="10.5" customHeight="1" s="67">
      <c r="A69" t="inlineStr">
        <is>
          <t>WT_4H_VEL_EXIT_REQUIRE_PROFIT</t>
        </is>
      </c>
      <c r="B69" t="inlineStr">
        <is>
          <t>1.0</t>
        </is>
      </c>
      <c r="G69">
        <f>IFERROR(VLOOKUP($A69&amp;"_"&amp;$B69,Results_Deltas!$A$2:$P$15000,5,FALSE),"")</f>
        <v/>
      </c>
      <c r="H69">
        <f>IFERROR(VLOOKUP($A69,Results_30d_Deltas!$A$2:$H$5000,7,FALSE)-E68,"")</f>
        <v/>
      </c>
      <c r="I69">
        <f>IFERROR(VLOOKUP($A69,Results_30d_Deltas!$A$2:$H$5000,6,FALSE),"")</f>
        <v/>
      </c>
      <c r="L69" t="inlineStr">
        <is>
          <t>NO</t>
        </is>
      </c>
      <c r="IK69" t="inlineStr">
        <is>
          <t>ez_manage.py:5881 top()</t>
        </is>
      </c>
      <c r="IL69" t="inlineStr">
        <is>
          <t>v12_quick_engine.py:3700 x5</t>
        </is>
      </c>
    </row>
    <row r="70" ht="10.5" customHeight="1" s="67">
      <c r="A70" t="inlineStr">
        <is>
          <t>WT_4H_VEL_EXIT_REQUIRE_PROFIT</t>
        </is>
      </c>
      <c r="B70" t="inlineStr">
        <is>
          <t>2.0</t>
        </is>
      </c>
      <c r="G70">
        <f>IFERROR(VLOOKUP($A70&amp;"_"&amp;$B70,Results_Deltas!$A$2:$P$15000,5,FALSE),"")</f>
        <v/>
      </c>
      <c r="H70">
        <f>IFERROR(VLOOKUP($A70,Results_30d_Deltas!$A$2:$H$5000,7,FALSE)-E69,"")</f>
        <v/>
      </c>
      <c r="I70">
        <f>IFERROR(VLOOKUP($A70,Results_30d_Deltas!$A$2:$H$5000,6,FALSE),"")</f>
        <v/>
      </c>
      <c r="L70" t="inlineStr">
        <is>
          <t>NO</t>
        </is>
      </c>
      <c r="IK70" t="inlineStr">
        <is>
          <t>ez_manage.py:5881 top()</t>
        </is>
      </c>
      <c r="IL70" t="inlineStr">
        <is>
          <t>v12_quick_engine.py:3700 x5</t>
        </is>
      </c>
    </row>
    <row r="71" ht="10.5" customHeight="1" s="67">
      <c r="A71" t="inlineStr">
        <is>
          <t>WT_CROSS_EXIT_APPLIES_TO_WINNERS</t>
        </is>
      </c>
      <c r="B71" t="inlineStr">
        <is>
          <t>0</t>
        </is>
      </c>
      <c r="G71">
        <f>IFERROR(VLOOKUP($A71&amp;"_"&amp;$B71,Results_Deltas!$A$2:$P$15000,5,FALSE),"")</f>
        <v/>
      </c>
      <c r="H71">
        <f>IFERROR(VLOOKUP($A71,Results_30d_Deltas!$A$2:$H$5000,7,FALSE)-E70,"")</f>
        <v/>
      </c>
      <c r="I71">
        <f>IFERROR(VLOOKUP($A71,Results_30d_Deltas!$A$2:$H$5000,6,FALSE),"")</f>
        <v/>
      </c>
      <c r="L71" t="inlineStr">
        <is>
          <t>NO</t>
        </is>
      </c>
      <c r="IK71" t="inlineStr">
        <is>
          <t>ez_manage.py:5901 top()</t>
        </is>
      </c>
      <c r="IL71" t="inlineStr">
        <is>
          <t>v12_quick_engine.py:3722 x2</t>
        </is>
      </c>
    </row>
    <row r="72" ht="10.5" customHeight="1" s="67">
      <c r="A72" t="inlineStr">
        <is>
          <t>WT_CROSS_EXIT_APPLIES_TO_WINNERS</t>
        </is>
      </c>
      <c r="B72" t="inlineStr">
        <is>
          <t>0.5</t>
        </is>
      </c>
      <c r="G72">
        <f>IFERROR(VLOOKUP($A72&amp;"_"&amp;$B72,Results_Deltas!$A$2:$P$15000,5,FALSE),"")</f>
        <v/>
      </c>
      <c r="H72">
        <f>IFERROR(VLOOKUP($A72,Results_30d_Deltas!$A$2:$H$5000,7,FALSE)-E71,"")</f>
        <v/>
      </c>
      <c r="I72">
        <f>IFERROR(VLOOKUP($A72,Results_30d_Deltas!$A$2:$H$5000,6,FALSE),"")</f>
        <v/>
      </c>
      <c r="L72" t="inlineStr">
        <is>
          <t>NO</t>
        </is>
      </c>
      <c r="IK72" t="inlineStr">
        <is>
          <t>ez_manage.py:5901 top()</t>
        </is>
      </c>
      <c r="IL72" t="inlineStr">
        <is>
          <t>v12_quick_engine.py:3722 x2</t>
        </is>
      </c>
    </row>
    <row r="73" ht="10.5" customHeight="1" s="67">
      <c r="A73" t="inlineStr">
        <is>
          <t>WT_CROSS_EXIT_APPLIES_TO_WINNERS</t>
        </is>
      </c>
      <c r="B73" t="inlineStr">
        <is>
          <t>1.0</t>
        </is>
      </c>
      <c r="G73">
        <f>IFERROR(VLOOKUP($A73&amp;"_"&amp;$B73,Results_Deltas!$A$2:$P$15000,5,FALSE),"")</f>
        <v/>
      </c>
      <c r="H73">
        <f>IFERROR(VLOOKUP($A73,Results_30d_Deltas!$A$2:$H$5000,7,FALSE)-E72,"")</f>
        <v/>
      </c>
      <c r="I73">
        <f>IFERROR(VLOOKUP($A73,Results_30d_Deltas!$A$2:$H$5000,6,FALSE),"")</f>
        <v/>
      </c>
      <c r="L73" t="inlineStr">
        <is>
          <t>NO</t>
        </is>
      </c>
      <c r="IK73" t="inlineStr">
        <is>
          <t>ez_manage.py:5901 top()</t>
        </is>
      </c>
      <c r="IL73" t="inlineStr">
        <is>
          <t>v12_quick_engine.py:3722 x2</t>
        </is>
      </c>
    </row>
    <row r="74" ht="10.5" customHeight="1" s="67">
      <c r="A74" t="inlineStr">
        <is>
          <t>WT_CROSS_EXIT_APPLIES_TO_WINNERS</t>
        </is>
      </c>
      <c r="B74" t="inlineStr">
        <is>
          <t>2.0</t>
        </is>
      </c>
      <c r="G74">
        <f>IFERROR(VLOOKUP($A74&amp;"_"&amp;$B74,Results_Deltas!$A$2:$P$15000,5,FALSE),"")</f>
        <v/>
      </c>
      <c r="H74">
        <f>IFERROR(VLOOKUP($A74,Results_30d_Deltas!$A$2:$H$5000,7,FALSE)-E73,"")</f>
        <v/>
      </c>
      <c r="I74">
        <f>IFERROR(VLOOKUP($A74,Results_30d_Deltas!$A$2:$H$5000,6,FALSE),"")</f>
        <v/>
      </c>
      <c r="L74" t="inlineStr">
        <is>
          <t>NO</t>
        </is>
      </c>
      <c r="IK74" t="inlineStr">
        <is>
          <t>ez_manage.py:5901 top()</t>
        </is>
      </c>
      <c r="IL74" t="inlineStr">
        <is>
          <t>v12_quick_engine.py:3722 x2</t>
        </is>
      </c>
    </row>
    <row r="75" ht="10.5" customHeight="1" s="67">
      <c r="A75" t="inlineStr">
        <is>
          <t>WT_CROSS_EXIT_MIN_AGE_MINUTES</t>
        </is>
      </c>
      <c r="B75" t="inlineStr">
        <is>
          <t>0</t>
        </is>
      </c>
      <c r="G75">
        <f>IFERROR(VLOOKUP($A75&amp;"_"&amp;$B75,Results_Deltas!$A$2:$P$15000,5,FALSE),"")</f>
        <v/>
      </c>
      <c r="H75">
        <f>IFERROR(VLOOKUP($A75,Results_30d_Deltas!$A$2:$H$5000,7,FALSE)-E74,"")</f>
        <v/>
      </c>
      <c r="I75">
        <f>IFERROR(VLOOKUP($A75,Results_30d_Deltas!$A$2:$H$5000,6,FALSE),"")</f>
        <v/>
      </c>
      <c r="L75" t="inlineStr">
        <is>
          <t>YES</t>
        </is>
      </c>
      <c r="IK75" t="inlineStr">
        <is>
          <t>ez_manage.py:5903 top()</t>
        </is>
      </c>
      <c r="IL75" t="inlineStr">
        <is>
          <t>v12_quick_engine.py:3724 x2</t>
        </is>
      </c>
    </row>
    <row r="76" ht="10.5" customHeight="1" s="67">
      <c r="A76" t="inlineStr">
        <is>
          <t>WT_CROSS_EXIT_MIN_AGE_MINUTES</t>
        </is>
      </c>
      <c r="B76" t="inlineStr">
        <is>
          <t>0.5</t>
        </is>
      </c>
      <c r="G76">
        <f>IFERROR(VLOOKUP($A76&amp;"_"&amp;$B76,Results_Deltas!$A$2:$P$15000,5,FALSE),"")</f>
        <v/>
      </c>
      <c r="H76">
        <f>IFERROR(VLOOKUP($A76,Results_30d_Deltas!$A$2:$H$5000,7,FALSE)-E75,"")</f>
        <v/>
      </c>
      <c r="I76">
        <f>IFERROR(VLOOKUP($A76,Results_30d_Deltas!$A$2:$H$5000,6,FALSE),"")</f>
        <v/>
      </c>
      <c r="L76" t="inlineStr">
        <is>
          <t>NO</t>
        </is>
      </c>
      <c r="IK76" t="inlineStr">
        <is>
          <t>ez_manage.py:5903 top()</t>
        </is>
      </c>
      <c r="IL76" t="inlineStr">
        <is>
          <t>v12_quick_engine.py:3724 x2</t>
        </is>
      </c>
    </row>
    <row r="77" ht="10.5" customHeight="1" s="67">
      <c r="A77" t="inlineStr">
        <is>
          <t>WT_CROSS_EXIT_MIN_AGE_MINUTES</t>
        </is>
      </c>
      <c r="B77" t="inlineStr">
        <is>
          <t>1.0</t>
        </is>
      </c>
      <c r="G77">
        <f>IFERROR(VLOOKUP($A77&amp;"_"&amp;$B77,Results_Deltas!$A$2:$P$15000,5,FALSE),"")</f>
        <v/>
      </c>
      <c r="H77">
        <f>IFERROR(VLOOKUP($A77,Results_30d_Deltas!$A$2:$H$5000,7,FALSE)-E76,"")</f>
        <v/>
      </c>
      <c r="I77">
        <f>IFERROR(VLOOKUP($A77,Results_30d_Deltas!$A$2:$H$5000,6,FALSE),"")</f>
        <v/>
      </c>
      <c r="L77" t="inlineStr">
        <is>
          <t>NO</t>
        </is>
      </c>
      <c r="IK77" t="inlineStr">
        <is>
          <t>ez_manage.py:5903 top()</t>
        </is>
      </c>
      <c r="IL77" t="inlineStr">
        <is>
          <t>v12_quick_engine.py:3724 x2</t>
        </is>
      </c>
    </row>
    <row r="78" ht="10.5" customHeight="1" s="67">
      <c r="A78" t="inlineStr">
        <is>
          <t>WT_CROSS_EXIT_MIN_AGE_MINUTES</t>
        </is>
      </c>
      <c r="B78" t="inlineStr">
        <is>
          <t>2.0</t>
        </is>
      </c>
      <c r="G78">
        <f>IFERROR(VLOOKUP($A78&amp;"_"&amp;$B78,Results_Deltas!$A$2:$P$15000,5,FALSE),"")</f>
        <v/>
      </c>
      <c r="H78">
        <f>IFERROR(VLOOKUP($A78,Results_30d_Deltas!$A$2:$H$5000,7,FALSE)-E77,"")</f>
        <v/>
      </c>
      <c r="I78">
        <f>IFERROR(VLOOKUP($A78,Results_30d_Deltas!$A$2:$H$5000,6,FALSE),"")</f>
        <v/>
      </c>
      <c r="L78" t="inlineStr">
        <is>
          <t>NO</t>
        </is>
      </c>
      <c r="IK78" t="inlineStr">
        <is>
          <t>ez_manage.py:5903 top()</t>
        </is>
      </c>
      <c r="IL78" t="inlineStr">
        <is>
          <t>v12_quick_engine.py:3724 x2</t>
        </is>
      </c>
    </row>
    <row r="79" ht="10.5" customHeight="1" s="67">
      <c r="A79" t="inlineStr">
        <is>
          <t>WT_CROSS_EXIT_REQUIRE_15M_CONFIRM</t>
        </is>
      </c>
      <c r="B79" t="inlineStr">
        <is>
          <t>0</t>
        </is>
      </c>
      <c r="G79">
        <f>IFERROR(VLOOKUP($A79&amp;"_"&amp;$B79,Results_Deltas!$A$2:$P$15000,5,FALSE),"")</f>
        <v/>
      </c>
      <c r="H79">
        <f>IFERROR(VLOOKUP($A79,Results_30d_Deltas!$A$2:$H$5000,7,FALSE)-E78,"")</f>
        <v/>
      </c>
      <c r="I79">
        <f>IFERROR(VLOOKUP($A79,Results_30d_Deltas!$A$2:$H$5000,6,FALSE),"")</f>
        <v/>
      </c>
      <c r="L79" t="inlineStr">
        <is>
          <t>NO</t>
        </is>
      </c>
      <c r="IK79" t="inlineStr">
        <is>
          <t>ez_manage.py:5904 top()</t>
        </is>
      </c>
      <c r="IL79" t="inlineStr">
        <is>
          <t>v12_quick_engine.py:3725 x5</t>
        </is>
      </c>
    </row>
    <row r="80" ht="10.5" customHeight="1" s="67">
      <c r="A80" t="inlineStr">
        <is>
          <t>WT_CROSS_EXIT_REQUIRE_15M_CONFIRM</t>
        </is>
      </c>
      <c r="B80" t="inlineStr">
        <is>
          <t>0.5</t>
        </is>
      </c>
      <c r="G80">
        <f>IFERROR(VLOOKUP($A80&amp;"_"&amp;$B80,Results_Deltas!$A$2:$P$15000,5,FALSE),"")</f>
        <v/>
      </c>
      <c r="H80">
        <f>IFERROR(VLOOKUP($A80,Results_30d_Deltas!$A$2:$H$5000,7,FALSE)-E79,"")</f>
        <v/>
      </c>
      <c r="I80">
        <f>IFERROR(VLOOKUP($A80,Results_30d_Deltas!$A$2:$H$5000,6,FALSE),"")</f>
        <v/>
      </c>
      <c r="L80" t="inlineStr">
        <is>
          <t>NO</t>
        </is>
      </c>
      <c r="IK80" t="inlineStr">
        <is>
          <t>ez_manage.py:5904 top()</t>
        </is>
      </c>
      <c r="IL80" t="inlineStr">
        <is>
          <t>v12_quick_engine.py:3725 x5</t>
        </is>
      </c>
    </row>
    <row r="81" ht="10.5" customHeight="1" s="67">
      <c r="A81" t="inlineStr">
        <is>
          <t>WT_CROSS_EXIT_REQUIRE_15M_CONFIRM</t>
        </is>
      </c>
      <c r="B81" t="inlineStr">
        <is>
          <t>1.0</t>
        </is>
      </c>
      <c r="G81">
        <f>IFERROR(VLOOKUP($A81&amp;"_"&amp;$B81,Results_Deltas!$A$2:$P$15000,5,FALSE),"")</f>
        <v/>
      </c>
      <c r="H81">
        <f>IFERROR(VLOOKUP($A81,Results_30d_Deltas!$A$2:$H$5000,7,FALSE)-E80,"")</f>
        <v/>
      </c>
      <c r="I81">
        <f>IFERROR(VLOOKUP($A81,Results_30d_Deltas!$A$2:$H$5000,6,FALSE),"")</f>
        <v/>
      </c>
      <c r="L81" t="inlineStr">
        <is>
          <t>NO</t>
        </is>
      </c>
      <c r="IK81" t="inlineStr">
        <is>
          <t>ez_manage.py:5904 top()</t>
        </is>
      </c>
      <c r="IL81" t="inlineStr">
        <is>
          <t>v12_quick_engine.py:3725 x5</t>
        </is>
      </c>
    </row>
    <row r="82" ht="10.5" customHeight="1" s="67">
      <c r="A82" t="inlineStr">
        <is>
          <t>WT_CROSS_EXIT_REQUIRE_15M_CONFIRM</t>
        </is>
      </c>
      <c r="B82" t="inlineStr">
        <is>
          <t>2.0</t>
        </is>
      </c>
      <c r="G82">
        <f>IFERROR(VLOOKUP($A82&amp;"_"&amp;$B82,Results_Deltas!$A$2:$P$15000,5,FALSE),"")</f>
        <v/>
      </c>
      <c r="H82">
        <f>IFERROR(VLOOKUP($A82,Results_30d_Deltas!$A$2:$H$5000,7,FALSE)-E81,"")</f>
        <v/>
      </c>
      <c r="I82">
        <f>IFERROR(VLOOKUP($A82,Results_30d_Deltas!$A$2:$H$5000,6,FALSE),"")</f>
        <v/>
      </c>
      <c r="L82" t="inlineStr">
        <is>
          <t>NO</t>
        </is>
      </c>
      <c r="IK82" t="inlineStr">
        <is>
          <t>ez_manage.py:5904 top()</t>
        </is>
      </c>
      <c r="IL82" t="inlineStr">
        <is>
          <t>v12_quick_engine.py:3725 x5</t>
        </is>
      </c>
    </row>
    <row r="83" ht="15.75" customHeight="1" s="67">
      <c r="A83" t="inlineStr">
        <is>
          <t>ADX_RANGING_THRESHOLD</t>
        </is>
      </c>
      <c r="B83" t="inlineStr">
        <is>
          <t>20</t>
        </is>
      </c>
      <c r="D83" t="inlineStr">
        <is>
          <t>ENTRY, GLOBAL_CHECK, STOCKS_EXIT</t>
        </is>
      </c>
      <c r="G83">
        <f>IFERROR(VLOOKUP($A83&amp;"_"&amp;$B83,Results_Deltas!$A$2:$P$15000,5,FALSE),"")</f>
        <v/>
      </c>
      <c r="H83" t="inlineStr">
        <is>
          <t>Blanket (page end)</t>
        </is>
      </c>
      <c r="L83" t="inlineStr">
        <is>
          <t>NO</t>
        </is>
      </c>
    </row>
    <row r="84" ht="15.75" customHeight="1" s="67">
      <c r="A84" t="inlineStr">
        <is>
          <t>ADX_RANGING_THRESHOLD</t>
        </is>
      </c>
      <c r="B84" t="inlineStr">
        <is>
          <t>25</t>
        </is>
      </c>
      <c r="D84" t="inlineStr">
        <is>
          <t>ENTRY, GLOBAL_CHECK, STOCKS_EXIT</t>
        </is>
      </c>
      <c r="G84">
        <f>IFERROR(VLOOKUP($A84&amp;"_"&amp;$B84,Results_Deltas!$A$2:$P$15000,5,FALSE),"")</f>
        <v/>
      </c>
      <c r="H84" t="inlineStr">
        <is>
          <t>Blanket (page end)</t>
        </is>
      </c>
      <c r="L84" t="inlineStr">
        <is>
          <t>NO</t>
        </is>
      </c>
    </row>
    <row r="85" ht="15.75" customHeight="1" s="67">
      <c r="A85" t="inlineStr">
        <is>
          <t>ADX_RANGING_THRESHOLD</t>
        </is>
      </c>
      <c r="B85" t="inlineStr">
        <is>
          <t>15</t>
        </is>
      </c>
      <c r="D85" t="inlineStr">
        <is>
          <t>ENTRY, GLOBAL_CHECK, STOCKS_EXIT</t>
        </is>
      </c>
      <c r="G85">
        <f>IFERROR(VLOOKUP($A85&amp;"_"&amp;$B85,Results_Deltas!$A$2:$P$15000,5,FALSE),"")</f>
        <v/>
      </c>
      <c r="H85" t="inlineStr">
        <is>
          <t>Blanket (page end)</t>
        </is>
      </c>
      <c r="L85" t="inlineStr">
        <is>
          <t>NO</t>
        </is>
      </c>
    </row>
    <row r="86" ht="15.75" customHeight="1" s="67">
      <c r="A86" t="inlineStr">
        <is>
          <t>ADX_RANGING_THRESHOLD</t>
        </is>
      </c>
      <c r="B86" t="inlineStr">
        <is>
          <t>10</t>
        </is>
      </c>
      <c r="D86" t="inlineStr">
        <is>
          <t>ENTRY, GLOBAL_CHECK, STOCKS_EXIT</t>
        </is>
      </c>
      <c r="G86">
        <f>IFERROR(VLOOKUP($A86&amp;"_"&amp;$B86,Results_Deltas!$A$2:$P$15000,5,FALSE),"")</f>
        <v/>
      </c>
      <c r="H86" t="inlineStr">
        <is>
          <t>Blanket (page end)</t>
        </is>
      </c>
      <c r="L86" t="inlineStr">
        <is>
          <t>YES</t>
        </is>
      </c>
    </row>
    <row r="87" ht="15.75" customHeight="1" s="67">
      <c r="A87" t="inlineStr">
        <is>
          <t>BANDAID_OFF_LOSER_RECOVER_PCT</t>
        </is>
      </c>
      <c r="B87" t="inlineStr">
        <is>
          <t>0</t>
        </is>
      </c>
      <c r="D87" t="inlineStr">
        <is>
          <t>AUGMENT, ENTRY, EXIT, GLOBAL_CHECK, REDUCE, STOCKS_EXIT</t>
        </is>
      </c>
      <c r="G87">
        <f>IFERROR(VLOOKUP($A87&amp;"_"&amp;$B87,Results_Deltas!$A$2:$P$15000,5,FALSE),"")</f>
        <v/>
      </c>
      <c r="H87" t="inlineStr">
        <is>
          <t>Blanket (page end)</t>
        </is>
      </c>
      <c r="L87" t="inlineStr">
        <is>
          <t>NO</t>
        </is>
      </c>
    </row>
    <row r="88" ht="15.75" customHeight="1" s="67">
      <c r="A88" t="inlineStr">
        <is>
          <t>BANDAID_OFF_LOSER_RECOVER_PCT</t>
        </is>
      </c>
      <c r="B88" t="inlineStr">
        <is>
          <t>2.0</t>
        </is>
      </c>
      <c r="D88" t="inlineStr">
        <is>
          <t>AUGMENT, ENTRY, EXIT, GLOBAL_CHECK, REDUCE, STOCKS_EXIT</t>
        </is>
      </c>
      <c r="G88">
        <f>IFERROR(VLOOKUP($A88&amp;"_"&amp;$B88,Results_Deltas!$A$2:$P$15000,5,FALSE),"")</f>
        <v/>
      </c>
      <c r="H88" t="inlineStr">
        <is>
          <t>Blanket (page end)</t>
        </is>
      </c>
      <c r="L88" t="inlineStr">
        <is>
          <t>NO</t>
        </is>
      </c>
    </row>
    <row r="89" ht="15.75" customHeight="1" s="67">
      <c r="A89" t="inlineStr">
        <is>
          <t>BANDAID_OFF_LOSER_RECOVER_PCT</t>
        </is>
      </c>
      <c r="B89" t="inlineStr">
        <is>
          <t>1.0</t>
        </is>
      </c>
      <c r="D89" t="inlineStr">
        <is>
          <t>AUGMENT, ENTRY, EXIT, GLOBAL_CHECK, REDUCE, STOCKS_EXIT</t>
        </is>
      </c>
      <c r="G89">
        <f>IFERROR(VLOOKUP($A89&amp;"_"&amp;$B89,Results_Deltas!$A$2:$P$15000,5,FALSE),"")</f>
        <v/>
      </c>
      <c r="H89" t="inlineStr">
        <is>
          <t>Blanket (page end)</t>
        </is>
      </c>
      <c r="L89" t="inlineStr">
        <is>
          <t>NO</t>
        </is>
      </c>
    </row>
    <row r="90" ht="15.75" customHeight="1" s="67">
      <c r="A90" t="inlineStr">
        <is>
          <t>BANDAID_OFF_LOSER_RECOVER_PCT</t>
        </is>
      </c>
      <c r="B90" t="inlineStr">
        <is>
          <t>0.5</t>
        </is>
      </c>
      <c r="D90" t="inlineStr">
        <is>
          <t>AUGMENT, ENTRY, EXIT, GLOBAL_CHECK, REDUCE, STOCKS_EXIT</t>
        </is>
      </c>
      <c r="G90">
        <f>IFERROR(VLOOKUP($A90&amp;"_"&amp;$B90,Results_Deltas!$A$2:$P$15000,5,FALSE),"")</f>
        <v/>
      </c>
      <c r="H90" t="inlineStr">
        <is>
          <t>Blanket (page end)</t>
        </is>
      </c>
      <c r="L90" t="inlineStr">
        <is>
          <t>NO</t>
        </is>
      </c>
    </row>
    <row r="91" ht="15.75" customHeight="1" s="67">
      <c r="A91" t="inlineStr">
        <is>
          <t>BAND_ARROW_ENABLED</t>
        </is>
      </c>
      <c r="B91" t="inlineStr">
        <is>
          <t>False</t>
        </is>
      </c>
      <c r="D91" t="inlineStr">
        <is>
          <t>GLOBAL_CHECK, STOCKS_EXIT</t>
        </is>
      </c>
      <c r="G91">
        <f>IFERROR(VLOOKUP($A91&amp;"_"&amp;$B91,Results_Deltas!$A$2:$P$15000,5,FALSE),"")</f>
        <v/>
      </c>
      <c r="H91" t="inlineStr">
        <is>
          <t>Blanket (page end)</t>
        </is>
      </c>
      <c r="L91" t="inlineStr">
        <is>
          <t>YES</t>
        </is>
      </c>
    </row>
    <row r="92" ht="15.75" customHeight="1" s="67">
      <c r="A92" t="inlineStr">
        <is>
          <t>BAND_ARROW_ENABLED</t>
        </is>
      </c>
      <c r="B92" t="inlineStr">
        <is>
          <t>True</t>
        </is>
      </c>
      <c r="D92" t="inlineStr">
        <is>
          <t>GLOBAL_CHECK, STOCKS_EXIT</t>
        </is>
      </c>
      <c r="G92">
        <f>IFERROR(VLOOKUP($A92&amp;"_"&amp;$B92,Results_Deltas!$A$2:$P$15000,5,FALSE),"")</f>
        <v/>
      </c>
      <c r="H92" t="inlineStr">
        <is>
          <t>Blanket (page end)</t>
        </is>
      </c>
      <c r="L92" t="inlineStr">
        <is>
          <t>NO</t>
        </is>
      </c>
    </row>
    <row r="93" ht="15.75" customHeight="1" s="67">
      <c r="A93" t="inlineStr">
        <is>
          <t>BTC_ACCEL_RAMP_REQUIRE_POSITIVE</t>
        </is>
      </c>
      <c r="B93" t="inlineStr">
        <is>
          <t>0.0</t>
        </is>
      </c>
      <c r="D93" t="inlineStr">
        <is>
          <t>UNIVERSAL (ex-BTC) — ENTRY/EXIT/REENTRY</t>
        </is>
      </c>
      <c r="G93">
        <f>IFERROR(VLOOKUP($A93&amp;"_"&amp;$B93,Results_Deltas!$A$2:$P$15000,5,FALSE),"")</f>
        <v/>
      </c>
      <c r="H93" t="inlineStr">
        <is>
          <t>Blanket (page end)</t>
        </is>
      </c>
      <c r="L93" t="inlineStr">
        <is>
          <t>NO</t>
        </is>
      </c>
    </row>
    <row r="94" ht="15.75" customHeight="1" s="67">
      <c r="A94" t="inlineStr">
        <is>
          <t>BTC_ACCEL_RAMP_REQUIRE_POSITIVE</t>
        </is>
      </c>
      <c r="B94" t="inlineStr">
        <is>
          <t>0.0_ALT</t>
        </is>
      </c>
      <c r="D94" t="inlineStr">
        <is>
          <t>UNIVERSAL (ex-BTC) — ENTRY/EXIT/REENTRY</t>
        </is>
      </c>
      <c r="G94">
        <f>IFERROR(VLOOKUP($A94&amp;"_"&amp;$B94,Results_Deltas!$A$2:$P$15000,5,FALSE),"")</f>
        <v/>
      </c>
      <c r="H94" t="inlineStr">
        <is>
          <t>Blanket (page end)</t>
        </is>
      </c>
      <c r="L94" t="inlineStr">
        <is>
          <t>NO</t>
        </is>
      </c>
    </row>
    <row r="95" ht="15.75" customHeight="1" s="67">
      <c r="A95" t="inlineStr">
        <is>
          <t>BTC_HARD_BLOCK_OTHER_ACCOUNTS</t>
        </is>
      </c>
      <c r="B95" t="inlineStr">
        <is>
          <t>0.0</t>
        </is>
      </c>
      <c r="D95" t="inlineStr">
        <is>
          <t>UNIVERSAL (ex-BTC) — ENTRY/EXIT/REENTRY</t>
        </is>
      </c>
      <c r="G95">
        <f>IFERROR(VLOOKUP($A95&amp;"_"&amp;$B95,Results_Deltas!$A$2:$P$15000,5,FALSE),"")</f>
        <v/>
      </c>
      <c r="H95" t="inlineStr">
        <is>
          <t>Blanket (page end)</t>
        </is>
      </c>
      <c r="L95" t="inlineStr">
        <is>
          <t>NO</t>
        </is>
      </c>
    </row>
    <row r="96" ht="15.75" customHeight="1" s="67">
      <c r="A96" t="inlineStr">
        <is>
          <t>BTC_HARD_BLOCK_OTHER_ACCOUNTS</t>
        </is>
      </c>
      <c r="B96" t="inlineStr">
        <is>
          <t>0.0_ALT</t>
        </is>
      </c>
      <c r="D96" t="inlineStr">
        <is>
          <t>UNIVERSAL (ex-BTC) — ENTRY/EXIT/REENTRY</t>
        </is>
      </c>
      <c r="G96">
        <f>IFERROR(VLOOKUP($A96&amp;"_"&amp;$B96,Results_Deltas!$A$2:$P$15000,5,FALSE),"")</f>
        <v/>
      </c>
      <c r="H96" t="inlineStr">
        <is>
          <t>Blanket (page end)</t>
        </is>
      </c>
      <c r="L96" t="inlineStr">
        <is>
          <t>NO</t>
        </is>
      </c>
    </row>
    <row r="97" ht="15.75" customHeight="1" s="67">
      <c r="A97" t="inlineStr">
        <is>
          <t>BTC_ROUND_BANDS_EACH_SIDE</t>
        </is>
      </c>
      <c r="B97" t="inlineStr">
        <is>
          <t>0.0</t>
        </is>
      </c>
      <c r="D97" t="inlineStr">
        <is>
          <t>UNIVERSAL (ex-BTC) — ENTRY/EXIT/REENTRY</t>
        </is>
      </c>
      <c r="G97">
        <f>IFERROR(VLOOKUP($A97&amp;"_"&amp;$B97,Results_Deltas!$A$2:$P$15000,5,FALSE),"")</f>
        <v/>
      </c>
      <c r="H97" t="inlineStr">
        <is>
          <t>Blanket (page end)</t>
        </is>
      </c>
      <c r="L97" t="inlineStr">
        <is>
          <t>NO</t>
        </is>
      </c>
    </row>
    <row r="98" ht="15.75" customHeight="1" s="67">
      <c r="A98" t="inlineStr">
        <is>
          <t>BTC_ROUND_BANDS_EACH_SIDE</t>
        </is>
      </c>
      <c r="B98" t="inlineStr">
        <is>
          <t>0.0_ALT</t>
        </is>
      </c>
      <c r="D98" t="inlineStr">
        <is>
          <t>UNIVERSAL (ex-BTC) — ENTRY/EXIT/REENTRY</t>
        </is>
      </c>
      <c r="G98">
        <f>IFERROR(VLOOKUP($A98&amp;"_"&amp;$B98,Results_Deltas!$A$2:$P$15000,5,FALSE),"")</f>
        <v/>
      </c>
      <c r="H98" t="inlineStr">
        <is>
          <t>Blanket (page end)</t>
        </is>
      </c>
      <c r="L98" t="inlineStr">
        <is>
          <t>NO</t>
        </is>
      </c>
    </row>
    <row r="99" ht="15.75" customHeight="1" s="67">
      <c r="A99" t="inlineStr">
        <is>
          <t>COOLDOWN_LOCKS_FILTER_TF</t>
        </is>
      </c>
      <c r="B99" t="inlineStr">
        <is>
          <t>OFF</t>
        </is>
      </c>
      <c r="D99" t="inlineStr">
        <is>
          <t>GLOBAL_CHECK</t>
        </is>
      </c>
      <c r="G99">
        <f>IFERROR(VLOOKUP($A99&amp;"_"&amp;$B99,Results_Deltas!$A$2:$P$15000,5,FALSE),"")</f>
        <v/>
      </c>
      <c r="H99" t="inlineStr">
        <is>
          <t>Blanket (page end)</t>
        </is>
      </c>
      <c r="L99" t="inlineStr">
        <is>
          <t>NO</t>
        </is>
      </c>
    </row>
    <row r="100" ht="15.75" customHeight="1" s="67">
      <c r="A100" t="inlineStr">
        <is>
          <t>COOLDOWN_LOCKS_FILTER_TF</t>
        </is>
      </c>
      <c r="B100" t="inlineStr">
        <is>
          <t>D</t>
        </is>
      </c>
      <c r="D100" t="inlineStr">
        <is>
          <t>GLOBAL_CHECK</t>
        </is>
      </c>
      <c r="G100">
        <f>IFERROR(VLOOKUP($A100&amp;"_"&amp;$B100,Results_Deltas!$A$2:$P$15000,5,FALSE),"")</f>
        <v/>
      </c>
      <c r="H100" t="inlineStr">
        <is>
          <t>Blanket (page end)</t>
        </is>
      </c>
      <c r="L100" t="inlineStr">
        <is>
          <t>NO</t>
        </is>
      </c>
    </row>
    <row r="101" ht="15.75" customHeight="1" s="67">
      <c r="A101" t="inlineStr">
        <is>
          <t>COOLDOWN_LOCKS_FILTER_TF</t>
        </is>
      </c>
      <c r="B101" t="inlineStr">
        <is>
          <t>4h</t>
        </is>
      </c>
      <c r="D101" t="inlineStr">
        <is>
          <t>GLOBAL_CHECK</t>
        </is>
      </c>
      <c r="G101">
        <f>IFERROR(VLOOKUP($A101&amp;"_"&amp;$B101,Results_Deltas!$A$2:$P$15000,5,FALSE),"")</f>
        <v/>
      </c>
      <c r="H101" t="inlineStr">
        <is>
          <t>Blanket (page end)</t>
        </is>
      </c>
      <c r="L101" t="inlineStr">
        <is>
          <t>NO</t>
        </is>
      </c>
    </row>
    <row r="102" ht="15.75" customHeight="1" s="67">
      <c r="A102" t="inlineStr">
        <is>
          <t>COOLDOWN_LOCKS_FILTER_TF</t>
        </is>
      </c>
      <c r="B102" t="inlineStr">
        <is>
          <t>1h</t>
        </is>
      </c>
      <c r="D102" t="inlineStr">
        <is>
          <t>GLOBAL_CHECK</t>
        </is>
      </c>
      <c r="G102">
        <f>IFERROR(VLOOKUP($A102&amp;"_"&amp;$B102,Results_Deltas!$A$2:$P$15000,5,FALSE),"")</f>
        <v/>
      </c>
      <c r="H102" t="inlineStr">
        <is>
          <t>Blanket (page end)</t>
        </is>
      </c>
      <c r="L102" t="inlineStr">
        <is>
          <t>NO</t>
        </is>
      </c>
    </row>
    <row r="103" ht="15.75" customHeight="1" s="67">
      <c r="A103" t="inlineStr">
        <is>
          <t>COOLDOWN_LOCKS_FILTER_TF</t>
        </is>
      </c>
      <c r="B103" t="inlineStr">
        <is>
          <t>15m</t>
        </is>
      </c>
      <c r="D103" t="inlineStr">
        <is>
          <t>GLOBAL_CHECK</t>
        </is>
      </c>
      <c r="G103">
        <f>IFERROR(VLOOKUP($A103&amp;"_"&amp;$B103,Results_Deltas!$A$2:$P$15000,5,FALSE),"")</f>
        <v/>
      </c>
      <c r="H103" t="inlineStr">
        <is>
          <t>Blanket (page end)</t>
        </is>
      </c>
      <c r="L103" t="inlineStr">
        <is>
          <t>YES</t>
        </is>
      </c>
    </row>
    <row r="104" ht="15.75" customHeight="1" s="67">
      <c r="A104" t="inlineStr">
        <is>
          <t>CRYPTO_SPIKE_FADE_THRESHOLD_PCT</t>
        </is>
      </c>
      <c r="B104" t="inlineStr">
        <is>
          <t>10</t>
        </is>
      </c>
      <c r="D104" t="inlineStr">
        <is>
          <t>GLOBAL_CHECK, STOCKS_EXIT</t>
        </is>
      </c>
      <c r="G104">
        <f>IFERROR(VLOOKUP($A104&amp;"_"&amp;$B104,Results_Deltas!$A$2:$P$15000,5,FALSE),"")</f>
        <v/>
      </c>
      <c r="H104" t="inlineStr">
        <is>
          <t>Blanket (page end)</t>
        </is>
      </c>
      <c r="L104" t="inlineStr">
        <is>
          <t>YES</t>
        </is>
      </c>
    </row>
    <row r="105" ht="15.75" customHeight="1" s="67">
      <c r="A105" t="inlineStr">
        <is>
          <t>CRYPTO_SPIKE_FADE_THRESHOLD_PCT</t>
        </is>
      </c>
      <c r="B105" t="inlineStr">
        <is>
          <t>12.5</t>
        </is>
      </c>
      <c r="D105" t="inlineStr">
        <is>
          <t>GLOBAL_CHECK, STOCKS_EXIT</t>
        </is>
      </c>
      <c r="G105">
        <f>IFERROR(VLOOKUP($A105&amp;"_"&amp;$B105,Results_Deltas!$A$2:$P$15000,5,FALSE),"")</f>
        <v/>
      </c>
      <c r="H105" t="inlineStr">
        <is>
          <t>Blanket (page end)</t>
        </is>
      </c>
      <c r="L105" t="inlineStr">
        <is>
          <t>NO</t>
        </is>
      </c>
    </row>
    <row r="106" ht="15.75" customHeight="1" s="67">
      <c r="A106" t="inlineStr">
        <is>
          <t>CRYPTO_SPIKE_FADE_THRESHOLD_PCT</t>
        </is>
      </c>
      <c r="B106" t="inlineStr">
        <is>
          <t>7.5</t>
        </is>
      </c>
      <c r="D106" t="inlineStr">
        <is>
          <t>GLOBAL_CHECK, STOCKS_EXIT</t>
        </is>
      </c>
      <c r="G106">
        <f>IFERROR(VLOOKUP($A106&amp;"_"&amp;$B106,Results_Deltas!$A$2:$P$15000,5,FALSE),"")</f>
        <v/>
      </c>
      <c r="H106" t="inlineStr">
        <is>
          <t>Blanket (page end)</t>
        </is>
      </c>
      <c r="L106" t="inlineStr">
        <is>
          <t>NO</t>
        </is>
      </c>
    </row>
    <row r="107" ht="15.75" customHeight="1" s="67">
      <c r="A107" t="inlineStr">
        <is>
          <t>CRYPTO_SPIKE_FADE_THRESHOLD_PCT</t>
        </is>
      </c>
      <c r="B107" t="inlineStr">
        <is>
          <t>5</t>
        </is>
      </c>
      <c r="D107" t="inlineStr">
        <is>
          <t>GLOBAL_CHECK, STOCKS_EXIT</t>
        </is>
      </c>
      <c r="G107">
        <f>IFERROR(VLOOKUP($A107&amp;"_"&amp;$B107,Results_Deltas!$A$2:$P$15000,5,FALSE),"")</f>
        <v/>
      </c>
      <c r="H107" t="inlineStr">
        <is>
          <t>Blanket (page end)</t>
        </is>
      </c>
      <c r="L107" t="inlineStr">
        <is>
          <t>NO</t>
        </is>
      </c>
    </row>
    <row r="108" ht="15.75" customHeight="1" s="67">
      <c r="A108" t="inlineStr">
        <is>
          <t>DC_MOMENT_STRONG_THRESHOLD</t>
        </is>
      </c>
      <c r="B108" t="inlineStr">
        <is>
          <t>40</t>
        </is>
      </c>
      <c r="D108" t="inlineStr">
        <is>
          <t>ENTRY, GLOBAL_CHECK, STOCKS_EXIT</t>
        </is>
      </c>
      <c r="G108">
        <f>IFERROR(VLOOKUP($A108&amp;"_"&amp;$B108,Results_Deltas!$A$2:$P$15000,5,FALSE),"")</f>
        <v/>
      </c>
      <c r="H108" t="inlineStr">
        <is>
          <t>Blanket (page end)</t>
        </is>
      </c>
      <c r="L108" t="inlineStr">
        <is>
          <t>YES</t>
        </is>
      </c>
    </row>
    <row r="109" ht="15.75" customHeight="1" s="67">
      <c r="A109" t="inlineStr">
        <is>
          <t>DC_MOMENT_STRONG_THRESHOLD</t>
        </is>
      </c>
      <c r="B109" t="inlineStr">
        <is>
          <t>50</t>
        </is>
      </c>
      <c r="D109" t="inlineStr">
        <is>
          <t>ENTRY, GLOBAL_CHECK, STOCKS_EXIT</t>
        </is>
      </c>
      <c r="G109">
        <f>IFERROR(VLOOKUP($A109&amp;"_"&amp;$B109,Results_Deltas!$A$2:$P$15000,5,FALSE),"")</f>
        <v/>
      </c>
      <c r="H109" t="inlineStr">
        <is>
          <t>Blanket (page end)</t>
        </is>
      </c>
      <c r="L109" t="inlineStr">
        <is>
          <t>NO</t>
        </is>
      </c>
    </row>
    <row r="110" ht="15.75" customHeight="1" s="67">
      <c r="A110" t="inlineStr">
        <is>
          <t>DC_MOMENT_STRONG_THRESHOLD</t>
        </is>
      </c>
      <c r="B110" t="inlineStr">
        <is>
          <t>30</t>
        </is>
      </c>
      <c r="D110" t="inlineStr">
        <is>
          <t>ENTRY, GLOBAL_CHECK, STOCKS_EXIT</t>
        </is>
      </c>
      <c r="G110">
        <f>IFERROR(VLOOKUP($A110&amp;"_"&amp;$B110,Results_Deltas!$A$2:$P$15000,5,FALSE),"")</f>
        <v/>
      </c>
      <c r="H110" t="inlineStr">
        <is>
          <t>Blanket (page end)</t>
        </is>
      </c>
      <c r="L110" t="inlineStr">
        <is>
          <t>NO</t>
        </is>
      </c>
    </row>
    <row r="111" ht="15.75" customHeight="1" s="67">
      <c r="A111" t="inlineStr">
        <is>
          <t>DC_MOMENT_STRONG_THRESHOLD</t>
        </is>
      </c>
      <c r="B111" t="inlineStr">
        <is>
          <t>20</t>
        </is>
      </c>
      <c r="D111" t="inlineStr">
        <is>
          <t>ENTRY, GLOBAL_CHECK, STOCKS_EXIT</t>
        </is>
      </c>
      <c r="G111">
        <f>IFERROR(VLOOKUP($A111&amp;"_"&amp;$B111,Results_Deltas!$A$2:$P$15000,5,FALSE),"")</f>
        <v/>
      </c>
      <c r="H111" t="inlineStr">
        <is>
          <t>Blanket (page end)</t>
        </is>
      </c>
      <c r="L111" t="inlineStr">
        <is>
          <t>NO</t>
        </is>
      </c>
    </row>
    <row r="112" ht="15.75" customHeight="1" s="67">
      <c r="A112" t="inlineStr">
        <is>
          <t>DELTA_HTF_GATE</t>
        </is>
      </c>
      <c r="B112" t="inlineStr">
        <is>
          <t>4h</t>
        </is>
      </c>
      <c r="D112" t="inlineStr">
        <is>
          <t>ENTRY, GLOBAL_CHECK, STOCKS_EXIT</t>
        </is>
      </c>
      <c r="G112">
        <f>IFERROR(VLOOKUP($A112&amp;"_"&amp;$B112,Results_Deltas!$A$2:$P$15000,5,FALSE),"")</f>
        <v/>
      </c>
      <c r="H112" t="inlineStr">
        <is>
          <t>Blanket (page end)</t>
        </is>
      </c>
      <c r="L112" t="inlineStr">
        <is>
          <t>NO</t>
        </is>
      </c>
    </row>
    <row r="113" ht="15.75" customHeight="1" s="67">
      <c r="A113" t="inlineStr">
        <is>
          <t>DELTA_HTF_GATE</t>
        </is>
      </c>
      <c r="B113" t="inlineStr">
        <is>
          <t>4h_ALT</t>
        </is>
      </c>
      <c r="D113" t="inlineStr">
        <is>
          <t>ENTRY, GLOBAL_CHECK, STOCKS_EXIT</t>
        </is>
      </c>
      <c r="G113">
        <f>IFERROR(VLOOKUP($A113&amp;"_"&amp;$B113,Results_Deltas!$A$2:$P$15000,5,FALSE),"")</f>
        <v/>
      </c>
      <c r="H113" t="inlineStr">
        <is>
          <t>Blanket (page end)</t>
        </is>
      </c>
      <c r="L113" t="inlineStr">
        <is>
          <t>NO</t>
        </is>
      </c>
    </row>
    <row r="114" ht="15.75" customHeight="1" s="67">
      <c r="A114" t="inlineStr">
        <is>
          <t>DELTA_REENTRY_FILTER_ENABLED</t>
        </is>
      </c>
      <c r="B114" t="inlineStr">
        <is>
          <t>False</t>
        </is>
      </c>
      <c r="D114" t="inlineStr">
        <is>
          <t>ENTRY, GLOBAL_CHECK, STOCKS_EXIT</t>
        </is>
      </c>
      <c r="G114">
        <f>IFERROR(VLOOKUP($A114&amp;"_"&amp;$B114,Results_Deltas!$A$2:$P$15000,5,FALSE),"")</f>
        <v/>
      </c>
      <c r="H114" t="inlineStr">
        <is>
          <t>Blanket (page end)</t>
        </is>
      </c>
      <c r="L114" t="inlineStr">
        <is>
          <t>YES</t>
        </is>
      </c>
    </row>
    <row r="115" ht="15.75" customHeight="1" s="67">
      <c r="A115" t="inlineStr">
        <is>
          <t>DELTA_REENTRY_FILTER_ENABLED</t>
        </is>
      </c>
      <c r="B115" t="inlineStr">
        <is>
          <t>True</t>
        </is>
      </c>
      <c r="D115" t="inlineStr">
        <is>
          <t>ENTRY, GLOBAL_CHECK, STOCKS_EXIT</t>
        </is>
      </c>
      <c r="G115">
        <f>IFERROR(VLOOKUP($A115&amp;"_"&amp;$B115,Results_Deltas!$A$2:$P$15000,5,FALSE),"")</f>
        <v/>
      </c>
      <c r="H115" t="inlineStr">
        <is>
          <t>Blanket (page end)</t>
        </is>
      </c>
      <c r="L115" t="inlineStr">
        <is>
          <t>NO</t>
        </is>
      </c>
    </row>
    <row r="116" ht="15.75" customHeight="1" s="67">
      <c r="A116" t="inlineStr">
        <is>
          <t>DUP_GUARD_FILTER_TF</t>
        </is>
      </c>
      <c r="B116" t="inlineStr">
        <is>
          <t>OFF</t>
        </is>
      </c>
      <c r="D116" t="inlineStr">
        <is>
          <t>GLOBAL_CHECK</t>
        </is>
      </c>
      <c r="G116">
        <f>IFERROR(VLOOKUP($A116&amp;"_"&amp;$B116,Results_Deltas!$A$2:$P$15000,5,FALSE),"")</f>
        <v/>
      </c>
      <c r="H116" t="inlineStr">
        <is>
          <t>Blanket (page end)</t>
        </is>
      </c>
      <c r="L116" t="inlineStr">
        <is>
          <t>NO</t>
        </is>
      </c>
    </row>
    <row r="117" ht="15.75" customHeight="1" s="67">
      <c r="A117" t="inlineStr">
        <is>
          <t>DUP_GUARD_FILTER_TF</t>
        </is>
      </c>
      <c r="B117" t="inlineStr">
        <is>
          <t>D</t>
        </is>
      </c>
      <c r="D117" t="inlineStr">
        <is>
          <t>GLOBAL_CHECK</t>
        </is>
      </c>
      <c r="G117">
        <f>IFERROR(VLOOKUP($A117&amp;"_"&amp;$B117,Results_Deltas!$A$2:$P$15000,5,FALSE),"")</f>
        <v/>
      </c>
      <c r="H117" t="inlineStr">
        <is>
          <t>Blanket (page end)</t>
        </is>
      </c>
      <c r="L117" t="inlineStr">
        <is>
          <t>NO</t>
        </is>
      </c>
    </row>
    <row r="118" ht="15.75" customHeight="1" s="67">
      <c r="A118" t="inlineStr">
        <is>
          <t>DUP_GUARD_FILTER_TF</t>
        </is>
      </c>
      <c r="B118" t="inlineStr">
        <is>
          <t>4h</t>
        </is>
      </c>
      <c r="D118" t="inlineStr">
        <is>
          <t>GLOBAL_CHECK</t>
        </is>
      </c>
      <c r="G118">
        <f>IFERROR(VLOOKUP($A118&amp;"_"&amp;$B118,Results_Deltas!$A$2:$P$15000,5,FALSE),"")</f>
        <v/>
      </c>
      <c r="H118" t="inlineStr">
        <is>
          <t>Blanket (page end)</t>
        </is>
      </c>
      <c r="L118" t="inlineStr">
        <is>
          <t>NO</t>
        </is>
      </c>
    </row>
    <row r="119" ht="15.75" customHeight="1" s="67">
      <c r="A119" t="inlineStr">
        <is>
          <t>DUP_GUARD_FILTER_TF</t>
        </is>
      </c>
      <c r="B119" t="inlineStr">
        <is>
          <t>1h</t>
        </is>
      </c>
      <c r="D119" t="inlineStr">
        <is>
          <t>GLOBAL_CHECK</t>
        </is>
      </c>
      <c r="G119">
        <f>IFERROR(VLOOKUP($A119&amp;"_"&amp;$B119,Results_Deltas!$A$2:$P$15000,5,FALSE),"")</f>
        <v/>
      </c>
      <c r="H119" t="inlineStr">
        <is>
          <t>Blanket (page end)</t>
        </is>
      </c>
      <c r="L119" t="inlineStr">
        <is>
          <t>NO</t>
        </is>
      </c>
    </row>
    <row r="120" ht="15.75" customHeight="1" s="67">
      <c r="A120" t="inlineStr">
        <is>
          <t>DUP_GUARD_FILTER_TF</t>
        </is>
      </c>
      <c r="B120" t="inlineStr">
        <is>
          <t>15m</t>
        </is>
      </c>
      <c r="D120" t="inlineStr">
        <is>
          <t>GLOBAL_CHECK</t>
        </is>
      </c>
      <c r="G120">
        <f>IFERROR(VLOOKUP($A120&amp;"_"&amp;$B120,Results_Deltas!$A$2:$P$15000,5,FALSE),"")</f>
        <v/>
      </c>
      <c r="H120" t="inlineStr">
        <is>
          <t>Blanket (page end)</t>
        </is>
      </c>
      <c r="L120" t="inlineStr">
        <is>
          <t>YES</t>
        </is>
      </c>
    </row>
    <row r="121" ht="15.75" customHeight="1" s="67">
      <c r="A121" t="inlineStr">
        <is>
          <t>EMA_9_21_FILTER_MIN_TFS</t>
        </is>
      </c>
      <c r="B121" t="inlineStr">
        <is>
          <t>0</t>
        </is>
      </c>
      <c r="D121" t="inlineStr">
        <is>
          <t>GLOBAL_CHECK</t>
        </is>
      </c>
      <c r="G121">
        <f>IFERROR(VLOOKUP($A121&amp;"_"&amp;$B121,Results_Deltas!$A$2:$P$15000,5,FALSE),"")</f>
        <v/>
      </c>
      <c r="H121" t="inlineStr">
        <is>
          <t>Blanket (page end)</t>
        </is>
      </c>
      <c r="L121" t="inlineStr">
        <is>
          <t>NO</t>
        </is>
      </c>
    </row>
    <row r="122" ht="15.75" customHeight="1" s="67">
      <c r="A122" t="inlineStr">
        <is>
          <t>EMA_9_21_FILTER_MIN_TFS</t>
        </is>
      </c>
      <c r="B122" t="inlineStr">
        <is>
          <t>2</t>
        </is>
      </c>
      <c r="D122" t="inlineStr">
        <is>
          <t>GLOBAL_CHECK</t>
        </is>
      </c>
      <c r="G122">
        <f>IFERROR(VLOOKUP($A122&amp;"_"&amp;$B122,Results_Deltas!$A$2:$P$15000,5,FALSE),"")</f>
        <v/>
      </c>
      <c r="H122" t="inlineStr">
        <is>
          <t>Blanket (page end)</t>
        </is>
      </c>
      <c r="L122" t="inlineStr">
        <is>
          <t>NO</t>
        </is>
      </c>
    </row>
    <row r="123" ht="15.75" customHeight="1" s="67">
      <c r="A123" t="inlineStr">
        <is>
          <t>EMA_9_21_FILTER_MIN_TFS</t>
        </is>
      </c>
      <c r="B123" t="inlineStr">
        <is>
          <t>1</t>
        </is>
      </c>
      <c r="D123" t="inlineStr">
        <is>
          <t>GLOBAL_CHECK</t>
        </is>
      </c>
      <c r="G123">
        <f>IFERROR(VLOOKUP($A123&amp;"_"&amp;$B123,Results_Deltas!$A$2:$P$15000,5,FALSE),"")</f>
        <v/>
      </c>
      <c r="H123" t="inlineStr">
        <is>
          <t>Blanket (page end)</t>
        </is>
      </c>
      <c r="L123" t="inlineStr">
        <is>
          <t>NO</t>
        </is>
      </c>
    </row>
    <row r="124" ht="15.75" customHeight="1" s="67">
      <c r="A124" t="inlineStr">
        <is>
          <t>EMA_BLANKET_FILTER_ENABLED</t>
        </is>
      </c>
      <c r="B124" t="inlineStr">
        <is>
          <t>False</t>
        </is>
      </c>
      <c r="D124" t="inlineStr">
        <is>
          <t>GLOBAL_CHECK</t>
        </is>
      </c>
      <c r="G124">
        <f>IFERROR(VLOOKUP($A124&amp;"_"&amp;$B124,Results_Deltas!$A$2:$P$15000,5,FALSE),"")</f>
        <v/>
      </c>
      <c r="H124" t="inlineStr">
        <is>
          <t>Blanket (page end)</t>
        </is>
      </c>
      <c r="L124" t="inlineStr">
        <is>
          <t>NO</t>
        </is>
      </c>
    </row>
    <row r="125" ht="15.75" customHeight="1" s="67">
      <c r="A125" t="inlineStr">
        <is>
          <t>EMA_BLANKET_FILTER_ENABLED</t>
        </is>
      </c>
      <c r="B125" t="inlineStr">
        <is>
          <t>True</t>
        </is>
      </c>
      <c r="D125" t="inlineStr">
        <is>
          <t>GLOBAL_CHECK</t>
        </is>
      </c>
      <c r="G125">
        <f>IFERROR(VLOOKUP($A125&amp;"_"&amp;$B125,Results_Deltas!$A$2:$P$15000,5,FALSE),"")</f>
        <v/>
      </c>
      <c r="H125" t="inlineStr">
        <is>
          <t>Blanket (page end)</t>
        </is>
      </c>
      <c r="L125" t="inlineStr">
        <is>
          <t>YES</t>
        </is>
      </c>
    </row>
    <row r="126" ht="15.75" customHeight="1" s="67">
      <c r="A126" t="inlineStr">
        <is>
          <t>EMA_BLANKET_FILTER_MIN_TFS</t>
        </is>
      </c>
      <c r="B126" t="inlineStr">
        <is>
          <t>0</t>
        </is>
      </c>
      <c r="D126" t="inlineStr">
        <is>
          <t>GLOBAL_CHECK</t>
        </is>
      </c>
      <c r="G126">
        <f>IFERROR(VLOOKUP($A126&amp;"_"&amp;$B126,Results_Deltas!$A$2:$P$15000,5,FALSE),"")</f>
        <v/>
      </c>
      <c r="H126" t="inlineStr">
        <is>
          <t>Blanket (page end)</t>
        </is>
      </c>
      <c r="L126" t="inlineStr">
        <is>
          <t>NO</t>
        </is>
      </c>
    </row>
    <row r="127" ht="15.75" customHeight="1" s="67">
      <c r="A127" t="inlineStr">
        <is>
          <t>EMA_BLANKET_FILTER_MIN_TFS</t>
        </is>
      </c>
      <c r="B127" t="inlineStr">
        <is>
          <t>2</t>
        </is>
      </c>
      <c r="D127" t="inlineStr">
        <is>
          <t>GLOBAL_CHECK</t>
        </is>
      </c>
      <c r="G127">
        <f>IFERROR(VLOOKUP($A127&amp;"_"&amp;$B127,Results_Deltas!$A$2:$P$15000,5,FALSE),"")</f>
        <v/>
      </c>
      <c r="H127" t="inlineStr">
        <is>
          <t>Blanket (page end)</t>
        </is>
      </c>
      <c r="L127" t="inlineStr">
        <is>
          <t>NO</t>
        </is>
      </c>
    </row>
    <row r="128" ht="15.75" customHeight="1" s="67">
      <c r="A128" t="inlineStr">
        <is>
          <t>EMA_BLANKET_FILTER_MIN_TFS</t>
        </is>
      </c>
      <c r="B128" t="inlineStr">
        <is>
          <t>1</t>
        </is>
      </c>
      <c r="D128" t="inlineStr">
        <is>
          <t>GLOBAL_CHECK</t>
        </is>
      </c>
      <c r="G128">
        <f>IFERROR(VLOOKUP($A128&amp;"_"&amp;$B128,Results_Deltas!$A$2:$P$15000,5,FALSE),"")</f>
        <v/>
      </c>
      <c r="H128" t="inlineStr">
        <is>
          <t>Blanket (page end)</t>
        </is>
      </c>
      <c r="L128" t="inlineStr">
        <is>
          <t>NO</t>
        </is>
      </c>
    </row>
    <row r="129" ht="15.75" customHeight="1" s="67">
      <c r="A129" t="inlineStr">
        <is>
          <t>EXECUTE_NOW_SINGLE_GATE_ENFORCE</t>
        </is>
      </c>
      <c r="B129" t="inlineStr">
        <is>
          <t>0.0</t>
        </is>
      </c>
      <c r="D129" t="inlineStr">
        <is>
          <t>ENTRY, GLOBAL_CHECK, STOCKS_EXIT</t>
        </is>
      </c>
      <c r="G129">
        <f>IFERROR(VLOOKUP($A129&amp;"_"&amp;$B129,Results_Deltas!$A$2:$P$15000,5,FALSE),"")</f>
        <v/>
      </c>
      <c r="H129" t="inlineStr">
        <is>
          <t>Blanket (page end)</t>
        </is>
      </c>
      <c r="L129" t="inlineStr">
        <is>
          <t>NO</t>
        </is>
      </c>
    </row>
    <row r="130" ht="15.75" customHeight="1" s="67">
      <c r="A130" t="inlineStr">
        <is>
          <t>EXECUTE_NOW_SINGLE_GATE_ENFORCE</t>
        </is>
      </c>
      <c r="B130" t="inlineStr">
        <is>
          <t>0.0_ALT</t>
        </is>
      </c>
      <c r="D130" t="inlineStr">
        <is>
          <t>ENTRY, GLOBAL_CHECK, STOCKS_EXIT</t>
        </is>
      </c>
      <c r="G130">
        <f>IFERROR(VLOOKUP($A130&amp;"_"&amp;$B130,Results_Deltas!$A$2:$P$15000,5,FALSE),"")</f>
        <v/>
      </c>
      <c r="H130" t="inlineStr">
        <is>
          <t>Blanket (page end)</t>
        </is>
      </c>
      <c r="L130" t="inlineStr">
        <is>
          <t>NO</t>
        </is>
      </c>
    </row>
    <row r="131" ht="15.75" customHeight="1" s="67">
      <c r="A131" t="inlineStr">
        <is>
          <t>EZ_MANAGE_THROTTLER_RATE</t>
        </is>
      </c>
      <c r="B131" t="inlineStr">
        <is>
          <t>0.0</t>
        </is>
      </c>
      <c r="D131" t="inlineStr">
        <is>
          <t>GLOBAL_CHECK, STOCKS_EXIT</t>
        </is>
      </c>
      <c r="G131">
        <f>IFERROR(VLOOKUP($A131&amp;"_"&amp;$B131,Results_Deltas!$A$2:$P$15000,5,FALSE),"")</f>
        <v/>
      </c>
      <c r="H131" t="inlineStr">
        <is>
          <t>Blanket (page end)</t>
        </is>
      </c>
      <c r="L131" t="inlineStr">
        <is>
          <t>NO</t>
        </is>
      </c>
    </row>
    <row r="132" ht="15.75" customHeight="1" s="67">
      <c r="A132" t="inlineStr">
        <is>
          <t>EZ_MANAGE_THROTTLER_RATE</t>
        </is>
      </c>
      <c r="B132" t="inlineStr">
        <is>
          <t>0.0_ALT</t>
        </is>
      </c>
      <c r="D132" t="inlineStr">
        <is>
          <t>GLOBAL_CHECK, STOCKS_EXIT</t>
        </is>
      </c>
      <c r="G132">
        <f>IFERROR(VLOOKUP($A132&amp;"_"&amp;$B132,Results_Deltas!$A$2:$P$15000,5,FALSE),"")</f>
        <v/>
      </c>
      <c r="H132" t="inlineStr">
        <is>
          <t>Blanket (page end)</t>
        </is>
      </c>
      <c r="L132" t="inlineStr">
        <is>
          <t>NO</t>
        </is>
      </c>
    </row>
    <row r="133" ht="15.75" customHeight="1" s="67">
      <c r="A133" t="inlineStr">
        <is>
          <t>FG_FEAR_THRESHOLD</t>
        </is>
      </c>
      <c r="B133" t="inlineStr">
        <is>
          <t>25</t>
        </is>
      </c>
      <c r="D133" t="inlineStr">
        <is>
          <t>GLOBAL_CHECK, STOCKS_EXIT</t>
        </is>
      </c>
      <c r="G133">
        <f>IFERROR(VLOOKUP($A133&amp;"_"&amp;$B133,Results_Deltas!$A$2:$P$15000,5,FALSE),"")</f>
        <v/>
      </c>
      <c r="H133" t="inlineStr">
        <is>
          <t>Blanket (page end)</t>
        </is>
      </c>
      <c r="L133" t="inlineStr">
        <is>
          <t>YES</t>
        </is>
      </c>
    </row>
    <row r="134" ht="15.75" customHeight="1" s="67">
      <c r="A134" t="inlineStr">
        <is>
          <t>FG_FEAR_THRESHOLD</t>
        </is>
      </c>
      <c r="B134" t="inlineStr">
        <is>
          <t>31.25</t>
        </is>
      </c>
      <c r="D134" t="inlineStr">
        <is>
          <t>GLOBAL_CHECK, STOCKS_EXIT</t>
        </is>
      </c>
      <c r="G134">
        <f>IFERROR(VLOOKUP($A134&amp;"_"&amp;$B134,Results_Deltas!$A$2:$P$15000,5,FALSE),"")</f>
        <v/>
      </c>
      <c r="H134" t="inlineStr">
        <is>
          <t>Blanket (page end)</t>
        </is>
      </c>
      <c r="L134" t="inlineStr">
        <is>
          <t>NO</t>
        </is>
      </c>
    </row>
    <row r="135" ht="15.75" customHeight="1" s="67">
      <c r="A135" t="inlineStr">
        <is>
          <t>FG_FEAR_THRESHOLD</t>
        </is>
      </c>
      <c r="B135" t="inlineStr">
        <is>
          <t>18.75</t>
        </is>
      </c>
      <c r="D135" t="inlineStr">
        <is>
          <t>GLOBAL_CHECK, STOCKS_EXIT</t>
        </is>
      </c>
      <c r="G135">
        <f>IFERROR(VLOOKUP($A135&amp;"_"&amp;$B135,Results_Deltas!$A$2:$P$15000,5,FALSE),"")</f>
        <v/>
      </c>
      <c r="H135" t="inlineStr">
        <is>
          <t>Blanket (page end)</t>
        </is>
      </c>
      <c r="L135" t="inlineStr">
        <is>
          <t>NO</t>
        </is>
      </c>
    </row>
    <row r="136" ht="15.75" customHeight="1" s="67">
      <c r="A136" t="inlineStr">
        <is>
          <t>FG_FEAR_THRESHOLD</t>
        </is>
      </c>
      <c r="B136" t="inlineStr">
        <is>
          <t>12.5</t>
        </is>
      </c>
      <c r="D136" t="inlineStr">
        <is>
          <t>GLOBAL_CHECK, STOCKS_EXIT</t>
        </is>
      </c>
      <c r="G136">
        <f>IFERROR(VLOOKUP($A136&amp;"_"&amp;$B136,Results_Deltas!$A$2:$P$15000,5,FALSE),"")</f>
        <v/>
      </c>
      <c r="H136" t="inlineStr">
        <is>
          <t>Blanket (page end)</t>
        </is>
      </c>
      <c r="L136" t="inlineStr">
        <is>
          <t>NO</t>
        </is>
      </c>
    </row>
    <row r="137" ht="15.75" customHeight="1" s="67">
      <c r="A137" t="inlineStr">
        <is>
          <t>FG_GREED_THRESHOLD</t>
        </is>
      </c>
      <c r="B137" t="inlineStr">
        <is>
          <t>75</t>
        </is>
      </c>
      <c r="D137" t="inlineStr">
        <is>
          <t>GLOBAL_CHECK, STOCKS_EXIT</t>
        </is>
      </c>
      <c r="G137">
        <f>IFERROR(VLOOKUP($A137&amp;"_"&amp;$B137,Results_Deltas!$A$2:$P$15000,5,FALSE),"")</f>
        <v/>
      </c>
      <c r="H137" t="inlineStr">
        <is>
          <t>Blanket (page end)</t>
        </is>
      </c>
      <c r="L137" t="inlineStr">
        <is>
          <t>YES</t>
        </is>
      </c>
    </row>
    <row r="138" ht="15.75" customHeight="1" s="67">
      <c r="A138" t="inlineStr">
        <is>
          <t>FG_GREED_THRESHOLD</t>
        </is>
      </c>
      <c r="B138" t="inlineStr">
        <is>
          <t>93.75</t>
        </is>
      </c>
      <c r="D138" t="inlineStr">
        <is>
          <t>GLOBAL_CHECK, STOCKS_EXIT</t>
        </is>
      </c>
      <c r="G138">
        <f>IFERROR(VLOOKUP($A138&amp;"_"&amp;$B138,Results_Deltas!$A$2:$P$15000,5,FALSE),"")</f>
        <v/>
      </c>
      <c r="H138" t="inlineStr">
        <is>
          <t>Blanket (page end)</t>
        </is>
      </c>
      <c r="L138" t="inlineStr">
        <is>
          <t>NO</t>
        </is>
      </c>
    </row>
    <row r="139" ht="15.75" customHeight="1" s="67">
      <c r="A139" t="inlineStr">
        <is>
          <t>FG_GREED_THRESHOLD</t>
        </is>
      </c>
      <c r="B139" t="inlineStr">
        <is>
          <t>56.25</t>
        </is>
      </c>
      <c r="D139" t="inlineStr">
        <is>
          <t>GLOBAL_CHECK, STOCKS_EXIT</t>
        </is>
      </c>
      <c r="G139">
        <f>IFERROR(VLOOKUP($A139&amp;"_"&amp;$B139,Results_Deltas!$A$2:$P$15000,5,FALSE),"")</f>
        <v/>
      </c>
      <c r="H139" t="inlineStr">
        <is>
          <t>Blanket (page end)</t>
        </is>
      </c>
      <c r="L139" t="inlineStr">
        <is>
          <t>NO</t>
        </is>
      </c>
    </row>
    <row r="140" ht="15.75" customHeight="1" s="67">
      <c r="A140" t="inlineStr">
        <is>
          <t>FG_GREED_THRESHOLD</t>
        </is>
      </c>
      <c r="B140" t="inlineStr">
        <is>
          <t>37.5</t>
        </is>
      </c>
      <c r="D140" t="inlineStr">
        <is>
          <t>GLOBAL_CHECK, STOCKS_EXIT</t>
        </is>
      </c>
      <c r="G140">
        <f>IFERROR(VLOOKUP($A140&amp;"_"&amp;$B140,Results_Deltas!$A$2:$P$15000,5,FALSE),"")</f>
        <v/>
      </c>
      <c r="H140" t="inlineStr">
        <is>
          <t>Blanket (page end)</t>
        </is>
      </c>
      <c r="L140" t="inlineStr">
        <is>
          <t>NO</t>
        </is>
      </c>
    </row>
    <row r="141" ht="15.75" customHeight="1" s="67">
      <c r="A141" t="inlineStr">
        <is>
          <t>FUNDING_GATE_FILTER_TF</t>
        </is>
      </c>
      <c r="B141" t="inlineStr">
        <is>
          <t>OFF</t>
        </is>
      </c>
      <c r="D141" t="inlineStr">
        <is>
          <t>GLOBAL_CHECK</t>
        </is>
      </c>
      <c r="G141">
        <f>IFERROR(VLOOKUP($A141&amp;"_"&amp;$B141,Results_Deltas!$A$2:$P$15000,5,FALSE),"")</f>
        <v/>
      </c>
      <c r="H141" t="inlineStr">
        <is>
          <t>Blanket (page end)</t>
        </is>
      </c>
      <c r="L141" t="inlineStr">
        <is>
          <t>NO</t>
        </is>
      </c>
    </row>
    <row r="142" ht="15.75" customHeight="1" s="67">
      <c r="A142" t="inlineStr">
        <is>
          <t>FUNDING_GATE_FILTER_TF</t>
        </is>
      </c>
      <c r="B142" t="inlineStr">
        <is>
          <t>D</t>
        </is>
      </c>
      <c r="D142" t="inlineStr">
        <is>
          <t>GLOBAL_CHECK</t>
        </is>
      </c>
      <c r="G142">
        <f>IFERROR(VLOOKUP($A142&amp;"_"&amp;$B142,Results_Deltas!$A$2:$P$15000,5,FALSE),"")</f>
        <v/>
      </c>
      <c r="H142" t="inlineStr">
        <is>
          <t>Blanket (page end)</t>
        </is>
      </c>
      <c r="L142" t="inlineStr">
        <is>
          <t>NO</t>
        </is>
      </c>
    </row>
    <row r="143" ht="15.75" customHeight="1" s="67">
      <c r="A143" t="inlineStr">
        <is>
          <t>FUNDING_GATE_FILTER_TF</t>
        </is>
      </c>
      <c r="B143" t="inlineStr">
        <is>
          <t>4h</t>
        </is>
      </c>
      <c r="D143" t="inlineStr">
        <is>
          <t>GLOBAL_CHECK</t>
        </is>
      </c>
      <c r="G143">
        <f>IFERROR(VLOOKUP($A143&amp;"_"&amp;$B143,Results_Deltas!$A$2:$P$15000,5,FALSE),"")</f>
        <v/>
      </c>
      <c r="H143" t="inlineStr">
        <is>
          <t>Blanket (page end)</t>
        </is>
      </c>
      <c r="L143" t="inlineStr">
        <is>
          <t>NO</t>
        </is>
      </c>
    </row>
    <row r="144" ht="15.75" customHeight="1" s="67">
      <c r="A144" t="inlineStr">
        <is>
          <t>FUNDING_GATE_FILTER_TF</t>
        </is>
      </c>
      <c r="B144" t="inlineStr">
        <is>
          <t>1h</t>
        </is>
      </c>
      <c r="D144" t="inlineStr">
        <is>
          <t>GLOBAL_CHECK</t>
        </is>
      </c>
      <c r="G144">
        <f>IFERROR(VLOOKUP($A144&amp;"_"&amp;$B144,Results_Deltas!$A$2:$P$15000,5,FALSE),"")</f>
        <v/>
      </c>
      <c r="H144" t="inlineStr">
        <is>
          <t>Blanket (page end)</t>
        </is>
      </c>
      <c r="L144" t="inlineStr">
        <is>
          <t>NO</t>
        </is>
      </c>
    </row>
    <row r="145" ht="15.75" customHeight="1" s="67">
      <c r="A145" t="inlineStr">
        <is>
          <t>FUNDING_GATE_FILTER_TF</t>
        </is>
      </c>
      <c r="B145" t="inlineStr">
        <is>
          <t>15m</t>
        </is>
      </c>
      <c r="D145" t="inlineStr">
        <is>
          <t>GLOBAL_CHECK</t>
        </is>
      </c>
      <c r="G145">
        <f>IFERROR(VLOOKUP($A145&amp;"_"&amp;$B145,Results_Deltas!$A$2:$P$15000,5,FALSE),"")</f>
        <v/>
      </c>
      <c r="H145" t="inlineStr">
        <is>
          <t>Blanket (page end)</t>
        </is>
      </c>
      <c r="L145" t="inlineStr">
        <is>
          <t>YES</t>
        </is>
      </c>
    </row>
    <row r="146" ht="15.75" customHeight="1" s="67">
      <c r="A146" t="inlineStr">
        <is>
          <t>FUNDING_GATE_LONG_MAX</t>
        </is>
      </c>
      <c r="B146" t="inlineStr">
        <is>
          <t>0.0</t>
        </is>
      </c>
      <c r="D146" t="inlineStr">
        <is>
          <t>ENTRY, GLOBAL_CHECK, STOCKS_EXIT</t>
        </is>
      </c>
      <c r="G146">
        <f>IFERROR(VLOOKUP($A146&amp;"_"&amp;$B146,Results_Deltas!$A$2:$P$15000,5,FALSE),"")</f>
        <v/>
      </c>
      <c r="H146" t="inlineStr">
        <is>
          <t>Blanket (page end)</t>
        </is>
      </c>
      <c r="L146" t="inlineStr">
        <is>
          <t>NO</t>
        </is>
      </c>
    </row>
    <row r="147" ht="15.75" customHeight="1" s="67">
      <c r="A147" t="inlineStr">
        <is>
          <t>FUNDING_GATE_LONG_MAX</t>
        </is>
      </c>
      <c r="B147" t="inlineStr">
        <is>
          <t>0.0_ALT</t>
        </is>
      </c>
      <c r="D147" t="inlineStr">
        <is>
          <t>ENTRY, GLOBAL_CHECK, STOCKS_EXIT</t>
        </is>
      </c>
      <c r="G147">
        <f>IFERROR(VLOOKUP($A147&amp;"_"&amp;$B147,Results_Deltas!$A$2:$P$15000,5,FALSE),"")</f>
        <v/>
      </c>
      <c r="H147" t="inlineStr">
        <is>
          <t>Blanket (page end)</t>
        </is>
      </c>
      <c r="L147" t="inlineStr">
        <is>
          <t>NO</t>
        </is>
      </c>
    </row>
    <row r="148" ht="15.75" customHeight="1" s="67">
      <c r="A148" t="inlineStr">
        <is>
          <t>FUNDING_GATE_MTF_REQUIRED</t>
        </is>
      </c>
      <c r="B148" t="inlineStr">
        <is>
          <t>0.0</t>
        </is>
      </c>
      <c r="D148" t="inlineStr">
        <is>
          <t>ENTRY, GLOBAL_CHECK, STOCKS_EXIT</t>
        </is>
      </c>
      <c r="G148">
        <f>IFERROR(VLOOKUP($A148&amp;"_"&amp;$B148,Results_Deltas!$A$2:$P$15000,5,FALSE),"")</f>
        <v/>
      </c>
      <c r="H148" t="inlineStr">
        <is>
          <t>Blanket (page end)</t>
        </is>
      </c>
      <c r="L148" t="inlineStr">
        <is>
          <t>NO</t>
        </is>
      </c>
    </row>
    <row r="149" ht="15.75" customHeight="1" s="67">
      <c r="A149" t="inlineStr">
        <is>
          <t>FUNDING_GATE_MTF_REQUIRED</t>
        </is>
      </c>
      <c r="B149" t="inlineStr">
        <is>
          <t>0.0_ALT</t>
        </is>
      </c>
      <c r="D149" t="inlineStr">
        <is>
          <t>ENTRY, GLOBAL_CHECK, STOCKS_EXIT</t>
        </is>
      </c>
      <c r="G149">
        <f>IFERROR(VLOOKUP($A149&amp;"_"&amp;$B149,Results_Deltas!$A$2:$P$15000,5,FALSE),"")</f>
        <v/>
      </c>
      <c r="H149" t="inlineStr">
        <is>
          <t>Blanket (page end)</t>
        </is>
      </c>
      <c r="L149" t="inlineStr">
        <is>
          <t>NO</t>
        </is>
      </c>
    </row>
    <row r="150" ht="15.75" customHeight="1" s="67">
      <c r="A150" t="inlineStr">
        <is>
          <t>FUNDING_GATE_SHORT_MIN</t>
        </is>
      </c>
      <c r="B150" t="inlineStr">
        <is>
          <t>0.0</t>
        </is>
      </c>
      <c r="D150" t="inlineStr">
        <is>
          <t>ENTRY, GLOBAL_CHECK, STOCKS_EXIT</t>
        </is>
      </c>
      <c r="G150">
        <f>IFERROR(VLOOKUP($A150&amp;"_"&amp;$B150,Results_Deltas!$A$2:$P$15000,5,FALSE),"")</f>
        <v/>
      </c>
      <c r="H150" t="inlineStr">
        <is>
          <t>Blanket (page end)</t>
        </is>
      </c>
      <c r="L150" t="inlineStr">
        <is>
          <t>NO</t>
        </is>
      </c>
    </row>
    <row r="151" ht="15.75" customHeight="1" s="67">
      <c r="A151" t="inlineStr">
        <is>
          <t>FUNDING_GATE_SHORT_MIN</t>
        </is>
      </c>
      <c r="B151" t="inlineStr">
        <is>
          <t>0.0_ALT</t>
        </is>
      </c>
      <c r="D151" t="inlineStr">
        <is>
          <t>ENTRY, GLOBAL_CHECK, STOCKS_EXIT</t>
        </is>
      </c>
      <c r="G151">
        <f>IFERROR(VLOOKUP($A151&amp;"_"&amp;$B151,Results_Deltas!$A$2:$P$15000,5,FALSE),"")</f>
        <v/>
      </c>
      <c r="H151" t="inlineStr">
        <is>
          <t>Blanket (page end)</t>
        </is>
      </c>
      <c r="L151" t="inlineStr">
        <is>
          <t>NO</t>
        </is>
      </c>
    </row>
    <row r="152" ht="15.75" customHeight="1" s="67">
      <c r="A152" t="inlineStr">
        <is>
          <t>GOLDEN_RULE_BASE_USD</t>
        </is>
      </c>
      <c r="B152" t="inlineStr">
        <is>
          <t>0.0</t>
        </is>
      </c>
      <c r="D152" t="inlineStr">
        <is>
          <t>GLOBAL_CHECK, STOCKS_EXIT</t>
        </is>
      </c>
      <c r="G152">
        <f>IFERROR(VLOOKUP($A152&amp;"_"&amp;$B152,Results_Deltas!$A$2:$P$15000,5,FALSE),"")</f>
        <v/>
      </c>
      <c r="H152" t="inlineStr">
        <is>
          <t>Blanket (page end)</t>
        </is>
      </c>
      <c r="L152" t="inlineStr">
        <is>
          <t>NO</t>
        </is>
      </c>
    </row>
    <row r="153" ht="15.75" customHeight="1" s="67">
      <c r="A153" t="inlineStr">
        <is>
          <t>GOLDEN_RULE_BASE_USD</t>
        </is>
      </c>
      <c r="B153" t="inlineStr">
        <is>
          <t>0.0_ALT</t>
        </is>
      </c>
      <c r="D153" t="inlineStr">
        <is>
          <t>GLOBAL_CHECK, STOCKS_EXIT</t>
        </is>
      </c>
      <c r="G153">
        <f>IFERROR(VLOOKUP($A153&amp;"_"&amp;$B153,Results_Deltas!$A$2:$P$15000,5,FALSE),"")</f>
        <v/>
      </c>
      <c r="H153" t="inlineStr">
        <is>
          <t>Blanket (page end)</t>
        </is>
      </c>
      <c r="L153" t="inlineStr">
        <is>
          <t>NO</t>
        </is>
      </c>
    </row>
    <row r="154" ht="15.75" customHeight="1" s="67">
      <c r="A154" t="inlineStr">
        <is>
          <t>GR_FILTER_ALL_ENTRIES</t>
        </is>
      </c>
      <c r="B154" t="inlineStr">
        <is>
          <t>0.0</t>
        </is>
      </c>
      <c r="D154" t="inlineStr">
        <is>
          <t>GLOBAL_CHECK, STOCKS_EXIT</t>
        </is>
      </c>
      <c r="G154">
        <f>IFERROR(VLOOKUP($A154&amp;"_"&amp;$B154,Results_Deltas!$A$2:$P$15000,5,FALSE),"")</f>
        <v/>
      </c>
      <c r="H154" t="inlineStr">
        <is>
          <t>Blanket (page end)</t>
        </is>
      </c>
      <c r="L154" t="inlineStr">
        <is>
          <t>NO</t>
        </is>
      </c>
    </row>
    <row r="155" ht="15.75" customHeight="1" s="67">
      <c r="A155" t="inlineStr">
        <is>
          <t>GR_FILTER_ALL_ENTRIES</t>
        </is>
      </c>
      <c r="B155" t="inlineStr">
        <is>
          <t>0.0_ALT</t>
        </is>
      </c>
      <c r="D155" t="inlineStr">
        <is>
          <t>GLOBAL_CHECK, STOCKS_EXIT</t>
        </is>
      </c>
      <c r="G155">
        <f>IFERROR(VLOOKUP($A155&amp;"_"&amp;$B155,Results_Deltas!$A$2:$P$15000,5,FALSE),"")</f>
        <v/>
      </c>
      <c r="H155" t="inlineStr">
        <is>
          <t>Blanket (page end)</t>
        </is>
      </c>
      <c r="L155" t="inlineStr">
        <is>
          <t>NO</t>
        </is>
      </c>
    </row>
    <row r="156" ht="15.75" customHeight="1" s="67">
      <c r="A156" t="inlineStr">
        <is>
          <t>GR_FILTER_VEC_ENABLED</t>
        </is>
      </c>
      <c r="B156" t="inlineStr">
        <is>
          <t>False</t>
        </is>
      </c>
      <c r="D156" t="inlineStr">
        <is>
          <t>GLOBAL_CHECK</t>
        </is>
      </c>
      <c r="G156">
        <f>IFERROR(VLOOKUP($A156&amp;"_"&amp;$B156,Results_Deltas!$A$2:$P$15000,5,FALSE),"")</f>
        <v/>
      </c>
      <c r="H156" t="inlineStr">
        <is>
          <t>Blanket (page end)</t>
        </is>
      </c>
      <c r="L156" t="inlineStr">
        <is>
          <t>NO</t>
        </is>
      </c>
    </row>
    <row r="157" ht="15.75" customHeight="1" s="67">
      <c r="A157" t="inlineStr">
        <is>
          <t>GR_FILTER_VEC_ENABLED</t>
        </is>
      </c>
      <c r="B157" t="inlineStr">
        <is>
          <t>True</t>
        </is>
      </c>
      <c r="D157" t="inlineStr">
        <is>
          <t>GLOBAL_CHECK</t>
        </is>
      </c>
      <c r="G157">
        <f>IFERROR(VLOOKUP($A157&amp;"_"&amp;$B157,Results_Deltas!$A$2:$P$15000,5,FALSE),"")</f>
        <v/>
      </c>
      <c r="H157" t="inlineStr">
        <is>
          <t>Blanket (page end)</t>
        </is>
      </c>
      <c r="L157" t="inlineStr">
        <is>
          <t>NO</t>
        </is>
      </c>
    </row>
    <row r="158" ht="15.75" customHeight="1" s="67">
      <c r="A158" t="inlineStr">
        <is>
          <t>GR_FILTER_VEC_MIN_TFS</t>
        </is>
      </c>
      <c r="B158" t="inlineStr">
        <is>
          <t>0</t>
        </is>
      </c>
      <c r="D158" t="inlineStr">
        <is>
          <t>GLOBAL_CHECK</t>
        </is>
      </c>
      <c r="G158">
        <f>IFERROR(VLOOKUP($A158&amp;"_"&amp;$B158,Results_Deltas!$A$2:$P$15000,5,FALSE),"")</f>
        <v/>
      </c>
      <c r="H158" t="inlineStr">
        <is>
          <t>Blanket (page end)</t>
        </is>
      </c>
      <c r="L158" t="inlineStr">
        <is>
          <t>NO</t>
        </is>
      </c>
    </row>
    <row r="159" ht="15.75" customHeight="1" s="67">
      <c r="A159" t="inlineStr">
        <is>
          <t>GR_FILTER_VEC_MIN_TFS</t>
        </is>
      </c>
      <c r="B159" t="inlineStr">
        <is>
          <t>2</t>
        </is>
      </c>
      <c r="D159" t="inlineStr">
        <is>
          <t>GLOBAL_CHECK</t>
        </is>
      </c>
      <c r="G159">
        <f>IFERROR(VLOOKUP($A159&amp;"_"&amp;$B159,Results_Deltas!$A$2:$P$15000,5,FALSE),"")</f>
        <v/>
      </c>
      <c r="H159" t="inlineStr">
        <is>
          <t>Blanket (page end)</t>
        </is>
      </c>
      <c r="L159" t="inlineStr">
        <is>
          <t>YES</t>
        </is>
      </c>
    </row>
    <row r="160" ht="15.75" customHeight="1" s="67">
      <c r="A160" t="inlineStr">
        <is>
          <t>GR_FILTER_VEC_MIN_TFS</t>
        </is>
      </c>
      <c r="B160" t="inlineStr">
        <is>
          <t>1</t>
        </is>
      </c>
      <c r="D160" t="inlineStr">
        <is>
          <t>GLOBAL_CHECK</t>
        </is>
      </c>
      <c r="G160">
        <f>IFERROR(VLOOKUP($A160&amp;"_"&amp;$B160,Results_Deltas!$A$2:$P$15000,5,FALSE),"")</f>
        <v/>
      </c>
      <c r="H160" t="inlineStr">
        <is>
          <t>Blanket (page end)</t>
        </is>
      </c>
      <c r="L160" t="inlineStr">
        <is>
          <t>NO</t>
        </is>
      </c>
    </row>
    <row r="161" ht="15.75" customHeight="1" s="67">
      <c r="A161" t="inlineStr">
        <is>
          <t>HA_WICK_QUALITY_ENABLED</t>
        </is>
      </c>
      <c r="B161" t="inlineStr">
        <is>
          <t>False</t>
        </is>
      </c>
      <c r="D161" t="inlineStr">
        <is>
          <t>ENTRY, GLOBAL_CHECK, STOCKS_EXIT</t>
        </is>
      </c>
      <c r="G161">
        <f>IFERROR(VLOOKUP($A161&amp;"_"&amp;$B161,Results_Deltas!$A$2:$P$15000,5,FALSE),"")</f>
        <v/>
      </c>
      <c r="H161" t="inlineStr">
        <is>
          <t>Blanket (page end)</t>
        </is>
      </c>
      <c r="L161" t="inlineStr">
        <is>
          <t>NO</t>
        </is>
      </c>
    </row>
    <row r="162" ht="15.75" customHeight="1" s="67">
      <c r="A162" t="inlineStr">
        <is>
          <t>HA_WICK_QUALITY_ENABLED</t>
        </is>
      </c>
      <c r="B162" t="inlineStr">
        <is>
          <t>True</t>
        </is>
      </c>
      <c r="D162" t="inlineStr">
        <is>
          <t>ENTRY, GLOBAL_CHECK, STOCKS_EXIT</t>
        </is>
      </c>
      <c r="G162">
        <f>IFERROR(VLOOKUP($A162&amp;"_"&amp;$B162,Results_Deltas!$A$2:$P$15000,5,FALSE),"")</f>
        <v/>
      </c>
      <c r="H162" t="inlineStr">
        <is>
          <t>Blanket (page end)</t>
        </is>
      </c>
      <c r="L162" t="inlineStr">
        <is>
          <t>YES</t>
        </is>
      </c>
    </row>
    <row r="163" ht="15.75" customHeight="1" s="67">
      <c r="A163" t="inlineStr">
        <is>
          <t>HA_WICK_QUALITY_SCORE</t>
        </is>
      </c>
      <c r="B163" t="inlineStr">
        <is>
          <t>15</t>
        </is>
      </c>
      <c r="D163" t="inlineStr">
        <is>
          <t>ENTRY, GLOBAL_CHECK, STOCKS_EXIT</t>
        </is>
      </c>
      <c r="G163">
        <f>IFERROR(VLOOKUP($A163&amp;"_"&amp;$B163,Results_Deltas!$A$2:$P$15000,5,FALSE),"")</f>
        <v/>
      </c>
      <c r="H163" t="inlineStr">
        <is>
          <t>Blanket (page end)</t>
        </is>
      </c>
      <c r="L163" t="inlineStr">
        <is>
          <t>NO</t>
        </is>
      </c>
    </row>
    <row r="164" ht="15.75" customHeight="1" s="67">
      <c r="A164" t="inlineStr">
        <is>
          <t>HA_WICK_QUALITY_SCORE</t>
        </is>
      </c>
      <c r="B164" t="inlineStr">
        <is>
          <t>15_ALT</t>
        </is>
      </c>
      <c r="D164" t="inlineStr">
        <is>
          <t>ENTRY, GLOBAL_CHECK, STOCKS_EXIT</t>
        </is>
      </c>
      <c r="G164">
        <f>IFERROR(VLOOKUP($A164&amp;"_"&amp;$B164,Results_Deltas!$A$2:$P$15000,5,FALSE),"")</f>
        <v/>
      </c>
      <c r="H164" t="inlineStr">
        <is>
          <t>Blanket (page end)</t>
        </is>
      </c>
      <c r="L164" t="inlineStr">
        <is>
          <t>YES</t>
        </is>
      </c>
    </row>
    <row r="165" ht="15.75" customHeight="1" s="67">
      <c r="A165" t="inlineStr">
        <is>
          <t>HA_WICK_QUALITY_TF</t>
        </is>
      </c>
      <c r="B165" t="inlineStr">
        <is>
          <t>OFF</t>
        </is>
      </c>
      <c r="D165" t="inlineStr">
        <is>
          <t>ENTRY, GLOBAL_CHECK, STOCKS_EXIT</t>
        </is>
      </c>
      <c r="G165">
        <f>IFERROR(VLOOKUP($A165&amp;"_"&amp;$B165,Results_Deltas!$A$2:$P$15000,5,FALSE),"")</f>
        <v/>
      </c>
      <c r="H165" t="inlineStr">
        <is>
          <t>Blanket (page end)</t>
        </is>
      </c>
      <c r="L165" t="inlineStr">
        <is>
          <t>NO</t>
        </is>
      </c>
    </row>
    <row r="166" ht="15.75" customHeight="1" s="67">
      <c r="A166" t="inlineStr">
        <is>
          <t>HA_WICK_QUALITY_TF</t>
        </is>
      </c>
      <c r="B166" t="inlineStr">
        <is>
          <t>D</t>
        </is>
      </c>
      <c r="D166" t="inlineStr">
        <is>
          <t>ENTRY, GLOBAL_CHECK, STOCKS_EXIT</t>
        </is>
      </c>
      <c r="G166">
        <f>IFERROR(VLOOKUP($A166&amp;"_"&amp;$B166,Results_Deltas!$A$2:$P$15000,5,FALSE),"")</f>
        <v/>
      </c>
      <c r="H166" t="inlineStr">
        <is>
          <t>Blanket (page end)</t>
        </is>
      </c>
      <c r="L166" t="inlineStr">
        <is>
          <t>NO</t>
        </is>
      </c>
    </row>
    <row r="167" ht="15.75" customHeight="1" s="67">
      <c r="A167" t="inlineStr">
        <is>
          <t>HA_WICK_QUALITY_TF</t>
        </is>
      </c>
      <c r="B167" t="inlineStr">
        <is>
          <t>4h</t>
        </is>
      </c>
      <c r="D167" t="inlineStr">
        <is>
          <t>ENTRY, GLOBAL_CHECK, STOCKS_EXIT</t>
        </is>
      </c>
      <c r="G167">
        <f>IFERROR(VLOOKUP($A167&amp;"_"&amp;$B167,Results_Deltas!$A$2:$P$15000,5,FALSE),"")</f>
        <v/>
      </c>
      <c r="H167" t="inlineStr">
        <is>
          <t>Blanket (page end)</t>
        </is>
      </c>
      <c r="L167" t="inlineStr">
        <is>
          <t>NO</t>
        </is>
      </c>
    </row>
    <row r="168" ht="15.75" customHeight="1" s="67">
      <c r="A168" t="inlineStr">
        <is>
          <t>HA_WICK_QUALITY_TF</t>
        </is>
      </c>
      <c r="B168" t="inlineStr">
        <is>
          <t>1h</t>
        </is>
      </c>
      <c r="D168" t="inlineStr">
        <is>
          <t>ENTRY, GLOBAL_CHECK, STOCKS_EXIT</t>
        </is>
      </c>
      <c r="G168">
        <f>IFERROR(VLOOKUP($A168&amp;"_"&amp;$B168,Results_Deltas!$A$2:$P$15000,5,FALSE),"")</f>
        <v/>
      </c>
      <c r="H168" t="inlineStr">
        <is>
          <t>Blanket (page end)</t>
        </is>
      </c>
      <c r="L168" t="inlineStr">
        <is>
          <t>NO</t>
        </is>
      </c>
    </row>
    <row r="169" ht="15.75" customHeight="1" s="67">
      <c r="A169" t="inlineStr">
        <is>
          <t>HA_WICK_QUALITY_TF</t>
        </is>
      </c>
      <c r="B169" t="inlineStr">
        <is>
          <t>15m</t>
        </is>
      </c>
      <c r="D169" t="inlineStr">
        <is>
          <t>ENTRY, GLOBAL_CHECK, STOCKS_EXIT</t>
        </is>
      </c>
      <c r="G169">
        <f>IFERROR(VLOOKUP($A169&amp;"_"&amp;$B169,Results_Deltas!$A$2:$P$15000,5,FALSE),"")</f>
        <v/>
      </c>
      <c r="H169" t="inlineStr">
        <is>
          <t>Blanket (page end)</t>
        </is>
      </c>
      <c r="L169" t="inlineStr">
        <is>
          <t>YES</t>
        </is>
      </c>
    </row>
    <row r="170" ht="15.75" customHeight="1" s="67">
      <c r="A170" t="inlineStr">
        <is>
          <t>HLR_SMA_BAND_PCT</t>
        </is>
      </c>
      <c r="B170" t="inlineStr">
        <is>
          <t>0</t>
        </is>
      </c>
      <c r="D170" t="inlineStr">
        <is>
          <t>ENTRY, GLOBAL_CHECK, STOCKS_EXIT</t>
        </is>
      </c>
      <c r="G170">
        <f>IFERROR(VLOOKUP($A170&amp;"_"&amp;$B170,Results_Deltas!$A$2:$P$15000,5,FALSE),"")</f>
        <v/>
      </c>
      <c r="H170" t="inlineStr">
        <is>
          <t>Blanket (page end)</t>
        </is>
      </c>
      <c r="L170" t="inlineStr">
        <is>
          <t>NO</t>
        </is>
      </c>
    </row>
    <row r="171" ht="15.75" customHeight="1" s="67">
      <c r="A171" t="inlineStr">
        <is>
          <t>HLR_SMA_BAND_PCT</t>
        </is>
      </c>
      <c r="B171" t="inlineStr">
        <is>
          <t>2.0</t>
        </is>
      </c>
      <c r="D171" t="inlineStr">
        <is>
          <t>ENTRY, GLOBAL_CHECK, STOCKS_EXIT</t>
        </is>
      </c>
      <c r="G171">
        <f>IFERROR(VLOOKUP($A171&amp;"_"&amp;$B171,Results_Deltas!$A$2:$P$15000,5,FALSE),"")</f>
        <v/>
      </c>
      <c r="H171" t="inlineStr">
        <is>
          <t>Blanket (page end)</t>
        </is>
      </c>
      <c r="L171" t="inlineStr">
        <is>
          <t>NO</t>
        </is>
      </c>
    </row>
    <row r="172" ht="15.75" customHeight="1" s="67">
      <c r="A172" t="inlineStr">
        <is>
          <t>HLR_SMA_BAND_PCT</t>
        </is>
      </c>
      <c r="B172" t="inlineStr">
        <is>
          <t>1.0</t>
        </is>
      </c>
      <c r="D172" t="inlineStr">
        <is>
          <t>ENTRY, GLOBAL_CHECK, STOCKS_EXIT</t>
        </is>
      </c>
      <c r="G172">
        <f>IFERROR(VLOOKUP($A172&amp;"_"&amp;$B172,Results_Deltas!$A$2:$P$15000,5,FALSE),"")</f>
        <v/>
      </c>
      <c r="H172" t="inlineStr">
        <is>
          <t>Blanket (page end)</t>
        </is>
      </c>
      <c r="L172" t="inlineStr">
        <is>
          <t>NO</t>
        </is>
      </c>
    </row>
    <row r="173" ht="15.75" customHeight="1" s="67">
      <c r="A173" t="inlineStr">
        <is>
          <t>HLR_SMA_BAND_PCT</t>
        </is>
      </c>
      <c r="B173" t="inlineStr">
        <is>
          <t>0.5</t>
        </is>
      </c>
      <c r="D173" t="inlineStr">
        <is>
          <t>ENTRY, GLOBAL_CHECK, STOCKS_EXIT</t>
        </is>
      </c>
      <c r="G173">
        <f>IFERROR(VLOOKUP($A173&amp;"_"&amp;$B173,Results_Deltas!$A$2:$P$15000,5,FALSE),"")</f>
        <v/>
      </c>
      <c r="H173" t="inlineStr">
        <is>
          <t>Blanket (page end)</t>
        </is>
      </c>
      <c r="L173" t="inlineStr">
        <is>
          <t>NO</t>
        </is>
      </c>
    </row>
    <row r="174" ht="15.75" customHeight="1" s="67">
      <c r="A174" t="inlineStr">
        <is>
          <t>HLR_TOP_MIN_TFS</t>
        </is>
      </c>
      <c r="B174" t="inlineStr">
        <is>
          <t>0</t>
        </is>
      </c>
      <c r="D174" t="inlineStr">
        <is>
          <t>GLOBAL_CHECK, REENTRY, STOCKS_EXIT</t>
        </is>
      </c>
      <c r="G174">
        <f>IFERROR(VLOOKUP($A174&amp;"_"&amp;$B174,Results_Deltas!$A$2:$P$15000,5,FALSE),"")</f>
        <v/>
      </c>
      <c r="H174" t="inlineStr">
        <is>
          <t>Blanket (page end)</t>
        </is>
      </c>
      <c r="L174" t="inlineStr">
        <is>
          <t>NO</t>
        </is>
      </c>
    </row>
    <row r="175" ht="15.75" customHeight="1" s="67">
      <c r="A175" t="inlineStr">
        <is>
          <t>HLR_TOP_MIN_TFS</t>
        </is>
      </c>
      <c r="B175" t="inlineStr">
        <is>
          <t>2</t>
        </is>
      </c>
      <c r="D175" t="inlineStr">
        <is>
          <t>GLOBAL_CHECK, REENTRY, STOCKS_EXIT</t>
        </is>
      </c>
      <c r="G175">
        <f>IFERROR(VLOOKUP($A175&amp;"_"&amp;$B175,Results_Deltas!$A$2:$P$15000,5,FALSE),"")</f>
        <v/>
      </c>
      <c r="H175" t="inlineStr">
        <is>
          <t>Blanket (page end)</t>
        </is>
      </c>
      <c r="L175" t="inlineStr">
        <is>
          <t>NO</t>
        </is>
      </c>
    </row>
    <row r="176" ht="15.75" customHeight="1" s="67">
      <c r="A176" t="inlineStr">
        <is>
          <t>HLR_TOP_MIN_TFS</t>
        </is>
      </c>
      <c r="B176" t="inlineStr">
        <is>
          <t>1</t>
        </is>
      </c>
      <c r="D176" t="inlineStr">
        <is>
          <t>GLOBAL_CHECK, REENTRY, STOCKS_EXIT</t>
        </is>
      </c>
      <c r="G176">
        <f>IFERROR(VLOOKUP($A176&amp;"_"&amp;$B176,Results_Deltas!$A$2:$P$15000,5,FALSE),"")</f>
        <v/>
      </c>
      <c r="H176" t="inlineStr">
        <is>
          <t>Blanket (page end)</t>
        </is>
      </c>
      <c r="L176" t="inlineStr">
        <is>
          <t>YES</t>
        </is>
      </c>
    </row>
    <row r="177" ht="15.75" customHeight="1" s="67">
      <c r="A177" t="inlineStr">
        <is>
          <t>HTF4_CONF</t>
        </is>
      </c>
      <c r="B177" t="inlineStr">
        <is>
          <t>False</t>
        </is>
      </c>
      <c r="D177" t="inlineStr">
        <is>
          <t>GLOBAL_CHECK, STOCKS_EXIT</t>
        </is>
      </c>
      <c r="G177">
        <f>IFERROR(VLOOKUP($A177&amp;"_"&amp;$B177,Results_Deltas!$A$2:$P$15000,5,FALSE),"")</f>
        <v/>
      </c>
      <c r="H177" t="inlineStr">
        <is>
          <t>Blanket (page end)</t>
        </is>
      </c>
      <c r="L177" t="inlineStr">
        <is>
          <t>NO</t>
        </is>
      </c>
    </row>
    <row r="178" ht="15.75" customHeight="1" s="67">
      <c r="A178" t="inlineStr">
        <is>
          <t>HTF4_CONF</t>
        </is>
      </c>
      <c r="B178" t="inlineStr">
        <is>
          <t>False_ALT</t>
        </is>
      </c>
      <c r="D178" t="inlineStr">
        <is>
          <t>GLOBAL_CHECK, STOCKS_EXIT</t>
        </is>
      </c>
      <c r="G178">
        <f>IFERROR(VLOOKUP($A178&amp;"_"&amp;$B178,Results_Deltas!$A$2:$P$15000,5,FALSE),"")</f>
        <v/>
      </c>
      <c r="H178" t="inlineStr">
        <is>
          <t>Blanket (page end)</t>
        </is>
      </c>
      <c r="L178" t="inlineStr">
        <is>
          <t>NO</t>
        </is>
      </c>
    </row>
    <row r="179" ht="15.75" customHeight="1" s="67">
      <c r="A179" t="inlineStr">
        <is>
          <t>HTF_DIRECTION_GATE_ENABLED</t>
        </is>
      </c>
      <c r="B179" t="inlineStr">
        <is>
          <t>False</t>
        </is>
      </c>
      <c r="D179" t="inlineStr">
        <is>
          <t>ENTRY, GLOBAL_CHECK, STOCKS_EXIT</t>
        </is>
      </c>
      <c r="G179">
        <f>IFERROR(VLOOKUP($A179&amp;"_"&amp;$B179,Results_Deltas!$A$2:$P$15000,5,FALSE),"")</f>
        <v/>
      </c>
      <c r="H179" t="inlineStr">
        <is>
          <t>Blanket (page end)</t>
        </is>
      </c>
      <c r="L179" t="inlineStr">
        <is>
          <t>NO</t>
        </is>
      </c>
    </row>
    <row r="180" ht="15.75" customHeight="1" s="67">
      <c r="A180" t="inlineStr">
        <is>
          <t>HTF_DIRECTION_GATE_ENABLED</t>
        </is>
      </c>
      <c r="B180" t="inlineStr">
        <is>
          <t>True</t>
        </is>
      </c>
      <c r="D180" t="inlineStr">
        <is>
          <t>ENTRY, GLOBAL_CHECK, STOCKS_EXIT</t>
        </is>
      </c>
      <c r="G180">
        <f>IFERROR(VLOOKUP($A180&amp;"_"&amp;$B180,Results_Deltas!$A$2:$P$15000,5,FALSE),"")</f>
        <v/>
      </c>
      <c r="H180" t="inlineStr">
        <is>
          <t>Blanket (page end)</t>
        </is>
      </c>
      <c r="L180" t="inlineStr">
        <is>
          <t>YES</t>
        </is>
      </c>
    </row>
    <row r="181" ht="15.75" customHeight="1" s="67">
      <c r="A181" t="inlineStr">
        <is>
          <t>HTF_GATE_BYPASS_RZ</t>
        </is>
      </c>
      <c r="B181" t="inlineStr">
        <is>
          <t>0.0</t>
        </is>
      </c>
      <c r="D181" t="inlineStr">
        <is>
          <t>ENTRY, GLOBAL_CHECK, STOCKS_EXIT</t>
        </is>
      </c>
      <c r="G181">
        <f>IFERROR(VLOOKUP($A181&amp;"_"&amp;$B181,Results_Deltas!$A$2:$P$15000,5,FALSE),"")</f>
        <v/>
      </c>
      <c r="H181" t="inlineStr">
        <is>
          <t>Blanket (page end)</t>
        </is>
      </c>
      <c r="L181" t="inlineStr">
        <is>
          <t>NO</t>
        </is>
      </c>
    </row>
    <row r="182" ht="15.75" customHeight="1" s="67">
      <c r="A182" t="inlineStr">
        <is>
          <t>HTF_GATE_BYPASS_RZ</t>
        </is>
      </c>
      <c r="B182" t="inlineStr">
        <is>
          <t>0.0_ALT</t>
        </is>
      </c>
      <c r="D182" t="inlineStr">
        <is>
          <t>ENTRY, GLOBAL_CHECK, STOCKS_EXIT</t>
        </is>
      </c>
      <c r="G182">
        <f>IFERROR(VLOOKUP($A182&amp;"_"&amp;$B182,Results_Deltas!$A$2:$P$15000,5,FALSE),"")</f>
        <v/>
      </c>
      <c r="H182" t="inlineStr">
        <is>
          <t>Blanket (page end)</t>
        </is>
      </c>
      <c r="L182" t="inlineStr">
        <is>
          <t>NO</t>
        </is>
      </c>
    </row>
    <row r="183" ht="15.75" customHeight="1" s="67">
      <c r="A183" t="inlineStr">
        <is>
          <t>HTF_GATE_D_MANDATORY</t>
        </is>
      </c>
      <c r="B183" t="inlineStr">
        <is>
          <t>0.0</t>
        </is>
      </c>
      <c r="D183" t="inlineStr">
        <is>
          <t>ENTRY, GLOBAL_CHECK, STOCKS_EXIT</t>
        </is>
      </c>
      <c r="G183">
        <f>IFERROR(VLOOKUP($A183&amp;"_"&amp;$B183,Results_Deltas!$A$2:$P$15000,5,FALSE),"")</f>
        <v/>
      </c>
      <c r="H183" t="inlineStr">
        <is>
          <t>Blanket (page end)</t>
        </is>
      </c>
      <c r="L183" t="inlineStr">
        <is>
          <t>NO</t>
        </is>
      </c>
    </row>
    <row r="184" ht="15.75" customHeight="1" s="67">
      <c r="A184" t="inlineStr">
        <is>
          <t>HTF_GATE_D_MANDATORY</t>
        </is>
      </c>
      <c r="B184" t="inlineStr">
        <is>
          <t>0.0_ALT</t>
        </is>
      </c>
      <c r="D184" t="inlineStr">
        <is>
          <t>ENTRY, GLOBAL_CHECK, STOCKS_EXIT</t>
        </is>
      </c>
      <c r="G184">
        <f>IFERROR(VLOOKUP($A184&amp;"_"&amp;$B184,Results_Deltas!$A$2:$P$15000,5,FALSE),"")</f>
        <v/>
      </c>
      <c r="H184" t="inlineStr">
        <is>
          <t>Blanket (page end)</t>
        </is>
      </c>
      <c r="L184" t="inlineStr">
        <is>
          <t>NO</t>
        </is>
      </c>
    </row>
    <row r="185" ht="15.75" customHeight="1" s="67">
      <c r="A185" t="inlineStr">
        <is>
          <t>HTF_GATE_MIN_CONFIRMATIONS</t>
        </is>
      </c>
      <c r="B185" t="inlineStr">
        <is>
          <t>0.0</t>
        </is>
      </c>
      <c r="D185" t="inlineStr">
        <is>
          <t>ENTRY, GLOBAL_CHECK, STOCKS_EXIT</t>
        </is>
      </c>
      <c r="G185">
        <f>IFERROR(VLOOKUP($A185&amp;"_"&amp;$B185,Results_Deltas!$A$2:$P$15000,5,FALSE),"")</f>
        <v/>
      </c>
      <c r="H185" t="inlineStr">
        <is>
          <t>Blanket (page end)</t>
        </is>
      </c>
      <c r="L185" t="inlineStr">
        <is>
          <t>NO</t>
        </is>
      </c>
    </row>
    <row r="186" ht="15.75" customHeight="1" s="67">
      <c r="A186" t="inlineStr">
        <is>
          <t>HTF_GATE_MIN_CONFIRMATIONS</t>
        </is>
      </c>
      <c r="B186" t="inlineStr">
        <is>
          <t>0.0_ALT</t>
        </is>
      </c>
      <c r="D186" t="inlineStr">
        <is>
          <t>ENTRY, GLOBAL_CHECK, STOCKS_EXIT</t>
        </is>
      </c>
      <c r="G186">
        <f>IFERROR(VLOOKUP($A186&amp;"_"&amp;$B186,Results_Deltas!$A$2:$P$15000,5,FALSE),"")</f>
        <v/>
      </c>
      <c r="H186" t="inlineStr">
        <is>
          <t>Blanket (page end)</t>
        </is>
      </c>
      <c r="L186" t="inlineStr">
        <is>
          <t>NO</t>
        </is>
      </c>
    </row>
    <row r="187" ht="15.75" customHeight="1" s="67">
      <c r="A187" t="inlineStr">
        <is>
          <t>HTF_TREND_VETO_BYPASS_ENABLED</t>
        </is>
      </c>
      <c r="B187" t="inlineStr">
        <is>
          <t>False</t>
        </is>
      </c>
      <c r="D187" t="inlineStr">
        <is>
          <t>GLOBAL_CHECK, STOCKS_EXIT</t>
        </is>
      </c>
      <c r="G187">
        <f>IFERROR(VLOOKUP($A187&amp;"_"&amp;$B187,Results_Deltas!$A$2:$P$15000,5,FALSE),"")</f>
        <v/>
      </c>
      <c r="H187" t="inlineStr">
        <is>
          <t>Blanket (page end)</t>
        </is>
      </c>
      <c r="L187" t="inlineStr">
        <is>
          <t>NO</t>
        </is>
      </c>
    </row>
    <row r="188" ht="15.75" customHeight="1" s="67">
      <c r="A188" t="inlineStr">
        <is>
          <t>HTF_TREND_VETO_BYPASS_ENABLED</t>
        </is>
      </c>
      <c r="B188" t="inlineStr">
        <is>
          <t>True</t>
        </is>
      </c>
      <c r="D188" t="inlineStr">
        <is>
          <t>GLOBAL_CHECK, STOCKS_EXIT</t>
        </is>
      </c>
      <c r="G188">
        <f>IFERROR(VLOOKUP($A188&amp;"_"&amp;$B188,Results_Deltas!$A$2:$P$15000,5,FALSE),"")</f>
        <v/>
      </c>
      <c r="H188" t="inlineStr">
        <is>
          <t>Blanket (page end)</t>
        </is>
      </c>
      <c r="L188" t="inlineStr">
        <is>
          <t>NO</t>
        </is>
      </c>
    </row>
    <row r="189" ht="15.75" customHeight="1" s="67">
      <c r="A189" t="inlineStr">
        <is>
          <t>HTF_TREND_VETO_BYPASS_REASONS</t>
        </is>
      </c>
      <c r="B189" t="inlineStr">
        <is>
          <t>0.0</t>
        </is>
      </c>
      <c r="D189" t="inlineStr">
        <is>
          <t>GLOBAL_CHECK, STOCKS_EXIT</t>
        </is>
      </c>
      <c r="G189">
        <f>IFERROR(VLOOKUP($A189&amp;"_"&amp;$B189,Results_Deltas!$A$2:$P$15000,5,FALSE),"")</f>
        <v/>
      </c>
      <c r="H189" t="inlineStr">
        <is>
          <t>Blanket (page end)</t>
        </is>
      </c>
      <c r="L189" t="inlineStr">
        <is>
          <t>YES</t>
        </is>
      </c>
    </row>
    <row r="190" ht="15.75" customHeight="1" s="67">
      <c r="A190" t="inlineStr">
        <is>
          <t>HTF_TREND_VETO_BYPASS_REASONS</t>
        </is>
      </c>
      <c r="B190" t="inlineStr">
        <is>
          <t>0.0_ALT</t>
        </is>
      </c>
      <c r="D190" t="inlineStr">
        <is>
          <t>GLOBAL_CHECK, STOCKS_EXIT</t>
        </is>
      </c>
      <c r="G190">
        <f>IFERROR(VLOOKUP($A190&amp;"_"&amp;$B190,Results_Deltas!$A$2:$P$15000,5,FALSE),"")</f>
        <v/>
      </c>
      <c r="H190" t="inlineStr">
        <is>
          <t>Blanket (page end)</t>
        </is>
      </c>
      <c r="L190" t="inlineStr">
        <is>
          <t>NO</t>
        </is>
      </c>
    </row>
    <row r="191" ht="15.75" customHeight="1" s="67">
      <c r="A191" t="inlineStr">
        <is>
          <t>LEADERBOARD_FILTER</t>
        </is>
      </c>
      <c r="B191" t="inlineStr">
        <is>
          <t>False</t>
        </is>
      </c>
      <c r="D191" t="inlineStr">
        <is>
          <t>AUGMENT, ENTRY, EXIT, GLOBAL_CHECK, REDUCE, STOCKS_EXIT</t>
        </is>
      </c>
      <c r="G191">
        <f>IFERROR(VLOOKUP($A191&amp;"_"&amp;$B191,Results_Deltas!$A$2:$P$15000,5,FALSE),"")</f>
        <v/>
      </c>
      <c r="H191" t="inlineStr">
        <is>
          <t>Blanket (page end)</t>
        </is>
      </c>
      <c r="L191" t="inlineStr">
        <is>
          <t>NO</t>
        </is>
      </c>
    </row>
    <row r="192" ht="15.75" customHeight="1" s="67">
      <c r="A192" t="inlineStr">
        <is>
          <t>LEADERBOARD_FILTER</t>
        </is>
      </c>
      <c r="B192" t="inlineStr">
        <is>
          <t>False_ALT</t>
        </is>
      </c>
      <c r="D192" t="inlineStr">
        <is>
          <t>AUGMENT, ENTRY, EXIT, GLOBAL_CHECK, REDUCE, STOCKS_EXIT</t>
        </is>
      </c>
      <c r="G192">
        <f>IFERROR(VLOOKUP($A192&amp;"_"&amp;$B192,Results_Deltas!$A$2:$P$15000,5,FALSE),"")</f>
        <v/>
      </c>
      <c r="H192" t="inlineStr">
        <is>
          <t>Blanket (page end)</t>
        </is>
      </c>
      <c r="L192" t="inlineStr">
        <is>
          <t>NO</t>
        </is>
      </c>
    </row>
    <row r="193" ht="15.75" customHeight="1" s="67">
      <c r="A193" t="inlineStr">
        <is>
          <t>LH_HL_FILTER_ENABLED</t>
        </is>
      </c>
      <c r="B193" t="inlineStr">
        <is>
          <t>False</t>
        </is>
      </c>
      <c r="D193" t="inlineStr">
        <is>
          <t>ENTRY, GLOBAL_CHECK, STOCKS_EXIT</t>
        </is>
      </c>
      <c r="G193">
        <f>IFERROR(VLOOKUP($A193&amp;"_"&amp;$B193,Results_Deltas!$A$2:$P$15000,5,FALSE),"")</f>
        <v/>
      </c>
      <c r="H193" t="inlineStr">
        <is>
          <t>Blanket (page end)</t>
        </is>
      </c>
      <c r="L193" t="inlineStr">
        <is>
          <t>NO</t>
        </is>
      </c>
    </row>
    <row r="194" ht="15.75" customHeight="1" s="67">
      <c r="A194" t="inlineStr">
        <is>
          <t>LH_HL_FILTER_ENABLED</t>
        </is>
      </c>
      <c r="B194" t="inlineStr">
        <is>
          <t>True</t>
        </is>
      </c>
      <c r="D194" t="inlineStr">
        <is>
          <t>ENTRY, GLOBAL_CHECK, STOCKS_EXIT</t>
        </is>
      </c>
      <c r="G194">
        <f>IFERROR(VLOOKUP($A194&amp;"_"&amp;$B194,Results_Deltas!$A$2:$P$15000,5,FALSE),"")</f>
        <v/>
      </c>
      <c r="H194" t="inlineStr">
        <is>
          <t>Blanket (page end)</t>
        </is>
      </c>
      <c r="L194" t="inlineStr">
        <is>
          <t>YES</t>
        </is>
      </c>
    </row>
    <row r="195" ht="15.75" customHeight="1" s="67">
      <c r="A195" t="inlineStr">
        <is>
          <t>LH_HL_FILTER_MODE</t>
        </is>
      </c>
      <c r="B195" t="inlineStr">
        <is>
          <t>STRICT_2BAR</t>
        </is>
      </c>
      <c r="D195" t="inlineStr">
        <is>
          <t>ENTRY, GLOBAL_CHECK, STOCKS_EXIT</t>
        </is>
      </c>
      <c r="G195">
        <f>IFERROR(VLOOKUP($A195&amp;"_"&amp;$B195,Results_Deltas!$A$2:$P$15000,5,FALSE),"")</f>
        <v/>
      </c>
      <c r="H195" t="inlineStr">
        <is>
          <t>Blanket (page end)</t>
        </is>
      </c>
      <c r="L195" t="inlineStr">
        <is>
          <t>NO</t>
        </is>
      </c>
    </row>
    <row r="196" ht="15.75" customHeight="1" s="67">
      <c r="A196" t="inlineStr">
        <is>
          <t>LH_HL_FILTER_MODE</t>
        </is>
      </c>
      <c r="B196" t="inlineStr">
        <is>
          <t>STRICT_2BAR_ALT</t>
        </is>
      </c>
      <c r="D196" t="inlineStr">
        <is>
          <t>ENTRY, GLOBAL_CHECK, STOCKS_EXIT</t>
        </is>
      </c>
      <c r="G196">
        <f>IFERROR(VLOOKUP($A196&amp;"_"&amp;$B196,Results_Deltas!$A$2:$P$15000,5,FALSE),"")</f>
        <v/>
      </c>
      <c r="H196" t="inlineStr">
        <is>
          <t>Blanket (page end)</t>
        </is>
      </c>
      <c r="L196" t="inlineStr">
        <is>
          <t>YES</t>
        </is>
      </c>
    </row>
    <row r="197" ht="15.75" customHeight="1" s="67">
      <c r="A197" t="inlineStr">
        <is>
          <t>LH_HL_FILTER_REQUIRE_BOTH</t>
        </is>
      </c>
      <c r="B197" t="inlineStr">
        <is>
          <t>False</t>
        </is>
      </c>
      <c r="D197" t="inlineStr">
        <is>
          <t>ENTRY, GLOBAL_CHECK, STOCKS_EXIT</t>
        </is>
      </c>
      <c r="G197">
        <f>IFERROR(VLOOKUP($A197&amp;"_"&amp;$B197,Results_Deltas!$A$2:$P$15000,5,FALSE),"")</f>
        <v/>
      </c>
      <c r="H197" t="inlineStr">
        <is>
          <t>Blanket (page end)</t>
        </is>
      </c>
      <c r="L197" t="inlineStr">
        <is>
          <t>NO</t>
        </is>
      </c>
    </row>
    <row r="198" ht="15.75" customHeight="1" s="67">
      <c r="A198" t="inlineStr">
        <is>
          <t>LH_HL_FILTER_REQUIRE_BOTH</t>
        </is>
      </c>
      <c r="B198" t="inlineStr">
        <is>
          <t>False_ALT</t>
        </is>
      </c>
      <c r="D198" t="inlineStr">
        <is>
          <t>ENTRY, GLOBAL_CHECK, STOCKS_EXIT</t>
        </is>
      </c>
      <c r="G198">
        <f>IFERROR(VLOOKUP($A198&amp;"_"&amp;$B198,Results_Deltas!$A$2:$P$15000,5,FALSE),"")</f>
        <v/>
      </c>
      <c r="H198" t="inlineStr">
        <is>
          <t>Blanket (page end)</t>
        </is>
      </c>
      <c r="L198" t="inlineStr">
        <is>
          <t>YES</t>
        </is>
      </c>
    </row>
    <row r="199" ht="15.75" customHeight="1" s="67">
      <c r="A199" t="inlineStr">
        <is>
          <t>LIVE_VEC_EMERGENCY_BRAKE_ENABLED</t>
        </is>
      </c>
      <c r="B199" t="inlineStr">
        <is>
          <t>False</t>
        </is>
      </c>
      <c r="D199" t="inlineStr">
        <is>
          <t>GLOBAL_CHECK, STOCKS_EXIT</t>
        </is>
      </c>
      <c r="G199">
        <f>IFERROR(VLOOKUP($A199&amp;"_"&amp;$B199,Results_Deltas!$A$2:$P$15000,5,FALSE),"")</f>
        <v/>
      </c>
      <c r="H199" t="inlineStr">
        <is>
          <t>Blanket (page end)</t>
        </is>
      </c>
      <c r="L199" t="inlineStr">
        <is>
          <t>NO</t>
        </is>
      </c>
    </row>
    <row r="200" ht="15.75" customHeight="1" s="67">
      <c r="A200" t="inlineStr">
        <is>
          <t>LIVE_VEC_EMERGENCY_BRAKE_ENABLED</t>
        </is>
      </c>
      <c r="B200" t="inlineStr">
        <is>
          <t>True</t>
        </is>
      </c>
      <c r="D200" t="inlineStr">
        <is>
          <t>GLOBAL_CHECK, STOCKS_EXIT</t>
        </is>
      </c>
      <c r="G200">
        <f>IFERROR(VLOOKUP($A200&amp;"_"&amp;$B200,Results_Deltas!$A$2:$P$15000,5,FALSE),"")</f>
        <v/>
      </c>
      <c r="H200" t="inlineStr">
        <is>
          <t>Blanket (page end)</t>
        </is>
      </c>
      <c r="L200" t="inlineStr">
        <is>
          <t>YES</t>
        </is>
      </c>
    </row>
    <row r="201" ht="15.75" customHeight="1" s="67">
      <c r="A201" t="inlineStr">
        <is>
          <t>LR_BAND_LADDER_STOCH_EXTREME</t>
        </is>
      </c>
      <c r="B201" t="inlineStr">
        <is>
          <t>30.0</t>
        </is>
      </c>
      <c r="D201" t="inlineStr">
        <is>
          <t>GLOBAL_CHECK, STOCKS_EXIT</t>
        </is>
      </c>
      <c r="G201">
        <f>IFERROR(VLOOKUP($A201&amp;"_"&amp;$B201,Results_Deltas!$A$2:$P$15000,5,FALSE),"")</f>
        <v/>
      </c>
      <c r="H201" t="inlineStr">
        <is>
          <t>Blanket (page end)</t>
        </is>
      </c>
      <c r="L201" t="inlineStr">
        <is>
          <t>NO</t>
        </is>
      </c>
    </row>
    <row r="202" ht="15.75" customHeight="1" s="67">
      <c r="A202" t="inlineStr">
        <is>
          <t>LR_BAND_LADDER_STOCH_EXTREME</t>
        </is>
      </c>
      <c r="B202" t="inlineStr">
        <is>
          <t>30.0_ALT</t>
        </is>
      </c>
      <c r="D202" t="inlineStr">
        <is>
          <t>GLOBAL_CHECK, STOCKS_EXIT</t>
        </is>
      </c>
      <c r="G202">
        <f>IFERROR(VLOOKUP($A202&amp;"_"&amp;$B202,Results_Deltas!$A$2:$P$15000,5,FALSE),"")</f>
        <v/>
      </c>
      <c r="H202" t="inlineStr">
        <is>
          <t>Blanket (page end)</t>
        </is>
      </c>
      <c r="L202" t="inlineStr">
        <is>
          <t>YES</t>
        </is>
      </c>
    </row>
    <row r="203" ht="15.75" customHeight="1" s="67">
      <c r="A203" t="inlineStr">
        <is>
          <t>LR_BAND_LADDER_TF_BOTTOM</t>
        </is>
      </c>
      <c r="B203" t="inlineStr">
        <is>
          <t>0</t>
        </is>
      </c>
      <c r="D203" t="inlineStr">
        <is>
          <t>GLOBAL_CHECK, STOCKS_EXIT</t>
        </is>
      </c>
      <c r="G203">
        <f>IFERROR(VLOOKUP($A203&amp;"_"&amp;$B203,Results_Deltas!$A$2:$P$15000,5,FALSE),"")</f>
        <v/>
      </c>
      <c r="H203" t="inlineStr">
        <is>
          <t>Blanket (page end)</t>
        </is>
      </c>
      <c r="L203" t="inlineStr">
        <is>
          <t>NO</t>
        </is>
      </c>
    </row>
    <row r="204" ht="15.75" customHeight="1" s="67">
      <c r="A204" t="inlineStr">
        <is>
          <t>LR_BAND_LADDER_TF_BOTTOM</t>
        </is>
      </c>
      <c r="B204" t="inlineStr">
        <is>
          <t>1</t>
        </is>
      </c>
      <c r="D204" t="inlineStr">
        <is>
          <t>GLOBAL_CHECK, STOCKS_EXIT</t>
        </is>
      </c>
      <c r="G204">
        <f>IFERROR(VLOOKUP($A204&amp;"_"&amp;$B204,Results_Deltas!$A$2:$P$15000,5,FALSE),"")</f>
        <v/>
      </c>
      <c r="H204" t="inlineStr">
        <is>
          <t>Blanket (page end)</t>
        </is>
      </c>
      <c r="L204" t="inlineStr">
        <is>
          <t>NO</t>
        </is>
      </c>
    </row>
    <row r="205" ht="15.75" customHeight="1" s="67">
      <c r="A205" t="inlineStr">
        <is>
          <t>LR_BAND_LADDER_TF_TOP</t>
        </is>
      </c>
      <c r="B205" t="inlineStr">
        <is>
          <t>0</t>
        </is>
      </c>
      <c r="D205" t="inlineStr">
        <is>
          <t>GLOBAL_CHECK, STOCKS_EXIT</t>
        </is>
      </c>
      <c r="G205">
        <f>IFERROR(VLOOKUP($A205&amp;"_"&amp;$B205,Results_Deltas!$A$2:$P$15000,5,FALSE),"")</f>
        <v/>
      </c>
      <c r="H205" t="inlineStr">
        <is>
          <t>Blanket (page end)</t>
        </is>
      </c>
      <c r="L205" t="inlineStr">
        <is>
          <t>NO</t>
        </is>
      </c>
    </row>
    <row r="206" ht="15.75" customHeight="1" s="67">
      <c r="A206" t="inlineStr">
        <is>
          <t>LR_BAND_LADDER_TF_TOP</t>
        </is>
      </c>
      <c r="B206" t="inlineStr">
        <is>
          <t>1</t>
        </is>
      </c>
      <c r="D206" t="inlineStr">
        <is>
          <t>GLOBAL_CHECK, STOCKS_EXIT</t>
        </is>
      </c>
      <c r="G206">
        <f>IFERROR(VLOOKUP($A206&amp;"_"&amp;$B206,Results_Deltas!$A$2:$P$15000,5,FALSE),"")</f>
        <v/>
      </c>
      <c r="H206" t="inlineStr">
        <is>
          <t>Blanket (page end)</t>
        </is>
      </c>
      <c r="L206" t="inlineStr">
        <is>
          <t>NO</t>
        </is>
      </c>
    </row>
    <row r="207" ht="15.75" customHeight="1" s="67">
      <c r="A207" t="inlineStr">
        <is>
          <t>MANDATORY_REENTRY_WT_FILTER_MIN_TFS</t>
        </is>
      </c>
      <c r="B207" t="inlineStr">
        <is>
          <t>1</t>
        </is>
      </c>
      <c r="D207" t="inlineStr">
        <is>
          <t>GLOBAL_CHECK, STOCKS_EXIT</t>
        </is>
      </c>
      <c r="G207">
        <f>IFERROR(VLOOKUP($A207&amp;"_"&amp;$B207,Results_Deltas!$A$2:$P$15000,5,FALSE),"")</f>
        <v/>
      </c>
      <c r="H207" t="inlineStr">
        <is>
          <t>Blanket (page end)</t>
        </is>
      </c>
      <c r="L207" t="inlineStr">
        <is>
          <t>NO</t>
        </is>
      </c>
    </row>
    <row r="208" ht="15.75" customHeight="1" s="67">
      <c r="A208" t="inlineStr">
        <is>
          <t>MANDATORY_REENTRY_WT_FILTER_MIN_TFS</t>
        </is>
      </c>
      <c r="B208" t="inlineStr">
        <is>
          <t>3</t>
        </is>
      </c>
      <c r="D208" t="inlineStr">
        <is>
          <t>GLOBAL_CHECK, STOCKS_EXIT</t>
        </is>
      </c>
      <c r="G208">
        <f>IFERROR(VLOOKUP($A208&amp;"_"&amp;$B208,Results_Deltas!$A$2:$P$15000,5,FALSE),"")</f>
        <v/>
      </c>
      <c r="H208" t="inlineStr">
        <is>
          <t>Blanket (page end)</t>
        </is>
      </c>
      <c r="L208" t="inlineStr">
        <is>
          <t>YES</t>
        </is>
      </c>
    </row>
    <row r="209" ht="15.75" customHeight="1" s="67">
      <c r="A209" t="inlineStr">
        <is>
          <t>MANDATORY_REENTRY_WT_FILTER_MIN_TFS</t>
        </is>
      </c>
      <c r="B209" t="inlineStr">
        <is>
          <t>2</t>
        </is>
      </c>
      <c r="D209" t="inlineStr">
        <is>
          <t>GLOBAL_CHECK, STOCKS_EXIT</t>
        </is>
      </c>
      <c r="G209">
        <f>IFERROR(VLOOKUP($A209&amp;"_"&amp;$B209,Results_Deltas!$A$2:$P$15000,5,FALSE),"")</f>
        <v/>
      </c>
      <c r="H209" t="inlineStr">
        <is>
          <t>Blanket (page end)</t>
        </is>
      </c>
      <c r="L209" t="inlineStr">
        <is>
          <t>NO</t>
        </is>
      </c>
    </row>
    <row r="210" ht="15.75" customHeight="1" s="67">
      <c r="A210" t="inlineStr">
        <is>
          <t>MANDATORY_REENTRY_WT_FILTER_MIN_VELOCITY</t>
        </is>
      </c>
      <c r="B210" t="inlineStr">
        <is>
          <t>0.0</t>
        </is>
      </c>
      <c r="D210" t="inlineStr">
        <is>
          <t>GLOBAL_CHECK, STOCKS_EXIT</t>
        </is>
      </c>
      <c r="G210">
        <f>IFERROR(VLOOKUP($A210&amp;"_"&amp;$B210,Results_Deltas!$A$2:$P$15000,5,FALSE),"")</f>
        <v/>
      </c>
      <c r="H210" t="inlineStr">
        <is>
          <t>Blanket (page end)</t>
        </is>
      </c>
      <c r="L210" t="inlineStr">
        <is>
          <t>NO</t>
        </is>
      </c>
    </row>
    <row r="211" ht="15.75" customHeight="1" s="67">
      <c r="A211" t="inlineStr">
        <is>
          <t>MANDATORY_REENTRY_WT_FILTER_MIN_VELOCITY</t>
        </is>
      </c>
      <c r="B211" t="inlineStr">
        <is>
          <t>0.0_ALT</t>
        </is>
      </c>
      <c r="D211" t="inlineStr">
        <is>
          <t>GLOBAL_CHECK, STOCKS_EXIT</t>
        </is>
      </c>
      <c r="G211">
        <f>IFERROR(VLOOKUP($A211&amp;"_"&amp;$B211,Results_Deltas!$A$2:$P$15000,5,FALSE),"")</f>
        <v/>
      </c>
      <c r="H211" t="inlineStr">
        <is>
          <t>Blanket (page end)</t>
        </is>
      </c>
      <c r="L211" t="inlineStr">
        <is>
          <t>YES</t>
        </is>
      </c>
    </row>
    <row r="212" ht="15.75" customHeight="1" s="67">
      <c r="A212" t="inlineStr">
        <is>
          <t>MANDATORY_REENTRY_WT_FILTER_REQUIRE_FLIP</t>
        </is>
      </c>
      <c r="B212" t="inlineStr">
        <is>
          <t>False</t>
        </is>
      </c>
      <c r="D212" t="inlineStr">
        <is>
          <t>GLOBAL_CHECK, STOCKS_EXIT</t>
        </is>
      </c>
      <c r="G212">
        <f>IFERROR(VLOOKUP($A212&amp;"_"&amp;$B212,Results_Deltas!$A$2:$P$15000,5,FALSE),"")</f>
        <v/>
      </c>
      <c r="H212" t="inlineStr">
        <is>
          <t>Blanket (page end)</t>
        </is>
      </c>
      <c r="L212" t="inlineStr">
        <is>
          <t>NO</t>
        </is>
      </c>
    </row>
    <row r="213" ht="15.75" customHeight="1" s="67">
      <c r="A213" t="inlineStr">
        <is>
          <t>MANDATORY_REENTRY_WT_FILTER_REQUIRE_FLIP</t>
        </is>
      </c>
      <c r="B213" t="inlineStr">
        <is>
          <t>False_ALT</t>
        </is>
      </c>
      <c r="D213" t="inlineStr">
        <is>
          <t>GLOBAL_CHECK, STOCKS_EXIT</t>
        </is>
      </c>
      <c r="G213">
        <f>IFERROR(VLOOKUP($A213&amp;"_"&amp;$B213,Results_Deltas!$A$2:$P$15000,5,FALSE),"")</f>
        <v/>
      </c>
      <c r="H213" t="inlineStr">
        <is>
          <t>Blanket (page end)</t>
        </is>
      </c>
      <c r="L213" t="inlineStr">
        <is>
          <t>YES</t>
        </is>
      </c>
    </row>
    <row r="214" ht="15.75" customHeight="1" s="67">
      <c r="A214" t="inlineStr">
        <is>
          <t>MANDATORY_REENTRY_WT_FILTER_VELOCITY_RATIO</t>
        </is>
      </c>
      <c r="B214" t="inlineStr">
        <is>
          <t>0.90</t>
        </is>
      </c>
      <c r="D214" t="inlineStr">
        <is>
          <t>GLOBAL_CHECK, STOCKS_EXIT</t>
        </is>
      </c>
      <c r="G214">
        <f>IFERROR(VLOOKUP($A214&amp;"_"&amp;$B214,Results_Deltas!$A$2:$P$15000,5,FALSE),"")</f>
        <v/>
      </c>
      <c r="H214" t="inlineStr">
        <is>
          <t>Blanket (page end)</t>
        </is>
      </c>
      <c r="L214" t="inlineStr">
        <is>
          <t>NO</t>
        </is>
      </c>
    </row>
    <row r="215" ht="15.75" customHeight="1" s="67">
      <c r="A215" t="inlineStr">
        <is>
          <t>MANDATORY_REENTRY_WT_FILTER_VELOCITY_RATIO</t>
        </is>
      </c>
      <c r="B215" t="inlineStr">
        <is>
          <t>0.90_ALT</t>
        </is>
      </c>
      <c r="D215" t="inlineStr">
        <is>
          <t>GLOBAL_CHECK, STOCKS_EXIT</t>
        </is>
      </c>
      <c r="G215">
        <f>IFERROR(VLOOKUP($A215&amp;"_"&amp;$B215,Results_Deltas!$A$2:$P$15000,5,FALSE),"")</f>
        <v/>
      </c>
      <c r="H215" t="inlineStr">
        <is>
          <t>Blanket (page end)</t>
        </is>
      </c>
      <c r="L215" t="inlineStr">
        <is>
          <t>YES</t>
        </is>
      </c>
    </row>
    <row r="216" ht="15.75" customHeight="1" s="67">
      <c r="A216" t="inlineStr">
        <is>
          <t>MARKET_QUALITY_SCORE_ENABLED</t>
        </is>
      </c>
      <c r="B216" t="inlineStr">
        <is>
          <t>False</t>
        </is>
      </c>
      <c r="D216" t="inlineStr">
        <is>
          <t>ENTRY, GLOBAL_CHECK, STOCKS_EXIT</t>
        </is>
      </c>
      <c r="G216">
        <f>IFERROR(VLOOKUP($A216&amp;"_"&amp;$B216,Results_Deltas!$A$2:$P$15000,5,FALSE),"")</f>
        <v/>
      </c>
      <c r="H216" t="inlineStr">
        <is>
          <t>Blanket (page end)</t>
        </is>
      </c>
      <c r="L216" t="inlineStr">
        <is>
          <t>NO</t>
        </is>
      </c>
    </row>
    <row r="217" ht="15.75" customHeight="1" s="67">
      <c r="A217" t="inlineStr">
        <is>
          <t>MARKET_QUALITY_SCORE_ENABLED</t>
        </is>
      </c>
      <c r="B217" t="inlineStr">
        <is>
          <t>True</t>
        </is>
      </c>
      <c r="D217" t="inlineStr">
        <is>
          <t>ENTRY, GLOBAL_CHECK, STOCKS_EXIT</t>
        </is>
      </c>
      <c r="G217">
        <f>IFERROR(VLOOKUP($A217&amp;"_"&amp;$B217,Results_Deltas!$A$2:$P$15000,5,FALSE),"")</f>
        <v/>
      </c>
      <c r="H217" t="inlineStr">
        <is>
          <t>Blanket (page end)</t>
        </is>
      </c>
      <c r="L217" t="inlineStr">
        <is>
          <t>YES</t>
        </is>
      </c>
    </row>
    <row r="218" ht="15.75" customHeight="1" s="67">
      <c r="A218" t="inlineStr">
        <is>
          <t>MI_TF_AGREE_MIN</t>
        </is>
      </c>
      <c r="B218" t="inlineStr">
        <is>
          <t>0.0</t>
        </is>
      </c>
      <c r="D218" t="inlineStr">
        <is>
          <t>ENTRY, GLOBAL_CHECK, STOCKS_EXIT</t>
        </is>
      </c>
      <c r="G218">
        <f>IFERROR(VLOOKUP($A218&amp;"_"&amp;$B218,Results_Deltas!$A$2:$P$15000,5,FALSE),"")</f>
        <v/>
      </c>
      <c r="H218" t="inlineStr">
        <is>
          <t>Blanket (page end)</t>
        </is>
      </c>
      <c r="L218" t="inlineStr">
        <is>
          <t>NO</t>
        </is>
      </c>
    </row>
    <row r="219" ht="15.75" customHeight="1" s="67">
      <c r="A219" t="inlineStr">
        <is>
          <t>MI_TF_AGREE_MIN</t>
        </is>
      </c>
      <c r="B219" t="inlineStr">
        <is>
          <t>0.0_ALT</t>
        </is>
      </c>
      <c r="D219" t="inlineStr">
        <is>
          <t>ENTRY, GLOBAL_CHECK, STOCKS_EXIT</t>
        </is>
      </c>
      <c r="G219">
        <f>IFERROR(VLOOKUP($A219&amp;"_"&amp;$B219,Results_Deltas!$A$2:$P$15000,5,FALSE),"")</f>
        <v/>
      </c>
      <c r="H219" t="inlineStr">
        <is>
          <t>Blanket (page end)</t>
        </is>
      </c>
      <c r="L219" t="inlineStr">
        <is>
          <t>NO</t>
        </is>
      </c>
    </row>
    <row r="220" ht="15.75" customHeight="1" s="67">
      <c r="A220" t="inlineStr">
        <is>
          <t>MOVER_THRESHOLD</t>
        </is>
      </c>
      <c r="B220" t="inlineStr">
        <is>
          <t>5</t>
        </is>
      </c>
      <c r="D220" t="inlineStr">
        <is>
          <t>ENTRY, GLOBAL_CHECK, STOCKS_EXIT</t>
        </is>
      </c>
      <c r="G220">
        <f>IFERROR(VLOOKUP($A220&amp;"_"&amp;$B220,Results_Deltas!$A$2:$P$15000,5,FALSE),"")</f>
        <v/>
      </c>
      <c r="H220" t="inlineStr">
        <is>
          <t>Blanket (page end)</t>
        </is>
      </c>
      <c r="L220" t="inlineStr">
        <is>
          <t>NO</t>
        </is>
      </c>
    </row>
    <row r="221" ht="15.75" customHeight="1" s="67">
      <c r="A221" t="inlineStr">
        <is>
          <t>MOVER_THRESHOLD</t>
        </is>
      </c>
      <c r="B221" t="inlineStr">
        <is>
          <t>6.25</t>
        </is>
      </c>
      <c r="D221" t="inlineStr">
        <is>
          <t>ENTRY, GLOBAL_CHECK, STOCKS_EXIT</t>
        </is>
      </c>
      <c r="G221">
        <f>IFERROR(VLOOKUP($A221&amp;"_"&amp;$B221,Results_Deltas!$A$2:$P$15000,5,FALSE),"")</f>
        <v/>
      </c>
      <c r="H221" t="inlineStr">
        <is>
          <t>Blanket (page end)</t>
        </is>
      </c>
      <c r="L221" t="inlineStr">
        <is>
          <t>YES</t>
        </is>
      </c>
    </row>
    <row r="222" ht="15.75" customHeight="1" s="67">
      <c r="A222" t="inlineStr">
        <is>
          <t>MOVER_THRESHOLD</t>
        </is>
      </c>
      <c r="B222" t="inlineStr">
        <is>
          <t>3.75</t>
        </is>
      </c>
      <c r="D222" t="inlineStr">
        <is>
          <t>ENTRY, GLOBAL_CHECK, STOCKS_EXIT</t>
        </is>
      </c>
      <c r="G222">
        <f>IFERROR(VLOOKUP($A222&amp;"_"&amp;$B222,Results_Deltas!$A$2:$P$15000,5,FALSE),"")</f>
        <v/>
      </c>
      <c r="H222" t="inlineStr">
        <is>
          <t>Blanket (page end)</t>
        </is>
      </c>
      <c r="L222" t="inlineStr">
        <is>
          <t>NO</t>
        </is>
      </c>
    </row>
    <row r="223" ht="15.75" customHeight="1" s="67">
      <c r="A223" t="inlineStr">
        <is>
          <t>MOVER_THRESHOLD</t>
        </is>
      </c>
      <c r="B223" t="inlineStr">
        <is>
          <t>2.5</t>
        </is>
      </c>
      <c r="D223" t="inlineStr">
        <is>
          <t>ENTRY, GLOBAL_CHECK, STOCKS_EXIT</t>
        </is>
      </c>
      <c r="G223">
        <f>IFERROR(VLOOKUP($A223&amp;"_"&amp;$B223,Results_Deltas!$A$2:$P$15000,5,FALSE),"")</f>
        <v/>
      </c>
      <c r="H223" t="inlineStr">
        <is>
          <t>Blanket (page end)</t>
        </is>
      </c>
      <c r="L223" t="inlineStr">
        <is>
          <t>NO</t>
        </is>
      </c>
    </row>
    <row r="224" ht="15.75" customHeight="1" s="67">
      <c r="A224" t="inlineStr">
        <is>
          <t>MTF_FILTER_STRONG_BUY_QUICK_BYPASS</t>
        </is>
      </c>
      <c r="B224" t="inlineStr">
        <is>
          <t>0.0</t>
        </is>
      </c>
      <c r="D224" t="inlineStr">
        <is>
          <t>GLOBAL_CHECK, STOCKS_EXIT</t>
        </is>
      </c>
      <c r="G224">
        <f>IFERROR(VLOOKUP($A224&amp;"_"&amp;$B224,Results_Deltas!$A$2:$P$15000,5,FALSE),"")</f>
        <v/>
      </c>
      <c r="H224" t="inlineStr">
        <is>
          <t>Blanket (page end)</t>
        </is>
      </c>
      <c r="L224" t="inlineStr">
        <is>
          <t>NO</t>
        </is>
      </c>
    </row>
    <row r="225" ht="15.75" customHeight="1" s="67">
      <c r="A225" t="inlineStr">
        <is>
          <t>MTF_FILTER_STRONG_BUY_QUICK_BYPASS</t>
        </is>
      </c>
      <c r="B225" t="inlineStr">
        <is>
          <t>0.0_ALT</t>
        </is>
      </c>
      <c r="D225" t="inlineStr">
        <is>
          <t>GLOBAL_CHECK, STOCKS_EXIT</t>
        </is>
      </c>
      <c r="G225">
        <f>IFERROR(VLOOKUP($A225&amp;"_"&amp;$B225,Results_Deltas!$A$2:$P$15000,5,FALSE),"")</f>
        <v/>
      </c>
      <c r="H225" t="inlineStr">
        <is>
          <t>Blanket (page end)</t>
        </is>
      </c>
      <c r="L225" t="inlineStr">
        <is>
          <t>NO</t>
        </is>
      </c>
    </row>
    <row r="226" ht="15.75" customHeight="1" s="67">
      <c r="A226" t="inlineStr">
        <is>
          <t>MTF_GR_MIN_IND</t>
        </is>
      </c>
      <c r="B226" t="inlineStr">
        <is>
          <t>5</t>
        </is>
      </c>
      <c r="D226" t="inlineStr">
        <is>
          <t>GLOBAL_CHECK, STOCKS_EXIT</t>
        </is>
      </c>
      <c r="G226">
        <f>IFERROR(VLOOKUP($A226&amp;"_"&amp;$B226,Results_Deltas!$A$2:$P$15000,5,FALSE),"")</f>
        <v/>
      </c>
      <c r="H226" t="inlineStr">
        <is>
          <t>Blanket (page end)</t>
        </is>
      </c>
      <c r="L226" t="inlineStr">
        <is>
          <t>NO</t>
        </is>
      </c>
    </row>
    <row r="227" ht="15.75" customHeight="1" s="67">
      <c r="A227" t="inlineStr">
        <is>
          <t>MTF_GR_MIN_IND</t>
        </is>
      </c>
      <c r="B227" t="inlineStr">
        <is>
          <t>5_ALT</t>
        </is>
      </c>
      <c r="D227" t="inlineStr">
        <is>
          <t>GLOBAL_CHECK, STOCKS_EXIT</t>
        </is>
      </c>
      <c r="G227">
        <f>IFERROR(VLOOKUP($A227&amp;"_"&amp;$B227,Results_Deltas!$A$2:$P$15000,5,FALSE),"")</f>
        <v/>
      </c>
      <c r="H227" t="inlineStr">
        <is>
          <t>Blanket (page end)</t>
        </is>
      </c>
      <c r="L227" t="inlineStr">
        <is>
          <t>NO</t>
        </is>
      </c>
    </row>
    <row r="228" ht="15.75" customHeight="1" s="67">
      <c r="A228" t="inlineStr">
        <is>
          <t>MTS_BOTTOM_BONUS_THRESHOLD</t>
        </is>
      </c>
      <c r="B228" t="inlineStr">
        <is>
          <t>25</t>
        </is>
      </c>
      <c r="D228" t="inlineStr">
        <is>
          <t>ENTRY, GLOBAL_CHECK, STOCKS_EXIT</t>
        </is>
      </c>
      <c r="G228">
        <f>IFERROR(VLOOKUP($A228&amp;"_"&amp;$B228,Results_Deltas!$A$2:$P$15000,5,FALSE),"")</f>
        <v/>
      </c>
      <c r="H228" t="inlineStr">
        <is>
          <t>Blanket (page end)</t>
        </is>
      </c>
      <c r="L228" t="inlineStr">
        <is>
          <t>NO</t>
        </is>
      </c>
    </row>
    <row r="229" ht="15.75" customHeight="1" s="67">
      <c r="A229" t="inlineStr">
        <is>
          <t>MTS_BOTTOM_BONUS_THRESHOLD</t>
        </is>
      </c>
      <c r="B229" t="inlineStr">
        <is>
          <t>31.25</t>
        </is>
      </c>
      <c r="D229" t="inlineStr">
        <is>
          <t>ENTRY, GLOBAL_CHECK, STOCKS_EXIT</t>
        </is>
      </c>
      <c r="G229">
        <f>IFERROR(VLOOKUP($A229&amp;"_"&amp;$B229,Results_Deltas!$A$2:$P$15000,5,FALSE),"")</f>
        <v/>
      </c>
      <c r="H229" t="inlineStr">
        <is>
          <t>Blanket (page end)</t>
        </is>
      </c>
      <c r="L229" t="inlineStr">
        <is>
          <t>YES</t>
        </is>
      </c>
    </row>
    <row r="230" ht="15.75" customHeight="1" s="67">
      <c r="A230" t="inlineStr">
        <is>
          <t>MTS_BOTTOM_BONUS_THRESHOLD</t>
        </is>
      </c>
      <c r="B230" t="inlineStr">
        <is>
          <t>18.75</t>
        </is>
      </c>
      <c r="D230" t="inlineStr">
        <is>
          <t>ENTRY, GLOBAL_CHECK, STOCKS_EXIT</t>
        </is>
      </c>
      <c r="G230">
        <f>IFERROR(VLOOKUP($A230&amp;"_"&amp;$B230,Results_Deltas!$A$2:$P$15000,5,FALSE),"")</f>
        <v/>
      </c>
      <c r="H230" t="inlineStr">
        <is>
          <t>Blanket (page end)</t>
        </is>
      </c>
      <c r="L230" t="inlineStr">
        <is>
          <t>NO</t>
        </is>
      </c>
    </row>
    <row r="231" ht="15.75" customHeight="1" s="67">
      <c r="A231" t="inlineStr">
        <is>
          <t>MTS_BOTTOM_BONUS_THRESHOLD</t>
        </is>
      </c>
      <c r="B231" t="inlineStr">
        <is>
          <t>12.5</t>
        </is>
      </c>
      <c r="D231" t="inlineStr">
        <is>
          <t>ENTRY, GLOBAL_CHECK, STOCKS_EXIT</t>
        </is>
      </c>
      <c r="G231">
        <f>IFERROR(VLOOKUP($A231&amp;"_"&amp;$B231,Results_Deltas!$A$2:$P$15000,5,FALSE),"")</f>
        <v/>
      </c>
      <c r="H231" t="inlineStr">
        <is>
          <t>Blanket (page end)</t>
        </is>
      </c>
      <c r="L231" t="inlineStr">
        <is>
          <t>NO</t>
        </is>
      </c>
    </row>
    <row r="232" ht="15.75" customHeight="1" s="67">
      <c r="A232" t="inlineStr">
        <is>
          <t>MTS_BOTTOM_STRONG_THRESHOLD</t>
        </is>
      </c>
      <c r="B232" t="inlineStr">
        <is>
          <t>40</t>
        </is>
      </c>
      <c r="D232" t="inlineStr">
        <is>
          <t>ENTRY, GLOBAL_CHECK, STOCKS_EXIT</t>
        </is>
      </c>
      <c r="G232">
        <f>IFERROR(VLOOKUP($A232&amp;"_"&amp;$B232,Results_Deltas!$A$2:$P$15000,5,FALSE),"")</f>
        <v/>
      </c>
      <c r="H232" t="inlineStr">
        <is>
          <t>Blanket (page end)</t>
        </is>
      </c>
      <c r="L232" t="inlineStr">
        <is>
          <t>NO</t>
        </is>
      </c>
    </row>
    <row r="233" ht="15.75" customHeight="1" s="67">
      <c r="A233" t="inlineStr">
        <is>
          <t>MTS_BOTTOM_STRONG_THRESHOLD</t>
        </is>
      </c>
      <c r="B233" t="inlineStr">
        <is>
          <t>50</t>
        </is>
      </c>
      <c r="D233" t="inlineStr">
        <is>
          <t>ENTRY, GLOBAL_CHECK, STOCKS_EXIT</t>
        </is>
      </c>
      <c r="G233">
        <f>IFERROR(VLOOKUP($A233&amp;"_"&amp;$B233,Results_Deltas!$A$2:$P$15000,5,FALSE),"")</f>
        <v/>
      </c>
      <c r="H233" t="inlineStr">
        <is>
          <t>Blanket (page end)</t>
        </is>
      </c>
      <c r="L233" t="inlineStr">
        <is>
          <t>YES</t>
        </is>
      </c>
    </row>
    <row r="234" ht="15.75" customHeight="1" s="67">
      <c r="A234" t="inlineStr">
        <is>
          <t>MTS_BOTTOM_STRONG_THRESHOLD</t>
        </is>
      </c>
      <c r="B234" t="inlineStr">
        <is>
          <t>30</t>
        </is>
      </c>
      <c r="D234" t="inlineStr">
        <is>
          <t>ENTRY, GLOBAL_CHECK, STOCKS_EXIT</t>
        </is>
      </c>
      <c r="G234">
        <f>IFERROR(VLOOKUP($A234&amp;"_"&amp;$B234,Results_Deltas!$A$2:$P$15000,5,FALSE),"")</f>
        <v/>
      </c>
      <c r="H234" t="inlineStr">
        <is>
          <t>Blanket (page end)</t>
        </is>
      </c>
      <c r="L234" t="inlineStr">
        <is>
          <t>NO</t>
        </is>
      </c>
    </row>
    <row r="235" ht="15.75" customHeight="1" s="67">
      <c r="A235" t="inlineStr">
        <is>
          <t>MTS_BOTTOM_STRONG_THRESHOLD</t>
        </is>
      </c>
      <c r="B235" t="inlineStr">
        <is>
          <t>20</t>
        </is>
      </c>
      <c r="D235" t="inlineStr">
        <is>
          <t>ENTRY, GLOBAL_CHECK, STOCKS_EXIT</t>
        </is>
      </c>
      <c r="G235">
        <f>IFERROR(VLOOKUP($A235&amp;"_"&amp;$B235,Results_Deltas!$A$2:$P$15000,5,FALSE),"")</f>
        <v/>
      </c>
      <c r="H235" t="inlineStr">
        <is>
          <t>Blanket (page end)</t>
        </is>
      </c>
      <c r="L235" t="inlineStr">
        <is>
          <t>NO</t>
        </is>
      </c>
    </row>
    <row r="236" ht="15.75" customHeight="1" s="67">
      <c r="A236" t="inlineStr">
        <is>
          <t>MTS_GATE_ENABLED</t>
        </is>
      </c>
      <c r="B236" t="inlineStr">
        <is>
          <t>False</t>
        </is>
      </c>
      <c r="D236" t="inlineStr">
        <is>
          <t>ENTRY, GLOBAL_CHECK, STOCKS_EXIT</t>
        </is>
      </c>
      <c r="G236">
        <f>IFERROR(VLOOKUP($A236&amp;"_"&amp;$B236,Results_Deltas!$A$2:$P$15000,5,FALSE),"")</f>
        <v/>
      </c>
      <c r="H236" t="inlineStr">
        <is>
          <t>Blanket (page end)</t>
        </is>
      </c>
      <c r="L236" t="inlineStr">
        <is>
          <t>NO</t>
        </is>
      </c>
    </row>
    <row r="237" ht="15.75" customHeight="1" s="67">
      <c r="A237" t="inlineStr">
        <is>
          <t>MTS_GATE_ENABLED</t>
        </is>
      </c>
      <c r="B237" t="inlineStr">
        <is>
          <t>True</t>
        </is>
      </c>
      <c r="D237" t="inlineStr">
        <is>
          <t>ENTRY, GLOBAL_CHECK, STOCKS_EXIT</t>
        </is>
      </c>
      <c r="G237">
        <f>IFERROR(VLOOKUP($A237&amp;"_"&amp;$B237,Results_Deltas!$A$2:$P$15000,5,FALSE),"")</f>
        <v/>
      </c>
      <c r="H237" t="inlineStr">
        <is>
          <t>Blanket (page end)</t>
        </is>
      </c>
      <c r="L237" t="inlineStr">
        <is>
          <t>NO</t>
        </is>
      </c>
    </row>
    <row r="238" ht="15.75" customHeight="1" s="67">
      <c r="A238" t="inlineStr">
        <is>
          <t>NEWBORN_LOSS_KILL_GAIN_THRESHOLD_PCT</t>
        </is>
      </c>
      <c r="B238" t="inlineStr">
        <is>
          <t>0</t>
        </is>
      </c>
      <c r="D238" t="inlineStr">
        <is>
          <t>AUGMENT, EXIT, GLOBAL_CHECK, REDUCE, STOCKS_EXIT</t>
        </is>
      </c>
      <c r="G238">
        <f>IFERROR(VLOOKUP($A238&amp;"_"&amp;$B238,Results_Deltas!$A$2:$P$15000,5,FALSE),"")</f>
        <v/>
      </c>
      <c r="H238" t="inlineStr">
        <is>
          <t>Blanket (page end)</t>
        </is>
      </c>
      <c r="L238" t="inlineStr">
        <is>
          <t>YES</t>
        </is>
      </c>
    </row>
    <row r="239" ht="15.75" customHeight="1" s="67">
      <c r="A239" t="inlineStr">
        <is>
          <t>NEWBORN_LOSS_KILL_GAIN_THRESHOLD_PCT</t>
        </is>
      </c>
      <c r="B239" t="inlineStr">
        <is>
          <t>2.0</t>
        </is>
      </c>
      <c r="D239" t="inlineStr">
        <is>
          <t>AUGMENT, EXIT, GLOBAL_CHECK, REDUCE, STOCKS_EXIT</t>
        </is>
      </c>
      <c r="G239">
        <f>IFERROR(VLOOKUP($A239&amp;"_"&amp;$B239,Results_Deltas!$A$2:$P$15000,5,FALSE),"")</f>
        <v/>
      </c>
      <c r="H239" t="inlineStr">
        <is>
          <t>Blanket (page end)</t>
        </is>
      </c>
      <c r="L239" t="inlineStr">
        <is>
          <t>YES</t>
        </is>
      </c>
    </row>
    <row r="240" ht="15.75" customHeight="1" s="67">
      <c r="A240" t="inlineStr">
        <is>
          <t>NEWBORN_LOSS_KILL_GAIN_THRESHOLD_PCT</t>
        </is>
      </c>
      <c r="B240" t="inlineStr">
        <is>
          <t>1.0</t>
        </is>
      </c>
      <c r="D240" t="inlineStr">
        <is>
          <t>AUGMENT, EXIT, GLOBAL_CHECK, REDUCE, STOCKS_EXIT</t>
        </is>
      </c>
      <c r="G240">
        <f>IFERROR(VLOOKUP($A240&amp;"_"&amp;$B240,Results_Deltas!$A$2:$P$15000,5,FALSE),"")</f>
        <v/>
      </c>
      <c r="H240" t="inlineStr">
        <is>
          <t>Blanket (page end)</t>
        </is>
      </c>
      <c r="L240" t="inlineStr">
        <is>
          <t>NO</t>
        </is>
      </c>
    </row>
    <row r="241" ht="15.75" customHeight="1" s="67">
      <c r="A241" t="inlineStr">
        <is>
          <t>NEWBORN_LOSS_KILL_GAIN_THRESHOLD_PCT</t>
        </is>
      </c>
      <c r="B241" t="inlineStr">
        <is>
          <t>0.5</t>
        </is>
      </c>
      <c r="D241" t="inlineStr">
        <is>
          <t>AUGMENT, EXIT, GLOBAL_CHECK, REDUCE, STOCKS_EXIT</t>
        </is>
      </c>
      <c r="G241">
        <f>IFERROR(VLOOKUP($A241&amp;"_"&amp;$B241,Results_Deltas!$A$2:$P$15000,5,FALSE),"")</f>
        <v/>
      </c>
      <c r="H241" t="inlineStr">
        <is>
          <t>Blanket (page end)</t>
        </is>
      </c>
      <c r="L241" t="inlineStr">
        <is>
          <t>NO</t>
        </is>
      </c>
    </row>
    <row r="242" ht="15.75" customHeight="1" s="67">
      <c r="A242" t="inlineStr">
        <is>
          <t>NEWBORN_LOSS_KILL_REQUIRE_VEL_AGAINST</t>
        </is>
      </c>
      <c r="B242" t="inlineStr">
        <is>
          <t>0.0</t>
        </is>
      </c>
      <c r="D242" t="inlineStr">
        <is>
          <t>AUGMENT, EXIT, GLOBAL_CHECK, REDUCE, STOCKS_EXIT</t>
        </is>
      </c>
      <c r="G242">
        <f>IFERROR(VLOOKUP($A242&amp;"_"&amp;$B242,Results_Deltas!$A$2:$P$15000,5,FALSE),"")</f>
        <v/>
      </c>
      <c r="H242" t="inlineStr">
        <is>
          <t>Blanket (page end)</t>
        </is>
      </c>
      <c r="L242" t="inlineStr">
        <is>
          <t>NO</t>
        </is>
      </c>
    </row>
    <row r="243" ht="15.75" customHeight="1" s="67">
      <c r="A243" t="inlineStr">
        <is>
          <t>NEWBORN_LOSS_KILL_REQUIRE_VEL_AGAINST</t>
        </is>
      </c>
      <c r="B243" t="inlineStr">
        <is>
          <t>0.0_ALT</t>
        </is>
      </c>
      <c r="D243" t="inlineStr">
        <is>
          <t>AUGMENT, EXIT, GLOBAL_CHECK, REDUCE, STOCKS_EXIT</t>
        </is>
      </c>
      <c r="G243">
        <f>IFERROR(VLOOKUP($A243&amp;"_"&amp;$B243,Results_Deltas!$A$2:$P$15000,5,FALSE),"")</f>
        <v/>
      </c>
      <c r="H243" t="inlineStr">
        <is>
          <t>Blanket (page end)</t>
        </is>
      </c>
      <c r="L243" t="inlineStr">
        <is>
          <t>NO</t>
        </is>
      </c>
    </row>
    <row r="244" ht="15.75" customHeight="1" s="67">
      <c r="A244" t="inlineStr">
        <is>
          <t>NEW_POSITION_MAX_LOSS_THRESHOLD</t>
        </is>
      </c>
      <c r="B244" t="inlineStr">
        <is>
          <t>0</t>
        </is>
      </c>
      <c r="D244" t="inlineStr">
        <is>
          <t>AUGMENT, EXIT, GLOBAL_CHECK, REDUCE, STOCKS_EXIT</t>
        </is>
      </c>
      <c r="G244">
        <f>IFERROR(VLOOKUP($A244&amp;"_"&amp;$B244,Results_Deltas!$A$2:$P$15000,5,FALSE),"")</f>
        <v/>
      </c>
      <c r="H244" t="inlineStr">
        <is>
          <t>Blanket (page end)</t>
        </is>
      </c>
      <c r="L244" t="inlineStr">
        <is>
          <t>NO</t>
        </is>
      </c>
    </row>
    <row r="245" ht="15.75" customHeight="1" s="67">
      <c r="A245" t="inlineStr">
        <is>
          <t>NEW_POSITION_MAX_LOSS_THRESHOLD</t>
        </is>
      </c>
      <c r="B245" t="inlineStr">
        <is>
          <t>2.0</t>
        </is>
      </c>
      <c r="D245" t="inlineStr">
        <is>
          <t>AUGMENT, EXIT, GLOBAL_CHECK, REDUCE, STOCKS_EXIT</t>
        </is>
      </c>
      <c r="G245">
        <f>IFERROR(VLOOKUP($A245&amp;"_"&amp;$B245,Results_Deltas!$A$2:$P$15000,5,FALSE),"")</f>
        <v/>
      </c>
      <c r="H245" t="inlineStr">
        <is>
          <t>Blanket (page end)</t>
        </is>
      </c>
      <c r="L245" t="inlineStr">
        <is>
          <t>NO</t>
        </is>
      </c>
    </row>
    <row r="246" ht="15.75" customHeight="1" s="67">
      <c r="A246" t="inlineStr">
        <is>
          <t>NEW_POSITION_MAX_LOSS_THRESHOLD</t>
        </is>
      </c>
      <c r="B246" t="inlineStr">
        <is>
          <t>1.0</t>
        </is>
      </c>
      <c r="D246" t="inlineStr">
        <is>
          <t>AUGMENT, EXIT, GLOBAL_CHECK, REDUCE, STOCKS_EXIT</t>
        </is>
      </c>
      <c r="G246">
        <f>IFERROR(VLOOKUP($A246&amp;"_"&amp;$B246,Results_Deltas!$A$2:$P$15000,5,FALSE),"")</f>
        <v/>
      </c>
      <c r="H246" t="inlineStr">
        <is>
          <t>Blanket (page end)</t>
        </is>
      </c>
      <c r="L246" t="inlineStr">
        <is>
          <t>NO</t>
        </is>
      </c>
    </row>
    <row r="247" ht="15.75" customHeight="1" s="67">
      <c r="A247" t="inlineStr">
        <is>
          <t>NEW_POSITION_MAX_LOSS_THRESHOLD</t>
        </is>
      </c>
      <c r="B247" t="inlineStr">
        <is>
          <t>0.5</t>
        </is>
      </c>
      <c r="D247" t="inlineStr">
        <is>
          <t>AUGMENT, EXIT, GLOBAL_CHECK, REDUCE, STOCKS_EXIT</t>
        </is>
      </c>
      <c r="G247">
        <f>IFERROR(VLOOKUP($A247&amp;"_"&amp;$B247,Results_Deltas!$A$2:$P$15000,5,FALSE),"")</f>
        <v/>
      </c>
      <c r="H247" t="inlineStr">
        <is>
          <t>Blanket (page end)</t>
        </is>
      </c>
      <c r="L247" t="inlineStr">
        <is>
          <t>NO</t>
        </is>
      </c>
    </row>
    <row r="248" ht="15.75" customHeight="1" s="67">
      <c r="A248" t="inlineStr">
        <is>
          <t>OI_CONFIRM_ENABLED</t>
        </is>
      </c>
      <c r="B248" t="inlineStr">
        <is>
          <t>False</t>
        </is>
      </c>
      <c r="D248" t="inlineStr">
        <is>
          <t>ENTRY, GLOBAL_CHECK, STOCKS_EXIT</t>
        </is>
      </c>
      <c r="G248">
        <f>IFERROR(VLOOKUP($A248&amp;"_"&amp;$B248,Results_Deltas!$A$2:$P$15000,5,FALSE),"")</f>
        <v/>
      </c>
      <c r="H248" t="inlineStr">
        <is>
          <t>Blanket (page end)</t>
        </is>
      </c>
      <c r="L248" t="inlineStr">
        <is>
          <t>NO</t>
        </is>
      </c>
    </row>
    <row r="249" ht="15.75" customHeight="1" s="67">
      <c r="A249" t="inlineStr">
        <is>
          <t>OI_CONFIRM_ENABLED</t>
        </is>
      </c>
      <c r="B249" t="inlineStr">
        <is>
          <t>True</t>
        </is>
      </c>
      <c r="D249" t="inlineStr">
        <is>
          <t>ENTRY, GLOBAL_CHECK, STOCKS_EXIT</t>
        </is>
      </c>
      <c r="G249">
        <f>IFERROR(VLOOKUP($A249&amp;"_"&amp;$B249,Results_Deltas!$A$2:$P$15000,5,FALSE),"")</f>
        <v/>
      </c>
      <c r="H249" t="inlineStr">
        <is>
          <t>Blanket (page end)</t>
        </is>
      </c>
      <c r="L249" t="inlineStr">
        <is>
          <t>NO</t>
        </is>
      </c>
    </row>
    <row r="250" ht="15.75" customHeight="1" s="67">
      <c r="A250" t="inlineStr">
        <is>
          <t>OI_CONFIRM_MIN_CHANGE_PCT</t>
        </is>
      </c>
      <c r="B250" t="inlineStr">
        <is>
          <t>0</t>
        </is>
      </c>
      <c r="D250" t="inlineStr">
        <is>
          <t>ENTRY, GLOBAL_CHECK, STOCKS_EXIT</t>
        </is>
      </c>
      <c r="G250">
        <f>IFERROR(VLOOKUP($A250&amp;"_"&amp;$B250,Results_Deltas!$A$2:$P$15000,5,FALSE),"")</f>
        <v/>
      </c>
      <c r="H250" t="inlineStr">
        <is>
          <t>Blanket (page end)</t>
        </is>
      </c>
      <c r="L250" t="inlineStr">
        <is>
          <t>YES</t>
        </is>
      </c>
    </row>
    <row r="251" ht="15.75" customHeight="1" s="67">
      <c r="A251" t="inlineStr">
        <is>
          <t>OI_CONFIRM_MIN_CHANGE_PCT</t>
        </is>
      </c>
      <c r="B251" t="inlineStr">
        <is>
          <t>2.0</t>
        </is>
      </c>
      <c r="D251" t="inlineStr">
        <is>
          <t>ENTRY, GLOBAL_CHECK, STOCKS_EXIT</t>
        </is>
      </c>
      <c r="G251">
        <f>IFERROR(VLOOKUP($A251&amp;"_"&amp;$B251,Results_Deltas!$A$2:$P$15000,5,FALSE),"")</f>
        <v/>
      </c>
      <c r="H251" t="inlineStr">
        <is>
          <t>Blanket (page end)</t>
        </is>
      </c>
      <c r="L251" t="inlineStr">
        <is>
          <t>NO</t>
        </is>
      </c>
    </row>
    <row r="252" ht="15.75" customHeight="1" s="67">
      <c r="A252" t="inlineStr">
        <is>
          <t>OI_CONFIRM_MIN_CHANGE_PCT</t>
        </is>
      </c>
      <c r="B252" t="inlineStr">
        <is>
          <t>1.0</t>
        </is>
      </c>
      <c r="D252" t="inlineStr">
        <is>
          <t>ENTRY, GLOBAL_CHECK, STOCKS_EXIT</t>
        </is>
      </c>
      <c r="G252">
        <f>IFERROR(VLOOKUP($A252&amp;"_"&amp;$B252,Results_Deltas!$A$2:$P$15000,5,FALSE),"")</f>
        <v/>
      </c>
      <c r="H252" t="inlineStr">
        <is>
          <t>Blanket (page end)</t>
        </is>
      </c>
      <c r="L252" t="inlineStr">
        <is>
          <t>NO</t>
        </is>
      </c>
    </row>
    <row r="253" ht="15.75" customHeight="1" s="67">
      <c r="A253" t="inlineStr">
        <is>
          <t>OI_CONFIRM_MIN_CHANGE_PCT</t>
        </is>
      </c>
      <c r="B253" t="inlineStr">
        <is>
          <t>0.5</t>
        </is>
      </c>
      <c r="D253" t="inlineStr">
        <is>
          <t>ENTRY, GLOBAL_CHECK, STOCKS_EXIT</t>
        </is>
      </c>
      <c r="G253">
        <f>IFERROR(VLOOKUP($A253&amp;"_"&amp;$B253,Results_Deltas!$A$2:$P$15000,5,FALSE),"")</f>
        <v/>
      </c>
      <c r="H253" t="inlineStr">
        <is>
          <t>Blanket (page end)</t>
        </is>
      </c>
      <c r="L253" t="inlineStr">
        <is>
          <t>NO</t>
        </is>
      </c>
    </row>
    <row r="254" ht="15.75" customHeight="1" s="67">
      <c r="A254" t="inlineStr">
        <is>
          <t>OI_CONFIRM_MIN_PRICE_PCT</t>
        </is>
      </c>
      <c r="B254" t="inlineStr">
        <is>
          <t>0</t>
        </is>
      </c>
      <c r="D254" t="inlineStr">
        <is>
          <t>ENTRY, GLOBAL_CHECK, STOCKS_EXIT</t>
        </is>
      </c>
      <c r="G254">
        <f>IFERROR(VLOOKUP($A254&amp;"_"&amp;$B254,Results_Deltas!$A$2:$P$15000,5,FALSE),"")</f>
        <v/>
      </c>
      <c r="H254" t="inlineStr">
        <is>
          <t>Blanket (page end)</t>
        </is>
      </c>
      <c r="L254" t="inlineStr">
        <is>
          <t>YES</t>
        </is>
      </c>
    </row>
    <row r="255" ht="15.75" customHeight="1" s="67">
      <c r="A255" t="inlineStr">
        <is>
          <t>OI_CONFIRM_MIN_PRICE_PCT</t>
        </is>
      </c>
      <c r="B255" t="inlineStr">
        <is>
          <t>2.0</t>
        </is>
      </c>
      <c r="D255" t="inlineStr">
        <is>
          <t>ENTRY, GLOBAL_CHECK, STOCKS_EXIT</t>
        </is>
      </c>
      <c r="G255">
        <f>IFERROR(VLOOKUP($A255&amp;"_"&amp;$B255,Results_Deltas!$A$2:$P$15000,5,FALSE),"")</f>
        <v/>
      </c>
      <c r="H255" t="inlineStr">
        <is>
          <t>Blanket (page end)</t>
        </is>
      </c>
      <c r="L255" t="inlineStr">
        <is>
          <t>NO</t>
        </is>
      </c>
    </row>
    <row r="256" ht="15.75" customHeight="1" s="67">
      <c r="A256" t="inlineStr">
        <is>
          <t>OI_CONFIRM_MIN_PRICE_PCT</t>
        </is>
      </c>
      <c r="B256" t="inlineStr">
        <is>
          <t>1.0</t>
        </is>
      </c>
      <c r="D256" t="inlineStr">
        <is>
          <t>ENTRY, GLOBAL_CHECK, STOCKS_EXIT</t>
        </is>
      </c>
      <c r="G256">
        <f>IFERROR(VLOOKUP($A256&amp;"_"&amp;$B256,Results_Deltas!$A$2:$P$15000,5,FALSE),"")</f>
        <v/>
      </c>
      <c r="H256" t="inlineStr">
        <is>
          <t>Blanket (page end)</t>
        </is>
      </c>
      <c r="L256" t="inlineStr">
        <is>
          <t>NO</t>
        </is>
      </c>
    </row>
    <row r="257" ht="15.75" customHeight="1" s="67">
      <c r="A257" t="inlineStr">
        <is>
          <t>OI_CONFIRM_MIN_PRICE_PCT</t>
        </is>
      </c>
      <c r="B257" t="inlineStr">
        <is>
          <t>0.5</t>
        </is>
      </c>
      <c r="D257" t="inlineStr">
        <is>
          <t>ENTRY, GLOBAL_CHECK, STOCKS_EXIT</t>
        </is>
      </c>
      <c r="G257">
        <f>IFERROR(VLOOKUP($A257&amp;"_"&amp;$B257,Results_Deltas!$A$2:$P$15000,5,FALSE),"")</f>
        <v/>
      </c>
      <c r="H257" t="inlineStr">
        <is>
          <t>Blanket (page end)</t>
        </is>
      </c>
      <c r="L257" t="inlineStr">
        <is>
          <t>NO</t>
        </is>
      </c>
    </row>
    <row r="258" ht="15.75" customHeight="1" s="67">
      <c r="A258" t="inlineStr">
        <is>
          <t>WT_CROSS_EXIT_ENABLED</t>
        </is>
      </c>
      <c r="B258" t="inlineStr">
        <is>
          <t>False</t>
        </is>
      </c>
      <c r="G258">
        <f>IFERROR(VLOOKUP($A258&amp;"_"&amp;$B258,Results_Deltas!$A$2:$P$15000,5,FALSE),"")</f>
        <v/>
      </c>
      <c r="H258">
        <f>IFERROR(VLOOKUP($A259,Results_30d_Deltas!$A$2:$H$5000,7,FALSE)-E3,"")</f>
        <v/>
      </c>
      <c r="I258">
        <f>IFERROR(VLOOKUP($A259,Results_30d_Deltas!$A$2:$H$5000,6,FALSE),"")</f>
        <v/>
      </c>
      <c r="L258" t="inlineStr">
        <is>
          <t>NO</t>
        </is>
      </c>
      <c r="IK258" t="inlineStr">
        <is>
          <t>ez_manage.py:1751 top()</t>
        </is>
      </c>
      <c r="IL258" t="inlineStr">
        <is>
          <t>v12_quick_engine.py:2439 x5</t>
        </is>
      </c>
    </row>
    <row r="259">
      <c r="A259" t="inlineStr">
        <is>
          <t>EXIT_VELOCITY_WT_TFS</t>
        </is>
      </c>
      <c r="B259" t="inlineStr">
        <is>
          <t>1h,4h,D</t>
        </is>
      </c>
    </row>
    <row r="260">
      <c r="A260" t="inlineStr">
        <is>
          <t>EXIT_VELOCITY_WT_TFS</t>
        </is>
      </c>
      <c r="B260" t="inlineStr">
        <is>
          <t>15m,1h,4h,D</t>
        </is>
      </c>
    </row>
    <row r="261">
      <c r="A261" t="inlineStr">
        <is>
          <t>EXIT_VELOCITY_WT_TFS</t>
        </is>
      </c>
      <c r="B261" t="inlineStr">
        <is>
          <t>1h,4h</t>
        </is>
      </c>
    </row>
    <row r="262">
      <c r="A262" t="inlineStr">
        <is>
          <t>EXIT_VELOCITY_WT_TFS</t>
        </is>
      </c>
      <c r="B262" t="inlineStr">
        <is>
          <t>4h,D</t>
        </is>
      </c>
    </row>
    <row r="263">
      <c r="A263" t="inlineStr">
        <is>
          <t>EXIT_VELOCITY_WT_TFS</t>
        </is>
      </c>
      <c r="B263" t="inlineStr">
        <is>
          <t>15m,1h</t>
        </is>
      </c>
    </row>
    <row r="264">
      <c r="A264" t="inlineStr">
        <is>
          <t>DC_HARD_STOP_TF=4h</t>
        </is>
      </c>
      <c r="B264" t="inlineStr">
        <is>
          <t>4h</t>
        </is>
      </c>
      <c r="D264" t="inlineStr">
        <is>
          <t>EXIT</t>
        </is>
      </c>
      <c r="E264" t="inlineStr">
        <is>
          <t>4h</t>
        </is>
      </c>
      <c r="L264" t="inlineStr">
        <is>
          <t>YES</t>
        </is>
      </c>
    </row>
    <row r="265">
      <c r="A265" t="inlineStr">
        <is>
          <t>DC_HARD_STOP_TF=D</t>
        </is>
      </c>
      <c r="B265" t="inlineStr">
        <is>
          <t>D</t>
        </is>
      </c>
      <c r="D265" t="inlineStr">
        <is>
          <t>EXIT</t>
        </is>
      </c>
      <c r="E265" t="inlineStr">
        <is>
          <t>D</t>
        </is>
      </c>
      <c r="L265" t="inlineStr">
        <is>
          <t>NO</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06 REENTRY_WINDOWED - 72 bases -&gt; 428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GUARANTEED_REENTRY_K_FAVORABLE_HIGH</t>
        </is>
      </c>
      <c r="B3" t="inlineStr">
        <is>
          <t>35.0</t>
        </is>
      </c>
      <c r="G3">
        <f>IFERROR(VLOOKUP($A3&amp;"="&amp;$B3,Results_Deltas!$A$2:$P$15000,5,FALSE),"")</f>
        <v/>
      </c>
      <c r="H3">
        <f>IFERROR(VLOOKUP($A3,Results_30d_Deltas!$A$2:$H$5000,7,FALSE)-E3,"")</f>
        <v/>
      </c>
      <c r="I3">
        <f>IFERROR(VLOOKUP($A3,Results_30d_Deltas!$A$2:$H$5000,6,FALSE),"")</f>
        <v/>
      </c>
      <c r="L3" t="inlineStr">
        <is>
          <t>NO</t>
        </is>
      </c>
      <c r="IK3" t="inlineStr">
        <is>
          <t>ez_manage.py:4774 top()</t>
        </is>
      </c>
      <c r="IL3" t="inlineStr">
        <is>
          <t>v12_quick_engine.py:1941 x4</t>
        </is>
      </c>
    </row>
    <row r="4" ht="10.5" customHeight="1" s="67">
      <c r="A4" t="inlineStr">
        <is>
          <t>GUARANTEED_REENTRY_K_FAVORABLE_HIGH</t>
        </is>
      </c>
      <c r="B4" t="inlineStr">
        <is>
          <t>52.5</t>
        </is>
      </c>
      <c r="G4">
        <f>IFERROR(VLOOKUP($A4&amp;"_"&amp;$B4,Results_Deltas!$A$2:$P$15000,5,FALSE),"")</f>
        <v/>
      </c>
      <c r="H4">
        <f>IFERROR(VLOOKUP($A4,Results_30d_Deltas!$A$2:$H$5000,7,FALSE)-E3,"")</f>
        <v/>
      </c>
      <c r="I4">
        <f>IFERROR(VLOOKUP($A4,Results_30d_Deltas!$A$2:$H$5000,6,FALSE),"")</f>
        <v/>
      </c>
      <c r="L4" t="inlineStr">
        <is>
          <t>NO</t>
        </is>
      </c>
      <c r="IK4" t="inlineStr">
        <is>
          <t>ez_manage.py:4774 top()</t>
        </is>
      </c>
      <c r="IL4" t="inlineStr">
        <is>
          <t>v12_quick_engine.py:1941 x4</t>
        </is>
      </c>
    </row>
    <row r="5" ht="10.5" customHeight="1" s="67">
      <c r="A5" t="inlineStr">
        <is>
          <t>GUARANTEED_REENTRY_K_FAVORABLE_HIGH</t>
        </is>
      </c>
      <c r="B5" t="inlineStr">
        <is>
          <t>70.0</t>
        </is>
      </c>
      <c r="G5">
        <f>IFERROR(VLOOKUP($A5&amp;"_"&amp;$B5,Results_Deltas!$A$2:$P$15000,5,FALSE),"")</f>
        <v/>
      </c>
      <c r="H5">
        <f>IFERROR(VLOOKUP($A5,Results_30d_Deltas!$A$2:$H$5000,7,FALSE)-E4,"")</f>
        <v/>
      </c>
      <c r="I5">
        <f>IFERROR(VLOOKUP($A5,Results_30d_Deltas!$A$2:$H$5000,6,FALSE),"")</f>
        <v/>
      </c>
      <c r="L5" t="inlineStr">
        <is>
          <t>YES</t>
        </is>
      </c>
      <c r="IK5" t="inlineStr">
        <is>
          <t>ez_manage.py:4774 top()</t>
        </is>
      </c>
      <c r="IL5" t="inlineStr">
        <is>
          <t>v12_quick_engine.py:1941 x4</t>
        </is>
      </c>
    </row>
    <row r="6" ht="10.5" customHeight="1" s="67">
      <c r="A6" t="inlineStr">
        <is>
          <t>GUARANTEED_REENTRY_K_FAVORABLE_HIGH</t>
        </is>
      </c>
      <c r="B6" t="inlineStr">
        <is>
          <t>87.5</t>
        </is>
      </c>
      <c r="G6">
        <f>IFERROR(VLOOKUP($A6&amp;"_"&amp;$B6,Results_Deltas!$A$2:$P$15000,5,FALSE),"")</f>
        <v/>
      </c>
      <c r="H6">
        <f>IFERROR(VLOOKUP($A6,Results_30d_Deltas!$A$2:$H$5000,7,FALSE)-E5,"")</f>
        <v/>
      </c>
      <c r="I6">
        <f>IFERROR(VLOOKUP($A6,Results_30d_Deltas!$A$2:$H$5000,6,FALSE),"")</f>
        <v/>
      </c>
      <c r="L6" t="inlineStr">
        <is>
          <t>NO</t>
        </is>
      </c>
      <c r="IK6" t="inlineStr">
        <is>
          <t>ez_manage.py:4774 top()</t>
        </is>
      </c>
      <c r="IL6" t="inlineStr">
        <is>
          <t>v12_quick_engine.py:1941 x4</t>
        </is>
      </c>
    </row>
    <row r="7" ht="10.5" customHeight="1" s="67">
      <c r="A7" t="inlineStr">
        <is>
          <t>GUARANTEED_REENTRY_K_FAVORABLE_HIGH</t>
        </is>
      </c>
      <c r="B7" t="inlineStr">
        <is>
          <t>105.0</t>
        </is>
      </c>
      <c r="G7">
        <f>IFERROR(VLOOKUP($A7&amp;"_"&amp;$B7,Results_Deltas!$A$2:$P$15000,5,FALSE),"")</f>
        <v/>
      </c>
      <c r="H7">
        <f>IFERROR(VLOOKUP($A7,Results_30d_Deltas!$A$2:$H$5000,7,FALSE)-E6,"")</f>
        <v/>
      </c>
      <c r="I7">
        <f>IFERROR(VLOOKUP($A7,Results_30d_Deltas!$A$2:$H$5000,6,FALSE),"")</f>
        <v/>
      </c>
      <c r="L7" t="inlineStr">
        <is>
          <t>NO</t>
        </is>
      </c>
      <c r="IK7" t="inlineStr">
        <is>
          <t>ez_manage.py:4774 top()</t>
        </is>
      </c>
      <c r="IL7" t="inlineStr">
        <is>
          <t>v12_quick_engine.py:1941 x4</t>
        </is>
      </c>
    </row>
    <row r="8" ht="10.5" customHeight="1" s="67">
      <c r="A8" t="inlineStr">
        <is>
          <t>GUARANTEED_REENTRY_K_FAVORABLE_LOW</t>
        </is>
      </c>
      <c r="B8" t="inlineStr">
        <is>
          <t>15.0</t>
        </is>
      </c>
      <c r="G8">
        <f>IFERROR(VLOOKUP($A8&amp;"_"&amp;$B8,Results_Deltas!$A$2:$P$15000,5,FALSE),"")</f>
        <v/>
      </c>
      <c r="H8">
        <f>IFERROR(VLOOKUP($A8,Results_30d_Deltas!$A$2:$H$5000,7,FALSE)-E7,"")</f>
        <v/>
      </c>
      <c r="I8">
        <f>IFERROR(VLOOKUP($A8,Results_30d_Deltas!$A$2:$H$5000,6,FALSE),"")</f>
        <v/>
      </c>
      <c r="L8" t="inlineStr">
        <is>
          <t>NO</t>
        </is>
      </c>
      <c r="IK8" t="inlineStr">
        <is>
          <t>ez_manage.py:4775 top()</t>
        </is>
      </c>
      <c r="IL8" t="inlineStr">
        <is>
          <t>v12_quick_engine.py:1942 x4</t>
        </is>
      </c>
    </row>
    <row r="9" ht="10.5" customHeight="1" s="67">
      <c r="A9" t="inlineStr">
        <is>
          <t>GUARANTEED_REENTRY_K_FAVORABLE_LOW</t>
        </is>
      </c>
      <c r="B9" t="inlineStr">
        <is>
          <t>22.5</t>
        </is>
      </c>
      <c r="G9">
        <f>IFERROR(VLOOKUP($A9&amp;"_"&amp;$B9,Results_Deltas!$A$2:$P$15000,5,FALSE),"")</f>
        <v/>
      </c>
      <c r="H9">
        <f>IFERROR(VLOOKUP($A9,Results_30d_Deltas!$A$2:$H$5000,7,FALSE)-E8,"")</f>
        <v/>
      </c>
      <c r="I9">
        <f>IFERROR(VLOOKUP($A9,Results_30d_Deltas!$A$2:$H$5000,6,FALSE),"")</f>
        <v/>
      </c>
      <c r="L9" t="inlineStr">
        <is>
          <t>NO</t>
        </is>
      </c>
      <c r="IK9" t="inlineStr">
        <is>
          <t>ez_manage.py:4775 top()</t>
        </is>
      </c>
      <c r="IL9" t="inlineStr">
        <is>
          <t>v12_quick_engine.py:1942 x4</t>
        </is>
      </c>
    </row>
    <row r="10" ht="10.5" customHeight="1" s="67">
      <c r="A10" t="inlineStr">
        <is>
          <t>GUARANTEED_REENTRY_K_FAVORABLE_LOW</t>
        </is>
      </c>
      <c r="B10" t="inlineStr">
        <is>
          <t>30.0</t>
        </is>
      </c>
      <c r="G10">
        <f>IFERROR(VLOOKUP($A10&amp;"_"&amp;$B10,Results_Deltas!$A$2:$P$15000,5,FALSE),"")</f>
        <v/>
      </c>
      <c r="H10">
        <f>IFERROR(VLOOKUP($A10,Results_30d_Deltas!$A$2:$H$5000,7,FALSE)-E9,"")</f>
        <v/>
      </c>
      <c r="I10">
        <f>IFERROR(VLOOKUP($A10,Results_30d_Deltas!$A$2:$H$5000,6,FALSE),"")</f>
        <v/>
      </c>
      <c r="L10" t="inlineStr">
        <is>
          <t>YES</t>
        </is>
      </c>
      <c r="IK10" t="inlineStr">
        <is>
          <t>ez_manage.py:4775 top()</t>
        </is>
      </c>
      <c r="IL10" t="inlineStr">
        <is>
          <t>v12_quick_engine.py:1942 x4</t>
        </is>
      </c>
    </row>
    <row r="11" ht="10.5" customHeight="1" s="67">
      <c r="A11" t="inlineStr">
        <is>
          <t>GUARANTEED_REENTRY_K_FAVORABLE_LOW</t>
        </is>
      </c>
      <c r="B11" t="inlineStr">
        <is>
          <t>37.5</t>
        </is>
      </c>
      <c r="G11">
        <f>IFERROR(VLOOKUP($A11&amp;"_"&amp;$B11,Results_Deltas!$A$2:$P$15000,5,FALSE),"")</f>
        <v/>
      </c>
      <c r="H11">
        <f>IFERROR(VLOOKUP($A11,Results_30d_Deltas!$A$2:$H$5000,7,FALSE)-E10,"")</f>
        <v/>
      </c>
      <c r="I11">
        <f>IFERROR(VLOOKUP($A11,Results_30d_Deltas!$A$2:$H$5000,6,FALSE),"")</f>
        <v/>
      </c>
      <c r="L11" t="inlineStr">
        <is>
          <t>NO</t>
        </is>
      </c>
      <c r="IK11" t="inlineStr">
        <is>
          <t>ez_manage.py:4775 top()</t>
        </is>
      </c>
      <c r="IL11" t="inlineStr">
        <is>
          <t>v12_quick_engine.py:1942 x4</t>
        </is>
      </c>
    </row>
    <row r="12" ht="10.5" customHeight="1" s="67">
      <c r="A12" t="inlineStr">
        <is>
          <t>GUARANTEED_REENTRY_K_FAVORABLE_LOW</t>
        </is>
      </c>
      <c r="B12" t="inlineStr">
        <is>
          <t>45.0</t>
        </is>
      </c>
      <c r="G12">
        <f>IFERROR(VLOOKUP($A12&amp;"_"&amp;$B12,Results_Deltas!$A$2:$P$15000,5,FALSE),"")</f>
        <v/>
      </c>
      <c r="H12">
        <f>IFERROR(VLOOKUP($A12,Results_30d_Deltas!$A$2:$H$5000,7,FALSE)-E11,"")</f>
        <v/>
      </c>
      <c r="I12">
        <f>IFERROR(VLOOKUP($A12,Results_30d_Deltas!$A$2:$H$5000,6,FALSE),"")</f>
        <v/>
      </c>
      <c r="L12" t="inlineStr">
        <is>
          <t>NO</t>
        </is>
      </c>
      <c r="IK12" t="inlineStr">
        <is>
          <t>ez_manage.py:4775 top()</t>
        </is>
      </c>
      <c r="IL12" t="inlineStr">
        <is>
          <t>v12_quick_engine.py:1942 x4</t>
        </is>
      </c>
    </row>
    <row r="13" ht="10.5" customHeight="1" s="67">
      <c r="A13" t="inlineStr">
        <is>
          <t>BOUNCE_REENTRY_ENABLED</t>
        </is>
      </c>
      <c r="B13" t="inlineStr">
        <is>
          <t>False</t>
        </is>
      </c>
      <c r="G13">
        <f>IFERROR(VLOOKUP($A13&amp;"_"&amp;$B13,Results_Deltas!$A$2:$P$15000,5,FALSE),"")</f>
        <v/>
      </c>
      <c r="H13">
        <f>IFERROR(VLOOKUP($A13,Results_30d_Deltas!$A$2:$H$5000,7,FALSE)-E12,"")</f>
        <v/>
      </c>
      <c r="I13">
        <f>IFERROR(VLOOKUP($A13,Results_30d_Deltas!$A$2:$H$5000,6,FALSE),"")</f>
        <v/>
      </c>
      <c r="L13" t="inlineStr">
        <is>
          <t>NO</t>
        </is>
      </c>
      <c r="IK13" t="inlineStr">
        <is>
          <t>ez_manage.py:2985 top()</t>
        </is>
      </c>
      <c r="IL13" t="inlineStr">
        <is>
          <t>v12_quick_engine.py:315 x14</t>
        </is>
      </c>
    </row>
    <row r="14" ht="10.5" customHeight="1" s="67">
      <c r="A14" t="inlineStr">
        <is>
          <t>BOUNCE_REENTRY_ENABLED</t>
        </is>
      </c>
      <c r="B14" t="b">
        <v>0</v>
      </c>
      <c r="G14">
        <f>IFERROR(VLOOKUP($A14&amp;"_"&amp;$B14,Results_Deltas!$A$2:$P$15000,5,FALSE),"")</f>
        <v/>
      </c>
      <c r="H14">
        <f>IFERROR(VLOOKUP($A14,Results_30d_Deltas!$A$2:$H$5000,7,FALSE)-E13,"")</f>
        <v/>
      </c>
      <c r="I14">
        <f>IFERROR(VLOOKUP($A14,Results_30d_Deltas!$A$2:$H$5000,6,FALSE),"")</f>
        <v/>
      </c>
      <c r="L14" t="inlineStr">
        <is>
          <t>YES</t>
        </is>
      </c>
      <c r="IK14" t="inlineStr">
        <is>
          <t>ez_manage.py:2985 top()</t>
        </is>
      </c>
      <c r="IL14" t="inlineStr">
        <is>
          <t>v12_quick_engine.py:315 x14</t>
        </is>
      </c>
    </row>
    <row r="15" ht="10.5" customHeight="1" s="67">
      <c r="A15" t="inlineStr">
        <is>
          <t>DELTA_EXIT_MANDATORY_REENTRY_ENABLED</t>
        </is>
      </c>
      <c r="B15" t="inlineStr">
        <is>
          <t>False</t>
        </is>
      </c>
      <c r="G15">
        <f>IFERROR(VLOOKUP($A15&amp;"_"&amp;$B15,Results_Deltas!$A$2:$P$15000,5,FALSE),"")</f>
        <v/>
      </c>
      <c r="H15">
        <f>IFERROR(VLOOKUP($A15,Results_30d_Deltas!$A$2:$H$5000,7,FALSE)-E14,"")</f>
        <v/>
      </c>
      <c r="I15">
        <f>IFERROR(VLOOKUP($A15,Results_30d_Deltas!$A$2:$H$5000,6,FALSE),"")</f>
        <v/>
      </c>
      <c r="L15" t="inlineStr">
        <is>
          <t>YES</t>
        </is>
      </c>
      <c r="IK15" t="inlineStr">
        <is>
          <t>ez_manage.py:5975 top()</t>
        </is>
      </c>
      <c r="IL15" t="inlineStr">
        <is>
          <t>v12_quick_engine.py:4235 x4</t>
        </is>
      </c>
    </row>
    <row r="16" ht="10.5" customHeight="1" s="67">
      <c r="A16" t="inlineStr">
        <is>
          <t>DELTA_EXIT_MANDATORY_REENTRY_ENABLED</t>
        </is>
      </c>
      <c r="B16" t="inlineStr">
        <is>
          <t>True</t>
        </is>
      </c>
      <c r="G16">
        <f>IFERROR(VLOOKUP($A16&amp;"_"&amp;$B16,Results_Deltas!$A$2:$P$15000,5,FALSE),"")</f>
        <v/>
      </c>
      <c r="H16">
        <f>IFERROR(VLOOKUP($A16,Results_30d_Deltas!$A$2:$H$5000,7,FALSE)-E15,"")</f>
        <v/>
      </c>
      <c r="I16">
        <f>IFERROR(VLOOKUP($A16,Results_30d_Deltas!$A$2:$H$5000,6,FALSE),"")</f>
        <v/>
      </c>
      <c r="L16" t="inlineStr">
        <is>
          <t>NO</t>
        </is>
      </c>
      <c r="IK16" t="inlineStr">
        <is>
          <t>ez_manage.py:5975 top()</t>
        </is>
      </c>
      <c r="IL16" t="inlineStr">
        <is>
          <t>v12_quick_engine.py:4235 x4</t>
        </is>
      </c>
    </row>
    <row r="17" ht="10.5" customHeight="1" s="67">
      <c r="A17" t="inlineStr">
        <is>
          <t>BOUNCE_REENTRY_K_RESET_LONG</t>
        </is>
      </c>
      <c r="B17" t="inlineStr">
        <is>
          <t>0</t>
        </is>
      </c>
      <c r="G17">
        <f>IFERROR(VLOOKUP($A17&amp;"_"&amp;$B17,Results_Deltas!$A$2:$P$15000,5,FALSE),"")</f>
        <v/>
      </c>
      <c r="H17">
        <f>IFERROR(VLOOKUP($A17,Results_30d_Deltas!$A$2:$H$5000,7,FALSE)-E16,"")</f>
        <v/>
      </c>
      <c r="I17">
        <f>IFERROR(VLOOKUP($A17,Results_30d_Deltas!$A$2:$H$5000,6,FALSE),"")</f>
        <v/>
      </c>
      <c r="L17" t="inlineStr">
        <is>
          <t>NO</t>
        </is>
      </c>
      <c r="IK17" t="inlineStr">
        <is>
          <t>ez_manage.py:2986 top()</t>
        </is>
      </c>
      <c r="IL17" t="inlineStr">
        <is>
          <t>v12_quick_engine.py:321 x13</t>
        </is>
      </c>
    </row>
    <row r="18" ht="10.5" customHeight="1" s="67">
      <c r="A18" t="inlineStr">
        <is>
          <t>BOUNCE_REENTRY_K_RESET_LONG</t>
        </is>
      </c>
      <c r="B18" t="inlineStr">
        <is>
          <t>0.5</t>
        </is>
      </c>
      <c r="G18">
        <f>IFERROR(VLOOKUP($A18&amp;"_"&amp;$B18,Results_Deltas!$A$2:$P$15000,5,FALSE),"")</f>
        <v/>
      </c>
      <c r="H18">
        <f>IFERROR(VLOOKUP($A18,Results_30d_Deltas!$A$2:$H$5000,7,FALSE)-E17,"")</f>
        <v/>
      </c>
      <c r="I18">
        <f>IFERROR(VLOOKUP($A18,Results_30d_Deltas!$A$2:$H$5000,6,FALSE),"")</f>
        <v/>
      </c>
      <c r="L18" t="inlineStr">
        <is>
          <t>NO</t>
        </is>
      </c>
      <c r="IK18" t="inlineStr">
        <is>
          <t>ez_manage.py:2986 top()</t>
        </is>
      </c>
      <c r="IL18" t="inlineStr">
        <is>
          <t>v12_quick_engine.py:321 x13</t>
        </is>
      </c>
    </row>
    <row r="19" ht="10.5" customHeight="1" s="67">
      <c r="A19" t="inlineStr">
        <is>
          <t>BOUNCE_REENTRY_K_RESET_LONG</t>
        </is>
      </c>
      <c r="B19" t="inlineStr">
        <is>
          <t>1.0</t>
        </is>
      </c>
      <c r="G19">
        <f>IFERROR(VLOOKUP($A19&amp;"_"&amp;$B19,Results_Deltas!$A$2:$P$15000,5,FALSE),"")</f>
        <v/>
      </c>
      <c r="H19">
        <f>IFERROR(VLOOKUP($A19,Results_30d_Deltas!$A$2:$H$5000,7,FALSE)-E18,"")</f>
        <v/>
      </c>
      <c r="I19">
        <f>IFERROR(VLOOKUP($A19,Results_30d_Deltas!$A$2:$H$5000,6,FALSE),"")</f>
        <v/>
      </c>
      <c r="L19" t="inlineStr">
        <is>
          <t>NO</t>
        </is>
      </c>
      <c r="IK19" t="inlineStr">
        <is>
          <t>ez_manage.py:2986 top()</t>
        </is>
      </c>
      <c r="IL19" t="inlineStr">
        <is>
          <t>v12_quick_engine.py:321 x13</t>
        </is>
      </c>
    </row>
    <row r="20" ht="10.5" customHeight="1" s="67">
      <c r="A20" t="inlineStr">
        <is>
          <t>BOUNCE_REENTRY_K_RESET_LONG</t>
        </is>
      </c>
      <c r="B20" t="inlineStr">
        <is>
          <t>2.0</t>
        </is>
      </c>
      <c r="G20">
        <f>IFERROR(VLOOKUP($A20&amp;"_"&amp;$B20,Results_Deltas!$A$2:$P$15000,5,FALSE),"")</f>
        <v/>
      </c>
      <c r="H20">
        <f>IFERROR(VLOOKUP($A20,Results_30d_Deltas!$A$2:$H$5000,7,FALSE)-E19,"")</f>
        <v/>
      </c>
      <c r="I20">
        <f>IFERROR(VLOOKUP($A20,Results_30d_Deltas!$A$2:$H$5000,6,FALSE),"")</f>
        <v/>
      </c>
      <c r="L20" t="inlineStr">
        <is>
          <t>NO</t>
        </is>
      </c>
      <c r="IK20" t="inlineStr">
        <is>
          <t>ez_manage.py:2986 top()</t>
        </is>
      </c>
      <c r="IL20" t="inlineStr">
        <is>
          <t>v12_quick_engine.py:321 x13</t>
        </is>
      </c>
    </row>
    <row r="21" ht="10.5" customHeight="1" s="67">
      <c r="A21" t="inlineStr">
        <is>
          <t>BOUNCE_REENTRY_K_RESET_SHORT</t>
        </is>
      </c>
      <c r="B21" t="inlineStr">
        <is>
          <t>0</t>
        </is>
      </c>
      <c r="G21">
        <f>IFERROR(VLOOKUP($A21&amp;"_"&amp;$B21,Results_Deltas!$A$2:$P$15000,5,FALSE),"")</f>
        <v/>
      </c>
      <c r="H21">
        <f>IFERROR(VLOOKUP($A21,Results_30d_Deltas!$A$2:$H$5000,7,FALSE)-E20,"")</f>
        <v/>
      </c>
      <c r="I21">
        <f>IFERROR(VLOOKUP($A21,Results_30d_Deltas!$A$2:$H$5000,6,FALSE),"")</f>
        <v/>
      </c>
      <c r="L21" t="inlineStr">
        <is>
          <t>NO</t>
        </is>
      </c>
      <c r="IK21" t="inlineStr">
        <is>
          <t>ez_manage.py:2987 top()</t>
        </is>
      </c>
      <c r="IL21" t="inlineStr">
        <is>
          <t>v12_quick_engine.py:327 x13</t>
        </is>
      </c>
    </row>
    <row r="22" ht="10.5" customHeight="1" s="67">
      <c r="A22" t="inlineStr">
        <is>
          <t>BOUNCE_REENTRY_K_RESET_SHORT</t>
        </is>
      </c>
      <c r="B22" t="inlineStr">
        <is>
          <t>0.5</t>
        </is>
      </c>
      <c r="G22">
        <f>IFERROR(VLOOKUP($A22&amp;"_"&amp;$B22,Results_Deltas!$A$2:$P$15000,5,FALSE),"")</f>
        <v/>
      </c>
      <c r="H22">
        <f>IFERROR(VLOOKUP($A22,Results_30d_Deltas!$A$2:$H$5000,7,FALSE)-E21,"")</f>
        <v/>
      </c>
      <c r="I22">
        <f>IFERROR(VLOOKUP($A22,Results_30d_Deltas!$A$2:$H$5000,6,FALSE),"")</f>
        <v/>
      </c>
      <c r="L22" t="inlineStr">
        <is>
          <t>NO</t>
        </is>
      </c>
      <c r="IK22" t="inlineStr">
        <is>
          <t>ez_manage.py:2987 top()</t>
        </is>
      </c>
      <c r="IL22" t="inlineStr">
        <is>
          <t>v12_quick_engine.py:327 x13</t>
        </is>
      </c>
    </row>
    <row r="23" ht="10.5" customHeight="1" s="67">
      <c r="A23" t="inlineStr">
        <is>
          <t>BOUNCE_REENTRY_K_RESET_SHORT</t>
        </is>
      </c>
      <c r="B23" t="inlineStr">
        <is>
          <t>1.0</t>
        </is>
      </c>
      <c r="G23">
        <f>IFERROR(VLOOKUP($A23&amp;"_"&amp;$B23,Results_Deltas!$A$2:$P$15000,5,FALSE),"")</f>
        <v/>
      </c>
      <c r="H23">
        <f>IFERROR(VLOOKUP($A23,Results_30d_Deltas!$A$2:$H$5000,7,FALSE)-E22,"")</f>
        <v/>
      </c>
      <c r="I23">
        <f>IFERROR(VLOOKUP($A23,Results_30d_Deltas!$A$2:$H$5000,6,FALSE),"")</f>
        <v/>
      </c>
      <c r="L23" t="inlineStr">
        <is>
          <t>NO</t>
        </is>
      </c>
      <c r="IK23" t="inlineStr">
        <is>
          <t>ez_manage.py:2987 top()</t>
        </is>
      </c>
      <c r="IL23" t="inlineStr">
        <is>
          <t>v12_quick_engine.py:327 x13</t>
        </is>
      </c>
    </row>
    <row r="24" ht="10.5" customHeight="1" s="67">
      <c r="A24" t="inlineStr">
        <is>
          <t>BOUNCE_REENTRY_K_RESET_SHORT</t>
        </is>
      </c>
      <c r="B24" t="inlineStr">
        <is>
          <t>2.0</t>
        </is>
      </c>
      <c r="G24">
        <f>IFERROR(VLOOKUP($A24&amp;"_"&amp;$B24,Results_Deltas!$A$2:$P$15000,5,FALSE),"")</f>
        <v/>
      </c>
      <c r="H24">
        <f>IFERROR(VLOOKUP($A24,Results_30d_Deltas!$A$2:$H$5000,7,FALSE)-E23,"")</f>
        <v/>
      </c>
      <c r="I24">
        <f>IFERROR(VLOOKUP($A24,Results_30d_Deltas!$A$2:$H$5000,6,FALSE),"")</f>
        <v/>
      </c>
      <c r="L24" t="inlineStr">
        <is>
          <t>NO</t>
        </is>
      </c>
      <c r="IK24" t="inlineStr">
        <is>
          <t>ez_manage.py:2987 top()</t>
        </is>
      </c>
      <c r="IL24" t="inlineStr">
        <is>
          <t>v12_quick_engine.py:327 x13</t>
        </is>
      </c>
    </row>
    <row r="25" ht="10.5" customHeight="1" s="67">
      <c r="A25" t="inlineStr">
        <is>
          <t>BTC_GUARANTEED_REENTRY_ENABLED</t>
        </is>
      </c>
      <c r="B25" t="inlineStr">
        <is>
          <t>False</t>
        </is>
      </c>
      <c r="G25">
        <f>IFERROR(VLOOKUP($A25&amp;"_"&amp;$B25,Results_Deltas!$A$2:$P$15000,5,FALSE),"")</f>
        <v/>
      </c>
      <c r="H25">
        <f>IFERROR(VLOOKUP($A25,Results_30d_Deltas!$A$2:$H$5000,7,FALSE)-E24,"")</f>
        <v/>
      </c>
      <c r="I25">
        <f>IFERROR(VLOOKUP($A25,Results_30d_Deltas!$A$2:$H$5000,6,FALSE),"")</f>
        <v/>
      </c>
      <c r="L25" t="inlineStr">
        <is>
          <t>NO</t>
        </is>
      </c>
      <c r="IK25" t="inlineStr">
        <is>
          <t>ez_manage.py:4470 top()</t>
        </is>
      </c>
      <c r="IL25" t="inlineStr">
        <is>
          <t>v12_quick_engine.py:415 x8</t>
        </is>
      </c>
    </row>
    <row r="26" ht="10.5" customHeight="1" s="67">
      <c r="A26" t="inlineStr">
        <is>
          <t>BTC_GUARANTEED_REENTRY_ENABLED</t>
        </is>
      </c>
      <c r="B26" t="b">
        <v>0</v>
      </c>
      <c r="G26">
        <f>IFERROR(VLOOKUP($A26&amp;"_"&amp;$B26,Results_Deltas!$A$2:$P$15000,5,FALSE),"")</f>
        <v/>
      </c>
      <c r="H26">
        <f>IFERROR(VLOOKUP($A26,Results_30d_Deltas!$A$2:$H$5000,7,FALSE)-E25,"")</f>
        <v/>
      </c>
      <c r="I26">
        <f>IFERROR(VLOOKUP($A26,Results_30d_Deltas!$A$2:$H$5000,6,FALSE),"")</f>
        <v/>
      </c>
      <c r="L26" t="inlineStr">
        <is>
          <t>YES</t>
        </is>
      </c>
      <c r="IK26" t="inlineStr">
        <is>
          <t>ez_manage.py:4470 top()</t>
        </is>
      </c>
      <c r="IL26" t="inlineStr">
        <is>
          <t>v12_quick_engine.py:415 x8</t>
        </is>
      </c>
    </row>
    <row r="27" ht="10.5" customHeight="1" s="67">
      <c r="A27" t="inlineStr">
        <is>
          <t>BTC_GUARANTEED_REENTRY_MAX_AGE_BARS</t>
        </is>
      </c>
      <c r="B27" t="inlineStr">
        <is>
          <t>0</t>
        </is>
      </c>
      <c r="G27">
        <f>IFERROR(VLOOKUP($A27&amp;"_"&amp;$B27,Results_Deltas!$A$2:$P$15000,5,FALSE),"")</f>
        <v/>
      </c>
      <c r="H27">
        <f>IFERROR(VLOOKUP($A27,Results_30d_Deltas!$A$2:$H$5000,7,FALSE)-E26,"")</f>
        <v/>
      </c>
      <c r="I27">
        <f>IFERROR(VLOOKUP($A27,Results_30d_Deltas!$A$2:$H$5000,6,FALSE),"")</f>
        <v/>
      </c>
      <c r="L27" t="inlineStr">
        <is>
          <t>NO</t>
        </is>
      </c>
      <c r="IK27" t="inlineStr">
        <is>
          <t>ez_manage.py:4471 top()</t>
        </is>
      </c>
      <c r="IL27" t="inlineStr">
        <is>
          <t>v12_quick_engine.py:422 x8</t>
        </is>
      </c>
    </row>
    <row r="28" ht="10.5" customHeight="1" s="67">
      <c r="A28" t="inlineStr">
        <is>
          <t>BTC_GUARANTEED_REENTRY_MAX_AGE_BARS</t>
        </is>
      </c>
      <c r="B28" t="inlineStr">
        <is>
          <t>0.5</t>
        </is>
      </c>
      <c r="G28">
        <f>IFERROR(VLOOKUP($A28&amp;"_"&amp;$B28,Results_Deltas!$A$2:$P$15000,5,FALSE),"")</f>
        <v/>
      </c>
      <c r="H28">
        <f>IFERROR(VLOOKUP($A28,Results_30d_Deltas!$A$2:$H$5000,7,FALSE)-E27,"")</f>
        <v/>
      </c>
      <c r="I28">
        <f>IFERROR(VLOOKUP($A28,Results_30d_Deltas!$A$2:$H$5000,6,FALSE),"")</f>
        <v/>
      </c>
      <c r="L28" t="inlineStr">
        <is>
          <t>NO</t>
        </is>
      </c>
      <c r="IK28" t="inlineStr">
        <is>
          <t>ez_manage.py:4471 top()</t>
        </is>
      </c>
      <c r="IL28" t="inlineStr">
        <is>
          <t>v12_quick_engine.py:422 x8</t>
        </is>
      </c>
    </row>
    <row r="29" ht="10.5" customHeight="1" s="67">
      <c r="A29" t="inlineStr">
        <is>
          <t>BTC_GUARANTEED_REENTRY_MAX_AGE_BARS</t>
        </is>
      </c>
      <c r="B29" t="inlineStr">
        <is>
          <t>1.0</t>
        </is>
      </c>
      <c r="G29">
        <f>IFERROR(VLOOKUP($A29&amp;"_"&amp;$B29,Results_Deltas!$A$2:$P$15000,5,FALSE),"")</f>
        <v/>
      </c>
      <c r="H29">
        <f>IFERROR(VLOOKUP($A29,Results_30d_Deltas!$A$2:$H$5000,7,FALSE)-E28,"")</f>
        <v/>
      </c>
      <c r="I29">
        <f>IFERROR(VLOOKUP($A29,Results_30d_Deltas!$A$2:$H$5000,6,FALSE),"")</f>
        <v/>
      </c>
      <c r="L29" t="inlineStr">
        <is>
          <t>NO</t>
        </is>
      </c>
      <c r="IK29" t="inlineStr">
        <is>
          <t>ez_manage.py:4471 top()</t>
        </is>
      </c>
      <c r="IL29" t="inlineStr">
        <is>
          <t>v12_quick_engine.py:422 x8</t>
        </is>
      </c>
    </row>
    <row r="30" ht="10.5" customHeight="1" s="67">
      <c r="A30" t="inlineStr">
        <is>
          <t>BTC_GUARANTEED_REENTRY_MAX_AGE_BARS</t>
        </is>
      </c>
      <c r="B30" t="inlineStr">
        <is>
          <t>2.0</t>
        </is>
      </c>
      <c r="G30">
        <f>IFERROR(VLOOKUP($A30&amp;"_"&amp;$B30,Results_Deltas!$A$2:$P$15000,5,FALSE),"")</f>
        <v/>
      </c>
      <c r="H30">
        <f>IFERROR(VLOOKUP($A30,Results_30d_Deltas!$A$2:$H$5000,7,FALSE)-E29,"")</f>
        <v/>
      </c>
      <c r="I30">
        <f>IFERROR(VLOOKUP($A30,Results_30d_Deltas!$A$2:$H$5000,6,FALSE),"")</f>
        <v/>
      </c>
      <c r="L30" t="inlineStr">
        <is>
          <t>NO</t>
        </is>
      </c>
      <c r="IK30" t="inlineStr">
        <is>
          <t>ez_manage.py:4471 top()</t>
        </is>
      </c>
      <c r="IL30" t="inlineStr">
        <is>
          <t>v12_quick_engine.py:422 x8</t>
        </is>
      </c>
    </row>
    <row r="31" ht="10.5" customHeight="1" s="67">
      <c r="A31" t="inlineStr">
        <is>
          <t>BTC_GUARANTEED_REENTRY_MIN_GAP_BARS</t>
        </is>
      </c>
      <c r="B31" t="inlineStr">
        <is>
          <t>2</t>
        </is>
      </c>
      <c r="G31">
        <f>IFERROR(VLOOKUP($A31&amp;"_"&amp;$B31,Results_Deltas!$A$2:$P$15000,5,FALSE),"")</f>
        <v/>
      </c>
      <c r="H31">
        <f>IFERROR(VLOOKUP($A31,Results_30d_Deltas!$A$2:$H$5000,7,FALSE)-E30,"")</f>
        <v/>
      </c>
      <c r="I31">
        <f>IFERROR(VLOOKUP($A31,Results_30d_Deltas!$A$2:$H$5000,6,FALSE),"")</f>
        <v/>
      </c>
      <c r="L31" t="inlineStr">
        <is>
          <t>NO</t>
        </is>
      </c>
      <c r="IK31" t="inlineStr">
        <is>
          <t>ez_manage.py:4472 top()</t>
        </is>
      </c>
      <c r="IL31" t="inlineStr">
        <is>
          <t>v12_quick_engine.py:429 x8</t>
        </is>
      </c>
    </row>
    <row r="32" ht="10.5" customHeight="1" s="67">
      <c r="A32" t="inlineStr">
        <is>
          <t>BTC_GUARANTEED_REENTRY_MIN_GAP_BARS</t>
        </is>
      </c>
      <c r="B32" t="inlineStr">
        <is>
          <t>4</t>
        </is>
      </c>
      <c r="G32">
        <f>IFERROR(VLOOKUP($A32&amp;"_"&amp;$B32,Results_Deltas!$A$2:$P$15000,5,FALSE),"")</f>
        <v/>
      </c>
      <c r="H32">
        <f>IFERROR(VLOOKUP($A32,Results_30d_Deltas!$A$2:$H$5000,7,FALSE)-E31,"")</f>
        <v/>
      </c>
      <c r="I32">
        <f>IFERROR(VLOOKUP($A32,Results_30d_Deltas!$A$2:$H$5000,6,FALSE),"")</f>
        <v/>
      </c>
      <c r="L32" t="inlineStr">
        <is>
          <t>NO</t>
        </is>
      </c>
      <c r="IK32" t="inlineStr">
        <is>
          <t>ez_manage.py:4472 top()</t>
        </is>
      </c>
      <c r="IL32" t="inlineStr">
        <is>
          <t>v12_quick_engine.py:429 x8</t>
        </is>
      </c>
    </row>
    <row r="33" ht="10.5" customHeight="1" s="67">
      <c r="A33" t="inlineStr">
        <is>
          <t>BTC_GUARANTEED_REENTRY_MIN_GAP_BARS</t>
        </is>
      </c>
      <c r="B33" t="inlineStr">
        <is>
          <t>5</t>
        </is>
      </c>
      <c r="G33">
        <f>IFERROR(VLOOKUP($A33&amp;"_"&amp;$B33,Results_Deltas!$A$2:$P$15000,5,FALSE),"")</f>
        <v/>
      </c>
      <c r="H33">
        <f>IFERROR(VLOOKUP($A33,Results_30d_Deltas!$A$2:$H$5000,7,FALSE)-E32,"")</f>
        <v/>
      </c>
      <c r="I33">
        <f>IFERROR(VLOOKUP($A33,Results_30d_Deltas!$A$2:$H$5000,6,FALSE),"")</f>
        <v/>
      </c>
      <c r="L33" t="inlineStr">
        <is>
          <t>YES</t>
        </is>
      </c>
      <c r="IK33" t="inlineStr">
        <is>
          <t>ez_manage.py:4472 top()</t>
        </is>
      </c>
      <c r="IL33" t="inlineStr">
        <is>
          <t>v12_quick_engine.py:429 x8</t>
        </is>
      </c>
    </row>
    <row r="34" ht="10.5" customHeight="1" s="67">
      <c r="A34" t="inlineStr">
        <is>
          <t>BTC_GUARANTEED_REENTRY_MIN_GAP_BARS</t>
        </is>
      </c>
      <c r="B34" t="inlineStr">
        <is>
          <t>6</t>
        </is>
      </c>
      <c r="G34">
        <f>IFERROR(VLOOKUP($A34&amp;"_"&amp;$B34,Results_Deltas!$A$2:$P$15000,5,FALSE),"")</f>
        <v/>
      </c>
      <c r="H34">
        <f>IFERROR(VLOOKUP($A34,Results_30d_Deltas!$A$2:$H$5000,7,FALSE)-E33,"")</f>
        <v/>
      </c>
      <c r="I34">
        <f>IFERROR(VLOOKUP($A34,Results_30d_Deltas!$A$2:$H$5000,6,FALSE),"")</f>
        <v/>
      </c>
      <c r="L34" t="inlineStr">
        <is>
          <t>NO</t>
        </is>
      </c>
      <c r="IK34" t="inlineStr">
        <is>
          <t>ez_manage.py:4472 top()</t>
        </is>
      </c>
      <c r="IL34" t="inlineStr">
        <is>
          <t>v12_quick_engine.py:429 x8</t>
        </is>
      </c>
    </row>
    <row r="35" ht="10.5" customHeight="1" s="67">
      <c r="A35" t="inlineStr">
        <is>
          <t>BTC_GUARANTEED_REENTRY_MIN_GAP_BARS</t>
        </is>
      </c>
      <c r="B35" t="inlineStr">
        <is>
          <t>8</t>
        </is>
      </c>
      <c r="G35">
        <f>IFERROR(VLOOKUP($A35&amp;"_"&amp;$B35,Results_Deltas!$A$2:$P$15000,5,FALSE),"")</f>
        <v/>
      </c>
      <c r="H35">
        <f>IFERROR(VLOOKUP($A35,Results_30d_Deltas!$A$2:$H$5000,7,FALSE)-E34,"")</f>
        <v/>
      </c>
      <c r="I35">
        <f>IFERROR(VLOOKUP($A35,Results_30d_Deltas!$A$2:$H$5000,6,FALSE),"")</f>
        <v/>
      </c>
      <c r="L35" t="inlineStr">
        <is>
          <t>NO</t>
        </is>
      </c>
      <c r="IK35" t="inlineStr">
        <is>
          <t>ez_manage.py:4472 top()</t>
        </is>
      </c>
      <c r="IL35" t="inlineStr">
        <is>
          <t>v12_quick_engine.py:429 x8</t>
        </is>
      </c>
    </row>
    <row r="36" ht="10.5" customHeight="1" s="67">
      <c r="A36" t="inlineStr">
        <is>
          <t>DELTA_REENTRY_Z_THRESHOLD</t>
        </is>
      </c>
      <c r="B36" t="inlineStr">
        <is>
          <t>0.5</t>
        </is>
      </c>
      <c r="G36">
        <f>IFERROR(VLOOKUP($A36&amp;"_"&amp;$B36,Results_Deltas!$A$2:$P$15000,5,FALSE),"")</f>
        <v/>
      </c>
      <c r="H36">
        <f>IFERROR(VLOOKUP($A36,Results_30d_Deltas!$A$2:$H$5000,7,FALSE)-E35,"")</f>
        <v/>
      </c>
      <c r="I36">
        <f>IFERROR(VLOOKUP($A36,Results_30d_Deltas!$A$2:$H$5000,6,FALSE),"")</f>
        <v/>
      </c>
      <c r="L36" t="inlineStr">
        <is>
          <t>NO</t>
        </is>
      </c>
      <c r="IK36" t="inlineStr">
        <is>
          <t>ez_manage.py:196 check_reentry_delta_tolerant()</t>
        </is>
      </c>
      <c r="IL36" t="inlineStr">
        <is>
          <t>v12_quick_engine.py:1647 x7</t>
        </is>
      </c>
    </row>
    <row r="37" ht="10.5" customHeight="1" s="67">
      <c r="A37" t="inlineStr">
        <is>
          <t>DELTA_REENTRY_Z_THRESHOLD</t>
        </is>
      </c>
      <c r="B37" t="inlineStr">
        <is>
          <t>0.75</t>
        </is>
      </c>
      <c r="G37">
        <f>IFERROR(VLOOKUP($A37&amp;"_"&amp;$B37,Results_Deltas!$A$2:$P$15000,5,FALSE),"")</f>
        <v/>
      </c>
      <c r="H37">
        <f>IFERROR(VLOOKUP($A37,Results_30d_Deltas!$A$2:$H$5000,7,FALSE)-E36,"")</f>
        <v/>
      </c>
      <c r="I37">
        <f>IFERROR(VLOOKUP($A37,Results_30d_Deltas!$A$2:$H$5000,6,FALSE),"")</f>
        <v/>
      </c>
      <c r="L37" t="inlineStr">
        <is>
          <t>NO</t>
        </is>
      </c>
      <c r="IK37" t="inlineStr">
        <is>
          <t>ez_manage.py:196 check_reentry_delta_tolerant()</t>
        </is>
      </c>
      <c r="IL37" t="inlineStr">
        <is>
          <t>v12_quick_engine.py:1647 x7</t>
        </is>
      </c>
    </row>
    <row r="38" ht="10.5" customHeight="1" s="67">
      <c r="A38" t="inlineStr">
        <is>
          <t>DELTA_REENTRY_Z_THRESHOLD</t>
        </is>
      </c>
      <c r="B38" t="inlineStr">
        <is>
          <t>1.0</t>
        </is>
      </c>
      <c r="G38">
        <f>IFERROR(VLOOKUP($A38&amp;"_"&amp;$B38,Results_Deltas!$A$2:$P$15000,5,FALSE),"")</f>
        <v/>
      </c>
      <c r="H38">
        <f>IFERROR(VLOOKUP($A38,Results_30d_Deltas!$A$2:$H$5000,7,FALSE)-E37,"")</f>
        <v/>
      </c>
      <c r="I38">
        <f>IFERROR(VLOOKUP($A38,Results_30d_Deltas!$A$2:$H$5000,6,FALSE),"")</f>
        <v/>
      </c>
      <c r="L38" t="inlineStr">
        <is>
          <t>YES</t>
        </is>
      </c>
      <c r="IK38" t="inlineStr">
        <is>
          <t>ez_manage.py:196 check_reentry_delta_tolerant()</t>
        </is>
      </c>
      <c r="IL38" t="inlineStr">
        <is>
          <t>v12_quick_engine.py:1647 x7</t>
        </is>
      </c>
    </row>
    <row r="39" ht="10.5" customHeight="1" s="67">
      <c r="A39" t="inlineStr">
        <is>
          <t>DELTA_REENTRY_Z_THRESHOLD</t>
        </is>
      </c>
      <c r="B39" t="inlineStr">
        <is>
          <t>1.25</t>
        </is>
      </c>
      <c r="G39">
        <f>IFERROR(VLOOKUP($A39&amp;"_"&amp;$B39,Results_Deltas!$A$2:$P$15000,5,FALSE),"")</f>
        <v/>
      </c>
      <c r="H39">
        <f>IFERROR(VLOOKUP($A39,Results_30d_Deltas!$A$2:$H$5000,7,FALSE)-E38,"")</f>
        <v/>
      </c>
      <c r="I39">
        <f>IFERROR(VLOOKUP($A39,Results_30d_Deltas!$A$2:$H$5000,6,FALSE),"")</f>
        <v/>
      </c>
      <c r="L39" t="inlineStr">
        <is>
          <t>NO</t>
        </is>
      </c>
      <c r="IK39" t="inlineStr">
        <is>
          <t>ez_manage.py:196 check_reentry_delta_tolerant()</t>
        </is>
      </c>
      <c r="IL39" t="inlineStr">
        <is>
          <t>v12_quick_engine.py:1647 x7</t>
        </is>
      </c>
    </row>
    <row r="40" ht="10.5" customHeight="1" s="67">
      <c r="A40" t="inlineStr">
        <is>
          <t>DELTA_REENTRY_Z_THRESHOLD</t>
        </is>
      </c>
      <c r="B40" t="inlineStr">
        <is>
          <t>1.5</t>
        </is>
      </c>
      <c r="G40">
        <f>IFERROR(VLOOKUP($A40&amp;"_"&amp;$B40,Results_Deltas!$A$2:$P$15000,5,FALSE),"")</f>
        <v/>
      </c>
      <c r="H40">
        <f>IFERROR(VLOOKUP($A40,Results_30d_Deltas!$A$2:$H$5000,7,FALSE)-E39,"")</f>
        <v/>
      </c>
      <c r="I40">
        <f>IFERROR(VLOOKUP($A40,Results_30d_Deltas!$A$2:$H$5000,6,FALSE),"")</f>
        <v/>
      </c>
      <c r="L40" t="inlineStr">
        <is>
          <t>NO</t>
        </is>
      </c>
      <c r="IK40" t="inlineStr">
        <is>
          <t>ez_manage.py:196 check_reentry_delta_tolerant()</t>
        </is>
      </c>
      <c r="IL40" t="inlineStr">
        <is>
          <t>v12_quick_engine.py:1647 x7</t>
        </is>
      </c>
    </row>
    <row r="41" ht="10.5" customHeight="1" s="67">
      <c r="A41" t="inlineStr">
        <is>
          <t>DIRECTION_FAVORABLE_REENTRY_ENABLED</t>
        </is>
      </c>
      <c r="B41" t="inlineStr">
        <is>
          <t>False</t>
        </is>
      </c>
      <c r="G41">
        <f>IFERROR(VLOOKUP($A41&amp;"_"&amp;$B41,Results_Deltas!$A$2:$P$15000,5,FALSE),"")</f>
        <v/>
      </c>
      <c r="H41">
        <f>IFERROR(VLOOKUP($A41,Results_30d_Deltas!$A$2:$H$5000,7,FALSE)-E40,"")</f>
        <v/>
      </c>
      <c r="I41">
        <f>IFERROR(VLOOKUP($A41,Results_30d_Deltas!$A$2:$H$5000,6,FALSE),"")</f>
        <v/>
      </c>
      <c r="L41" t="inlineStr">
        <is>
          <t>YES</t>
        </is>
      </c>
      <c r="IK41" t="inlineStr">
        <is>
          <t>ez_manage.py:5976 top()</t>
        </is>
      </c>
      <c r="IL41" t="inlineStr">
        <is>
          <t>v12_quick_engine.py:979 x6</t>
        </is>
      </c>
    </row>
    <row r="42" ht="10.5" customHeight="1" s="67">
      <c r="A42" t="inlineStr">
        <is>
          <t>DIRECTION_FAVORABLE_REENTRY_ENABLED</t>
        </is>
      </c>
      <c r="B42" t="inlineStr">
        <is>
          <t>True</t>
        </is>
      </c>
      <c r="G42">
        <f>IFERROR(VLOOKUP($A42&amp;"_"&amp;$B42,Results_Deltas!$A$2:$P$15000,5,FALSE),"")</f>
        <v/>
      </c>
      <c r="H42">
        <f>IFERROR(VLOOKUP($A42,Results_30d_Deltas!$A$2:$H$5000,7,FALSE)-E41,"")</f>
        <v/>
      </c>
      <c r="I42">
        <f>IFERROR(VLOOKUP($A42,Results_30d_Deltas!$A$2:$H$5000,6,FALSE),"")</f>
        <v/>
      </c>
      <c r="L42" t="inlineStr">
        <is>
          <t>NO</t>
        </is>
      </c>
      <c r="IK42" t="inlineStr">
        <is>
          <t>ez_manage.py:5976 top()</t>
        </is>
      </c>
      <c r="IL42" t="inlineStr">
        <is>
          <t>v12_quick_engine.py:979 x6</t>
        </is>
      </c>
    </row>
    <row r="43" ht="10.5" customHeight="1" s="67">
      <c r="A43" t="inlineStr">
        <is>
          <t>FOLLOW_THROUGH_REENTRY_ENABLED</t>
        </is>
      </c>
      <c r="B43" t="inlineStr">
        <is>
          <t>False</t>
        </is>
      </c>
      <c r="G43">
        <f>IFERROR(VLOOKUP($A43&amp;"_"&amp;$B43,Results_Deltas!$A$2:$P$15000,5,FALSE),"")</f>
        <v/>
      </c>
      <c r="H43">
        <f>IFERROR(VLOOKUP($A43,Results_30d_Deltas!$A$2:$H$5000,7,FALSE)-E42,"")</f>
        <v/>
      </c>
      <c r="I43">
        <f>IFERROR(VLOOKUP($A43,Results_30d_Deltas!$A$2:$H$5000,6,FALSE),"")</f>
        <v/>
      </c>
      <c r="L43" t="inlineStr">
        <is>
          <t>YES</t>
        </is>
      </c>
      <c r="IK43" t="inlineStr">
        <is>
          <t>ez_manage.py:1189 top()</t>
        </is>
      </c>
      <c r="IL43" t="inlineStr">
        <is>
          <t>v12_quick_engine.py:1394 x5</t>
        </is>
      </c>
    </row>
    <row r="44" ht="10.5" customHeight="1" s="67">
      <c r="A44" t="inlineStr">
        <is>
          <t>FOLLOW_THROUGH_REENTRY_ENABLED</t>
        </is>
      </c>
      <c r="B44" t="inlineStr">
        <is>
          <t>True</t>
        </is>
      </c>
      <c r="G44">
        <f>IFERROR(VLOOKUP($A44&amp;"_"&amp;$B44,Results_Deltas!$A$2:$P$15000,5,FALSE),"")</f>
        <v/>
      </c>
      <c r="H44">
        <f>IFERROR(VLOOKUP($A44,Results_30d_Deltas!$A$2:$H$5000,7,FALSE)-E43,"")</f>
        <v/>
      </c>
      <c r="I44">
        <f>IFERROR(VLOOKUP($A44,Results_30d_Deltas!$A$2:$H$5000,6,FALSE),"")</f>
        <v/>
      </c>
      <c r="L44" t="inlineStr">
        <is>
          <t>NO</t>
        </is>
      </c>
      <c r="IK44" t="inlineStr">
        <is>
          <t>ez_manage.py:1189 top()</t>
        </is>
      </c>
      <c r="IL44" t="inlineStr">
        <is>
          <t>v12_quick_engine.py:1394 x5</t>
        </is>
      </c>
    </row>
    <row r="45" ht="10.5" customHeight="1" s="67">
      <c r="A45" t="inlineStr">
        <is>
          <t>GUARANTEED_REENTRY_DELTA_GATE_ENABLED</t>
        </is>
      </c>
      <c r="B45" t="inlineStr">
        <is>
          <t>False</t>
        </is>
      </c>
      <c r="G45">
        <f>IFERROR(VLOOKUP($A45&amp;"_"&amp;$B45,Results_Deltas!$A$2:$P$15000,5,FALSE),"")</f>
        <v/>
      </c>
      <c r="H45">
        <f>IFERROR(VLOOKUP($A45,Results_30d_Deltas!$A$2:$H$5000,7,FALSE)-E44,"")</f>
        <v/>
      </c>
      <c r="I45">
        <f>IFERROR(VLOOKUP($A45,Results_30d_Deltas!$A$2:$H$5000,6,FALSE),"")</f>
        <v/>
      </c>
      <c r="L45" t="inlineStr">
        <is>
          <t>YES</t>
        </is>
      </c>
      <c r="IK45" t="inlineStr">
        <is>
          <t>ez_manage.py:4773 top()</t>
        </is>
      </c>
      <c r="IL45" t="inlineStr">
        <is>
          <t>v12_quick_engine.py:1939 x4</t>
        </is>
      </c>
    </row>
    <row r="46" ht="10.5" customHeight="1" s="67">
      <c r="A46" t="inlineStr">
        <is>
          <t>GUARANTEED_REENTRY_DELTA_GATE_ENABLED</t>
        </is>
      </c>
      <c r="B46" t="inlineStr">
        <is>
          <t>True</t>
        </is>
      </c>
      <c r="G46">
        <f>IFERROR(VLOOKUP($A46&amp;"_"&amp;$B46,Results_Deltas!$A$2:$P$15000,5,FALSE),"")</f>
        <v/>
      </c>
      <c r="H46">
        <f>IFERROR(VLOOKUP($A46,Results_30d_Deltas!$A$2:$H$5000,7,FALSE)-E45,"")</f>
        <v/>
      </c>
      <c r="I46">
        <f>IFERROR(VLOOKUP($A46,Results_30d_Deltas!$A$2:$H$5000,6,FALSE),"")</f>
        <v/>
      </c>
      <c r="L46" t="inlineStr">
        <is>
          <t>NO</t>
        </is>
      </c>
      <c r="IK46" t="inlineStr">
        <is>
          <t>ez_manage.py:4773 top()</t>
        </is>
      </c>
      <c r="IL46" t="inlineStr">
        <is>
          <t>v12_quick_engine.py:1939 x4</t>
        </is>
      </c>
    </row>
    <row r="47" ht="10.5" customHeight="1" s="67">
      <c r="A47" t="inlineStr">
        <is>
          <t>GUARANTEED_REENTRY_K_HIGH_BLOCK</t>
        </is>
      </c>
      <c r="B47" t="inlineStr">
        <is>
          <t>40.0</t>
        </is>
      </c>
      <c r="G47">
        <f>IFERROR(VLOOKUP($A47&amp;"_"&amp;$B47,Results_Deltas!$A$2:$P$15000,5,FALSE),"")</f>
        <v/>
      </c>
      <c r="H47">
        <f>IFERROR(VLOOKUP($A47,Results_30d_Deltas!$A$2:$H$5000,7,FALSE)-E46,"")</f>
        <v/>
      </c>
      <c r="I47">
        <f>IFERROR(VLOOKUP($A47,Results_30d_Deltas!$A$2:$H$5000,6,FALSE),"")</f>
        <v/>
      </c>
      <c r="L47" t="inlineStr">
        <is>
          <t>NO</t>
        </is>
      </c>
      <c r="IK47" t="inlineStr">
        <is>
          <t>ez_manage.py:4776 top()</t>
        </is>
      </c>
      <c r="IL47" t="inlineStr">
        <is>
          <t>v12_quick_engine.py:1943 x4</t>
        </is>
      </c>
    </row>
    <row r="48" ht="10.5" customHeight="1" s="67">
      <c r="A48" t="inlineStr">
        <is>
          <t>GUARANTEED_REENTRY_K_HIGH_BLOCK</t>
        </is>
      </c>
      <c r="B48" t="inlineStr">
        <is>
          <t>60.0</t>
        </is>
      </c>
      <c r="G48">
        <f>IFERROR(VLOOKUP($A48&amp;"_"&amp;$B48,Results_Deltas!$A$2:$P$15000,5,FALSE),"")</f>
        <v/>
      </c>
      <c r="H48">
        <f>IFERROR(VLOOKUP($A48,Results_30d_Deltas!$A$2:$H$5000,7,FALSE)-E47,"")</f>
        <v/>
      </c>
      <c r="I48">
        <f>IFERROR(VLOOKUP($A48,Results_30d_Deltas!$A$2:$H$5000,6,FALSE),"")</f>
        <v/>
      </c>
      <c r="L48" t="inlineStr">
        <is>
          <t>NO</t>
        </is>
      </c>
      <c r="IK48" t="inlineStr">
        <is>
          <t>ez_manage.py:4776 top()</t>
        </is>
      </c>
      <c r="IL48" t="inlineStr">
        <is>
          <t>v12_quick_engine.py:1943 x4</t>
        </is>
      </c>
    </row>
    <row r="49" ht="10.5" customHeight="1" s="67">
      <c r="A49" t="inlineStr">
        <is>
          <t>GUARANTEED_REENTRY_K_HIGH_BLOCK</t>
        </is>
      </c>
      <c r="B49" t="inlineStr">
        <is>
          <t>80.0</t>
        </is>
      </c>
      <c r="G49">
        <f>IFERROR(VLOOKUP($A49&amp;"_"&amp;$B49,Results_Deltas!$A$2:$P$15000,5,FALSE),"")</f>
        <v/>
      </c>
      <c r="H49">
        <f>IFERROR(VLOOKUP($A49,Results_30d_Deltas!$A$2:$H$5000,7,FALSE)-E48,"")</f>
        <v/>
      </c>
      <c r="I49">
        <f>IFERROR(VLOOKUP($A49,Results_30d_Deltas!$A$2:$H$5000,6,FALSE),"")</f>
        <v/>
      </c>
      <c r="L49" t="inlineStr">
        <is>
          <t>YES</t>
        </is>
      </c>
      <c r="IK49" t="inlineStr">
        <is>
          <t>ez_manage.py:4776 top()</t>
        </is>
      </c>
      <c r="IL49" t="inlineStr">
        <is>
          <t>v12_quick_engine.py:1943 x4</t>
        </is>
      </c>
    </row>
    <row r="50" ht="10.5" customHeight="1" s="67">
      <c r="A50" t="inlineStr">
        <is>
          <t>GUARANTEED_REENTRY_K_HIGH_BLOCK</t>
        </is>
      </c>
      <c r="B50" t="inlineStr">
        <is>
          <t>100.0</t>
        </is>
      </c>
      <c r="G50">
        <f>IFERROR(VLOOKUP($A50&amp;"_"&amp;$B50,Results_Deltas!$A$2:$P$15000,5,FALSE),"")</f>
        <v/>
      </c>
      <c r="H50">
        <f>IFERROR(VLOOKUP($A50,Results_30d_Deltas!$A$2:$H$5000,7,FALSE)-E49,"")</f>
        <v/>
      </c>
      <c r="I50">
        <f>IFERROR(VLOOKUP($A50,Results_30d_Deltas!$A$2:$H$5000,6,FALSE),"")</f>
        <v/>
      </c>
      <c r="L50" t="inlineStr">
        <is>
          <t>NO</t>
        </is>
      </c>
      <c r="IK50" t="inlineStr">
        <is>
          <t>ez_manage.py:4776 top()</t>
        </is>
      </c>
      <c r="IL50" t="inlineStr">
        <is>
          <t>v12_quick_engine.py:1943 x4</t>
        </is>
      </c>
    </row>
    <row r="51" ht="10.5" customHeight="1" s="67">
      <c r="A51" t="inlineStr">
        <is>
          <t>GUARANTEED_REENTRY_K_HIGH_BLOCK</t>
        </is>
      </c>
      <c r="B51" t="inlineStr">
        <is>
          <t>120.0</t>
        </is>
      </c>
      <c r="G51">
        <f>IFERROR(VLOOKUP($A51&amp;"_"&amp;$B51,Results_Deltas!$A$2:$P$15000,5,FALSE),"")</f>
        <v/>
      </c>
      <c r="H51">
        <f>IFERROR(VLOOKUP($A51,Results_30d_Deltas!$A$2:$H$5000,7,FALSE)-E50,"")</f>
        <v/>
      </c>
      <c r="I51">
        <f>IFERROR(VLOOKUP($A51,Results_30d_Deltas!$A$2:$H$5000,6,FALSE),"")</f>
        <v/>
      </c>
      <c r="L51" t="inlineStr">
        <is>
          <t>NO</t>
        </is>
      </c>
      <c r="IK51" t="inlineStr">
        <is>
          <t>ez_manage.py:4776 top()</t>
        </is>
      </c>
      <c r="IL51" t="inlineStr">
        <is>
          <t>v12_quick_engine.py:1943 x4</t>
        </is>
      </c>
    </row>
    <row r="52" ht="10.5" customHeight="1" s="67">
      <c r="A52" t="inlineStr">
        <is>
          <t>GUARANTEED_REENTRY_K_LOW_BLOCK</t>
        </is>
      </c>
      <c r="B52" t="inlineStr">
        <is>
          <t>10.0</t>
        </is>
      </c>
      <c r="G52">
        <f>IFERROR(VLOOKUP($A52&amp;"_"&amp;$B52,Results_Deltas!$A$2:$P$15000,5,FALSE),"")</f>
        <v/>
      </c>
      <c r="H52">
        <f>IFERROR(VLOOKUP($A52,Results_30d_Deltas!$A$2:$H$5000,7,FALSE)-E51,"")</f>
        <v/>
      </c>
      <c r="I52">
        <f>IFERROR(VLOOKUP($A52,Results_30d_Deltas!$A$2:$H$5000,6,FALSE),"")</f>
        <v/>
      </c>
      <c r="L52" t="inlineStr">
        <is>
          <t>NO</t>
        </is>
      </c>
      <c r="IK52" t="inlineStr">
        <is>
          <t>ez_manage.py:4777 top()</t>
        </is>
      </c>
      <c r="IL52" t="inlineStr">
        <is>
          <t>v12_quick_engine.py:1944 x4</t>
        </is>
      </c>
    </row>
    <row r="53" ht="10.5" customHeight="1" s="67">
      <c r="A53" t="inlineStr">
        <is>
          <t>GUARANTEED_REENTRY_K_LOW_BLOCK</t>
        </is>
      </c>
      <c r="B53" t="inlineStr">
        <is>
          <t>15.0</t>
        </is>
      </c>
      <c r="G53">
        <f>IFERROR(VLOOKUP($A53&amp;"_"&amp;$B53,Results_Deltas!$A$2:$P$15000,5,FALSE),"")</f>
        <v/>
      </c>
      <c r="H53">
        <f>IFERROR(VLOOKUP($A53,Results_30d_Deltas!$A$2:$H$5000,7,FALSE)-E52,"")</f>
        <v/>
      </c>
      <c r="I53">
        <f>IFERROR(VLOOKUP($A53,Results_30d_Deltas!$A$2:$H$5000,6,FALSE),"")</f>
        <v/>
      </c>
      <c r="L53" t="inlineStr">
        <is>
          <t>NO</t>
        </is>
      </c>
      <c r="IK53" t="inlineStr">
        <is>
          <t>ez_manage.py:4777 top()</t>
        </is>
      </c>
      <c r="IL53" t="inlineStr">
        <is>
          <t>v12_quick_engine.py:1944 x4</t>
        </is>
      </c>
    </row>
    <row r="54" ht="10.5" customHeight="1" s="67">
      <c r="A54" t="inlineStr">
        <is>
          <t>GUARANTEED_REENTRY_K_LOW_BLOCK</t>
        </is>
      </c>
      <c r="B54" t="inlineStr">
        <is>
          <t>20.0</t>
        </is>
      </c>
      <c r="G54">
        <f>IFERROR(VLOOKUP($A54&amp;"_"&amp;$B54,Results_Deltas!$A$2:$P$15000,5,FALSE),"")</f>
        <v/>
      </c>
      <c r="H54">
        <f>IFERROR(VLOOKUP($A54,Results_30d_Deltas!$A$2:$H$5000,7,FALSE)-E53,"")</f>
        <v/>
      </c>
      <c r="I54">
        <f>IFERROR(VLOOKUP($A54,Results_30d_Deltas!$A$2:$H$5000,6,FALSE),"")</f>
        <v/>
      </c>
      <c r="L54" t="inlineStr">
        <is>
          <t>YES</t>
        </is>
      </c>
      <c r="IK54" t="inlineStr">
        <is>
          <t>ez_manage.py:4777 top()</t>
        </is>
      </c>
      <c r="IL54" t="inlineStr">
        <is>
          <t>v12_quick_engine.py:1944 x4</t>
        </is>
      </c>
    </row>
    <row r="55" ht="10.5" customHeight="1" s="67">
      <c r="A55" t="inlineStr">
        <is>
          <t>GUARANTEED_REENTRY_K_LOW_BLOCK</t>
        </is>
      </c>
      <c r="B55" t="inlineStr">
        <is>
          <t>25.0</t>
        </is>
      </c>
      <c r="G55">
        <f>IFERROR(VLOOKUP($A55&amp;"_"&amp;$B55,Results_Deltas!$A$2:$P$15000,5,FALSE),"")</f>
        <v/>
      </c>
      <c r="H55">
        <f>IFERROR(VLOOKUP($A55,Results_30d_Deltas!$A$2:$H$5000,7,FALSE)-E54,"")</f>
        <v/>
      </c>
      <c r="I55">
        <f>IFERROR(VLOOKUP($A55,Results_30d_Deltas!$A$2:$H$5000,6,FALSE),"")</f>
        <v/>
      </c>
      <c r="L55" t="inlineStr">
        <is>
          <t>NO</t>
        </is>
      </c>
      <c r="IK55" t="inlineStr">
        <is>
          <t>ez_manage.py:4777 top()</t>
        </is>
      </c>
      <c r="IL55" t="inlineStr">
        <is>
          <t>v12_quick_engine.py:1944 x4</t>
        </is>
      </c>
    </row>
    <row r="56" ht="10.5" customHeight="1" s="67">
      <c r="A56" t="inlineStr">
        <is>
          <t>GUARANTEED_REENTRY_K_LOW_BLOCK</t>
        </is>
      </c>
      <c r="B56" t="inlineStr">
        <is>
          <t>30.0</t>
        </is>
      </c>
      <c r="G56">
        <f>IFERROR(VLOOKUP($A56&amp;"_"&amp;$B56,Results_Deltas!$A$2:$P$15000,5,FALSE),"")</f>
        <v/>
      </c>
      <c r="H56">
        <f>IFERROR(VLOOKUP($A56,Results_30d_Deltas!$A$2:$H$5000,7,FALSE)-E55,"")</f>
        <v/>
      </c>
      <c r="I56">
        <f>IFERROR(VLOOKUP($A56,Results_30d_Deltas!$A$2:$H$5000,6,FALSE),"")</f>
        <v/>
      </c>
      <c r="L56" t="inlineStr">
        <is>
          <t>NO</t>
        </is>
      </c>
      <c r="IK56" t="inlineStr">
        <is>
          <t>ez_manage.py:4777 top()</t>
        </is>
      </c>
      <c r="IL56" t="inlineStr">
        <is>
          <t>v12_quick_engine.py:1944 x4</t>
        </is>
      </c>
    </row>
    <row r="57" ht="10.5" customHeight="1" s="67">
      <c r="A57" t="inlineStr">
        <is>
          <t>GUARANTEED_REENTRY_STRICT_CONFIRMATION</t>
        </is>
      </c>
      <c r="B57" t="inlineStr">
        <is>
          <t>False</t>
        </is>
      </c>
      <c r="G57">
        <f>IFERROR(VLOOKUP($A57&amp;"_"&amp;$B57,Results_Deltas!$A$2:$P$15000,5,FALSE),"")</f>
        <v/>
      </c>
      <c r="H57">
        <f>IFERROR(VLOOKUP($A57,Results_30d_Deltas!$A$2:$H$5000,7,FALSE)-E56,"")</f>
        <v/>
      </c>
      <c r="I57">
        <f>IFERROR(VLOOKUP($A57,Results_30d_Deltas!$A$2:$H$5000,6,FALSE),"")</f>
        <v/>
      </c>
      <c r="L57" t="inlineStr">
        <is>
          <t>NO</t>
        </is>
      </c>
      <c r="IK57" t="inlineStr">
        <is>
          <t>ez_manage.py:4778 top()</t>
        </is>
      </c>
      <c r="IL57" t="inlineStr">
        <is>
          <t>v12_quick_engine.py:1946 x6</t>
        </is>
      </c>
    </row>
    <row r="58" ht="10.5" customHeight="1" s="67">
      <c r="A58" t="inlineStr">
        <is>
          <t>GUARANTEED_REENTRY_STRICT_CONFIRMATION</t>
        </is>
      </c>
      <c r="B58" t="inlineStr">
        <is>
          <t>True</t>
        </is>
      </c>
      <c r="G58">
        <f>IFERROR(VLOOKUP($A58&amp;"_"&amp;$B58,Results_Deltas!$A$2:$P$15000,5,FALSE),"")</f>
        <v/>
      </c>
      <c r="H58">
        <f>IFERROR(VLOOKUP($A58,Results_30d_Deltas!$A$2:$H$5000,7,FALSE)-E57,"")</f>
        <v/>
      </c>
      <c r="I58">
        <f>IFERROR(VLOOKUP($A58,Results_30d_Deltas!$A$2:$H$5000,6,FALSE),"")</f>
        <v/>
      </c>
      <c r="L58" t="inlineStr">
        <is>
          <t>YES</t>
        </is>
      </c>
      <c r="IK58" t="inlineStr">
        <is>
          <t>ez_manage.py:4778 top()</t>
        </is>
      </c>
      <c r="IL58" t="inlineStr">
        <is>
          <t>v12_quick_engine.py:1946 x6</t>
        </is>
      </c>
    </row>
    <row r="59" ht="10.5" customHeight="1" s="67">
      <c r="A59" t="inlineStr">
        <is>
          <t>GUARANTEED_REENTRY_TIGHT_STOP_ENABLED</t>
        </is>
      </c>
      <c r="B59" t="inlineStr">
        <is>
          <t>True</t>
        </is>
      </c>
      <c r="G59">
        <f>IFERROR(VLOOKUP($A60&amp;"_"&amp;$B60,Results_Deltas!$A$2:$P$15000,5,FALSE),"")</f>
        <v/>
      </c>
      <c r="H59">
        <f>IFERROR(VLOOKUP($A60,Results_30d_Deltas!$A$2:$H$5000,7,FALSE)-E59,"")</f>
        <v/>
      </c>
      <c r="I59">
        <f>IFERROR(VLOOKUP($A60,Results_30d_Deltas!$A$2:$H$5000,6,FALSE),"")</f>
        <v/>
      </c>
      <c r="L59" t="inlineStr">
        <is>
          <t>YES</t>
        </is>
      </c>
      <c r="IK59" t="inlineStr">
        <is>
          <t>ez_manage.py:4779 top()</t>
        </is>
      </c>
      <c r="IL59" t="inlineStr">
        <is>
          <t>v12_quick_engine.py:1947 x3</t>
        </is>
      </c>
    </row>
    <row r="60" ht="10.5" customHeight="1" s="67">
      <c r="A60" t="inlineStr">
        <is>
          <t>GUARANTEED_REENTRY_TIGHT_STOP_MAX_AGE_S</t>
        </is>
      </c>
      <c r="B60" t="inlineStr">
        <is>
          <t>900.0</t>
        </is>
      </c>
      <c r="G60">
        <f>IFERROR(VLOOKUP($A61&amp;"_"&amp;$B61,Results_Deltas!$A$2:$P$15000,5,FALSE),"")</f>
        <v/>
      </c>
      <c r="H60">
        <f>IFERROR(VLOOKUP($A61,Results_30d_Deltas!$A$2:$H$5000,7,FALSE)-E60,"")</f>
        <v/>
      </c>
      <c r="I60">
        <f>IFERROR(VLOOKUP($A61,Results_30d_Deltas!$A$2:$H$5000,6,FALSE),"")</f>
        <v/>
      </c>
      <c r="L60" t="inlineStr">
        <is>
          <t>NO</t>
        </is>
      </c>
      <c r="IK60" t="inlineStr">
        <is>
          <t>ez_manage.py:4780 top()</t>
        </is>
      </c>
      <c r="IL60" t="inlineStr">
        <is>
          <t>v12_quick_engine.py:1948 x4</t>
        </is>
      </c>
    </row>
    <row r="61" ht="10.5" customHeight="1" s="67">
      <c r="A61" t="inlineStr">
        <is>
          <t>GUARANTEED_REENTRY_TIGHT_STOP_MAX_AGE_S</t>
        </is>
      </c>
      <c r="B61" t="inlineStr">
        <is>
          <t>1350.0</t>
        </is>
      </c>
      <c r="G61">
        <f>IFERROR(VLOOKUP($A62&amp;"_"&amp;$B62,Results_Deltas!$A$2:$P$15000,5,FALSE),"")</f>
        <v/>
      </c>
      <c r="H61">
        <f>IFERROR(VLOOKUP($A62,Results_30d_Deltas!$A$2:$H$5000,7,FALSE)-E61,"")</f>
        <v/>
      </c>
      <c r="I61">
        <f>IFERROR(VLOOKUP($A62,Results_30d_Deltas!$A$2:$H$5000,6,FALSE),"")</f>
        <v/>
      </c>
      <c r="L61" t="inlineStr">
        <is>
          <t>NO</t>
        </is>
      </c>
      <c r="IK61" t="inlineStr">
        <is>
          <t>ez_manage.py:4780 top()</t>
        </is>
      </c>
      <c r="IL61" t="inlineStr">
        <is>
          <t>v12_quick_engine.py:1948 x4</t>
        </is>
      </c>
    </row>
    <row r="62" ht="10.5" customHeight="1" s="67">
      <c r="A62" t="inlineStr">
        <is>
          <t>GUARANTEED_REENTRY_TIGHT_STOP_MAX_AGE_S</t>
        </is>
      </c>
      <c r="B62" t="inlineStr">
        <is>
          <t>1800.0</t>
        </is>
      </c>
      <c r="G62">
        <f>IFERROR(VLOOKUP($A63&amp;"_"&amp;$B63,Results_Deltas!$A$2:$P$15000,5,FALSE),"")</f>
        <v/>
      </c>
      <c r="H62">
        <f>IFERROR(VLOOKUP($A63,Results_30d_Deltas!$A$2:$H$5000,7,FALSE)-E62,"")</f>
        <v/>
      </c>
      <c r="I62">
        <f>IFERROR(VLOOKUP($A63,Results_30d_Deltas!$A$2:$H$5000,6,FALSE),"")</f>
        <v/>
      </c>
      <c r="L62" t="inlineStr">
        <is>
          <t>YES</t>
        </is>
      </c>
      <c r="IK62" t="inlineStr">
        <is>
          <t>ez_manage.py:4780 top()</t>
        </is>
      </c>
      <c r="IL62" t="inlineStr">
        <is>
          <t>v12_quick_engine.py:1948 x4</t>
        </is>
      </c>
    </row>
    <row r="63" ht="10.5" customHeight="1" s="67">
      <c r="A63" t="inlineStr">
        <is>
          <t>GUARANTEED_REENTRY_TIGHT_STOP_MAX_AGE_S</t>
        </is>
      </c>
      <c r="B63" t="inlineStr">
        <is>
          <t>2250.0</t>
        </is>
      </c>
      <c r="G63">
        <f>IFERROR(VLOOKUP($A64&amp;"_"&amp;$B64,Results_Deltas!$A$2:$P$15000,5,FALSE),"")</f>
        <v/>
      </c>
      <c r="H63">
        <f>IFERROR(VLOOKUP($A64,Results_30d_Deltas!$A$2:$H$5000,7,FALSE)-E63,"")</f>
        <v/>
      </c>
      <c r="I63">
        <f>IFERROR(VLOOKUP($A64,Results_30d_Deltas!$A$2:$H$5000,6,FALSE),"")</f>
        <v/>
      </c>
      <c r="L63" t="inlineStr">
        <is>
          <t>NO</t>
        </is>
      </c>
      <c r="IK63" t="inlineStr">
        <is>
          <t>ez_manage.py:4780 top()</t>
        </is>
      </c>
      <c r="IL63" t="inlineStr">
        <is>
          <t>v12_quick_engine.py:1948 x4</t>
        </is>
      </c>
    </row>
    <row r="64" ht="10.5" customHeight="1" s="67">
      <c r="A64" t="inlineStr">
        <is>
          <t>GUARANTEED_REENTRY_TIGHT_STOP_MAX_AGE_S</t>
        </is>
      </c>
      <c r="B64" t="inlineStr">
        <is>
          <t>2700.0</t>
        </is>
      </c>
      <c r="G64">
        <f>IFERROR(VLOOKUP($A65&amp;"_"&amp;$B65,Results_Deltas!$A$2:$P$15000,5,FALSE),"")</f>
        <v/>
      </c>
      <c r="H64">
        <f>IFERROR(VLOOKUP($A65,Results_30d_Deltas!$A$2:$H$5000,7,FALSE)-E64,"")</f>
        <v/>
      </c>
      <c r="I64">
        <f>IFERROR(VLOOKUP($A65,Results_30d_Deltas!$A$2:$H$5000,6,FALSE),"")</f>
        <v/>
      </c>
      <c r="L64" t="inlineStr">
        <is>
          <t>NO</t>
        </is>
      </c>
      <c r="IK64" t="inlineStr">
        <is>
          <t>ez_manage.py:4780 top()</t>
        </is>
      </c>
      <c r="IL64" t="inlineStr">
        <is>
          <t>v12_quick_engine.py:1948 x4</t>
        </is>
      </c>
    </row>
    <row r="65" ht="10.5" customHeight="1" s="67">
      <c r="A65" t="inlineStr">
        <is>
          <t>GUARANTEED_REENTRY_TIGHT_STOP_MIN_AGE_S</t>
        </is>
      </c>
      <c r="B65" t="inlineStr">
        <is>
          <t>30.0</t>
        </is>
      </c>
      <c r="G65">
        <f>IFERROR(VLOOKUP($A66&amp;"_"&amp;$B66,Results_Deltas!$A$2:$P$15000,5,FALSE),"")</f>
        <v/>
      </c>
      <c r="H65">
        <f>IFERROR(VLOOKUP($A66,Results_30d_Deltas!$A$2:$H$5000,7,FALSE)-E65,"")</f>
        <v/>
      </c>
      <c r="I65">
        <f>IFERROR(VLOOKUP($A66,Results_30d_Deltas!$A$2:$H$5000,6,FALSE),"")</f>
        <v/>
      </c>
      <c r="L65" t="inlineStr">
        <is>
          <t>NO</t>
        </is>
      </c>
      <c r="IK65" t="inlineStr">
        <is>
          <t>ez_manage.py:4781 top()</t>
        </is>
      </c>
      <c r="IL65" t="inlineStr">
        <is>
          <t>v12_quick_engine.py:1949 x4</t>
        </is>
      </c>
    </row>
    <row r="66" ht="10.5" customHeight="1" s="67">
      <c r="A66" t="inlineStr">
        <is>
          <t>GUARANTEED_REENTRY_TIGHT_STOP_MIN_AGE_S</t>
        </is>
      </c>
      <c r="B66" t="inlineStr">
        <is>
          <t>45.0</t>
        </is>
      </c>
      <c r="G66">
        <f>IFERROR(VLOOKUP($A67&amp;"_"&amp;$B67,Results_Deltas!$A$2:$P$15000,5,FALSE),"")</f>
        <v/>
      </c>
      <c r="H66">
        <f>IFERROR(VLOOKUP($A67,Results_30d_Deltas!$A$2:$H$5000,7,FALSE)-E66,"")</f>
        <v/>
      </c>
      <c r="I66">
        <f>IFERROR(VLOOKUP($A67,Results_30d_Deltas!$A$2:$H$5000,6,FALSE),"")</f>
        <v/>
      </c>
      <c r="L66" t="inlineStr">
        <is>
          <t>NO</t>
        </is>
      </c>
      <c r="IK66" t="inlineStr">
        <is>
          <t>ez_manage.py:4781 top()</t>
        </is>
      </c>
      <c r="IL66" t="inlineStr">
        <is>
          <t>v12_quick_engine.py:1949 x4</t>
        </is>
      </c>
    </row>
    <row r="67" ht="10.5" customHeight="1" s="67">
      <c r="A67" t="inlineStr">
        <is>
          <t>GUARANTEED_REENTRY_TIGHT_STOP_MIN_AGE_S</t>
        </is>
      </c>
      <c r="B67" t="inlineStr">
        <is>
          <t>60.0</t>
        </is>
      </c>
      <c r="G67">
        <f>IFERROR(VLOOKUP($A68&amp;"_"&amp;$B68,Results_Deltas!$A$2:$P$15000,5,FALSE),"")</f>
        <v/>
      </c>
      <c r="H67">
        <f>IFERROR(VLOOKUP($A68,Results_30d_Deltas!$A$2:$H$5000,7,FALSE)-E67,"")</f>
        <v/>
      </c>
      <c r="I67">
        <f>IFERROR(VLOOKUP($A68,Results_30d_Deltas!$A$2:$H$5000,6,FALSE),"")</f>
        <v/>
      </c>
      <c r="L67" t="inlineStr">
        <is>
          <t>YES</t>
        </is>
      </c>
      <c r="IK67" t="inlineStr">
        <is>
          <t>ez_manage.py:4781 top()</t>
        </is>
      </c>
      <c r="IL67" t="inlineStr">
        <is>
          <t>v12_quick_engine.py:1949 x4</t>
        </is>
      </c>
    </row>
    <row r="68" ht="10.5" customHeight="1" s="67">
      <c r="A68" t="inlineStr">
        <is>
          <t>GUARANTEED_REENTRY_TIGHT_STOP_MIN_AGE_S</t>
        </is>
      </c>
      <c r="B68" t="inlineStr">
        <is>
          <t>75.0</t>
        </is>
      </c>
      <c r="G68">
        <f>IFERROR(VLOOKUP($A69&amp;"_"&amp;$B69,Results_Deltas!$A$2:$P$15000,5,FALSE),"")</f>
        <v/>
      </c>
      <c r="H68">
        <f>IFERROR(VLOOKUP($A69,Results_30d_Deltas!$A$2:$H$5000,7,FALSE)-E68,"")</f>
        <v/>
      </c>
      <c r="I68">
        <f>IFERROR(VLOOKUP($A69,Results_30d_Deltas!$A$2:$H$5000,6,FALSE),"")</f>
        <v/>
      </c>
      <c r="L68" t="inlineStr">
        <is>
          <t>NO</t>
        </is>
      </c>
      <c r="IK68" t="inlineStr">
        <is>
          <t>ez_manage.py:4781 top()</t>
        </is>
      </c>
      <c r="IL68" t="inlineStr">
        <is>
          <t>v12_quick_engine.py:1949 x4</t>
        </is>
      </c>
    </row>
    <row r="69" ht="10.5" customHeight="1" s="67">
      <c r="A69" t="inlineStr">
        <is>
          <t>GUARANTEED_REENTRY_TIGHT_STOP_MIN_AGE_S</t>
        </is>
      </c>
      <c r="B69" t="inlineStr">
        <is>
          <t>90.0</t>
        </is>
      </c>
      <c r="G69">
        <f>IFERROR(VLOOKUP($A70&amp;"_"&amp;$B70,Results_Deltas!$A$2:$P$15000,5,FALSE),"")</f>
        <v/>
      </c>
      <c r="H69">
        <f>IFERROR(VLOOKUP($A70,Results_30d_Deltas!$A$2:$H$5000,7,FALSE)-E69,"")</f>
        <v/>
      </c>
      <c r="I69">
        <f>IFERROR(VLOOKUP($A70,Results_30d_Deltas!$A$2:$H$5000,6,FALSE),"")</f>
        <v/>
      </c>
      <c r="L69" t="inlineStr">
        <is>
          <t>NO</t>
        </is>
      </c>
      <c r="IK69" t="inlineStr">
        <is>
          <t>ez_manage.py:4781 top()</t>
        </is>
      </c>
      <c r="IL69" t="inlineStr">
        <is>
          <t>v12_quick_engine.py:1949 x4</t>
        </is>
      </c>
    </row>
    <row r="70" ht="10.5" customHeight="1" s="67">
      <c r="A70" t="inlineStr">
        <is>
          <t>GUARANTEED_REENTRY_TIGHT_STOP_PCT</t>
        </is>
      </c>
      <c r="B70" t="inlineStr">
        <is>
          <t>0.25</t>
        </is>
      </c>
      <c r="G70">
        <f>IFERROR(VLOOKUP($A71&amp;"_"&amp;$B71,Results_Deltas!$A$2:$P$15000,5,FALSE),"")</f>
        <v/>
      </c>
      <c r="H70">
        <f>IFERROR(VLOOKUP($A71,Results_30d_Deltas!$A$2:$H$5000,7,FALSE)-E70,"")</f>
        <v/>
      </c>
      <c r="I70">
        <f>IFERROR(VLOOKUP($A71,Results_30d_Deltas!$A$2:$H$5000,6,FALSE),"")</f>
        <v/>
      </c>
      <c r="L70" t="inlineStr">
        <is>
          <t>NO</t>
        </is>
      </c>
      <c r="IK70" t="inlineStr">
        <is>
          <t>ez_manage.py:4782 top()</t>
        </is>
      </c>
      <c r="IL70" t="inlineStr">
        <is>
          <t>v12_quick_engine.py:1950 x7</t>
        </is>
      </c>
    </row>
    <row r="71" ht="10.5" customHeight="1" s="67">
      <c r="A71" t="inlineStr">
        <is>
          <t>GUARANTEED_REENTRY_TIGHT_STOP_PCT</t>
        </is>
      </c>
      <c r="B71" t="inlineStr">
        <is>
          <t>0.375</t>
        </is>
      </c>
      <c r="G71">
        <f>IFERROR(VLOOKUP($A72&amp;"_"&amp;$B72,Results_Deltas!$A$2:$P$15000,5,FALSE),"")</f>
        <v/>
      </c>
      <c r="H71">
        <f>IFERROR(VLOOKUP($A72,Results_30d_Deltas!$A$2:$H$5000,7,FALSE)-E71,"")</f>
        <v/>
      </c>
      <c r="I71">
        <f>IFERROR(VLOOKUP($A72,Results_30d_Deltas!$A$2:$H$5000,6,FALSE),"")</f>
        <v/>
      </c>
      <c r="L71" t="inlineStr">
        <is>
          <t>NO</t>
        </is>
      </c>
      <c r="IK71" t="inlineStr">
        <is>
          <t>ez_manage.py:4782 top()</t>
        </is>
      </c>
      <c r="IL71" t="inlineStr">
        <is>
          <t>v12_quick_engine.py:1950 x7</t>
        </is>
      </c>
    </row>
    <row r="72" ht="10.5" customHeight="1" s="67">
      <c r="A72" t="inlineStr">
        <is>
          <t>GUARANTEED_REENTRY_TIGHT_STOP_PCT</t>
        </is>
      </c>
      <c r="B72" t="inlineStr">
        <is>
          <t>0.5</t>
        </is>
      </c>
      <c r="G72">
        <f>IFERROR(VLOOKUP($A73&amp;"_"&amp;$B73,Results_Deltas!$A$2:$P$15000,5,FALSE),"")</f>
        <v/>
      </c>
      <c r="H72">
        <f>IFERROR(VLOOKUP($A73,Results_30d_Deltas!$A$2:$H$5000,7,FALSE)-E72,"")</f>
        <v/>
      </c>
      <c r="I72">
        <f>IFERROR(VLOOKUP($A73,Results_30d_Deltas!$A$2:$H$5000,6,FALSE),"")</f>
        <v/>
      </c>
      <c r="L72" t="inlineStr">
        <is>
          <t>YES</t>
        </is>
      </c>
      <c r="IK72" t="inlineStr">
        <is>
          <t>ez_manage.py:4782 top()</t>
        </is>
      </c>
      <c r="IL72" t="inlineStr">
        <is>
          <t>v12_quick_engine.py:1950 x7</t>
        </is>
      </c>
    </row>
    <row r="73" ht="10.5" customHeight="1" s="67">
      <c r="A73" t="inlineStr">
        <is>
          <t>GUARANTEED_REENTRY_TIGHT_STOP_PCT</t>
        </is>
      </c>
      <c r="B73" t="inlineStr">
        <is>
          <t>0.625</t>
        </is>
      </c>
      <c r="G73">
        <f>IFERROR(VLOOKUP($A74&amp;"_"&amp;$B74,Results_Deltas!$A$2:$P$15000,5,FALSE),"")</f>
        <v/>
      </c>
      <c r="H73">
        <f>IFERROR(VLOOKUP($A74,Results_30d_Deltas!$A$2:$H$5000,7,FALSE)-E73,"")</f>
        <v/>
      </c>
      <c r="I73">
        <f>IFERROR(VLOOKUP($A74,Results_30d_Deltas!$A$2:$H$5000,6,FALSE),"")</f>
        <v/>
      </c>
      <c r="L73" t="inlineStr">
        <is>
          <t>NO</t>
        </is>
      </c>
      <c r="IK73" t="inlineStr">
        <is>
          <t>ez_manage.py:4782 top()</t>
        </is>
      </c>
      <c r="IL73" t="inlineStr">
        <is>
          <t>v12_quick_engine.py:1950 x7</t>
        </is>
      </c>
    </row>
    <row r="74" ht="10.5" customHeight="1" s="67">
      <c r="A74" t="inlineStr">
        <is>
          <t>GUARANTEED_REENTRY_TIGHT_STOP_PCT</t>
        </is>
      </c>
      <c r="B74" t="inlineStr">
        <is>
          <t>0.75</t>
        </is>
      </c>
      <c r="G74">
        <f>IFERROR(VLOOKUP($A75&amp;"_"&amp;$B75,Results_Deltas!$A$2:$P$15000,5,FALSE),"")</f>
        <v/>
      </c>
      <c r="H74">
        <f>IFERROR(VLOOKUP($A75,Results_30d_Deltas!$A$2:$H$5000,7,FALSE)-E74,"")</f>
        <v/>
      </c>
      <c r="I74">
        <f>IFERROR(VLOOKUP($A75,Results_30d_Deltas!$A$2:$H$5000,6,FALSE),"")</f>
        <v/>
      </c>
      <c r="L74" t="inlineStr">
        <is>
          <t>NO</t>
        </is>
      </c>
      <c r="IK74" t="inlineStr">
        <is>
          <t>ez_manage.py:4782 top()</t>
        </is>
      </c>
      <c r="IL74" t="inlineStr">
        <is>
          <t>v12_quick_engine.py:1950 x7</t>
        </is>
      </c>
    </row>
    <row r="75" ht="10.5" customHeight="1" s="67">
      <c r="A75" t="inlineStr">
        <is>
          <t>LEGACY_PROC_SINGLE_REENTRY</t>
        </is>
      </c>
      <c r="B75" t="inlineStr">
        <is>
          <t>0</t>
        </is>
      </c>
      <c r="G75">
        <f>IFERROR(VLOOKUP($A76&amp;"_"&amp;$B76,Results_Deltas!$A$2:$P$15000,5,FALSE),"")</f>
        <v/>
      </c>
      <c r="H75">
        <f>IFERROR(VLOOKUP($A76,Results_30d_Deltas!$A$2:$H$5000,7,FALSE)-E75,"")</f>
        <v/>
      </c>
      <c r="I75">
        <f>IFERROR(VLOOKUP($A76,Results_30d_Deltas!$A$2:$H$5000,6,FALSE),"")</f>
        <v/>
      </c>
      <c r="L75" t="inlineStr">
        <is>
          <t>NO</t>
        </is>
      </c>
      <c r="IK75" t="inlineStr">
        <is>
          <t>ez_manage.py:3418 top()</t>
        </is>
      </c>
      <c r="IL75" t="inlineStr">
        <is>
          <t>v12_quick_engine.py:2119 x5</t>
        </is>
      </c>
    </row>
    <row r="76" ht="10.5" customHeight="1" s="67">
      <c r="A76" t="inlineStr">
        <is>
          <t>LEGACY_PROC_SINGLE_REENTRY</t>
        </is>
      </c>
      <c r="B76" t="inlineStr">
        <is>
          <t>0.5</t>
        </is>
      </c>
      <c r="G76">
        <f>IFERROR(VLOOKUP($A77&amp;"_"&amp;$B77,Results_Deltas!$A$2:$P$15000,5,FALSE),"")</f>
        <v/>
      </c>
      <c r="H76">
        <f>IFERROR(VLOOKUP($A77,Results_30d_Deltas!$A$2:$H$5000,7,FALSE)-E76,"")</f>
        <v/>
      </c>
      <c r="I76">
        <f>IFERROR(VLOOKUP($A77,Results_30d_Deltas!$A$2:$H$5000,6,FALSE),"")</f>
        <v/>
      </c>
      <c r="L76" t="inlineStr">
        <is>
          <t>NO</t>
        </is>
      </c>
      <c r="IK76" t="inlineStr">
        <is>
          <t>ez_manage.py:3418 top()</t>
        </is>
      </c>
      <c r="IL76" t="inlineStr">
        <is>
          <t>v12_quick_engine.py:2119 x5</t>
        </is>
      </c>
    </row>
    <row r="77" ht="10.5" customHeight="1" s="67">
      <c r="A77" t="inlineStr">
        <is>
          <t>LEGACY_PROC_SINGLE_REENTRY</t>
        </is>
      </c>
      <c r="B77" t="inlineStr">
        <is>
          <t>1.0</t>
        </is>
      </c>
      <c r="G77">
        <f>IFERROR(VLOOKUP($A78&amp;"_"&amp;$B78,Results_Deltas!$A$2:$P$15000,5,FALSE),"")</f>
        <v/>
      </c>
      <c r="H77">
        <f>IFERROR(VLOOKUP($A78,Results_30d_Deltas!$A$2:$H$5000,7,FALSE)-E77,"")</f>
        <v/>
      </c>
      <c r="I77">
        <f>IFERROR(VLOOKUP($A78,Results_30d_Deltas!$A$2:$H$5000,6,FALSE),"")</f>
        <v/>
      </c>
      <c r="L77" t="inlineStr">
        <is>
          <t>NO</t>
        </is>
      </c>
      <c r="IK77" t="inlineStr">
        <is>
          <t>ez_manage.py:3418 top()</t>
        </is>
      </c>
      <c r="IL77" t="inlineStr">
        <is>
          <t>v12_quick_engine.py:2119 x5</t>
        </is>
      </c>
    </row>
    <row r="78" ht="10.5" customHeight="1" s="67">
      <c r="A78" t="inlineStr">
        <is>
          <t>LEGACY_PROC_SINGLE_REENTRY</t>
        </is>
      </c>
      <c r="B78" t="inlineStr">
        <is>
          <t>2.0</t>
        </is>
      </c>
      <c r="G78">
        <f>IFERROR(VLOOKUP($A79&amp;"_"&amp;$B79,Results_Deltas!$A$2:$P$15000,5,FALSE),"")</f>
        <v/>
      </c>
      <c r="H78">
        <f>IFERROR(VLOOKUP($A79,Results_30d_Deltas!$A$2:$H$5000,7,FALSE)-E78,"")</f>
        <v/>
      </c>
      <c r="I78">
        <f>IFERROR(VLOOKUP($A79,Results_30d_Deltas!$A$2:$H$5000,6,FALSE),"")</f>
        <v/>
      </c>
      <c r="L78" t="inlineStr">
        <is>
          <t>NO</t>
        </is>
      </c>
      <c r="IK78" t="inlineStr">
        <is>
          <t>ez_manage.py:3418 top()</t>
        </is>
      </c>
      <c r="IL78" t="inlineStr">
        <is>
          <t>v12_quick_engine.py:2119 x5</t>
        </is>
      </c>
    </row>
    <row r="79" ht="10.5" customHeight="1" s="67">
      <c r="A79" t="inlineStr">
        <is>
          <t>LEGACY_REENTRY_PSR_DC_BOUNCE</t>
        </is>
      </c>
      <c r="B79" t="inlineStr">
        <is>
          <t>0</t>
        </is>
      </c>
      <c r="G79">
        <f>IFERROR(VLOOKUP($A80&amp;"_"&amp;$B80,Results_Deltas!$A$2:$P$15000,5,FALSE),"")</f>
        <v/>
      </c>
      <c r="H79">
        <f>IFERROR(VLOOKUP($A80,Results_30d_Deltas!$A$2:$H$5000,7,FALSE)-E79,"")</f>
        <v/>
      </c>
      <c r="I79">
        <f>IFERROR(VLOOKUP($A80,Results_30d_Deltas!$A$2:$H$5000,6,FALSE),"")</f>
        <v/>
      </c>
      <c r="L79" t="inlineStr">
        <is>
          <t>NO</t>
        </is>
      </c>
      <c r="IK79" t="inlineStr">
        <is>
          <t>ez_manage.py:3422 top()</t>
        </is>
      </c>
      <c r="IL79" t="inlineStr">
        <is>
          <t>v12_quick_engine.py:2123 x5</t>
        </is>
      </c>
    </row>
    <row r="80" ht="10.5" customHeight="1" s="67">
      <c r="A80" t="inlineStr">
        <is>
          <t>LEGACY_REENTRY_PSR_DC_BOUNCE</t>
        </is>
      </c>
      <c r="B80" t="inlineStr">
        <is>
          <t>0.5</t>
        </is>
      </c>
      <c r="G80">
        <f>IFERROR(VLOOKUP($A81&amp;"_"&amp;$B81,Results_Deltas!$A$2:$P$15000,5,FALSE),"")</f>
        <v/>
      </c>
      <c r="H80">
        <f>IFERROR(VLOOKUP($A81,Results_30d_Deltas!$A$2:$H$5000,7,FALSE)-E80,"")</f>
        <v/>
      </c>
      <c r="I80">
        <f>IFERROR(VLOOKUP($A81,Results_30d_Deltas!$A$2:$H$5000,6,FALSE),"")</f>
        <v/>
      </c>
      <c r="L80" t="inlineStr">
        <is>
          <t>NO</t>
        </is>
      </c>
      <c r="IK80" t="inlineStr">
        <is>
          <t>ez_manage.py:3422 top()</t>
        </is>
      </c>
      <c r="IL80" t="inlineStr">
        <is>
          <t>v12_quick_engine.py:2123 x5</t>
        </is>
      </c>
    </row>
    <row r="81" ht="10.5" customHeight="1" s="67">
      <c r="A81" t="inlineStr">
        <is>
          <t>LEGACY_REENTRY_PSR_DC_BOUNCE</t>
        </is>
      </c>
      <c r="B81" t="inlineStr">
        <is>
          <t>1.0</t>
        </is>
      </c>
      <c r="G81">
        <f>IFERROR(VLOOKUP($A82&amp;"_"&amp;$B82,Results_Deltas!$A$2:$P$15000,5,FALSE),"")</f>
        <v/>
      </c>
      <c r="H81">
        <f>IFERROR(VLOOKUP($A82,Results_30d_Deltas!$A$2:$H$5000,7,FALSE)-E81,"")</f>
        <v/>
      </c>
      <c r="I81">
        <f>IFERROR(VLOOKUP($A82,Results_30d_Deltas!$A$2:$H$5000,6,FALSE),"")</f>
        <v/>
      </c>
      <c r="L81" t="inlineStr">
        <is>
          <t>NO</t>
        </is>
      </c>
      <c r="IK81" t="inlineStr">
        <is>
          <t>ez_manage.py:3422 top()</t>
        </is>
      </c>
      <c r="IL81" t="inlineStr">
        <is>
          <t>v12_quick_engine.py:2123 x5</t>
        </is>
      </c>
    </row>
    <row r="82" ht="10.5" customHeight="1" s="67">
      <c r="A82" t="inlineStr">
        <is>
          <t>LEGACY_REENTRY_PSR_DC_BOUNCE</t>
        </is>
      </c>
      <c r="B82" t="inlineStr">
        <is>
          <t>2.0</t>
        </is>
      </c>
      <c r="G82">
        <f>IFERROR(VLOOKUP($A83&amp;"_"&amp;$B83,Results_Deltas!$A$2:$P$15000,5,FALSE),"")</f>
        <v/>
      </c>
      <c r="H82">
        <f>IFERROR(VLOOKUP($A83,Results_30d_Deltas!$A$2:$H$5000,7,FALSE)-E82,"")</f>
        <v/>
      </c>
      <c r="I82">
        <f>IFERROR(VLOOKUP($A83,Results_30d_Deltas!$A$2:$H$5000,6,FALSE),"")</f>
        <v/>
      </c>
      <c r="L82" t="inlineStr">
        <is>
          <t>NO</t>
        </is>
      </c>
      <c r="IK82" t="inlineStr">
        <is>
          <t>ez_manage.py:3422 top()</t>
        </is>
      </c>
      <c r="IL82" t="inlineStr">
        <is>
          <t>v12_quick_engine.py:2123 x5</t>
        </is>
      </c>
    </row>
    <row r="83" ht="10.5" customHeight="1" s="67">
      <c r="A83" t="inlineStr">
        <is>
          <t>LEGACY_REENTRY_PSR_FULL_DC</t>
        </is>
      </c>
      <c r="B83" t="inlineStr">
        <is>
          <t>0</t>
        </is>
      </c>
      <c r="G83">
        <f>IFERROR(VLOOKUP($A84&amp;"_"&amp;$B84,Results_Deltas!$A$2:$P$15000,5,FALSE),"")</f>
        <v/>
      </c>
      <c r="H83">
        <f>IFERROR(VLOOKUP($A84,Results_30d_Deltas!$A$2:$H$5000,7,FALSE)-E83,"")</f>
        <v/>
      </c>
      <c r="I83">
        <f>IFERROR(VLOOKUP($A84,Results_30d_Deltas!$A$2:$H$5000,6,FALSE),"")</f>
        <v/>
      </c>
      <c r="L83" t="inlineStr">
        <is>
          <t>NO</t>
        </is>
      </c>
      <c r="IK83" t="inlineStr">
        <is>
          <t>ez_manage.py:3423 top()</t>
        </is>
      </c>
      <c r="IL83" t="inlineStr">
        <is>
          <t>v12_quick_engine.py:2124 x5</t>
        </is>
      </c>
    </row>
    <row r="84" ht="10.5" customHeight="1" s="67">
      <c r="A84" t="inlineStr">
        <is>
          <t>LEGACY_REENTRY_PSR_FULL_DC</t>
        </is>
      </c>
      <c r="B84" t="inlineStr">
        <is>
          <t>0.5</t>
        </is>
      </c>
      <c r="G84">
        <f>IFERROR(VLOOKUP($A85&amp;"_"&amp;$B85,Results_Deltas!$A$2:$P$15000,5,FALSE),"")</f>
        <v/>
      </c>
      <c r="H84">
        <f>IFERROR(VLOOKUP($A85,Results_30d_Deltas!$A$2:$H$5000,7,FALSE)-E84,"")</f>
        <v/>
      </c>
      <c r="I84">
        <f>IFERROR(VLOOKUP($A85,Results_30d_Deltas!$A$2:$H$5000,6,FALSE),"")</f>
        <v/>
      </c>
      <c r="L84" t="inlineStr">
        <is>
          <t>NO</t>
        </is>
      </c>
      <c r="IK84" t="inlineStr">
        <is>
          <t>ez_manage.py:3423 top()</t>
        </is>
      </c>
      <c r="IL84" t="inlineStr">
        <is>
          <t>v12_quick_engine.py:2124 x5</t>
        </is>
      </c>
    </row>
    <row r="85" ht="10.5" customHeight="1" s="67">
      <c r="A85" t="inlineStr">
        <is>
          <t>LEGACY_REENTRY_PSR_FULL_DC</t>
        </is>
      </c>
      <c r="B85" t="inlineStr">
        <is>
          <t>1.0</t>
        </is>
      </c>
      <c r="G85">
        <f>IFERROR(VLOOKUP($A86&amp;"_"&amp;$B86,Results_Deltas!$A$2:$P$15000,5,FALSE),"")</f>
        <v/>
      </c>
      <c r="H85">
        <f>IFERROR(VLOOKUP($A86,Results_30d_Deltas!$A$2:$H$5000,7,FALSE)-E85,"")</f>
        <v/>
      </c>
      <c r="I85">
        <f>IFERROR(VLOOKUP($A86,Results_30d_Deltas!$A$2:$H$5000,6,FALSE),"")</f>
        <v/>
      </c>
      <c r="L85" t="inlineStr">
        <is>
          <t>NO</t>
        </is>
      </c>
      <c r="IK85" t="inlineStr">
        <is>
          <t>ez_manage.py:3423 top()</t>
        </is>
      </c>
      <c r="IL85" t="inlineStr">
        <is>
          <t>v12_quick_engine.py:2124 x5</t>
        </is>
      </c>
    </row>
    <row r="86" ht="10.5" customHeight="1" s="67">
      <c r="A86" t="inlineStr">
        <is>
          <t>LEGACY_REENTRY_PSR_FULL_DC</t>
        </is>
      </c>
      <c r="B86" t="inlineStr">
        <is>
          <t>2.0</t>
        </is>
      </c>
      <c r="G86">
        <f>IFERROR(VLOOKUP($A87&amp;"_"&amp;$B87,Results_Deltas!$A$2:$P$15000,5,FALSE),"")</f>
        <v/>
      </c>
      <c r="H86">
        <f>IFERROR(VLOOKUP($A87,Results_30d_Deltas!$A$2:$H$5000,7,FALSE)-E86,"")</f>
        <v/>
      </c>
      <c r="I86">
        <f>IFERROR(VLOOKUP($A87,Results_30d_Deltas!$A$2:$H$5000,6,FALSE),"")</f>
        <v/>
      </c>
      <c r="L86" t="inlineStr">
        <is>
          <t>NO</t>
        </is>
      </c>
      <c r="IK86" t="inlineStr">
        <is>
          <t>ez_manage.py:3423 top()</t>
        </is>
      </c>
      <c r="IL86" t="inlineStr">
        <is>
          <t>v12_quick_engine.py:2124 x5</t>
        </is>
      </c>
    </row>
    <row r="87" ht="10.5" customHeight="1" s="67">
      <c r="A87" t="inlineStr">
        <is>
          <t>LEGACY_REENTRY_PSR_K_DC_CROSSOVER</t>
        </is>
      </c>
      <c r="B87" t="inlineStr">
        <is>
          <t>0</t>
        </is>
      </c>
      <c r="G87">
        <f>IFERROR(VLOOKUP($A88&amp;"_"&amp;$B88,Results_Deltas!$A$2:$P$15000,5,FALSE),"")</f>
        <v/>
      </c>
      <c r="H87">
        <f>IFERROR(VLOOKUP($A88,Results_30d_Deltas!$A$2:$H$5000,7,FALSE)-E87,"")</f>
        <v/>
      </c>
      <c r="I87">
        <f>IFERROR(VLOOKUP($A88,Results_30d_Deltas!$A$2:$H$5000,6,FALSE),"")</f>
        <v/>
      </c>
      <c r="L87" t="inlineStr">
        <is>
          <t>NO</t>
        </is>
      </c>
      <c r="IK87" t="inlineStr">
        <is>
          <t>ez_manage.py:3424 top()</t>
        </is>
      </c>
      <c r="IL87" t="inlineStr">
        <is>
          <t>v12_quick_engine.py:2125 x5</t>
        </is>
      </c>
    </row>
    <row r="88" ht="10.5" customHeight="1" s="67">
      <c r="A88" t="inlineStr">
        <is>
          <t>LEGACY_REENTRY_PSR_K_DC_CROSSOVER</t>
        </is>
      </c>
      <c r="B88" t="inlineStr">
        <is>
          <t>0.5</t>
        </is>
      </c>
      <c r="G88">
        <f>IFERROR(VLOOKUP($A89&amp;"_"&amp;$B89,Results_Deltas!$A$2:$P$15000,5,FALSE),"")</f>
        <v/>
      </c>
      <c r="H88">
        <f>IFERROR(VLOOKUP($A89,Results_30d_Deltas!$A$2:$H$5000,7,FALSE)-E88,"")</f>
        <v/>
      </c>
      <c r="I88">
        <f>IFERROR(VLOOKUP($A89,Results_30d_Deltas!$A$2:$H$5000,6,FALSE),"")</f>
        <v/>
      </c>
      <c r="L88" t="inlineStr">
        <is>
          <t>NO</t>
        </is>
      </c>
      <c r="IK88" t="inlineStr">
        <is>
          <t>ez_manage.py:3424 top()</t>
        </is>
      </c>
      <c r="IL88" t="inlineStr">
        <is>
          <t>v12_quick_engine.py:2125 x5</t>
        </is>
      </c>
    </row>
    <row r="89" ht="10.5" customHeight="1" s="67">
      <c r="A89" t="inlineStr">
        <is>
          <t>LEGACY_REENTRY_PSR_K_DC_CROSSOVER</t>
        </is>
      </c>
      <c r="B89" t="inlineStr">
        <is>
          <t>1.0</t>
        </is>
      </c>
      <c r="G89">
        <f>IFERROR(VLOOKUP($A90&amp;"_"&amp;$B90,Results_Deltas!$A$2:$P$15000,5,FALSE),"")</f>
        <v/>
      </c>
      <c r="H89">
        <f>IFERROR(VLOOKUP($A90,Results_30d_Deltas!$A$2:$H$5000,7,FALSE)-E89,"")</f>
        <v/>
      </c>
      <c r="I89">
        <f>IFERROR(VLOOKUP($A90,Results_30d_Deltas!$A$2:$H$5000,6,FALSE),"")</f>
        <v/>
      </c>
      <c r="L89" t="inlineStr">
        <is>
          <t>NO</t>
        </is>
      </c>
      <c r="IK89" t="inlineStr">
        <is>
          <t>ez_manage.py:3424 top()</t>
        </is>
      </c>
      <c r="IL89" t="inlineStr">
        <is>
          <t>v12_quick_engine.py:2125 x5</t>
        </is>
      </c>
    </row>
    <row r="90" ht="10.5" customHeight="1" s="67">
      <c r="A90" t="inlineStr">
        <is>
          <t>LEGACY_REENTRY_PSR_K_DC_CROSSOVER</t>
        </is>
      </c>
      <c r="B90" t="inlineStr">
        <is>
          <t>2.0</t>
        </is>
      </c>
      <c r="G90">
        <f>IFERROR(VLOOKUP($A91&amp;"_"&amp;$B91,Results_Deltas!$A$2:$P$15000,5,FALSE),"")</f>
        <v/>
      </c>
      <c r="H90">
        <f>IFERROR(VLOOKUP($A91,Results_30d_Deltas!$A$2:$H$5000,7,FALSE)-E90,"")</f>
        <v/>
      </c>
      <c r="I90">
        <f>IFERROR(VLOOKUP($A91,Results_30d_Deltas!$A$2:$H$5000,6,FALSE),"")</f>
        <v/>
      </c>
      <c r="L90" t="inlineStr">
        <is>
          <t>NO</t>
        </is>
      </c>
      <c r="IK90" t="inlineStr">
        <is>
          <t>ez_manage.py:3424 top()</t>
        </is>
      </c>
      <c r="IL90" t="inlineStr">
        <is>
          <t>v12_quick_engine.py:2125 x5</t>
        </is>
      </c>
    </row>
    <row r="91" ht="10.5" customHeight="1" s="67">
      <c r="A91" t="inlineStr">
        <is>
          <t>LEGACY_REENTRY_PSR_QUICK_RECOVERY</t>
        </is>
      </c>
      <c r="B91" t="inlineStr">
        <is>
          <t>0</t>
        </is>
      </c>
      <c r="G91">
        <f>IFERROR(VLOOKUP($A92&amp;"_"&amp;$B92,Results_Deltas!$A$2:$P$15000,5,FALSE),"")</f>
        <v/>
      </c>
      <c r="H91">
        <f>IFERROR(VLOOKUP($A92,Results_30d_Deltas!$A$2:$H$5000,7,FALSE)-E91,"")</f>
        <v/>
      </c>
      <c r="I91">
        <f>IFERROR(VLOOKUP($A92,Results_30d_Deltas!$A$2:$H$5000,6,FALSE),"")</f>
        <v/>
      </c>
      <c r="L91" t="inlineStr">
        <is>
          <t>NO</t>
        </is>
      </c>
      <c r="IK91" t="inlineStr">
        <is>
          <t>ez_manage.py:3425 top()</t>
        </is>
      </c>
      <c r="IL91" t="inlineStr">
        <is>
          <t>v12_quick_engine.py:2126 x4</t>
        </is>
      </c>
    </row>
    <row r="92" ht="10.5" customHeight="1" s="67">
      <c r="A92" t="inlineStr">
        <is>
          <t>LEGACY_REENTRY_PSR_QUICK_RECOVERY</t>
        </is>
      </c>
      <c r="B92" t="inlineStr">
        <is>
          <t>0.5</t>
        </is>
      </c>
      <c r="G92">
        <f>IFERROR(VLOOKUP($A93&amp;"_"&amp;$B93,Results_Deltas!$A$2:$P$15000,5,FALSE),"")</f>
        <v/>
      </c>
      <c r="H92">
        <f>IFERROR(VLOOKUP($A93,Results_30d_Deltas!$A$2:$H$5000,7,FALSE)-E92,"")</f>
        <v/>
      </c>
      <c r="I92">
        <f>IFERROR(VLOOKUP($A93,Results_30d_Deltas!$A$2:$H$5000,6,FALSE),"")</f>
        <v/>
      </c>
      <c r="L92" t="inlineStr">
        <is>
          <t>NO</t>
        </is>
      </c>
      <c r="IK92" t="inlineStr">
        <is>
          <t>ez_manage.py:3425 top()</t>
        </is>
      </c>
      <c r="IL92" t="inlineStr">
        <is>
          <t>v12_quick_engine.py:2126 x4</t>
        </is>
      </c>
    </row>
    <row r="93" ht="10.5" customHeight="1" s="67">
      <c r="A93" t="inlineStr">
        <is>
          <t>LEGACY_REENTRY_PSR_QUICK_RECOVERY</t>
        </is>
      </c>
      <c r="B93" t="inlineStr">
        <is>
          <t>1.0</t>
        </is>
      </c>
      <c r="G93">
        <f>IFERROR(VLOOKUP($A94&amp;"_"&amp;$B94,Results_Deltas!$A$2:$P$15000,5,FALSE),"")</f>
        <v/>
      </c>
      <c r="H93">
        <f>IFERROR(VLOOKUP($A94,Results_30d_Deltas!$A$2:$H$5000,7,FALSE)-E93,"")</f>
        <v/>
      </c>
      <c r="I93">
        <f>IFERROR(VLOOKUP($A94,Results_30d_Deltas!$A$2:$H$5000,6,FALSE),"")</f>
        <v/>
      </c>
      <c r="L93" t="inlineStr">
        <is>
          <t>NO</t>
        </is>
      </c>
      <c r="IK93" t="inlineStr">
        <is>
          <t>ez_manage.py:3425 top()</t>
        </is>
      </c>
      <c r="IL93" t="inlineStr">
        <is>
          <t>v12_quick_engine.py:2126 x4</t>
        </is>
      </c>
    </row>
    <row r="94" ht="10.5" customHeight="1" s="67">
      <c r="A94" t="inlineStr">
        <is>
          <t>LEGACY_REENTRY_PSR_QUICK_RECOVERY</t>
        </is>
      </c>
      <c r="B94" t="inlineStr">
        <is>
          <t>2.0</t>
        </is>
      </c>
      <c r="G94">
        <f>IFERROR(VLOOKUP($A95&amp;"_"&amp;$B95,Results_Deltas!$A$2:$P$15000,5,FALSE),"")</f>
        <v/>
      </c>
      <c r="H94">
        <f>IFERROR(VLOOKUP($A95,Results_30d_Deltas!$A$2:$H$5000,7,FALSE)-E94,"")</f>
        <v/>
      </c>
      <c r="I94">
        <f>IFERROR(VLOOKUP($A95,Results_30d_Deltas!$A$2:$H$5000,6,FALSE),"")</f>
        <v/>
      </c>
      <c r="L94" t="inlineStr">
        <is>
          <t>NO</t>
        </is>
      </c>
      <c r="IK94" t="inlineStr">
        <is>
          <t>ez_manage.py:3425 top()</t>
        </is>
      </c>
      <c r="IL94" t="inlineStr">
        <is>
          <t>v12_quick_engine.py:2126 x4</t>
        </is>
      </c>
    </row>
    <row r="95" ht="10.5" customHeight="1" s="67">
      <c r="A95" t="inlineStr">
        <is>
          <t>MANDATORY_REENTRY_ALLOW_WT0_STRONG_CROSS</t>
        </is>
      </c>
      <c r="B95" t="inlineStr">
        <is>
          <t>0</t>
        </is>
      </c>
      <c r="G95">
        <f>IFERROR(VLOOKUP($A96&amp;"_"&amp;$B96,Results_Deltas!$A$2:$P$15000,5,FALSE),"")</f>
        <v/>
      </c>
      <c r="H95">
        <f>IFERROR(VLOOKUP($A96,Results_30d_Deltas!$A$2:$H$5000,7,FALSE)-E95,"")</f>
        <v/>
      </c>
      <c r="I95">
        <f>IFERROR(VLOOKUP($A96,Results_30d_Deltas!$A$2:$H$5000,6,FALSE),"")</f>
        <v/>
      </c>
      <c r="L95" t="inlineStr">
        <is>
          <t>NO</t>
        </is>
      </c>
      <c r="IK95" t="inlineStr">
        <is>
          <t>ez_manage.py:4960 top()</t>
        </is>
      </c>
      <c r="IL95" t="inlineStr">
        <is>
          <t>v12_quick_engine.py:2245 x4</t>
        </is>
      </c>
    </row>
    <row r="96" ht="10.5" customHeight="1" s="67">
      <c r="A96" t="inlineStr">
        <is>
          <t>MANDATORY_REENTRY_ALLOW_WT0_STRONG_CROSS</t>
        </is>
      </c>
      <c r="B96" t="inlineStr">
        <is>
          <t>0.5</t>
        </is>
      </c>
      <c r="G96">
        <f>IFERROR(VLOOKUP($A97&amp;"_"&amp;$B97,Results_Deltas!$A$2:$P$15000,5,FALSE),"")</f>
        <v/>
      </c>
      <c r="H96">
        <f>IFERROR(VLOOKUP($A97,Results_30d_Deltas!$A$2:$H$5000,7,FALSE)-E96,"")</f>
        <v/>
      </c>
      <c r="I96">
        <f>IFERROR(VLOOKUP($A97,Results_30d_Deltas!$A$2:$H$5000,6,FALSE),"")</f>
        <v/>
      </c>
      <c r="L96" t="inlineStr">
        <is>
          <t>NO</t>
        </is>
      </c>
      <c r="IK96" t="inlineStr">
        <is>
          <t>ez_manage.py:4960 top()</t>
        </is>
      </c>
      <c r="IL96" t="inlineStr">
        <is>
          <t>v12_quick_engine.py:2245 x4</t>
        </is>
      </c>
    </row>
    <row r="97" ht="10.5" customHeight="1" s="67">
      <c r="A97" t="inlineStr">
        <is>
          <t>MANDATORY_REENTRY_ALLOW_WT0_STRONG_CROSS</t>
        </is>
      </c>
      <c r="B97" t="inlineStr">
        <is>
          <t>1.0</t>
        </is>
      </c>
      <c r="G97">
        <f>IFERROR(VLOOKUP($A98&amp;"_"&amp;$B98,Results_Deltas!$A$2:$P$15000,5,FALSE),"")</f>
        <v/>
      </c>
      <c r="H97">
        <f>IFERROR(VLOOKUP($A98,Results_30d_Deltas!$A$2:$H$5000,7,FALSE)-E97,"")</f>
        <v/>
      </c>
      <c r="I97">
        <f>IFERROR(VLOOKUP($A98,Results_30d_Deltas!$A$2:$H$5000,6,FALSE),"")</f>
        <v/>
      </c>
      <c r="L97" t="inlineStr">
        <is>
          <t>NO</t>
        </is>
      </c>
      <c r="IK97" t="inlineStr">
        <is>
          <t>ez_manage.py:4960 top()</t>
        </is>
      </c>
      <c r="IL97" t="inlineStr">
        <is>
          <t>v12_quick_engine.py:2245 x4</t>
        </is>
      </c>
    </row>
    <row r="98" ht="10.5" customHeight="1" s="67">
      <c r="A98" t="inlineStr">
        <is>
          <t>MANDATORY_REENTRY_ALLOW_WT0_STRONG_CROSS</t>
        </is>
      </c>
      <c r="B98" t="inlineStr">
        <is>
          <t>2.0</t>
        </is>
      </c>
      <c r="G98">
        <f>IFERROR(VLOOKUP($A99&amp;"_"&amp;$B99,Results_Deltas!$A$2:$P$15000,5,FALSE),"")</f>
        <v/>
      </c>
      <c r="H98">
        <f>IFERROR(VLOOKUP($A99,Results_30d_Deltas!$A$2:$H$5000,7,FALSE)-E98,"")</f>
        <v/>
      </c>
      <c r="I98">
        <f>IFERROR(VLOOKUP($A99,Results_30d_Deltas!$A$2:$H$5000,6,FALSE),"")</f>
        <v/>
      </c>
      <c r="L98" t="inlineStr">
        <is>
          <t>NO</t>
        </is>
      </c>
      <c r="IK98" t="inlineStr">
        <is>
          <t>ez_manage.py:4960 top()</t>
        </is>
      </c>
      <c r="IL98" t="inlineStr">
        <is>
          <t>v12_quick_engine.py:2245 x4</t>
        </is>
      </c>
    </row>
    <row r="99" ht="10.5" customHeight="1" s="67">
      <c r="A99" t="inlineStr">
        <is>
          <t>MANDATORY_REENTRY_K_HIGH_BLOCK</t>
        </is>
      </c>
      <c r="B99" t="inlineStr">
        <is>
          <t>0</t>
        </is>
      </c>
      <c r="G99">
        <f>IFERROR(VLOOKUP($A100&amp;"_"&amp;$B100,Results_Deltas!$A$2:$P$15000,5,FALSE),"")</f>
        <v/>
      </c>
      <c r="H99">
        <f>IFERROR(VLOOKUP($A100,Results_30d_Deltas!$A$2:$H$5000,7,FALSE)-E99,"")</f>
        <v/>
      </c>
      <c r="I99">
        <f>IFERROR(VLOOKUP($A100,Results_30d_Deltas!$A$2:$H$5000,6,FALSE),"")</f>
        <v/>
      </c>
      <c r="L99" t="inlineStr">
        <is>
          <t>NO</t>
        </is>
      </c>
      <c r="IK99" t="inlineStr">
        <is>
          <t>ez_manage.py:4961 top()</t>
        </is>
      </c>
      <c r="IL99" t="inlineStr">
        <is>
          <t>v12_quick_engine.py:2247 x2</t>
        </is>
      </c>
    </row>
    <row r="100" ht="10.5" customHeight="1" s="67">
      <c r="A100" t="inlineStr">
        <is>
          <t>MANDATORY_REENTRY_K_HIGH_BLOCK</t>
        </is>
      </c>
      <c r="B100" t="inlineStr">
        <is>
          <t>0.5</t>
        </is>
      </c>
      <c r="G100">
        <f>IFERROR(VLOOKUP($A101&amp;"_"&amp;$B101,Results_Deltas!$A$2:$P$15000,5,FALSE),"")</f>
        <v/>
      </c>
      <c r="H100">
        <f>IFERROR(VLOOKUP($A101,Results_30d_Deltas!$A$2:$H$5000,7,FALSE)-E100,"")</f>
        <v/>
      </c>
      <c r="I100">
        <f>IFERROR(VLOOKUP($A101,Results_30d_Deltas!$A$2:$H$5000,6,FALSE),"")</f>
        <v/>
      </c>
      <c r="L100" t="inlineStr">
        <is>
          <t>NO</t>
        </is>
      </c>
      <c r="IK100" t="inlineStr">
        <is>
          <t>ez_manage.py:4961 top()</t>
        </is>
      </c>
      <c r="IL100" t="inlineStr">
        <is>
          <t>v12_quick_engine.py:2247 x2</t>
        </is>
      </c>
    </row>
    <row r="101" ht="10.5" customHeight="1" s="67">
      <c r="A101" t="inlineStr">
        <is>
          <t>MANDATORY_REENTRY_K_HIGH_BLOCK</t>
        </is>
      </c>
      <c r="B101" t="inlineStr">
        <is>
          <t>1.0</t>
        </is>
      </c>
      <c r="G101">
        <f>IFERROR(VLOOKUP($A102&amp;"_"&amp;$B102,Results_Deltas!$A$2:$P$15000,5,FALSE),"")</f>
        <v/>
      </c>
      <c r="H101">
        <f>IFERROR(VLOOKUP($A102,Results_30d_Deltas!$A$2:$H$5000,7,FALSE)-E101,"")</f>
        <v/>
      </c>
      <c r="I101">
        <f>IFERROR(VLOOKUP($A102,Results_30d_Deltas!$A$2:$H$5000,6,FALSE),"")</f>
        <v/>
      </c>
      <c r="L101" t="inlineStr">
        <is>
          <t>NO</t>
        </is>
      </c>
      <c r="IK101" t="inlineStr">
        <is>
          <t>ez_manage.py:4961 top()</t>
        </is>
      </c>
      <c r="IL101" t="inlineStr">
        <is>
          <t>v12_quick_engine.py:2247 x2</t>
        </is>
      </c>
    </row>
    <row r="102" ht="10.5" customHeight="1" s="67">
      <c r="A102" t="inlineStr">
        <is>
          <t>MANDATORY_REENTRY_K_HIGH_BLOCK</t>
        </is>
      </c>
      <c r="B102" t="inlineStr">
        <is>
          <t>2.0</t>
        </is>
      </c>
      <c r="G102">
        <f>IFERROR(VLOOKUP($A103&amp;"_"&amp;$B103,Results_Deltas!$A$2:$P$15000,5,FALSE),"")</f>
        <v/>
      </c>
      <c r="H102">
        <f>IFERROR(VLOOKUP($A103,Results_30d_Deltas!$A$2:$H$5000,7,FALSE)-E102,"")</f>
        <v/>
      </c>
      <c r="I102">
        <f>IFERROR(VLOOKUP($A103,Results_30d_Deltas!$A$2:$H$5000,6,FALSE),"")</f>
        <v/>
      </c>
      <c r="L102" t="inlineStr">
        <is>
          <t>NO</t>
        </is>
      </c>
      <c r="IK102" t="inlineStr">
        <is>
          <t>ez_manage.py:4961 top()</t>
        </is>
      </c>
      <c r="IL102" t="inlineStr">
        <is>
          <t>v12_quick_engine.py:2247 x2</t>
        </is>
      </c>
    </row>
    <row r="103" ht="10.5" customHeight="1" s="67">
      <c r="A103" t="inlineStr">
        <is>
          <t>MANDATORY_REENTRY_K_LOW_BLOCK</t>
        </is>
      </c>
      <c r="B103" t="inlineStr">
        <is>
          <t>0</t>
        </is>
      </c>
      <c r="G103">
        <f>IFERROR(VLOOKUP($A104&amp;"_"&amp;$B104,Results_Deltas!$A$2:$P$15000,5,FALSE),"")</f>
        <v/>
      </c>
      <c r="H103">
        <f>IFERROR(VLOOKUP($A104,Results_30d_Deltas!$A$2:$H$5000,7,FALSE)-E103,"")</f>
        <v/>
      </c>
      <c r="I103">
        <f>IFERROR(VLOOKUP($A104,Results_30d_Deltas!$A$2:$H$5000,6,FALSE),"")</f>
        <v/>
      </c>
      <c r="L103" t="inlineStr">
        <is>
          <t>NO</t>
        </is>
      </c>
      <c r="IK103" t="inlineStr">
        <is>
          <t>ez_manage.py:4962 top()</t>
        </is>
      </c>
      <c r="IL103" t="inlineStr">
        <is>
          <t>v12_quick_engine.py:2248 x2</t>
        </is>
      </c>
    </row>
    <row r="104" ht="10.5" customHeight="1" s="67">
      <c r="A104" t="inlineStr">
        <is>
          <t>MANDATORY_REENTRY_K_LOW_BLOCK</t>
        </is>
      </c>
      <c r="B104" t="inlineStr">
        <is>
          <t>0.5</t>
        </is>
      </c>
      <c r="G104">
        <f>IFERROR(VLOOKUP($A105&amp;"_"&amp;$B105,Results_Deltas!$A$2:$P$15000,5,FALSE),"")</f>
        <v/>
      </c>
      <c r="H104">
        <f>IFERROR(VLOOKUP($A105,Results_30d_Deltas!$A$2:$H$5000,7,FALSE)-E104,"")</f>
        <v/>
      </c>
      <c r="I104">
        <f>IFERROR(VLOOKUP($A105,Results_30d_Deltas!$A$2:$H$5000,6,FALSE),"")</f>
        <v/>
      </c>
      <c r="L104" t="inlineStr">
        <is>
          <t>NO</t>
        </is>
      </c>
      <c r="IK104" t="inlineStr">
        <is>
          <t>ez_manage.py:4962 top()</t>
        </is>
      </c>
      <c r="IL104" t="inlineStr">
        <is>
          <t>v12_quick_engine.py:2248 x2</t>
        </is>
      </c>
    </row>
    <row r="105" ht="10.5" customHeight="1" s="67">
      <c r="A105" t="inlineStr">
        <is>
          <t>MANDATORY_REENTRY_K_LOW_BLOCK</t>
        </is>
      </c>
      <c r="B105" t="inlineStr">
        <is>
          <t>1.0</t>
        </is>
      </c>
      <c r="G105">
        <f>IFERROR(VLOOKUP($A106&amp;"_"&amp;$B106,Results_Deltas!$A$2:$P$15000,5,FALSE),"")</f>
        <v/>
      </c>
      <c r="H105">
        <f>IFERROR(VLOOKUP($A106,Results_30d_Deltas!$A$2:$H$5000,7,FALSE)-E105,"")</f>
        <v/>
      </c>
      <c r="I105">
        <f>IFERROR(VLOOKUP($A106,Results_30d_Deltas!$A$2:$H$5000,6,FALSE),"")</f>
        <v/>
      </c>
      <c r="L105" t="inlineStr">
        <is>
          <t>NO</t>
        </is>
      </c>
      <c r="IK105" t="inlineStr">
        <is>
          <t>ez_manage.py:4962 top()</t>
        </is>
      </c>
      <c r="IL105" t="inlineStr">
        <is>
          <t>v12_quick_engine.py:2248 x2</t>
        </is>
      </c>
    </row>
    <row r="106" ht="10.5" customHeight="1" s="67">
      <c r="A106" t="inlineStr">
        <is>
          <t>MANDATORY_REENTRY_K_LOW_BLOCK</t>
        </is>
      </c>
      <c r="B106" t="inlineStr">
        <is>
          <t>2.0</t>
        </is>
      </c>
      <c r="G106">
        <f>IFERROR(VLOOKUP($A107&amp;"_"&amp;$B107,Results_Deltas!$A$2:$P$15000,5,FALSE),"")</f>
        <v/>
      </c>
      <c r="H106">
        <f>IFERROR(VLOOKUP($A107,Results_30d_Deltas!$A$2:$H$5000,7,FALSE)-E106,"")</f>
        <v/>
      </c>
      <c r="I106">
        <f>IFERROR(VLOOKUP($A107,Results_30d_Deltas!$A$2:$H$5000,6,FALSE),"")</f>
        <v/>
      </c>
      <c r="L106" t="inlineStr">
        <is>
          <t>NO</t>
        </is>
      </c>
      <c r="IK106" t="inlineStr">
        <is>
          <t>ez_manage.py:4962 top()</t>
        </is>
      </c>
      <c r="IL106" t="inlineStr">
        <is>
          <t>v12_quick_engine.py:2248 x2</t>
        </is>
      </c>
    </row>
    <row r="107" ht="10.5" customHeight="1" s="67">
      <c r="A107" t="inlineStr">
        <is>
          <t>MANDATORY_REENTRY_REQUIRE_K_NOT_EXTREME</t>
        </is>
      </c>
      <c r="B107" t="inlineStr">
        <is>
          <t>0</t>
        </is>
      </c>
      <c r="G107">
        <f>IFERROR(VLOOKUP($A108&amp;"_"&amp;$B108,Results_Deltas!$A$2:$P$15000,5,FALSE),"")</f>
        <v/>
      </c>
      <c r="H107">
        <f>IFERROR(VLOOKUP($A108,Results_30d_Deltas!$A$2:$H$5000,7,FALSE)-E107,"")</f>
        <v/>
      </c>
      <c r="I107">
        <f>IFERROR(VLOOKUP($A108,Results_30d_Deltas!$A$2:$H$5000,6,FALSE),"")</f>
        <v/>
      </c>
      <c r="L107" t="inlineStr">
        <is>
          <t>NO</t>
        </is>
      </c>
      <c r="IK107" t="inlineStr">
        <is>
          <t>ez_manage.py:4964 top()</t>
        </is>
      </c>
      <c r="IL107" t="inlineStr">
        <is>
          <t>v12_quick_engine.py:2250 x2</t>
        </is>
      </c>
    </row>
    <row r="108" ht="10.5" customHeight="1" s="67">
      <c r="A108" t="inlineStr">
        <is>
          <t>MANDATORY_REENTRY_REQUIRE_K_NOT_EXTREME</t>
        </is>
      </c>
      <c r="B108" t="inlineStr">
        <is>
          <t>0.5</t>
        </is>
      </c>
      <c r="G108">
        <f>IFERROR(VLOOKUP($A109&amp;"_"&amp;$B109,Results_Deltas!$A$2:$P$15000,5,FALSE),"")</f>
        <v/>
      </c>
      <c r="H108">
        <f>IFERROR(VLOOKUP($A109,Results_30d_Deltas!$A$2:$H$5000,7,FALSE)-E108,"")</f>
        <v/>
      </c>
      <c r="I108">
        <f>IFERROR(VLOOKUP($A109,Results_30d_Deltas!$A$2:$H$5000,6,FALSE),"")</f>
        <v/>
      </c>
      <c r="L108" t="inlineStr">
        <is>
          <t>NO</t>
        </is>
      </c>
      <c r="IK108" t="inlineStr">
        <is>
          <t>ez_manage.py:4964 top()</t>
        </is>
      </c>
      <c r="IL108" t="inlineStr">
        <is>
          <t>v12_quick_engine.py:2250 x2</t>
        </is>
      </c>
    </row>
    <row r="109" ht="10.5" customHeight="1" s="67">
      <c r="A109" t="inlineStr">
        <is>
          <t>MANDATORY_REENTRY_REQUIRE_K_NOT_EXTREME</t>
        </is>
      </c>
      <c r="B109" t="inlineStr">
        <is>
          <t>1.0</t>
        </is>
      </c>
      <c r="G109">
        <f>IFERROR(VLOOKUP($A110&amp;"_"&amp;$B110,Results_Deltas!$A$2:$P$15000,5,FALSE),"")</f>
        <v/>
      </c>
      <c r="H109">
        <f>IFERROR(VLOOKUP($A110,Results_30d_Deltas!$A$2:$H$5000,7,FALSE)-E109,"")</f>
        <v/>
      </c>
      <c r="I109">
        <f>IFERROR(VLOOKUP($A110,Results_30d_Deltas!$A$2:$H$5000,6,FALSE),"")</f>
        <v/>
      </c>
      <c r="L109" t="inlineStr">
        <is>
          <t>NO</t>
        </is>
      </c>
      <c r="IK109" t="inlineStr">
        <is>
          <t>ez_manage.py:4964 top()</t>
        </is>
      </c>
      <c r="IL109" t="inlineStr">
        <is>
          <t>v12_quick_engine.py:2250 x2</t>
        </is>
      </c>
    </row>
    <row r="110" ht="10.5" customHeight="1" s="67">
      <c r="A110" t="inlineStr">
        <is>
          <t>MANDATORY_REENTRY_REQUIRE_K_NOT_EXTREME</t>
        </is>
      </c>
      <c r="B110" t="inlineStr">
        <is>
          <t>2.0</t>
        </is>
      </c>
      <c r="G110">
        <f>IFERROR(VLOOKUP($A111&amp;"_"&amp;$B111,Results_Deltas!$A$2:$P$15000,5,FALSE),"")</f>
        <v/>
      </c>
      <c r="H110">
        <f>IFERROR(VLOOKUP($A111,Results_30d_Deltas!$A$2:$H$5000,7,FALSE)-E110,"")</f>
        <v/>
      </c>
      <c r="I110">
        <f>IFERROR(VLOOKUP($A111,Results_30d_Deltas!$A$2:$H$5000,6,FALSE),"")</f>
        <v/>
      </c>
      <c r="L110" t="inlineStr">
        <is>
          <t>NO</t>
        </is>
      </c>
      <c r="IK110" t="inlineStr">
        <is>
          <t>ez_manage.py:4964 top()</t>
        </is>
      </c>
      <c r="IL110" t="inlineStr">
        <is>
          <t>v12_quick_engine.py:2250 x2</t>
        </is>
      </c>
    </row>
    <row r="111" ht="10.5" customHeight="1" s="67">
      <c r="A111" t="inlineStr">
        <is>
          <t>MU_CORRECTION_REENTRY_ENABLED</t>
        </is>
      </c>
      <c r="B111" t="inlineStr">
        <is>
          <t>False</t>
        </is>
      </c>
      <c r="G111">
        <f>IFERROR(VLOOKUP($A112&amp;"_"&amp;$B112,Results_Deltas!$A$2:$P$15000,5,FALSE),"")</f>
        <v/>
      </c>
      <c r="H111">
        <f>IFERROR(VLOOKUP($A112,Results_30d_Deltas!$A$2:$H$5000,7,FALSE)-E111,"")</f>
        <v/>
      </c>
      <c r="I111">
        <f>IFERROR(VLOOKUP($A112,Results_30d_Deltas!$A$2:$H$5000,6,FALSE),"")</f>
        <v/>
      </c>
      <c r="L111" t="inlineStr">
        <is>
          <t>NO</t>
        </is>
      </c>
      <c r="IK111" t="inlineStr">
        <is>
          <t>ez_manage.py:5077 top()</t>
        </is>
      </c>
      <c r="IL111" t="inlineStr">
        <is>
          <t>v12_quick_engine.py:2463 x3</t>
        </is>
      </c>
    </row>
    <row r="112" ht="10.5" customHeight="1" s="67">
      <c r="A112" t="inlineStr">
        <is>
          <t>MU_CORRECTION_REENTRY_ENABLED</t>
        </is>
      </c>
      <c r="B112" t="inlineStr">
        <is>
          <t>True</t>
        </is>
      </c>
      <c r="G112">
        <f>IFERROR(VLOOKUP($A113&amp;"_"&amp;$B113,Results_Deltas!$A$2:$P$15000,5,FALSE),"")</f>
        <v/>
      </c>
      <c r="H112">
        <f>IFERROR(VLOOKUP($A113,Results_30d_Deltas!$A$2:$H$5000,7,FALSE)-E112,"")</f>
        <v/>
      </c>
      <c r="I112">
        <f>IFERROR(VLOOKUP($A113,Results_30d_Deltas!$A$2:$H$5000,6,FALSE),"")</f>
        <v/>
      </c>
      <c r="L112" t="inlineStr">
        <is>
          <t>YES</t>
        </is>
      </c>
      <c r="IK112" t="inlineStr">
        <is>
          <t>ez_manage.py:5077 top()</t>
        </is>
      </c>
      <c r="IL112" t="inlineStr">
        <is>
          <t>v12_quick_engine.py:2463 x3</t>
        </is>
      </c>
    </row>
    <row r="113" ht="10.5" customHeight="1" s="67">
      <c r="A113" t="inlineStr">
        <is>
          <t>OBLIGATORY_REENTRY_DEFAULT_SIZE_MULT</t>
        </is>
      </c>
      <c r="B113" t="inlineStr">
        <is>
          <t>0</t>
        </is>
      </c>
      <c r="G113">
        <f>IFERROR(VLOOKUP($A114&amp;"_"&amp;$B114,Results_Deltas!$A$2:$P$15000,5,FALSE),"")</f>
        <v/>
      </c>
      <c r="H113">
        <f>IFERROR(VLOOKUP($A114,Results_30d_Deltas!$A$2:$H$5000,7,FALSE)-E113,"")</f>
        <v/>
      </c>
      <c r="I113">
        <f>IFERROR(VLOOKUP($A114,Results_30d_Deltas!$A$2:$H$5000,6,FALSE),"")</f>
        <v/>
      </c>
      <c r="L113" t="inlineStr">
        <is>
          <t>NO</t>
        </is>
      </c>
      <c r="IK113" t="inlineStr">
        <is>
          <t>ez_manage.py:5108 top()</t>
        </is>
      </c>
      <c r="IL113" t="inlineStr">
        <is>
          <t>v12_quick_engine.py:2499 x2</t>
        </is>
      </c>
    </row>
    <row r="114" ht="10.5" customHeight="1" s="67">
      <c r="A114" t="inlineStr">
        <is>
          <t>OBLIGATORY_REENTRY_DEFAULT_SIZE_MULT</t>
        </is>
      </c>
      <c r="B114" t="inlineStr">
        <is>
          <t>0.5</t>
        </is>
      </c>
      <c r="G114">
        <f>IFERROR(VLOOKUP($A115&amp;"_"&amp;$B115,Results_Deltas!$A$2:$P$15000,5,FALSE),"")</f>
        <v/>
      </c>
      <c r="H114">
        <f>IFERROR(VLOOKUP($A115,Results_30d_Deltas!$A$2:$H$5000,7,FALSE)-E114,"")</f>
        <v/>
      </c>
      <c r="I114">
        <f>IFERROR(VLOOKUP($A115,Results_30d_Deltas!$A$2:$H$5000,6,FALSE),"")</f>
        <v/>
      </c>
      <c r="L114" t="inlineStr">
        <is>
          <t>NO</t>
        </is>
      </c>
      <c r="IK114" t="inlineStr">
        <is>
          <t>ez_manage.py:5108 top()</t>
        </is>
      </c>
      <c r="IL114" t="inlineStr">
        <is>
          <t>v12_quick_engine.py:2499 x2</t>
        </is>
      </c>
    </row>
    <row r="115" ht="10.5" customHeight="1" s="67">
      <c r="A115" t="inlineStr">
        <is>
          <t>OBLIGATORY_REENTRY_DEFAULT_SIZE_MULT</t>
        </is>
      </c>
      <c r="B115" t="n">
        <v>0</v>
      </c>
      <c r="G115">
        <f>IFERROR(VLOOKUP($A116&amp;"_"&amp;$B116,Results_Deltas!$A$2:$P$15000,5,FALSE),"")</f>
        <v/>
      </c>
      <c r="H115">
        <f>IFERROR(VLOOKUP($A116,Results_30d_Deltas!$A$2:$H$5000,7,FALSE)-E115,"")</f>
        <v/>
      </c>
      <c r="I115">
        <f>IFERROR(VLOOKUP($A116,Results_30d_Deltas!$A$2:$H$5000,6,FALSE),"")</f>
        <v/>
      </c>
      <c r="L115" t="inlineStr">
        <is>
          <t>NO</t>
        </is>
      </c>
      <c r="IK115" t="inlineStr">
        <is>
          <t>ez_manage.py:5108 top()</t>
        </is>
      </c>
      <c r="IL115" t="inlineStr">
        <is>
          <t>v12_quick_engine.py:2499 x2</t>
        </is>
      </c>
    </row>
    <row r="116" ht="10.5" customHeight="1" s="67">
      <c r="A116" t="inlineStr">
        <is>
          <t>OBLIGATORY_REENTRY_DEFAULT_SIZE_MULT</t>
        </is>
      </c>
      <c r="B116" t="inlineStr">
        <is>
          <t>2.0</t>
        </is>
      </c>
      <c r="G116">
        <f>IFERROR(VLOOKUP($A117&amp;"_"&amp;$B117,Results_Deltas!$A$2:$P$15000,5,FALSE),"")</f>
        <v/>
      </c>
      <c r="H116">
        <f>IFERROR(VLOOKUP($A117,Results_30d_Deltas!$A$2:$H$5000,7,FALSE)-E116,"")</f>
        <v/>
      </c>
      <c r="I116">
        <f>IFERROR(VLOOKUP($A117,Results_30d_Deltas!$A$2:$H$5000,6,FALSE),"")</f>
        <v/>
      </c>
      <c r="L116" t="inlineStr">
        <is>
          <t>YES</t>
        </is>
      </c>
      <c r="IK116" t="inlineStr">
        <is>
          <t>ez_manage.py:5108 top()</t>
        </is>
      </c>
      <c r="IL116" t="inlineStr">
        <is>
          <t>v12_quick_engine.py:2499 x2</t>
        </is>
      </c>
    </row>
    <row r="117" ht="10.5" customHeight="1" s="67">
      <c r="A117" t="inlineStr">
        <is>
          <t>OBLIGATORY_REENTRY_ENABLED</t>
        </is>
      </c>
      <c r="B117" t="inlineStr">
        <is>
          <t>False</t>
        </is>
      </c>
      <c r="G117">
        <f>IFERROR(VLOOKUP($A118&amp;"_"&amp;$B118,Results_Deltas!$A$2:$P$15000,5,FALSE),"")</f>
        <v/>
      </c>
      <c r="H117">
        <f>IFERROR(VLOOKUP($A118,Results_30d_Deltas!$A$2:$H$5000,7,FALSE)-E117,"")</f>
        <v/>
      </c>
      <c r="I117">
        <f>IFERROR(VLOOKUP($A118,Results_30d_Deltas!$A$2:$H$5000,6,FALSE),"")</f>
        <v/>
      </c>
      <c r="L117" t="inlineStr">
        <is>
          <t>NO</t>
        </is>
      </c>
      <c r="IK117" t="inlineStr">
        <is>
          <t>ez_manage.py:5109 top()</t>
        </is>
      </c>
      <c r="IL117" t="inlineStr">
        <is>
          <t>v12_quick_engine.py:2500 x2</t>
        </is>
      </c>
    </row>
    <row r="118" ht="10.5" customHeight="1" s="67">
      <c r="A118" t="inlineStr">
        <is>
          <t>OBLIGATORY_REENTRY_ENABLED</t>
        </is>
      </c>
      <c r="B118" t="b">
        <v>0</v>
      </c>
      <c r="G118">
        <f>IFERROR(VLOOKUP($A119&amp;"_"&amp;$B119,Results_Deltas!$A$2:$P$15000,5,FALSE),"")</f>
        <v/>
      </c>
      <c r="H118">
        <f>IFERROR(VLOOKUP($A119,Results_30d_Deltas!$A$2:$H$5000,7,FALSE)-E118,"")</f>
        <v/>
      </c>
      <c r="I118">
        <f>IFERROR(VLOOKUP($A119,Results_30d_Deltas!$A$2:$H$5000,6,FALSE),"")</f>
        <v/>
      </c>
      <c r="L118" t="inlineStr">
        <is>
          <t>NO</t>
        </is>
      </c>
      <c r="IK118" t="inlineStr">
        <is>
          <t>ez_manage.py:5109 top()</t>
        </is>
      </c>
      <c r="IL118" t="inlineStr">
        <is>
          <t>v12_quick_engine.py:2500 x2</t>
        </is>
      </c>
    </row>
    <row r="119" ht="10.5" customHeight="1" s="67">
      <c r="A119" t="inlineStr">
        <is>
          <t>OBLIGATORY_REENTRY_K15_HIGH_BLOCK</t>
        </is>
      </c>
      <c r="B119" t="inlineStr">
        <is>
          <t>0</t>
        </is>
      </c>
      <c r="G119">
        <f>IFERROR(VLOOKUP($A120&amp;"_"&amp;$B120,Results_Deltas!$A$2:$P$15000,5,FALSE),"")</f>
        <v/>
      </c>
      <c r="H119">
        <f>IFERROR(VLOOKUP($A120,Results_30d_Deltas!$A$2:$H$5000,7,FALSE)-E119,"")</f>
        <v/>
      </c>
      <c r="I119">
        <f>IFERROR(VLOOKUP($A120,Results_30d_Deltas!$A$2:$H$5000,6,FALSE),"")</f>
        <v/>
      </c>
      <c r="L119" t="inlineStr">
        <is>
          <t>YES</t>
        </is>
      </c>
      <c r="IK119" t="inlineStr">
        <is>
          <t>ez_manage.py:5110 top()</t>
        </is>
      </c>
      <c r="IL119" t="inlineStr">
        <is>
          <t>v12_quick_engine.py:2501 x4</t>
        </is>
      </c>
    </row>
    <row r="120" ht="10.5" customHeight="1" s="67">
      <c r="A120" t="inlineStr">
        <is>
          <t>OBLIGATORY_REENTRY_K15_HIGH_BLOCK</t>
        </is>
      </c>
      <c r="B120" t="inlineStr">
        <is>
          <t>0.5</t>
        </is>
      </c>
      <c r="G120">
        <f>IFERROR(VLOOKUP($A121&amp;"_"&amp;$B121,Results_Deltas!$A$2:$P$15000,5,FALSE),"")</f>
        <v/>
      </c>
      <c r="H120">
        <f>IFERROR(VLOOKUP($A121,Results_30d_Deltas!$A$2:$H$5000,7,FALSE)-E120,"")</f>
        <v/>
      </c>
      <c r="I120">
        <f>IFERROR(VLOOKUP($A121,Results_30d_Deltas!$A$2:$H$5000,6,FALSE),"")</f>
        <v/>
      </c>
      <c r="L120" t="inlineStr">
        <is>
          <t>NO</t>
        </is>
      </c>
      <c r="IK120" t="inlineStr">
        <is>
          <t>ez_manage.py:5110 top()</t>
        </is>
      </c>
      <c r="IL120" t="inlineStr">
        <is>
          <t>v12_quick_engine.py:2501 x4</t>
        </is>
      </c>
    </row>
    <row r="121" ht="10.5" customHeight="1" s="67">
      <c r="A121" t="inlineStr">
        <is>
          <t>OBLIGATORY_REENTRY_K15_HIGH_BLOCK</t>
        </is>
      </c>
      <c r="B121" t="inlineStr">
        <is>
          <t>1.0</t>
        </is>
      </c>
      <c r="G121">
        <f>IFERROR(VLOOKUP($A122&amp;"_"&amp;$B122,Results_Deltas!$A$2:$P$15000,5,FALSE),"")</f>
        <v/>
      </c>
      <c r="H121">
        <f>IFERROR(VLOOKUP($A122,Results_30d_Deltas!$A$2:$H$5000,7,FALSE)-E121,"")</f>
        <v/>
      </c>
      <c r="I121">
        <f>IFERROR(VLOOKUP($A122,Results_30d_Deltas!$A$2:$H$5000,6,FALSE),"")</f>
        <v/>
      </c>
      <c r="L121" t="inlineStr">
        <is>
          <t>NO</t>
        </is>
      </c>
      <c r="IK121" t="inlineStr">
        <is>
          <t>ez_manage.py:5110 top()</t>
        </is>
      </c>
      <c r="IL121" t="inlineStr">
        <is>
          <t>v12_quick_engine.py:2501 x4</t>
        </is>
      </c>
    </row>
    <row r="122" ht="10.5" customHeight="1" s="67">
      <c r="A122" t="inlineStr">
        <is>
          <t>OBLIGATORY_REENTRY_K15_HIGH_BLOCK</t>
        </is>
      </c>
      <c r="B122" t="inlineStr">
        <is>
          <t>2.0</t>
        </is>
      </c>
      <c r="G122">
        <f>IFERROR(VLOOKUP($A123&amp;"_"&amp;$B123,Results_Deltas!$A$2:$P$15000,5,FALSE),"")</f>
        <v/>
      </c>
      <c r="H122">
        <f>IFERROR(VLOOKUP($A123,Results_30d_Deltas!$A$2:$H$5000,7,FALSE)-E122,"")</f>
        <v/>
      </c>
      <c r="I122">
        <f>IFERROR(VLOOKUP($A123,Results_30d_Deltas!$A$2:$H$5000,6,FALSE),"")</f>
        <v/>
      </c>
      <c r="L122" t="inlineStr">
        <is>
          <t>NO</t>
        </is>
      </c>
      <c r="IK122" t="inlineStr">
        <is>
          <t>ez_manage.py:5110 top()</t>
        </is>
      </c>
      <c r="IL122" t="inlineStr">
        <is>
          <t>v12_quick_engine.py:2501 x4</t>
        </is>
      </c>
    </row>
    <row r="123" ht="10.5" customHeight="1" s="67">
      <c r="A123" t="inlineStr">
        <is>
          <t>OBLIGATORY_REENTRY_K15_HIGH_SIZE_FRAC</t>
        </is>
      </c>
      <c r="B123" t="inlineStr">
        <is>
          <t>0</t>
        </is>
      </c>
      <c r="G123">
        <f>IFERROR(VLOOKUP($A124&amp;"_"&amp;$B124,Results_Deltas!$A$2:$P$15000,5,FALSE),"")</f>
        <v/>
      </c>
      <c r="H123">
        <f>IFERROR(VLOOKUP($A124,Results_30d_Deltas!$A$2:$H$5000,7,FALSE)-E123,"")</f>
        <v/>
      </c>
      <c r="I123">
        <f>IFERROR(VLOOKUP($A124,Results_30d_Deltas!$A$2:$H$5000,6,FALSE),"")</f>
        <v/>
      </c>
      <c r="L123" t="inlineStr">
        <is>
          <t>NO</t>
        </is>
      </c>
      <c r="IK123" t="inlineStr">
        <is>
          <t>ez_manage.py:5111 top()</t>
        </is>
      </c>
      <c r="IL123" t="inlineStr">
        <is>
          <t>v12_quick_engine.py:2502 x4</t>
        </is>
      </c>
    </row>
    <row r="124" ht="10.5" customHeight="1" s="67">
      <c r="A124" t="inlineStr">
        <is>
          <t>OBLIGATORY_REENTRY_K15_HIGH_SIZE_FRAC</t>
        </is>
      </c>
      <c r="B124" t="n">
        <v>0</v>
      </c>
      <c r="G124">
        <f>IFERROR(VLOOKUP($A125&amp;"_"&amp;$B125,Results_Deltas!$A$2:$P$15000,5,FALSE),"")</f>
        <v/>
      </c>
      <c r="H124">
        <f>IFERROR(VLOOKUP($A125,Results_30d_Deltas!$A$2:$H$5000,7,FALSE)-E124,"")</f>
        <v/>
      </c>
      <c r="I124">
        <f>IFERROR(VLOOKUP($A125,Results_30d_Deltas!$A$2:$H$5000,6,FALSE),"")</f>
        <v/>
      </c>
      <c r="L124" t="inlineStr">
        <is>
          <t>YES</t>
        </is>
      </c>
      <c r="IK124" t="inlineStr">
        <is>
          <t>ez_manage.py:5111 top()</t>
        </is>
      </c>
      <c r="IL124" t="inlineStr">
        <is>
          <t>v12_quick_engine.py:2502 x4</t>
        </is>
      </c>
    </row>
    <row r="125" ht="10.5" customHeight="1" s="67">
      <c r="A125" t="inlineStr">
        <is>
          <t>OBLIGATORY_REENTRY_K15_HIGH_SIZE_FRAC</t>
        </is>
      </c>
      <c r="B125" t="inlineStr">
        <is>
          <t>1.0</t>
        </is>
      </c>
      <c r="G125">
        <f>IFERROR(VLOOKUP($A126&amp;"_"&amp;$B126,Results_Deltas!$A$2:$P$15000,5,FALSE),"")</f>
        <v/>
      </c>
      <c r="H125">
        <f>IFERROR(VLOOKUP($A126,Results_30d_Deltas!$A$2:$H$5000,7,FALSE)-E125,"")</f>
        <v/>
      </c>
      <c r="I125">
        <f>IFERROR(VLOOKUP($A126,Results_30d_Deltas!$A$2:$H$5000,6,FALSE),"")</f>
        <v/>
      </c>
      <c r="L125" t="inlineStr">
        <is>
          <t>NO</t>
        </is>
      </c>
      <c r="IK125" t="inlineStr">
        <is>
          <t>ez_manage.py:5111 top()</t>
        </is>
      </c>
      <c r="IL125" t="inlineStr">
        <is>
          <t>v12_quick_engine.py:2502 x4</t>
        </is>
      </c>
    </row>
    <row r="126" ht="10.5" customHeight="1" s="67">
      <c r="A126" t="inlineStr">
        <is>
          <t>OBLIGATORY_REENTRY_K15_HIGH_SIZE_FRAC</t>
        </is>
      </c>
      <c r="B126" t="inlineStr">
        <is>
          <t>2.0</t>
        </is>
      </c>
      <c r="G126">
        <f>IFERROR(VLOOKUP($A127&amp;"_"&amp;$B127,Results_Deltas!$A$2:$P$15000,5,FALSE),"")</f>
        <v/>
      </c>
      <c r="H126">
        <f>IFERROR(VLOOKUP($A127,Results_30d_Deltas!$A$2:$H$5000,7,FALSE)-E126,"")</f>
        <v/>
      </c>
      <c r="I126">
        <f>IFERROR(VLOOKUP($A127,Results_30d_Deltas!$A$2:$H$5000,6,FALSE),"")</f>
        <v/>
      </c>
      <c r="L126" t="inlineStr">
        <is>
          <t>NO</t>
        </is>
      </c>
      <c r="IK126" t="inlineStr">
        <is>
          <t>ez_manage.py:5111 top()</t>
        </is>
      </c>
      <c r="IL126" t="inlineStr">
        <is>
          <t>v12_quick_engine.py:2502 x4</t>
        </is>
      </c>
    </row>
    <row r="127" ht="10.5" customHeight="1" s="67">
      <c r="A127" t="inlineStr">
        <is>
          <t>OBLIGATORY_REENTRY_SCORE_TIER1</t>
        </is>
      </c>
      <c r="B127" t="inlineStr">
        <is>
          <t>0</t>
        </is>
      </c>
      <c r="G127">
        <f>IFERROR(VLOOKUP($A128&amp;"_"&amp;$B128,Results_Deltas!$A$2:$P$15000,5,FALSE),"")</f>
        <v/>
      </c>
      <c r="H127">
        <f>IFERROR(VLOOKUP($A128,Results_30d_Deltas!$A$2:$H$5000,7,FALSE)-E127,"")</f>
        <v/>
      </c>
      <c r="I127">
        <f>IFERROR(VLOOKUP($A128,Results_30d_Deltas!$A$2:$H$5000,6,FALSE),"")</f>
        <v/>
      </c>
      <c r="L127" t="inlineStr">
        <is>
          <t>NO</t>
        </is>
      </c>
      <c r="IK127" t="inlineStr">
        <is>
          <t>ez_manage.py:5113 top()</t>
        </is>
      </c>
      <c r="IL127" t="inlineStr">
        <is>
          <t>v12_quick_engine.py:2504 x4</t>
        </is>
      </c>
    </row>
    <row r="128" ht="10.5" customHeight="1" s="67">
      <c r="A128" t="inlineStr">
        <is>
          <t>OBLIGATORY_REENTRY_SCORE_TIER1</t>
        </is>
      </c>
      <c r="B128" t="inlineStr">
        <is>
          <t>0.5</t>
        </is>
      </c>
      <c r="G128">
        <f>IFERROR(VLOOKUP($A129&amp;"_"&amp;$B129,Results_Deltas!$A$2:$P$15000,5,FALSE),"")</f>
        <v/>
      </c>
      <c r="H128">
        <f>IFERROR(VLOOKUP($A129,Results_30d_Deltas!$A$2:$H$5000,7,FALSE)-E128,"")</f>
        <v/>
      </c>
      <c r="I128">
        <f>IFERROR(VLOOKUP($A129,Results_30d_Deltas!$A$2:$H$5000,6,FALSE),"")</f>
        <v/>
      </c>
      <c r="L128" t="inlineStr">
        <is>
          <t>NO</t>
        </is>
      </c>
      <c r="IK128" t="inlineStr">
        <is>
          <t>ez_manage.py:5113 top()</t>
        </is>
      </c>
      <c r="IL128" t="inlineStr">
        <is>
          <t>v12_quick_engine.py:2504 x4</t>
        </is>
      </c>
    </row>
    <row r="129" ht="10.5" customHeight="1" s="67">
      <c r="A129" t="inlineStr">
        <is>
          <t>OBLIGATORY_REENTRY_SCORE_TIER1</t>
        </is>
      </c>
      <c r="B129" t="inlineStr">
        <is>
          <t>1.0</t>
        </is>
      </c>
      <c r="G129">
        <f>IFERROR(VLOOKUP($A130&amp;"_"&amp;$B130,Results_Deltas!$A$2:$P$15000,5,FALSE),"")</f>
        <v/>
      </c>
      <c r="H129">
        <f>IFERROR(VLOOKUP($A130,Results_30d_Deltas!$A$2:$H$5000,7,FALSE)-E129,"")</f>
        <v/>
      </c>
      <c r="I129">
        <f>IFERROR(VLOOKUP($A130,Results_30d_Deltas!$A$2:$H$5000,6,FALSE),"")</f>
        <v/>
      </c>
      <c r="L129" t="inlineStr">
        <is>
          <t>NO</t>
        </is>
      </c>
      <c r="IK129" t="inlineStr">
        <is>
          <t>ez_manage.py:5113 top()</t>
        </is>
      </c>
      <c r="IL129" t="inlineStr">
        <is>
          <t>v12_quick_engine.py:2504 x4</t>
        </is>
      </c>
    </row>
    <row r="130" ht="10.5" customHeight="1" s="67">
      <c r="A130" t="inlineStr">
        <is>
          <t>OBLIGATORY_REENTRY_SCORE_TIER1</t>
        </is>
      </c>
      <c r="B130" t="inlineStr">
        <is>
          <t>2.0</t>
        </is>
      </c>
      <c r="G130">
        <f>IFERROR(VLOOKUP($A131&amp;"_"&amp;$B131,Results_Deltas!$A$2:$P$15000,5,FALSE),"")</f>
        <v/>
      </c>
      <c r="H130">
        <f>IFERROR(VLOOKUP($A131,Results_30d_Deltas!$A$2:$H$5000,7,FALSE)-E130,"")</f>
        <v/>
      </c>
      <c r="I130">
        <f>IFERROR(VLOOKUP($A131,Results_30d_Deltas!$A$2:$H$5000,6,FALSE),"")</f>
        <v/>
      </c>
      <c r="L130" t="inlineStr">
        <is>
          <t>NO</t>
        </is>
      </c>
      <c r="IK130" t="inlineStr">
        <is>
          <t>ez_manage.py:5113 top()</t>
        </is>
      </c>
      <c r="IL130" t="inlineStr">
        <is>
          <t>v12_quick_engine.py:2504 x4</t>
        </is>
      </c>
    </row>
    <row r="131" ht="10.5" customHeight="1" s="67">
      <c r="A131" t="inlineStr">
        <is>
          <t>OBLIGATORY_REENTRY_SCORE_TIER2</t>
        </is>
      </c>
      <c r="B131" t="inlineStr">
        <is>
          <t>0</t>
        </is>
      </c>
      <c r="G131">
        <f>IFERROR(VLOOKUP($A132&amp;"_"&amp;$B132,Results_Deltas!$A$2:$P$15000,5,FALSE),"")</f>
        <v/>
      </c>
      <c r="H131">
        <f>IFERROR(VLOOKUP($A132,Results_30d_Deltas!$A$2:$H$5000,7,FALSE)-E131,"")</f>
        <v/>
      </c>
      <c r="I131">
        <f>IFERROR(VLOOKUP($A132,Results_30d_Deltas!$A$2:$H$5000,6,FALSE),"")</f>
        <v/>
      </c>
      <c r="L131" t="inlineStr">
        <is>
          <t>NO</t>
        </is>
      </c>
      <c r="IK131" t="inlineStr">
        <is>
          <t>ez_manage.py:5114 top()</t>
        </is>
      </c>
      <c r="IL131" t="inlineStr">
        <is>
          <t>v12_quick_engine.py:2505 x4</t>
        </is>
      </c>
    </row>
    <row r="132" ht="10.5" customHeight="1" s="67">
      <c r="A132" t="inlineStr">
        <is>
          <t>OBLIGATORY_REENTRY_SCORE_TIER2</t>
        </is>
      </c>
      <c r="B132" t="inlineStr">
        <is>
          <t>0.5</t>
        </is>
      </c>
      <c r="G132">
        <f>IFERROR(VLOOKUP($A133&amp;"_"&amp;$B133,Results_Deltas!$A$2:$P$15000,5,FALSE),"")</f>
        <v/>
      </c>
      <c r="H132">
        <f>IFERROR(VLOOKUP($A133,Results_30d_Deltas!$A$2:$H$5000,7,FALSE)-E132,"")</f>
        <v/>
      </c>
      <c r="I132">
        <f>IFERROR(VLOOKUP($A133,Results_30d_Deltas!$A$2:$H$5000,6,FALSE),"")</f>
        <v/>
      </c>
      <c r="L132" t="inlineStr">
        <is>
          <t>NO</t>
        </is>
      </c>
      <c r="IK132" t="inlineStr">
        <is>
          <t>ez_manage.py:5114 top()</t>
        </is>
      </c>
      <c r="IL132" t="inlineStr">
        <is>
          <t>v12_quick_engine.py:2505 x4</t>
        </is>
      </c>
    </row>
    <row r="133" ht="10.5" customHeight="1" s="67">
      <c r="A133" t="inlineStr">
        <is>
          <t>OBLIGATORY_REENTRY_SCORE_TIER2</t>
        </is>
      </c>
      <c r="B133" t="inlineStr">
        <is>
          <t>1.0</t>
        </is>
      </c>
      <c r="G133">
        <f>IFERROR(VLOOKUP($A134&amp;"_"&amp;$B134,Results_Deltas!$A$2:$P$15000,5,FALSE),"")</f>
        <v/>
      </c>
      <c r="H133">
        <f>IFERROR(VLOOKUP($A134,Results_30d_Deltas!$A$2:$H$5000,7,FALSE)-E133,"")</f>
        <v/>
      </c>
      <c r="I133">
        <f>IFERROR(VLOOKUP($A134,Results_30d_Deltas!$A$2:$H$5000,6,FALSE),"")</f>
        <v/>
      </c>
      <c r="L133" t="inlineStr">
        <is>
          <t>NO</t>
        </is>
      </c>
      <c r="IK133" t="inlineStr">
        <is>
          <t>ez_manage.py:5114 top()</t>
        </is>
      </c>
      <c r="IL133" t="inlineStr">
        <is>
          <t>v12_quick_engine.py:2505 x4</t>
        </is>
      </c>
    </row>
    <row r="134" ht="10.5" customHeight="1" s="67">
      <c r="A134" t="inlineStr">
        <is>
          <t>OBLIGATORY_REENTRY_SCORE_TIER2</t>
        </is>
      </c>
      <c r="B134" t="inlineStr">
        <is>
          <t>2.0</t>
        </is>
      </c>
      <c r="G134">
        <f>IFERROR(VLOOKUP($A135&amp;"_"&amp;$B135,Results_Deltas!$A$2:$P$15000,5,FALSE),"")</f>
        <v/>
      </c>
      <c r="H134">
        <f>IFERROR(VLOOKUP($A135,Results_30d_Deltas!$A$2:$H$5000,7,FALSE)-E134,"")</f>
        <v/>
      </c>
      <c r="I134">
        <f>IFERROR(VLOOKUP($A135,Results_30d_Deltas!$A$2:$H$5000,6,FALSE),"")</f>
        <v/>
      </c>
      <c r="L134" t="inlineStr">
        <is>
          <t>NO</t>
        </is>
      </c>
      <c r="IK134" t="inlineStr">
        <is>
          <t>ez_manage.py:5114 top()</t>
        </is>
      </c>
      <c r="IL134" t="inlineStr">
        <is>
          <t>v12_quick_engine.py:2505 x4</t>
        </is>
      </c>
    </row>
    <row r="135" ht="10.5" customHeight="1" s="67">
      <c r="A135" t="inlineStr">
        <is>
          <t>OBLIGATORY_REENTRY_SCORE_TIER3</t>
        </is>
      </c>
      <c r="B135" t="inlineStr">
        <is>
          <t>0</t>
        </is>
      </c>
      <c r="G135">
        <f>IFERROR(VLOOKUP($A136&amp;"_"&amp;$B136,Results_Deltas!$A$2:$P$15000,5,FALSE),"")</f>
        <v/>
      </c>
      <c r="H135">
        <f>IFERROR(VLOOKUP($A136,Results_30d_Deltas!$A$2:$H$5000,7,FALSE)-E135,"")</f>
        <v/>
      </c>
      <c r="I135">
        <f>IFERROR(VLOOKUP($A136,Results_30d_Deltas!$A$2:$H$5000,6,FALSE),"")</f>
        <v/>
      </c>
      <c r="L135" t="inlineStr">
        <is>
          <t>NO</t>
        </is>
      </c>
      <c r="IK135" t="inlineStr">
        <is>
          <t>ez_manage.py:5115 top()</t>
        </is>
      </c>
      <c r="IL135" t="inlineStr">
        <is>
          <t>v12_quick_engine.py:2506 x4</t>
        </is>
      </c>
    </row>
    <row r="136" ht="10.5" customHeight="1" s="67">
      <c r="A136" t="inlineStr">
        <is>
          <t>OBLIGATORY_REENTRY_SCORE_TIER3</t>
        </is>
      </c>
      <c r="B136" t="inlineStr">
        <is>
          <t>0.5</t>
        </is>
      </c>
      <c r="G136">
        <f>IFERROR(VLOOKUP($A137&amp;"_"&amp;$B137,Results_Deltas!$A$2:$P$15000,5,FALSE),"")</f>
        <v/>
      </c>
      <c r="H136">
        <f>IFERROR(VLOOKUP($A137,Results_30d_Deltas!$A$2:$H$5000,7,FALSE)-E136,"")</f>
        <v/>
      </c>
      <c r="I136">
        <f>IFERROR(VLOOKUP($A137,Results_30d_Deltas!$A$2:$H$5000,6,FALSE),"")</f>
        <v/>
      </c>
      <c r="L136" t="inlineStr">
        <is>
          <t>NO</t>
        </is>
      </c>
      <c r="IK136" t="inlineStr">
        <is>
          <t>ez_manage.py:5115 top()</t>
        </is>
      </c>
      <c r="IL136" t="inlineStr">
        <is>
          <t>v12_quick_engine.py:2506 x4</t>
        </is>
      </c>
    </row>
    <row r="137" ht="10.5" customHeight="1" s="67">
      <c r="A137" t="inlineStr">
        <is>
          <t>OBLIGATORY_REENTRY_SCORE_TIER3</t>
        </is>
      </c>
      <c r="B137" t="inlineStr">
        <is>
          <t>1.0</t>
        </is>
      </c>
      <c r="G137">
        <f>IFERROR(VLOOKUP($A138&amp;"_"&amp;$B138,Results_Deltas!$A$2:$P$15000,5,FALSE),"")</f>
        <v/>
      </c>
      <c r="H137">
        <f>IFERROR(VLOOKUP($A138,Results_30d_Deltas!$A$2:$H$5000,7,FALSE)-E137,"")</f>
        <v/>
      </c>
      <c r="I137">
        <f>IFERROR(VLOOKUP($A138,Results_30d_Deltas!$A$2:$H$5000,6,FALSE),"")</f>
        <v/>
      </c>
      <c r="L137" t="inlineStr">
        <is>
          <t>NO</t>
        </is>
      </c>
      <c r="IK137" t="inlineStr">
        <is>
          <t>ez_manage.py:5115 top()</t>
        </is>
      </c>
      <c r="IL137" t="inlineStr">
        <is>
          <t>v12_quick_engine.py:2506 x4</t>
        </is>
      </c>
    </row>
    <row r="138" ht="10.5" customHeight="1" s="67">
      <c r="A138" t="inlineStr">
        <is>
          <t>OBLIGATORY_REENTRY_SCORE_TIER3</t>
        </is>
      </c>
      <c r="B138" t="inlineStr">
        <is>
          <t>2.0</t>
        </is>
      </c>
      <c r="G138">
        <f>IFERROR(VLOOKUP($A139&amp;"_"&amp;$B139,Results_Deltas!$A$2:$P$15000,5,FALSE),"")</f>
        <v/>
      </c>
      <c r="H138">
        <f>IFERROR(VLOOKUP($A139,Results_30d_Deltas!$A$2:$H$5000,7,FALSE)-E138,"")</f>
        <v/>
      </c>
      <c r="I138">
        <f>IFERROR(VLOOKUP($A139,Results_30d_Deltas!$A$2:$H$5000,6,FALSE),"")</f>
        <v/>
      </c>
      <c r="L138" t="inlineStr">
        <is>
          <t>NO</t>
        </is>
      </c>
      <c r="IK138" t="inlineStr">
        <is>
          <t>ez_manage.py:5115 top()</t>
        </is>
      </c>
      <c r="IL138" t="inlineStr">
        <is>
          <t>v12_quick_engine.py:2506 x4</t>
        </is>
      </c>
    </row>
    <row r="139" ht="10.5" customHeight="1" s="67">
      <c r="A139" t="inlineStr">
        <is>
          <t>OBLIGATORY_REENTRY_SHORT_K15_LOW_BLOCK</t>
        </is>
      </c>
      <c r="B139" t="inlineStr">
        <is>
          <t>0</t>
        </is>
      </c>
      <c r="G139">
        <f>IFERROR(VLOOKUP($A140&amp;"_"&amp;$B140,Results_Deltas!$A$2:$P$15000,5,FALSE),"")</f>
        <v/>
      </c>
      <c r="H139">
        <f>IFERROR(VLOOKUP($A140,Results_30d_Deltas!$A$2:$H$5000,7,FALSE)-E139,"")</f>
        <v/>
      </c>
      <c r="I139">
        <f>IFERROR(VLOOKUP($A140,Results_30d_Deltas!$A$2:$H$5000,6,FALSE),"")</f>
        <v/>
      </c>
      <c r="L139" t="inlineStr">
        <is>
          <t>NO</t>
        </is>
      </c>
      <c r="IK139" t="inlineStr">
        <is>
          <t>ez_manage.py:5117 top()</t>
        </is>
      </c>
      <c r="IL139" t="inlineStr">
        <is>
          <t>v12_quick_engine.py:2508 x4</t>
        </is>
      </c>
    </row>
    <row r="140" ht="10.5" customHeight="1" s="67">
      <c r="A140" t="inlineStr">
        <is>
          <t>OBLIGATORY_REENTRY_SHORT_K15_LOW_BLOCK</t>
        </is>
      </c>
      <c r="B140" t="inlineStr">
        <is>
          <t>0.5</t>
        </is>
      </c>
      <c r="G140">
        <f>IFERROR(VLOOKUP($A141&amp;"_"&amp;$B141,Results_Deltas!$A$2:$P$15000,5,FALSE),"")</f>
        <v/>
      </c>
      <c r="H140">
        <f>IFERROR(VLOOKUP($A141,Results_30d_Deltas!$A$2:$H$5000,7,FALSE)-E140,"")</f>
        <v/>
      </c>
      <c r="I140">
        <f>IFERROR(VLOOKUP($A141,Results_30d_Deltas!$A$2:$H$5000,6,FALSE),"")</f>
        <v/>
      </c>
      <c r="L140" t="inlineStr">
        <is>
          <t>NO</t>
        </is>
      </c>
      <c r="IK140" t="inlineStr">
        <is>
          <t>ez_manage.py:5117 top()</t>
        </is>
      </c>
      <c r="IL140" t="inlineStr">
        <is>
          <t>v12_quick_engine.py:2508 x4</t>
        </is>
      </c>
    </row>
    <row r="141" ht="10.5" customHeight="1" s="67">
      <c r="A141" t="inlineStr">
        <is>
          <t>OBLIGATORY_REENTRY_SHORT_K15_LOW_BLOCK</t>
        </is>
      </c>
      <c r="B141" t="inlineStr">
        <is>
          <t>1.0</t>
        </is>
      </c>
      <c r="G141">
        <f>IFERROR(VLOOKUP($A142&amp;"_"&amp;$B142,Results_Deltas!$A$2:$P$15000,5,FALSE),"")</f>
        <v/>
      </c>
      <c r="H141">
        <f>IFERROR(VLOOKUP($A142,Results_30d_Deltas!$A$2:$H$5000,7,FALSE)-E141,"")</f>
        <v/>
      </c>
      <c r="I141">
        <f>IFERROR(VLOOKUP($A142,Results_30d_Deltas!$A$2:$H$5000,6,FALSE),"")</f>
        <v/>
      </c>
      <c r="L141" t="inlineStr">
        <is>
          <t>NO</t>
        </is>
      </c>
      <c r="IK141" t="inlineStr">
        <is>
          <t>ez_manage.py:5117 top()</t>
        </is>
      </c>
      <c r="IL141" t="inlineStr">
        <is>
          <t>v12_quick_engine.py:2508 x4</t>
        </is>
      </c>
    </row>
    <row r="142" ht="10.5" customHeight="1" s="67">
      <c r="A142" t="inlineStr">
        <is>
          <t>OBLIGATORY_REENTRY_SHORT_K15_LOW_BLOCK</t>
        </is>
      </c>
      <c r="B142" t="inlineStr">
        <is>
          <t>2.0</t>
        </is>
      </c>
      <c r="G142">
        <f>IFERROR(VLOOKUP($A143&amp;"_"&amp;$B143,Results_Deltas!$A$2:$P$15000,5,FALSE),"")</f>
        <v/>
      </c>
      <c r="H142">
        <f>IFERROR(VLOOKUP($A143,Results_30d_Deltas!$A$2:$H$5000,7,FALSE)-E142,"")</f>
        <v/>
      </c>
      <c r="I142">
        <f>IFERROR(VLOOKUP($A143,Results_30d_Deltas!$A$2:$H$5000,6,FALSE),"")</f>
        <v/>
      </c>
      <c r="L142" t="inlineStr">
        <is>
          <t>NO</t>
        </is>
      </c>
      <c r="IK142" t="inlineStr">
        <is>
          <t>ez_manage.py:5117 top()</t>
        </is>
      </c>
      <c r="IL142" t="inlineStr">
        <is>
          <t>v12_quick_engine.py:2508 x4</t>
        </is>
      </c>
    </row>
    <row r="143" ht="10.5" customHeight="1" s="67">
      <c r="A143" t="inlineStr">
        <is>
          <t>OBLIGATORY_REENTRY_SHORT_K15_LOW_SIZE_FRAC</t>
        </is>
      </c>
      <c r="B143" t="inlineStr">
        <is>
          <t>0</t>
        </is>
      </c>
      <c r="G143">
        <f>IFERROR(VLOOKUP($A144&amp;"_"&amp;$B144,Results_Deltas!$A$2:$P$15000,5,FALSE),"")</f>
        <v/>
      </c>
      <c r="H143">
        <f>IFERROR(VLOOKUP($A144,Results_30d_Deltas!$A$2:$H$5000,7,FALSE)-E143,"")</f>
        <v/>
      </c>
      <c r="I143">
        <f>IFERROR(VLOOKUP($A144,Results_30d_Deltas!$A$2:$H$5000,6,FALSE),"")</f>
        <v/>
      </c>
      <c r="L143" t="inlineStr">
        <is>
          <t>NO</t>
        </is>
      </c>
      <c r="IK143" t="inlineStr">
        <is>
          <t>ez_manage.py:5118 top()</t>
        </is>
      </c>
      <c r="IL143" t="inlineStr">
        <is>
          <t>v12_quick_engine.py:2509 x4</t>
        </is>
      </c>
    </row>
    <row r="144" ht="10.5" customHeight="1" s="67">
      <c r="A144" t="inlineStr">
        <is>
          <t>OBLIGATORY_REENTRY_SHORT_K15_LOW_SIZE_FRAC</t>
        </is>
      </c>
      <c r="B144" t="n">
        <v>0</v>
      </c>
      <c r="G144">
        <f>IFERROR(VLOOKUP($A145&amp;"_"&amp;$B145,Results_Deltas!$A$2:$P$15000,5,FALSE),"")</f>
        <v/>
      </c>
      <c r="H144">
        <f>IFERROR(VLOOKUP($A145,Results_30d_Deltas!$A$2:$H$5000,7,FALSE)-E144,"")</f>
        <v/>
      </c>
      <c r="I144">
        <f>IFERROR(VLOOKUP($A145,Results_30d_Deltas!$A$2:$H$5000,6,FALSE),"")</f>
        <v/>
      </c>
      <c r="L144" t="inlineStr">
        <is>
          <t>YES</t>
        </is>
      </c>
      <c r="IK144" t="inlineStr">
        <is>
          <t>ez_manage.py:5118 top()</t>
        </is>
      </c>
      <c r="IL144" t="inlineStr">
        <is>
          <t>v12_quick_engine.py:2509 x4</t>
        </is>
      </c>
    </row>
    <row r="145" ht="10.5" customHeight="1" s="67">
      <c r="A145" t="inlineStr">
        <is>
          <t>OBLIGATORY_REENTRY_SHORT_K15_LOW_SIZE_FRAC</t>
        </is>
      </c>
      <c r="B145" t="inlineStr">
        <is>
          <t>1.0</t>
        </is>
      </c>
      <c r="G145">
        <f>IFERROR(VLOOKUP($A146&amp;"_"&amp;$B146,Results_Deltas!$A$2:$P$15000,5,FALSE),"")</f>
        <v/>
      </c>
      <c r="H145">
        <f>IFERROR(VLOOKUP($A146,Results_30d_Deltas!$A$2:$H$5000,7,FALSE)-E145,"")</f>
        <v/>
      </c>
      <c r="I145">
        <f>IFERROR(VLOOKUP($A146,Results_30d_Deltas!$A$2:$H$5000,6,FALSE),"")</f>
        <v/>
      </c>
      <c r="L145" t="inlineStr">
        <is>
          <t>NO</t>
        </is>
      </c>
      <c r="IK145" t="inlineStr">
        <is>
          <t>ez_manage.py:5118 top()</t>
        </is>
      </c>
      <c r="IL145" t="inlineStr">
        <is>
          <t>v12_quick_engine.py:2509 x4</t>
        </is>
      </c>
    </row>
    <row r="146" ht="10.5" customHeight="1" s="67">
      <c r="A146" t="inlineStr">
        <is>
          <t>OBLIGATORY_REENTRY_SHORT_K15_LOW_SIZE_FRAC</t>
        </is>
      </c>
      <c r="B146" t="inlineStr">
        <is>
          <t>2.0</t>
        </is>
      </c>
      <c r="G146">
        <f>IFERROR(VLOOKUP($A147&amp;"_"&amp;$B147,Results_Deltas!$A$2:$P$15000,5,FALSE),"")</f>
        <v/>
      </c>
      <c r="H146">
        <f>IFERROR(VLOOKUP($A147,Results_30d_Deltas!$A$2:$H$5000,7,FALSE)-E146,"")</f>
        <v/>
      </c>
      <c r="I146">
        <f>IFERROR(VLOOKUP($A147,Results_30d_Deltas!$A$2:$H$5000,6,FALSE),"")</f>
        <v/>
      </c>
      <c r="L146" t="inlineStr">
        <is>
          <t>NO</t>
        </is>
      </c>
      <c r="IK146" t="inlineStr">
        <is>
          <t>ez_manage.py:5118 top()</t>
        </is>
      </c>
      <c r="IL146" t="inlineStr">
        <is>
          <t>v12_quick_engine.py:2509 x4</t>
        </is>
      </c>
    </row>
    <row r="147" ht="10.5" customHeight="1" s="67">
      <c r="A147" t="inlineStr">
        <is>
          <t>OBLIGATORY_REENTRY_SMA_FIELD</t>
        </is>
      </c>
      <c r="B147" t="inlineStr">
        <is>
          <t>0</t>
        </is>
      </c>
      <c r="G147">
        <f>IFERROR(VLOOKUP($A148&amp;"_"&amp;$B148,Results_Deltas!$A$2:$P$15000,5,FALSE),"")</f>
        <v/>
      </c>
      <c r="H147">
        <f>IFERROR(VLOOKUP($A148,Results_30d_Deltas!$A$2:$H$5000,7,FALSE)-E147,"")</f>
        <v/>
      </c>
      <c r="I147">
        <f>IFERROR(VLOOKUP($A148,Results_30d_Deltas!$A$2:$H$5000,6,FALSE),"")</f>
        <v/>
      </c>
      <c r="L147" t="inlineStr">
        <is>
          <t>NO</t>
        </is>
      </c>
      <c r="IK147" t="inlineStr">
        <is>
          <t>ez_manage.py:5121 top()</t>
        </is>
      </c>
      <c r="IL147" t="inlineStr">
        <is>
          <t>v12_quick_engine.py:2512 x2</t>
        </is>
      </c>
    </row>
    <row r="148" ht="10.5" customHeight="1" s="67">
      <c r="A148" t="inlineStr">
        <is>
          <t>OBLIGATORY_REENTRY_SMA_FIELD</t>
        </is>
      </c>
      <c r="B148" t="inlineStr">
        <is>
          <t>0.5</t>
        </is>
      </c>
      <c r="G148">
        <f>IFERROR(VLOOKUP($A149&amp;"_"&amp;$B149,Results_Deltas!$A$2:$P$15000,5,FALSE),"")</f>
        <v/>
      </c>
      <c r="H148">
        <f>IFERROR(VLOOKUP($A149,Results_30d_Deltas!$A$2:$H$5000,7,FALSE)-E148,"")</f>
        <v/>
      </c>
      <c r="I148">
        <f>IFERROR(VLOOKUP($A149,Results_30d_Deltas!$A$2:$H$5000,6,FALSE),"")</f>
        <v/>
      </c>
      <c r="L148" t="inlineStr">
        <is>
          <t>NO</t>
        </is>
      </c>
      <c r="IK148" t="inlineStr">
        <is>
          <t>ez_manage.py:5121 top()</t>
        </is>
      </c>
      <c r="IL148" t="inlineStr">
        <is>
          <t>v12_quick_engine.py:2512 x2</t>
        </is>
      </c>
    </row>
    <row r="149" ht="10.5" customHeight="1" s="67">
      <c r="A149" t="inlineStr">
        <is>
          <t>OBLIGATORY_REENTRY_SMA_FIELD</t>
        </is>
      </c>
      <c r="B149" t="inlineStr">
        <is>
          <t>1.0</t>
        </is>
      </c>
      <c r="G149">
        <f>IFERROR(VLOOKUP($A150&amp;"_"&amp;$B150,Results_Deltas!$A$2:$P$15000,5,FALSE),"")</f>
        <v/>
      </c>
      <c r="H149">
        <f>IFERROR(VLOOKUP($A150,Results_30d_Deltas!$A$2:$H$5000,7,FALSE)-E149,"")</f>
        <v/>
      </c>
      <c r="I149">
        <f>IFERROR(VLOOKUP($A150,Results_30d_Deltas!$A$2:$H$5000,6,FALSE),"")</f>
        <v/>
      </c>
      <c r="L149" t="inlineStr">
        <is>
          <t>NO</t>
        </is>
      </c>
      <c r="IK149" t="inlineStr">
        <is>
          <t>ez_manage.py:5121 top()</t>
        </is>
      </c>
      <c r="IL149" t="inlineStr">
        <is>
          <t>v12_quick_engine.py:2512 x2</t>
        </is>
      </c>
    </row>
    <row r="150" ht="10.5" customHeight="1" s="67">
      <c r="A150" t="inlineStr">
        <is>
          <t>OBLIGATORY_REENTRY_SMA_FIELD</t>
        </is>
      </c>
      <c r="B150" t="inlineStr">
        <is>
          <t>2.0</t>
        </is>
      </c>
      <c r="G150">
        <f>IFERROR(VLOOKUP($A151&amp;"_"&amp;$B151,Results_Deltas!$A$2:$P$15000,5,FALSE),"")</f>
        <v/>
      </c>
      <c r="H150">
        <f>IFERROR(VLOOKUP($A151,Results_30d_Deltas!$A$2:$H$5000,7,FALSE)-E150,"")</f>
        <v/>
      </c>
      <c r="I150">
        <f>IFERROR(VLOOKUP($A151,Results_30d_Deltas!$A$2:$H$5000,6,FALSE),"")</f>
        <v/>
      </c>
      <c r="L150" t="inlineStr">
        <is>
          <t>NO</t>
        </is>
      </c>
      <c r="IK150" t="inlineStr">
        <is>
          <t>ez_manage.py:5121 top()</t>
        </is>
      </c>
      <c r="IL150" t="inlineStr">
        <is>
          <t>v12_quick_engine.py:2512 x2</t>
        </is>
      </c>
    </row>
    <row r="151" ht="10.5" customHeight="1" s="67">
      <c r="A151" t="inlineStr">
        <is>
          <t>OBLIGATORY_REENTRY_SMA_TF</t>
        </is>
      </c>
      <c r="B151" t="inlineStr">
        <is>
          <t>OFF</t>
        </is>
      </c>
      <c r="G151">
        <f>IFERROR(VLOOKUP($A152&amp;"_"&amp;$B152,Results_Deltas!$A$2:$P$15000,5,FALSE),"")</f>
        <v/>
      </c>
      <c r="H151">
        <f>IFERROR(VLOOKUP($A152,Results_30d_Deltas!$A$2:$H$5000,7,FALSE)-E151,"")</f>
        <v/>
      </c>
      <c r="I151">
        <f>IFERROR(VLOOKUP($A152,Results_30d_Deltas!$A$2:$H$5000,6,FALSE),"")</f>
        <v/>
      </c>
      <c r="L151" t="inlineStr">
        <is>
          <t>NO</t>
        </is>
      </c>
      <c r="IK151" t="inlineStr">
        <is>
          <t>ez_manage.py:5122 top()</t>
        </is>
      </c>
      <c r="IL151" t="inlineStr">
        <is>
          <t>v12_quick_engine.py:2513 x2</t>
        </is>
      </c>
    </row>
    <row r="152" ht="10.5" customHeight="1" s="67">
      <c r="A152" t="inlineStr">
        <is>
          <t>OBLIGATORY_REENTRY_SMA_TF</t>
        </is>
      </c>
      <c r="B152" t="inlineStr">
        <is>
          <t>D</t>
        </is>
      </c>
      <c r="G152">
        <f>IFERROR(VLOOKUP($A153&amp;"_"&amp;$B153,Results_Deltas!$A$2:$P$15000,5,FALSE),"")</f>
        <v/>
      </c>
      <c r="H152">
        <f>IFERROR(VLOOKUP($A153,Results_30d_Deltas!$A$2:$H$5000,7,FALSE)-E152,"")</f>
        <v/>
      </c>
      <c r="I152">
        <f>IFERROR(VLOOKUP($A153,Results_30d_Deltas!$A$2:$H$5000,6,FALSE),"")</f>
        <v/>
      </c>
      <c r="L152" t="inlineStr">
        <is>
          <t>NO</t>
        </is>
      </c>
      <c r="IK152" t="inlineStr">
        <is>
          <t>ez_manage.py:5122 top()</t>
        </is>
      </c>
      <c r="IL152" t="inlineStr">
        <is>
          <t>v12_quick_engine.py:2513 x2</t>
        </is>
      </c>
    </row>
    <row r="153" ht="10.5" customHeight="1" s="67">
      <c r="A153" t="inlineStr">
        <is>
          <t>OBLIGATORY_REENTRY_SMA_TF</t>
        </is>
      </c>
      <c r="B153" t="inlineStr">
        <is>
          <t>4h</t>
        </is>
      </c>
      <c r="G153">
        <f>IFERROR(VLOOKUP($A154&amp;"_"&amp;$B154,Results_Deltas!$A$2:$P$15000,5,FALSE),"")</f>
        <v/>
      </c>
      <c r="H153">
        <f>IFERROR(VLOOKUP($A154,Results_30d_Deltas!$A$2:$H$5000,7,FALSE)-E153,"")</f>
        <v/>
      </c>
      <c r="I153">
        <f>IFERROR(VLOOKUP($A154,Results_30d_Deltas!$A$2:$H$5000,6,FALSE),"")</f>
        <v/>
      </c>
      <c r="L153" t="inlineStr">
        <is>
          <t>NO</t>
        </is>
      </c>
      <c r="IK153" t="inlineStr">
        <is>
          <t>ez_manage.py:5122 top()</t>
        </is>
      </c>
      <c r="IL153" t="inlineStr">
        <is>
          <t>v12_quick_engine.py:2513 x2</t>
        </is>
      </c>
    </row>
    <row r="154" ht="10.5" customHeight="1" s="67">
      <c r="A154" t="inlineStr">
        <is>
          <t>OBLIGATORY_REENTRY_SMA_TF</t>
        </is>
      </c>
      <c r="B154" t="inlineStr">
        <is>
          <t>1h</t>
        </is>
      </c>
      <c r="G154">
        <f>IFERROR(VLOOKUP($A155&amp;"_"&amp;$B155,Results_Deltas!$A$2:$P$15000,5,FALSE),"")</f>
        <v/>
      </c>
      <c r="H154">
        <f>IFERROR(VLOOKUP($A155,Results_30d_Deltas!$A$2:$H$5000,7,FALSE)-E154,"")</f>
        <v/>
      </c>
      <c r="I154">
        <f>IFERROR(VLOOKUP($A155,Results_30d_Deltas!$A$2:$H$5000,6,FALSE),"")</f>
        <v/>
      </c>
      <c r="L154" t="inlineStr">
        <is>
          <t>YES</t>
        </is>
      </c>
      <c r="IK154" t="inlineStr">
        <is>
          <t>ez_manage.py:5122 top()</t>
        </is>
      </c>
      <c r="IL154" t="inlineStr">
        <is>
          <t>v12_quick_engine.py:2513 x2</t>
        </is>
      </c>
    </row>
    <row r="155" ht="10.5" customHeight="1" s="67">
      <c r="A155" t="inlineStr">
        <is>
          <t>OBLIGATORY_REENTRY_SMA_TF</t>
        </is>
      </c>
      <c r="B155" t="inlineStr">
        <is>
          <t>15m</t>
        </is>
      </c>
      <c r="G155">
        <f>IFERROR(VLOOKUP($A156&amp;"_"&amp;$B156,Results_Deltas!$A$2:$P$15000,5,FALSE),"")</f>
        <v/>
      </c>
      <c r="H155">
        <f>IFERROR(VLOOKUP($A156,Results_30d_Deltas!$A$2:$H$5000,7,FALSE)-E155,"")</f>
        <v/>
      </c>
      <c r="I155">
        <f>IFERROR(VLOOKUP($A156,Results_30d_Deltas!$A$2:$H$5000,6,FALSE),"")</f>
        <v/>
      </c>
      <c r="L155" t="inlineStr">
        <is>
          <t>NO</t>
        </is>
      </c>
      <c r="IK155" t="inlineStr">
        <is>
          <t>ez_manage.py:5122 top()</t>
        </is>
      </c>
      <c r="IL155" t="inlineStr">
        <is>
          <t>v12_quick_engine.py:2513 x2</t>
        </is>
      </c>
    </row>
    <row r="156" ht="10.5" customHeight="1" s="67">
      <c r="A156" t="inlineStr">
        <is>
          <t>OBLIGATORY_REENTRY_TIER1_HTF_REQUIRED</t>
        </is>
      </c>
      <c r="B156" t="inlineStr">
        <is>
          <t>0</t>
        </is>
      </c>
      <c r="G156">
        <f>IFERROR(VLOOKUP($A157&amp;"_"&amp;$B157,Results_Deltas!$A$2:$P$15000,5,FALSE),"")</f>
        <v/>
      </c>
      <c r="H156">
        <f>IFERROR(VLOOKUP($A157,Results_30d_Deltas!$A$2:$H$5000,7,FALSE)-E156,"")</f>
        <v/>
      </c>
      <c r="I156">
        <f>IFERROR(VLOOKUP($A157,Results_30d_Deltas!$A$2:$H$5000,6,FALSE),"")</f>
        <v/>
      </c>
      <c r="L156" t="inlineStr">
        <is>
          <t>NO</t>
        </is>
      </c>
      <c r="IK156" t="inlineStr">
        <is>
          <t>ez_manage.py:5123 top()</t>
        </is>
      </c>
      <c r="IL156" t="inlineStr">
        <is>
          <t>v12_quick_engine.py:2514 x4</t>
        </is>
      </c>
    </row>
    <row r="157" ht="10.5" customHeight="1" s="67">
      <c r="A157" t="inlineStr">
        <is>
          <t>OBLIGATORY_REENTRY_TIER1_HTF_REQUIRED</t>
        </is>
      </c>
      <c r="B157" t="inlineStr">
        <is>
          <t>0.5</t>
        </is>
      </c>
      <c r="G157">
        <f>IFERROR(VLOOKUP($A158&amp;"_"&amp;$B158,Results_Deltas!$A$2:$P$15000,5,FALSE),"")</f>
        <v/>
      </c>
      <c r="H157">
        <f>IFERROR(VLOOKUP($A158,Results_30d_Deltas!$A$2:$H$5000,7,FALSE)-E157,"")</f>
        <v/>
      </c>
      <c r="I157">
        <f>IFERROR(VLOOKUP($A158,Results_30d_Deltas!$A$2:$H$5000,6,FALSE),"")</f>
        <v/>
      </c>
      <c r="L157" t="inlineStr">
        <is>
          <t>NO</t>
        </is>
      </c>
      <c r="IK157" t="inlineStr">
        <is>
          <t>ez_manage.py:5123 top()</t>
        </is>
      </c>
      <c r="IL157" t="inlineStr">
        <is>
          <t>v12_quick_engine.py:2514 x4</t>
        </is>
      </c>
    </row>
    <row r="158" ht="10.5" customHeight="1" s="67">
      <c r="A158" t="inlineStr">
        <is>
          <t>OBLIGATORY_REENTRY_TIER1_HTF_REQUIRED</t>
        </is>
      </c>
      <c r="B158" t="inlineStr">
        <is>
          <t>1.0</t>
        </is>
      </c>
      <c r="G158">
        <f>IFERROR(VLOOKUP($A159&amp;"_"&amp;$B159,Results_Deltas!$A$2:$P$15000,5,FALSE),"")</f>
        <v/>
      </c>
      <c r="H158">
        <f>IFERROR(VLOOKUP($A159,Results_30d_Deltas!$A$2:$H$5000,7,FALSE)-E158,"")</f>
        <v/>
      </c>
      <c r="I158">
        <f>IFERROR(VLOOKUP($A159,Results_30d_Deltas!$A$2:$H$5000,6,FALSE),"")</f>
        <v/>
      </c>
      <c r="L158" t="inlineStr">
        <is>
          <t>NO</t>
        </is>
      </c>
      <c r="IK158" t="inlineStr">
        <is>
          <t>ez_manage.py:5123 top()</t>
        </is>
      </c>
      <c r="IL158" t="inlineStr">
        <is>
          <t>v12_quick_engine.py:2514 x4</t>
        </is>
      </c>
    </row>
    <row r="159" ht="10.5" customHeight="1" s="67">
      <c r="A159" t="inlineStr">
        <is>
          <t>OBLIGATORY_REENTRY_TIER1_HTF_REQUIRED</t>
        </is>
      </c>
      <c r="B159" t="inlineStr">
        <is>
          <t>2.0</t>
        </is>
      </c>
      <c r="G159">
        <f>IFERROR(VLOOKUP($A160&amp;"_"&amp;$B160,Results_Deltas!$A$2:$P$15000,5,FALSE),"")</f>
        <v/>
      </c>
      <c r="H159">
        <f>IFERROR(VLOOKUP($A160,Results_30d_Deltas!$A$2:$H$5000,7,FALSE)-E159,"")</f>
        <v/>
      </c>
      <c r="I159">
        <f>IFERROR(VLOOKUP($A160,Results_30d_Deltas!$A$2:$H$5000,6,FALSE),"")</f>
        <v/>
      </c>
      <c r="L159" t="inlineStr">
        <is>
          <t>NO</t>
        </is>
      </c>
      <c r="IK159" t="inlineStr">
        <is>
          <t>ez_manage.py:5123 top()</t>
        </is>
      </c>
      <c r="IL159" t="inlineStr">
        <is>
          <t>v12_quick_engine.py:2514 x4</t>
        </is>
      </c>
    </row>
    <row r="160" ht="10.5" customHeight="1" s="67">
      <c r="A160" t="inlineStr">
        <is>
          <t>OBLIGATORY_REENTRY_TIER2_HTF_REQUIRED</t>
        </is>
      </c>
      <c r="B160" t="inlineStr">
        <is>
          <t>0</t>
        </is>
      </c>
      <c r="G160">
        <f>IFERROR(VLOOKUP($A161&amp;"_"&amp;$B161,Results_Deltas!$A$2:$P$15000,5,FALSE),"")</f>
        <v/>
      </c>
      <c r="H160">
        <f>IFERROR(VLOOKUP($A161,Results_30d_Deltas!$A$2:$H$5000,7,FALSE)-E160,"")</f>
        <v/>
      </c>
      <c r="I160">
        <f>IFERROR(VLOOKUP($A161,Results_30d_Deltas!$A$2:$H$5000,6,FALSE),"")</f>
        <v/>
      </c>
      <c r="L160" t="inlineStr">
        <is>
          <t>NO</t>
        </is>
      </c>
      <c r="IK160" t="inlineStr">
        <is>
          <t>ez_manage.py:5124 top()</t>
        </is>
      </c>
      <c r="IL160" t="inlineStr">
        <is>
          <t>v12_quick_engine.py:2515 x4</t>
        </is>
      </c>
    </row>
    <row r="161" ht="10.5" customHeight="1" s="67">
      <c r="A161" t="inlineStr">
        <is>
          <t>OBLIGATORY_REENTRY_TIER2_HTF_REQUIRED</t>
        </is>
      </c>
      <c r="B161" t="inlineStr">
        <is>
          <t>0.5</t>
        </is>
      </c>
      <c r="G161">
        <f>IFERROR(VLOOKUP($A162&amp;"_"&amp;$B162,Results_Deltas!$A$2:$P$15000,5,FALSE),"")</f>
        <v/>
      </c>
      <c r="H161">
        <f>IFERROR(VLOOKUP($A162,Results_30d_Deltas!$A$2:$H$5000,7,FALSE)-E161,"")</f>
        <v/>
      </c>
      <c r="I161">
        <f>IFERROR(VLOOKUP($A162,Results_30d_Deltas!$A$2:$H$5000,6,FALSE),"")</f>
        <v/>
      </c>
      <c r="L161" t="inlineStr">
        <is>
          <t>NO</t>
        </is>
      </c>
      <c r="IK161" t="inlineStr">
        <is>
          <t>ez_manage.py:5124 top()</t>
        </is>
      </c>
      <c r="IL161" t="inlineStr">
        <is>
          <t>v12_quick_engine.py:2515 x4</t>
        </is>
      </c>
    </row>
    <row r="162" ht="10.5" customHeight="1" s="67">
      <c r="A162" t="inlineStr">
        <is>
          <t>OBLIGATORY_REENTRY_TIER2_HTF_REQUIRED</t>
        </is>
      </c>
      <c r="B162" t="n">
        <v>0</v>
      </c>
      <c r="G162">
        <f>IFERROR(VLOOKUP($A163&amp;"_"&amp;$B163,Results_Deltas!$A$2:$P$15000,5,FALSE),"")</f>
        <v/>
      </c>
      <c r="H162">
        <f>IFERROR(VLOOKUP($A163,Results_30d_Deltas!$A$2:$H$5000,7,FALSE)-E162,"")</f>
        <v/>
      </c>
      <c r="I162">
        <f>IFERROR(VLOOKUP($A163,Results_30d_Deltas!$A$2:$H$5000,6,FALSE),"")</f>
        <v/>
      </c>
      <c r="L162" t="inlineStr">
        <is>
          <t>NO</t>
        </is>
      </c>
      <c r="IK162" t="inlineStr">
        <is>
          <t>ez_manage.py:5124 top()</t>
        </is>
      </c>
      <c r="IL162" t="inlineStr">
        <is>
          <t>v12_quick_engine.py:2515 x4</t>
        </is>
      </c>
    </row>
    <row r="163" ht="10.5" customHeight="1" s="67">
      <c r="A163" t="inlineStr">
        <is>
          <t>OBLIGATORY_REENTRY_TIER2_HTF_REQUIRED</t>
        </is>
      </c>
      <c r="B163" t="inlineStr">
        <is>
          <t>2.0</t>
        </is>
      </c>
      <c r="G163">
        <f>IFERROR(VLOOKUP($A164&amp;"_"&amp;$B164,Results_Deltas!$A$2:$P$15000,5,FALSE),"")</f>
        <v/>
      </c>
      <c r="H163">
        <f>IFERROR(VLOOKUP($A164,Results_30d_Deltas!$A$2:$H$5000,7,FALSE)-E163,"")</f>
        <v/>
      </c>
      <c r="I163">
        <f>IFERROR(VLOOKUP($A164,Results_30d_Deltas!$A$2:$H$5000,6,FALSE),"")</f>
        <v/>
      </c>
      <c r="L163" t="inlineStr">
        <is>
          <t>NO</t>
        </is>
      </c>
      <c r="IK163" t="inlineStr">
        <is>
          <t>ez_manage.py:5124 top()</t>
        </is>
      </c>
      <c r="IL163" t="inlineStr">
        <is>
          <t>v12_quick_engine.py:2515 x4</t>
        </is>
      </c>
    </row>
    <row r="164" ht="10.5" customHeight="1" s="67">
      <c r="A164" t="inlineStr">
        <is>
          <t>REENTRY2_DC_BREAK_ALLOW_15M</t>
        </is>
      </c>
      <c r="B164" t="inlineStr">
        <is>
          <t>0</t>
        </is>
      </c>
      <c r="G164">
        <f>IFERROR(VLOOKUP($A165&amp;"_"&amp;$B165,Results_Deltas!$A$2:$P$15000,5,FALSE),"")</f>
        <v/>
      </c>
      <c r="H164">
        <f>IFERROR(VLOOKUP($A165,Results_30d_Deltas!$A$2:$H$5000,7,FALSE)-E164,"")</f>
        <v/>
      </c>
      <c r="I164">
        <f>IFERROR(VLOOKUP($A165,Results_30d_Deltas!$A$2:$H$5000,6,FALSE),"")</f>
        <v/>
      </c>
      <c r="L164" t="inlineStr">
        <is>
          <t>NO</t>
        </is>
      </c>
      <c r="IK164" t="inlineStr">
        <is>
          <t>ez_manage.py:5278 top()</t>
        </is>
      </c>
      <c r="IL164" t="inlineStr">
        <is>
          <t>v12_quick_engine.py:2835 x5</t>
        </is>
      </c>
    </row>
    <row r="165" ht="10.5" customHeight="1" s="67">
      <c r="A165" t="inlineStr">
        <is>
          <t>REENTRY2_DC_BREAK_ALLOW_15M</t>
        </is>
      </c>
      <c r="B165" t="inlineStr">
        <is>
          <t>0.5</t>
        </is>
      </c>
      <c r="G165">
        <f>IFERROR(VLOOKUP($A166&amp;"_"&amp;$B166,Results_Deltas!$A$2:$P$15000,5,FALSE),"")</f>
        <v/>
      </c>
      <c r="H165">
        <f>IFERROR(VLOOKUP($A166,Results_30d_Deltas!$A$2:$H$5000,7,FALSE)-E165,"")</f>
        <v/>
      </c>
      <c r="I165">
        <f>IFERROR(VLOOKUP($A166,Results_30d_Deltas!$A$2:$H$5000,6,FALSE),"")</f>
        <v/>
      </c>
      <c r="L165" t="inlineStr">
        <is>
          <t>YES</t>
        </is>
      </c>
      <c r="IK165" t="inlineStr">
        <is>
          <t>ez_manage.py:5278 top()</t>
        </is>
      </c>
      <c r="IL165" t="inlineStr">
        <is>
          <t>v12_quick_engine.py:2835 x5</t>
        </is>
      </c>
    </row>
    <row r="166" ht="10.5" customHeight="1" s="67">
      <c r="A166" t="inlineStr">
        <is>
          <t>REENTRY2_DC_BREAK_ALLOW_15M</t>
        </is>
      </c>
      <c r="B166" t="inlineStr">
        <is>
          <t>1.0</t>
        </is>
      </c>
      <c r="G166">
        <f>IFERROR(VLOOKUP($A167&amp;"_"&amp;$B167,Results_Deltas!$A$2:$P$15000,5,FALSE),"")</f>
        <v/>
      </c>
      <c r="H166">
        <f>IFERROR(VLOOKUP($A167,Results_30d_Deltas!$A$2:$H$5000,7,FALSE)-E166,"")</f>
        <v/>
      </c>
      <c r="I166">
        <f>IFERROR(VLOOKUP($A167,Results_30d_Deltas!$A$2:$H$5000,6,FALSE),"")</f>
        <v/>
      </c>
      <c r="L166" t="inlineStr">
        <is>
          <t>NO</t>
        </is>
      </c>
      <c r="IK166" t="inlineStr">
        <is>
          <t>ez_manage.py:5278 top()</t>
        </is>
      </c>
      <c r="IL166" t="inlineStr">
        <is>
          <t>v12_quick_engine.py:2835 x5</t>
        </is>
      </c>
    </row>
    <row r="167" ht="10.5" customHeight="1" s="67">
      <c r="A167" t="inlineStr">
        <is>
          <t>REENTRY2_DC_BREAK_ALLOW_15M</t>
        </is>
      </c>
      <c r="B167" t="inlineStr">
        <is>
          <t>2.0</t>
        </is>
      </c>
      <c r="G167">
        <f>IFERROR(VLOOKUP($A168&amp;"_"&amp;$B168,Results_Deltas!$A$2:$P$15000,5,FALSE),"")</f>
        <v/>
      </c>
      <c r="H167">
        <f>IFERROR(VLOOKUP($A168,Results_30d_Deltas!$A$2:$H$5000,7,FALSE)-E167,"")</f>
        <v/>
      </c>
      <c r="I167">
        <f>IFERROR(VLOOKUP($A168,Results_30d_Deltas!$A$2:$H$5000,6,FALSE),"")</f>
        <v/>
      </c>
      <c r="L167" t="inlineStr">
        <is>
          <t>NO</t>
        </is>
      </c>
      <c r="IK167" t="inlineStr">
        <is>
          <t>ez_manage.py:5278 top()</t>
        </is>
      </c>
      <c r="IL167" t="inlineStr">
        <is>
          <t>v12_quick_engine.py:2835 x5</t>
        </is>
      </c>
    </row>
    <row r="168" ht="10.5" customHeight="1" s="67">
      <c r="A168" t="inlineStr">
        <is>
          <t>REENTRY2_DC_BREAK_FILTER_TF</t>
        </is>
      </c>
      <c r="B168" t="inlineStr">
        <is>
          <t>OFF</t>
        </is>
      </c>
      <c r="G168">
        <f>IFERROR(VLOOKUP($A169&amp;"_"&amp;$B169,Results_Deltas!$A$2:$P$15000,5,FALSE),"")</f>
        <v/>
      </c>
      <c r="H168">
        <f>IFERROR(VLOOKUP($A169,Results_30d_Deltas!$A$2:$H$5000,7,FALSE)-E168,"")</f>
        <v/>
      </c>
      <c r="I168">
        <f>IFERROR(VLOOKUP($A169,Results_30d_Deltas!$A$2:$H$5000,6,FALSE),"")</f>
        <v/>
      </c>
      <c r="L168" t="inlineStr">
        <is>
          <t>NO</t>
        </is>
      </c>
      <c r="IK168" t="inlineStr">
        <is>
          <t>ez_manage.py:5280 top()</t>
        </is>
      </c>
      <c r="IL168" t="inlineStr">
        <is>
          <t>v12_quick_engine.py:2837 x5</t>
        </is>
      </c>
    </row>
    <row r="169" ht="10.5" customHeight="1" s="67">
      <c r="A169" t="inlineStr">
        <is>
          <t>REENTRY2_DC_BREAK_FILTER_TF</t>
        </is>
      </c>
      <c r="B169" t="inlineStr">
        <is>
          <t>D</t>
        </is>
      </c>
      <c r="G169">
        <f>IFERROR(VLOOKUP($A170&amp;"_"&amp;$B170,Results_Deltas!$A$2:$P$15000,5,FALSE),"")</f>
        <v/>
      </c>
      <c r="H169">
        <f>IFERROR(VLOOKUP($A170,Results_30d_Deltas!$A$2:$H$5000,7,FALSE)-E169,"")</f>
        <v/>
      </c>
      <c r="I169">
        <f>IFERROR(VLOOKUP($A170,Results_30d_Deltas!$A$2:$H$5000,6,FALSE),"")</f>
        <v/>
      </c>
      <c r="L169" t="inlineStr">
        <is>
          <t>NO</t>
        </is>
      </c>
      <c r="IK169" t="inlineStr">
        <is>
          <t>ez_manage.py:5280 top()</t>
        </is>
      </c>
      <c r="IL169" t="inlineStr">
        <is>
          <t>v12_quick_engine.py:2837 x5</t>
        </is>
      </c>
    </row>
    <row r="170" ht="10.5" customHeight="1" s="67">
      <c r="A170" t="inlineStr">
        <is>
          <t>REENTRY2_DC_BREAK_FILTER_TF</t>
        </is>
      </c>
      <c r="B170" t="inlineStr">
        <is>
          <t>4h</t>
        </is>
      </c>
      <c r="G170">
        <f>IFERROR(VLOOKUP($A171&amp;"_"&amp;$B171,Results_Deltas!$A$2:$P$15000,5,FALSE),"")</f>
        <v/>
      </c>
      <c r="H170">
        <f>IFERROR(VLOOKUP($A171,Results_30d_Deltas!$A$2:$H$5000,7,FALSE)-E170,"")</f>
        <v/>
      </c>
      <c r="I170">
        <f>IFERROR(VLOOKUP($A171,Results_30d_Deltas!$A$2:$H$5000,6,FALSE),"")</f>
        <v/>
      </c>
      <c r="L170" t="inlineStr">
        <is>
          <t>NO</t>
        </is>
      </c>
      <c r="IK170" t="inlineStr">
        <is>
          <t>ez_manage.py:5280 top()</t>
        </is>
      </c>
      <c r="IL170" t="inlineStr">
        <is>
          <t>v12_quick_engine.py:2837 x5</t>
        </is>
      </c>
    </row>
    <row r="171" ht="10.5" customHeight="1" s="67">
      <c r="A171" t="inlineStr">
        <is>
          <t>REENTRY2_DC_BREAK_FILTER_TF</t>
        </is>
      </c>
      <c r="B171" t="inlineStr">
        <is>
          <t>1h</t>
        </is>
      </c>
      <c r="G171">
        <f>IFERROR(VLOOKUP($A172&amp;"_"&amp;$B172,Results_Deltas!$A$2:$P$15000,5,FALSE),"")</f>
        <v/>
      </c>
      <c r="H171">
        <f>IFERROR(VLOOKUP($A172,Results_30d_Deltas!$A$2:$H$5000,7,FALSE)-E171,"")</f>
        <v/>
      </c>
      <c r="I171">
        <f>IFERROR(VLOOKUP($A172,Results_30d_Deltas!$A$2:$H$5000,6,FALSE),"")</f>
        <v/>
      </c>
      <c r="L171" t="inlineStr">
        <is>
          <t>NO</t>
        </is>
      </c>
      <c r="IK171" t="inlineStr">
        <is>
          <t>ez_manage.py:5280 top()</t>
        </is>
      </c>
      <c r="IL171" t="inlineStr">
        <is>
          <t>v12_quick_engine.py:2837 x5</t>
        </is>
      </c>
    </row>
    <row r="172" ht="10.5" customHeight="1" s="67">
      <c r="A172" t="inlineStr">
        <is>
          <t>REENTRY2_DC_BREAK_FILTER_TF</t>
        </is>
      </c>
      <c r="B172" t="inlineStr">
        <is>
          <t>15m</t>
        </is>
      </c>
      <c r="G172">
        <f>IFERROR(VLOOKUP($A173&amp;"_"&amp;$B173,Results_Deltas!$A$2:$P$15000,5,FALSE),"")</f>
        <v/>
      </c>
      <c r="H172">
        <f>IFERROR(VLOOKUP($A173,Results_30d_Deltas!$A$2:$H$5000,7,FALSE)-E172,"")</f>
        <v/>
      </c>
      <c r="I172">
        <f>IFERROR(VLOOKUP($A173,Results_30d_Deltas!$A$2:$H$5000,6,FALSE),"")</f>
        <v/>
      </c>
      <c r="L172" t="inlineStr">
        <is>
          <t>NO</t>
        </is>
      </c>
      <c r="IK172" t="inlineStr">
        <is>
          <t>ez_manage.py:5280 top()</t>
        </is>
      </c>
      <c r="IL172" t="inlineStr">
        <is>
          <t>v12_quick_engine.py:2837 x5</t>
        </is>
      </c>
    </row>
    <row r="173" ht="10.5" customHeight="1" s="67">
      <c r="A173" t="inlineStr">
        <is>
          <t>REENTRY2_DC_BREAK_REQUIRE_K_FILTER</t>
        </is>
      </c>
      <c r="B173" t="inlineStr">
        <is>
          <t>0</t>
        </is>
      </c>
      <c r="G173">
        <f>IFERROR(VLOOKUP($A174&amp;"_"&amp;$B174,Results_Deltas!$A$2:$P$15000,5,FALSE),"")</f>
        <v/>
      </c>
      <c r="H173">
        <f>IFERROR(VLOOKUP($A174,Results_30d_Deltas!$A$2:$H$5000,7,FALSE)-E173,"")</f>
        <v/>
      </c>
      <c r="I173">
        <f>IFERROR(VLOOKUP($A174,Results_30d_Deltas!$A$2:$H$5000,6,FALSE),"")</f>
        <v/>
      </c>
      <c r="L173" t="inlineStr">
        <is>
          <t>NO</t>
        </is>
      </c>
      <c r="IK173" t="inlineStr">
        <is>
          <t>ez_manage.py:5281 top()</t>
        </is>
      </c>
      <c r="IL173" t="inlineStr">
        <is>
          <t>v12_quick_engine.py:2838 x5</t>
        </is>
      </c>
    </row>
    <row r="174" ht="10.5" customHeight="1" s="67">
      <c r="A174" t="inlineStr">
        <is>
          <t>REENTRY2_DC_BREAK_REQUIRE_K_FILTER</t>
        </is>
      </c>
      <c r="B174" t="inlineStr">
        <is>
          <t>0.5</t>
        </is>
      </c>
      <c r="G174">
        <f>IFERROR(VLOOKUP($A175&amp;"_"&amp;$B175,Results_Deltas!$A$2:$P$15000,5,FALSE),"")</f>
        <v/>
      </c>
      <c r="H174">
        <f>IFERROR(VLOOKUP($A175,Results_30d_Deltas!$A$2:$H$5000,7,FALSE)-E174,"")</f>
        <v/>
      </c>
      <c r="I174">
        <f>IFERROR(VLOOKUP($A175,Results_30d_Deltas!$A$2:$H$5000,6,FALSE),"")</f>
        <v/>
      </c>
      <c r="L174" t="inlineStr">
        <is>
          <t>NO</t>
        </is>
      </c>
      <c r="IK174" t="inlineStr">
        <is>
          <t>ez_manage.py:5281 top()</t>
        </is>
      </c>
      <c r="IL174" t="inlineStr">
        <is>
          <t>v12_quick_engine.py:2838 x5</t>
        </is>
      </c>
    </row>
    <row r="175" ht="10.5" customHeight="1" s="67">
      <c r="A175" t="inlineStr">
        <is>
          <t>REENTRY2_DC_BREAK_REQUIRE_K_FILTER</t>
        </is>
      </c>
      <c r="B175" t="inlineStr">
        <is>
          <t>1.0</t>
        </is>
      </c>
      <c r="G175">
        <f>IFERROR(VLOOKUP($A176&amp;"_"&amp;$B176,Results_Deltas!$A$2:$P$15000,5,FALSE),"")</f>
        <v/>
      </c>
      <c r="H175">
        <f>IFERROR(VLOOKUP($A176,Results_30d_Deltas!$A$2:$H$5000,7,FALSE)-E175,"")</f>
        <v/>
      </c>
      <c r="I175">
        <f>IFERROR(VLOOKUP($A176,Results_30d_Deltas!$A$2:$H$5000,6,FALSE),"")</f>
        <v/>
      </c>
      <c r="L175" t="inlineStr">
        <is>
          <t>NO</t>
        </is>
      </c>
      <c r="IK175" t="inlineStr">
        <is>
          <t>ez_manage.py:5281 top()</t>
        </is>
      </c>
      <c r="IL175" t="inlineStr">
        <is>
          <t>v12_quick_engine.py:2838 x5</t>
        </is>
      </c>
    </row>
    <row r="176" ht="10.5" customHeight="1" s="67">
      <c r="A176" t="inlineStr">
        <is>
          <t>REENTRY2_DC_BREAK_REQUIRE_K_FILTER</t>
        </is>
      </c>
      <c r="B176" t="inlineStr">
        <is>
          <t>2.0</t>
        </is>
      </c>
      <c r="G176">
        <f>IFERROR(VLOOKUP($A177&amp;"_"&amp;$B177,Results_Deltas!$A$2:$P$15000,5,FALSE),"")</f>
        <v/>
      </c>
      <c r="H176">
        <f>IFERROR(VLOOKUP($A177,Results_30d_Deltas!$A$2:$H$5000,7,FALSE)-E176,"")</f>
        <v/>
      </c>
      <c r="I176">
        <f>IFERROR(VLOOKUP($A177,Results_30d_Deltas!$A$2:$H$5000,6,FALSE),"")</f>
        <v/>
      </c>
      <c r="L176" t="inlineStr">
        <is>
          <t>NO</t>
        </is>
      </c>
      <c r="IK176" t="inlineStr">
        <is>
          <t>ez_manage.py:5281 top()</t>
        </is>
      </c>
      <c r="IL176" t="inlineStr">
        <is>
          <t>v12_quick_engine.py:2838 x5</t>
        </is>
      </c>
    </row>
    <row r="177" ht="10.5" customHeight="1" s="67">
      <c r="A177" t="inlineStr">
        <is>
          <t>REENTRY2_DC_BREAK_REQUIRE_WT_FILTER</t>
        </is>
      </c>
      <c r="B177" t="inlineStr">
        <is>
          <t>0</t>
        </is>
      </c>
      <c r="G177">
        <f>IFERROR(VLOOKUP($A178&amp;"_"&amp;$B178,Results_Deltas!$A$2:$P$15000,5,FALSE),"")</f>
        <v/>
      </c>
      <c r="H177">
        <f>IFERROR(VLOOKUP($A178,Results_30d_Deltas!$A$2:$H$5000,7,FALSE)-E177,"")</f>
        <v/>
      </c>
      <c r="I177">
        <f>IFERROR(VLOOKUP($A178,Results_30d_Deltas!$A$2:$H$5000,6,FALSE),"")</f>
        <v/>
      </c>
      <c r="L177" t="inlineStr">
        <is>
          <t>YES</t>
        </is>
      </c>
      <c r="IK177" t="inlineStr">
        <is>
          <t>ez_manage.py:5282 top()</t>
        </is>
      </c>
      <c r="IL177" t="inlineStr">
        <is>
          <t>v12_quick_engine.py:2839 x5</t>
        </is>
      </c>
    </row>
    <row r="178" ht="10.5" customHeight="1" s="67">
      <c r="A178" t="inlineStr">
        <is>
          <t>REENTRY2_DC_BREAK_REQUIRE_WT_FILTER</t>
        </is>
      </c>
      <c r="B178" t="inlineStr">
        <is>
          <t>0.5</t>
        </is>
      </c>
      <c r="G178">
        <f>IFERROR(VLOOKUP($A179&amp;"_"&amp;$B179,Results_Deltas!$A$2:$P$15000,5,FALSE),"")</f>
        <v/>
      </c>
      <c r="H178">
        <f>IFERROR(VLOOKUP($A179,Results_30d_Deltas!$A$2:$H$5000,7,FALSE)-E178,"")</f>
        <v/>
      </c>
      <c r="I178">
        <f>IFERROR(VLOOKUP($A179,Results_30d_Deltas!$A$2:$H$5000,6,FALSE),"")</f>
        <v/>
      </c>
      <c r="L178" t="inlineStr">
        <is>
          <t>NO</t>
        </is>
      </c>
      <c r="IK178" t="inlineStr">
        <is>
          <t>ez_manage.py:5282 top()</t>
        </is>
      </c>
      <c r="IL178" t="inlineStr">
        <is>
          <t>v12_quick_engine.py:2839 x5</t>
        </is>
      </c>
    </row>
    <row r="179" ht="10.5" customHeight="1" s="67">
      <c r="A179" t="inlineStr">
        <is>
          <t>REENTRY2_DC_BREAK_REQUIRE_WT_FILTER</t>
        </is>
      </c>
      <c r="B179" t="inlineStr">
        <is>
          <t>1.0</t>
        </is>
      </c>
      <c r="G179">
        <f>IFERROR(VLOOKUP($A180&amp;"_"&amp;$B180,Results_Deltas!$A$2:$P$15000,5,FALSE),"")</f>
        <v/>
      </c>
      <c r="H179">
        <f>IFERROR(VLOOKUP($A180,Results_30d_Deltas!$A$2:$H$5000,7,FALSE)-E179,"")</f>
        <v/>
      </c>
      <c r="I179">
        <f>IFERROR(VLOOKUP($A180,Results_30d_Deltas!$A$2:$H$5000,6,FALSE),"")</f>
        <v/>
      </c>
      <c r="L179" t="inlineStr">
        <is>
          <t>NO</t>
        </is>
      </c>
      <c r="IK179" t="inlineStr">
        <is>
          <t>ez_manage.py:5282 top()</t>
        </is>
      </c>
      <c r="IL179" t="inlineStr">
        <is>
          <t>v12_quick_engine.py:2839 x5</t>
        </is>
      </c>
    </row>
    <row r="180" ht="10.5" customHeight="1" s="67">
      <c r="A180" t="inlineStr">
        <is>
          <t>REENTRY2_DC_BREAK_REQUIRE_WT_FILTER</t>
        </is>
      </c>
      <c r="B180" t="inlineStr">
        <is>
          <t>2.0</t>
        </is>
      </c>
      <c r="G180">
        <f>IFERROR(VLOOKUP($A181&amp;"_"&amp;$B181,Results_Deltas!$A$2:$P$15000,5,FALSE),"")</f>
        <v/>
      </c>
      <c r="H180">
        <f>IFERROR(VLOOKUP($A181,Results_30d_Deltas!$A$2:$H$5000,7,FALSE)-E180,"")</f>
        <v/>
      </c>
      <c r="I180">
        <f>IFERROR(VLOOKUP($A181,Results_30d_Deltas!$A$2:$H$5000,6,FALSE),"")</f>
        <v/>
      </c>
      <c r="L180" t="inlineStr">
        <is>
          <t>NO</t>
        </is>
      </c>
      <c r="IK180" t="inlineStr">
        <is>
          <t>ez_manage.py:5282 top()</t>
        </is>
      </c>
      <c r="IL180" t="inlineStr">
        <is>
          <t>v12_quick_engine.py:2839 x5</t>
        </is>
      </c>
    </row>
    <row r="181" ht="10.5" customHeight="1" s="67">
      <c r="A181" t="inlineStr">
        <is>
          <t>REENTRY2_DIR_FAV_ENABLED</t>
        </is>
      </c>
      <c r="B181" t="inlineStr">
        <is>
          <t>False</t>
        </is>
      </c>
      <c r="G181">
        <f>IFERROR(VLOOKUP($A182&amp;"_"&amp;$B182,Results_Deltas!$A$2:$P$15000,5,FALSE),"")</f>
        <v/>
      </c>
      <c r="H181">
        <f>IFERROR(VLOOKUP($A182,Results_30d_Deltas!$A$2:$H$5000,7,FALSE)-E181,"")</f>
        <v/>
      </c>
      <c r="I181">
        <f>IFERROR(VLOOKUP($A182,Results_30d_Deltas!$A$2:$H$5000,6,FALSE),"")</f>
        <v/>
      </c>
      <c r="L181" t="inlineStr">
        <is>
          <t>NO</t>
        </is>
      </c>
      <c r="IK181" t="inlineStr">
        <is>
          <t>ez_manage.py:5283 top()</t>
        </is>
      </c>
      <c r="IL181" t="inlineStr">
        <is>
          <t>v12_quick_engine.py:2840 x5</t>
        </is>
      </c>
    </row>
    <row r="182" ht="10.5" customHeight="1" s="67">
      <c r="A182" t="inlineStr">
        <is>
          <t>REENTRY2_DIR_FAV_ENABLED</t>
        </is>
      </c>
      <c r="B182" t="b">
        <v>0</v>
      </c>
      <c r="G182">
        <f>IFERROR(VLOOKUP($A183&amp;"_"&amp;$B183,Results_Deltas!$A$2:$P$15000,5,FALSE),"")</f>
        <v/>
      </c>
      <c r="H182">
        <f>IFERROR(VLOOKUP($A183,Results_30d_Deltas!$A$2:$H$5000,7,FALSE)-E182,"")</f>
        <v/>
      </c>
      <c r="I182">
        <f>IFERROR(VLOOKUP($A183,Results_30d_Deltas!$A$2:$H$5000,6,FALSE),"")</f>
        <v/>
      </c>
      <c r="L182" t="inlineStr">
        <is>
          <t>NO</t>
        </is>
      </c>
      <c r="IK182" t="inlineStr">
        <is>
          <t>ez_manage.py:5283 top()</t>
        </is>
      </c>
      <c r="IL182" t="inlineStr">
        <is>
          <t>v12_quick_engine.py:2840 x5</t>
        </is>
      </c>
    </row>
    <row r="183" ht="10.5" customHeight="1" s="67">
      <c r="A183" t="inlineStr">
        <is>
          <t>REENTRY_B16_SIZE_MULT_STRONG</t>
        </is>
      </c>
      <c r="B183" t="inlineStr">
        <is>
          <t>0</t>
        </is>
      </c>
      <c r="G183">
        <f>IFERROR(VLOOKUP($A184&amp;"_"&amp;$B184,Results_Deltas!$A$2:$P$15000,5,FALSE),"")</f>
        <v/>
      </c>
      <c r="H183">
        <f>IFERROR(VLOOKUP($A184,Results_30d_Deltas!$A$2:$H$5000,7,FALSE)-E183,"")</f>
        <v/>
      </c>
      <c r="I183">
        <f>IFERROR(VLOOKUP($A184,Results_30d_Deltas!$A$2:$H$5000,6,FALSE),"")</f>
        <v/>
      </c>
      <c r="L183" t="inlineStr">
        <is>
          <t>NO</t>
        </is>
      </c>
      <c r="IK183" t="inlineStr">
        <is>
          <t>ez_manage.py:5297 top()</t>
        </is>
      </c>
      <c r="IL183" t="inlineStr">
        <is>
          <t>v12_quick_engine.py:2858 x4</t>
        </is>
      </c>
    </row>
    <row r="184" ht="10.5" customHeight="1" s="67">
      <c r="A184" t="inlineStr">
        <is>
          <t>REENTRY_B16_SIZE_MULT_STRONG</t>
        </is>
      </c>
      <c r="B184" t="inlineStr">
        <is>
          <t>0.5</t>
        </is>
      </c>
      <c r="G184">
        <f>IFERROR(VLOOKUP($A185&amp;"_"&amp;$B185,Results_Deltas!$A$2:$P$15000,5,FALSE),"")</f>
        <v/>
      </c>
      <c r="H184">
        <f>IFERROR(VLOOKUP($A185,Results_30d_Deltas!$A$2:$H$5000,7,FALSE)-E184,"")</f>
        <v/>
      </c>
      <c r="I184">
        <f>IFERROR(VLOOKUP($A185,Results_30d_Deltas!$A$2:$H$5000,6,FALSE),"")</f>
        <v/>
      </c>
      <c r="L184" t="inlineStr">
        <is>
          <t>NO</t>
        </is>
      </c>
      <c r="IK184" t="inlineStr">
        <is>
          <t>ez_manage.py:5297 top()</t>
        </is>
      </c>
      <c r="IL184" t="inlineStr">
        <is>
          <t>v12_quick_engine.py:2858 x4</t>
        </is>
      </c>
    </row>
    <row r="185" ht="10.5" customHeight="1" s="67">
      <c r="A185" t="inlineStr">
        <is>
          <t>REENTRY_B16_SIZE_MULT_STRONG</t>
        </is>
      </c>
      <c r="B185" t="inlineStr">
        <is>
          <t>1.0</t>
        </is>
      </c>
      <c r="G185">
        <f>IFERROR(VLOOKUP($A186&amp;"_"&amp;$B186,Results_Deltas!$A$2:$P$15000,5,FALSE),"")</f>
        <v/>
      </c>
      <c r="H185">
        <f>IFERROR(VLOOKUP($A186,Results_30d_Deltas!$A$2:$H$5000,7,FALSE)-E185,"")</f>
        <v/>
      </c>
      <c r="I185">
        <f>IFERROR(VLOOKUP($A186,Results_30d_Deltas!$A$2:$H$5000,6,FALSE),"")</f>
        <v/>
      </c>
      <c r="L185" t="inlineStr">
        <is>
          <t>NO</t>
        </is>
      </c>
      <c r="IK185" t="inlineStr">
        <is>
          <t>ez_manage.py:5297 top()</t>
        </is>
      </c>
      <c r="IL185" t="inlineStr">
        <is>
          <t>v12_quick_engine.py:2858 x4</t>
        </is>
      </c>
    </row>
    <row r="186" ht="10.5" customHeight="1" s="67">
      <c r="A186" t="inlineStr">
        <is>
          <t>REENTRY_B16_SIZE_MULT_STRONG</t>
        </is>
      </c>
      <c r="B186" t="inlineStr">
        <is>
          <t>2.0</t>
        </is>
      </c>
      <c r="G186">
        <f>IFERROR(VLOOKUP($A187&amp;"_"&amp;$B187,Results_Deltas!$A$2:$P$15000,5,FALSE),"")</f>
        <v/>
      </c>
      <c r="H186">
        <f>IFERROR(VLOOKUP($A187,Results_30d_Deltas!$A$2:$H$5000,7,FALSE)-E186,"")</f>
        <v/>
      </c>
      <c r="I186">
        <f>IFERROR(VLOOKUP($A187,Results_30d_Deltas!$A$2:$H$5000,6,FALSE),"")</f>
        <v/>
      </c>
      <c r="L186" t="inlineStr">
        <is>
          <t>NO</t>
        </is>
      </c>
      <c r="IK186" t="inlineStr">
        <is>
          <t>ez_manage.py:5297 top()</t>
        </is>
      </c>
      <c r="IL186" t="inlineStr">
        <is>
          <t>v12_quick_engine.py:2858 x4</t>
        </is>
      </c>
    </row>
    <row r="187" ht="10.5" customHeight="1" s="67">
      <c r="A187" t="inlineStr">
        <is>
          <t>REENTRY_B16_SIZE_MULT_WEAK</t>
        </is>
      </c>
      <c r="B187" t="inlineStr">
        <is>
          <t>0</t>
        </is>
      </c>
      <c r="G187">
        <f>IFERROR(VLOOKUP($A188&amp;"_"&amp;$B188,Results_Deltas!$A$2:$P$15000,5,FALSE),"")</f>
        <v/>
      </c>
      <c r="H187">
        <f>IFERROR(VLOOKUP($A188,Results_30d_Deltas!$A$2:$H$5000,7,FALSE)-E187,"")</f>
        <v/>
      </c>
      <c r="I187">
        <f>IFERROR(VLOOKUP($A188,Results_30d_Deltas!$A$2:$H$5000,6,FALSE),"")</f>
        <v/>
      </c>
      <c r="L187" t="inlineStr">
        <is>
          <t>NO</t>
        </is>
      </c>
      <c r="IK187" t="inlineStr">
        <is>
          <t>ez_manage.py:5298 top()</t>
        </is>
      </c>
      <c r="IL187" t="inlineStr">
        <is>
          <t>v12_quick_engine.py:2859 x4</t>
        </is>
      </c>
    </row>
    <row r="188" ht="10.5" customHeight="1" s="67">
      <c r="A188" t="inlineStr">
        <is>
          <t>REENTRY_B16_SIZE_MULT_WEAK</t>
        </is>
      </c>
      <c r="B188" t="inlineStr">
        <is>
          <t>0.5</t>
        </is>
      </c>
      <c r="G188">
        <f>IFERROR(VLOOKUP($A189&amp;"_"&amp;$B189,Results_Deltas!$A$2:$P$15000,5,FALSE),"")</f>
        <v/>
      </c>
      <c r="H188">
        <f>IFERROR(VLOOKUP($A189,Results_30d_Deltas!$A$2:$H$5000,7,FALSE)-E188,"")</f>
        <v/>
      </c>
      <c r="I188">
        <f>IFERROR(VLOOKUP($A189,Results_30d_Deltas!$A$2:$H$5000,6,FALSE),"")</f>
        <v/>
      </c>
      <c r="L188" t="inlineStr">
        <is>
          <t>NO</t>
        </is>
      </c>
      <c r="IK188" t="inlineStr">
        <is>
          <t>ez_manage.py:5298 top()</t>
        </is>
      </c>
      <c r="IL188" t="inlineStr">
        <is>
          <t>v12_quick_engine.py:2859 x4</t>
        </is>
      </c>
    </row>
    <row r="189" ht="10.5" customHeight="1" s="67">
      <c r="A189" t="inlineStr">
        <is>
          <t>REENTRY_B16_SIZE_MULT_WEAK</t>
        </is>
      </c>
      <c r="B189" t="inlineStr">
        <is>
          <t>1.0</t>
        </is>
      </c>
      <c r="G189">
        <f>IFERROR(VLOOKUP($A190&amp;"_"&amp;$B190,Results_Deltas!$A$2:$P$15000,5,FALSE),"")</f>
        <v/>
      </c>
      <c r="H189">
        <f>IFERROR(VLOOKUP($A190,Results_30d_Deltas!$A$2:$H$5000,7,FALSE)-E189,"")</f>
        <v/>
      </c>
      <c r="I189">
        <f>IFERROR(VLOOKUP($A190,Results_30d_Deltas!$A$2:$H$5000,6,FALSE),"")</f>
        <v/>
      </c>
      <c r="L189" t="inlineStr">
        <is>
          <t>NO</t>
        </is>
      </c>
      <c r="IK189" t="inlineStr">
        <is>
          <t>ez_manage.py:5298 top()</t>
        </is>
      </c>
      <c r="IL189" t="inlineStr">
        <is>
          <t>v12_quick_engine.py:2859 x4</t>
        </is>
      </c>
    </row>
    <row r="190" ht="10.5" customHeight="1" s="67">
      <c r="A190" t="inlineStr">
        <is>
          <t>REENTRY_B16_SIZE_MULT_WEAK</t>
        </is>
      </c>
      <c r="B190" t="inlineStr">
        <is>
          <t>2.0</t>
        </is>
      </c>
      <c r="G190">
        <f>IFERROR(VLOOKUP($A191&amp;"_"&amp;$B191,Results_Deltas!$A$2:$P$15000,5,FALSE),"")</f>
        <v/>
      </c>
      <c r="H190">
        <f>IFERROR(VLOOKUP($A191,Results_30d_Deltas!$A$2:$H$5000,7,FALSE)-E190,"")</f>
        <v/>
      </c>
      <c r="I190">
        <f>IFERROR(VLOOKUP($A191,Results_30d_Deltas!$A$2:$H$5000,6,FALSE),"")</f>
        <v/>
      </c>
      <c r="L190" t="inlineStr">
        <is>
          <t>YES</t>
        </is>
      </c>
      <c r="IK190" t="inlineStr">
        <is>
          <t>ez_manage.py:5298 top()</t>
        </is>
      </c>
      <c r="IL190" t="inlineStr">
        <is>
          <t>v12_quick_engine.py:2859 x4</t>
        </is>
      </c>
    </row>
    <row r="191" ht="10.5" customHeight="1" s="67">
      <c r="A191" t="inlineStr">
        <is>
          <t>REENTRY_B16_SMA200_PROX_PCT</t>
        </is>
      </c>
      <c r="B191" t="inlineStr">
        <is>
          <t>0</t>
        </is>
      </c>
      <c r="G191">
        <f>IFERROR(VLOOKUP($A192&amp;"_"&amp;$B192,Results_Deltas!$A$2:$P$15000,5,FALSE),"")</f>
        <v/>
      </c>
      <c r="H191">
        <f>IFERROR(VLOOKUP($A192,Results_30d_Deltas!$A$2:$H$5000,7,FALSE)-E191,"")</f>
        <v/>
      </c>
      <c r="I191">
        <f>IFERROR(VLOOKUP($A192,Results_30d_Deltas!$A$2:$H$5000,6,FALSE),"")</f>
        <v/>
      </c>
      <c r="L191" t="inlineStr">
        <is>
          <t>YES</t>
        </is>
      </c>
      <c r="IK191" t="inlineStr">
        <is>
          <t>ez_manage.py:5299 top()</t>
        </is>
      </c>
      <c r="IL191" t="inlineStr">
        <is>
          <t>v12_quick_engine.py:2860 x4</t>
        </is>
      </c>
    </row>
    <row r="192" ht="10.5" customHeight="1" s="67">
      <c r="A192" t="inlineStr">
        <is>
          <t>REENTRY_B16_SMA200_PROX_PCT</t>
        </is>
      </c>
      <c r="B192" t="inlineStr">
        <is>
          <t>0.5</t>
        </is>
      </c>
      <c r="G192">
        <f>IFERROR(VLOOKUP($A193&amp;"_"&amp;$B193,Results_Deltas!$A$2:$P$15000,5,FALSE),"")</f>
        <v/>
      </c>
      <c r="H192">
        <f>IFERROR(VLOOKUP($A193,Results_30d_Deltas!$A$2:$H$5000,7,FALSE)-E192,"")</f>
        <v/>
      </c>
      <c r="I192">
        <f>IFERROR(VLOOKUP($A193,Results_30d_Deltas!$A$2:$H$5000,6,FALSE),"")</f>
        <v/>
      </c>
      <c r="L192" t="inlineStr">
        <is>
          <t>NO</t>
        </is>
      </c>
      <c r="IK192" t="inlineStr">
        <is>
          <t>ez_manage.py:5299 top()</t>
        </is>
      </c>
      <c r="IL192" t="inlineStr">
        <is>
          <t>v12_quick_engine.py:2860 x4</t>
        </is>
      </c>
    </row>
    <row r="193" ht="10.5" customHeight="1" s="67">
      <c r="A193" t="inlineStr">
        <is>
          <t>REENTRY_B16_SMA200_PROX_PCT</t>
        </is>
      </c>
      <c r="B193" t="inlineStr">
        <is>
          <t>1.0</t>
        </is>
      </c>
      <c r="G193">
        <f>IFERROR(VLOOKUP($A194&amp;"_"&amp;$B194,Results_Deltas!$A$2:$P$15000,5,FALSE),"")</f>
        <v/>
      </c>
      <c r="H193">
        <f>IFERROR(VLOOKUP($A194,Results_30d_Deltas!$A$2:$H$5000,7,FALSE)-E193,"")</f>
        <v/>
      </c>
      <c r="I193">
        <f>IFERROR(VLOOKUP($A194,Results_30d_Deltas!$A$2:$H$5000,6,FALSE),"")</f>
        <v/>
      </c>
      <c r="L193" t="inlineStr">
        <is>
          <t>NO</t>
        </is>
      </c>
      <c r="IK193" t="inlineStr">
        <is>
          <t>ez_manage.py:5299 top()</t>
        </is>
      </c>
      <c r="IL193" t="inlineStr">
        <is>
          <t>v12_quick_engine.py:2860 x4</t>
        </is>
      </c>
    </row>
    <row r="194" ht="10.5" customHeight="1" s="67">
      <c r="A194" t="inlineStr">
        <is>
          <t>REENTRY_B16_SMA200_PROX_PCT</t>
        </is>
      </c>
      <c r="B194" t="inlineStr">
        <is>
          <t>2.0</t>
        </is>
      </c>
      <c r="G194">
        <f>IFERROR(VLOOKUP($A195&amp;"_"&amp;$B195,Results_Deltas!$A$2:$P$15000,5,FALSE),"")</f>
        <v/>
      </c>
      <c r="H194">
        <f>IFERROR(VLOOKUP($A195,Results_30d_Deltas!$A$2:$H$5000,7,FALSE)-E194,"")</f>
        <v/>
      </c>
      <c r="I194">
        <f>IFERROR(VLOOKUP($A195,Results_30d_Deltas!$A$2:$H$5000,6,FALSE),"")</f>
        <v/>
      </c>
      <c r="L194" t="inlineStr">
        <is>
          <t>YES</t>
        </is>
      </c>
      <c r="IK194" t="inlineStr">
        <is>
          <t>ez_manage.py:5299 top()</t>
        </is>
      </c>
      <c r="IL194" t="inlineStr">
        <is>
          <t>v12_quick_engine.py:2860 x4</t>
        </is>
      </c>
    </row>
    <row r="195" ht="10.5" customHeight="1" s="67">
      <c r="A195" t="inlineStr">
        <is>
          <t>REENTRY_B16_SMA200_PULLBACK_ENABLED</t>
        </is>
      </c>
      <c r="B195" t="inlineStr">
        <is>
          <t>False</t>
        </is>
      </c>
      <c r="G195">
        <f>IFERROR(VLOOKUP($A196&amp;"_"&amp;$B196,Results_Deltas!$A$2:$P$15000,5,FALSE),"")</f>
        <v/>
      </c>
      <c r="H195">
        <f>IFERROR(VLOOKUP($A196,Results_30d_Deltas!$A$2:$H$5000,7,FALSE)-E195,"")</f>
        <v/>
      </c>
      <c r="I195">
        <f>IFERROR(VLOOKUP($A196,Results_30d_Deltas!$A$2:$H$5000,6,FALSE),"")</f>
        <v/>
      </c>
      <c r="L195" t="inlineStr">
        <is>
          <t>NO</t>
        </is>
      </c>
      <c r="IK195" t="inlineStr">
        <is>
          <t>ez_manage.py:5300 top()</t>
        </is>
      </c>
      <c r="IL195" t="inlineStr">
        <is>
          <t>v12_quick_engine.py:2861 x4</t>
        </is>
      </c>
    </row>
    <row r="196" ht="10.5" customHeight="1" s="67">
      <c r="A196" t="inlineStr">
        <is>
          <t>REENTRY_B16_SMA200_PULLBACK_ENABLED</t>
        </is>
      </c>
      <c r="B196" t="b">
        <v>0</v>
      </c>
      <c r="G196">
        <f>IFERROR(VLOOKUP($A197&amp;"_"&amp;$B197,Results_Deltas!$A$2:$P$15000,5,FALSE),"")</f>
        <v/>
      </c>
      <c r="H196">
        <f>IFERROR(VLOOKUP($A197,Results_30d_Deltas!$A$2:$H$5000,7,FALSE)-E196,"")</f>
        <v/>
      </c>
      <c r="I196">
        <f>IFERROR(VLOOKUP($A197,Results_30d_Deltas!$A$2:$H$5000,6,FALSE),"")</f>
        <v/>
      </c>
      <c r="L196" t="inlineStr">
        <is>
          <t>NO</t>
        </is>
      </c>
      <c r="IK196" t="inlineStr">
        <is>
          <t>ez_manage.py:5300 top()</t>
        </is>
      </c>
      <c r="IL196" t="inlineStr">
        <is>
          <t>v12_quick_engine.py:2861 x4</t>
        </is>
      </c>
    </row>
    <row r="197" ht="10.5" customHeight="1" s="67">
      <c r="A197" t="inlineStr">
        <is>
          <t>REENTRY_CROSS_FRESHNESS_ENABLED</t>
        </is>
      </c>
      <c r="B197" t="inlineStr">
        <is>
          <t>False</t>
        </is>
      </c>
      <c r="G197">
        <f>IFERROR(VLOOKUP($A198&amp;"_"&amp;$B198,Results_Deltas!$A$2:$P$15000,5,FALSE),"")</f>
        <v/>
      </c>
      <c r="H197">
        <f>IFERROR(VLOOKUP($A198,Results_30d_Deltas!$A$2:$H$5000,7,FALSE)-E197,"")</f>
        <v/>
      </c>
      <c r="I197">
        <f>IFERROR(VLOOKUP($A198,Results_30d_Deltas!$A$2:$H$5000,6,FALSE),"")</f>
        <v/>
      </c>
      <c r="L197" t="inlineStr">
        <is>
          <t>NO</t>
        </is>
      </c>
      <c r="IK197" t="inlineStr">
        <is>
          <t>ez_manage.py:5306 top()</t>
        </is>
      </c>
      <c r="IL197" t="inlineStr">
        <is>
          <t>v12_quick_engine.py:2869 x2</t>
        </is>
      </c>
    </row>
    <row r="198" ht="10.5" customHeight="1" s="67">
      <c r="A198" t="inlineStr">
        <is>
          <t>REENTRY_CROSS_FRESHNESS_ENABLED</t>
        </is>
      </c>
      <c r="B198" t="inlineStr">
        <is>
          <t>True</t>
        </is>
      </c>
      <c r="G198">
        <f>IFERROR(VLOOKUP($A199&amp;"_"&amp;$B199,Results_Deltas!$A$2:$P$15000,5,FALSE),"")</f>
        <v/>
      </c>
      <c r="H198">
        <f>IFERROR(VLOOKUP($A199,Results_30d_Deltas!$A$2:$H$5000,7,FALSE)-E198,"")</f>
        <v/>
      </c>
      <c r="I198">
        <f>IFERROR(VLOOKUP($A199,Results_30d_Deltas!$A$2:$H$5000,6,FALSE),"")</f>
        <v/>
      </c>
      <c r="L198" t="inlineStr">
        <is>
          <t>NO</t>
        </is>
      </c>
      <c r="IK198" t="inlineStr">
        <is>
          <t>ez_manage.py:5306 top()</t>
        </is>
      </c>
      <c r="IL198" t="inlineStr">
        <is>
          <t>v12_quick_engine.py:2869 x2</t>
        </is>
      </c>
    </row>
    <row r="199" ht="10.5" customHeight="1" s="67">
      <c r="A199" t="inlineStr">
        <is>
          <t>REENTRY_EXHAUSTED_PARTIAL_ENABLED</t>
        </is>
      </c>
      <c r="B199" t="inlineStr">
        <is>
          <t>False</t>
        </is>
      </c>
      <c r="G199">
        <f>IFERROR(VLOOKUP($A200&amp;"_"&amp;$B200,Results_Deltas!$A$2:$P$15000,5,FALSE),"")</f>
        <v/>
      </c>
      <c r="H199">
        <f>IFERROR(VLOOKUP($A200,Results_30d_Deltas!$A$2:$H$5000,7,FALSE)-E199,"")</f>
        <v/>
      </c>
      <c r="I199">
        <f>IFERROR(VLOOKUP($A200,Results_30d_Deltas!$A$2:$H$5000,6,FALSE),"")</f>
        <v/>
      </c>
      <c r="L199" t="inlineStr">
        <is>
          <t>YES</t>
        </is>
      </c>
      <c r="IK199" t="inlineStr">
        <is>
          <t>ez_manage.py:5308 top()</t>
        </is>
      </c>
      <c r="IL199" t="inlineStr">
        <is>
          <t>v12_quick_engine.py:2875 x2</t>
        </is>
      </c>
    </row>
    <row r="200" ht="10.5" customHeight="1" s="67">
      <c r="A200" t="inlineStr">
        <is>
          <t>REENTRY_EXHAUSTED_PARTIAL_ENABLED</t>
        </is>
      </c>
      <c r="B200" t="b">
        <v>0</v>
      </c>
      <c r="G200">
        <f>IFERROR(VLOOKUP($A201&amp;"_"&amp;$B201,Results_Deltas!$A$2:$P$15000,5,FALSE),"")</f>
        <v/>
      </c>
      <c r="H200">
        <f>IFERROR(VLOOKUP($A201,Results_30d_Deltas!$A$2:$H$5000,7,FALSE)-E200,"")</f>
        <v/>
      </c>
      <c r="I200">
        <f>IFERROR(VLOOKUP($A201,Results_30d_Deltas!$A$2:$H$5000,6,FALSE),"")</f>
        <v/>
      </c>
      <c r="L200" t="inlineStr">
        <is>
          <t>NO</t>
        </is>
      </c>
      <c r="IK200" t="inlineStr">
        <is>
          <t>ez_manage.py:5308 top()</t>
        </is>
      </c>
      <c r="IL200" t="inlineStr">
        <is>
          <t>v12_quick_engine.py:2875 x2</t>
        </is>
      </c>
    </row>
    <row r="201" ht="10.5" customHeight="1" s="67">
      <c r="A201" t="inlineStr">
        <is>
          <t>REENTRY_EXIT_RECLAIM_BUFFER_PCT</t>
        </is>
      </c>
      <c r="B201" t="inlineStr">
        <is>
          <t>0</t>
        </is>
      </c>
      <c r="G201">
        <f>IFERROR(VLOOKUP($A202&amp;"_"&amp;$B202,Results_Deltas!$A$2:$P$15000,5,FALSE),"")</f>
        <v/>
      </c>
      <c r="H201">
        <f>IFERROR(VLOOKUP($A202,Results_30d_Deltas!$A$2:$H$5000,7,FALSE)-E201,"")</f>
        <v/>
      </c>
      <c r="I201">
        <f>IFERROR(VLOOKUP($A202,Results_30d_Deltas!$A$2:$H$5000,6,FALSE),"")</f>
        <v/>
      </c>
      <c r="L201" t="inlineStr">
        <is>
          <t>NO</t>
        </is>
      </c>
      <c r="IK201" t="inlineStr">
        <is>
          <t>ez_manage.py:5309 top()</t>
        </is>
      </c>
      <c r="IL201" t="inlineStr">
        <is>
          <t>v12_quick_engine.py:2876 x3</t>
        </is>
      </c>
    </row>
    <row r="202" ht="10.5" customHeight="1" s="67">
      <c r="A202" t="inlineStr">
        <is>
          <t>REENTRY_EXIT_RECLAIM_BUFFER_PCT</t>
        </is>
      </c>
      <c r="B202" t="inlineStr">
        <is>
          <t>0.5</t>
        </is>
      </c>
      <c r="G202">
        <f>IFERROR(VLOOKUP($A203&amp;"_"&amp;$B203,Results_Deltas!$A$2:$P$15000,5,FALSE),"")</f>
        <v/>
      </c>
      <c r="H202">
        <f>IFERROR(VLOOKUP($A203,Results_30d_Deltas!$A$2:$H$5000,7,FALSE)-E202,"")</f>
        <v/>
      </c>
      <c r="I202">
        <f>IFERROR(VLOOKUP($A203,Results_30d_Deltas!$A$2:$H$5000,6,FALSE),"")</f>
        <v/>
      </c>
      <c r="L202" t="inlineStr">
        <is>
          <t>NO</t>
        </is>
      </c>
      <c r="IK202" t="inlineStr">
        <is>
          <t>ez_manage.py:5309 top()</t>
        </is>
      </c>
      <c r="IL202" t="inlineStr">
        <is>
          <t>v12_quick_engine.py:2876 x3</t>
        </is>
      </c>
    </row>
    <row r="203" ht="10.5" customHeight="1" s="67">
      <c r="A203" t="inlineStr">
        <is>
          <t>REENTRY_EXIT_RECLAIM_BUFFER_PCT</t>
        </is>
      </c>
      <c r="B203" t="inlineStr">
        <is>
          <t>1.0</t>
        </is>
      </c>
      <c r="G203">
        <f>IFERROR(VLOOKUP($A204&amp;"_"&amp;$B204,Results_Deltas!$A$2:$P$15000,5,FALSE),"")</f>
        <v/>
      </c>
      <c r="H203">
        <f>IFERROR(VLOOKUP($A204,Results_30d_Deltas!$A$2:$H$5000,7,FALSE)-E203,"")</f>
        <v/>
      </c>
      <c r="I203">
        <f>IFERROR(VLOOKUP($A204,Results_30d_Deltas!$A$2:$H$5000,6,FALSE),"")</f>
        <v/>
      </c>
      <c r="L203" t="inlineStr">
        <is>
          <t>NO</t>
        </is>
      </c>
      <c r="IK203" t="inlineStr">
        <is>
          <t>ez_manage.py:5309 top()</t>
        </is>
      </c>
      <c r="IL203" t="inlineStr">
        <is>
          <t>v12_quick_engine.py:2876 x3</t>
        </is>
      </c>
    </row>
    <row r="204" ht="10.5" customHeight="1" s="67">
      <c r="A204" t="inlineStr">
        <is>
          <t>REENTRY_EXIT_RECLAIM_BUFFER_PCT</t>
        </is>
      </c>
      <c r="B204" t="inlineStr">
        <is>
          <t>2.0</t>
        </is>
      </c>
      <c r="G204">
        <f>IFERROR(VLOOKUP($A205&amp;"_"&amp;$B205,Results_Deltas!$A$2:$P$15000,5,FALSE),"")</f>
        <v/>
      </c>
      <c r="H204">
        <f>IFERROR(VLOOKUP($A205,Results_30d_Deltas!$A$2:$H$5000,7,FALSE)-E204,"")</f>
        <v/>
      </c>
      <c r="I204">
        <f>IFERROR(VLOOKUP($A205,Results_30d_Deltas!$A$2:$H$5000,6,FALSE),"")</f>
        <v/>
      </c>
      <c r="L204" t="inlineStr">
        <is>
          <t>YES</t>
        </is>
      </c>
      <c r="IK204" t="inlineStr">
        <is>
          <t>ez_manage.py:5309 top()</t>
        </is>
      </c>
      <c r="IL204" t="inlineStr">
        <is>
          <t>v12_quick_engine.py:2876 x3</t>
        </is>
      </c>
    </row>
    <row r="205" ht="10.5" customHeight="1" s="67">
      <c r="A205" t="inlineStr">
        <is>
          <t>REENTRY_EXIT_RECLAIM_ENABLED</t>
        </is>
      </c>
      <c r="B205" t="inlineStr">
        <is>
          <t>False</t>
        </is>
      </c>
      <c r="G205">
        <f>IFERROR(VLOOKUP($A206&amp;"_"&amp;$B206,Results_Deltas!$A$2:$P$15000,5,FALSE),"")</f>
        <v/>
      </c>
      <c r="H205">
        <f>IFERROR(VLOOKUP($A206,Results_30d_Deltas!$A$2:$H$5000,7,FALSE)-E205,"")</f>
        <v/>
      </c>
      <c r="I205">
        <f>IFERROR(VLOOKUP($A206,Results_30d_Deltas!$A$2:$H$5000,6,FALSE),"")</f>
        <v/>
      </c>
      <c r="L205" t="inlineStr">
        <is>
          <t>NO</t>
        </is>
      </c>
      <c r="IK205" t="inlineStr">
        <is>
          <t>ez_manage.py:5310 top()</t>
        </is>
      </c>
      <c r="IL205" t="inlineStr">
        <is>
          <t>v12_quick_engine.py:2877 x3</t>
        </is>
      </c>
    </row>
    <row r="206" ht="10.5" customHeight="1" s="67">
      <c r="A206" t="inlineStr">
        <is>
          <t>REENTRY_EXIT_RECLAIM_ENABLED</t>
        </is>
      </c>
      <c r="B206" t="b">
        <v>0</v>
      </c>
      <c r="G206">
        <f>IFERROR(VLOOKUP($A207&amp;"_"&amp;$B207,Results_Deltas!$A$2:$P$15000,5,FALSE),"")</f>
        <v/>
      </c>
      <c r="H206">
        <f>IFERROR(VLOOKUP($A207,Results_30d_Deltas!$A$2:$H$5000,7,FALSE)-E206,"")</f>
        <v/>
      </c>
      <c r="I206">
        <f>IFERROR(VLOOKUP($A207,Results_30d_Deltas!$A$2:$H$5000,6,FALSE),"")</f>
        <v/>
      </c>
      <c r="L206" t="inlineStr">
        <is>
          <t>NO</t>
        </is>
      </c>
      <c r="IK206" t="inlineStr">
        <is>
          <t>ez_manage.py:5310 top()</t>
        </is>
      </c>
      <c r="IL206" t="inlineStr">
        <is>
          <t>v12_quick_engine.py:2877 x3</t>
        </is>
      </c>
    </row>
    <row r="207" ht="10.5" customHeight="1" s="67">
      <c r="A207" t="inlineStr">
        <is>
          <t>REENTRY_POST_CONSOL_ATR_THRESHOLD</t>
        </is>
      </c>
      <c r="B207" t="inlineStr">
        <is>
          <t>0</t>
        </is>
      </c>
      <c r="G207">
        <f>IFERROR(VLOOKUP($A208&amp;"_"&amp;$B208,Results_Deltas!$A$2:$P$15000,5,FALSE),"")</f>
        <v/>
      </c>
      <c r="H207">
        <f>IFERROR(VLOOKUP($A208,Results_30d_Deltas!$A$2:$H$5000,7,FALSE)-E207,"")</f>
        <v/>
      </c>
      <c r="I207">
        <f>IFERROR(VLOOKUP($A208,Results_30d_Deltas!$A$2:$H$5000,6,FALSE),"")</f>
        <v/>
      </c>
      <c r="L207" t="inlineStr">
        <is>
          <t>NO</t>
        </is>
      </c>
      <c r="IK207" t="inlineStr">
        <is>
          <t>ez_manage.py:5318 top()</t>
        </is>
      </c>
      <c r="IL207" t="inlineStr">
        <is>
          <t>v12_quick_engine.py:2896 x3</t>
        </is>
      </c>
    </row>
    <row r="208" ht="10.5" customHeight="1" s="67">
      <c r="A208" t="inlineStr">
        <is>
          <t>REENTRY_POST_CONSOL_ATR_THRESHOLD</t>
        </is>
      </c>
      <c r="B208" t="inlineStr">
        <is>
          <t>0.5</t>
        </is>
      </c>
      <c r="G208">
        <f>IFERROR(VLOOKUP($A209&amp;"_"&amp;$B209,Results_Deltas!$A$2:$P$15000,5,FALSE),"")</f>
        <v/>
      </c>
      <c r="H208">
        <f>IFERROR(VLOOKUP($A209,Results_30d_Deltas!$A$2:$H$5000,7,FALSE)-E208,"")</f>
        <v/>
      </c>
      <c r="I208">
        <f>IFERROR(VLOOKUP($A209,Results_30d_Deltas!$A$2:$H$5000,6,FALSE),"")</f>
        <v/>
      </c>
      <c r="L208" t="inlineStr">
        <is>
          <t>NO</t>
        </is>
      </c>
      <c r="IK208" t="inlineStr">
        <is>
          <t>ez_manage.py:5318 top()</t>
        </is>
      </c>
      <c r="IL208" t="inlineStr">
        <is>
          <t>v12_quick_engine.py:2896 x3</t>
        </is>
      </c>
    </row>
    <row r="209" ht="10.5" customHeight="1" s="67">
      <c r="A209" t="inlineStr">
        <is>
          <t>REENTRY_POST_CONSOL_ATR_THRESHOLD</t>
        </is>
      </c>
      <c r="B209" t="inlineStr">
        <is>
          <t>1.0</t>
        </is>
      </c>
      <c r="G209">
        <f>IFERROR(VLOOKUP($A210&amp;"_"&amp;$B210,Results_Deltas!$A$2:$P$15000,5,FALSE),"")</f>
        <v/>
      </c>
      <c r="H209">
        <f>IFERROR(VLOOKUP($A210,Results_30d_Deltas!$A$2:$H$5000,7,FALSE)-E209,"")</f>
        <v/>
      </c>
      <c r="I209">
        <f>IFERROR(VLOOKUP($A210,Results_30d_Deltas!$A$2:$H$5000,6,FALSE),"")</f>
        <v/>
      </c>
      <c r="L209" t="inlineStr">
        <is>
          <t>NO</t>
        </is>
      </c>
      <c r="IK209" t="inlineStr">
        <is>
          <t>ez_manage.py:5318 top()</t>
        </is>
      </c>
      <c r="IL209" t="inlineStr">
        <is>
          <t>v12_quick_engine.py:2896 x3</t>
        </is>
      </c>
    </row>
    <row r="210" ht="10.5" customHeight="1" s="67">
      <c r="A210" t="inlineStr">
        <is>
          <t>REENTRY_POST_CONSOL_ATR_THRESHOLD</t>
        </is>
      </c>
      <c r="B210" t="inlineStr">
        <is>
          <t>2.0</t>
        </is>
      </c>
      <c r="G210">
        <f>IFERROR(VLOOKUP($A211&amp;"_"&amp;$B211,Results_Deltas!$A$2:$P$15000,5,FALSE),"")</f>
        <v/>
      </c>
      <c r="H210">
        <f>IFERROR(VLOOKUP($A211,Results_30d_Deltas!$A$2:$H$5000,7,FALSE)-E210,"")</f>
        <v/>
      </c>
      <c r="I210">
        <f>IFERROR(VLOOKUP($A211,Results_30d_Deltas!$A$2:$H$5000,6,FALSE),"")</f>
        <v/>
      </c>
      <c r="L210" t="inlineStr">
        <is>
          <t>NO</t>
        </is>
      </c>
      <c r="IK210" t="inlineStr">
        <is>
          <t>ez_manage.py:5318 top()</t>
        </is>
      </c>
      <c r="IL210" t="inlineStr">
        <is>
          <t>v12_quick_engine.py:2896 x3</t>
        </is>
      </c>
    </row>
    <row r="211" ht="10.5" customHeight="1" s="67">
      <c r="A211" t="inlineStr">
        <is>
          <t>REENTRY_POST_CONSOL_ENABLED</t>
        </is>
      </c>
      <c r="B211" t="inlineStr">
        <is>
          <t>False</t>
        </is>
      </c>
      <c r="G211">
        <f>IFERROR(VLOOKUP($A212&amp;"_"&amp;$B212,Results_Deltas!$A$2:$P$15000,5,FALSE),"")</f>
        <v/>
      </c>
      <c r="H211">
        <f>IFERROR(VLOOKUP($A212,Results_30d_Deltas!$A$2:$H$5000,7,FALSE)-E211,"")</f>
        <v/>
      </c>
      <c r="I211">
        <f>IFERROR(VLOOKUP($A212,Results_30d_Deltas!$A$2:$H$5000,6,FALSE),"")</f>
        <v/>
      </c>
      <c r="L211" t="inlineStr">
        <is>
          <t>NO</t>
        </is>
      </c>
      <c r="IK211" t="inlineStr">
        <is>
          <t>ez_manage.py:3867 top()</t>
        </is>
      </c>
      <c r="IL211" t="inlineStr">
        <is>
          <t>v12_quick_engine.py:2897 x3</t>
        </is>
      </c>
    </row>
    <row r="212" ht="10.5" customHeight="1" s="67">
      <c r="A212" t="inlineStr">
        <is>
          <t>REENTRY_POST_CONSOL_ENABLED</t>
        </is>
      </c>
      <c r="B212" t="b">
        <v>0</v>
      </c>
      <c r="G212">
        <f>IFERROR(VLOOKUP($A213&amp;"_"&amp;$B213,Results_Deltas!$A$2:$P$15000,5,FALSE),"")</f>
        <v/>
      </c>
      <c r="H212">
        <f>IFERROR(VLOOKUP($A213,Results_30d_Deltas!$A$2:$H$5000,7,FALSE)-E212,"")</f>
        <v/>
      </c>
      <c r="I212">
        <f>IFERROR(VLOOKUP($A213,Results_30d_Deltas!$A$2:$H$5000,6,FALSE),"")</f>
        <v/>
      </c>
      <c r="L212" t="inlineStr">
        <is>
          <t>NO</t>
        </is>
      </c>
      <c r="IK212" t="inlineStr">
        <is>
          <t>ez_manage.py:3867 top()</t>
        </is>
      </c>
      <c r="IL212" t="inlineStr">
        <is>
          <t>v12_quick_engine.py:2897 x3</t>
        </is>
      </c>
    </row>
    <row r="213" ht="10.5" customHeight="1" s="67">
      <c r="A213" t="inlineStr">
        <is>
          <t>REENTRY_POST_CONSOL_MULT</t>
        </is>
      </c>
      <c r="B213" t="inlineStr">
        <is>
          <t>0</t>
        </is>
      </c>
      <c r="G213">
        <f>IFERROR(VLOOKUP($A214&amp;"_"&amp;$B214,Results_Deltas!$A$2:$P$15000,5,FALSE),"")</f>
        <v/>
      </c>
      <c r="H213">
        <f>IFERROR(VLOOKUP($A214,Results_30d_Deltas!$A$2:$H$5000,7,FALSE)-E213,"")</f>
        <v/>
      </c>
      <c r="I213">
        <f>IFERROR(VLOOKUP($A214,Results_30d_Deltas!$A$2:$H$5000,6,FALSE),"")</f>
        <v/>
      </c>
      <c r="L213" t="inlineStr">
        <is>
          <t>NO</t>
        </is>
      </c>
      <c r="IK213" t="inlineStr">
        <is>
          <t>ez_manage.py:5319 top()</t>
        </is>
      </c>
      <c r="IL213" t="inlineStr">
        <is>
          <t>v12_quick_engine.py:2898 x3</t>
        </is>
      </c>
    </row>
    <row r="214" ht="10.5" customHeight="1" s="67">
      <c r="A214" t="inlineStr">
        <is>
          <t>REENTRY_POST_CONSOL_MULT</t>
        </is>
      </c>
      <c r="B214" t="inlineStr">
        <is>
          <t>0.5</t>
        </is>
      </c>
      <c r="G214">
        <f>IFERROR(VLOOKUP($A215&amp;"_"&amp;$B215,Results_Deltas!$A$2:$P$15000,5,FALSE),"")</f>
        <v/>
      </c>
      <c r="H214">
        <f>IFERROR(VLOOKUP($A215,Results_30d_Deltas!$A$2:$H$5000,7,FALSE)-E214,"")</f>
        <v/>
      </c>
      <c r="I214">
        <f>IFERROR(VLOOKUP($A215,Results_30d_Deltas!$A$2:$H$5000,6,FALSE),"")</f>
        <v/>
      </c>
      <c r="L214" t="inlineStr">
        <is>
          <t>NO</t>
        </is>
      </c>
      <c r="IK214" t="inlineStr">
        <is>
          <t>ez_manage.py:5319 top()</t>
        </is>
      </c>
      <c r="IL214" t="inlineStr">
        <is>
          <t>v12_quick_engine.py:2898 x3</t>
        </is>
      </c>
    </row>
    <row r="215" ht="10.5" customHeight="1" s="67">
      <c r="A215" t="inlineStr">
        <is>
          <t>REENTRY_POST_CONSOL_MULT</t>
        </is>
      </c>
      <c r="B215" t="inlineStr">
        <is>
          <t>1.0</t>
        </is>
      </c>
      <c r="G215">
        <f>IFERROR(VLOOKUP($A216&amp;"_"&amp;$B216,Results_Deltas!$A$2:$P$15000,5,FALSE),"")</f>
        <v/>
      </c>
      <c r="H215">
        <f>IFERROR(VLOOKUP($A216,Results_30d_Deltas!$A$2:$H$5000,7,FALSE)-E215,"")</f>
        <v/>
      </c>
      <c r="I215">
        <f>IFERROR(VLOOKUP($A216,Results_30d_Deltas!$A$2:$H$5000,6,FALSE),"")</f>
        <v/>
      </c>
      <c r="L215" t="inlineStr">
        <is>
          <t>NO</t>
        </is>
      </c>
      <c r="IK215" t="inlineStr">
        <is>
          <t>ez_manage.py:5319 top()</t>
        </is>
      </c>
      <c r="IL215" t="inlineStr">
        <is>
          <t>v12_quick_engine.py:2898 x3</t>
        </is>
      </c>
    </row>
    <row r="216" ht="10.5" customHeight="1" s="67">
      <c r="A216" t="inlineStr">
        <is>
          <t>REENTRY_POST_CONSOL_MULT</t>
        </is>
      </c>
      <c r="B216" t="inlineStr">
        <is>
          <t>2.0</t>
        </is>
      </c>
      <c r="G216">
        <f>IFERROR(VLOOKUP($A217&amp;"_"&amp;$B217,Results_Deltas!$A$2:$P$15000,5,FALSE),"")</f>
        <v/>
      </c>
      <c r="H216">
        <f>IFERROR(VLOOKUP($A217,Results_30d_Deltas!$A$2:$H$5000,7,FALSE)-E216,"")</f>
        <v/>
      </c>
      <c r="I216">
        <f>IFERROR(VLOOKUP($A217,Results_30d_Deltas!$A$2:$H$5000,6,FALSE),"")</f>
        <v/>
      </c>
      <c r="L216" t="inlineStr">
        <is>
          <t>NO</t>
        </is>
      </c>
      <c r="IK216" t="inlineStr">
        <is>
          <t>ez_manage.py:5319 top()</t>
        </is>
      </c>
      <c r="IL216" t="inlineStr">
        <is>
          <t>v12_quick_engine.py:2898 x3</t>
        </is>
      </c>
    </row>
    <row r="217" ht="10.5" customHeight="1" s="67">
      <c r="A217" t="inlineStr">
        <is>
          <t>REENTRY_POST_CONSOL_TFS_REQUIRED</t>
        </is>
      </c>
      <c r="B217" t="inlineStr">
        <is>
          <t>0</t>
        </is>
      </c>
      <c r="G217">
        <f>IFERROR(VLOOKUP($A218&amp;"_"&amp;$B218,Results_Deltas!$A$2:$P$15000,5,FALSE),"")</f>
        <v/>
      </c>
      <c r="H217">
        <f>IFERROR(VLOOKUP($A218,Results_30d_Deltas!$A$2:$H$5000,7,FALSE)-E217,"")</f>
        <v/>
      </c>
      <c r="I217">
        <f>IFERROR(VLOOKUP($A218,Results_30d_Deltas!$A$2:$H$5000,6,FALSE),"")</f>
        <v/>
      </c>
      <c r="L217" t="inlineStr">
        <is>
          <t>NO</t>
        </is>
      </c>
      <c r="IK217" t="inlineStr">
        <is>
          <t>ez_manage.py:5320 top()</t>
        </is>
      </c>
      <c r="IL217" t="inlineStr">
        <is>
          <t>v12_quick_engine.py:2899 x3</t>
        </is>
      </c>
    </row>
    <row r="218" ht="10.5" customHeight="1" s="67">
      <c r="A218" t="inlineStr">
        <is>
          <t>REENTRY_POST_CONSOL_TFS_REQUIRED</t>
        </is>
      </c>
      <c r="B218" t="inlineStr">
        <is>
          <t>0.5</t>
        </is>
      </c>
      <c r="G218">
        <f>IFERROR(VLOOKUP($A219&amp;"_"&amp;$B219,Results_Deltas!$A$2:$P$15000,5,FALSE),"")</f>
        <v/>
      </c>
      <c r="H218">
        <f>IFERROR(VLOOKUP($A219,Results_30d_Deltas!$A$2:$H$5000,7,FALSE)-E218,"")</f>
        <v/>
      </c>
      <c r="I218">
        <f>IFERROR(VLOOKUP($A219,Results_30d_Deltas!$A$2:$H$5000,6,FALSE),"")</f>
        <v/>
      </c>
      <c r="L218" t="inlineStr">
        <is>
          <t>NO</t>
        </is>
      </c>
      <c r="IK218" t="inlineStr">
        <is>
          <t>ez_manage.py:5320 top()</t>
        </is>
      </c>
      <c r="IL218" t="inlineStr">
        <is>
          <t>v12_quick_engine.py:2899 x3</t>
        </is>
      </c>
    </row>
    <row r="219" ht="10.5" customHeight="1" s="67">
      <c r="A219" t="inlineStr">
        <is>
          <t>REENTRY_POST_CONSOL_TFS_REQUIRED</t>
        </is>
      </c>
      <c r="B219" t="inlineStr">
        <is>
          <t>1.0</t>
        </is>
      </c>
      <c r="G219">
        <f>IFERROR(VLOOKUP($A220&amp;"_"&amp;$B220,Results_Deltas!$A$2:$P$15000,5,FALSE),"")</f>
        <v/>
      </c>
      <c r="H219">
        <f>IFERROR(VLOOKUP($A220,Results_30d_Deltas!$A$2:$H$5000,7,FALSE)-E219,"")</f>
        <v/>
      </c>
      <c r="I219">
        <f>IFERROR(VLOOKUP($A220,Results_30d_Deltas!$A$2:$H$5000,6,FALSE),"")</f>
        <v/>
      </c>
      <c r="L219" t="inlineStr">
        <is>
          <t>YES</t>
        </is>
      </c>
      <c r="IK219" t="inlineStr">
        <is>
          <t>ez_manage.py:5320 top()</t>
        </is>
      </c>
      <c r="IL219" t="inlineStr">
        <is>
          <t>v12_quick_engine.py:2899 x3</t>
        </is>
      </c>
    </row>
    <row r="220" ht="10.5" customHeight="1" s="67">
      <c r="A220" t="inlineStr">
        <is>
          <t>REENTRY_POST_CONSOL_TFS_REQUIRED</t>
        </is>
      </c>
      <c r="B220" t="n">
        <v>0</v>
      </c>
      <c r="G220">
        <f>IFERROR(VLOOKUP($A221&amp;"_"&amp;$B221,Results_Deltas!$A$2:$P$15000,5,FALSE),"")</f>
        <v/>
      </c>
      <c r="H220">
        <f>IFERROR(VLOOKUP($A221,Results_30d_Deltas!$A$2:$H$5000,7,FALSE)-E220,"")</f>
        <v/>
      </c>
      <c r="I220">
        <f>IFERROR(VLOOKUP($A221,Results_30d_Deltas!$A$2:$H$5000,6,FALSE),"")</f>
        <v/>
      </c>
      <c r="L220" t="inlineStr">
        <is>
          <t>NO</t>
        </is>
      </c>
      <c r="IK220" t="inlineStr">
        <is>
          <t>ez_manage.py:5320 top()</t>
        </is>
      </c>
      <c r="IL220" t="inlineStr">
        <is>
          <t>v12_quick_engine.py:2899 x3</t>
        </is>
      </c>
    </row>
    <row r="221" ht="10.5" customHeight="1" s="67">
      <c r="A221" t="inlineStr">
        <is>
          <t>REENTRY_PRICE_IMPROVE_PCT</t>
        </is>
      </c>
      <c r="B221" t="inlineStr">
        <is>
          <t>0</t>
        </is>
      </c>
      <c r="G221">
        <f>IFERROR(VLOOKUP($A222&amp;"_"&amp;$B222,Results_Deltas!$A$2:$P$15000,5,FALSE),"")</f>
        <v/>
      </c>
      <c r="H221">
        <f>IFERROR(VLOOKUP($A222,Results_30d_Deltas!$A$2:$H$5000,7,FALSE)-E221,"")</f>
        <v/>
      </c>
      <c r="I221">
        <f>IFERROR(VLOOKUP($A222,Results_30d_Deltas!$A$2:$H$5000,6,FALSE),"")</f>
        <v/>
      </c>
      <c r="L221" t="inlineStr">
        <is>
          <t>NO</t>
        </is>
      </c>
      <c r="IK221" t="inlineStr">
        <is>
          <t>ez_manage.py:5321 top()</t>
        </is>
      </c>
      <c r="IL221" t="inlineStr">
        <is>
          <t>v12_quick_engine.py:2900 x3</t>
        </is>
      </c>
    </row>
    <row r="222" ht="10.5" customHeight="1" s="67">
      <c r="A222" t="inlineStr">
        <is>
          <t>REENTRY_PRICE_IMPROVE_PCT</t>
        </is>
      </c>
      <c r="B222" t="inlineStr">
        <is>
          <t>0.5</t>
        </is>
      </c>
      <c r="G222">
        <f>IFERROR(VLOOKUP($A223&amp;"_"&amp;$B223,Results_Deltas!$A$2:$P$15000,5,FALSE),"")</f>
        <v/>
      </c>
      <c r="H222">
        <f>IFERROR(VLOOKUP($A223,Results_30d_Deltas!$A$2:$H$5000,7,FALSE)-E222,"")</f>
        <v/>
      </c>
      <c r="I222">
        <f>IFERROR(VLOOKUP($A223,Results_30d_Deltas!$A$2:$H$5000,6,FALSE),"")</f>
        <v/>
      </c>
      <c r="L222" t="inlineStr">
        <is>
          <t>NO</t>
        </is>
      </c>
      <c r="IK222" t="inlineStr">
        <is>
          <t>ez_manage.py:5321 top()</t>
        </is>
      </c>
      <c r="IL222" t="inlineStr">
        <is>
          <t>v12_quick_engine.py:2900 x3</t>
        </is>
      </c>
    </row>
    <row r="223" ht="10.5" customHeight="1" s="67">
      <c r="A223" t="inlineStr">
        <is>
          <t>REENTRY_PRICE_IMPROVE_PCT</t>
        </is>
      </c>
      <c r="B223" t="inlineStr">
        <is>
          <t>1.0</t>
        </is>
      </c>
      <c r="G223">
        <f>IFERROR(VLOOKUP($A224&amp;"_"&amp;$B224,Results_Deltas!$A$2:$P$15000,5,FALSE),"")</f>
        <v/>
      </c>
      <c r="H223">
        <f>IFERROR(VLOOKUP($A224,Results_30d_Deltas!$A$2:$H$5000,7,FALSE)-E223,"")</f>
        <v/>
      </c>
      <c r="I223">
        <f>IFERROR(VLOOKUP($A224,Results_30d_Deltas!$A$2:$H$5000,6,FALSE),"")</f>
        <v/>
      </c>
      <c r="L223" t="inlineStr">
        <is>
          <t>NO</t>
        </is>
      </c>
      <c r="IK223" t="inlineStr">
        <is>
          <t>ez_manage.py:5321 top()</t>
        </is>
      </c>
      <c r="IL223" t="inlineStr">
        <is>
          <t>v12_quick_engine.py:2900 x3</t>
        </is>
      </c>
    </row>
    <row r="224" ht="10.5" customHeight="1" s="67">
      <c r="A224" t="inlineStr">
        <is>
          <t>REENTRY_PRICE_IMPROVE_PCT</t>
        </is>
      </c>
      <c r="B224" t="inlineStr">
        <is>
          <t>2.0</t>
        </is>
      </c>
      <c r="G224">
        <f>IFERROR(VLOOKUP($A225&amp;"_"&amp;$B225,Results_Deltas!$A$2:$P$15000,5,FALSE),"")</f>
        <v/>
      </c>
      <c r="H224">
        <f>IFERROR(VLOOKUP($A225,Results_30d_Deltas!$A$2:$H$5000,7,FALSE)-E224,"")</f>
        <v/>
      </c>
      <c r="I224">
        <f>IFERROR(VLOOKUP($A225,Results_30d_Deltas!$A$2:$H$5000,6,FALSE),"")</f>
        <v/>
      </c>
      <c r="L224" t="inlineStr">
        <is>
          <t>NO</t>
        </is>
      </c>
      <c r="IK224" t="inlineStr">
        <is>
          <t>ez_manage.py:5321 top()</t>
        </is>
      </c>
      <c r="IL224" t="inlineStr">
        <is>
          <t>v12_quick_engine.py:2900 x3</t>
        </is>
      </c>
    </row>
    <row r="225" ht="10.5" customHeight="1" s="67">
      <c r="A225" t="inlineStr">
        <is>
          <t>REENTRY_SIZE_DIP_MULT</t>
        </is>
      </c>
      <c r="B225" t="inlineStr">
        <is>
          <t>0</t>
        </is>
      </c>
      <c r="G225">
        <f>IFERROR(VLOOKUP($A226&amp;"_"&amp;$B226,Results_Deltas!$A$2:$P$15000,5,FALSE),"")</f>
        <v/>
      </c>
      <c r="H225">
        <f>IFERROR(VLOOKUP($A226,Results_30d_Deltas!$A$2:$H$5000,7,FALSE)-E225,"")</f>
        <v/>
      </c>
      <c r="I225">
        <f>IFERROR(VLOOKUP($A226,Results_30d_Deltas!$A$2:$H$5000,6,FALSE),"")</f>
        <v/>
      </c>
      <c r="L225" t="inlineStr">
        <is>
          <t>NO</t>
        </is>
      </c>
      <c r="IK225" t="inlineStr">
        <is>
          <t>ez_manage.py:3871 top()</t>
        </is>
      </c>
      <c r="IL225" t="inlineStr">
        <is>
          <t>v12_quick_engine.py:2904 x3</t>
        </is>
      </c>
    </row>
    <row r="226" ht="10.5" customHeight="1" s="67">
      <c r="A226" t="inlineStr">
        <is>
          <t>REENTRY_SIZE_DIP_MULT</t>
        </is>
      </c>
      <c r="B226" t="inlineStr">
        <is>
          <t>0.5</t>
        </is>
      </c>
      <c r="G226">
        <f>IFERROR(VLOOKUP($A227&amp;"_"&amp;$B227,Results_Deltas!$A$2:$P$15000,5,FALSE),"")</f>
        <v/>
      </c>
      <c r="H226">
        <f>IFERROR(VLOOKUP($A227,Results_30d_Deltas!$A$2:$H$5000,7,FALSE)-E226,"")</f>
        <v/>
      </c>
      <c r="I226">
        <f>IFERROR(VLOOKUP($A227,Results_30d_Deltas!$A$2:$H$5000,6,FALSE),"")</f>
        <v/>
      </c>
      <c r="L226" t="inlineStr">
        <is>
          <t>YES</t>
        </is>
      </c>
      <c r="IK226" t="inlineStr">
        <is>
          <t>ez_manage.py:3871 top()</t>
        </is>
      </c>
      <c r="IL226" t="inlineStr">
        <is>
          <t>v12_quick_engine.py:2904 x3</t>
        </is>
      </c>
    </row>
    <row r="227" ht="10.5" customHeight="1" s="67">
      <c r="A227" t="inlineStr">
        <is>
          <t>REENTRY_SIZE_DIP_MULT</t>
        </is>
      </c>
      <c r="B227" t="inlineStr">
        <is>
          <t>1.0</t>
        </is>
      </c>
      <c r="G227">
        <f>IFERROR(VLOOKUP($A228&amp;"_"&amp;$B228,Results_Deltas!$A$2:$P$15000,5,FALSE),"")</f>
        <v/>
      </c>
      <c r="H227">
        <f>IFERROR(VLOOKUP($A228,Results_30d_Deltas!$A$2:$H$5000,7,FALSE)-E227,"")</f>
        <v/>
      </c>
      <c r="I227">
        <f>IFERROR(VLOOKUP($A228,Results_30d_Deltas!$A$2:$H$5000,6,FALSE),"")</f>
        <v/>
      </c>
      <c r="L227" t="inlineStr">
        <is>
          <t>NO</t>
        </is>
      </c>
      <c r="IK227" t="inlineStr">
        <is>
          <t>ez_manage.py:3871 top()</t>
        </is>
      </c>
      <c r="IL227" t="inlineStr">
        <is>
          <t>v12_quick_engine.py:2904 x3</t>
        </is>
      </c>
    </row>
    <row r="228" ht="10.5" customHeight="1" s="67">
      <c r="A228" t="inlineStr">
        <is>
          <t>REENTRY_SIZE_DIP_MULT</t>
        </is>
      </c>
      <c r="B228" t="inlineStr">
        <is>
          <t>2.0</t>
        </is>
      </c>
      <c r="G228">
        <f>IFERROR(VLOOKUP($A229&amp;"_"&amp;$B229,Results_Deltas!$A$2:$P$15000,5,FALSE),"")</f>
        <v/>
      </c>
      <c r="H228">
        <f>IFERROR(VLOOKUP($A229,Results_30d_Deltas!$A$2:$H$5000,7,FALSE)-E228,"")</f>
        <v/>
      </c>
      <c r="I228">
        <f>IFERROR(VLOOKUP($A229,Results_30d_Deltas!$A$2:$H$5000,6,FALSE),"")</f>
        <v/>
      </c>
      <c r="L228" t="inlineStr">
        <is>
          <t>NO</t>
        </is>
      </c>
      <c r="IK228" t="inlineStr">
        <is>
          <t>ez_manage.py:3871 top()</t>
        </is>
      </c>
      <c r="IL228" t="inlineStr">
        <is>
          <t>v12_quick_engine.py:2904 x3</t>
        </is>
      </c>
    </row>
    <row r="229" ht="10.5" customHeight="1" s="67">
      <c r="A229" t="inlineStr">
        <is>
          <t>REENTRY_SIZE_EXTENDED_K1H</t>
        </is>
      </c>
      <c r="B229" t="inlineStr">
        <is>
          <t>0</t>
        </is>
      </c>
      <c r="G229">
        <f>IFERROR(VLOOKUP($A230&amp;"_"&amp;$B230,Results_Deltas!$A$2:$P$15000,5,FALSE),"")</f>
        <v/>
      </c>
      <c r="H229">
        <f>IFERROR(VLOOKUP($A230,Results_30d_Deltas!$A$2:$H$5000,7,FALSE)-E229,"")</f>
        <v/>
      </c>
      <c r="I229">
        <f>IFERROR(VLOOKUP($A230,Results_30d_Deltas!$A$2:$H$5000,6,FALSE),"")</f>
        <v/>
      </c>
      <c r="L229" t="inlineStr">
        <is>
          <t>NO</t>
        </is>
      </c>
      <c r="IK229" t="inlineStr">
        <is>
          <t>ez_manage.py:3872 top()</t>
        </is>
      </c>
      <c r="IL229" t="inlineStr">
        <is>
          <t>v12_quick_engine.py:2905 x5</t>
        </is>
      </c>
    </row>
    <row r="230" ht="10.5" customHeight="1" s="67">
      <c r="A230" t="inlineStr">
        <is>
          <t>REENTRY_SIZE_EXTENDED_K1H</t>
        </is>
      </c>
      <c r="B230" t="inlineStr">
        <is>
          <t>0.5</t>
        </is>
      </c>
      <c r="G230">
        <f>IFERROR(VLOOKUP($A231&amp;"_"&amp;$B231,Results_Deltas!$A$2:$P$15000,5,FALSE),"")</f>
        <v/>
      </c>
      <c r="H230">
        <f>IFERROR(VLOOKUP($A231,Results_30d_Deltas!$A$2:$H$5000,7,FALSE)-E230,"")</f>
        <v/>
      </c>
      <c r="I230">
        <f>IFERROR(VLOOKUP($A231,Results_30d_Deltas!$A$2:$H$5000,6,FALSE),"")</f>
        <v/>
      </c>
      <c r="L230" t="inlineStr">
        <is>
          <t>NO</t>
        </is>
      </c>
      <c r="IK230" t="inlineStr">
        <is>
          <t>ez_manage.py:3872 top()</t>
        </is>
      </c>
      <c r="IL230" t="inlineStr">
        <is>
          <t>v12_quick_engine.py:2905 x5</t>
        </is>
      </c>
    </row>
    <row r="231" ht="10.5" customHeight="1" s="67">
      <c r="A231" t="inlineStr">
        <is>
          <t>REENTRY_SIZE_EXTENDED_K1H</t>
        </is>
      </c>
      <c r="B231" t="inlineStr">
        <is>
          <t>1.0</t>
        </is>
      </c>
      <c r="G231">
        <f>IFERROR(VLOOKUP($A232&amp;"_"&amp;$B232,Results_Deltas!$A$2:$P$15000,5,FALSE),"")</f>
        <v/>
      </c>
      <c r="H231">
        <f>IFERROR(VLOOKUP($A232,Results_30d_Deltas!$A$2:$H$5000,7,FALSE)-E231,"")</f>
        <v/>
      </c>
      <c r="I231">
        <f>IFERROR(VLOOKUP($A232,Results_30d_Deltas!$A$2:$H$5000,6,FALSE),"")</f>
        <v/>
      </c>
      <c r="L231" t="inlineStr">
        <is>
          <t>YES</t>
        </is>
      </c>
      <c r="IK231" t="inlineStr">
        <is>
          <t>ez_manage.py:3872 top()</t>
        </is>
      </c>
      <c r="IL231" t="inlineStr">
        <is>
          <t>v12_quick_engine.py:2905 x5</t>
        </is>
      </c>
    </row>
    <row r="232" ht="10.5" customHeight="1" s="67">
      <c r="A232" t="inlineStr">
        <is>
          <t>REENTRY_SIZE_EXTENDED_K1H</t>
        </is>
      </c>
      <c r="B232" t="inlineStr">
        <is>
          <t>2.0</t>
        </is>
      </c>
      <c r="G232">
        <f>IFERROR(VLOOKUP($A233&amp;"_"&amp;$B233,Results_Deltas!$A$2:$P$15000,5,FALSE),"")</f>
        <v/>
      </c>
      <c r="H232">
        <f>IFERROR(VLOOKUP($A233,Results_30d_Deltas!$A$2:$H$5000,7,FALSE)-E232,"")</f>
        <v/>
      </c>
      <c r="I232">
        <f>IFERROR(VLOOKUP($A233,Results_30d_Deltas!$A$2:$H$5000,6,FALSE),"")</f>
        <v/>
      </c>
      <c r="L232" t="inlineStr">
        <is>
          <t>NO</t>
        </is>
      </c>
      <c r="IK232" t="inlineStr">
        <is>
          <t>ez_manage.py:3872 top()</t>
        </is>
      </c>
      <c r="IL232" t="inlineStr">
        <is>
          <t>v12_quick_engine.py:2905 x5</t>
        </is>
      </c>
    </row>
    <row r="233" ht="10.5" customHeight="1" s="67">
      <c r="A233" t="inlineStr">
        <is>
          <t>REENTRY_SIZE_EXTENDED_MULT</t>
        </is>
      </c>
      <c r="B233" t="inlineStr">
        <is>
          <t>0</t>
        </is>
      </c>
      <c r="G233">
        <f>IFERROR(VLOOKUP($A234&amp;"_"&amp;$B234,Results_Deltas!$A$2:$P$15000,5,FALSE),"")</f>
        <v/>
      </c>
      <c r="H233">
        <f>IFERROR(VLOOKUP($A234,Results_30d_Deltas!$A$2:$H$5000,7,FALSE)-E233,"")</f>
        <v/>
      </c>
      <c r="I233">
        <f>IFERROR(VLOOKUP($A234,Results_30d_Deltas!$A$2:$H$5000,6,FALSE),"")</f>
        <v/>
      </c>
      <c r="L233" t="inlineStr">
        <is>
          <t>NO</t>
        </is>
      </c>
      <c r="IK233" t="inlineStr">
        <is>
          <t>ez_manage.py:3873 top()</t>
        </is>
      </c>
      <c r="IL233" t="inlineStr">
        <is>
          <t>v12_quick_engine.py:2906 x3</t>
        </is>
      </c>
    </row>
    <row r="234" ht="10.5" customHeight="1" s="67">
      <c r="A234" t="inlineStr">
        <is>
          <t>REENTRY_SIZE_EXTENDED_MULT</t>
        </is>
      </c>
      <c r="B234" t="inlineStr">
        <is>
          <t>0.5</t>
        </is>
      </c>
      <c r="G234">
        <f>IFERROR(VLOOKUP($A235&amp;"_"&amp;$B235,Results_Deltas!$A$2:$P$15000,5,FALSE),"")</f>
        <v/>
      </c>
      <c r="H234">
        <f>IFERROR(VLOOKUP($A235,Results_30d_Deltas!$A$2:$H$5000,7,FALSE)-E234,"")</f>
        <v/>
      </c>
      <c r="I234">
        <f>IFERROR(VLOOKUP($A235,Results_30d_Deltas!$A$2:$H$5000,6,FALSE),"")</f>
        <v/>
      </c>
      <c r="L234" t="inlineStr">
        <is>
          <t>NO</t>
        </is>
      </c>
      <c r="IK234" t="inlineStr">
        <is>
          <t>ez_manage.py:3873 top()</t>
        </is>
      </c>
      <c r="IL234" t="inlineStr">
        <is>
          <t>v12_quick_engine.py:2906 x3</t>
        </is>
      </c>
    </row>
    <row r="235" ht="10.5" customHeight="1" s="67">
      <c r="A235" t="inlineStr">
        <is>
          <t>REENTRY_SIZE_EXTENDED_MULT</t>
        </is>
      </c>
      <c r="B235" t="inlineStr">
        <is>
          <t>1.0</t>
        </is>
      </c>
      <c r="G235">
        <f>IFERROR(VLOOKUP($A236&amp;"_"&amp;$B236,Results_Deltas!$A$2:$P$15000,5,FALSE),"")</f>
        <v/>
      </c>
      <c r="H235">
        <f>IFERROR(VLOOKUP($A236,Results_30d_Deltas!$A$2:$H$5000,7,FALSE)-E235,"")</f>
        <v/>
      </c>
      <c r="I235">
        <f>IFERROR(VLOOKUP($A236,Results_30d_Deltas!$A$2:$H$5000,6,FALSE),"")</f>
        <v/>
      </c>
      <c r="L235" t="inlineStr">
        <is>
          <t>NO</t>
        </is>
      </c>
      <c r="IK235" t="inlineStr">
        <is>
          <t>ez_manage.py:3873 top()</t>
        </is>
      </c>
      <c r="IL235" t="inlineStr">
        <is>
          <t>v12_quick_engine.py:2906 x3</t>
        </is>
      </c>
    </row>
    <row r="236" ht="10.5" customHeight="1" s="67">
      <c r="A236" t="inlineStr">
        <is>
          <t>REENTRY_SIZE_EXTENDED_MULT</t>
        </is>
      </c>
      <c r="B236" t="inlineStr">
        <is>
          <t>2.0</t>
        </is>
      </c>
      <c r="G236">
        <f>IFERROR(VLOOKUP($A237&amp;"_"&amp;$B237,Results_Deltas!$A$2:$P$15000,5,FALSE),"")</f>
        <v/>
      </c>
      <c r="H236">
        <f>IFERROR(VLOOKUP($A237,Results_30d_Deltas!$A$2:$H$5000,7,FALSE)-E236,"")</f>
        <v/>
      </c>
      <c r="I236">
        <f>IFERROR(VLOOKUP($A237,Results_30d_Deltas!$A$2:$H$5000,6,FALSE),"")</f>
        <v/>
      </c>
      <c r="L236" t="inlineStr">
        <is>
          <t>NO</t>
        </is>
      </c>
      <c r="IK236" t="inlineStr">
        <is>
          <t>ez_manage.py:3873 top()</t>
        </is>
      </c>
      <c r="IL236" t="inlineStr">
        <is>
          <t>v12_quick_engine.py:2906 x3</t>
        </is>
      </c>
    </row>
    <row r="237" ht="10.5" customHeight="1" s="67">
      <c r="A237" t="inlineStr">
        <is>
          <t>REENTRY_TIER1_SIZE_MULT</t>
        </is>
      </c>
      <c r="B237" t="inlineStr">
        <is>
          <t>0</t>
        </is>
      </c>
      <c r="G237">
        <f>IFERROR(VLOOKUP($A238&amp;"_"&amp;$B238,Results_Deltas!$A$2:$P$15000,5,FALSE),"")</f>
        <v/>
      </c>
      <c r="H237">
        <f>IFERROR(VLOOKUP($A238,Results_30d_Deltas!$A$2:$H$5000,7,FALSE)-E237,"")</f>
        <v/>
      </c>
      <c r="I237">
        <f>IFERROR(VLOOKUP($A238,Results_30d_Deltas!$A$2:$H$5000,6,FALSE),"")</f>
        <v/>
      </c>
      <c r="L237" t="inlineStr">
        <is>
          <t>YES</t>
        </is>
      </c>
      <c r="IK237" t="inlineStr">
        <is>
          <t>ez_manage.py:3878 top()</t>
        </is>
      </c>
      <c r="IL237" t="inlineStr">
        <is>
          <t>v12_quick_engine.py:2912 x11</t>
        </is>
      </c>
    </row>
    <row r="238" ht="10.5" customHeight="1" s="67">
      <c r="A238" t="inlineStr">
        <is>
          <t>REENTRY_TIER1_SIZE_MULT</t>
        </is>
      </c>
      <c r="B238" t="inlineStr">
        <is>
          <t>0.5</t>
        </is>
      </c>
      <c r="G238">
        <f>IFERROR(VLOOKUP($A239&amp;"_"&amp;$B239,Results_Deltas!$A$2:$P$15000,5,FALSE),"")</f>
        <v/>
      </c>
      <c r="H238">
        <f>IFERROR(VLOOKUP($A239,Results_30d_Deltas!$A$2:$H$5000,7,FALSE)-E238,"")</f>
        <v/>
      </c>
      <c r="I238">
        <f>IFERROR(VLOOKUP($A239,Results_30d_Deltas!$A$2:$H$5000,6,FALSE),"")</f>
        <v/>
      </c>
      <c r="L238" t="inlineStr">
        <is>
          <t>NO</t>
        </is>
      </c>
      <c r="IK238" t="inlineStr">
        <is>
          <t>ez_manage.py:3878 top()</t>
        </is>
      </c>
      <c r="IL238" t="inlineStr">
        <is>
          <t>v12_quick_engine.py:2912 x11</t>
        </is>
      </c>
    </row>
    <row r="239" ht="10.5" customHeight="1" s="67">
      <c r="A239" t="inlineStr">
        <is>
          <t>REENTRY_TIER1_SIZE_MULT</t>
        </is>
      </c>
      <c r="B239" t="inlineStr">
        <is>
          <t>1.0</t>
        </is>
      </c>
      <c r="G239">
        <f>IFERROR(VLOOKUP($A240&amp;"_"&amp;$B240,Results_Deltas!$A$2:$P$15000,5,FALSE),"")</f>
        <v/>
      </c>
      <c r="H239">
        <f>IFERROR(VLOOKUP($A240,Results_30d_Deltas!$A$2:$H$5000,7,FALSE)-E239,"")</f>
        <v/>
      </c>
      <c r="I239">
        <f>IFERROR(VLOOKUP($A240,Results_30d_Deltas!$A$2:$H$5000,6,FALSE),"")</f>
        <v/>
      </c>
      <c r="L239" t="inlineStr">
        <is>
          <t>NO</t>
        </is>
      </c>
      <c r="IK239" t="inlineStr">
        <is>
          <t>ez_manage.py:3878 top()</t>
        </is>
      </c>
      <c r="IL239" t="inlineStr">
        <is>
          <t>v12_quick_engine.py:2912 x11</t>
        </is>
      </c>
    </row>
    <row r="240" ht="10.5" customHeight="1" s="67">
      <c r="A240" t="inlineStr">
        <is>
          <t>REENTRY_TIER1_SIZE_MULT</t>
        </is>
      </c>
      <c r="B240" t="inlineStr">
        <is>
          <t>2.0</t>
        </is>
      </c>
      <c r="G240">
        <f>IFERROR(VLOOKUP($A241&amp;"_"&amp;$B241,Results_Deltas!$A$2:$P$15000,5,FALSE),"")</f>
        <v/>
      </c>
      <c r="H240">
        <f>IFERROR(VLOOKUP($A241,Results_30d_Deltas!$A$2:$H$5000,7,FALSE)-E240,"")</f>
        <v/>
      </c>
      <c r="I240">
        <f>IFERROR(VLOOKUP($A241,Results_30d_Deltas!$A$2:$H$5000,6,FALSE),"")</f>
        <v/>
      </c>
      <c r="L240" t="inlineStr">
        <is>
          <t>NO</t>
        </is>
      </c>
      <c r="IK240" t="inlineStr">
        <is>
          <t>ez_manage.py:3878 top()</t>
        </is>
      </c>
      <c r="IL240" t="inlineStr">
        <is>
          <t>v12_quick_engine.py:2912 x11</t>
        </is>
      </c>
    </row>
    <row r="241" ht="10.5" customHeight="1" s="67">
      <c r="A241" t="inlineStr">
        <is>
          <t>REENTRY_TIER2_MAX_MINUTES</t>
        </is>
      </c>
      <c r="B241" t="inlineStr">
        <is>
          <t>0</t>
        </is>
      </c>
      <c r="G241">
        <f>IFERROR(VLOOKUP($A242&amp;"_"&amp;$B242,Results_Deltas!$A$2:$P$15000,5,FALSE),"")</f>
        <v/>
      </c>
      <c r="H241">
        <f>IFERROR(VLOOKUP($A242,Results_30d_Deltas!$A$2:$H$5000,7,FALSE)-E241,"")</f>
        <v/>
      </c>
      <c r="I241">
        <f>IFERROR(VLOOKUP($A242,Results_30d_Deltas!$A$2:$H$5000,6,FALSE),"")</f>
        <v/>
      </c>
      <c r="L241" t="inlineStr">
        <is>
          <t>NO</t>
        </is>
      </c>
      <c r="IK241" t="inlineStr">
        <is>
          <t>ez_manage.py:3879 top()</t>
        </is>
      </c>
      <c r="IL241" t="inlineStr">
        <is>
          <t>v12_quick_engine.py:2914 x10</t>
        </is>
      </c>
    </row>
    <row r="242" ht="10.5" customHeight="1" s="67">
      <c r="A242" t="inlineStr">
        <is>
          <t>REENTRY_TIER2_MAX_MINUTES</t>
        </is>
      </c>
      <c r="B242" t="inlineStr">
        <is>
          <t>0.5</t>
        </is>
      </c>
      <c r="G242">
        <f>IFERROR(VLOOKUP($A243&amp;"_"&amp;$B243,Results_Deltas!$A$2:$P$15000,5,FALSE),"")</f>
        <v/>
      </c>
      <c r="H242">
        <f>IFERROR(VLOOKUP($A243,Results_30d_Deltas!$A$2:$H$5000,7,FALSE)-E242,"")</f>
        <v/>
      </c>
      <c r="I242">
        <f>IFERROR(VLOOKUP($A243,Results_30d_Deltas!$A$2:$H$5000,6,FALSE),"")</f>
        <v/>
      </c>
      <c r="L242" t="inlineStr">
        <is>
          <t>YES</t>
        </is>
      </c>
      <c r="IK242" t="inlineStr">
        <is>
          <t>ez_manage.py:3879 top()</t>
        </is>
      </c>
      <c r="IL242" t="inlineStr">
        <is>
          <t>v12_quick_engine.py:2914 x10</t>
        </is>
      </c>
    </row>
    <row r="243" ht="10.5" customHeight="1" s="67">
      <c r="A243" t="inlineStr">
        <is>
          <t>REENTRY_TIER2_MAX_MINUTES</t>
        </is>
      </c>
      <c r="B243" t="inlineStr">
        <is>
          <t>1.0</t>
        </is>
      </c>
      <c r="G243">
        <f>IFERROR(VLOOKUP($A244&amp;"_"&amp;$B244,Results_Deltas!$A$2:$P$15000,5,FALSE),"")</f>
        <v/>
      </c>
      <c r="H243">
        <f>IFERROR(VLOOKUP($A244,Results_30d_Deltas!$A$2:$H$5000,7,FALSE)-E243,"")</f>
        <v/>
      </c>
      <c r="I243">
        <f>IFERROR(VLOOKUP($A244,Results_30d_Deltas!$A$2:$H$5000,6,FALSE),"")</f>
        <v/>
      </c>
      <c r="L243" t="inlineStr">
        <is>
          <t>NO</t>
        </is>
      </c>
      <c r="IK243" t="inlineStr">
        <is>
          <t>ez_manage.py:3879 top()</t>
        </is>
      </c>
      <c r="IL243" t="inlineStr">
        <is>
          <t>v12_quick_engine.py:2914 x10</t>
        </is>
      </c>
    </row>
    <row r="244" ht="10.5" customHeight="1" s="67">
      <c r="A244" t="inlineStr">
        <is>
          <t>REENTRY_TIER2_MAX_MINUTES</t>
        </is>
      </c>
      <c r="B244" t="inlineStr">
        <is>
          <t>2.0</t>
        </is>
      </c>
      <c r="G244">
        <f>IFERROR(VLOOKUP($A245&amp;"_"&amp;$B245,Results_Deltas!$A$2:$P$15000,5,FALSE),"")</f>
        <v/>
      </c>
      <c r="H244">
        <f>IFERROR(VLOOKUP($A245,Results_30d_Deltas!$A$2:$H$5000,7,FALSE)-E244,"")</f>
        <v/>
      </c>
      <c r="I244">
        <f>IFERROR(VLOOKUP($A245,Results_30d_Deltas!$A$2:$H$5000,6,FALSE),"")</f>
        <v/>
      </c>
      <c r="L244" t="inlineStr">
        <is>
          <t>NO</t>
        </is>
      </c>
      <c r="IK244" t="inlineStr">
        <is>
          <t>ez_manage.py:3879 top()</t>
        </is>
      </c>
      <c r="IL244" t="inlineStr">
        <is>
          <t>v12_quick_engine.py:2914 x10</t>
        </is>
      </c>
    </row>
    <row r="245" ht="10.5" customHeight="1" s="67">
      <c r="A245" t="inlineStr">
        <is>
          <t>REENTRY_WT15M_SIZE_MULT</t>
        </is>
      </c>
      <c r="B245" t="inlineStr">
        <is>
          <t>0</t>
        </is>
      </c>
      <c r="G245">
        <f>IFERROR(VLOOKUP($A246&amp;"_"&amp;$B246,Results_Deltas!$A$2:$P$15000,5,FALSE),"")</f>
        <v/>
      </c>
      <c r="H245">
        <f>IFERROR(VLOOKUP($A246,Results_30d_Deltas!$A$2:$H$5000,7,FALSE)-E245,"")</f>
        <v/>
      </c>
      <c r="I245">
        <f>IFERROR(VLOOKUP($A246,Results_30d_Deltas!$A$2:$H$5000,6,FALSE),"")</f>
        <v/>
      </c>
      <c r="L245" t="inlineStr">
        <is>
          <t>NO</t>
        </is>
      </c>
      <c r="IK245" t="inlineStr">
        <is>
          <t>ez_manage.py:3884 top()</t>
        </is>
      </c>
      <c r="IL245" t="inlineStr">
        <is>
          <t>v12_quick_engine.py:2926 x5</t>
        </is>
      </c>
    </row>
    <row r="246" ht="10.5" customHeight="1" s="67">
      <c r="A246" t="inlineStr">
        <is>
          <t>REENTRY_WT15M_SIZE_MULT</t>
        </is>
      </c>
      <c r="B246" t="inlineStr">
        <is>
          <t>0.5</t>
        </is>
      </c>
      <c r="G246">
        <f>IFERROR(VLOOKUP($A247&amp;"_"&amp;$B247,Results_Deltas!$A$2:$P$15000,5,FALSE),"")</f>
        <v/>
      </c>
      <c r="H246">
        <f>IFERROR(VLOOKUP($A247,Results_30d_Deltas!$A$2:$H$5000,7,FALSE)-E246,"")</f>
        <v/>
      </c>
      <c r="I246">
        <f>IFERROR(VLOOKUP($A247,Results_30d_Deltas!$A$2:$H$5000,6,FALSE),"")</f>
        <v/>
      </c>
      <c r="L246" t="inlineStr">
        <is>
          <t>NO</t>
        </is>
      </c>
      <c r="IK246" t="inlineStr">
        <is>
          <t>ez_manage.py:3884 top()</t>
        </is>
      </c>
      <c r="IL246" t="inlineStr">
        <is>
          <t>v12_quick_engine.py:2926 x5</t>
        </is>
      </c>
    </row>
    <row r="247" ht="10.5" customHeight="1" s="67">
      <c r="A247" t="inlineStr">
        <is>
          <t>REENTRY_WT15M_SIZE_MULT</t>
        </is>
      </c>
      <c r="B247" t="inlineStr">
        <is>
          <t>1.0</t>
        </is>
      </c>
      <c r="G247">
        <f>IFERROR(VLOOKUP($A248&amp;"_"&amp;$B248,Results_Deltas!$A$2:$P$15000,5,FALSE),"")</f>
        <v/>
      </c>
      <c r="H247">
        <f>IFERROR(VLOOKUP($A248,Results_30d_Deltas!$A$2:$H$5000,7,FALSE)-E247,"")</f>
        <v/>
      </c>
      <c r="I247">
        <f>IFERROR(VLOOKUP($A248,Results_30d_Deltas!$A$2:$H$5000,6,FALSE),"")</f>
        <v/>
      </c>
      <c r="L247" t="inlineStr">
        <is>
          <t>YES</t>
        </is>
      </c>
      <c r="IK247" t="inlineStr">
        <is>
          <t>ez_manage.py:3884 top()</t>
        </is>
      </c>
      <c r="IL247" t="inlineStr">
        <is>
          <t>v12_quick_engine.py:2926 x5</t>
        </is>
      </c>
    </row>
    <row r="248" ht="10.5" customHeight="1" s="67">
      <c r="A248" t="inlineStr">
        <is>
          <t>REENTRY_WT15M_SIZE_MULT</t>
        </is>
      </c>
      <c r="B248" t="inlineStr">
        <is>
          <t>2.0</t>
        </is>
      </c>
      <c r="G248">
        <f>IFERROR(VLOOKUP($A249&amp;"_"&amp;$B249,Results_Deltas!$A$2:$P$15000,5,FALSE),"")</f>
        <v/>
      </c>
      <c r="H248">
        <f>IFERROR(VLOOKUP($A249,Results_30d_Deltas!$A$2:$H$5000,7,FALSE)-E248,"")</f>
        <v/>
      </c>
      <c r="I248">
        <f>IFERROR(VLOOKUP($A249,Results_30d_Deltas!$A$2:$H$5000,6,FALSE),"")</f>
        <v/>
      </c>
      <c r="L248" t="inlineStr">
        <is>
          <t>NO</t>
        </is>
      </c>
      <c r="IK248" t="inlineStr">
        <is>
          <t>ez_manage.py:3884 top()</t>
        </is>
      </c>
      <c r="IL248" t="inlineStr">
        <is>
          <t>v12_quick_engine.py:2926 x5</t>
        </is>
      </c>
    </row>
    <row r="249" ht="10.5" customHeight="1" s="67">
      <c r="A249" t="inlineStr">
        <is>
          <t>VEC_REENTRY_DC4_EXITPRICE_ENABLED</t>
        </is>
      </c>
      <c r="B249" t="inlineStr">
        <is>
          <t>False</t>
        </is>
      </c>
      <c r="G249">
        <f>IFERROR(VLOOKUP($A250&amp;"_"&amp;$B250,Results_Deltas!$A$2:$P$15000,5,FALSE),"")</f>
        <v/>
      </c>
      <c r="H249">
        <f>IFERROR(VLOOKUP($A250,Results_30d_Deltas!$A$2:$H$5000,7,FALSE)-E249,"")</f>
        <v/>
      </c>
      <c r="I249">
        <f>IFERROR(VLOOKUP($A250,Results_30d_Deltas!$A$2:$H$5000,6,FALSE),"")</f>
        <v/>
      </c>
      <c r="L249" t="inlineStr">
        <is>
          <t>NO</t>
        </is>
      </c>
      <c r="IK249" t="inlineStr">
        <is>
          <t>ez_manage.py:6075 top()</t>
        </is>
      </c>
      <c r="IL249" t="inlineStr">
        <is>
          <t>v12_quick_engine.py:4287 x4</t>
        </is>
      </c>
    </row>
    <row r="250" ht="10.5" customHeight="1" s="67">
      <c r="A250" t="inlineStr">
        <is>
          <t>VEC_REENTRY_DC4_EXITPRICE_ENABLED</t>
        </is>
      </c>
      <c r="B250" t="b">
        <v>0</v>
      </c>
      <c r="G250">
        <f>IFERROR(VLOOKUP($A251&amp;"_"&amp;$B251,Results_Deltas!$A$2:$P$15000,5,FALSE),"")</f>
        <v/>
      </c>
      <c r="H250">
        <f>IFERROR(VLOOKUP($A251,Results_30d_Deltas!$A$2:$H$5000,7,FALSE)-E250,"")</f>
        <v/>
      </c>
      <c r="I250">
        <f>IFERROR(VLOOKUP($A251,Results_30d_Deltas!$A$2:$H$5000,6,FALSE),"")</f>
        <v/>
      </c>
      <c r="L250" t="inlineStr">
        <is>
          <t>NO</t>
        </is>
      </c>
      <c r="IK250" t="inlineStr">
        <is>
          <t>ez_manage.py:6075 top()</t>
        </is>
      </c>
      <c r="IL250" t="inlineStr">
        <is>
          <t>v12_quick_engine.py:4287 x4</t>
        </is>
      </c>
    </row>
    <row r="251" ht="10.5" customHeight="1" s="67">
      <c r="A251" t="inlineStr">
        <is>
          <t>ADX_RANGING_THRESHOLD</t>
        </is>
      </c>
      <c r="B251" t="inlineStr">
        <is>
          <t>20</t>
        </is>
      </c>
      <c r="D251" t="inlineStr">
        <is>
          <t>ENTRY, GLOBAL_CHECK, STOCKS_EXIT</t>
        </is>
      </c>
      <c r="G251">
        <f>IFERROR(VLOOKUP($A252&amp;"_"&amp;$B252,Results_Deltas!$A$2:$P$15000,5,FALSE),"")</f>
        <v/>
      </c>
      <c r="H251" t="inlineStr">
        <is>
          <t>Blanket (page end)</t>
        </is>
      </c>
      <c r="L251" t="inlineStr">
        <is>
          <t>NO</t>
        </is>
      </c>
    </row>
    <row r="252" ht="15.75" customHeight="1" s="67">
      <c r="A252" t="inlineStr">
        <is>
          <t>ADX_RANGING_THRESHOLD</t>
        </is>
      </c>
      <c r="B252" t="inlineStr">
        <is>
          <t>25</t>
        </is>
      </c>
      <c r="D252" t="inlineStr">
        <is>
          <t>ENTRY, GLOBAL_CHECK, STOCKS_EXIT</t>
        </is>
      </c>
      <c r="G252">
        <f>IFERROR(VLOOKUP($A253&amp;"_"&amp;$B253,Results_Deltas!$A$2:$P$15000,5,FALSE),"")</f>
        <v/>
      </c>
      <c r="H252" t="inlineStr">
        <is>
          <t>Blanket (page end)</t>
        </is>
      </c>
      <c r="L252" t="inlineStr">
        <is>
          <t>NO</t>
        </is>
      </c>
    </row>
    <row r="253" ht="15.75" customHeight="1" s="67">
      <c r="A253" t="inlineStr">
        <is>
          <t>ADX_RANGING_THRESHOLD</t>
        </is>
      </c>
      <c r="B253" t="inlineStr">
        <is>
          <t>15</t>
        </is>
      </c>
      <c r="D253" t="inlineStr">
        <is>
          <t>ENTRY, GLOBAL_CHECK, STOCKS_EXIT</t>
        </is>
      </c>
      <c r="G253">
        <f>IFERROR(VLOOKUP($A254&amp;"_"&amp;$B254,Results_Deltas!$A$2:$P$15000,5,FALSE),"")</f>
        <v/>
      </c>
      <c r="H253" t="inlineStr">
        <is>
          <t>Blanket (page end)</t>
        </is>
      </c>
      <c r="L253" t="inlineStr">
        <is>
          <t>NO</t>
        </is>
      </c>
    </row>
    <row r="254" ht="15.75" customHeight="1" s="67">
      <c r="A254" t="inlineStr">
        <is>
          <t>ADX_RANGING_THRESHOLD</t>
        </is>
      </c>
      <c r="B254" t="n">
        <v>20</v>
      </c>
      <c r="D254" t="inlineStr">
        <is>
          <t>ENTRY, GLOBAL_CHECK, STOCKS_EXIT</t>
        </is>
      </c>
      <c r="G254">
        <f>IFERROR(VLOOKUP($A255&amp;"_"&amp;$B255,Results_Deltas!$A$2:$P$15000,5,FALSE),"")</f>
        <v/>
      </c>
      <c r="H254" t="inlineStr">
        <is>
          <t>Blanket (page end)</t>
        </is>
      </c>
      <c r="L254" t="inlineStr">
        <is>
          <t>NO</t>
        </is>
      </c>
    </row>
    <row r="255" ht="15.75" customHeight="1" s="67">
      <c r="A255" t="inlineStr">
        <is>
          <t>BANDAID_OFF_LOSER_RECOVER_PCT</t>
        </is>
      </c>
      <c r="B255" t="inlineStr">
        <is>
          <t>0</t>
        </is>
      </c>
      <c r="D255" t="inlineStr">
        <is>
          <t>AUGMENT, ENTRY, EXIT, GLOBAL_CHECK, REDUCE, STOCKS_EXIT</t>
        </is>
      </c>
      <c r="G255">
        <f>IFERROR(VLOOKUP($A256&amp;"_"&amp;$B256,Results_Deltas!$A$2:$P$15000,5,FALSE),"")</f>
        <v/>
      </c>
      <c r="H255" t="inlineStr">
        <is>
          <t>Blanket (page end)</t>
        </is>
      </c>
      <c r="L255" t="inlineStr">
        <is>
          <t>NO</t>
        </is>
      </c>
    </row>
    <row r="256" ht="15.75" customHeight="1" s="67">
      <c r="A256" t="inlineStr">
        <is>
          <t>BANDAID_OFF_LOSER_RECOVER_PCT</t>
        </is>
      </c>
      <c r="B256" t="inlineStr">
        <is>
          <t>2.0</t>
        </is>
      </c>
      <c r="D256" t="inlineStr">
        <is>
          <t>AUGMENT, ENTRY, EXIT, GLOBAL_CHECK, REDUCE, STOCKS_EXIT</t>
        </is>
      </c>
      <c r="G256">
        <f>IFERROR(VLOOKUP($A257&amp;"_"&amp;$B257,Results_Deltas!$A$2:$P$15000,5,FALSE),"")</f>
        <v/>
      </c>
      <c r="H256" t="inlineStr">
        <is>
          <t>Blanket (page end)</t>
        </is>
      </c>
      <c r="L256" t="inlineStr">
        <is>
          <t>NO</t>
        </is>
      </c>
    </row>
    <row r="257" ht="15.75" customHeight="1" s="67">
      <c r="A257" t="inlineStr">
        <is>
          <t>BANDAID_OFF_LOSER_RECOVER_PCT</t>
        </is>
      </c>
      <c r="B257" t="inlineStr">
        <is>
          <t>1.0</t>
        </is>
      </c>
      <c r="D257" t="inlineStr">
        <is>
          <t>AUGMENT, ENTRY, EXIT, GLOBAL_CHECK, REDUCE, STOCKS_EXIT</t>
        </is>
      </c>
      <c r="G257">
        <f>IFERROR(VLOOKUP($A258&amp;"_"&amp;$B258,Results_Deltas!$A$2:$P$15000,5,FALSE),"")</f>
        <v/>
      </c>
      <c r="H257" t="inlineStr">
        <is>
          <t>Blanket (page end)</t>
        </is>
      </c>
      <c r="L257" t="inlineStr">
        <is>
          <t>NO</t>
        </is>
      </c>
    </row>
    <row r="258" ht="15.75" customHeight="1" s="67">
      <c r="A258" t="inlineStr">
        <is>
          <t>BANDAID_OFF_LOSER_RECOVER_PCT</t>
        </is>
      </c>
      <c r="B258" t="inlineStr">
        <is>
          <t>0.5</t>
        </is>
      </c>
      <c r="D258" t="inlineStr">
        <is>
          <t>AUGMENT, ENTRY, EXIT, GLOBAL_CHECK, REDUCE, STOCKS_EXIT</t>
        </is>
      </c>
      <c r="G258">
        <f>IFERROR(VLOOKUP($A259&amp;"_"&amp;$B259,Results_Deltas!$A$2:$P$15000,5,FALSE),"")</f>
        <v/>
      </c>
      <c r="H258" t="inlineStr">
        <is>
          <t>Blanket (page end)</t>
        </is>
      </c>
      <c r="L258" t="inlineStr">
        <is>
          <t>NO</t>
        </is>
      </c>
    </row>
    <row r="259" ht="15.75" customHeight="1" s="67">
      <c r="A259" t="inlineStr">
        <is>
          <t>BAND_ARROW_ENABLED</t>
        </is>
      </c>
      <c r="B259" t="inlineStr">
        <is>
          <t>False</t>
        </is>
      </c>
      <c r="D259" t="inlineStr">
        <is>
          <t>GLOBAL_CHECK, STOCKS_EXIT</t>
        </is>
      </c>
      <c r="G259">
        <f>IFERROR(VLOOKUP($A260&amp;"_"&amp;$B260,Results_Deltas!$A$2:$P$15000,5,FALSE),"")</f>
        <v/>
      </c>
      <c r="H259" t="inlineStr">
        <is>
          <t>Blanket (page end)</t>
        </is>
      </c>
      <c r="L259" t="inlineStr">
        <is>
          <t>YES</t>
        </is>
      </c>
    </row>
    <row r="260" ht="15.75" customHeight="1" s="67">
      <c r="A260" t="inlineStr">
        <is>
          <t>BAND_ARROW_ENABLED</t>
        </is>
      </c>
      <c r="B260" t="inlineStr">
        <is>
          <t>True</t>
        </is>
      </c>
      <c r="D260" t="inlineStr">
        <is>
          <t>GLOBAL_CHECK, STOCKS_EXIT</t>
        </is>
      </c>
      <c r="G260">
        <f>IFERROR(VLOOKUP($A261&amp;"_"&amp;$B261,Results_Deltas!$A$2:$P$15000,5,FALSE),"")</f>
        <v/>
      </c>
      <c r="H260" t="inlineStr">
        <is>
          <t>Blanket (page end)</t>
        </is>
      </c>
      <c r="L260" t="inlineStr">
        <is>
          <t>YES</t>
        </is>
      </c>
    </row>
    <row r="261" ht="15.75" customHeight="1" s="67">
      <c r="A261" t="inlineStr">
        <is>
          <t>BTC_ACCEL_RAMP_REQUIRE_POSITIVE</t>
        </is>
      </c>
      <c r="B261" t="inlineStr">
        <is>
          <t>0.0</t>
        </is>
      </c>
      <c r="D261" t="inlineStr">
        <is>
          <t>UNIVERSAL (ex-BTC) — ENTRY/EXIT/REENTRY</t>
        </is>
      </c>
      <c r="G261">
        <f>IFERROR(VLOOKUP($A262&amp;"_"&amp;$B262,Results_Deltas!$A$2:$P$15000,5,FALSE),"")</f>
        <v/>
      </c>
      <c r="H261" t="inlineStr">
        <is>
          <t>Blanket (page end)</t>
        </is>
      </c>
      <c r="L261" t="inlineStr">
        <is>
          <t>NO</t>
        </is>
      </c>
    </row>
    <row r="262" ht="15.75" customHeight="1" s="67">
      <c r="A262" t="inlineStr">
        <is>
          <t>BTC_ACCEL_RAMP_REQUIRE_POSITIVE</t>
        </is>
      </c>
      <c r="B262" t="inlineStr">
        <is>
          <t>0.0_ALT</t>
        </is>
      </c>
      <c r="D262" t="inlineStr">
        <is>
          <t>UNIVERSAL (ex-BTC) — ENTRY/EXIT/REENTRY</t>
        </is>
      </c>
      <c r="G262">
        <f>IFERROR(VLOOKUP($A263&amp;"_"&amp;$B263,Results_Deltas!$A$2:$P$15000,5,FALSE),"")</f>
        <v/>
      </c>
      <c r="H262" t="inlineStr">
        <is>
          <t>Blanket (page end)</t>
        </is>
      </c>
      <c r="L262" t="inlineStr">
        <is>
          <t>NO</t>
        </is>
      </c>
    </row>
    <row r="263" ht="15.75" customHeight="1" s="67">
      <c r="A263" t="inlineStr">
        <is>
          <t>BTC_HARD_BLOCK_OTHER_ACCOUNTS</t>
        </is>
      </c>
      <c r="B263" t="inlineStr">
        <is>
          <t>0.0</t>
        </is>
      </c>
      <c r="D263" t="inlineStr">
        <is>
          <t>UNIVERSAL (ex-BTC) — ENTRY/EXIT/REENTRY</t>
        </is>
      </c>
      <c r="G263">
        <f>IFERROR(VLOOKUP($A264&amp;"_"&amp;$B264,Results_Deltas!$A$2:$P$15000,5,FALSE),"")</f>
        <v/>
      </c>
      <c r="H263" t="inlineStr">
        <is>
          <t>Blanket (page end)</t>
        </is>
      </c>
      <c r="L263" t="inlineStr">
        <is>
          <t>NO</t>
        </is>
      </c>
    </row>
    <row r="264" ht="15.75" customHeight="1" s="67">
      <c r="A264" t="inlineStr">
        <is>
          <t>BTC_HARD_BLOCK_OTHER_ACCOUNTS</t>
        </is>
      </c>
      <c r="B264" t="inlineStr">
        <is>
          <t>0.0_ALT</t>
        </is>
      </c>
      <c r="D264" t="inlineStr">
        <is>
          <t>UNIVERSAL (ex-BTC) — ENTRY/EXIT/REENTRY</t>
        </is>
      </c>
      <c r="G264">
        <f>IFERROR(VLOOKUP($A265&amp;"_"&amp;$B265,Results_Deltas!$A$2:$P$15000,5,FALSE),"")</f>
        <v/>
      </c>
      <c r="H264" t="inlineStr">
        <is>
          <t>Blanket (page end)</t>
        </is>
      </c>
      <c r="L264" t="inlineStr">
        <is>
          <t>YES</t>
        </is>
      </c>
    </row>
    <row r="265" ht="15.75" customHeight="1" s="67">
      <c r="A265" t="inlineStr">
        <is>
          <t>BTC_ROUND_BANDS_EACH_SIDE</t>
        </is>
      </c>
      <c r="B265" t="inlineStr">
        <is>
          <t>0.0</t>
        </is>
      </c>
      <c r="D265" t="inlineStr">
        <is>
          <t>UNIVERSAL (ex-BTC) — ENTRY/EXIT/REENTRY</t>
        </is>
      </c>
      <c r="G265">
        <f>IFERROR(VLOOKUP($A266&amp;"_"&amp;$B266,Results_Deltas!$A$2:$P$15000,5,FALSE),"")</f>
        <v/>
      </c>
      <c r="H265" t="inlineStr">
        <is>
          <t>Blanket (page end)</t>
        </is>
      </c>
      <c r="L265" t="inlineStr">
        <is>
          <t>NO</t>
        </is>
      </c>
    </row>
    <row r="266" ht="15.75" customHeight="1" s="67">
      <c r="A266" t="inlineStr">
        <is>
          <t>BTC_ROUND_BANDS_EACH_SIDE</t>
        </is>
      </c>
      <c r="B266" t="inlineStr">
        <is>
          <t>0.0_ALT</t>
        </is>
      </c>
      <c r="D266" t="inlineStr">
        <is>
          <t>UNIVERSAL (ex-BTC) — ENTRY/EXIT/REENTRY</t>
        </is>
      </c>
      <c r="G266">
        <f>IFERROR(VLOOKUP($A267&amp;"_"&amp;$B267,Results_Deltas!$A$2:$P$15000,5,FALSE),"")</f>
        <v/>
      </c>
      <c r="H266" t="inlineStr">
        <is>
          <t>Blanket (page end)</t>
        </is>
      </c>
      <c r="L266" t="inlineStr">
        <is>
          <t>NO</t>
        </is>
      </c>
    </row>
    <row r="267" ht="15.75" customHeight="1" s="67">
      <c r="A267" t="inlineStr">
        <is>
          <t>COOLDOWN_LOCKS_FILTER_TF</t>
        </is>
      </c>
      <c r="B267" t="inlineStr">
        <is>
          <t>OFF</t>
        </is>
      </c>
      <c r="D267" t="inlineStr">
        <is>
          <t>GLOBAL_CHECK</t>
        </is>
      </c>
      <c r="G267">
        <f>IFERROR(VLOOKUP($A268&amp;"_"&amp;$B268,Results_Deltas!$A$2:$P$15000,5,FALSE),"")</f>
        <v/>
      </c>
      <c r="H267" t="inlineStr">
        <is>
          <t>Blanket (page end)</t>
        </is>
      </c>
      <c r="L267" t="inlineStr">
        <is>
          <t>NO</t>
        </is>
      </c>
    </row>
    <row r="268" ht="15.75" customHeight="1" s="67">
      <c r="A268" t="inlineStr">
        <is>
          <t>COOLDOWN_LOCKS_FILTER_TF</t>
        </is>
      </c>
      <c r="B268" t="inlineStr">
        <is>
          <t>D</t>
        </is>
      </c>
      <c r="D268" t="inlineStr">
        <is>
          <t>GLOBAL_CHECK</t>
        </is>
      </c>
      <c r="G268">
        <f>IFERROR(VLOOKUP($A269&amp;"_"&amp;$B269,Results_Deltas!$A$2:$P$15000,5,FALSE),"")</f>
        <v/>
      </c>
      <c r="H268" t="inlineStr">
        <is>
          <t>Blanket (page end)</t>
        </is>
      </c>
      <c r="L268" t="inlineStr">
        <is>
          <t>NO</t>
        </is>
      </c>
    </row>
    <row r="269" ht="15.75" customHeight="1" s="67">
      <c r="A269" t="inlineStr">
        <is>
          <t>COOLDOWN_LOCKS_FILTER_TF</t>
        </is>
      </c>
      <c r="B269" t="inlineStr">
        <is>
          <t>4h</t>
        </is>
      </c>
      <c r="D269" t="inlineStr">
        <is>
          <t>GLOBAL_CHECK</t>
        </is>
      </c>
      <c r="G269">
        <f>IFERROR(VLOOKUP($A270&amp;"_"&amp;$B270,Results_Deltas!$A$2:$P$15000,5,FALSE),"")</f>
        <v/>
      </c>
      <c r="H269" t="inlineStr">
        <is>
          <t>Blanket (page end)</t>
        </is>
      </c>
      <c r="L269" t="inlineStr">
        <is>
          <t>NO</t>
        </is>
      </c>
    </row>
    <row r="270" ht="15.75" customHeight="1" s="67">
      <c r="A270" t="inlineStr">
        <is>
          <t>COOLDOWN_LOCKS_FILTER_TF</t>
        </is>
      </c>
      <c r="B270" t="inlineStr">
        <is>
          <t>1h</t>
        </is>
      </c>
      <c r="D270" t="inlineStr">
        <is>
          <t>GLOBAL_CHECK</t>
        </is>
      </c>
      <c r="G270">
        <f>IFERROR(VLOOKUP($A271&amp;"_"&amp;$B271,Results_Deltas!$A$2:$P$15000,5,FALSE),"")</f>
        <v/>
      </c>
      <c r="H270" t="inlineStr">
        <is>
          <t>Blanket (page end)</t>
        </is>
      </c>
      <c r="L270" t="inlineStr">
        <is>
          <t>YES</t>
        </is>
      </c>
    </row>
    <row r="271" ht="15.75" customHeight="1" s="67">
      <c r="A271" t="inlineStr">
        <is>
          <t>COOLDOWN_LOCKS_FILTER_TF</t>
        </is>
      </c>
      <c r="B271" t="inlineStr">
        <is>
          <t>15m</t>
        </is>
      </c>
      <c r="D271" t="inlineStr">
        <is>
          <t>GLOBAL_CHECK</t>
        </is>
      </c>
      <c r="G271">
        <f>IFERROR(VLOOKUP($A272&amp;"_"&amp;$B272,Results_Deltas!$A$2:$P$15000,5,FALSE),"")</f>
        <v/>
      </c>
      <c r="H271" t="inlineStr">
        <is>
          <t>Blanket (page end)</t>
        </is>
      </c>
      <c r="L271" t="inlineStr">
        <is>
          <t>NO</t>
        </is>
      </c>
    </row>
    <row r="272" ht="15.75" customHeight="1" s="67">
      <c r="A272" t="inlineStr">
        <is>
          <t>CRYPTO_SPIKE_FADE_THRESHOLD_PCT</t>
        </is>
      </c>
      <c r="B272" t="n">
        <v>0</v>
      </c>
      <c r="D272" t="inlineStr">
        <is>
          <t>GLOBAL_CHECK, STOCKS_EXIT</t>
        </is>
      </c>
      <c r="G272">
        <f>IFERROR(VLOOKUP($A273&amp;"_"&amp;$B273,Results_Deltas!$A$2:$P$15000,5,FALSE),"")</f>
        <v/>
      </c>
      <c r="H272" t="inlineStr">
        <is>
          <t>Blanket (page end)</t>
        </is>
      </c>
      <c r="L272" t="inlineStr">
        <is>
          <t>NO</t>
        </is>
      </c>
    </row>
    <row r="273" ht="15.75" customHeight="1" s="67">
      <c r="A273" t="inlineStr">
        <is>
          <t>CRYPTO_SPIKE_FADE_THRESHOLD_PCT</t>
        </is>
      </c>
      <c r="B273" t="inlineStr">
        <is>
          <t>12.5</t>
        </is>
      </c>
      <c r="D273" t="inlineStr">
        <is>
          <t>GLOBAL_CHECK, STOCKS_EXIT</t>
        </is>
      </c>
      <c r="G273">
        <f>IFERROR(VLOOKUP($A274&amp;"_"&amp;$B274,Results_Deltas!$A$2:$P$15000,5,FALSE),"")</f>
        <v/>
      </c>
      <c r="H273" t="inlineStr">
        <is>
          <t>Blanket (page end)</t>
        </is>
      </c>
      <c r="L273" t="inlineStr">
        <is>
          <t>NO</t>
        </is>
      </c>
    </row>
    <row r="274" ht="15.75" customHeight="1" s="67">
      <c r="A274" t="inlineStr">
        <is>
          <t>CRYPTO_SPIKE_FADE_THRESHOLD_PCT</t>
        </is>
      </c>
      <c r="B274" t="inlineStr">
        <is>
          <t>7.5</t>
        </is>
      </c>
      <c r="D274" t="inlineStr">
        <is>
          <t>GLOBAL_CHECK, STOCKS_EXIT</t>
        </is>
      </c>
      <c r="G274">
        <f>IFERROR(VLOOKUP($A275&amp;"_"&amp;$B275,Results_Deltas!$A$2:$P$15000,5,FALSE),"")</f>
        <v/>
      </c>
      <c r="H274" t="inlineStr">
        <is>
          <t>Blanket (page end)</t>
        </is>
      </c>
      <c r="L274" t="inlineStr">
        <is>
          <t>NO</t>
        </is>
      </c>
    </row>
    <row r="275" ht="15.75" customHeight="1" s="67">
      <c r="A275" t="inlineStr">
        <is>
          <t>CRYPTO_SPIKE_FADE_THRESHOLD_PCT</t>
        </is>
      </c>
      <c r="B275" t="inlineStr">
        <is>
          <t>5</t>
        </is>
      </c>
      <c r="D275" t="inlineStr">
        <is>
          <t>GLOBAL_CHECK, STOCKS_EXIT</t>
        </is>
      </c>
      <c r="G275">
        <f>IFERROR(VLOOKUP($A276&amp;"_"&amp;$B276,Results_Deltas!$A$2:$P$15000,5,FALSE),"")</f>
        <v/>
      </c>
      <c r="H275" t="inlineStr">
        <is>
          <t>Blanket (page end)</t>
        </is>
      </c>
      <c r="L275" t="inlineStr">
        <is>
          <t>NO</t>
        </is>
      </c>
    </row>
    <row r="276" ht="15.75" customHeight="1" s="67">
      <c r="A276" t="inlineStr">
        <is>
          <t>DC_MOMENT_STRONG_THRESHOLD</t>
        </is>
      </c>
      <c r="B276" t="n">
        <v>0</v>
      </c>
      <c r="D276" t="inlineStr">
        <is>
          <t>ENTRY, GLOBAL_CHECK, STOCKS_EXIT</t>
        </is>
      </c>
      <c r="G276">
        <f>IFERROR(VLOOKUP($A277&amp;"_"&amp;$B277,Results_Deltas!$A$2:$P$15000,5,FALSE),"")</f>
        <v/>
      </c>
      <c r="H276" t="inlineStr">
        <is>
          <t>Blanket (page end)</t>
        </is>
      </c>
      <c r="L276" t="inlineStr">
        <is>
          <t>YES</t>
        </is>
      </c>
    </row>
    <row r="277" ht="15.75" customHeight="1" s="67">
      <c r="A277" t="inlineStr">
        <is>
          <t>DC_MOMENT_STRONG_THRESHOLD</t>
        </is>
      </c>
      <c r="B277" t="inlineStr">
        <is>
          <t>50</t>
        </is>
      </c>
      <c r="D277" t="inlineStr">
        <is>
          <t>ENTRY, GLOBAL_CHECK, STOCKS_EXIT</t>
        </is>
      </c>
      <c r="G277">
        <f>IFERROR(VLOOKUP($A278&amp;"_"&amp;$B278,Results_Deltas!$A$2:$P$15000,5,FALSE),"")</f>
        <v/>
      </c>
      <c r="H277" t="inlineStr">
        <is>
          <t>Blanket (page end)</t>
        </is>
      </c>
      <c r="L277" t="inlineStr">
        <is>
          <t>NO</t>
        </is>
      </c>
    </row>
    <row r="278" ht="15.75" customHeight="1" s="67">
      <c r="A278" t="inlineStr">
        <is>
          <t>DC_MOMENT_STRONG_THRESHOLD</t>
        </is>
      </c>
      <c r="B278" t="inlineStr">
        <is>
          <t>30</t>
        </is>
      </c>
      <c r="D278" t="inlineStr">
        <is>
          <t>ENTRY, GLOBAL_CHECK, STOCKS_EXIT</t>
        </is>
      </c>
      <c r="G278">
        <f>IFERROR(VLOOKUP($A279&amp;"_"&amp;$B279,Results_Deltas!$A$2:$P$15000,5,FALSE),"")</f>
        <v/>
      </c>
      <c r="H278" t="inlineStr">
        <is>
          <t>Blanket (page end)</t>
        </is>
      </c>
      <c r="L278" t="inlineStr">
        <is>
          <t>NO</t>
        </is>
      </c>
    </row>
    <row r="279" ht="15.75" customHeight="1" s="67">
      <c r="A279" t="inlineStr">
        <is>
          <t>DC_MOMENT_STRONG_THRESHOLD</t>
        </is>
      </c>
      <c r="B279" t="inlineStr">
        <is>
          <t>20</t>
        </is>
      </c>
      <c r="D279" t="inlineStr">
        <is>
          <t>ENTRY, GLOBAL_CHECK, STOCKS_EXIT</t>
        </is>
      </c>
      <c r="G279">
        <f>IFERROR(VLOOKUP($A280&amp;"_"&amp;$B280,Results_Deltas!$A$2:$P$15000,5,FALSE),"")</f>
        <v/>
      </c>
      <c r="H279" t="inlineStr">
        <is>
          <t>Blanket (page end)</t>
        </is>
      </c>
      <c r="L279" t="inlineStr">
        <is>
          <t>NO</t>
        </is>
      </c>
    </row>
    <row r="280" ht="15.75" customHeight="1" s="67">
      <c r="A280" t="inlineStr">
        <is>
          <t>DELTA_HTF_GATE</t>
        </is>
      </c>
      <c r="B280" t="inlineStr">
        <is>
          <t>4h</t>
        </is>
      </c>
      <c r="D280" t="inlineStr">
        <is>
          <t>ENTRY, GLOBAL_CHECK, STOCKS_EXIT</t>
        </is>
      </c>
      <c r="G280">
        <f>IFERROR(VLOOKUP($A281&amp;"_"&amp;$B281,Results_Deltas!$A$2:$P$15000,5,FALSE),"")</f>
        <v/>
      </c>
      <c r="H280" t="inlineStr">
        <is>
          <t>Blanket (page end)</t>
        </is>
      </c>
      <c r="L280" t="inlineStr">
        <is>
          <t>NO</t>
        </is>
      </c>
    </row>
    <row r="281" ht="15.75" customHeight="1" s="67">
      <c r="A281" t="inlineStr">
        <is>
          <t>DELTA_HTF_GATE</t>
        </is>
      </c>
      <c r="B281" t="inlineStr">
        <is>
          <t>4h_ALT</t>
        </is>
      </c>
      <c r="D281" t="inlineStr">
        <is>
          <t>ENTRY, GLOBAL_CHECK, STOCKS_EXIT</t>
        </is>
      </c>
      <c r="G281">
        <f>IFERROR(VLOOKUP($A282&amp;"_"&amp;$B282,Results_Deltas!$A$2:$P$15000,5,FALSE),"")</f>
        <v/>
      </c>
      <c r="H281" t="inlineStr">
        <is>
          <t>Blanket (page end)</t>
        </is>
      </c>
      <c r="L281" t="inlineStr">
        <is>
          <t>YES</t>
        </is>
      </c>
    </row>
    <row r="282" ht="15.75" customHeight="1" s="67">
      <c r="A282" t="inlineStr">
        <is>
          <t>DELTA_REENTRY_FILTER_ENABLED</t>
        </is>
      </c>
      <c r="B282" t="inlineStr">
        <is>
          <t>False</t>
        </is>
      </c>
      <c r="D282" t="inlineStr">
        <is>
          <t>ENTRY, GLOBAL_CHECK, STOCKS_EXIT</t>
        </is>
      </c>
      <c r="G282">
        <f>IFERROR(VLOOKUP($A283&amp;"_"&amp;$B283,Results_Deltas!$A$2:$P$15000,5,FALSE),"")</f>
        <v/>
      </c>
      <c r="H282" t="inlineStr">
        <is>
          <t>Blanket (page end)</t>
        </is>
      </c>
      <c r="L282" t="inlineStr">
        <is>
          <t>NO</t>
        </is>
      </c>
    </row>
    <row r="283" ht="15.75" customHeight="1" s="67">
      <c r="A283" t="inlineStr">
        <is>
          <t>DELTA_REENTRY_FILTER_ENABLED</t>
        </is>
      </c>
      <c r="B283" t="inlineStr">
        <is>
          <t>True</t>
        </is>
      </c>
      <c r="D283" t="inlineStr">
        <is>
          <t>ENTRY, GLOBAL_CHECK, STOCKS_EXIT</t>
        </is>
      </c>
      <c r="G283">
        <f>IFERROR(VLOOKUP($A284&amp;"_"&amp;$B284,Results_Deltas!$A$2:$P$15000,5,FALSE),"")</f>
        <v/>
      </c>
      <c r="H283" t="inlineStr">
        <is>
          <t>Blanket (page end)</t>
        </is>
      </c>
      <c r="L283" t="inlineStr">
        <is>
          <t>NO</t>
        </is>
      </c>
    </row>
    <row r="284" ht="15.75" customHeight="1" s="67">
      <c r="A284" t="inlineStr">
        <is>
          <t>DUP_GUARD_FILTER_TF</t>
        </is>
      </c>
      <c r="B284" t="inlineStr">
        <is>
          <t>OFF</t>
        </is>
      </c>
      <c r="D284" t="inlineStr">
        <is>
          <t>GLOBAL_CHECK</t>
        </is>
      </c>
      <c r="G284">
        <f>IFERROR(VLOOKUP($A285&amp;"_"&amp;$B285,Results_Deltas!$A$2:$P$15000,5,FALSE),"")</f>
        <v/>
      </c>
      <c r="H284" t="inlineStr">
        <is>
          <t>Blanket (page end)</t>
        </is>
      </c>
      <c r="L284" t="inlineStr">
        <is>
          <t>NO</t>
        </is>
      </c>
    </row>
    <row r="285" ht="15.75" customHeight="1" s="67">
      <c r="A285" t="inlineStr">
        <is>
          <t>DUP_GUARD_FILTER_TF</t>
        </is>
      </c>
      <c r="B285" t="inlineStr">
        <is>
          <t>D</t>
        </is>
      </c>
      <c r="D285" t="inlineStr">
        <is>
          <t>GLOBAL_CHECK</t>
        </is>
      </c>
      <c r="G285">
        <f>IFERROR(VLOOKUP($A286&amp;"_"&amp;$B286,Results_Deltas!$A$2:$P$15000,5,FALSE),"")</f>
        <v/>
      </c>
      <c r="H285" t="inlineStr">
        <is>
          <t>Blanket (page end)</t>
        </is>
      </c>
      <c r="L285" t="inlineStr">
        <is>
          <t>NO</t>
        </is>
      </c>
    </row>
    <row r="286" ht="15.75" customHeight="1" s="67">
      <c r="A286" t="inlineStr">
        <is>
          <t>DUP_GUARD_FILTER_TF</t>
        </is>
      </c>
      <c r="B286" t="inlineStr">
        <is>
          <t>4h</t>
        </is>
      </c>
      <c r="D286" t="inlineStr">
        <is>
          <t>GLOBAL_CHECK</t>
        </is>
      </c>
      <c r="G286">
        <f>IFERROR(VLOOKUP($A287&amp;"_"&amp;$B287,Results_Deltas!$A$2:$P$15000,5,FALSE),"")</f>
        <v/>
      </c>
      <c r="H286" t="inlineStr">
        <is>
          <t>Blanket (page end)</t>
        </is>
      </c>
      <c r="L286" t="inlineStr">
        <is>
          <t>NO</t>
        </is>
      </c>
    </row>
    <row r="287" ht="15.75" customHeight="1" s="67">
      <c r="A287" t="inlineStr">
        <is>
          <t>DUP_GUARD_FILTER_TF</t>
        </is>
      </c>
      <c r="B287" t="inlineStr">
        <is>
          <t>1h</t>
        </is>
      </c>
      <c r="D287" t="inlineStr">
        <is>
          <t>GLOBAL_CHECK</t>
        </is>
      </c>
      <c r="G287">
        <f>IFERROR(VLOOKUP($A288&amp;"_"&amp;$B288,Results_Deltas!$A$2:$P$15000,5,FALSE),"")</f>
        <v/>
      </c>
      <c r="H287" t="inlineStr">
        <is>
          <t>Blanket (page end)</t>
        </is>
      </c>
      <c r="L287" t="inlineStr">
        <is>
          <t>NO</t>
        </is>
      </c>
    </row>
    <row r="288" ht="15.75" customHeight="1" s="67">
      <c r="A288" t="inlineStr">
        <is>
          <t>DUP_GUARD_FILTER_TF</t>
        </is>
      </c>
      <c r="B288" t="inlineStr">
        <is>
          <t>15m</t>
        </is>
      </c>
      <c r="D288" t="inlineStr">
        <is>
          <t>GLOBAL_CHECK</t>
        </is>
      </c>
      <c r="G288">
        <f>IFERROR(VLOOKUP($A289&amp;"_"&amp;$B289,Results_Deltas!$A$2:$P$15000,5,FALSE),"")</f>
        <v/>
      </c>
      <c r="H288" t="inlineStr">
        <is>
          <t>Blanket (page end)</t>
        </is>
      </c>
      <c r="L288" t="inlineStr">
        <is>
          <t>NO</t>
        </is>
      </c>
    </row>
    <row r="289" ht="15.75" customHeight="1" s="67">
      <c r="A289" t="inlineStr">
        <is>
          <t>EMA_9_21_FILTER_MIN_TFS</t>
        </is>
      </c>
      <c r="B289" t="inlineStr">
        <is>
          <t>0</t>
        </is>
      </c>
      <c r="D289" t="inlineStr">
        <is>
          <t>GLOBAL_CHECK</t>
        </is>
      </c>
      <c r="G289">
        <f>IFERROR(VLOOKUP($A290&amp;"_"&amp;$B290,Results_Deltas!$A$2:$P$15000,5,FALSE),"")</f>
        <v/>
      </c>
      <c r="H289" t="inlineStr">
        <is>
          <t>Blanket (page end)</t>
        </is>
      </c>
      <c r="L289" t="inlineStr">
        <is>
          <t>YES</t>
        </is>
      </c>
    </row>
    <row r="290" ht="15.75" customHeight="1" s="67">
      <c r="A290" t="inlineStr">
        <is>
          <t>EMA_9_21_FILTER_MIN_TFS</t>
        </is>
      </c>
      <c r="B290" t="inlineStr">
        <is>
          <t>2</t>
        </is>
      </c>
      <c r="D290" t="inlineStr">
        <is>
          <t>GLOBAL_CHECK</t>
        </is>
      </c>
      <c r="G290">
        <f>IFERROR(VLOOKUP($A291&amp;"_"&amp;$B291,Results_Deltas!$A$2:$P$15000,5,FALSE),"")</f>
        <v/>
      </c>
      <c r="H290" t="inlineStr">
        <is>
          <t>Blanket (page end)</t>
        </is>
      </c>
      <c r="L290" t="inlineStr">
        <is>
          <t>NO</t>
        </is>
      </c>
    </row>
    <row r="291" ht="15.75" customHeight="1" s="67">
      <c r="A291" t="inlineStr">
        <is>
          <t>EMA_9_21_FILTER_MIN_TFS</t>
        </is>
      </c>
      <c r="B291" t="inlineStr">
        <is>
          <t>1</t>
        </is>
      </c>
      <c r="D291" t="inlineStr">
        <is>
          <t>GLOBAL_CHECK</t>
        </is>
      </c>
      <c r="G291">
        <f>IFERROR(VLOOKUP($A292&amp;"_"&amp;$B292,Results_Deltas!$A$2:$P$15000,5,FALSE),"")</f>
        <v/>
      </c>
      <c r="H291" t="inlineStr">
        <is>
          <t>Blanket (page end)</t>
        </is>
      </c>
      <c r="L291" t="inlineStr">
        <is>
          <t>NO</t>
        </is>
      </c>
    </row>
    <row r="292" ht="15.75" customHeight="1" s="67">
      <c r="A292" t="inlineStr">
        <is>
          <t>EMA_BLANKET_FILTER_ENABLED</t>
        </is>
      </c>
      <c r="B292" t="inlineStr">
        <is>
          <t>False</t>
        </is>
      </c>
      <c r="D292" t="inlineStr">
        <is>
          <t>GLOBAL_CHECK</t>
        </is>
      </c>
      <c r="G292">
        <f>IFERROR(VLOOKUP($A293&amp;"_"&amp;$B293,Results_Deltas!$A$2:$P$15000,5,FALSE),"")</f>
        <v/>
      </c>
      <c r="H292" t="inlineStr">
        <is>
          <t>Blanket (page end)</t>
        </is>
      </c>
      <c r="L292" t="inlineStr">
        <is>
          <t>NO</t>
        </is>
      </c>
    </row>
    <row r="293" ht="15.75" customHeight="1" s="67">
      <c r="A293" t="inlineStr">
        <is>
          <t>EMA_BLANKET_FILTER_ENABLED</t>
        </is>
      </c>
      <c r="B293" t="inlineStr">
        <is>
          <t>True</t>
        </is>
      </c>
      <c r="D293" t="inlineStr">
        <is>
          <t>GLOBAL_CHECK</t>
        </is>
      </c>
      <c r="G293">
        <f>IFERROR(VLOOKUP($A294&amp;"_"&amp;$B294,Results_Deltas!$A$2:$P$15000,5,FALSE),"")</f>
        <v/>
      </c>
      <c r="H293" t="inlineStr">
        <is>
          <t>Blanket (page end)</t>
        </is>
      </c>
      <c r="L293" t="inlineStr">
        <is>
          <t>YES</t>
        </is>
      </c>
    </row>
    <row r="294" ht="15.75" customHeight="1" s="67">
      <c r="A294" t="inlineStr">
        <is>
          <t>EMA_BLANKET_FILTER_MIN_TFS</t>
        </is>
      </c>
      <c r="B294" t="inlineStr">
        <is>
          <t>0</t>
        </is>
      </c>
      <c r="D294" t="inlineStr">
        <is>
          <t>GLOBAL_CHECK</t>
        </is>
      </c>
      <c r="G294">
        <f>IFERROR(VLOOKUP($A295&amp;"_"&amp;$B295,Results_Deltas!$A$2:$P$15000,5,FALSE),"")</f>
        <v/>
      </c>
      <c r="H294" t="inlineStr">
        <is>
          <t>Blanket (page end)</t>
        </is>
      </c>
      <c r="L294" t="inlineStr">
        <is>
          <t>NO</t>
        </is>
      </c>
    </row>
    <row r="295" ht="15.75" customHeight="1" s="67">
      <c r="A295" t="inlineStr">
        <is>
          <t>EMA_BLANKET_FILTER_MIN_TFS</t>
        </is>
      </c>
      <c r="B295" t="inlineStr">
        <is>
          <t>2</t>
        </is>
      </c>
      <c r="D295" t="inlineStr">
        <is>
          <t>GLOBAL_CHECK</t>
        </is>
      </c>
      <c r="G295">
        <f>IFERROR(VLOOKUP($A296&amp;"_"&amp;$B296,Results_Deltas!$A$2:$P$15000,5,FALSE),"")</f>
        <v/>
      </c>
      <c r="H295" t="inlineStr">
        <is>
          <t>Blanket (page end)</t>
        </is>
      </c>
      <c r="L295" t="inlineStr">
        <is>
          <t>NO</t>
        </is>
      </c>
    </row>
    <row r="296" ht="15.75" customHeight="1" s="67">
      <c r="A296" t="inlineStr">
        <is>
          <t>EMA_BLANKET_FILTER_MIN_TFS</t>
        </is>
      </c>
      <c r="B296" t="inlineStr">
        <is>
          <t>1</t>
        </is>
      </c>
      <c r="D296" t="inlineStr">
        <is>
          <t>GLOBAL_CHECK</t>
        </is>
      </c>
      <c r="G296">
        <f>IFERROR(VLOOKUP($A297&amp;"_"&amp;$B297,Results_Deltas!$A$2:$P$15000,5,FALSE),"")</f>
        <v/>
      </c>
      <c r="H296" t="inlineStr">
        <is>
          <t>Blanket (page end)</t>
        </is>
      </c>
      <c r="L296" t="inlineStr">
        <is>
          <t>NO</t>
        </is>
      </c>
    </row>
    <row r="297" ht="15.75" customHeight="1" s="67">
      <c r="A297" t="inlineStr">
        <is>
          <t>EXECUTE_NOW_SINGLE_GATE_ENFORCE</t>
        </is>
      </c>
      <c r="B297" t="inlineStr">
        <is>
          <t>0.0</t>
        </is>
      </c>
      <c r="D297" t="inlineStr">
        <is>
          <t>ENTRY, GLOBAL_CHECK, STOCKS_EXIT</t>
        </is>
      </c>
      <c r="G297">
        <f>IFERROR(VLOOKUP($A298&amp;"_"&amp;$B298,Results_Deltas!$A$2:$P$15000,5,FALSE),"")</f>
        <v/>
      </c>
      <c r="H297" t="inlineStr">
        <is>
          <t>Blanket (page end)</t>
        </is>
      </c>
      <c r="L297" t="inlineStr">
        <is>
          <t>NO</t>
        </is>
      </c>
    </row>
    <row r="298" ht="15.75" customHeight="1" s="67">
      <c r="A298" t="inlineStr">
        <is>
          <t>EXECUTE_NOW_SINGLE_GATE_ENFORCE</t>
        </is>
      </c>
      <c r="B298" t="inlineStr">
        <is>
          <t>0.0_ALT</t>
        </is>
      </c>
      <c r="D298" t="inlineStr">
        <is>
          <t>ENTRY, GLOBAL_CHECK, STOCKS_EXIT</t>
        </is>
      </c>
      <c r="G298">
        <f>IFERROR(VLOOKUP($A299&amp;"_"&amp;$B299,Results_Deltas!$A$2:$P$15000,5,FALSE),"")</f>
        <v/>
      </c>
      <c r="H298" t="inlineStr">
        <is>
          <t>Blanket (page end)</t>
        </is>
      </c>
      <c r="L298" t="inlineStr">
        <is>
          <t>NO</t>
        </is>
      </c>
    </row>
    <row r="299" ht="15.75" customHeight="1" s="67">
      <c r="A299" t="inlineStr">
        <is>
          <t>EZ_MANAGE_THROTTLER_RATE</t>
        </is>
      </c>
      <c r="B299" t="inlineStr">
        <is>
          <t>0.0</t>
        </is>
      </c>
      <c r="D299" t="inlineStr">
        <is>
          <t>GLOBAL_CHECK, STOCKS_EXIT</t>
        </is>
      </c>
      <c r="G299">
        <f>IFERROR(VLOOKUP($A300&amp;"_"&amp;$B300,Results_Deltas!$A$2:$P$15000,5,FALSE),"")</f>
        <v/>
      </c>
      <c r="H299" t="inlineStr">
        <is>
          <t>Blanket (page end)</t>
        </is>
      </c>
      <c r="L299" t="inlineStr">
        <is>
          <t>NO</t>
        </is>
      </c>
    </row>
    <row r="300" ht="15.75" customHeight="1" s="67">
      <c r="A300" t="inlineStr">
        <is>
          <t>EZ_MANAGE_THROTTLER_RATE</t>
        </is>
      </c>
      <c r="B300" t="inlineStr">
        <is>
          <t>0.0_ALT</t>
        </is>
      </c>
      <c r="D300" t="inlineStr">
        <is>
          <t>GLOBAL_CHECK, STOCKS_EXIT</t>
        </is>
      </c>
      <c r="G300">
        <f>IFERROR(VLOOKUP($A301&amp;"_"&amp;$B301,Results_Deltas!$A$2:$P$15000,5,FALSE),"")</f>
        <v/>
      </c>
      <c r="H300" t="inlineStr">
        <is>
          <t>Blanket (page end)</t>
        </is>
      </c>
      <c r="L300" t="inlineStr">
        <is>
          <t>NO</t>
        </is>
      </c>
    </row>
    <row r="301" ht="15.75" customHeight="1" s="67">
      <c r="A301" t="inlineStr">
        <is>
          <t>FG_FEAR_THRESHOLD</t>
        </is>
      </c>
      <c r="B301" t="n">
        <v>0</v>
      </c>
      <c r="D301" t="inlineStr">
        <is>
          <t>GLOBAL_CHECK, STOCKS_EXIT</t>
        </is>
      </c>
      <c r="G301">
        <f>IFERROR(VLOOKUP($A302&amp;"_"&amp;$B302,Results_Deltas!$A$2:$P$15000,5,FALSE),"")</f>
        <v/>
      </c>
      <c r="H301" t="inlineStr">
        <is>
          <t>Blanket (page end)</t>
        </is>
      </c>
      <c r="L301" t="inlineStr">
        <is>
          <t>YES</t>
        </is>
      </c>
    </row>
    <row r="302" ht="15.75" customHeight="1" s="67">
      <c r="A302" t="inlineStr">
        <is>
          <t>FG_FEAR_THRESHOLD</t>
        </is>
      </c>
      <c r="B302" t="inlineStr">
        <is>
          <t>31.25</t>
        </is>
      </c>
      <c r="D302" t="inlineStr">
        <is>
          <t>GLOBAL_CHECK, STOCKS_EXIT</t>
        </is>
      </c>
      <c r="G302">
        <f>IFERROR(VLOOKUP($A303&amp;"_"&amp;$B303,Results_Deltas!$A$2:$P$15000,5,FALSE),"")</f>
        <v/>
      </c>
      <c r="H302" t="inlineStr">
        <is>
          <t>Blanket (page end)</t>
        </is>
      </c>
      <c r="L302" t="inlineStr">
        <is>
          <t>NO</t>
        </is>
      </c>
    </row>
    <row r="303" ht="15.75" customHeight="1" s="67">
      <c r="A303" t="inlineStr">
        <is>
          <t>FG_FEAR_THRESHOLD</t>
        </is>
      </c>
      <c r="B303" t="inlineStr">
        <is>
          <t>18.75</t>
        </is>
      </c>
      <c r="D303" t="inlineStr">
        <is>
          <t>GLOBAL_CHECK, STOCKS_EXIT</t>
        </is>
      </c>
      <c r="G303">
        <f>IFERROR(VLOOKUP($A304&amp;"_"&amp;$B304,Results_Deltas!$A$2:$P$15000,5,FALSE),"")</f>
        <v/>
      </c>
      <c r="H303" t="inlineStr">
        <is>
          <t>Blanket (page end)</t>
        </is>
      </c>
      <c r="L303" t="inlineStr">
        <is>
          <t>NO</t>
        </is>
      </c>
    </row>
    <row r="304" ht="15.75" customHeight="1" s="67">
      <c r="A304" t="inlineStr">
        <is>
          <t>FG_FEAR_THRESHOLD</t>
        </is>
      </c>
      <c r="B304" t="inlineStr">
        <is>
          <t>12.5</t>
        </is>
      </c>
      <c r="D304" t="inlineStr">
        <is>
          <t>GLOBAL_CHECK, STOCKS_EXIT</t>
        </is>
      </c>
      <c r="G304">
        <f>IFERROR(VLOOKUP($A305&amp;"_"&amp;$B305,Results_Deltas!$A$2:$P$15000,5,FALSE),"")</f>
        <v/>
      </c>
      <c r="H304" t="inlineStr">
        <is>
          <t>Blanket (page end)</t>
        </is>
      </c>
      <c r="L304" t="inlineStr">
        <is>
          <t>NO</t>
        </is>
      </c>
    </row>
    <row r="305" ht="15.75" customHeight="1" s="67">
      <c r="A305" t="inlineStr">
        <is>
          <t>FG_GREED_THRESHOLD</t>
        </is>
      </c>
      <c r="B305" t="n">
        <v>0</v>
      </c>
      <c r="D305" t="inlineStr">
        <is>
          <t>GLOBAL_CHECK, STOCKS_EXIT</t>
        </is>
      </c>
      <c r="G305">
        <f>IFERROR(VLOOKUP($A306&amp;"_"&amp;$B306,Results_Deltas!$A$2:$P$15000,5,FALSE),"")</f>
        <v/>
      </c>
      <c r="H305" t="inlineStr">
        <is>
          <t>Blanket (page end)</t>
        </is>
      </c>
      <c r="L305" t="inlineStr">
        <is>
          <t>NO</t>
        </is>
      </c>
    </row>
    <row r="306" ht="15.75" customHeight="1" s="67">
      <c r="A306" t="inlineStr">
        <is>
          <t>FG_GREED_THRESHOLD</t>
        </is>
      </c>
      <c r="B306" t="inlineStr">
        <is>
          <t>93.75</t>
        </is>
      </c>
      <c r="D306" t="inlineStr">
        <is>
          <t>GLOBAL_CHECK, STOCKS_EXIT</t>
        </is>
      </c>
      <c r="G306">
        <f>IFERROR(VLOOKUP($A307&amp;"_"&amp;$B307,Results_Deltas!$A$2:$P$15000,5,FALSE),"")</f>
        <v/>
      </c>
      <c r="H306" t="inlineStr">
        <is>
          <t>Blanket (page end)</t>
        </is>
      </c>
      <c r="L306" t="inlineStr">
        <is>
          <t>NO</t>
        </is>
      </c>
    </row>
    <row r="307" ht="15.75" customHeight="1" s="67">
      <c r="A307" t="inlineStr">
        <is>
          <t>FG_GREED_THRESHOLD</t>
        </is>
      </c>
      <c r="B307" t="inlineStr">
        <is>
          <t>56.25</t>
        </is>
      </c>
      <c r="D307" t="inlineStr">
        <is>
          <t>GLOBAL_CHECK, STOCKS_EXIT</t>
        </is>
      </c>
      <c r="G307">
        <f>IFERROR(VLOOKUP($A308&amp;"_"&amp;$B308,Results_Deltas!$A$2:$P$15000,5,FALSE),"")</f>
        <v/>
      </c>
      <c r="H307" t="inlineStr">
        <is>
          <t>Blanket (page end)</t>
        </is>
      </c>
      <c r="L307" t="inlineStr">
        <is>
          <t>NO</t>
        </is>
      </c>
    </row>
    <row r="308" ht="15.75" customHeight="1" s="67">
      <c r="A308" t="inlineStr">
        <is>
          <t>FG_GREED_THRESHOLD</t>
        </is>
      </c>
      <c r="B308" t="inlineStr">
        <is>
          <t>37.5</t>
        </is>
      </c>
      <c r="D308" t="inlineStr">
        <is>
          <t>GLOBAL_CHECK, STOCKS_EXIT</t>
        </is>
      </c>
      <c r="G308">
        <f>IFERROR(VLOOKUP($A309&amp;"_"&amp;$B309,Results_Deltas!$A$2:$P$15000,5,FALSE),"")</f>
        <v/>
      </c>
      <c r="H308" t="inlineStr">
        <is>
          <t>Blanket (page end)</t>
        </is>
      </c>
      <c r="L308" t="inlineStr">
        <is>
          <t>NO</t>
        </is>
      </c>
    </row>
    <row r="309" ht="15.75" customHeight="1" s="67">
      <c r="A309" t="inlineStr">
        <is>
          <t>FUNDING_GATE_FILTER_TF</t>
        </is>
      </c>
      <c r="B309" t="inlineStr">
        <is>
          <t>OFF</t>
        </is>
      </c>
      <c r="D309" t="inlineStr">
        <is>
          <t>GLOBAL_CHECK</t>
        </is>
      </c>
      <c r="G309">
        <f>IFERROR(VLOOKUP($A310&amp;"_"&amp;$B310,Results_Deltas!$A$2:$P$15000,5,FALSE),"")</f>
        <v/>
      </c>
      <c r="H309" t="inlineStr">
        <is>
          <t>Blanket (page end)</t>
        </is>
      </c>
      <c r="L309" t="inlineStr">
        <is>
          <t>NO</t>
        </is>
      </c>
    </row>
    <row r="310" ht="15.75" customHeight="1" s="67">
      <c r="A310" t="inlineStr">
        <is>
          <t>FUNDING_GATE_FILTER_TF</t>
        </is>
      </c>
      <c r="B310" t="inlineStr">
        <is>
          <t>D</t>
        </is>
      </c>
      <c r="D310" t="inlineStr">
        <is>
          <t>GLOBAL_CHECK</t>
        </is>
      </c>
      <c r="G310">
        <f>IFERROR(VLOOKUP($A311&amp;"_"&amp;$B311,Results_Deltas!$A$2:$P$15000,5,FALSE),"")</f>
        <v/>
      </c>
      <c r="H310" t="inlineStr">
        <is>
          <t>Blanket (page end)</t>
        </is>
      </c>
      <c r="L310" t="inlineStr">
        <is>
          <t>NO</t>
        </is>
      </c>
    </row>
    <row r="311" ht="15.75" customHeight="1" s="67">
      <c r="A311" t="inlineStr">
        <is>
          <t>FUNDING_GATE_FILTER_TF</t>
        </is>
      </c>
      <c r="B311" t="inlineStr">
        <is>
          <t>4h</t>
        </is>
      </c>
      <c r="D311" t="inlineStr">
        <is>
          <t>GLOBAL_CHECK</t>
        </is>
      </c>
      <c r="G311">
        <f>IFERROR(VLOOKUP($A312&amp;"_"&amp;$B312,Results_Deltas!$A$2:$P$15000,5,FALSE),"")</f>
        <v/>
      </c>
      <c r="H311" t="inlineStr">
        <is>
          <t>Blanket (page end)</t>
        </is>
      </c>
      <c r="L311" t="inlineStr">
        <is>
          <t>NO</t>
        </is>
      </c>
    </row>
    <row r="312" ht="15.75" customHeight="1" s="67">
      <c r="A312" t="inlineStr">
        <is>
          <t>FUNDING_GATE_FILTER_TF</t>
        </is>
      </c>
      <c r="B312" t="inlineStr">
        <is>
          <t>1h</t>
        </is>
      </c>
      <c r="D312" t="inlineStr">
        <is>
          <t>GLOBAL_CHECK</t>
        </is>
      </c>
      <c r="G312">
        <f>IFERROR(VLOOKUP($A313&amp;"_"&amp;$B313,Results_Deltas!$A$2:$P$15000,5,FALSE),"")</f>
        <v/>
      </c>
      <c r="H312" t="inlineStr">
        <is>
          <t>Blanket (page end)</t>
        </is>
      </c>
      <c r="L312" t="inlineStr">
        <is>
          <t>NO</t>
        </is>
      </c>
    </row>
    <row r="313" ht="15.75" customHeight="1" s="67">
      <c r="A313" t="inlineStr">
        <is>
          <t>FUNDING_GATE_FILTER_TF</t>
        </is>
      </c>
      <c r="B313" t="inlineStr">
        <is>
          <t>15m</t>
        </is>
      </c>
      <c r="D313" t="inlineStr">
        <is>
          <t>GLOBAL_CHECK</t>
        </is>
      </c>
      <c r="G313">
        <f>IFERROR(VLOOKUP($A314&amp;"_"&amp;$B314,Results_Deltas!$A$2:$P$15000,5,FALSE),"")</f>
        <v/>
      </c>
      <c r="H313" t="inlineStr">
        <is>
          <t>Blanket (page end)</t>
        </is>
      </c>
      <c r="L313" t="inlineStr">
        <is>
          <t>NO</t>
        </is>
      </c>
    </row>
    <row r="314" ht="15.75" customHeight="1" s="67">
      <c r="A314" t="inlineStr">
        <is>
          <t>FUNDING_GATE_LONG_MAX</t>
        </is>
      </c>
      <c r="B314" t="inlineStr">
        <is>
          <t>0.0</t>
        </is>
      </c>
      <c r="D314" t="inlineStr">
        <is>
          <t>ENTRY, GLOBAL_CHECK, STOCKS_EXIT</t>
        </is>
      </c>
      <c r="G314">
        <f>IFERROR(VLOOKUP($A315&amp;"_"&amp;$B315,Results_Deltas!$A$2:$P$15000,5,FALSE),"")</f>
        <v/>
      </c>
      <c r="H314" t="inlineStr">
        <is>
          <t>Blanket (page end)</t>
        </is>
      </c>
      <c r="L314" t="inlineStr">
        <is>
          <t>NO</t>
        </is>
      </c>
    </row>
    <row r="315" ht="15.75" customHeight="1" s="67">
      <c r="A315" t="inlineStr">
        <is>
          <t>FUNDING_GATE_LONG_MAX</t>
        </is>
      </c>
      <c r="B315" t="inlineStr">
        <is>
          <t>0.0_ALT</t>
        </is>
      </c>
      <c r="D315" t="inlineStr">
        <is>
          <t>ENTRY, GLOBAL_CHECK, STOCKS_EXIT</t>
        </is>
      </c>
      <c r="G315">
        <f>IFERROR(VLOOKUP($A316&amp;"_"&amp;$B316,Results_Deltas!$A$2:$P$15000,5,FALSE),"")</f>
        <v/>
      </c>
      <c r="H315" t="inlineStr">
        <is>
          <t>Blanket (page end)</t>
        </is>
      </c>
      <c r="L315" t="inlineStr">
        <is>
          <t>YES</t>
        </is>
      </c>
    </row>
    <row r="316" ht="15.75" customHeight="1" s="67">
      <c r="A316" t="inlineStr">
        <is>
          <t>FUNDING_GATE_MTF_REQUIRED</t>
        </is>
      </c>
      <c r="B316" t="inlineStr">
        <is>
          <t>0.0</t>
        </is>
      </c>
      <c r="D316" t="inlineStr">
        <is>
          <t>ENTRY, GLOBAL_CHECK, STOCKS_EXIT</t>
        </is>
      </c>
      <c r="G316">
        <f>IFERROR(VLOOKUP($A317&amp;"_"&amp;$B317,Results_Deltas!$A$2:$P$15000,5,FALSE),"")</f>
        <v/>
      </c>
      <c r="H316" t="inlineStr">
        <is>
          <t>Blanket (page end)</t>
        </is>
      </c>
      <c r="L316" t="inlineStr">
        <is>
          <t>NO</t>
        </is>
      </c>
    </row>
    <row r="317" ht="15.75" customHeight="1" s="67">
      <c r="A317" t="inlineStr">
        <is>
          <t>FUNDING_GATE_MTF_REQUIRED</t>
        </is>
      </c>
      <c r="B317" t="inlineStr">
        <is>
          <t>0.0_ALT</t>
        </is>
      </c>
      <c r="D317" t="inlineStr">
        <is>
          <t>ENTRY, GLOBAL_CHECK, STOCKS_EXIT</t>
        </is>
      </c>
      <c r="G317">
        <f>IFERROR(VLOOKUP($A318&amp;"_"&amp;$B318,Results_Deltas!$A$2:$P$15000,5,FALSE),"")</f>
        <v/>
      </c>
      <c r="H317" t="inlineStr">
        <is>
          <t>Blanket (page end)</t>
        </is>
      </c>
      <c r="L317" t="inlineStr">
        <is>
          <t>NO</t>
        </is>
      </c>
    </row>
    <row r="318" ht="15.75" customHeight="1" s="67">
      <c r="A318" t="inlineStr">
        <is>
          <t>FUNDING_GATE_SHORT_MIN</t>
        </is>
      </c>
      <c r="B318" t="inlineStr">
        <is>
          <t>0.0</t>
        </is>
      </c>
      <c r="D318" t="inlineStr">
        <is>
          <t>ENTRY, GLOBAL_CHECK, STOCKS_EXIT</t>
        </is>
      </c>
      <c r="G318">
        <f>IFERROR(VLOOKUP($A319&amp;"_"&amp;$B319,Results_Deltas!$A$2:$P$15000,5,FALSE),"")</f>
        <v/>
      </c>
      <c r="H318" t="inlineStr">
        <is>
          <t>Blanket (page end)</t>
        </is>
      </c>
      <c r="L318" t="inlineStr">
        <is>
          <t>YES</t>
        </is>
      </c>
    </row>
    <row r="319" ht="15.75" customHeight="1" s="67">
      <c r="A319" t="inlineStr">
        <is>
          <t>FUNDING_GATE_SHORT_MIN</t>
        </is>
      </c>
      <c r="B319" t="inlineStr">
        <is>
          <t>0.0_ALT</t>
        </is>
      </c>
      <c r="D319" t="inlineStr">
        <is>
          <t>ENTRY, GLOBAL_CHECK, STOCKS_EXIT</t>
        </is>
      </c>
      <c r="G319">
        <f>IFERROR(VLOOKUP($A320&amp;"_"&amp;$B320,Results_Deltas!$A$2:$P$15000,5,FALSE),"")</f>
        <v/>
      </c>
      <c r="H319" t="inlineStr">
        <is>
          <t>Blanket (page end)</t>
        </is>
      </c>
      <c r="L319" t="inlineStr">
        <is>
          <t>NO</t>
        </is>
      </c>
    </row>
    <row r="320" ht="15.75" customHeight="1" s="67">
      <c r="A320" t="inlineStr">
        <is>
          <t>GOLDEN_RULE_BASE_USD</t>
        </is>
      </c>
      <c r="B320" t="inlineStr">
        <is>
          <t>0.0</t>
        </is>
      </c>
      <c r="D320" t="inlineStr">
        <is>
          <t>GLOBAL_CHECK, STOCKS_EXIT</t>
        </is>
      </c>
      <c r="G320">
        <f>IFERROR(VLOOKUP($A321&amp;"_"&amp;$B321,Results_Deltas!$A$2:$P$15000,5,FALSE),"")</f>
        <v/>
      </c>
      <c r="H320" t="inlineStr">
        <is>
          <t>Blanket (page end)</t>
        </is>
      </c>
      <c r="L320" t="inlineStr">
        <is>
          <t>YES</t>
        </is>
      </c>
    </row>
    <row r="321" ht="15.75" customHeight="1" s="67">
      <c r="A321" t="inlineStr">
        <is>
          <t>GOLDEN_RULE_BASE_USD</t>
        </is>
      </c>
      <c r="B321" t="inlineStr">
        <is>
          <t>0.0_ALT</t>
        </is>
      </c>
      <c r="D321" t="inlineStr">
        <is>
          <t>GLOBAL_CHECK, STOCKS_EXIT</t>
        </is>
      </c>
      <c r="G321">
        <f>IFERROR(VLOOKUP($A322&amp;"_"&amp;$B322,Results_Deltas!$A$2:$P$15000,5,FALSE),"")</f>
        <v/>
      </c>
      <c r="H321" t="inlineStr">
        <is>
          <t>Blanket (page end)</t>
        </is>
      </c>
      <c r="L321" t="inlineStr">
        <is>
          <t>NO</t>
        </is>
      </c>
    </row>
    <row r="322" ht="15.75" customHeight="1" s="67">
      <c r="A322" t="inlineStr">
        <is>
          <t>GR_FILTER_ALL_ENTRIES</t>
        </is>
      </c>
      <c r="B322" t="inlineStr">
        <is>
          <t>0.0</t>
        </is>
      </c>
      <c r="D322" t="inlineStr">
        <is>
          <t>GLOBAL_CHECK, STOCKS_EXIT</t>
        </is>
      </c>
      <c r="G322">
        <f>IFERROR(VLOOKUP($A323&amp;"_"&amp;$B323,Results_Deltas!$A$2:$P$15000,5,FALSE),"")</f>
        <v/>
      </c>
      <c r="H322" t="inlineStr">
        <is>
          <t>Blanket (page end)</t>
        </is>
      </c>
      <c r="L322" t="inlineStr">
        <is>
          <t>NO</t>
        </is>
      </c>
    </row>
    <row r="323" ht="15.75" customHeight="1" s="67">
      <c r="A323" t="inlineStr">
        <is>
          <t>GR_FILTER_ALL_ENTRIES</t>
        </is>
      </c>
      <c r="B323" t="inlineStr">
        <is>
          <t>0.0_ALT</t>
        </is>
      </c>
      <c r="D323" t="inlineStr">
        <is>
          <t>GLOBAL_CHECK, STOCKS_EXIT</t>
        </is>
      </c>
      <c r="G323">
        <f>IFERROR(VLOOKUP($A324&amp;"_"&amp;$B324,Results_Deltas!$A$2:$P$15000,5,FALSE),"")</f>
        <v/>
      </c>
      <c r="H323" t="inlineStr">
        <is>
          <t>Blanket (page end)</t>
        </is>
      </c>
      <c r="L323" t="inlineStr">
        <is>
          <t>NO</t>
        </is>
      </c>
    </row>
    <row r="324" ht="15.75" customHeight="1" s="67">
      <c r="A324" t="inlineStr">
        <is>
          <t>GR_FILTER_VEC_ENABLED</t>
        </is>
      </c>
      <c r="B324" t="inlineStr">
        <is>
          <t>False</t>
        </is>
      </c>
      <c r="D324" t="inlineStr">
        <is>
          <t>GLOBAL_CHECK</t>
        </is>
      </c>
      <c r="G324">
        <f>IFERROR(VLOOKUP($A325&amp;"_"&amp;$B325,Results_Deltas!$A$2:$P$15000,5,FALSE),"")</f>
        <v/>
      </c>
      <c r="H324" t="inlineStr">
        <is>
          <t>Blanket (page end)</t>
        </is>
      </c>
      <c r="L324" t="inlineStr">
        <is>
          <t>NO</t>
        </is>
      </c>
    </row>
    <row r="325" ht="15.75" customHeight="1" s="67">
      <c r="A325" t="inlineStr">
        <is>
          <t>GR_FILTER_VEC_ENABLED</t>
        </is>
      </c>
      <c r="B325" t="inlineStr">
        <is>
          <t>True</t>
        </is>
      </c>
      <c r="D325" t="inlineStr">
        <is>
          <t>GLOBAL_CHECK</t>
        </is>
      </c>
      <c r="G325">
        <f>IFERROR(VLOOKUP($A326&amp;"_"&amp;$B326,Results_Deltas!$A$2:$P$15000,5,FALSE),"")</f>
        <v/>
      </c>
      <c r="H325" t="inlineStr">
        <is>
          <t>Blanket (page end)</t>
        </is>
      </c>
      <c r="L325" t="inlineStr">
        <is>
          <t>YES</t>
        </is>
      </c>
    </row>
    <row r="326" ht="15.75" customHeight="1" s="67">
      <c r="A326" t="inlineStr">
        <is>
          <t>GR_FILTER_VEC_MIN_TFS</t>
        </is>
      </c>
      <c r="B326" t="inlineStr">
        <is>
          <t>0</t>
        </is>
      </c>
      <c r="D326" t="inlineStr">
        <is>
          <t>GLOBAL_CHECK</t>
        </is>
      </c>
      <c r="G326">
        <f>IFERROR(VLOOKUP($A327&amp;"_"&amp;$B327,Results_Deltas!$A$2:$P$15000,5,FALSE),"")</f>
        <v/>
      </c>
      <c r="H326" t="inlineStr">
        <is>
          <t>Blanket (page end)</t>
        </is>
      </c>
      <c r="L326" t="inlineStr">
        <is>
          <t>NO</t>
        </is>
      </c>
    </row>
    <row r="327" ht="15.75" customHeight="1" s="67">
      <c r="A327" t="inlineStr">
        <is>
          <t>GR_FILTER_VEC_MIN_TFS</t>
        </is>
      </c>
      <c r="B327" t="n">
        <v>0</v>
      </c>
      <c r="D327" t="inlineStr">
        <is>
          <t>GLOBAL_CHECK</t>
        </is>
      </c>
      <c r="G327">
        <f>IFERROR(VLOOKUP($A328&amp;"_"&amp;$B328,Results_Deltas!$A$2:$P$15000,5,FALSE),"")</f>
        <v/>
      </c>
      <c r="H327" t="inlineStr">
        <is>
          <t>Blanket (page end)</t>
        </is>
      </c>
      <c r="L327" t="inlineStr">
        <is>
          <t>NO</t>
        </is>
      </c>
    </row>
    <row r="328" ht="15.75" customHeight="1" s="67">
      <c r="A328" t="inlineStr">
        <is>
          <t>GR_FILTER_VEC_MIN_TFS</t>
        </is>
      </c>
      <c r="B328" t="inlineStr">
        <is>
          <t>1</t>
        </is>
      </c>
      <c r="D328" t="inlineStr">
        <is>
          <t>GLOBAL_CHECK</t>
        </is>
      </c>
      <c r="G328">
        <f>IFERROR(VLOOKUP($A329&amp;"_"&amp;$B329,Results_Deltas!$A$2:$P$15000,5,FALSE),"")</f>
        <v/>
      </c>
      <c r="H328" t="inlineStr">
        <is>
          <t>Blanket (page end)</t>
        </is>
      </c>
      <c r="L328" t="inlineStr">
        <is>
          <t>NO</t>
        </is>
      </c>
    </row>
    <row r="329" ht="15.75" customHeight="1" s="67">
      <c r="A329" t="inlineStr">
        <is>
          <t>HA_WICK_QUALITY_ENABLED</t>
        </is>
      </c>
      <c r="B329" t="inlineStr">
        <is>
          <t>False</t>
        </is>
      </c>
      <c r="D329" t="inlineStr">
        <is>
          <t>ENTRY, GLOBAL_CHECK, STOCKS_EXIT</t>
        </is>
      </c>
      <c r="G329">
        <f>IFERROR(VLOOKUP($A330&amp;"_"&amp;$B330,Results_Deltas!$A$2:$P$15000,5,FALSE),"")</f>
        <v/>
      </c>
      <c r="H329" t="inlineStr">
        <is>
          <t>Blanket (page end)</t>
        </is>
      </c>
      <c r="L329" t="inlineStr">
        <is>
          <t>NO</t>
        </is>
      </c>
    </row>
    <row r="330" ht="15.75" customHeight="1" s="67">
      <c r="A330" t="inlineStr">
        <is>
          <t>HA_WICK_QUALITY_ENABLED</t>
        </is>
      </c>
      <c r="B330" t="inlineStr">
        <is>
          <t>True</t>
        </is>
      </c>
      <c r="D330" t="inlineStr">
        <is>
          <t>ENTRY, GLOBAL_CHECK, STOCKS_EXIT</t>
        </is>
      </c>
      <c r="G330">
        <f>IFERROR(VLOOKUP($A331&amp;"_"&amp;$B331,Results_Deltas!$A$2:$P$15000,5,FALSE),"")</f>
        <v/>
      </c>
      <c r="H330" t="inlineStr">
        <is>
          <t>Blanket (page end)</t>
        </is>
      </c>
      <c r="L330" t="inlineStr">
        <is>
          <t>NO</t>
        </is>
      </c>
    </row>
    <row r="331" ht="15.75" customHeight="1" s="67">
      <c r="A331" t="inlineStr">
        <is>
          <t>HA_WICK_QUALITY_SCORE</t>
        </is>
      </c>
      <c r="B331" t="n">
        <v>0</v>
      </c>
      <c r="D331" t="inlineStr">
        <is>
          <t>ENTRY, GLOBAL_CHECK, STOCKS_EXIT</t>
        </is>
      </c>
      <c r="G331">
        <f>IFERROR(VLOOKUP($A332&amp;"_"&amp;$B332,Results_Deltas!$A$2:$P$15000,5,FALSE),"")</f>
        <v/>
      </c>
      <c r="H331" t="inlineStr">
        <is>
          <t>Blanket (page end)</t>
        </is>
      </c>
      <c r="L331" t="inlineStr">
        <is>
          <t>NO</t>
        </is>
      </c>
    </row>
    <row r="332" ht="15.75" customHeight="1" s="67">
      <c r="A332" t="inlineStr">
        <is>
          <t>HA_WICK_QUALITY_SCORE</t>
        </is>
      </c>
      <c r="B332" t="inlineStr">
        <is>
          <t>15_ALT</t>
        </is>
      </c>
      <c r="D332" t="inlineStr">
        <is>
          <t>ENTRY, GLOBAL_CHECK, STOCKS_EXIT</t>
        </is>
      </c>
      <c r="G332">
        <f>IFERROR(VLOOKUP($A333&amp;"_"&amp;$B333,Results_Deltas!$A$2:$P$15000,5,FALSE),"")</f>
        <v/>
      </c>
      <c r="H332" t="inlineStr">
        <is>
          <t>Blanket (page end)</t>
        </is>
      </c>
      <c r="L332" t="inlineStr">
        <is>
          <t>YES</t>
        </is>
      </c>
    </row>
    <row r="333" ht="15.75" customHeight="1" s="67">
      <c r="A333" t="inlineStr">
        <is>
          <t>HA_WICK_QUALITY_TF</t>
        </is>
      </c>
      <c r="B333" t="inlineStr">
        <is>
          <t>OFF</t>
        </is>
      </c>
      <c r="D333" t="inlineStr">
        <is>
          <t>ENTRY, GLOBAL_CHECK, STOCKS_EXIT</t>
        </is>
      </c>
      <c r="G333">
        <f>IFERROR(VLOOKUP($A334&amp;"_"&amp;$B334,Results_Deltas!$A$2:$P$15000,5,FALSE),"")</f>
        <v/>
      </c>
      <c r="H333" t="inlineStr">
        <is>
          <t>Blanket (page end)</t>
        </is>
      </c>
      <c r="L333" t="inlineStr">
        <is>
          <t>NO</t>
        </is>
      </c>
    </row>
    <row r="334" ht="15.75" customHeight="1" s="67">
      <c r="A334" t="inlineStr">
        <is>
          <t>HA_WICK_QUALITY_TF</t>
        </is>
      </c>
      <c r="B334" t="inlineStr">
        <is>
          <t>D</t>
        </is>
      </c>
      <c r="D334" t="inlineStr">
        <is>
          <t>ENTRY, GLOBAL_CHECK, STOCKS_EXIT</t>
        </is>
      </c>
      <c r="G334">
        <f>IFERROR(VLOOKUP($A335&amp;"_"&amp;$B335,Results_Deltas!$A$2:$P$15000,5,FALSE),"")</f>
        <v/>
      </c>
      <c r="H334" t="inlineStr">
        <is>
          <t>Blanket (page end)</t>
        </is>
      </c>
      <c r="L334" t="inlineStr">
        <is>
          <t>NO</t>
        </is>
      </c>
    </row>
    <row r="335" ht="15.75" customHeight="1" s="67">
      <c r="A335" t="inlineStr">
        <is>
          <t>HA_WICK_QUALITY_TF</t>
        </is>
      </c>
      <c r="B335" t="inlineStr">
        <is>
          <t>4h</t>
        </is>
      </c>
      <c r="D335" t="inlineStr">
        <is>
          <t>ENTRY, GLOBAL_CHECK, STOCKS_EXIT</t>
        </is>
      </c>
      <c r="G335">
        <f>IFERROR(VLOOKUP($A336&amp;"_"&amp;$B336,Results_Deltas!$A$2:$P$15000,5,FALSE),"")</f>
        <v/>
      </c>
      <c r="H335" t="inlineStr">
        <is>
          <t>Blanket (page end)</t>
        </is>
      </c>
      <c r="L335" t="inlineStr">
        <is>
          <t>NO</t>
        </is>
      </c>
    </row>
    <row r="336" ht="15.75" customHeight="1" s="67">
      <c r="A336" t="inlineStr">
        <is>
          <t>HA_WICK_QUALITY_TF</t>
        </is>
      </c>
      <c r="B336" t="inlineStr">
        <is>
          <t>15m</t>
        </is>
      </c>
      <c r="D336" t="inlineStr">
        <is>
          <t>ENTRY, GLOBAL_CHECK, STOCKS_EXIT</t>
        </is>
      </c>
      <c r="G336">
        <f>IFERROR(VLOOKUP($A337&amp;"_"&amp;$B337,Results_Deltas!$A$2:$P$15000,5,FALSE),"")</f>
        <v/>
      </c>
      <c r="H336" t="inlineStr">
        <is>
          <t>Blanket (page end)</t>
        </is>
      </c>
      <c r="L336" t="inlineStr">
        <is>
          <t>YES</t>
        </is>
      </c>
    </row>
    <row r="337" ht="15.75" customHeight="1" s="67">
      <c r="A337" t="inlineStr">
        <is>
          <t>HA_WICK_QUALITY_TF</t>
        </is>
      </c>
      <c r="B337" t="inlineStr">
        <is>
          <t>15m</t>
        </is>
      </c>
      <c r="D337" t="inlineStr">
        <is>
          <t>ENTRY, GLOBAL_CHECK, STOCKS_EXIT</t>
        </is>
      </c>
      <c r="G337">
        <f>IFERROR(VLOOKUP($A338&amp;"_"&amp;$B338,Results_Deltas!$A$2:$P$15000,5,FALSE),"")</f>
        <v/>
      </c>
      <c r="H337" t="inlineStr">
        <is>
          <t>Blanket (page end)</t>
        </is>
      </c>
      <c r="L337" t="inlineStr">
        <is>
          <t>NO</t>
        </is>
      </c>
    </row>
    <row r="338" ht="15.75" customHeight="1" s="67">
      <c r="A338" t="inlineStr">
        <is>
          <t>HLR_SMA_BAND_PCT</t>
        </is>
      </c>
      <c r="B338" t="inlineStr">
        <is>
          <t>0</t>
        </is>
      </c>
      <c r="D338" t="inlineStr">
        <is>
          <t>ENTRY, GLOBAL_CHECK, STOCKS_EXIT</t>
        </is>
      </c>
      <c r="G338">
        <f>IFERROR(VLOOKUP($A339&amp;"_"&amp;$B339,Results_Deltas!$A$2:$P$15000,5,FALSE),"")</f>
        <v/>
      </c>
      <c r="H338" t="inlineStr">
        <is>
          <t>Blanket (page end)</t>
        </is>
      </c>
      <c r="L338" t="inlineStr">
        <is>
          <t>NO</t>
        </is>
      </c>
    </row>
    <row r="339" ht="15.75" customHeight="1" s="67">
      <c r="A339" t="inlineStr">
        <is>
          <t>HLR_SMA_BAND_PCT</t>
        </is>
      </c>
      <c r="B339" t="inlineStr">
        <is>
          <t>2.0</t>
        </is>
      </c>
      <c r="D339" t="inlineStr">
        <is>
          <t>ENTRY, GLOBAL_CHECK, STOCKS_EXIT</t>
        </is>
      </c>
      <c r="G339">
        <f>IFERROR(VLOOKUP($A340&amp;"_"&amp;$B340,Results_Deltas!$A$2:$P$15000,5,FALSE),"")</f>
        <v/>
      </c>
      <c r="H339" t="inlineStr">
        <is>
          <t>Blanket (page end)</t>
        </is>
      </c>
      <c r="L339" t="inlineStr">
        <is>
          <t>NO</t>
        </is>
      </c>
    </row>
    <row r="340" ht="15.75" customHeight="1" s="67">
      <c r="A340" t="inlineStr">
        <is>
          <t>HLR_SMA_BAND_PCT</t>
        </is>
      </c>
      <c r="B340" t="inlineStr">
        <is>
          <t>1.0</t>
        </is>
      </c>
      <c r="D340" t="inlineStr">
        <is>
          <t>ENTRY, GLOBAL_CHECK, STOCKS_EXIT</t>
        </is>
      </c>
      <c r="G340">
        <f>IFERROR(VLOOKUP($A341&amp;"_"&amp;$B341,Results_Deltas!$A$2:$P$15000,5,FALSE),"")</f>
        <v/>
      </c>
      <c r="H340" t="inlineStr">
        <is>
          <t>Blanket (page end)</t>
        </is>
      </c>
      <c r="L340" t="inlineStr">
        <is>
          <t>NO</t>
        </is>
      </c>
    </row>
    <row r="341" ht="15.75" customHeight="1" s="67">
      <c r="A341" t="inlineStr">
        <is>
          <t>HLR_SMA_BAND_PCT</t>
        </is>
      </c>
      <c r="B341" t="inlineStr">
        <is>
          <t>0.5</t>
        </is>
      </c>
      <c r="D341" t="inlineStr">
        <is>
          <t>ENTRY, GLOBAL_CHECK, STOCKS_EXIT</t>
        </is>
      </c>
      <c r="G341">
        <f>IFERROR(VLOOKUP($A342&amp;"_"&amp;$B342,Results_Deltas!$A$2:$P$15000,5,FALSE),"")</f>
        <v/>
      </c>
      <c r="H341" t="inlineStr">
        <is>
          <t>Blanket (page end)</t>
        </is>
      </c>
      <c r="L341" t="inlineStr">
        <is>
          <t>NO</t>
        </is>
      </c>
    </row>
    <row r="342" ht="15.75" customHeight="1" s="67">
      <c r="A342" t="inlineStr">
        <is>
          <t>HLR_TOP_MIN_TFS</t>
        </is>
      </c>
      <c r="B342" t="inlineStr">
        <is>
          <t>0</t>
        </is>
      </c>
      <c r="D342" t="inlineStr">
        <is>
          <t>GLOBAL_CHECK, REENTRY, STOCKS_EXIT</t>
        </is>
      </c>
      <c r="G342">
        <f>IFERROR(VLOOKUP($A343&amp;"_"&amp;$B343,Results_Deltas!$A$2:$P$15000,5,FALSE),"")</f>
        <v/>
      </c>
      <c r="H342" t="inlineStr">
        <is>
          <t>Blanket (page end)</t>
        </is>
      </c>
      <c r="L342" t="inlineStr">
        <is>
          <t>NO</t>
        </is>
      </c>
    </row>
    <row r="343" ht="15.75" customHeight="1" s="67">
      <c r="A343" t="inlineStr">
        <is>
          <t>HLR_TOP_MIN_TFS</t>
        </is>
      </c>
      <c r="B343" t="n">
        <v>0</v>
      </c>
      <c r="D343" t="inlineStr">
        <is>
          <t>GLOBAL_CHECK, REENTRY, STOCKS_EXIT</t>
        </is>
      </c>
      <c r="G343">
        <f>IFERROR(VLOOKUP($A344&amp;"_"&amp;$B344,Results_Deltas!$A$2:$P$15000,5,FALSE),"")</f>
        <v/>
      </c>
      <c r="H343" t="inlineStr">
        <is>
          <t>Blanket (page end)</t>
        </is>
      </c>
      <c r="L343" t="inlineStr">
        <is>
          <t>NO</t>
        </is>
      </c>
    </row>
    <row r="344" ht="15.75" customHeight="1" s="67">
      <c r="A344" t="inlineStr">
        <is>
          <t>HLR_TOP_MIN_TFS</t>
        </is>
      </c>
      <c r="B344" t="inlineStr">
        <is>
          <t>1</t>
        </is>
      </c>
      <c r="D344" t="inlineStr">
        <is>
          <t>GLOBAL_CHECK, REENTRY, STOCKS_EXIT</t>
        </is>
      </c>
      <c r="G344">
        <f>IFERROR(VLOOKUP($A345&amp;"_"&amp;$B345,Results_Deltas!$A$2:$P$15000,5,FALSE),"")</f>
        <v/>
      </c>
      <c r="H344" t="inlineStr">
        <is>
          <t>Blanket (page end)</t>
        </is>
      </c>
      <c r="L344" t="inlineStr">
        <is>
          <t>NO</t>
        </is>
      </c>
    </row>
    <row r="345" ht="15.75" customHeight="1" s="67">
      <c r="A345" t="inlineStr">
        <is>
          <t>HTF4_CONF</t>
        </is>
      </c>
      <c r="B345" t="inlineStr">
        <is>
          <t>False</t>
        </is>
      </c>
      <c r="D345" t="inlineStr">
        <is>
          <t>GLOBAL_CHECK, STOCKS_EXIT</t>
        </is>
      </c>
      <c r="G345">
        <f>IFERROR(VLOOKUP($A346&amp;"_"&amp;$B346,Results_Deltas!$A$2:$P$15000,5,FALSE),"")</f>
        <v/>
      </c>
      <c r="H345" t="inlineStr">
        <is>
          <t>Blanket (page end)</t>
        </is>
      </c>
      <c r="L345" t="inlineStr">
        <is>
          <t>YES</t>
        </is>
      </c>
    </row>
    <row r="346" ht="15.75" customHeight="1" s="67">
      <c r="A346" t="inlineStr">
        <is>
          <t>HTF4_CONF</t>
        </is>
      </c>
      <c r="B346" t="inlineStr">
        <is>
          <t>False_ALT</t>
        </is>
      </c>
      <c r="D346" t="inlineStr">
        <is>
          <t>GLOBAL_CHECK, STOCKS_EXIT</t>
        </is>
      </c>
      <c r="G346">
        <f>IFERROR(VLOOKUP($A347&amp;"_"&amp;$B347,Results_Deltas!$A$2:$P$15000,5,FALSE),"")</f>
        <v/>
      </c>
      <c r="H346" t="inlineStr">
        <is>
          <t>Blanket (page end)</t>
        </is>
      </c>
      <c r="L346" t="inlineStr">
        <is>
          <t>NO</t>
        </is>
      </c>
    </row>
    <row r="347" ht="15.75" customHeight="1" s="67">
      <c r="A347" t="inlineStr">
        <is>
          <t>HTF_DIRECTION_GATE_ENABLED</t>
        </is>
      </c>
      <c r="B347" t="inlineStr">
        <is>
          <t>False</t>
        </is>
      </c>
      <c r="D347" t="inlineStr">
        <is>
          <t>ENTRY, GLOBAL_CHECK, STOCKS_EXIT</t>
        </is>
      </c>
      <c r="G347">
        <f>IFERROR(VLOOKUP($A348&amp;"_"&amp;$B348,Results_Deltas!$A$2:$P$15000,5,FALSE),"")</f>
        <v/>
      </c>
      <c r="H347" t="inlineStr">
        <is>
          <t>Blanket (page end)</t>
        </is>
      </c>
      <c r="L347" t="inlineStr">
        <is>
          <t>NO</t>
        </is>
      </c>
    </row>
    <row r="348" ht="15.75" customHeight="1" s="67">
      <c r="A348" t="inlineStr">
        <is>
          <t>HTF_DIRECTION_GATE_ENABLED</t>
        </is>
      </c>
      <c r="B348" t="inlineStr">
        <is>
          <t>True</t>
        </is>
      </c>
      <c r="D348" t="inlineStr">
        <is>
          <t>ENTRY, GLOBAL_CHECK, STOCKS_EXIT</t>
        </is>
      </c>
      <c r="G348">
        <f>IFERROR(VLOOKUP($A349&amp;"_"&amp;$B349,Results_Deltas!$A$2:$P$15000,5,FALSE),"")</f>
        <v/>
      </c>
      <c r="H348" t="inlineStr">
        <is>
          <t>Blanket (page end)</t>
        </is>
      </c>
      <c r="L348" t="inlineStr">
        <is>
          <t>NO</t>
        </is>
      </c>
    </row>
    <row r="349" ht="15.75" customHeight="1" s="67">
      <c r="A349" t="inlineStr">
        <is>
          <t>HTF_GATE_BYPASS_RZ</t>
        </is>
      </c>
      <c r="B349" t="inlineStr">
        <is>
          <t>0.0</t>
        </is>
      </c>
      <c r="D349" t="inlineStr">
        <is>
          <t>ENTRY, GLOBAL_CHECK, STOCKS_EXIT</t>
        </is>
      </c>
      <c r="G349">
        <f>IFERROR(VLOOKUP($A350&amp;"_"&amp;$B350,Results_Deltas!$A$2:$P$15000,5,FALSE),"")</f>
        <v/>
      </c>
      <c r="H349" t="inlineStr">
        <is>
          <t>Blanket (page end)</t>
        </is>
      </c>
      <c r="L349" t="inlineStr">
        <is>
          <t>NO</t>
        </is>
      </c>
    </row>
    <row r="350" ht="15.75" customHeight="1" s="67">
      <c r="A350" t="inlineStr">
        <is>
          <t>HTF_GATE_BYPASS_RZ</t>
        </is>
      </c>
      <c r="B350" t="inlineStr">
        <is>
          <t>0.0_ALT</t>
        </is>
      </c>
      <c r="D350" t="inlineStr">
        <is>
          <t>ENTRY, GLOBAL_CHECK, STOCKS_EXIT</t>
        </is>
      </c>
      <c r="G350">
        <f>IFERROR(VLOOKUP($A351&amp;"_"&amp;$B351,Results_Deltas!$A$2:$P$15000,5,FALSE),"")</f>
        <v/>
      </c>
      <c r="H350" t="inlineStr">
        <is>
          <t>Blanket (page end)</t>
        </is>
      </c>
      <c r="L350" t="inlineStr">
        <is>
          <t>YES</t>
        </is>
      </c>
    </row>
    <row r="351" ht="15.75" customHeight="1" s="67">
      <c r="A351" t="inlineStr">
        <is>
          <t>HTF_GATE_D_MANDATORY</t>
        </is>
      </c>
      <c r="B351" t="inlineStr">
        <is>
          <t>0.0</t>
        </is>
      </c>
      <c r="D351" t="inlineStr">
        <is>
          <t>ENTRY, GLOBAL_CHECK, STOCKS_EXIT</t>
        </is>
      </c>
      <c r="G351">
        <f>IFERROR(VLOOKUP($A352&amp;"_"&amp;$B352,Results_Deltas!$A$2:$P$15000,5,FALSE),"")</f>
        <v/>
      </c>
      <c r="H351" t="inlineStr">
        <is>
          <t>Blanket (page end)</t>
        </is>
      </c>
      <c r="L351" t="inlineStr">
        <is>
          <t>NO</t>
        </is>
      </c>
    </row>
    <row r="352" ht="15.75" customHeight="1" s="67">
      <c r="A352" t="inlineStr">
        <is>
          <t>HTF_GATE_D_MANDATORY</t>
        </is>
      </c>
      <c r="B352" t="inlineStr">
        <is>
          <t>0.0_ALT</t>
        </is>
      </c>
      <c r="D352" t="inlineStr">
        <is>
          <t>ENTRY, GLOBAL_CHECK, STOCKS_EXIT</t>
        </is>
      </c>
      <c r="G352">
        <f>IFERROR(VLOOKUP($A353&amp;"_"&amp;$B353,Results_Deltas!$A$2:$P$15000,5,FALSE),"")</f>
        <v/>
      </c>
      <c r="H352" t="inlineStr">
        <is>
          <t>Blanket (page end)</t>
        </is>
      </c>
      <c r="L352" t="inlineStr">
        <is>
          <t>YES</t>
        </is>
      </c>
    </row>
    <row r="353" ht="15.75" customHeight="1" s="67">
      <c r="A353" t="inlineStr">
        <is>
          <t>HTF_GATE_MIN_CONFIRMATIONS</t>
        </is>
      </c>
      <c r="B353" t="inlineStr">
        <is>
          <t>0.0</t>
        </is>
      </c>
      <c r="D353" t="inlineStr">
        <is>
          <t>ENTRY, GLOBAL_CHECK, STOCKS_EXIT</t>
        </is>
      </c>
      <c r="G353">
        <f>IFERROR(VLOOKUP($A354&amp;"_"&amp;$B354,Results_Deltas!$A$2:$P$15000,5,FALSE),"")</f>
        <v/>
      </c>
      <c r="H353" t="inlineStr">
        <is>
          <t>Blanket (page end)</t>
        </is>
      </c>
      <c r="L353" t="inlineStr">
        <is>
          <t>NO</t>
        </is>
      </c>
    </row>
    <row r="354" ht="15.75" customHeight="1" s="67">
      <c r="A354" t="inlineStr">
        <is>
          <t>HTF_GATE_MIN_CONFIRMATIONS</t>
        </is>
      </c>
      <c r="B354" t="inlineStr">
        <is>
          <t>0.0_ALT</t>
        </is>
      </c>
      <c r="D354" t="inlineStr">
        <is>
          <t>ENTRY, GLOBAL_CHECK, STOCKS_EXIT</t>
        </is>
      </c>
      <c r="G354">
        <f>IFERROR(VLOOKUP($A355&amp;"_"&amp;$B355,Results_Deltas!$A$2:$P$15000,5,FALSE),"")</f>
        <v/>
      </c>
      <c r="H354" t="inlineStr">
        <is>
          <t>Blanket (page end)</t>
        </is>
      </c>
      <c r="L354" t="inlineStr">
        <is>
          <t>YES</t>
        </is>
      </c>
    </row>
    <row r="355" ht="15.75" customHeight="1" s="67">
      <c r="A355" t="inlineStr">
        <is>
          <t>HTF_TREND_VETO_BYPASS_ENABLED</t>
        </is>
      </c>
      <c r="B355" t="inlineStr">
        <is>
          <t>False</t>
        </is>
      </c>
      <c r="D355" t="inlineStr">
        <is>
          <t>GLOBAL_CHECK, STOCKS_EXIT</t>
        </is>
      </c>
      <c r="G355">
        <f>IFERROR(VLOOKUP($A356&amp;"_"&amp;$B356,Results_Deltas!$A$2:$P$15000,5,FALSE),"")</f>
        <v/>
      </c>
      <c r="H355" t="inlineStr">
        <is>
          <t>Blanket (page end)</t>
        </is>
      </c>
      <c r="L355" t="inlineStr">
        <is>
          <t>NO</t>
        </is>
      </c>
    </row>
    <row r="356" ht="15.75" customHeight="1" s="67">
      <c r="A356" t="inlineStr">
        <is>
          <t>HTF_TREND_VETO_BYPASS_ENABLED</t>
        </is>
      </c>
      <c r="B356" t="b">
        <v>0</v>
      </c>
      <c r="D356" t="inlineStr">
        <is>
          <t>GLOBAL_CHECK, STOCKS_EXIT</t>
        </is>
      </c>
      <c r="G356">
        <f>IFERROR(VLOOKUP($A357&amp;"_"&amp;$B357,Results_Deltas!$A$2:$P$15000,5,FALSE),"")</f>
        <v/>
      </c>
      <c r="H356" t="inlineStr">
        <is>
          <t>Blanket (page end)</t>
        </is>
      </c>
      <c r="L356" t="inlineStr">
        <is>
          <t>YES</t>
        </is>
      </c>
    </row>
    <row r="357" ht="15.75" customHeight="1" s="67">
      <c r="A357" t="inlineStr">
        <is>
          <t>HTF_TREND_VETO_BYPASS_REASONS</t>
        </is>
      </c>
      <c r="B357" t="inlineStr">
        <is>
          <t>0.0</t>
        </is>
      </c>
      <c r="D357" t="inlineStr">
        <is>
          <t>GLOBAL_CHECK, STOCKS_EXIT</t>
        </is>
      </c>
      <c r="G357">
        <f>IFERROR(VLOOKUP($A358&amp;"_"&amp;$B358,Results_Deltas!$A$2:$P$15000,5,FALSE),"")</f>
        <v/>
      </c>
      <c r="H357" t="inlineStr">
        <is>
          <t>Blanket (page end)</t>
        </is>
      </c>
      <c r="L357" t="inlineStr">
        <is>
          <t>NO</t>
        </is>
      </c>
    </row>
    <row r="358" ht="15.75" customHeight="1" s="67">
      <c r="A358" t="inlineStr">
        <is>
          <t>HTF_TREND_VETO_BYPASS_REASONS</t>
        </is>
      </c>
      <c r="B358" t="inlineStr">
        <is>
          <t>0.0_ALT</t>
        </is>
      </c>
      <c r="D358" t="inlineStr">
        <is>
          <t>GLOBAL_CHECK, STOCKS_EXIT</t>
        </is>
      </c>
      <c r="G358">
        <f>IFERROR(VLOOKUP($A359&amp;"_"&amp;$B359,Results_Deltas!$A$2:$P$15000,5,FALSE),"")</f>
        <v/>
      </c>
      <c r="H358" t="inlineStr">
        <is>
          <t>Blanket (page end)</t>
        </is>
      </c>
      <c r="L358" t="inlineStr">
        <is>
          <t>YES</t>
        </is>
      </c>
    </row>
    <row r="359" ht="15.75" customHeight="1" s="67">
      <c r="A359" t="inlineStr">
        <is>
          <t>LEADERBOARD_FILTER</t>
        </is>
      </c>
      <c r="B359" t="inlineStr">
        <is>
          <t>False</t>
        </is>
      </c>
      <c r="D359" t="inlineStr">
        <is>
          <t>AUGMENT, ENTRY, EXIT, GLOBAL_CHECK, REDUCE, STOCKS_EXIT</t>
        </is>
      </c>
      <c r="G359">
        <f>IFERROR(VLOOKUP($A360&amp;"_"&amp;$B360,Results_Deltas!$A$2:$P$15000,5,FALSE),"")</f>
        <v/>
      </c>
      <c r="H359" t="inlineStr">
        <is>
          <t>Blanket (page end)</t>
        </is>
      </c>
      <c r="L359" t="inlineStr">
        <is>
          <t>NO</t>
        </is>
      </c>
    </row>
    <row r="360" ht="15.75" customHeight="1" s="67">
      <c r="A360" t="inlineStr">
        <is>
          <t>LEADERBOARD_FILTER</t>
        </is>
      </c>
      <c r="B360" t="inlineStr">
        <is>
          <t>False_ALT</t>
        </is>
      </c>
      <c r="D360" t="inlineStr">
        <is>
          <t>AUGMENT, ENTRY, EXIT, GLOBAL_CHECK, REDUCE, STOCKS_EXIT</t>
        </is>
      </c>
      <c r="G360">
        <f>IFERROR(VLOOKUP($A361&amp;"_"&amp;$B361,Results_Deltas!$A$2:$P$15000,5,FALSE),"")</f>
        <v/>
      </c>
      <c r="H360" t="inlineStr">
        <is>
          <t>Blanket (page end)</t>
        </is>
      </c>
      <c r="L360" t="inlineStr">
        <is>
          <t>NO</t>
        </is>
      </c>
    </row>
    <row r="361" ht="15.75" customHeight="1" s="67">
      <c r="A361" t="inlineStr">
        <is>
          <t>LH_HL_FILTER_ENABLED</t>
        </is>
      </c>
      <c r="B361" t="inlineStr">
        <is>
          <t>False</t>
        </is>
      </c>
      <c r="D361" t="inlineStr">
        <is>
          <t>ENTRY, GLOBAL_CHECK, STOCKS_EXIT</t>
        </is>
      </c>
      <c r="G361">
        <f>IFERROR(VLOOKUP($A362&amp;"_"&amp;$B362,Results_Deltas!$A$2:$P$15000,5,FALSE),"")</f>
        <v/>
      </c>
      <c r="H361" t="inlineStr">
        <is>
          <t>Blanket (page end)</t>
        </is>
      </c>
      <c r="L361" t="inlineStr">
        <is>
          <t>NO</t>
        </is>
      </c>
    </row>
    <row r="362" ht="15.75" customHeight="1" s="67">
      <c r="A362" t="inlineStr">
        <is>
          <t>LH_HL_FILTER_ENABLED</t>
        </is>
      </c>
      <c r="B362" t="inlineStr">
        <is>
          <t>True</t>
        </is>
      </c>
      <c r="D362" t="inlineStr">
        <is>
          <t>ENTRY, GLOBAL_CHECK, STOCKS_EXIT</t>
        </is>
      </c>
      <c r="G362">
        <f>IFERROR(VLOOKUP($A363&amp;"_"&amp;$B363,Results_Deltas!$A$2:$P$15000,5,FALSE),"")</f>
        <v/>
      </c>
      <c r="H362" t="inlineStr">
        <is>
          <t>Blanket (page end)</t>
        </is>
      </c>
      <c r="L362" t="inlineStr">
        <is>
          <t>NO</t>
        </is>
      </c>
    </row>
    <row r="363" ht="15.75" customHeight="1" s="67">
      <c r="A363" t="inlineStr">
        <is>
          <t>LH_HL_FILTER_MODE</t>
        </is>
      </c>
      <c r="B363" t="inlineStr">
        <is>
          <t>STRICT_2BAR</t>
        </is>
      </c>
      <c r="D363" t="inlineStr">
        <is>
          <t>ENTRY, GLOBAL_CHECK, STOCKS_EXIT</t>
        </is>
      </c>
      <c r="G363">
        <f>IFERROR(VLOOKUP($A364&amp;"_"&amp;$B364,Results_Deltas!$A$2:$P$15000,5,FALSE),"")</f>
        <v/>
      </c>
      <c r="H363" t="inlineStr">
        <is>
          <t>Blanket (page end)</t>
        </is>
      </c>
      <c r="L363" t="inlineStr">
        <is>
          <t>NO</t>
        </is>
      </c>
    </row>
    <row r="364" ht="15.75" customHeight="1" s="67">
      <c r="A364" t="inlineStr">
        <is>
          <t>LH_HL_FILTER_MODE</t>
        </is>
      </c>
      <c r="B364" t="inlineStr">
        <is>
          <t>STRICT_2BAR_ALT</t>
        </is>
      </c>
      <c r="D364" t="inlineStr">
        <is>
          <t>ENTRY, GLOBAL_CHECK, STOCKS_EXIT</t>
        </is>
      </c>
      <c r="G364">
        <f>IFERROR(VLOOKUP($A365&amp;"_"&amp;$B365,Results_Deltas!$A$2:$P$15000,5,FALSE),"")</f>
        <v/>
      </c>
      <c r="H364" t="inlineStr">
        <is>
          <t>Blanket (page end)</t>
        </is>
      </c>
      <c r="L364" t="inlineStr">
        <is>
          <t>YES</t>
        </is>
      </c>
    </row>
    <row r="365" ht="15.75" customHeight="1" s="67">
      <c r="A365" t="inlineStr">
        <is>
          <t>LH_HL_FILTER_REQUIRE_BOTH</t>
        </is>
      </c>
      <c r="B365" t="inlineStr">
        <is>
          <t>False</t>
        </is>
      </c>
      <c r="D365" t="inlineStr">
        <is>
          <t>ENTRY, GLOBAL_CHECK, STOCKS_EXIT</t>
        </is>
      </c>
      <c r="G365">
        <f>IFERROR(VLOOKUP($A366&amp;"_"&amp;$B366,Results_Deltas!$A$2:$P$15000,5,FALSE),"")</f>
        <v/>
      </c>
      <c r="H365" t="inlineStr">
        <is>
          <t>Blanket (page end)</t>
        </is>
      </c>
      <c r="L365" t="inlineStr">
        <is>
          <t>NO</t>
        </is>
      </c>
    </row>
    <row r="366" ht="15.75" customHeight="1" s="67">
      <c r="A366" t="inlineStr">
        <is>
          <t>LH_HL_FILTER_REQUIRE_BOTH</t>
        </is>
      </c>
      <c r="B366" t="inlineStr">
        <is>
          <t>False_ALT</t>
        </is>
      </c>
      <c r="D366" t="inlineStr">
        <is>
          <t>ENTRY, GLOBAL_CHECK, STOCKS_EXIT</t>
        </is>
      </c>
      <c r="G366">
        <f>IFERROR(VLOOKUP($A367&amp;"_"&amp;$B367,Results_Deltas!$A$2:$P$15000,5,FALSE),"")</f>
        <v/>
      </c>
      <c r="H366" t="inlineStr">
        <is>
          <t>Blanket (page end)</t>
        </is>
      </c>
      <c r="L366" t="inlineStr">
        <is>
          <t>NO</t>
        </is>
      </c>
    </row>
    <row r="367" ht="15.75" customHeight="1" s="67">
      <c r="A367" t="inlineStr">
        <is>
          <t>LIVE_VEC_EMERGENCY_BRAKE_ENABLED</t>
        </is>
      </c>
      <c r="B367" t="inlineStr">
        <is>
          <t>False</t>
        </is>
      </c>
      <c r="D367" t="inlineStr">
        <is>
          <t>GLOBAL_CHECK, STOCKS_EXIT</t>
        </is>
      </c>
      <c r="G367">
        <f>IFERROR(VLOOKUP($A368&amp;"_"&amp;$B368,Results_Deltas!$A$2:$P$15000,5,FALSE),"")</f>
        <v/>
      </c>
      <c r="H367" t="inlineStr">
        <is>
          <t>Blanket (page end)</t>
        </is>
      </c>
      <c r="L367" t="inlineStr">
        <is>
          <t>YES</t>
        </is>
      </c>
    </row>
    <row r="368" ht="15.75" customHeight="1" s="67">
      <c r="A368" t="inlineStr">
        <is>
          <t>LIVE_VEC_EMERGENCY_BRAKE_ENABLED</t>
        </is>
      </c>
      <c r="B368" t="inlineStr">
        <is>
          <t>True</t>
        </is>
      </c>
      <c r="D368" t="inlineStr">
        <is>
          <t>GLOBAL_CHECK, STOCKS_EXIT</t>
        </is>
      </c>
      <c r="G368">
        <f>IFERROR(VLOOKUP($A369&amp;"_"&amp;$B369,Results_Deltas!$A$2:$P$15000,5,FALSE),"")</f>
        <v/>
      </c>
      <c r="H368" t="inlineStr">
        <is>
          <t>Blanket (page end)</t>
        </is>
      </c>
      <c r="L368" t="inlineStr">
        <is>
          <t>NO</t>
        </is>
      </c>
    </row>
    <row r="369" ht="15.75" customHeight="1" s="67">
      <c r="A369" t="inlineStr">
        <is>
          <t>LR_BAND_LADDER_STOCH_EXTREME</t>
        </is>
      </c>
      <c r="B369" t="inlineStr">
        <is>
          <t>30.0</t>
        </is>
      </c>
      <c r="D369" t="inlineStr">
        <is>
          <t>GLOBAL_CHECK, STOCKS_EXIT</t>
        </is>
      </c>
      <c r="G369">
        <f>IFERROR(VLOOKUP($A370&amp;"_"&amp;$B370,Results_Deltas!$A$2:$P$15000,5,FALSE),"")</f>
        <v/>
      </c>
      <c r="H369" t="inlineStr">
        <is>
          <t>Blanket (page end)</t>
        </is>
      </c>
      <c r="L369" t="inlineStr">
        <is>
          <t>YES</t>
        </is>
      </c>
    </row>
    <row r="370" ht="15.75" customHeight="1" s="67">
      <c r="A370" t="inlineStr">
        <is>
          <t>LR_BAND_LADDER_STOCH_EXTREME</t>
        </is>
      </c>
      <c r="B370" t="inlineStr">
        <is>
          <t>30.0_ALT</t>
        </is>
      </c>
      <c r="D370" t="inlineStr">
        <is>
          <t>GLOBAL_CHECK, STOCKS_EXIT</t>
        </is>
      </c>
      <c r="G370">
        <f>IFERROR(VLOOKUP($A371&amp;"_"&amp;$B371,Results_Deltas!$A$2:$P$15000,5,FALSE),"")</f>
        <v/>
      </c>
      <c r="H370" t="inlineStr">
        <is>
          <t>Blanket (page end)</t>
        </is>
      </c>
      <c r="L370" t="inlineStr">
        <is>
          <t>NO</t>
        </is>
      </c>
    </row>
    <row r="371" ht="15.75" customHeight="1" s="67">
      <c r="A371" t="inlineStr">
        <is>
          <t>LR_BAND_LADDER_TF_BOTTOM</t>
        </is>
      </c>
      <c r="B371" t="inlineStr">
        <is>
          <t>0</t>
        </is>
      </c>
      <c r="D371" t="inlineStr">
        <is>
          <t>GLOBAL_CHECK, STOCKS_EXIT</t>
        </is>
      </c>
      <c r="G371">
        <f>IFERROR(VLOOKUP($A372&amp;"_"&amp;$B372,Results_Deltas!$A$2:$P$15000,5,FALSE),"")</f>
        <v/>
      </c>
      <c r="H371" t="inlineStr">
        <is>
          <t>Blanket (page end)</t>
        </is>
      </c>
      <c r="L371" t="inlineStr">
        <is>
          <t>YES</t>
        </is>
      </c>
    </row>
    <row r="372" ht="15.75" customHeight="1" s="67">
      <c r="A372" t="inlineStr">
        <is>
          <t>LR_BAND_LADDER_TF_BOTTOM</t>
        </is>
      </c>
      <c r="B372" t="inlineStr">
        <is>
          <t>1</t>
        </is>
      </c>
      <c r="D372" t="inlineStr">
        <is>
          <t>GLOBAL_CHECK, STOCKS_EXIT</t>
        </is>
      </c>
      <c r="G372">
        <f>IFERROR(VLOOKUP($A373&amp;"_"&amp;$B373,Results_Deltas!$A$2:$P$15000,5,FALSE),"")</f>
        <v/>
      </c>
      <c r="H372" t="inlineStr">
        <is>
          <t>Blanket (page end)</t>
        </is>
      </c>
      <c r="L372" t="inlineStr">
        <is>
          <t>NO</t>
        </is>
      </c>
    </row>
    <row r="373" ht="15.75" customHeight="1" s="67">
      <c r="A373" t="inlineStr">
        <is>
          <t>LR_BAND_LADDER_TF_TOP</t>
        </is>
      </c>
      <c r="B373" t="inlineStr">
        <is>
          <t>0</t>
        </is>
      </c>
      <c r="D373" t="inlineStr">
        <is>
          <t>GLOBAL_CHECK, STOCKS_EXIT</t>
        </is>
      </c>
      <c r="G373">
        <f>IFERROR(VLOOKUP($A374&amp;"_"&amp;$B374,Results_Deltas!$A$2:$P$15000,5,FALSE),"")</f>
        <v/>
      </c>
      <c r="H373" t="inlineStr">
        <is>
          <t>Blanket (page end)</t>
        </is>
      </c>
      <c r="L373" t="inlineStr">
        <is>
          <t>YES</t>
        </is>
      </c>
    </row>
    <row r="374" ht="15.75" customHeight="1" s="67">
      <c r="A374" t="inlineStr">
        <is>
          <t>LR_BAND_LADDER_TF_TOP</t>
        </is>
      </c>
      <c r="B374" t="inlineStr">
        <is>
          <t>1</t>
        </is>
      </c>
      <c r="D374" t="inlineStr">
        <is>
          <t>GLOBAL_CHECK, STOCKS_EXIT</t>
        </is>
      </c>
      <c r="G374">
        <f>IFERROR(VLOOKUP($A375&amp;"_"&amp;$B375,Results_Deltas!$A$2:$P$15000,5,FALSE),"")</f>
        <v/>
      </c>
      <c r="H374" t="inlineStr">
        <is>
          <t>Blanket (page end)</t>
        </is>
      </c>
      <c r="L374" t="inlineStr">
        <is>
          <t>NO</t>
        </is>
      </c>
    </row>
    <row r="375" ht="15.75" customHeight="1" s="67">
      <c r="A375" t="inlineStr">
        <is>
          <t>MANDATORY_REENTRY_WT_FILTER_MIN_TFS</t>
        </is>
      </c>
      <c r="B375" t="n">
        <v>0</v>
      </c>
      <c r="D375" t="inlineStr">
        <is>
          <t>GLOBAL_CHECK, STOCKS_EXIT</t>
        </is>
      </c>
      <c r="G375">
        <f>IFERROR(VLOOKUP($A376&amp;"_"&amp;$B376,Results_Deltas!$A$2:$P$15000,5,FALSE),"")</f>
        <v/>
      </c>
      <c r="H375" t="inlineStr">
        <is>
          <t>Blanket (page end)</t>
        </is>
      </c>
      <c r="L375" t="inlineStr">
        <is>
          <t>NO</t>
        </is>
      </c>
    </row>
    <row r="376" ht="15.75" customHeight="1" s="67">
      <c r="A376" t="inlineStr">
        <is>
          <t>MANDATORY_REENTRY_WT_FILTER_MIN_TFS</t>
        </is>
      </c>
      <c r="B376" t="inlineStr">
        <is>
          <t>3</t>
        </is>
      </c>
      <c r="D376" t="inlineStr">
        <is>
          <t>GLOBAL_CHECK, STOCKS_EXIT</t>
        </is>
      </c>
      <c r="G376">
        <f>IFERROR(VLOOKUP($A377&amp;"_"&amp;$B377,Results_Deltas!$A$2:$P$15000,5,FALSE),"")</f>
        <v/>
      </c>
      <c r="H376" t="inlineStr">
        <is>
          <t>Blanket (page end)</t>
        </is>
      </c>
      <c r="L376" t="inlineStr">
        <is>
          <t>NO</t>
        </is>
      </c>
    </row>
    <row r="377" ht="15.75" customHeight="1" s="67">
      <c r="A377" t="inlineStr">
        <is>
          <t>MANDATORY_REENTRY_WT_FILTER_MIN_TFS</t>
        </is>
      </c>
      <c r="B377" t="inlineStr">
        <is>
          <t>2</t>
        </is>
      </c>
      <c r="D377" t="inlineStr">
        <is>
          <t>GLOBAL_CHECK, STOCKS_EXIT</t>
        </is>
      </c>
      <c r="G377">
        <f>IFERROR(VLOOKUP($A378&amp;"_"&amp;$B378,Results_Deltas!$A$2:$P$15000,5,FALSE),"")</f>
        <v/>
      </c>
      <c r="H377" t="inlineStr">
        <is>
          <t>Blanket (page end)</t>
        </is>
      </c>
      <c r="L377" t="inlineStr">
        <is>
          <t>YES</t>
        </is>
      </c>
    </row>
    <row r="378" ht="15.75" customHeight="1" s="67">
      <c r="A378" t="inlineStr">
        <is>
          <t>MANDATORY_REENTRY_WT_FILTER_MIN_VELOCITY</t>
        </is>
      </c>
      <c r="B378" t="inlineStr">
        <is>
          <t>0.0</t>
        </is>
      </c>
      <c r="D378" t="inlineStr">
        <is>
          <t>GLOBAL_CHECK, STOCKS_EXIT</t>
        </is>
      </c>
      <c r="G378">
        <f>IFERROR(VLOOKUP($A379&amp;"_"&amp;$B379,Results_Deltas!$A$2:$P$15000,5,FALSE),"")</f>
        <v/>
      </c>
      <c r="H378" t="inlineStr">
        <is>
          <t>Blanket (page end)</t>
        </is>
      </c>
      <c r="L378" t="inlineStr">
        <is>
          <t>NO</t>
        </is>
      </c>
    </row>
    <row r="379" ht="15.75" customHeight="1" s="67">
      <c r="A379" t="inlineStr">
        <is>
          <t>MANDATORY_REENTRY_WT_FILTER_MIN_VELOCITY</t>
        </is>
      </c>
      <c r="B379" t="inlineStr">
        <is>
          <t>0.0_ALT</t>
        </is>
      </c>
      <c r="D379" t="inlineStr">
        <is>
          <t>GLOBAL_CHECK, STOCKS_EXIT</t>
        </is>
      </c>
      <c r="G379">
        <f>IFERROR(VLOOKUP($A380&amp;"_"&amp;$B380,Results_Deltas!$A$2:$P$15000,5,FALSE),"")</f>
        <v/>
      </c>
      <c r="H379" t="inlineStr">
        <is>
          <t>Blanket (page end)</t>
        </is>
      </c>
      <c r="L379" t="inlineStr">
        <is>
          <t>NO</t>
        </is>
      </c>
    </row>
    <row r="380" ht="15.75" customHeight="1" s="67">
      <c r="A380" t="inlineStr">
        <is>
          <t>MANDATORY_REENTRY_WT_FILTER_REQUIRE_FLIP</t>
        </is>
      </c>
      <c r="B380" t="n">
        <v>0</v>
      </c>
      <c r="D380" t="inlineStr">
        <is>
          <t>GLOBAL_CHECK, STOCKS_EXIT</t>
        </is>
      </c>
      <c r="G380">
        <f>IFERROR(VLOOKUP($A381&amp;"_"&amp;$B381,Results_Deltas!$A$2:$P$15000,5,FALSE),"")</f>
        <v/>
      </c>
      <c r="H380" t="inlineStr">
        <is>
          <t>Blanket (page end)</t>
        </is>
      </c>
      <c r="L380" t="inlineStr">
        <is>
          <t>NO</t>
        </is>
      </c>
    </row>
    <row r="381" ht="15.75" customHeight="1" s="67">
      <c r="A381" t="inlineStr">
        <is>
          <t>MANDATORY_REENTRY_WT_FILTER_REQUIRE_FLIP</t>
        </is>
      </c>
      <c r="B381" t="inlineStr">
        <is>
          <t>False_ALT</t>
        </is>
      </c>
      <c r="D381" t="inlineStr">
        <is>
          <t>GLOBAL_CHECK, STOCKS_EXIT</t>
        </is>
      </c>
      <c r="G381">
        <f>IFERROR(VLOOKUP($A382&amp;"_"&amp;$B382,Results_Deltas!$A$2:$P$15000,5,FALSE),"")</f>
        <v/>
      </c>
      <c r="H381" t="inlineStr">
        <is>
          <t>Blanket (page end)</t>
        </is>
      </c>
      <c r="L381" t="inlineStr">
        <is>
          <t>NO</t>
        </is>
      </c>
    </row>
    <row r="382" ht="15.75" customHeight="1" s="67">
      <c r="A382" t="inlineStr">
        <is>
          <t>MANDATORY_REENTRY_WT_FILTER_VELOCITY_RATIO</t>
        </is>
      </c>
      <c r="B382" t="n">
        <v>0</v>
      </c>
      <c r="D382" t="inlineStr">
        <is>
          <t>GLOBAL_CHECK, STOCKS_EXIT</t>
        </is>
      </c>
      <c r="G382">
        <f>IFERROR(VLOOKUP($A383&amp;"_"&amp;$B383,Results_Deltas!$A$2:$P$15000,5,FALSE),"")</f>
        <v/>
      </c>
      <c r="H382" t="inlineStr">
        <is>
          <t>Blanket (page end)</t>
        </is>
      </c>
      <c r="L382" t="inlineStr">
        <is>
          <t>NO</t>
        </is>
      </c>
    </row>
    <row r="383" ht="15.75" customHeight="1" s="67">
      <c r="A383" t="inlineStr">
        <is>
          <t>MANDATORY_REENTRY_WT_FILTER_VELOCITY_RATIO</t>
        </is>
      </c>
      <c r="B383" t="inlineStr">
        <is>
          <t>0.90_ALT</t>
        </is>
      </c>
      <c r="D383" t="inlineStr">
        <is>
          <t>GLOBAL_CHECK, STOCKS_EXIT</t>
        </is>
      </c>
      <c r="G383">
        <f>IFERROR(VLOOKUP($A384&amp;"_"&amp;$B384,Results_Deltas!$A$2:$P$15000,5,FALSE),"")</f>
        <v/>
      </c>
      <c r="H383" t="inlineStr">
        <is>
          <t>Blanket (page end)</t>
        </is>
      </c>
      <c r="L383" t="inlineStr">
        <is>
          <t>NO</t>
        </is>
      </c>
    </row>
    <row r="384" ht="15.75" customHeight="1" s="67">
      <c r="A384" t="inlineStr">
        <is>
          <t>MARKET_QUALITY_SCORE_ENABLED</t>
        </is>
      </c>
      <c r="B384" t="inlineStr">
        <is>
          <t>False</t>
        </is>
      </c>
      <c r="D384" t="inlineStr">
        <is>
          <t>ENTRY, GLOBAL_CHECK, STOCKS_EXIT</t>
        </is>
      </c>
      <c r="G384">
        <f>IFERROR(VLOOKUP($A385&amp;"_"&amp;$B385,Results_Deltas!$A$2:$P$15000,5,FALSE),"")</f>
        <v/>
      </c>
      <c r="H384" t="inlineStr">
        <is>
          <t>Blanket (page end)</t>
        </is>
      </c>
      <c r="L384" t="inlineStr">
        <is>
          <t>NO</t>
        </is>
      </c>
    </row>
    <row r="385" ht="15.75" customHeight="1" s="67">
      <c r="A385" t="inlineStr">
        <is>
          <t>MARKET_QUALITY_SCORE_ENABLED</t>
        </is>
      </c>
      <c r="B385" t="inlineStr">
        <is>
          <t>True</t>
        </is>
      </c>
      <c r="D385" t="inlineStr">
        <is>
          <t>ENTRY, GLOBAL_CHECK, STOCKS_EXIT</t>
        </is>
      </c>
      <c r="G385">
        <f>IFERROR(VLOOKUP($A386&amp;"_"&amp;$B386,Results_Deltas!$A$2:$P$15000,5,FALSE),"")</f>
        <v/>
      </c>
      <c r="H385" t="inlineStr">
        <is>
          <t>Blanket (page end)</t>
        </is>
      </c>
      <c r="L385" t="inlineStr">
        <is>
          <t>YES</t>
        </is>
      </c>
    </row>
    <row r="386" ht="15.75" customHeight="1" s="67">
      <c r="A386" t="inlineStr">
        <is>
          <t>MI_TF_AGREE_MIN</t>
        </is>
      </c>
      <c r="B386" t="inlineStr">
        <is>
          <t>0.0</t>
        </is>
      </c>
      <c r="D386" t="inlineStr">
        <is>
          <t>ENTRY, GLOBAL_CHECK, STOCKS_EXIT</t>
        </is>
      </c>
      <c r="G386">
        <f>IFERROR(VLOOKUP($A387&amp;"_"&amp;$B387,Results_Deltas!$A$2:$P$15000,5,FALSE),"")</f>
        <v/>
      </c>
      <c r="H386" t="inlineStr">
        <is>
          <t>Blanket (page end)</t>
        </is>
      </c>
      <c r="L386" t="inlineStr">
        <is>
          <t>NO</t>
        </is>
      </c>
    </row>
    <row r="387" ht="15.75" customHeight="1" s="67">
      <c r="A387" t="inlineStr">
        <is>
          <t>MI_TF_AGREE_MIN</t>
        </is>
      </c>
      <c r="B387" t="inlineStr">
        <is>
          <t>0.0_ALT</t>
        </is>
      </c>
      <c r="D387" t="inlineStr">
        <is>
          <t>ENTRY, GLOBAL_CHECK, STOCKS_EXIT</t>
        </is>
      </c>
      <c r="G387">
        <f>IFERROR(VLOOKUP($A388&amp;"_"&amp;$B388,Results_Deltas!$A$2:$P$15000,5,FALSE),"")</f>
        <v/>
      </c>
      <c r="H387" t="inlineStr">
        <is>
          <t>Blanket (page end)</t>
        </is>
      </c>
      <c r="L387" t="inlineStr">
        <is>
          <t>NO</t>
        </is>
      </c>
    </row>
    <row r="388" ht="15.75" customHeight="1" s="67">
      <c r="A388" t="inlineStr">
        <is>
          <t>MOVER_THRESHOLD</t>
        </is>
      </c>
      <c r="B388" t="n">
        <v>0</v>
      </c>
      <c r="D388" t="inlineStr">
        <is>
          <t>ENTRY, GLOBAL_CHECK, STOCKS_EXIT</t>
        </is>
      </c>
      <c r="G388">
        <f>IFERROR(VLOOKUP($A389&amp;"_"&amp;$B389,Results_Deltas!$A$2:$P$15000,5,FALSE),"")</f>
        <v/>
      </c>
      <c r="H388" t="inlineStr">
        <is>
          <t>Blanket (page end)</t>
        </is>
      </c>
      <c r="L388" t="inlineStr">
        <is>
          <t>NO</t>
        </is>
      </c>
    </row>
    <row r="389" ht="15.75" customHeight="1" s="67">
      <c r="A389" t="inlineStr">
        <is>
          <t>MOVER_THRESHOLD</t>
        </is>
      </c>
      <c r="B389" t="inlineStr">
        <is>
          <t>6.25</t>
        </is>
      </c>
      <c r="D389" t="inlineStr">
        <is>
          <t>ENTRY, GLOBAL_CHECK, STOCKS_EXIT</t>
        </is>
      </c>
      <c r="G389">
        <f>IFERROR(VLOOKUP($A390&amp;"_"&amp;$B390,Results_Deltas!$A$2:$P$15000,5,FALSE),"")</f>
        <v/>
      </c>
      <c r="H389" t="inlineStr">
        <is>
          <t>Blanket (page end)</t>
        </is>
      </c>
      <c r="L389" t="inlineStr">
        <is>
          <t>YES</t>
        </is>
      </c>
    </row>
    <row r="390" ht="15.75" customHeight="1" s="67">
      <c r="A390" t="inlineStr">
        <is>
          <t>MOVER_THRESHOLD</t>
        </is>
      </c>
      <c r="B390" t="inlineStr">
        <is>
          <t>3.75</t>
        </is>
      </c>
      <c r="D390" t="inlineStr">
        <is>
          <t>ENTRY, GLOBAL_CHECK, STOCKS_EXIT</t>
        </is>
      </c>
      <c r="G390">
        <f>IFERROR(VLOOKUP($A391&amp;"_"&amp;$B391,Results_Deltas!$A$2:$P$15000,5,FALSE),"")</f>
        <v/>
      </c>
      <c r="H390" t="inlineStr">
        <is>
          <t>Blanket (page end)</t>
        </is>
      </c>
      <c r="L390" t="inlineStr">
        <is>
          <t>NO</t>
        </is>
      </c>
    </row>
    <row r="391" ht="15.75" customHeight="1" s="67">
      <c r="A391" t="inlineStr">
        <is>
          <t>MOVER_THRESHOLD</t>
        </is>
      </c>
      <c r="B391" t="inlineStr">
        <is>
          <t>2.5</t>
        </is>
      </c>
      <c r="D391" t="inlineStr">
        <is>
          <t>ENTRY, GLOBAL_CHECK, STOCKS_EXIT</t>
        </is>
      </c>
      <c r="G391">
        <f>IFERROR(VLOOKUP($A392&amp;"_"&amp;$B392,Results_Deltas!$A$2:$P$15000,5,FALSE),"")</f>
        <v/>
      </c>
      <c r="H391" t="inlineStr">
        <is>
          <t>Blanket (page end)</t>
        </is>
      </c>
      <c r="L391" t="inlineStr">
        <is>
          <t>NO</t>
        </is>
      </c>
    </row>
    <row r="392" ht="15.75" customHeight="1" s="67">
      <c r="A392" t="inlineStr">
        <is>
          <t>MTF_FILTER_STRONG_BUY_QUICK_BYPASS</t>
        </is>
      </c>
      <c r="B392" t="inlineStr">
        <is>
          <t>0.0</t>
        </is>
      </c>
      <c r="D392" t="inlineStr">
        <is>
          <t>GLOBAL_CHECK, STOCKS_EXIT</t>
        </is>
      </c>
      <c r="G392">
        <f>IFERROR(VLOOKUP($A393&amp;"_"&amp;$B393,Results_Deltas!$A$2:$P$15000,5,FALSE),"")</f>
        <v/>
      </c>
      <c r="H392" t="inlineStr">
        <is>
          <t>Blanket (page end)</t>
        </is>
      </c>
      <c r="L392" t="inlineStr">
        <is>
          <t>NO</t>
        </is>
      </c>
    </row>
    <row r="393" ht="15.75" customHeight="1" s="67">
      <c r="A393" t="inlineStr">
        <is>
          <t>MTF_FILTER_STRONG_BUY_QUICK_BYPASS</t>
        </is>
      </c>
      <c r="B393" t="inlineStr">
        <is>
          <t>0.0_ALT</t>
        </is>
      </c>
      <c r="D393" t="inlineStr">
        <is>
          <t>GLOBAL_CHECK, STOCKS_EXIT</t>
        </is>
      </c>
      <c r="G393">
        <f>IFERROR(VLOOKUP($A394&amp;"_"&amp;$B394,Results_Deltas!$A$2:$P$15000,5,FALSE),"")</f>
        <v/>
      </c>
      <c r="H393" t="inlineStr">
        <is>
          <t>Blanket (page end)</t>
        </is>
      </c>
      <c r="L393" t="inlineStr">
        <is>
          <t>NO</t>
        </is>
      </c>
    </row>
    <row r="394" ht="15.75" customHeight="1" s="67">
      <c r="A394" t="inlineStr">
        <is>
          <t>MTF_GR_MIN_IND</t>
        </is>
      </c>
      <c r="B394" t="inlineStr">
        <is>
          <t>5</t>
        </is>
      </c>
      <c r="D394" t="inlineStr">
        <is>
          <t>GLOBAL_CHECK, STOCKS_EXIT</t>
        </is>
      </c>
      <c r="G394">
        <f>IFERROR(VLOOKUP($A395&amp;"_"&amp;$B395,Results_Deltas!$A$2:$P$15000,5,FALSE),"")</f>
        <v/>
      </c>
      <c r="H394" t="inlineStr">
        <is>
          <t>Blanket (page end)</t>
        </is>
      </c>
      <c r="L394" t="inlineStr">
        <is>
          <t>YES</t>
        </is>
      </c>
    </row>
    <row r="395" ht="15.75" customHeight="1" s="67">
      <c r="A395" t="inlineStr">
        <is>
          <t>MTF_GR_MIN_IND</t>
        </is>
      </c>
      <c r="B395" t="inlineStr">
        <is>
          <t>5_ALT</t>
        </is>
      </c>
      <c r="D395" t="inlineStr">
        <is>
          <t>GLOBAL_CHECK, STOCKS_EXIT</t>
        </is>
      </c>
      <c r="G395">
        <f>IFERROR(VLOOKUP($A396&amp;"_"&amp;$B396,Results_Deltas!$A$2:$P$15000,5,FALSE),"")</f>
        <v/>
      </c>
      <c r="H395" t="inlineStr">
        <is>
          <t>Blanket (page end)</t>
        </is>
      </c>
      <c r="L395" t="inlineStr">
        <is>
          <t>YES</t>
        </is>
      </c>
    </row>
    <row r="396" ht="15.75" customHeight="1" s="67">
      <c r="A396" t="inlineStr">
        <is>
          <t>MTS_BOTTOM_BONUS_THRESHOLD</t>
        </is>
      </c>
      <c r="B396" t="n">
        <v>0</v>
      </c>
      <c r="D396" t="inlineStr">
        <is>
          <t>ENTRY, GLOBAL_CHECK, STOCKS_EXIT</t>
        </is>
      </c>
      <c r="G396">
        <f>IFERROR(VLOOKUP($A397&amp;"_"&amp;$B397,Results_Deltas!$A$2:$P$15000,5,FALSE),"")</f>
        <v/>
      </c>
      <c r="H396" t="inlineStr">
        <is>
          <t>Blanket (page end)</t>
        </is>
      </c>
      <c r="L396" t="inlineStr">
        <is>
          <t>NO</t>
        </is>
      </c>
    </row>
    <row r="397" ht="15.75" customHeight="1" s="67">
      <c r="A397" t="inlineStr">
        <is>
          <t>MTS_BOTTOM_BONUS_THRESHOLD</t>
        </is>
      </c>
      <c r="B397" t="inlineStr">
        <is>
          <t>31.25</t>
        </is>
      </c>
      <c r="D397" t="inlineStr">
        <is>
          <t>ENTRY, GLOBAL_CHECK, STOCKS_EXIT</t>
        </is>
      </c>
      <c r="G397">
        <f>IFERROR(VLOOKUP($A398&amp;"_"&amp;$B398,Results_Deltas!$A$2:$P$15000,5,FALSE),"")</f>
        <v/>
      </c>
      <c r="H397" t="inlineStr">
        <is>
          <t>Blanket (page end)</t>
        </is>
      </c>
      <c r="L397" t="inlineStr">
        <is>
          <t>NO</t>
        </is>
      </c>
    </row>
    <row r="398" ht="15.75" customHeight="1" s="67">
      <c r="A398" t="inlineStr">
        <is>
          <t>MTS_BOTTOM_BONUS_THRESHOLD</t>
        </is>
      </c>
      <c r="B398" t="inlineStr">
        <is>
          <t>18.75</t>
        </is>
      </c>
      <c r="D398" t="inlineStr">
        <is>
          <t>ENTRY, GLOBAL_CHECK, STOCKS_EXIT</t>
        </is>
      </c>
      <c r="G398">
        <f>IFERROR(VLOOKUP($A399&amp;"_"&amp;$B399,Results_Deltas!$A$2:$P$15000,5,FALSE),"")</f>
        <v/>
      </c>
      <c r="H398" t="inlineStr">
        <is>
          <t>Blanket (page end)</t>
        </is>
      </c>
      <c r="L398" t="inlineStr">
        <is>
          <t>NO</t>
        </is>
      </c>
    </row>
    <row r="399" ht="15.75" customHeight="1" s="67">
      <c r="A399" t="inlineStr">
        <is>
          <t>MTS_BOTTOM_BONUS_THRESHOLD</t>
        </is>
      </c>
      <c r="B399" t="inlineStr">
        <is>
          <t>12.5</t>
        </is>
      </c>
      <c r="D399" t="inlineStr">
        <is>
          <t>ENTRY, GLOBAL_CHECK, STOCKS_EXIT</t>
        </is>
      </c>
      <c r="G399">
        <f>IFERROR(VLOOKUP($A400&amp;"_"&amp;$B400,Results_Deltas!$A$2:$P$15000,5,FALSE),"")</f>
        <v/>
      </c>
      <c r="H399" t="inlineStr">
        <is>
          <t>Blanket (page end)</t>
        </is>
      </c>
      <c r="L399" t="inlineStr">
        <is>
          <t>NO</t>
        </is>
      </c>
    </row>
    <row r="400" ht="15.75" customHeight="1" s="67">
      <c r="A400" t="inlineStr">
        <is>
          <t>MTS_BOTTOM_STRONG_THRESHOLD</t>
        </is>
      </c>
      <c r="B400" t="n">
        <v>0</v>
      </c>
      <c r="D400" t="inlineStr">
        <is>
          <t>ENTRY, GLOBAL_CHECK, STOCKS_EXIT</t>
        </is>
      </c>
      <c r="G400">
        <f>IFERROR(VLOOKUP($A401&amp;"_"&amp;$B401,Results_Deltas!$A$2:$P$15000,5,FALSE),"")</f>
        <v/>
      </c>
      <c r="H400" t="inlineStr">
        <is>
          <t>Blanket (page end)</t>
        </is>
      </c>
      <c r="L400" t="inlineStr">
        <is>
          <t>NO</t>
        </is>
      </c>
    </row>
    <row r="401" ht="15.75" customHeight="1" s="67">
      <c r="A401" t="inlineStr">
        <is>
          <t>MTS_BOTTOM_STRONG_THRESHOLD</t>
        </is>
      </c>
      <c r="B401" t="inlineStr">
        <is>
          <t>50</t>
        </is>
      </c>
      <c r="D401" t="inlineStr">
        <is>
          <t>ENTRY, GLOBAL_CHECK, STOCKS_EXIT</t>
        </is>
      </c>
      <c r="G401">
        <f>IFERROR(VLOOKUP($A402&amp;"_"&amp;$B402,Results_Deltas!$A$2:$P$15000,5,FALSE),"")</f>
        <v/>
      </c>
      <c r="H401" t="inlineStr">
        <is>
          <t>Blanket (page end)</t>
        </is>
      </c>
      <c r="L401" t="inlineStr">
        <is>
          <t>NO</t>
        </is>
      </c>
    </row>
    <row r="402" ht="15.75" customHeight="1" s="67">
      <c r="A402" t="inlineStr">
        <is>
          <t>MTS_BOTTOM_STRONG_THRESHOLD</t>
        </is>
      </c>
      <c r="B402" t="inlineStr">
        <is>
          <t>30</t>
        </is>
      </c>
      <c r="D402" t="inlineStr">
        <is>
          <t>ENTRY, GLOBAL_CHECK, STOCKS_EXIT</t>
        </is>
      </c>
      <c r="G402">
        <f>IFERROR(VLOOKUP($A403&amp;"_"&amp;$B403,Results_Deltas!$A$2:$P$15000,5,FALSE),"")</f>
        <v/>
      </c>
      <c r="H402" t="inlineStr">
        <is>
          <t>Blanket (page end)</t>
        </is>
      </c>
      <c r="L402" t="inlineStr">
        <is>
          <t>NO</t>
        </is>
      </c>
    </row>
    <row r="403" ht="15.75" customHeight="1" s="67">
      <c r="A403" t="inlineStr">
        <is>
          <t>MTS_BOTTOM_STRONG_THRESHOLD</t>
        </is>
      </c>
      <c r="B403" t="inlineStr">
        <is>
          <t>20</t>
        </is>
      </c>
      <c r="D403" t="inlineStr">
        <is>
          <t>ENTRY, GLOBAL_CHECK, STOCKS_EXIT</t>
        </is>
      </c>
      <c r="G403">
        <f>IFERROR(VLOOKUP($A404&amp;"_"&amp;$B404,Results_Deltas!$A$2:$P$15000,5,FALSE),"")</f>
        <v/>
      </c>
      <c r="H403" t="inlineStr">
        <is>
          <t>Blanket (page end)</t>
        </is>
      </c>
      <c r="L403" t="inlineStr">
        <is>
          <t>NO</t>
        </is>
      </c>
    </row>
    <row r="404" ht="15.75" customHeight="1" s="67">
      <c r="A404" t="inlineStr">
        <is>
          <t>MTS_GATE_ENABLED</t>
        </is>
      </c>
      <c r="B404" t="inlineStr">
        <is>
          <t>False</t>
        </is>
      </c>
      <c r="D404" t="inlineStr">
        <is>
          <t>ENTRY, GLOBAL_CHECK, STOCKS_EXIT</t>
        </is>
      </c>
      <c r="G404">
        <f>IFERROR(VLOOKUP($A405&amp;"_"&amp;$B405,Results_Deltas!$A$2:$P$15000,5,FALSE),"")</f>
        <v/>
      </c>
      <c r="H404" t="inlineStr">
        <is>
          <t>Blanket (page end)</t>
        </is>
      </c>
      <c r="L404" t="inlineStr">
        <is>
          <t>NO</t>
        </is>
      </c>
    </row>
    <row r="405" ht="15.75" customHeight="1" s="67">
      <c r="A405" t="inlineStr">
        <is>
          <t>MTS_GATE_ENABLED</t>
        </is>
      </c>
      <c r="B405" t="b">
        <v>0</v>
      </c>
      <c r="D405" t="inlineStr">
        <is>
          <t>ENTRY, GLOBAL_CHECK, STOCKS_EXIT</t>
        </is>
      </c>
      <c r="G405">
        <f>IFERROR(VLOOKUP($A406&amp;"_"&amp;$B406,Results_Deltas!$A$2:$P$15000,5,FALSE),"")</f>
        <v/>
      </c>
      <c r="H405" t="inlineStr">
        <is>
          <t>Blanket (page end)</t>
        </is>
      </c>
      <c r="L405" t="inlineStr">
        <is>
          <t>NO</t>
        </is>
      </c>
    </row>
    <row r="406" ht="15.75" customHeight="1" s="67">
      <c r="A406" t="inlineStr">
        <is>
          <t>NEWBORN_LOSS_KILL_GAIN_THRESHOLD_PCT</t>
        </is>
      </c>
      <c r="B406" t="inlineStr">
        <is>
          <t>0</t>
        </is>
      </c>
      <c r="D406" t="inlineStr">
        <is>
          <t>AUGMENT, EXIT, GLOBAL_CHECK, REDUCE, STOCKS_EXIT</t>
        </is>
      </c>
      <c r="G406">
        <f>IFERROR(VLOOKUP($A407&amp;"_"&amp;$B407,Results_Deltas!$A$2:$P$15000,5,FALSE),"")</f>
        <v/>
      </c>
      <c r="H406" t="inlineStr">
        <is>
          <t>Blanket (page end)</t>
        </is>
      </c>
      <c r="L406" t="inlineStr">
        <is>
          <t>YES</t>
        </is>
      </c>
    </row>
    <row r="407" ht="15.75" customHeight="1" s="67">
      <c r="A407" t="inlineStr">
        <is>
          <t>NEWBORN_LOSS_KILL_GAIN_THRESHOLD_PCT</t>
        </is>
      </c>
      <c r="B407" t="inlineStr">
        <is>
          <t>2.0</t>
        </is>
      </c>
      <c r="D407" t="inlineStr">
        <is>
          <t>AUGMENT, EXIT, GLOBAL_CHECK, REDUCE, STOCKS_EXIT</t>
        </is>
      </c>
      <c r="G407">
        <f>IFERROR(VLOOKUP($A408&amp;"_"&amp;$B408,Results_Deltas!$A$2:$P$15000,5,FALSE),"")</f>
        <v/>
      </c>
      <c r="H407" t="inlineStr">
        <is>
          <t>Blanket (page end)</t>
        </is>
      </c>
      <c r="L407" t="inlineStr">
        <is>
          <t>NO</t>
        </is>
      </c>
    </row>
    <row r="408" ht="15.75" customHeight="1" s="67">
      <c r="A408" t="inlineStr">
        <is>
          <t>NEWBORN_LOSS_KILL_GAIN_THRESHOLD_PCT</t>
        </is>
      </c>
      <c r="B408" t="inlineStr">
        <is>
          <t>1.0</t>
        </is>
      </c>
      <c r="D408" t="inlineStr">
        <is>
          <t>AUGMENT, EXIT, GLOBAL_CHECK, REDUCE, STOCKS_EXIT</t>
        </is>
      </c>
      <c r="G408">
        <f>IFERROR(VLOOKUP($A409&amp;"_"&amp;$B409,Results_Deltas!$A$2:$P$15000,5,FALSE),"")</f>
        <v/>
      </c>
      <c r="H408" t="inlineStr">
        <is>
          <t>Blanket (page end)</t>
        </is>
      </c>
      <c r="L408" t="inlineStr">
        <is>
          <t>NO</t>
        </is>
      </c>
    </row>
    <row r="409" ht="15.75" customHeight="1" s="67">
      <c r="A409" t="inlineStr">
        <is>
          <t>NEWBORN_LOSS_KILL_GAIN_THRESHOLD_PCT</t>
        </is>
      </c>
      <c r="B409" t="inlineStr">
        <is>
          <t>0.5</t>
        </is>
      </c>
      <c r="D409" t="inlineStr">
        <is>
          <t>AUGMENT, EXIT, GLOBAL_CHECK, REDUCE, STOCKS_EXIT</t>
        </is>
      </c>
      <c r="G409">
        <f>IFERROR(VLOOKUP($A410&amp;"_"&amp;$B410,Results_Deltas!$A$2:$P$15000,5,FALSE),"")</f>
        <v/>
      </c>
      <c r="H409" t="inlineStr">
        <is>
          <t>Blanket (page end)</t>
        </is>
      </c>
      <c r="L409" t="inlineStr">
        <is>
          <t>NO</t>
        </is>
      </c>
    </row>
    <row r="410" ht="15.75" customHeight="1" s="67">
      <c r="A410" t="inlineStr">
        <is>
          <t>NEWBORN_LOSS_KILL_REQUIRE_VEL_AGAINST</t>
        </is>
      </c>
      <c r="B410" t="inlineStr">
        <is>
          <t>0.0</t>
        </is>
      </c>
      <c r="D410" t="inlineStr">
        <is>
          <t>AUGMENT, EXIT, GLOBAL_CHECK, REDUCE, STOCKS_EXIT</t>
        </is>
      </c>
      <c r="G410">
        <f>IFERROR(VLOOKUP($A411&amp;"_"&amp;$B411,Results_Deltas!$A$2:$P$15000,5,FALSE),"")</f>
        <v/>
      </c>
      <c r="H410" t="inlineStr">
        <is>
          <t>Blanket (page end)</t>
        </is>
      </c>
      <c r="L410" t="inlineStr">
        <is>
          <t>YES</t>
        </is>
      </c>
    </row>
    <row r="411" ht="15.75" customHeight="1" s="67">
      <c r="A411" t="inlineStr">
        <is>
          <t>NEWBORN_LOSS_KILL_REQUIRE_VEL_AGAINST</t>
        </is>
      </c>
      <c r="B411" t="inlineStr">
        <is>
          <t>0.0_ALT</t>
        </is>
      </c>
      <c r="D411" t="inlineStr">
        <is>
          <t>AUGMENT, EXIT, GLOBAL_CHECK, REDUCE, STOCKS_EXIT</t>
        </is>
      </c>
      <c r="G411">
        <f>IFERROR(VLOOKUP($A412&amp;"_"&amp;$B412,Results_Deltas!$A$2:$P$15000,5,FALSE),"")</f>
        <v/>
      </c>
      <c r="H411" t="inlineStr">
        <is>
          <t>Blanket (page end)</t>
        </is>
      </c>
      <c r="L411" t="inlineStr">
        <is>
          <t>NO</t>
        </is>
      </c>
    </row>
    <row r="412" ht="15.75" customHeight="1" s="67">
      <c r="A412" t="inlineStr">
        <is>
          <t>NEW_POSITION_MAX_LOSS_THRESHOLD</t>
        </is>
      </c>
      <c r="B412" t="inlineStr">
        <is>
          <t>0</t>
        </is>
      </c>
      <c r="D412" t="inlineStr">
        <is>
          <t>AUGMENT, EXIT, GLOBAL_CHECK, REDUCE, STOCKS_EXIT</t>
        </is>
      </c>
      <c r="G412">
        <f>IFERROR(VLOOKUP($A413&amp;"_"&amp;$B413,Results_Deltas!$A$2:$P$15000,5,FALSE),"")</f>
        <v/>
      </c>
      <c r="H412" t="inlineStr">
        <is>
          <t>Blanket (page end)</t>
        </is>
      </c>
      <c r="L412" t="inlineStr">
        <is>
          <t>NO</t>
        </is>
      </c>
    </row>
    <row r="413" ht="15.75" customHeight="1" s="67">
      <c r="A413" t="inlineStr">
        <is>
          <t>NEW_POSITION_MAX_LOSS_THRESHOLD</t>
        </is>
      </c>
      <c r="B413" t="inlineStr">
        <is>
          <t>2.0</t>
        </is>
      </c>
      <c r="D413" t="inlineStr">
        <is>
          <t>AUGMENT, EXIT, GLOBAL_CHECK, REDUCE, STOCKS_EXIT</t>
        </is>
      </c>
      <c r="G413">
        <f>IFERROR(VLOOKUP($A414&amp;"_"&amp;$B414,Results_Deltas!$A$2:$P$15000,5,FALSE),"")</f>
        <v/>
      </c>
      <c r="H413" t="inlineStr">
        <is>
          <t>Blanket (page end)</t>
        </is>
      </c>
      <c r="L413" t="inlineStr">
        <is>
          <t>NO</t>
        </is>
      </c>
    </row>
    <row r="414" ht="15.75" customHeight="1" s="67">
      <c r="A414" t="inlineStr">
        <is>
          <t>NEW_POSITION_MAX_LOSS_THRESHOLD</t>
        </is>
      </c>
      <c r="B414" t="inlineStr">
        <is>
          <t>1.0</t>
        </is>
      </c>
      <c r="D414" t="inlineStr">
        <is>
          <t>AUGMENT, EXIT, GLOBAL_CHECK, REDUCE, STOCKS_EXIT</t>
        </is>
      </c>
      <c r="G414">
        <f>IFERROR(VLOOKUP($A415&amp;"_"&amp;$B415,Results_Deltas!$A$2:$P$15000,5,FALSE),"")</f>
        <v/>
      </c>
      <c r="H414" t="inlineStr">
        <is>
          <t>Blanket (page end)</t>
        </is>
      </c>
      <c r="L414" t="inlineStr">
        <is>
          <t>NO</t>
        </is>
      </c>
    </row>
    <row r="415" ht="15.75" customHeight="1" s="67">
      <c r="A415" t="inlineStr">
        <is>
          <t>NEW_POSITION_MAX_LOSS_THRESHOLD</t>
        </is>
      </c>
      <c r="B415" t="inlineStr">
        <is>
          <t>0.5</t>
        </is>
      </c>
      <c r="D415" t="inlineStr">
        <is>
          <t>AUGMENT, EXIT, GLOBAL_CHECK, REDUCE, STOCKS_EXIT</t>
        </is>
      </c>
      <c r="G415">
        <f>IFERROR(VLOOKUP($A416&amp;"_"&amp;$B416,Results_Deltas!$A$2:$P$15000,5,FALSE),"")</f>
        <v/>
      </c>
      <c r="H415" t="inlineStr">
        <is>
          <t>Blanket (page end)</t>
        </is>
      </c>
      <c r="L415" t="inlineStr">
        <is>
          <t>NO</t>
        </is>
      </c>
    </row>
    <row r="416" ht="15.75" customHeight="1" s="67">
      <c r="A416" t="inlineStr">
        <is>
          <t>OI_CONFIRM_ENABLED</t>
        </is>
      </c>
      <c r="B416" t="inlineStr">
        <is>
          <t>False</t>
        </is>
      </c>
      <c r="D416" t="inlineStr">
        <is>
          <t>ENTRY, GLOBAL_CHECK, STOCKS_EXIT</t>
        </is>
      </c>
      <c r="G416">
        <f>IFERROR(VLOOKUP($A417&amp;"_"&amp;$B417,Results_Deltas!$A$2:$P$15000,5,FALSE),"")</f>
        <v/>
      </c>
      <c r="H416" t="inlineStr">
        <is>
          <t>Blanket (page end)</t>
        </is>
      </c>
      <c r="L416" t="inlineStr">
        <is>
          <t>NO</t>
        </is>
      </c>
    </row>
    <row r="417" ht="15.75" customHeight="1" s="67">
      <c r="A417" t="inlineStr">
        <is>
          <t>OI_CONFIRM_ENABLED</t>
        </is>
      </c>
      <c r="B417" t="b">
        <v>0</v>
      </c>
      <c r="D417" t="inlineStr">
        <is>
          <t>ENTRY, GLOBAL_CHECK, STOCKS_EXIT</t>
        </is>
      </c>
      <c r="G417">
        <f>IFERROR(VLOOKUP($A418&amp;"_"&amp;$B418,Results_Deltas!$A$2:$P$15000,5,FALSE),"")</f>
        <v/>
      </c>
      <c r="H417" t="inlineStr">
        <is>
          <t>Blanket (page end)</t>
        </is>
      </c>
      <c r="L417" t="inlineStr">
        <is>
          <t>YES</t>
        </is>
      </c>
    </row>
    <row r="418" ht="15.75" customHeight="1" s="67">
      <c r="A418" t="inlineStr">
        <is>
          <t>OI_CONFIRM_MIN_CHANGE_PCT</t>
        </is>
      </c>
      <c r="B418" t="inlineStr">
        <is>
          <t>0</t>
        </is>
      </c>
      <c r="D418" t="inlineStr">
        <is>
          <t>ENTRY, GLOBAL_CHECK, STOCKS_EXIT</t>
        </is>
      </c>
      <c r="G418">
        <f>IFERROR(VLOOKUP($A419&amp;"_"&amp;$B419,Results_Deltas!$A$2:$P$15000,5,FALSE),"")</f>
        <v/>
      </c>
      <c r="H418" t="inlineStr">
        <is>
          <t>Blanket (page end)</t>
        </is>
      </c>
      <c r="L418" t="inlineStr">
        <is>
          <t>NO</t>
        </is>
      </c>
    </row>
    <row r="419" ht="15.75" customHeight="1" s="67">
      <c r="A419" t="inlineStr">
        <is>
          <t>OI_CONFIRM_MIN_CHANGE_PCT</t>
        </is>
      </c>
      <c r="B419" t="inlineStr">
        <is>
          <t>2.0</t>
        </is>
      </c>
      <c r="D419" t="inlineStr">
        <is>
          <t>ENTRY, GLOBAL_CHECK, STOCKS_EXIT</t>
        </is>
      </c>
      <c r="G419">
        <f>IFERROR(VLOOKUP($A420&amp;"_"&amp;$B420,Results_Deltas!$A$2:$P$15000,5,FALSE),"")</f>
        <v/>
      </c>
      <c r="H419" t="inlineStr">
        <is>
          <t>Blanket (page end)</t>
        </is>
      </c>
      <c r="L419" t="inlineStr">
        <is>
          <t>NO</t>
        </is>
      </c>
    </row>
    <row r="420" ht="15.75" customHeight="1" s="67">
      <c r="A420" t="inlineStr">
        <is>
          <t>OI_CONFIRM_MIN_CHANGE_PCT</t>
        </is>
      </c>
      <c r="B420" t="inlineStr">
        <is>
          <t>1.0</t>
        </is>
      </c>
      <c r="D420" t="inlineStr">
        <is>
          <t>ENTRY, GLOBAL_CHECK, STOCKS_EXIT</t>
        </is>
      </c>
      <c r="G420">
        <f>IFERROR(VLOOKUP($A421&amp;"_"&amp;$B421,Results_Deltas!$A$2:$P$15000,5,FALSE),"")</f>
        <v/>
      </c>
      <c r="H420" t="inlineStr">
        <is>
          <t>Blanket (page end)</t>
        </is>
      </c>
      <c r="L420" t="inlineStr">
        <is>
          <t>NO</t>
        </is>
      </c>
    </row>
    <row r="421" ht="15.75" customHeight="1" s="67">
      <c r="A421" t="inlineStr">
        <is>
          <t>OI_CONFIRM_MIN_CHANGE_PCT</t>
        </is>
      </c>
      <c r="B421" t="inlineStr">
        <is>
          <t>0.5</t>
        </is>
      </c>
      <c r="D421" t="inlineStr">
        <is>
          <t>ENTRY, GLOBAL_CHECK, STOCKS_EXIT</t>
        </is>
      </c>
      <c r="G421">
        <f>IFERROR(VLOOKUP($A422&amp;"_"&amp;$B422,Results_Deltas!$A$2:$P$15000,5,FALSE),"")</f>
        <v/>
      </c>
      <c r="H421" t="inlineStr">
        <is>
          <t>Blanket (page end)</t>
        </is>
      </c>
      <c r="L421" t="inlineStr">
        <is>
          <t>YES</t>
        </is>
      </c>
    </row>
    <row r="422" ht="15.75" customHeight="1" s="67">
      <c r="A422" t="inlineStr">
        <is>
          <t>OI_CONFIRM_MIN_PRICE_PCT</t>
        </is>
      </c>
      <c r="B422" t="inlineStr">
        <is>
          <t>0</t>
        </is>
      </c>
      <c r="D422" t="inlineStr">
        <is>
          <t>ENTRY, GLOBAL_CHECK, STOCKS_EXIT</t>
        </is>
      </c>
      <c r="G422">
        <f>IFERROR(VLOOKUP($A423&amp;"_"&amp;$B423,Results_Deltas!$A$2:$P$15000,5,FALSE),"")</f>
        <v/>
      </c>
      <c r="H422" t="inlineStr">
        <is>
          <t>Blanket (page end)</t>
        </is>
      </c>
      <c r="L422" t="inlineStr">
        <is>
          <t>NO</t>
        </is>
      </c>
    </row>
    <row r="423" ht="15.75" customHeight="1" s="67">
      <c r="A423" t="inlineStr">
        <is>
          <t>OI_CONFIRM_MIN_PRICE_PCT</t>
        </is>
      </c>
      <c r="B423" t="inlineStr">
        <is>
          <t>2.0</t>
        </is>
      </c>
      <c r="D423" t="inlineStr">
        <is>
          <t>ENTRY, GLOBAL_CHECK, STOCKS_EXIT</t>
        </is>
      </c>
      <c r="G423">
        <f>IFERROR(VLOOKUP($A424&amp;"_"&amp;$B424,Results_Deltas!$A$2:$P$15000,5,FALSE),"")</f>
        <v/>
      </c>
      <c r="H423" t="inlineStr">
        <is>
          <t>Blanket (page end)</t>
        </is>
      </c>
      <c r="L423" t="inlineStr">
        <is>
          <t>NO</t>
        </is>
      </c>
    </row>
    <row r="424" ht="15.75" customHeight="1" s="67">
      <c r="A424" t="inlineStr">
        <is>
          <t>OI_CONFIRM_MIN_PRICE_PCT</t>
        </is>
      </c>
      <c r="B424" t="inlineStr">
        <is>
          <t>1.0</t>
        </is>
      </c>
      <c r="D424" t="inlineStr">
        <is>
          <t>ENTRY, GLOBAL_CHECK, STOCKS_EXIT</t>
        </is>
      </c>
      <c r="G424">
        <f>IFERROR(VLOOKUP($A425&amp;"_"&amp;$B425,Results_Deltas!$A$2:$P$15000,5,FALSE),"")</f>
        <v/>
      </c>
      <c r="H424" t="inlineStr">
        <is>
          <t>Blanket (page end)</t>
        </is>
      </c>
      <c r="L424" t="inlineStr">
        <is>
          <t>NO</t>
        </is>
      </c>
    </row>
    <row r="425" ht="15.75" customHeight="1" s="67">
      <c r="A425" t="inlineStr">
        <is>
          <t>OI_CONFIRM_MIN_PRICE_PCT</t>
        </is>
      </c>
      <c r="B425" t="inlineStr">
        <is>
          <t>0.5</t>
        </is>
      </c>
      <c r="D425" t="inlineStr">
        <is>
          <t>ENTRY, GLOBAL_CHECK, STOCKS_EXIT</t>
        </is>
      </c>
      <c r="G425">
        <f>IFERROR(VLOOKUP($A426&amp;"_"&amp;$B426,Results_Deltas!$A$2:$P$15000,5,FALSE),"")</f>
        <v/>
      </c>
      <c r="H425" t="inlineStr">
        <is>
          <t>Blanket (page end)</t>
        </is>
      </c>
      <c r="L425" t="inlineStr">
        <is>
          <t>NO</t>
        </is>
      </c>
    </row>
    <row r="426" ht="15.75" customHeight="1" s="67">
      <c r="A426" t="inlineStr">
        <is>
          <t>REENTRY_BOUNCE_BAR_GR_ENABLED</t>
        </is>
      </c>
      <c r="B426" t="inlineStr">
        <is>
          <t>False</t>
        </is>
      </c>
      <c r="D426" t="inlineStr">
        <is>
          <t>BOUNCE_REENTRY</t>
        </is>
      </c>
      <c r="F426">
        <f>IFERROR(VLOOKUP($A427&amp;"_"&amp;$B427,Results_Deltas!$A:$J,5,FALSE),0)</f>
        <v/>
      </c>
      <c r="G426">
        <f>IFERROR(VLOOKUP($A427&amp;"_"&amp;$B427,Results_Deltas!$A$2:$P$15000,5,FALSE),"")</f>
        <v/>
      </c>
      <c r="H426">
        <f>IFERROR(VLOOKUP($A427,Results_30d_Deltas!$A:$F,5,FALSE),0)</f>
        <v/>
      </c>
      <c r="I426">
        <f>IFERROR(VLOOKUP($A427,Results_30d_Deltas!$A:$F,6,FALSE),0)</f>
        <v/>
      </c>
      <c r="L426" t="inlineStr">
        <is>
          <t>NO</t>
        </is>
      </c>
    </row>
    <row r="427">
      <c r="A427" t="inlineStr">
        <is>
          <t>REENTRY_PULLBACK_GR_SCORE_ENABLED</t>
        </is>
      </c>
      <c r="B427" t="inlineStr">
        <is>
          <t>False</t>
        </is>
      </c>
      <c r="D427" t="inlineStr">
        <is>
          <t>BOUNCE_REENTRY</t>
        </is>
      </c>
      <c r="F427">
        <f>IFERROR(VLOOKUP($A428&amp;"_"&amp;$B428,Results_Deltas!$A:$J,5,FALSE),0)</f>
        <v/>
      </c>
      <c r="G427">
        <f>IFERROR(VLOOKUP($A428&amp;"_"&amp;$B428,Results_Deltas!$A$2:$P$15000,5,FALSE),"")</f>
        <v/>
      </c>
      <c r="H427">
        <f>IFERROR(VLOOKUP($A428,Results_30d_Deltas!$A:$F,5,FALSE),0)</f>
        <v/>
      </c>
      <c r="I427">
        <f>IFERROR(VLOOKUP($A428,Results_30d_Deltas!$A:$F,6,FALSE),0)</f>
        <v/>
      </c>
      <c r="L427" t="inlineStr">
        <is>
          <t>NO</t>
        </is>
      </c>
    </row>
    <row r="428">
      <c r="A428" t="inlineStr">
        <is>
          <t>REENTRY_DC_MID_PULLBACK_ENABLED</t>
        </is>
      </c>
      <c r="B428" t="inlineStr">
        <is>
          <t>False</t>
        </is>
      </c>
      <c r="D428" t="inlineStr">
        <is>
          <t>BOUNCE_REENTRY</t>
        </is>
      </c>
      <c r="F428">
        <f>IFERROR(VLOOKUP($A429&amp;"_"&amp;$B429,Results_Deltas!$A:$J,5,FALSE),0)</f>
        <v/>
      </c>
      <c r="G428">
        <f>IFERROR(VLOOKUP($A429&amp;"_"&amp;$B429,Results_Deltas!$A$2:$P$15000,5,FALSE),"")</f>
        <v/>
      </c>
      <c r="H428">
        <f>IFERROR(VLOOKUP($A429,Results_30d_Deltas!$A:$F,5,FALSE),0)</f>
        <v/>
      </c>
      <c r="I428">
        <f>IFERROR(VLOOKUP($A429,Results_30d_Deltas!$A:$F,6,FALSE),0)</f>
        <v/>
      </c>
      <c r="L428" t="inlineStr">
        <is>
          <t>NO</t>
        </is>
      </c>
    </row>
    <row r="429">
      <c r="A429" t="inlineStr">
        <is>
          <t>REENTRY_K_RESET_GR_ENABLED</t>
        </is>
      </c>
      <c r="B429" t="inlineStr">
        <is>
          <t>False</t>
        </is>
      </c>
      <c r="D429" t="inlineStr">
        <is>
          <t>BOUNCE_REENTRY</t>
        </is>
      </c>
      <c r="F429">
        <f>IFERROR(VLOOKUP($A430&amp;"_"&amp;$B430,Results_Deltas!$A:$J,5,FALSE),0)</f>
        <v/>
      </c>
      <c r="G429">
        <f>IFERROR(VLOOKUP($A430&amp;"_"&amp;$B430,Results_Deltas!$A$2:$P$15000,5,FALSE),"")</f>
        <v/>
      </c>
      <c r="H429">
        <f>IFERROR(VLOOKUP($A430,Results_30d_Deltas!$A:$F,5,FALSE),0)</f>
        <v/>
      </c>
      <c r="I429">
        <f>IFERROR(VLOOKUP($A430,Results_30d_Deltas!$A:$F,6,FALSE),0)</f>
        <v/>
      </c>
      <c r="L429" t="inlineStr">
        <is>
          <t>NO</t>
        </is>
      </c>
    </row>
    <row r="430">
      <c r="A430" t="inlineStr">
        <is>
          <t>REENTRY_15M_DC_BASIS_CROSS_HTF_ENABLED</t>
        </is>
      </c>
      <c r="B430" t="inlineStr">
        <is>
          <t>False</t>
        </is>
      </c>
      <c r="D430" t="inlineStr">
        <is>
          <t>BOUNCE_15M_TESTABLE</t>
        </is>
      </c>
      <c r="F430">
        <f>IFERROR(VLOOKUP($A431&amp;"_"&amp;$B431,Results_Deltas!$A:$J,5,FALSE),0)</f>
        <v/>
      </c>
      <c r="G430">
        <f>IFERROR(VLOOKUP($A431&amp;"_"&amp;$B431,Results_Deltas!$A$2:$P$15000,5,FALSE),"")</f>
        <v/>
      </c>
      <c r="H430">
        <f>IFERROR(VLOOKUP($A431,Results_30d_Deltas!$A:$F,5,FALSE),0)</f>
        <v/>
      </c>
      <c r="I430">
        <f>IFERROR(VLOOKUP($A431,Results_30d_Deltas!$A:$F,6,FALSE),0)</f>
        <v/>
      </c>
      <c r="L430" t="inlineStr">
        <is>
          <t>NO</t>
        </is>
      </c>
    </row>
    <row r="431">
      <c r="A431" t="inlineStr">
        <is>
          <t>REENTRY_15M_LRL_PULLBACK_HTF_ENABLED</t>
        </is>
      </c>
      <c r="B431" t="inlineStr">
        <is>
          <t>False</t>
        </is>
      </c>
      <c r="D431" t="inlineStr">
        <is>
          <t>BOUNCE_15M_TESTABLE</t>
        </is>
      </c>
      <c r="F431">
        <f>IFERROR(VLOOKUP($A432&amp;"_"&amp;$B432,Results_Deltas!$A:$J,5,FALSE),0)</f>
        <v/>
      </c>
      <c r="G431">
        <f>IFERROR(VLOOKUP($A432&amp;"_"&amp;$B432,Results_Deltas!$A$2:$P$15000,5,FALSE),"")</f>
        <v/>
      </c>
      <c r="H431">
        <f>IFERROR(VLOOKUP($A432,Results_30d_Deltas!$A:$F,5,FALSE),0)</f>
        <v/>
      </c>
      <c r="I431">
        <f>IFERROR(VLOOKUP($A432,Results_30d_Deltas!$A:$F,6,FALSE),0)</f>
        <v/>
      </c>
      <c r="L431" t="inlineStr">
        <is>
          <t>NO</t>
        </is>
      </c>
    </row>
    <row r="432">
      <c r="A432" t="inlineStr">
        <is>
          <t>REENTRY_15M_BB1H_LOW_BOUNCE_HTF_ENABLED</t>
        </is>
      </c>
      <c r="B432" t="inlineStr">
        <is>
          <t>False</t>
        </is>
      </c>
      <c r="D432" t="inlineStr">
        <is>
          <t>BOUNCE_15M_TESTABLE</t>
        </is>
      </c>
      <c r="F432">
        <f>IFERROR(VLOOKUP($A433&amp;"_"&amp;$B433,Results_Deltas!$A:$J,5,FALSE),0)</f>
        <v/>
      </c>
      <c r="G432">
        <f>IFERROR(VLOOKUP($A433&amp;"_"&amp;$B433,Results_Deltas!$A$2:$P$15000,5,FALSE),"")</f>
        <v/>
      </c>
      <c r="H432">
        <f>IFERROR(VLOOKUP($A433,Results_30d_Deltas!$A:$F,5,FALSE),0)</f>
        <v/>
      </c>
      <c r="I432">
        <f>IFERROR(VLOOKUP($A433,Results_30d_Deltas!$A:$F,6,FALSE),0)</f>
        <v/>
      </c>
      <c r="L432"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07 REENTRY_ADAPTIVE - 11 bases -&gt; 214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row>
    <row r="3" ht="10.5" customHeight="1" s="67">
      <c r="A3" t="inlineStr">
        <is>
          <t>HLR_REENTRY_MULT_1H</t>
        </is>
      </c>
      <c r="B3" t="inlineStr">
        <is>
          <t>0.75</t>
        </is>
      </c>
      <c r="G3">
        <f>IFERROR(VLOOKUP($A3&amp;"="&amp;$B3,Results_Deltas!$A$2:$P$15000,5,FALSE),"")</f>
        <v/>
      </c>
      <c r="H3">
        <f>IFERROR(VLOOKUP($A3,Results_30d_Deltas!$A$2:$H$5000,7,FALSE)-E3,"")</f>
        <v/>
      </c>
      <c r="I3">
        <f>IFERROR(VLOOKUP($A3,Results_30d_Deltas!$A$2:$H$5000,6,FALSE),"")</f>
        <v/>
      </c>
      <c r="L3" t="inlineStr">
        <is>
          <t>NO</t>
        </is>
      </c>
      <c r="IL3" t="inlineStr">
        <is>
          <t>ez_manage.py:4846 top()</t>
        </is>
      </c>
      <c r="IM3" t="inlineStr">
        <is>
          <t>v12_quick_engine.py:2026 x7</t>
        </is>
      </c>
    </row>
    <row r="4" ht="10.5" customHeight="1" s="67">
      <c r="A4" t="inlineStr">
        <is>
          <t>HLR_REENTRY_MULT_1H</t>
        </is>
      </c>
      <c r="B4" t="inlineStr">
        <is>
          <t>1.125</t>
        </is>
      </c>
      <c r="G4">
        <f>IFERROR(VLOOKUP($A4&amp;"_"&amp;$B4,Results_Deltas!$A$2:$P$15000,5,FALSE),"")</f>
        <v/>
      </c>
      <c r="H4">
        <f>IFERROR(VLOOKUP($A4,Results_30d_Deltas!$A$2:$H$5000,7,FALSE)-E3,"")</f>
        <v/>
      </c>
      <c r="I4">
        <f>IFERROR(VLOOKUP($A4,Results_30d_Deltas!$A$2:$H$5000,6,FALSE),"")</f>
        <v/>
      </c>
      <c r="L4" t="inlineStr">
        <is>
          <t>NO</t>
        </is>
      </c>
      <c r="IL4" t="inlineStr">
        <is>
          <t>ez_manage.py:4846 top()</t>
        </is>
      </c>
      <c r="IM4" t="inlineStr">
        <is>
          <t>v12_quick_engine.py:2026 x7</t>
        </is>
      </c>
    </row>
    <row r="5" ht="10.5" customHeight="1" s="67">
      <c r="A5" t="inlineStr">
        <is>
          <t>HLR_REENTRY_MULT_1H</t>
        </is>
      </c>
      <c r="B5" t="inlineStr">
        <is>
          <t>1.5</t>
        </is>
      </c>
      <c r="G5">
        <f>IFERROR(VLOOKUP($A5&amp;"_"&amp;$B5,Results_Deltas!$A$2:$P$15000,5,FALSE),"")</f>
        <v/>
      </c>
      <c r="H5">
        <f>IFERROR(VLOOKUP($A5,Results_30d_Deltas!$A$2:$H$5000,7,FALSE)-E4,"")</f>
        <v/>
      </c>
      <c r="I5">
        <f>IFERROR(VLOOKUP($A5,Results_30d_Deltas!$A$2:$H$5000,6,FALSE),"")</f>
        <v/>
      </c>
      <c r="L5" t="inlineStr">
        <is>
          <t>YES</t>
        </is>
      </c>
      <c r="IL5" t="inlineStr">
        <is>
          <t>ez_manage.py:4846 top()</t>
        </is>
      </c>
      <c r="IM5" t="inlineStr">
        <is>
          <t>v12_quick_engine.py:2026 x7</t>
        </is>
      </c>
    </row>
    <row r="6" ht="10.5" customHeight="1" s="67">
      <c r="A6" t="inlineStr">
        <is>
          <t>HLR_REENTRY_MULT_1H</t>
        </is>
      </c>
      <c r="B6" t="inlineStr">
        <is>
          <t>1.875</t>
        </is>
      </c>
      <c r="G6">
        <f>IFERROR(VLOOKUP($A6&amp;"_"&amp;$B6,Results_Deltas!$A$2:$P$15000,5,FALSE),"")</f>
        <v/>
      </c>
      <c r="H6">
        <f>IFERROR(VLOOKUP($A6,Results_30d_Deltas!$A$2:$H$5000,7,FALSE)-E5,"")</f>
        <v/>
      </c>
      <c r="I6">
        <f>IFERROR(VLOOKUP($A6,Results_30d_Deltas!$A$2:$H$5000,6,FALSE),"")</f>
        <v/>
      </c>
      <c r="L6" t="inlineStr">
        <is>
          <t>NO</t>
        </is>
      </c>
      <c r="IL6" t="inlineStr">
        <is>
          <t>ez_manage.py:4846 top()</t>
        </is>
      </c>
      <c r="IM6" t="inlineStr">
        <is>
          <t>v12_quick_engine.py:2026 x7</t>
        </is>
      </c>
    </row>
    <row r="7" ht="10.5" customHeight="1" s="67">
      <c r="A7" t="inlineStr">
        <is>
          <t>HLR_REENTRY_MULT_1H</t>
        </is>
      </c>
      <c r="B7" t="inlineStr">
        <is>
          <t>2.25</t>
        </is>
      </c>
      <c r="G7">
        <f>IFERROR(VLOOKUP($A7&amp;"_"&amp;$B7,Results_Deltas!$A$2:$P$15000,5,FALSE),"")</f>
        <v/>
      </c>
      <c r="H7">
        <f>IFERROR(VLOOKUP($A7,Results_30d_Deltas!$A$2:$H$5000,7,FALSE)-E6,"")</f>
        <v/>
      </c>
      <c r="I7">
        <f>IFERROR(VLOOKUP($A7,Results_30d_Deltas!$A$2:$H$5000,6,FALSE),"")</f>
        <v/>
      </c>
      <c r="L7" t="inlineStr">
        <is>
          <t>NO</t>
        </is>
      </c>
      <c r="IL7" t="inlineStr">
        <is>
          <t>ez_manage.py:4846 top()</t>
        </is>
      </c>
      <c r="IM7" t="inlineStr">
        <is>
          <t>v12_quick_engine.py:2026 x7</t>
        </is>
      </c>
    </row>
    <row r="8" ht="10.5" customHeight="1" s="67">
      <c r="A8" t="inlineStr">
        <is>
          <t>CHANNEL_REENTRY_STOP_ENABLED</t>
        </is>
      </c>
      <c r="B8" t="inlineStr">
        <is>
          <t>False</t>
        </is>
      </c>
      <c r="G8">
        <f>IFERROR(VLOOKUP($A8&amp;"_"&amp;$B8,Results_Deltas!$A$2:$P$15000,5,FALSE),"")</f>
        <v/>
      </c>
      <c r="H8">
        <f>IFERROR(VLOOKUP($A8,Results_30d_Deltas!$A$2:$H$5000,7,FALSE)-E7,"")</f>
        <v/>
      </c>
      <c r="I8">
        <f>IFERROR(VLOOKUP($A8,Results_30d_Deltas!$A$2:$H$5000,6,FALSE),"")</f>
        <v/>
      </c>
      <c r="L8" t="inlineStr">
        <is>
          <t>YES</t>
        </is>
      </c>
      <c r="IL8" t="inlineStr">
        <is>
          <t>ez_manage.py:5968 top()</t>
        </is>
      </c>
      <c r="IM8" t="inlineStr">
        <is>
          <t>v12_quick_engine.py:482 x8</t>
        </is>
      </c>
    </row>
    <row r="9" ht="10.5" customHeight="1" s="67">
      <c r="A9" t="inlineStr">
        <is>
          <t>CHANNEL_REENTRY_STOP_ENABLED</t>
        </is>
      </c>
      <c r="B9" t="inlineStr">
        <is>
          <t>True</t>
        </is>
      </c>
      <c r="G9">
        <f>IFERROR(VLOOKUP($A9&amp;"_"&amp;$B9,Results_Deltas!$A$2:$P$15000,5,FALSE),"")</f>
        <v/>
      </c>
      <c r="H9">
        <f>IFERROR(VLOOKUP($A9,Results_30d_Deltas!$A$2:$H$5000,7,FALSE)-E8,"")</f>
        <v/>
      </c>
      <c r="I9">
        <f>IFERROR(VLOOKUP($A9,Results_30d_Deltas!$A$2:$H$5000,6,FALSE),"")</f>
        <v/>
      </c>
      <c r="L9" t="inlineStr">
        <is>
          <t>NO</t>
        </is>
      </c>
      <c r="IL9" t="inlineStr">
        <is>
          <t>ez_manage.py:5968 top()</t>
        </is>
      </c>
      <c r="IM9" t="inlineStr">
        <is>
          <t>v12_quick_engine.py:482 x8</t>
        </is>
      </c>
    </row>
    <row r="10" ht="10.5" customHeight="1" s="67">
      <c r="A10" t="inlineStr">
        <is>
          <t>DAEMON_REENTRY_STALE_EXIT_ENABLED</t>
        </is>
      </c>
      <c r="B10" t="inlineStr">
        <is>
          <t>False</t>
        </is>
      </c>
      <c r="G10">
        <f>IFERROR(VLOOKUP($A10&amp;"_"&amp;$B10,Results_Deltas!$A$2:$P$15000,5,FALSE),"")</f>
        <v/>
      </c>
      <c r="H10">
        <f>IFERROR(VLOOKUP($A10,Results_30d_Deltas!$A$2:$H$5000,7,FALSE)-E9,"")</f>
        <v/>
      </c>
      <c r="I10">
        <f>IFERROR(VLOOKUP($A10,Results_30d_Deltas!$A$2:$H$5000,6,FALSE),"")</f>
        <v/>
      </c>
      <c r="L10" t="inlineStr">
        <is>
          <t>YES</t>
        </is>
      </c>
      <c r="IL10" t="inlineStr">
        <is>
          <t>ez_manage.py:4561 top()</t>
        </is>
      </c>
      <c r="IM10" t="inlineStr">
        <is>
          <t>v12_quick_engine.py:519 x9</t>
        </is>
      </c>
    </row>
    <row r="11" ht="10.5" customHeight="1" s="67">
      <c r="A11" t="inlineStr">
        <is>
          <t>DAEMON_REENTRY_STALE_EXIT_ENABLED</t>
        </is>
      </c>
      <c r="B11" t="inlineStr">
        <is>
          <t>True</t>
        </is>
      </c>
      <c r="G11">
        <f>IFERROR(VLOOKUP($A11&amp;"_"&amp;$B11,Results_Deltas!$A$2:$P$15000,5,FALSE),"")</f>
        <v/>
      </c>
      <c r="H11">
        <f>IFERROR(VLOOKUP($A11,Results_30d_Deltas!$A$2:$H$5000,7,FALSE)-E10,"")</f>
        <v/>
      </c>
      <c r="I11">
        <f>IFERROR(VLOOKUP($A11,Results_30d_Deltas!$A$2:$H$5000,6,FALSE),"")</f>
        <v/>
      </c>
      <c r="L11" t="inlineStr">
        <is>
          <t>NO</t>
        </is>
      </c>
      <c r="IL11" t="inlineStr">
        <is>
          <t>ez_manage.py:4561 top()</t>
        </is>
      </c>
      <c r="IM11" t="inlineStr">
        <is>
          <t>v12_quick_engine.py:519 x9</t>
        </is>
      </c>
    </row>
    <row r="12" ht="10.5" customHeight="1" s="67">
      <c r="A12" t="inlineStr">
        <is>
          <t>BREAKOUT_LEASH_REENTRY_MULT</t>
        </is>
      </c>
      <c r="B12" t="inlineStr">
        <is>
          <t>0</t>
        </is>
      </c>
      <c r="G12">
        <f>IFERROR(VLOOKUP($A12&amp;"_"&amp;$B12,Results_Deltas!$A$2:$P$15000,5,FALSE),"")</f>
        <v/>
      </c>
      <c r="H12">
        <f>IFERROR(VLOOKUP($A12,Results_30d_Deltas!$A$2:$H$5000,7,FALSE)-E11,"")</f>
        <v/>
      </c>
      <c r="I12">
        <f>IFERROR(VLOOKUP($A12,Results_30d_Deltas!$A$2:$H$5000,6,FALSE),"")</f>
        <v/>
      </c>
      <c r="L12" t="inlineStr">
        <is>
          <t>NO</t>
        </is>
      </c>
      <c r="IL12" t="inlineStr">
        <is>
          <t>ez_manage.py:2999 top()</t>
        </is>
      </c>
      <c r="IM12" t="inlineStr">
        <is>
          <t>v12_quick_engine.py:371 x12</t>
        </is>
      </c>
    </row>
    <row r="13" ht="10.5" customHeight="1" s="67">
      <c r="A13" t="inlineStr">
        <is>
          <t>BREAKOUT_LEASH_REENTRY_MULT</t>
        </is>
      </c>
      <c r="B13" t="inlineStr">
        <is>
          <t>0.5</t>
        </is>
      </c>
      <c r="G13">
        <f>IFERROR(VLOOKUP($A13&amp;"_"&amp;$B13,Results_Deltas!$A$2:$P$15000,5,FALSE),"")</f>
        <v/>
      </c>
      <c r="H13">
        <f>IFERROR(VLOOKUP($A13,Results_30d_Deltas!$A$2:$H$5000,7,FALSE)-E12,"")</f>
        <v/>
      </c>
      <c r="I13">
        <f>IFERROR(VLOOKUP($A13,Results_30d_Deltas!$A$2:$H$5000,6,FALSE),"")</f>
        <v/>
      </c>
      <c r="L13" t="inlineStr">
        <is>
          <t>NO</t>
        </is>
      </c>
      <c r="IL13" t="inlineStr">
        <is>
          <t>ez_manage.py:2999 top()</t>
        </is>
      </c>
      <c r="IM13" t="inlineStr">
        <is>
          <t>v12_quick_engine.py:371 x12</t>
        </is>
      </c>
    </row>
    <row r="14" ht="10.5" customHeight="1" s="67">
      <c r="A14" t="inlineStr">
        <is>
          <t>BREAKOUT_LEASH_REENTRY_MULT</t>
        </is>
      </c>
      <c r="B14" t="inlineStr">
        <is>
          <t>1.0</t>
        </is>
      </c>
      <c r="G14">
        <f>IFERROR(VLOOKUP($A14&amp;"_"&amp;$B14,Results_Deltas!$A$2:$P$15000,5,FALSE),"")</f>
        <v/>
      </c>
      <c r="H14">
        <f>IFERROR(VLOOKUP($A14,Results_30d_Deltas!$A$2:$H$5000,7,FALSE)-E13,"")</f>
        <v/>
      </c>
      <c r="I14">
        <f>IFERROR(VLOOKUP($A14,Results_30d_Deltas!$A$2:$H$5000,6,FALSE),"")</f>
        <v/>
      </c>
      <c r="L14" t="inlineStr">
        <is>
          <t>NO</t>
        </is>
      </c>
      <c r="IL14" t="inlineStr">
        <is>
          <t>ez_manage.py:2999 top()</t>
        </is>
      </c>
      <c r="IM14" t="inlineStr">
        <is>
          <t>v12_quick_engine.py:371 x12</t>
        </is>
      </c>
    </row>
    <row r="15" ht="10.5" customHeight="1" s="67">
      <c r="A15" t="inlineStr">
        <is>
          <t>BREAKOUT_LEASH_REENTRY_MULT</t>
        </is>
      </c>
      <c r="B15" t="inlineStr">
        <is>
          <t>2.0</t>
        </is>
      </c>
      <c r="G15">
        <f>IFERROR(VLOOKUP($A15&amp;"_"&amp;$B15,Results_Deltas!$A$2:$P$15000,5,FALSE),"")</f>
        <v/>
      </c>
      <c r="H15">
        <f>IFERROR(VLOOKUP($A15,Results_30d_Deltas!$A$2:$H$5000,7,FALSE)-E14,"")</f>
        <v/>
      </c>
      <c r="I15">
        <f>IFERROR(VLOOKUP($A15,Results_30d_Deltas!$A$2:$H$5000,6,FALSE),"")</f>
        <v/>
      </c>
      <c r="L15" t="inlineStr">
        <is>
          <t>NO</t>
        </is>
      </c>
      <c r="IL15" t="inlineStr">
        <is>
          <t>ez_manage.py:2999 top()</t>
        </is>
      </c>
      <c r="IM15" t="inlineStr">
        <is>
          <t>v12_quick_engine.py:371 x12</t>
        </is>
      </c>
    </row>
    <row r="16" ht="10.5" customHeight="1" s="67">
      <c r="A16" t="inlineStr">
        <is>
          <t>DAEMON_REENTRY_SHORT_WT_XUNDER_GATE_ENABLED</t>
        </is>
      </c>
      <c r="B16" t="inlineStr">
        <is>
          <t>False</t>
        </is>
      </c>
      <c r="G16">
        <f>IFERROR(VLOOKUP($A16&amp;"_"&amp;$B16,Results_Deltas!$A$2:$P$15000,5,FALSE),"")</f>
        <v/>
      </c>
      <c r="H16">
        <f>IFERROR(VLOOKUP($A16,Results_30d_Deltas!$A$2:$H$5000,7,FALSE)-E15,"")</f>
        <v/>
      </c>
      <c r="I16">
        <f>IFERROR(VLOOKUP($A16,Results_30d_Deltas!$A$2:$H$5000,6,FALSE),"")</f>
        <v/>
      </c>
      <c r="L16" t="inlineStr">
        <is>
          <t>YES</t>
        </is>
      </c>
      <c r="IL16" t="inlineStr">
        <is>
          <t>ez_manage.py:4560 top()</t>
        </is>
      </c>
      <c r="IM16" t="inlineStr">
        <is>
          <t>v12_quick_engine.py:513 x9</t>
        </is>
      </c>
    </row>
    <row r="17" ht="10.5" customHeight="1" s="67">
      <c r="A17" t="inlineStr">
        <is>
          <t>DAEMON_REENTRY_SHORT_WT_XUNDER_GATE_ENABLED</t>
        </is>
      </c>
      <c r="B17" t="inlineStr">
        <is>
          <t>True</t>
        </is>
      </c>
      <c r="G17">
        <f>IFERROR(VLOOKUP($A17&amp;"_"&amp;$B17,Results_Deltas!$A$2:$P$15000,5,FALSE),"")</f>
        <v/>
      </c>
      <c r="H17">
        <f>IFERROR(VLOOKUP($A17,Results_30d_Deltas!$A$2:$H$5000,7,FALSE)-E16,"")</f>
        <v/>
      </c>
      <c r="I17">
        <f>IFERROR(VLOOKUP($A17,Results_30d_Deltas!$A$2:$H$5000,6,FALSE),"")</f>
        <v/>
      </c>
      <c r="L17" t="inlineStr">
        <is>
          <t>NO</t>
        </is>
      </c>
      <c r="IL17" t="inlineStr">
        <is>
          <t>ez_manage.py:4560 top()</t>
        </is>
      </c>
      <c r="IM17" t="inlineStr">
        <is>
          <t>v12_quick_engine.py:513 x9</t>
        </is>
      </c>
    </row>
    <row r="18" ht="10.5" customHeight="1" s="67">
      <c r="A18" t="inlineStr">
        <is>
          <t>HLR_REENTRY_MAX_AGE_S</t>
        </is>
      </c>
      <c r="B18" t="inlineStr">
        <is>
          <t>0</t>
        </is>
      </c>
      <c r="G18">
        <f>IFERROR(VLOOKUP($A18&amp;"_"&amp;$B18,Results_Deltas!$A$2:$P$15000,5,FALSE),"")</f>
        <v/>
      </c>
      <c r="H18">
        <f>IFERROR(VLOOKUP($A18,Results_30d_Deltas!$A$2:$H$5000,7,FALSE)-E17,"")</f>
        <v/>
      </c>
      <c r="I18">
        <f>IFERROR(VLOOKUP($A18,Results_30d_Deltas!$A$2:$H$5000,6,FALSE),"")</f>
        <v/>
      </c>
      <c r="L18" t="inlineStr">
        <is>
          <t>NO</t>
        </is>
      </c>
      <c r="IL18" t="inlineStr">
        <is>
          <t>ez_manage.py:4844 top()</t>
        </is>
      </c>
      <c r="IM18" t="inlineStr">
        <is>
          <t>v12_quick_engine.py:2024 x4</t>
        </is>
      </c>
    </row>
    <row r="19" ht="10.5" customHeight="1" s="67">
      <c r="A19" t="inlineStr">
        <is>
          <t>HLR_REENTRY_MAX_AGE_S</t>
        </is>
      </c>
      <c r="B19" t="inlineStr">
        <is>
          <t>0.5</t>
        </is>
      </c>
      <c r="G19">
        <f>IFERROR(VLOOKUP($A19&amp;"_"&amp;$B19,Results_Deltas!$A$2:$P$15000,5,FALSE),"")</f>
        <v/>
      </c>
      <c r="H19">
        <f>IFERROR(VLOOKUP($A19,Results_30d_Deltas!$A$2:$H$5000,7,FALSE)-E18,"")</f>
        <v/>
      </c>
      <c r="I19">
        <f>IFERROR(VLOOKUP($A19,Results_30d_Deltas!$A$2:$H$5000,6,FALSE),"")</f>
        <v/>
      </c>
      <c r="L19" t="inlineStr">
        <is>
          <t>NO</t>
        </is>
      </c>
      <c r="IL19" t="inlineStr">
        <is>
          <t>ez_manage.py:4844 top()</t>
        </is>
      </c>
      <c r="IM19" t="inlineStr">
        <is>
          <t>v12_quick_engine.py:2024 x4</t>
        </is>
      </c>
    </row>
    <row r="20" ht="10.5" customHeight="1" s="67">
      <c r="A20" t="inlineStr">
        <is>
          <t>HLR_REENTRY_MAX_AGE_S</t>
        </is>
      </c>
      <c r="B20" t="inlineStr">
        <is>
          <t>1.0</t>
        </is>
      </c>
      <c r="G20">
        <f>IFERROR(VLOOKUP($A20&amp;"_"&amp;$B20,Results_Deltas!$A$2:$P$15000,5,FALSE),"")</f>
        <v/>
      </c>
      <c r="H20">
        <f>IFERROR(VLOOKUP($A20,Results_30d_Deltas!$A$2:$H$5000,7,FALSE)-E19,"")</f>
        <v/>
      </c>
      <c r="I20">
        <f>IFERROR(VLOOKUP($A20,Results_30d_Deltas!$A$2:$H$5000,6,FALSE),"")</f>
        <v/>
      </c>
      <c r="L20" t="inlineStr">
        <is>
          <t>NO</t>
        </is>
      </c>
      <c r="IL20" t="inlineStr">
        <is>
          <t>ez_manage.py:4844 top()</t>
        </is>
      </c>
      <c r="IM20" t="inlineStr">
        <is>
          <t>v12_quick_engine.py:2024 x4</t>
        </is>
      </c>
    </row>
    <row r="21" ht="10.5" customHeight="1" s="67">
      <c r="A21" t="inlineStr">
        <is>
          <t>HLR_REENTRY_MAX_AGE_S</t>
        </is>
      </c>
      <c r="B21" t="inlineStr">
        <is>
          <t>2.0</t>
        </is>
      </c>
      <c r="G21">
        <f>IFERROR(VLOOKUP($A21&amp;"_"&amp;$B21,Results_Deltas!$A$2:$P$15000,5,FALSE),"")</f>
        <v/>
      </c>
      <c r="H21">
        <f>IFERROR(VLOOKUP($A21,Results_30d_Deltas!$A$2:$H$5000,7,FALSE)-E20,"")</f>
        <v/>
      </c>
      <c r="I21">
        <f>IFERROR(VLOOKUP($A21,Results_30d_Deltas!$A$2:$H$5000,6,FALSE),"")</f>
        <v/>
      </c>
      <c r="L21" t="inlineStr">
        <is>
          <t>NO</t>
        </is>
      </c>
      <c r="IL21" t="inlineStr">
        <is>
          <t>ez_manage.py:4844 top()</t>
        </is>
      </c>
      <c r="IM21" t="inlineStr">
        <is>
          <t>v12_quick_engine.py:2024 x4</t>
        </is>
      </c>
    </row>
    <row r="22" ht="10.5" customHeight="1" s="67">
      <c r="A22" t="inlineStr">
        <is>
          <t>HLR_REENTRY_MULT_4H</t>
        </is>
      </c>
      <c r="B22" t="inlineStr">
        <is>
          <t>1.0</t>
        </is>
      </c>
      <c r="G22">
        <f>IFERROR(VLOOKUP($A22&amp;"_"&amp;$B22,Results_Deltas!$A$2:$P$15000,5,FALSE),"")</f>
        <v/>
      </c>
      <c r="H22">
        <f>IFERROR(VLOOKUP($A22,Results_30d_Deltas!$A$2:$H$5000,7,FALSE)-E21,"")</f>
        <v/>
      </c>
      <c r="I22">
        <f>IFERROR(VLOOKUP($A22,Results_30d_Deltas!$A$2:$H$5000,6,FALSE),"")</f>
        <v/>
      </c>
      <c r="L22" t="inlineStr">
        <is>
          <t>NO</t>
        </is>
      </c>
      <c r="IL22" t="inlineStr">
        <is>
          <t>ez_manage.py:4847 top()</t>
        </is>
      </c>
      <c r="IM22" t="inlineStr">
        <is>
          <t>v12_quick_engine.py:2027 x6</t>
        </is>
      </c>
    </row>
    <row r="23" ht="10.5" customHeight="1" s="67">
      <c r="A23" t="inlineStr">
        <is>
          <t>HLR_REENTRY_MULT_4H</t>
        </is>
      </c>
      <c r="B23" t="inlineStr">
        <is>
          <t>1.5</t>
        </is>
      </c>
      <c r="G23">
        <f>IFERROR(VLOOKUP($A23&amp;"_"&amp;$B23,Results_Deltas!$A$2:$P$15000,5,FALSE),"")</f>
        <v/>
      </c>
      <c r="H23">
        <f>IFERROR(VLOOKUP($A23,Results_30d_Deltas!$A$2:$H$5000,7,FALSE)-E22,"")</f>
        <v/>
      </c>
      <c r="I23">
        <f>IFERROR(VLOOKUP($A23,Results_30d_Deltas!$A$2:$H$5000,6,FALSE),"")</f>
        <v/>
      </c>
      <c r="L23" t="inlineStr">
        <is>
          <t>NO</t>
        </is>
      </c>
      <c r="IL23" t="inlineStr">
        <is>
          <t>ez_manage.py:4847 top()</t>
        </is>
      </c>
      <c r="IM23" t="inlineStr">
        <is>
          <t>v12_quick_engine.py:2027 x6</t>
        </is>
      </c>
    </row>
    <row r="24" ht="10.5" customHeight="1" s="67">
      <c r="A24" t="inlineStr">
        <is>
          <t>HLR_REENTRY_MULT_4H</t>
        </is>
      </c>
      <c r="B24" t="inlineStr">
        <is>
          <t>2.0</t>
        </is>
      </c>
      <c r="G24">
        <f>IFERROR(VLOOKUP($A24&amp;"_"&amp;$B24,Results_Deltas!$A$2:$P$15000,5,FALSE),"")</f>
        <v/>
      </c>
      <c r="H24">
        <f>IFERROR(VLOOKUP($A24,Results_30d_Deltas!$A$2:$H$5000,7,FALSE)-E23,"")</f>
        <v/>
      </c>
      <c r="I24">
        <f>IFERROR(VLOOKUP($A24,Results_30d_Deltas!$A$2:$H$5000,6,FALSE),"")</f>
        <v/>
      </c>
      <c r="L24" t="inlineStr">
        <is>
          <t>YES</t>
        </is>
      </c>
      <c r="IL24" t="inlineStr">
        <is>
          <t>ez_manage.py:4847 top()</t>
        </is>
      </c>
      <c r="IM24" t="inlineStr">
        <is>
          <t>v12_quick_engine.py:2027 x6</t>
        </is>
      </c>
    </row>
    <row r="25" ht="10.5" customHeight="1" s="67">
      <c r="A25" t="inlineStr">
        <is>
          <t>HLR_REENTRY_MULT_4H</t>
        </is>
      </c>
      <c r="B25" t="inlineStr">
        <is>
          <t>2.5</t>
        </is>
      </c>
      <c r="G25">
        <f>IFERROR(VLOOKUP($A25&amp;"_"&amp;$B25,Results_Deltas!$A$2:$P$15000,5,FALSE),"")</f>
        <v/>
      </c>
      <c r="H25">
        <f>IFERROR(VLOOKUP($A25,Results_30d_Deltas!$A$2:$H$5000,7,FALSE)-E24,"")</f>
        <v/>
      </c>
      <c r="I25">
        <f>IFERROR(VLOOKUP($A25,Results_30d_Deltas!$A$2:$H$5000,6,FALSE),"")</f>
        <v/>
      </c>
      <c r="L25" t="inlineStr">
        <is>
          <t>NO</t>
        </is>
      </c>
      <c r="IL25" t="inlineStr">
        <is>
          <t>ez_manage.py:4847 top()</t>
        </is>
      </c>
      <c r="IM25" t="inlineStr">
        <is>
          <t>v12_quick_engine.py:2027 x6</t>
        </is>
      </c>
    </row>
    <row r="26" ht="10.5" customHeight="1" s="67">
      <c r="A26" t="inlineStr">
        <is>
          <t>HLR_REENTRY_MULT_4H</t>
        </is>
      </c>
      <c r="B26" t="inlineStr">
        <is>
          <t>3.0</t>
        </is>
      </c>
      <c r="G26">
        <f>IFERROR(VLOOKUP($A26&amp;"_"&amp;$B26,Results_Deltas!$A$2:$P$15000,5,FALSE),"")</f>
        <v/>
      </c>
      <c r="H26">
        <f>IFERROR(VLOOKUP($A26,Results_30d_Deltas!$A$2:$H$5000,7,FALSE)-E25,"")</f>
        <v/>
      </c>
      <c r="I26">
        <f>IFERROR(VLOOKUP($A26,Results_30d_Deltas!$A$2:$H$5000,6,FALSE),"")</f>
        <v/>
      </c>
      <c r="L26" t="inlineStr">
        <is>
          <t>NO</t>
        </is>
      </c>
      <c r="IL26" t="inlineStr">
        <is>
          <t>ez_manage.py:4847 top()</t>
        </is>
      </c>
      <c r="IM26" t="inlineStr">
        <is>
          <t>v12_quick_engine.py:2027 x6</t>
        </is>
      </c>
    </row>
    <row r="27" ht="10.5" customHeight="1" s="67">
      <c r="A27" t="inlineStr">
        <is>
          <t>HLR_REENTRY_MULT_D</t>
        </is>
      </c>
      <c r="B27" t="inlineStr">
        <is>
          <t>1.25</t>
        </is>
      </c>
      <c r="G27">
        <f>IFERROR(VLOOKUP($A27&amp;"_"&amp;$B27,Results_Deltas!$A$2:$P$15000,5,FALSE),"")</f>
        <v/>
      </c>
      <c r="H27">
        <f>IFERROR(VLOOKUP($A27,Results_30d_Deltas!$A$2:$H$5000,7,FALSE)-E26,"")</f>
        <v/>
      </c>
      <c r="I27">
        <f>IFERROR(VLOOKUP($A27,Results_30d_Deltas!$A$2:$H$5000,6,FALSE),"")</f>
        <v/>
      </c>
      <c r="L27" t="inlineStr">
        <is>
          <t>NO</t>
        </is>
      </c>
      <c r="IL27" t="inlineStr">
        <is>
          <t>ez_manage.py:4848 top()</t>
        </is>
      </c>
      <c r="IM27" t="inlineStr">
        <is>
          <t>v12_quick_engine.py:2028 x4</t>
        </is>
      </c>
    </row>
    <row r="28" ht="10.5" customHeight="1" s="67">
      <c r="A28" t="inlineStr">
        <is>
          <t>HLR_REENTRY_MULT_D</t>
        </is>
      </c>
      <c r="B28" t="inlineStr">
        <is>
          <t>1.875</t>
        </is>
      </c>
      <c r="G28">
        <f>IFERROR(VLOOKUP($A28&amp;"_"&amp;$B28,Results_Deltas!$A$2:$P$15000,5,FALSE),"")</f>
        <v/>
      </c>
      <c r="H28">
        <f>IFERROR(VLOOKUP($A28,Results_30d_Deltas!$A$2:$H$5000,7,FALSE)-E27,"")</f>
        <v/>
      </c>
      <c r="I28">
        <f>IFERROR(VLOOKUP($A28,Results_30d_Deltas!$A$2:$H$5000,6,FALSE),"")</f>
        <v/>
      </c>
      <c r="L28" t="inlineStr">
        <is>
          <t>NO</t>
        </is>
      </c>
      <c r="IL28" t="inlineStr">
        <is>
          <t>ez_manage.py:4848 top()</t>
        </is>
      </c>
      <c r="IM28" t="inlineStr">
        <is>
          <t>v12_quick_engine.py:2028 x4</t>
        </is>
      </c>
    </row>
    <row r="29" ht="10.5" customHeight="1" s="67">
      <c r="A29" t="inlineStr">
        <is>
          <t>HLR_REENTRY_MULT_D</t>
        </is>
      </c>
      <c r="B29" t="inlineStr">
        <is>
          <t>2.5</t>
        </is>
      </c>
      <c r="G29">
        <f>IFERROR(VLOOKUP($A29&amp;"_"&amp;$B29,Results_Deltas!$A$2:$P$15000,5,FALSE),"")</f>
        <v/>
      </c>
      <c r="H29">
        <f>IFERROR(VLOOKUP($A29,Results_30d_Deltas!$A$2:$H$5000,7,FALSE)-E28,"")</f>
        <v/>
      </c>
      <c r="I29">
        <f>IFERROR(VLOOKUP($A29,Results_30d_Deltas!$A$2:$H$5000,6,FALSE),"")</f>
        <v/>
      </c>
      <c r="L29" t="inlineStr">
        <is>
          <t>YES</t>
        </is>
      </c>
      <c r="IL29" t="inlineStr">
        <is>
          <t>ez_manage.py:4848 top()</t>
        </is>
      </c>
      <c r="IM29" t="inlineStr">
        <is>
          <t>v12_quick_engine.py:2028 x4</t>
        </is>
      </c>
    </row>
    <row r="30" ht="10.5" customHeight="1" s="67">
      <c r="A30" t="inlineStr">
        <is>
          <t>HLR_REENTRY_MULT_D</t>
        </is>
      </c>
      <c r="B30" t="inlineStr">
        <is>
          <t>3.125</t>
        </is>
      </c>
      <c r="G30">
        <f>IFERROR(VLOOKUP($A30&amp;"_"&amp;$B30,Results_Deltas!$A$2:$P$15000,5,FALSE),"")</f>
        <v/>
      </c>
      <c r="H30">
        <f>IFERROR(VLOOKUP($A30,Results_30d_Deltas!$A$2:$H$5000,7,FALSE)-E29,"")</f>
        <v/>
      </c>
      <c r="I30">
        <f>IFERROR(VLOOKUP($A30,Results_30d_Deltas!$A$2:$H$5000,6,FALSE),"")</f>
        <v/>
      </c>
      <c r="L30" t="inlineStr">
        <is>
          <t>NO</t>
        </is>
      </c>
      <c r="IL30" t="inlineStr">
        <is>
          <t>ez_manage.py:4848 top()</t>
        </is>
      </c>
      <c r="IM30" t="inlineStr">
        <is>
          <t>v12_quick_engine.py:2028 x4</t>
        </is>
      </c>
    </row>
    <row r="31" ht="10.5" customHeight="1" s="67">
      <c r="A31" t="inlineStr">
        <is>
          <t>HLR_REENTRY_MULT_D</t>
        </is>
      </c>
      <c r="B31" t="inlineStr">
        <is>
          <t>3.75</t>
        </is>
      </c>
      <c r="G31">
        <f>IFERROR(VLOOKUP($A31&amp;"_"&amp;$B31,Results_Deltas!$A$2:$P$15000,5,FALSE),"")</f>
        <v/>
      </c>
      <c r="H31">
        <f>IFERROR(VLOOKUP($A31,Results_30d_Deltas!$A$2:$H$5000,7,FALSE)-E30,"")</f>
        <v/>
      </c>
      <c r="I31">
        <f>IFERROR(VLOOKUP($A31,Results_30d_Deltas!$A$2:$H$5000,6,FALSE),"")</f>
        <v/>
      </c>
      <c r="L31" t="inlineStr">
        <is>
          <t>NO</t>
        </is>
      </c>
      <c r="IL31" t="inlineStr">
        <is>
          <t>ez_manage.py:4848 top()</t>
        </is>
      </c>
      <c r="IM31" t="inlineStr">
        <is>
          <t>v12_quick_engine.py:2028 x4</t>
        </is>
      </c>
    </row>
    <row r="32" ht="10.5" customHeight="1" s="67">
      <c r="A32" t="inlineStr">
        <is>
          <t>HLR_REENTRY_MULT_W</t>
        </is>
      </c>
      <c r="B32" t="inlineStr">
        <is>
          <t>1.5</t>
        </is>
      </c>
      <c r="G32">
        <f>IFERROR(VLOOKUP($A32&amp;"_"&amp;$B32,Results_Deltas!$A$2:$P$15000,5,FALSE),"")</f>
        <v/>
      </c>
      <c r="H32">
        <f>IFERROR(VLOOKUP($A32,Results_30d_Deltas!$A$2:$H$5000,7,FALSE)-E31,"")</f>
        <v/>
      </c>
      <c r="I32">
        <f>IFERROR(VLOOKUP($A32,Results_30d_Deltas!$A$2:$H$5000,6,FALSE),"")</f>
        <v/>
      </c>
      <c r="L32" t="inlineStr">
        <is>
          <t>NO</t>
        </is>
      </c>
      <c r="IL32" t="inlineStr">
        <is>
          <t>ez_manage.py:4849 top()</t>
        </is>
      </c>
      <c r="IM32" t="inlineStr">
        <is>
          <t>v12_quick_engine.py:2029 x4</t>
        </is>
      </c>
    </row>
    <row r="33" ht="10.5" customHeight="1" s="67">
      <c r="A33" t="inlineStr">
        <is>
          <t>HLR_REENTRY_MULT_W</t>
        </is>
      </c>
      <c r="B33" t="inlineStr">
        <is>
          <t>2.25</t>
        </is>
      </c>
      <c r="G33">
        <f>IFERROR(VLOOKUP($A33&amp;"_"&amp;$B33,Results_Deltas!$A$2:$P$15000,5,FALSE),"")</f>
        <v/>
      </c>
      <c r="H33">
        <f>IFERROR(VLOOKUP($A33,Results_30d_Deltas!$A$2:$H$5000,7,FALSE)-E32,"")</f>
        <v/>
      </c>
      <c r="I33">
        <f>IFERROR(VLOOKUP($A33,Results_30d_Deltas!$A$2:$H$5000,6,FALSE),"")</f>
        <v/>
      </c>
      <c r="L33" t="inlineStr">
        <is>
          <t>NO</t>
        </is>
      </c>
      <c r="IL33" t="inlineStr">
        <is>
          <t>ez_manage.py:4849 top()</t>
        </is>
      </c>
      <c r="IM33" t="inlineStr">
        <is>
          <t>v12_quick_engine.py:2029 x4</t>
        </is>
      </c>
    </row>
    <row r="34" ht="10.5" customHeight="1" s="67">
      <c r="A34" t="inlineStr">
        <is>
          <t>HLR_REENTRY_MULT_W</t>
        </is>
      </c>
      <c r="B34" t="inlineStr">
        <is>
          <t>3.0</t>
        </is>
      </c>
      <c r="G34">
        <f>IFERROR(VLOOKUP($A34&amp;"_"&amp;$B34,Results_Deltas!$A$2:$P$15000,5,FALSE),"")</f>
        <v/>
      </c>
      <c r="H34">
        <f>IFERROR(VLOOKUP($A34,Results_30d_Deltas!$A$2:$H$5000,7,FALSE)-E33,"")</f>
        <v/>
      </c>
      <c r="I34">
        <f>IFERROR(VLOOKUP($A34,Results_30d_Deltas!$A$2:$H$5000,6,FALSE),"")</f>
        <v/>
      </c>
      <c r="L34" t="inlineStr">
        <is>
          <t>YES</t>
        </is>
      </c>
      <c r="IL34" t="inlineStr">
        <is>
          <t>ez_manage.py:4849 top()</t>
        </is>
      </c>
      <c r="IM34" t="inlineStr">
        <is>
          <t>v12_quick_engine.py:2029 x4</t>
        </is>
      </c>
    </row>
    <row r="35" ht="10.5" customHeight="1" s="67">
      <c r="A35" t="inlineStr">
        <is>
          <t>HLR_REENTRY_MULT_W</t>
        </is>
      </c>
      <c r="B35" t="inlineStr">
        <is>
          <t>3.75</t>
        </is>
      </c>
      <c r="G35">
        <f>IFERROR(VLOOKUP($A35&amp;"_"&amp;$B35,Results_Deltas!$A$2:$P$15000,5,FALSE),"")</f>
        <v/>
      </c>
      <c r="H35">
        <f>IFERROR(VLOOKUP($A35,Results_30d_Deltas!$A$2:$H$5000,7,FALSE)-E34,"")</f>
        <v/>
      </c>
      <c r="I35">
        <f>IFERROR(VLOOKUP($A35,Results_30d_Deltas!$A$2:$H$5000,6,FALSE),"")</f>
        <v/>
      </c>
      <c r="L35" t="inlineStr">
        <is>
          <t>NO</t>
        </is>
      </c>
      <c r="IL35" t="inlineStr">
        <is>
          <t>ez_manage.py:4849 top()</t>
        </is>
      </c>
      <c r="IM35" t="inlineStr">
        <is>
          <t>v12_quick_engine.py:2029 x4</t>
        </is>
      </c>
    </row>
    <row r="36" ht="10.5" customHeight="1" s="67">
      <c r="A36" t="inlineStr">
        <is>
          <t>HLR_REENTRY_MULT_W</t>
        </is>
      </c>
      <c r="B36" t="inlineStr">
        <is>
          <t>4.5</t>
        </is>
      </c>
      <c r="G36">
        <f>IFERROR(VLOOKUP($A36&amp;"_"&amp;$B36,Results_Deltas!$A$2:$P$15000,5,FALSE),"")</f>
        <v/>
      </c>
      <c r="H36">
        <f>IFERROR(VLOOKUP($A36,Results_30d_Deltas!$A$2:$H$5000,7,FALSE)-E35,"")</f>
        <v/>
      </c>
      <c r="I36">
        <f>IFERROR(VLOOKUP($A36,Results_30d_Deltas!$A$2:$H$5000,6,FALSE),"")</f>
        <v/>
      </c>
      <c r="L36" t="inlineStr">
        <is>
          <t>NO</t>
        </is>
      </c>
      <c r="IL36" t="inlineStr">
        <is>
          <t>ez_manage.py:4849 top()</t>
        </is>
      </c>
      <c r="IM36" t="inlineStr">
        <is>
          <t>v12_quick_engine.py:2029 x4</t>
        </is>
      </c>
    </row>
    <row r="37" ht="10.5" customHeight="1" s="67">
      <c r="A37" t="inlineStr">
        <is>
          <t>REENTRY_SIZE_BREAKOUT_MULT</t>
        </is>
      </c>
      <c r="B37" t="inlineStr">
        <is>
          <t>0</t>
        </is>
      </c>
      <c r="G37">
        <f>IFERROR(VLOOKUP($A37&amp;"_"&amp;$B37,Results_Deltas!$A$2:$P$15000,5,FALSE),"")</f>
        <v/>
      </c>
      <c r="H37">
        <f>IFERROR(VLOOKUP($A37,Results_30d_Deltas!$A$2:$H$5000,7,FALSE)-E36,"")</f>
        <v/>
      </c>
      <c r="I37">
        <f>IFERROR(VLOOKUP($A37,Results_30d_Deltas!$A$2:$H$5000,6,FALSE),"")</f>
        <v/>
      </c>
      <c r="L37" t="inlineStr">
        <is>
          <t>NO</t>
        </is>
      </c>
      <c r="IL37" t="inlineStr">
        <is>
          <t>ez_manage.py:3870 top()</t>
        </is>
      </c>
      <c r="IM37" t="inlineStr">
        <is>
          <t>v12_quick_engine.py:2903 x3</t>
        </is>
      </c>
    </row>
    <row r="38" ht="10.5" customHeight="1" s="67">
      <c r="A38" t="inlineStr">
        <is>
          <t>REENTRY_SIZE_BREAKOUT_MULT</t>
        </is>
      </c>
      <c r="B38" t="inlineStr">
        <is>
          <t>0.5</t>
        </is>
      </c>
      <c r="G38">
        <f>IFERROR(VLOOKUP($A38&amp;"_"&amp;$B38,Results_Deltas!$A$2:$P$15000,5,FALSE),"")</f>
        <v/>
      </c>
      <c r="H38">
        <f>IFERROR(VLOOKUP($A38,Results_30d_Deltas!$A$2:$H$5000,7,FALSE)-E37,"")</f>
        <v/>
      </c>
      <c r="I38">
        <f>IFERROR(VLOOKUP($A38,Results_30d_Deltas!$A$2:$H$5000,6,FALSE),"")</f>
        <v/>
      </c>
      <c r="L38" t="inlineStr">
        <is>
          <t>NO</t>
        </is>
      </c>
      <c r="IL38" t="inlineStr">
        <is>
          <t>ez_manage.py:3870 top()</t>
        </is>
      </c>
      <c r="IM38" t="inlineStr">
        <is>
          <t>v12_quick_engine.py:2903 x3</t>
        </is>
      </c>
    </row>
    <row r="39" ht="10.5" customHeight="1" s="67">
      <c r="A39" t="inlineStr">
        <is>
          <t>REENTRY_SIZE_BREAKOUT_MULT</t>
        </is>
      </c>
      <c r="B39" t="inlineStr">
        <is>
          <t>1.0</t>
        </is>
      </c>
      <c r="G39">
        <f>IFERROR(VLOOKUP($A39&amp;"_"&amp;$B39,Results_Deltas!$A$2:$P$15000,5,FALSE),"")</f>
        <v/>
      </c>
      <c r="H39">
        <f>IFERROR(VLOOKUP($A39,Results_30d_Deltas!$A$2:$H$5000,7,FALSE)-E38,"")</f>
        <v/>
      </c>
      <c r="I39">
        <f>IFERROR(VLOOKUP($A39,Results_30d_Deltas!$A$2:$H$5000,6,FALSE),"")</f>
        <v/>
      </c>
      <c r="L39" t="inlineStr">
        <is>
          <t>NO</t>
        </is>
      </c>
      <c r="IL39" t="inlineStr">
        <is>
          <t>ez_manage.py:3870 top()</t>
        </is>
      </c>
      <c r="IM39" t="inlineStr">
        <is>
          <t>v12_quick_engine.py:2903 x3</t>
        </is>
      </c>
    </row>
    <row r="40" ht="10.5" customHeight="1" s="67">
      <c r="A40" t="inlineStr">
        <is>
          <t>REENTRY_SIZE_BREAKOUT_MULT</t>
        </is>
      </c>
      <c r="B40" t="inlineStr">
        <is>
          <t>2.0</t>
        </is>
      </c>
      <c r="G40">
        <f>IFERROR(VLOOKUP($A40&amp;"_"&amp;$B40,Results_Deltas!$A$2:$P$15000,5,FALSE),"")</f>
        <v/>
      </c>
      <c r="H40">
        <f>IFERROR(VLOOKUP($A40,Results_30d_Deltas!$A$2:$H$5000,7,FALSE)-E39,"")</f>
        <v/>
      </c>
      <c r="I40">
        <f>IFERROR(VLOOKUP($A40,Results_30d_Deltas!$A$2:$H$5000,6,FALSE),"")</f>
        <v/>
      </c>
      <c r="L40" t="inlineStr">
        <is>
          <t>NO</t>
        </is>
      </c>
      <c r="IL40" t="inlineStr">
        <is>
          <t>ez_manage.py:3870 top()</t>
        </is>
      </c>
      <c r="IM40" t="inlineStr">
        <is>
          <t>v12_quick_engine.py:2903 x3</t>
        </is>
      </c>
    </row>
    <row r="41" ht="15.75" customHeight="1" s="67">
      <c r="A41" t="inlineStr">
        <is>
          <t>ADX_RANGING_THRESHOLD</t>
        </is>
      </c>
      <c r="B41" t="inlineStr">
        <is>
          <t>20</t>
        </is>
      </c>
      <c r="D41" t="inlineStr">
        <is>
          <t>ENTRY, GLOBAL_CHECK, STOCKS_EXIT</t>
        </is>
      </c>
      <c r="G41">
        <f>IFERROR(VLOOKUP($A41&amp;"_"&amp;$B41,Results_Deltas!$A$2:$P$15000,5,FALSE),"")</f>
        <v/>
      </c>
      <c r="H41" t="inlineStr">
        <is>
          <t>Blanket (page end)</t>
        </is>
      </c>
      <c r="L41" t="inlineStr">
        <is>
          <t>NO</t>
        </is>
      </c>
    </row>
    <row r="42" ht="15.75" customHeight="1" s="67">
      <c r="A42" t="inlineStr">
        <is>
          <t>ADX_RANGING_THRESHOLD</t>
        </is>
      </c>
      <c r="B42" t="inlineStr">
        <is>
          <t>25</t>
        </is>
      </c>
      <c r="D42" t="inlineStr">
        <is>
          <t>ENTRY, GLOBAL_CHECK, STOCKS_EXIT</t>
        </is>
      </c>
      <c r="G42">
        <f>IFERROR(VLOOKUP($A42&amp;"_"&amp;$B42,Results_Deltas!$A$2:$P$15000,5,FALSE),"")</f>
        <v/>
      </c>
      <c r="H42" t="inlineStr">
        <is>
          <t>Blanket (page end)</t>
        </is>
      </c>
      <c r="L42" t="inlineStr">
        <is>
          <t>NO</t>
        </is>
      </c>
    </row>
    <row r="43" ht="15.75" customHeight="1" s="67">
      <c r="A43" t="inlineStr">
        <is>
          <t>ADX_RANGING_THRESHOLD</t>
        </is>
      </c>
      <c r="B43" t="inlineStr">
        <is>
          <t>15</t>
        </is>
      </c>
      <c r="D43" t="inlineStr">
        <is>
          <t>ENTRY, GLOBAL_CHECK, STOCKS_EXIT</t>
        </is>
      </c>
      <c r="G43">
        <f>IFERROR(VLOOKUP($A43&amp;"_"&amp;$B43,Results_Deltas!$A$2:$P$15000,5,FALSE),"")</f>
        <v/>
      </c>
      <c r="H43" t="inlineStr">
        <is>
          <t>Blanket (page end)</t>
        </is>
      </c>
      <c r="L43" t="inlineStr">
        <is>
          <t>NO</t>
        </is>
      </c>
    </row>
    <row r="44" ht="15.75" customHeight="1" s="67">
      <c r="A44" t="inlineStr">
        <is>
          <t>ADX_RANGING_THRESHOLD</t>
        </is>
      </c>
      <c r="B44" t="n">
        <v>20</v>
      </c>
      <c r="D44" t="inlineStr">
        <is>
          <t>ENTRY, GLOBAL_CHECK, STOCKS_EXIT</t>
        </is>
      </c>
      <c r="G44">
        <f>IFERROR(VLOOKUP($A44&amp;"_"&amp;$B44,Results_Deltas!$A$2:$P$15000,5,FALSE),"")</f>
        <v/>
      </c>
      <c r="H44" t="inlineStr">
        <is>
          <t>Blanket (page end)</t>
        </is>
      </c>
      <c r="L44" t="inlineStr">
        <is>
          <t>YES</t>
        </is>
      </c>
    </row>
    <row r="45" ht="15.75" customHeight="1" s="67">
      <c r="A45" t="inlineStr">
        <is>
          <t>BANDAID_OFF_LOSER_RECOVER_PCT</t>
        </is>
      </c>
      <c r="B45" t="inlineStr">
        <is>
          <t>0</t>
        </is>
      </c>
      <c r="D45" t="inlineStr">
        <is>
          <t>AUGMENT, ENTRY, EXIT, GLOBAL_CHECK, REDUCE, STOCKS_EXIT</t>
        </is>
      </c>
      <c r="G45">
        <f>IFERROR(VLOOKUP($A45&amp;"_"&amp;$B45,Results_Deltas!$A$2:$P$15000,5,FALSE),"")</f>
        <v/>
      </c>
      <c r="H45" t="inlineStr">
        <is>
          <t>Blanket (page end)</t>
        </is>
      </c>
      <c r="L45" t="inlineStr">
        <is>
          <t>NO</t>
        </is>
      </c>
    </row>
    <row r="46" ht="15.75" customHeight="1" s="67">
      <c r="A46" t="inlineStr">
        <is>
          <t>BANDAID_OFF_LOSER_RECOVER_PCT</t>
        </is>
      </c>
      <c r="B46" t="inlineStr">
        <is>
          <t>2.0</t>
        </is>
      </c>
      <c r="D46" t="inlineStr">
        <is>
          <t>AUGMENT, ENTRY, EXIT, GLOBAL_CHECK, REDUCE, STOCKS_EXIT</t>
        </is>
      </c>
      <c r="G46">
        <f>IFERROR(VLOOKUP($A46&amp;"_"&amp;$B46,Results_Deltas!$A$2:$P$15000,5,FALSE),"")</f>
        <v/>
      </c>
      <c r="H46" t="inlineStr">
        <is>
          <t>Blanket (page end)</t>
        </is>
      </c>
      <c r="L46" t="inlineStr">
        <is>
          <t>NO</t>
        </is>
      </c>
    </row>
    <row r="47" ht="15.75" customHeight="1" s="67">
      <c r="A47" t="inlineStr">
        <is>
          <t>BANDAID_OFF_LOSER_RECOVER_PCT</t>
        </is>
      </c>
      <c r="B47" t="inlineStr">
        <is>
          <t>1.0</t>
        </is>
      </c>
      <c r="D47" t="inlineStr">
        <is>
          <t>AUGMENT, ENTRY, EXIT, GLOBAL_CHECK, REDUCE, STOCKS_EXIT</t>
        </is>
      </c>
      <c r="G47">
        <f>IFERROR(VLOOKUP($A47&amp;"_"&amp;$B47,Results_Deltas!$A$2:$P$15000,5,FALSE),"")</f>
        <v/>
      </c>
      <c r="H47" t="inlineStr">
        <is>
          <t>Blanket (page end)</t>
        </is>
      </c>
      <c r="L47" t="inlineStr">
        <is>
          <t>NO</t>
        </is>
      </c>
    </row>
    <row r="48" ht="15.75" customHeight="1" s="67">
      <c r="A48" t="inlineStr">
        <is>
          <t>BANDAID_OFF_LOSER_RECOVER_PCT</t>
        </is>
      </c>
      <c r="B48" t="inlineStr">
        <is>
          <t>0.5</t>
        </is>
      </c>
      <c r="D48" t="inlineStr">
        <is>
          <t>AUGMENT, ENTRY, EXIT, GLOBAL_CHECK, REDUCE, STOCKS_EXIT</t>
        </is>
      </c>
      <c r="G48">
        <f>IFERROR(VLOOKUP($A48&amp;"_"&amp;$B48,Results_Deltas!$A$2:$P$15000,5,FALSE),"")</f>
        <v/>
      </c>
      <c r="H48" t="inlineStr">
        <is>
          <t>Blanket (page end)</t>
        </is>
      </c>
      <c r="L48" t="inlineStr">
        <is>
          <t>NO</t>
        </is>
      </c>
    </row>
    <row r="49" ht="15.75" customHeight="1" s="67">
      <c r="A49" t="inlineStr">
        <is>
          <t>BAND_ARROW_ENABLED</t>
        </is>
      </c>
      <c r="B49" t="inlineStr">
        <is>
          <t>False</t>
        </is>
      </c>
      <c r="D49" t="inlineStr">
        <is>
          <t>GLOBAL_CHECK, STOCKS_EXIT</t>
        </is>
      </c>
      <c r="G49">
        <f>IFERROR(VLOOKUP($A49&amp;"_"&amp;$B49,Results_Deltas!$A$2:$P$15000,5,FALSE),"")</f>
        <v/>
      </c>
      <c r="H49" t="inlineStr">
        <is>
          <t>Blanket (page end)</t>
        </is>
      </c>
      <c r="L49" t="inlineStr">
        <is>
          <t>YES</t>
        </is>
      </c>
    </row>
    <row r="50" ht="15.75" customHeight="1" s="67">
      <c r="A50" t="inlineStr">
        <is>
          <t>BAND_ARROW_ENABLED</t>
        </is>
      </c>
      <c r="B50" t="inlineStr">
        <is>
          <t>True</t>
        </is>
      </c>
      <c r="D50" t="inlineStr">
        <is>
          <t>GLOBAL_CHECK, STOCKS_EXIT</t>
        </is>
      </c>
      <c r="G50">
        <f>IFERROR(VLOOKUP($A50&amp;"_"&amp;$B50,Results_Deltas!$A$2:$P$15000,5,FALSE),"")</f>
        <v/>
      </c>
      <c r="H50" t="inlineStr">
        <is>
          <t>Blanket (page end)</t>
        </is>
      </c>
      <c r="L50" t="inlineStr">
        <is>
          <t>NO</t>
        </is>
      </c>
    </row>
    <row r="51" ht="15.75" customHeight="1" s="67">
      <c r="A51" t="inlineStr">
        <is>
          <t>BTC_ACCEL_RAMP_REQUIRE_POSITIVE</t>
        </is>
      </c>
      <c r="B51" t="inlineStr">
        <is>
          <t>0.0</t>
        </is>
      </c>
      <c r="D51" t="inlineStr">
        <is>
          <t>UNIVERSAL (ex-BTC) — ENTRY/EXIT/REENTRY</t>
        </is>
      </c>
      <c r="G51">
        <f>IFERROR(VLOOKUP($A51&amp;"_"&amp;$B51,Results_Deltas!$A$2:$P$15000,5,FALSE),"")</f>
        <v/>
      </c>
      <c r="H51" t="inlineStr">
        <is>
          <t>Blanket (page end)</t>
        </is>
      </c>
      <c r="L51" t="inlineStr">
        <is>
          <t>NO</t>
        </is>
      </c>
    </row>
    <row r="52" ht="15.75" customHeight="1" s="67">
      <c r="A52" t="inlineStr">
        <is>
          <t>BTC_ACCEL_RAMP_REQUIRE_POSITIVE</t>
        </is>
      </c>
      <c r="B52" t="inlineStr">
        <is>
          <t>0.0_ALT</t>
        </is>
      </c>
      <c r="D52" t="inlineStr">
        <is>
          <t>UNIVERSAL (ex-BTC) — ENTRY/EXIT/REENTRY</t>
        </is>
      </c>
      <c r="G52">
        <f>IFERROR(VLOOKUP($A52&amp;"_"&amp;$B52,Results_Deltas!$A$2:$P$15000,5,FALSE),"")</f>
        <v/>
      </c>
      <c r="H52" t="inlineStr">
        <is>
          <t>Blanket (page end)</t>
        </is>
      </c>
      <c r="L52" t="inlineStr">
        <is>
          <t>NO</t>
        </is>
      </c>
    </row>
    <row r="53" ht="15.75" customHeight="1" s="67">
      <c r="A53" t="inlineStr">
        <is>
          <t>BTC_HARD_BLOCK_OTHER_ACCOUNTS</t>
        </is>
      </c>
      <c r="B53" t="inlineStr">
        <is>
          <t>0.0</t>
        </is>
      </c>
      <c r="D53" t="inlineStr">
        <is>
          <t>UNIVERSAL (ex-BTC) — ENTRY/EXIT/REENTRY</t>
        </is>
      </c>
      <c r="G53">
        <f>IFERROR(VLOOKUP($A53&amp;"_"&amp;$B53,Results_Deltas!$A$2:$P$15000,5,FALSE),"")</f>
        <v/>
      </c>
      <c r="H53" t="inlineStr">
        <is>
          <t>Blanket (page end)</t>
        </is>
      </c>
      <c r="L53" t="inlineStr">
        <is>
          <t>NO</t>
        </is>
      </c>
    </row>
    <row r="54" ht="15.75" customHeight="1" s="67">
      <c r="A54" t="inlineStr">
        <is>
          <t>BTC_HARD_BLOCK_OTHER_ACCOUNTS</t>
        </is>
      </c>
      <c r="B54" t="inlineStr">
        <is>
          <t>0.0_ALT</t>
        </is>
      </c>
      <c r="D54" t="inlineStr">
        <is>
          <t>UNIVERSAL (ex-BTC) — ENTRY/EXIT/REENTRY</t>
        </is>
      </c>
      <c r="G54">
        <f>IFERROR(VLOOKUP($A54&amp;"_"&amp;$B54,Results_Deltas!$A$2:$P$15000,5,FALSE),"")</f>
        <v/>
      </c>
      <c r="H54" t="inlineStr">
        <is>
          <t>Blanket (page end)</t>
        </is>
      </c>
      <c r="L54" t="inlineStr">
        <is>
          <t>NO</t>
        </is>
      </c>
    </row>
    <row r="55" ht="15.75" customHeight="1" s="67">
      <c r="A55" t="inlineStr">
        <is>
          <t>BTC_ROUND_BANDS_EACH_SIDE</t>
        </is>
      </c>
      <c r="B55" t="inlineStr">
        <is>
          <t>0.0</t>
        </is>
      </c>
      <c r="D55" t="inlineStr">
        <is>
          <t>UNIVERSAL (ex-BTC) — ENTRY/EXIT/REENTRY</t>
        </is>
      </c>
      <c r="G55">
        <f>IFERROR(VLOOKUP($A55&amp;"_"&amp;$B55,Results_Deltas!$A$2:$P$15000,5,FALSE),"")</f>
        <v/>
      </c>
      <c r="H55" t="inlineStr">
        <is>
          <t>Blanket (page end)</t>
        </is>
      </c>
      <c r="L55" t="inlineStr">
        <is>
          <t>NO</t>
        </is>
      </c>
    </row>
    <row r="56" ht="15.75" customHeight="1" s="67">
      <c r="A56" t="inlineStr">
        <is>
          <t>BTC_ROUND_BANDS_EACH_SIDE</t>
        </is>
      </c>
      <c r="B56" t="inlineStr">
        <is>
          <t>0.0_ALT</t>
        </is>
      </c>
      <c r="D56" t="inlineStr">
        <is>
          <t>UNIVERSAL (ex-BTC) — ENTRY/EXIT/REENTRY</t>
        </is>
      </c>
      <c r="G56">
        <f>IFERROR(VLOOKUP($A56&amp;"_"&amp;$B56,Results_Deltas!$A$2:$P$15000,5,FALSE),"")</f>
        <v/>
      </c>
      <c r="H56" t="inlineStr">
        <is>
          <t>Blanket (page end)</t>
        </is>
      </c>
      <c r="L56" t="inlineStr">
        <is>
          <t>NO</t>
        </is>
      </c>
    </row>
    <row r="57" ht="15.75" customHeight="1" s="67">
      <c r="A57" t="inlineStr">
        <is>
          <t>COOLDOWN_LOCKS_FILTER_TF</t>
        </is>
      </c>
      <c r="B57" t="inlineStr">
        <is>
          <t>OFF</t>
        </is>
      </c>
      <c r="D57" t="inlineStr">
        <is>
          <t>GLOBAL_CHECK</t>
        </is>
      </c>
      <c r="G57">
        <f>IFERROR(VLOOKUP($A57&amp;"_"&amp;$B57,Results_Deltas!$A$2:$P$15000,5,FALSE),"")</f>
        <v/>
      </c>
      <c r="H57" t="inlineStr">
        <is>
          <t>Blanket (page end)</t>
        </is>
      </c>
      <c r="L57" t="inlineStr">
        <is>
          <t>NO</t>
        </is>
      </c>
    </row>
    <row r="58" ht="15.75" customHeight="1" s="67">
      <c r="A58" t="inlineStr">
        <is>
          <t>COOLDOWN_LOCKS_FILTER_TF</t>
        </is>
      </c>
      <c r="B58" t="inlineStr">
        <is>
          <t>D</t>
        </is>
      </c>
      <c r="D58" t="inlineStr">
        <is>
          <t>GLOBAL_CHECK</t>
        </is>
      </c>
      <c r="G58">
        <f>IFERROR(VLOOKUP($A58&amp;"_"&amp;$B58,Results_Deltas!$A$2:$P$15000,5,FALSE),"")</f>
        <v/>
      </c>
      <c r="H58" t="inlineStr">
        <is>
          <t>Blanket (page end)</t>
        </is>
      </c>
      <c r="L58" t="inlineStr">
        <is>
          <t>NO</t>
        </is>
      </c>
    </row>
    <row r="59" ht="15.75" customHeight="1" s="67">
      <c r="A59" t="inlineStr">
        <is>
          <t>COOLDOWN_LOCKS_FILTER_TF</t>
        </is>
      </c>
      <c r="B59" t="inlineStr">
        <is>
          <t>4h</t>
        </is>
      </c>
      <c r="D59" t="inlineStr">
        <is>
          <t>GLOBAL_CHECK</t>
        </is>
      </c>
      <c r="G59">
        <f>IFERROR(VLOOKUP($A59&amp;"_"&amp;$B59,Results_Deltas!$A$2:$P$15000,5,FALSE),"")</f>
        <v/>
      </c>
      <c r="H59" t="inlineStr">
        <is>
          <t>Blanket (page end)</t>
        </is>
      </c>
      <c r="L59" t="inlineStr">
        <is>
          <t>NO</t>
        </is>
      </c>
    </row>
    <row r="60" ht="15.75" customHeight="1" s="67">
      <c r="A60" t="inlineStr">
        <is>
          <t>COOLDOWN_LOCKS_FILTER_TF</t>
        </is>
      </c>
      <c r="B60" t="inlineStr">
        <is>
          <t>1h</t>
        </is>
      </c>
      <c r="D60" t="inlineStr">
        <is>
          <t>GLOBAL_CHECK</t>
        </is>
      </c>
      <c r="G60">
        <f>IFERROR(VLOOKUP($A60&amp;"_"&amp;$B60,Results_Deltas!$A$2:$P$15000,5,FALSE),"")</f>
        <v/>
      </c>
      <c r="H60" t="inlineStr">
        <is>
          <t>Blanket (page end)</t>
        </is>
      </c>
      <c r="L60" t="inlineStr">
        <is>
          <t>NO</t>
        </is>
      </c>
    </row>
    <row r="61" ht="15.75" customHeight="1" s="67">
      <c r="A61" t="inlineStr">
        <is>
          <t>COOLDOWN_LOCKS_FILTER_TF</t>
        </is>
      </c>
      <c r="B61" t="inlineStr">
        <is>
          <t>15m</t>
        </is>
      </c>
      <c r="D61" t="inlineStr">
        <is>
          <t>GLOBAL_CHECK</t>
        </is>
      </c>
      <c r="G61">
        <f>IFERROR(VLOOKUP($A61&amp;"_"&amp;$B61,Results_Deltas!$A$2:$P$15000,5,FALSE),"")</f>
        <v/>
      </c>
      <c r="H61" t="inlineStr">
        <is>
          <t>Blanket (page end)</t>
        </is>
      </c>
      <c r="L61" t="inlineStr">
        <is>
          <t>YES</t>
        </is>
      </c>
    </row>
    <row r="62" ht="15.75" customHeight="1" s="67">
      <c r="A62" t="inlineStr">
        <is>
          <t>CRYPTO_SPIKE_FADE_THRESHOLD_PCT</t>
        </is>
      </c>
      <c r="B62" t="n">
        <v>0</v>
      </c>
      <c r="D62" t="inlineStr">
        <is>
          <t>GLOBAL_CHECK, STOCKS_EXIT</t>
        </is>
      </c>
      <c r="G62">
        <f>IFERROR(VLOOKUP($A62&amp;"_"&amp;$B62,Results_Deltas!$A$2:$P$15000,5,FALSE),"")</f>
        <v/>
      </c>
      <c r="H62" t="inlineStr">
        <is>
          <t>Blanket (page end)</t>
        </is>
      </c>
      <c r="L62" t="inlineStr">
        <is>
          <t>YES</t>
        </is>
      </c>
    </row>
    <row r="63" ht="15.75" customHeight="1" s="67">
      <c r="A63" t="inlineStr">
        <is>
          <t>CRYPTO_SPIKE_FADE_THRESHOLD_PCT</t>
        </is>
      </c>
      <c r="B63" t="inlineStr">
        <is>
          <t>12.5</t>
        </is>
      </c>
      <c r="D63" t="inlineStr">
        <is>
          <t>GLOBAL_CHECK, STOCKS_EXIT</t>
        </is>
      </c>
      <c r="G63">
        <f>IFERROR(VLOOKUP($A63&amp;"_"&amp;$B63,Results_Deltas!$A$2:$P$15000,5,FALSE),"")</f>
        <v/>
      </c>
      <c r="H63" t="inlineStr">
        <is>
          <t>Blanket (page end)</t>
        </is>
      </c>
      <c r="L63" t="inlineStr">
        <is>
          <t>NO</t>
        </is>
      </c>
    </row>
    <row r="64" ht="15.75" customHeight="1" s="67">
      <c r="A64" t="inlineStr">
        <is>
          <t>CRYPTO_SPIKE_FADE_THRESHOLD_PCT</t>
        </is>
      </c>
      <c r="B64" t="inlineStr">
        <is>
          <t>7.5</t>
        </is>
      </c>
      <c r="D64" t="inlineStr">
        <is>
          <t>GLOBAL_CHECK, STOCKS_EXIT</t>
        </is>
      </c>
      <c r="G64">
        <f>IFERROR(VLOOKUP($A64&amp;"_"&amp;$B64,Results_Deltas!$A$2:$P$15000,5,FALSE),"")</f>
        <v/>
      </c>
      <c r="H64" t="inlineStr">
        <is>
          <t>Blanket (page end)</t>
        </is>
      </c>
      <c r="L64" t="inlineStr">
        <is>
          <t>NO</t>
        </is>
      </c>
    </row>
    <row r="65" ht="15.75" customHeight="1" s="67">
      <c r="A65" t="inlineStr">
        <is>
          <t>CRYPTO_SPIKE_FADE_THRESHOLD_PCT</t>
        </is>
      </c>
      <c r="B65" t="inlineStr">
        <is>
          <t>5</t>
        </is>
      </c>
      <c r="D65" t="inlineStr">
        <is>
          <t>GLOBAL_CHECK, STOCKS_EXIT</t>
        </is>
      </c>
      <c r="G65">
        <f>IFERROR(VLOOKUP($A65&amp;"_"&amp;$B65,Results_Deltas!$A$2:$P$15000,5,FALSE),"")</f>
        <v/>
      </c>
      <c r="H65" t="inlineStr">
        <is>
          <t>Blanket (page end)</t>
        </is>
      </c>
      <c r="L65" t="inlineStr">
        <is>
          <t>NO</t>
        </is>
      </c>
    </row>
    <row r="66" ht="15.75" customHeight="1" s="67">
      <c r="A66" t="inlineStr">
        <is>
          <t>DC_MOMENT_STRONG_THRESHOLD</t>
        </is>
      </c>
      <c r="B66" t="n">
        <v>0</v>
      </c>
      <c r="D66" t="inlineStr">
        <is>
          <t>ENTRY, GLOBAL_CHECK, STOCKS_EXIT</t>
        </is>
      </c>
      <c r="G66">
        <f>IFERROR(VLOOKUP($A66&amp;"_"&amp;$B66,Results_Deltas!$A$2:$P$15000,5,FALSE),"")</f>
        <v/>
      </c>
      <c r="H66" t="inlineStr">
        <is>
          <t>Blanket (page end)</t>
        </is>
      </c>
      <c r="L66" t="inlineStr">
        <is>
          <t>YES</t>
        </is>
      </c>
    </row>
    <row r="67" ht="15.75" customHeight="1" s="67">
      <c r="A67" t="inlineStr">
        <is>
          <t>DC_MOMENT_STRONG_THRESHOLD</t>
        </is>
      </c>
      <c r="B67" t="inlineStr">
        <is>
          <t>50</t>
        </is>
      </c>
      <c r="D67" t="inlineStr">
        <is>
          <t>ENTRY, GLOBAL_CHECK, STOCKS_EXIT</t>
        </is>
      </c>
      <c r="G67">
        <f>IFERROR(VLOOKUP($A67&amp;"_"&amp;$B67,Results_Deltas!$A$2:$P$15000,5,FALSE),"")</f>
        <v/>
      </c>
      <c r="H67" t="inlineStr">
        <is>
          <t>Blanket (page end)</t>
        </is>
      </c>
      <c r="L67" t="inlineStr">
        <is>
          <t>NO</t>
        </is>
      </c>
    </row>
    <row r="68" ht="15.75" customHeight="1" s="67">
      <c r="A68" t="inlineStr">
        <is>
          <t>DC_MOMENT_STRONG_THRESHOLD</t>
        </is>
      </c>
      <c r="B68" t="inlineStr">
        <is>
          <t>30</t>
        </is>
      </c>
      <c r="D68" t="inlineStr">
        <is>
          <t>ENTRY, GLOBAL_CHECK, STOCKS_EXIT</t>
        </is>
      </c>
      <c r="G68">
        <f>IFERROR(VLOOKUP($A68&amp;"_"&amp;$B68,Results_Deltas!$A$2:$P$15000,5,FALSE),"")</f>
        <v/>
      </c>
      <c r="H68" t="inlineStr">
        <is>
          <t>Blanket (page end)</t>
        </is>
      </c>
      <c r="L68" t="inlineStr">
        <is>
          <t>NO</t>
        </is>
      </c>
    </row>
    <row r="69" ht="15.75" customHeight="1" s="67">
      <c r="A69" t="inlineStr">
        <is>
          <t>DC_MOMENT_STRONG_THRESHOLD</t>
        </is>
      </c>
      <c r="B69" t="inlineStr">
        <is>
          <t>20</t>
        </is>
      </c>
      <c r="D69" t="inlineStr">
        <is>
          <t>ENTRY, GLOBAL_CHECK, STOCKS_EXIT</t>
        </is>
      </c>
      <c r="G69">
        <f>IFERROR(VLOOKUP($A69&amp;"_"&amp;$B69,Results_Deltas!$A$2:$P$15000,5,FALSE),"")</f>
        <v/>
      </c>
      <c r="H69" t="inlineStr">
        <is>
          <t>Blanket (page end)</t>
        </is>
      </c>
      <c r="L69" t="inlineStr">
        <is>
          <t>NO</t>
        </is>
      </c>
    </row>
    <row r="70" ht="15.75" customHeight="1" s="67">
      <c r="A70" t="inlineStr">
        <is>
          <t>DELTA_HTF_GATE</t>
        </is>
      </c>
      <c r="B70" t="inlineStr">
        <is>
          <t>4h</t>
        </is>
      </c>
      <c r="D70" t="inlineStr">
        <is>
          <t>ENTRY, GLOBAL_CHECK, STOCKS_EXIT</t>
        </is>
      </c>
      <c r="G70">
        <f>IFERROR(VLOOKUP($A70&amp;"_"&amp;$B70,Results_Deltas!$A$2:$P$15000,5,FALSE),"")</f>
        <v/>
      </c>
      <c r="H70" t="inlineStr">
        <is>
          <t>Blanket (page end)</t>
        </is>
      </c>
      <c r="L70" t="inlineStr">
        <is>
          <t>NO</t>
        </is>
      </c>
    </row>
    <row r="71" ht="15.75" customHeight="1" s="67">
      <c r="A71" t="inlineStr">
        <is>
          <t>DELTA_HTF_GATE</t>
        </is>
      </c>
      <c r="B71" t="inlineStr">
        <is>
          <t>4h_ALT</t>
        </is>
      </c>
      <c r="D71" t="inlineStr">
        <is>
          <t>ENTRY, GLOBAL_CHECK, STOCKS_EXIT</t>
        </is>
      </c>
      <c r="G71">
        <f>IFERROR(VLOOKUP($A71&amp;"_"&amp;$B71,Results_Deltas!$A$2:$P$15000,5,FALSE),"")</f>
        <v/>
      </c>
      <c r="H71" t="inlineStr">
        <is>
          <t>Blanket (page end)</t>
        </is>
      </c>
      <c r="L71" t="inlineStr">
        <is>
          <t>NO</t>
        </is>
      </c>
    </row>
    <row r="72" ht="15.75" customHeight="1" s="67">
      <c r="A72" t="inlineStr">
        <is>
          <t>DELTA_REENTRY_FILTER_ENABLED</t>
        </is>
      </c>
      <c r="B72" t="inlineStr">
        <is>
          <t>False</t>
        </is>
      </c>
      <c r="D72" t="inlineStr">
        <is>
          <t>ENTRY, GLOBAL_CHECK, STOCKS_EXIT</t>
        </is>
      </c>
      <c r="G72">
        <f>IFERROR(VLOOKUP($A72&amp;"_"&amp;$B72,Results_Deltas!$A$2:$P$15000,5,FALSE),"")</f>
        <v/>
      </c>
      <c r="H72" t="inlineStr">
        <is>
          <t>Blanket (page end)</t>
        </is>
      </c>
      <c r="L72" t="inlineStr">
        <is>
          <t>YES</t>
        </is>
      </c>
    </row>
    <row r="73" ht="15.75" customHeight="1" s="67">
      <c r="A73" t="inlineStr">
        <is>
          <t>DELTA_REENTRY_FILTER_ENABLED</t>
        </is>
      </c>
      <c r="B73" t="inlineStr">
        <is>
          <t>True</t>
        </is>
      </c>
      <c r="D73" t="inlineStr">
        <is>
          <t>ENTRY, GLOBAL_CHECK, STOCKS_EXIT</t>
        </is>
      </c>
      <c r="G73">
        <f>IFERROR(VLOOKUP($A73&amp;"_"&amp;$B73,Results_Deltas!$A$2:$P$15000,5,FALSE),"")</f>
        <v/>
      </c>
      <c r="H73" t="inlineStr">
        <is>
          <t>Blanket (page end)</t>
        </is>
      </c>
      <c r="L73" t="inlineStr">
        <is>
          <t>NO</t>
        </is>
      </c>
    </row>
    <row r="74" ht="15.75" customHeight="1" s="67">
      <c r="A74" t="inlineStr">
        <is>
          <t>DUP_GUARD_FILTER_TF</t>
        </is>
      </c>
      <c r="B74" t="inlineStr">
        <is>
          <t>OFF</t>
        </is>
      </c>
      <c r="D74" t="inlineStr">
        <is>
          <t>GLOBAL_CHECK</t>
        </is>
      </c>
      <c r="G74">
        <f>IFERROR(VLOOKUP($A74&amp;"_"&amp;$B74,Results_Deltas!$A$2:$P$15000,5,FALSE),"")</f>
        <v/>
      </c>
      <c r="H74" t="inlineStr">
        <is>
          <t>Blanket (page end)</t>
        </is>
      </c>
      <c r="L74" t="inlineStr">
        <is>
          <t>NO</t>
        </is>
      </c>
    </row>
    <row r="75" ht="15.75" customHeight="1" s="67">
      <c r="A75" t="inlineStr">
        <is>
          <t>DUP_GUARD_FILTER_TF</t>
        </is>
      </c>
      <c r="B75" t="inlineStr">
        <is>
          <t>D</t>
        </is>
      </c>
      <c r="D75" t="inlineStr">
        <is>
          <t>GLOBAL_CHECK</t>
        </is>
      </c>
      <c r="G75">
        <f>IFERROR(VLOOKUP($A75&amp;"_"&amp;$B75,Results_Deltas!$A$2:$P$15000,5,FALSE),"")</f>
        <v/>
      </c>
      <c r="H75" t="inlineStr">
        <is>
          <t>Blanket (page end)</t>
        </is>
      </c>
      <c r="L75" t="inlineStr">
        <is>
          <t>NO</t>
        </is>
      </c>
    </row>
    <row r="76" ht="15.75" customHeight="1" s="67">
      <c r="A76" t="inlineStr">
        <is>
          <t>DUP_GUARD_FILTER_TF</t>
        </is>
      </c>
      <c r="B76" t="inlineStr">
        <is>
          <t>4h</t>
        </is>
      </c>
      <c r="D76" t="inlineStr">
        <is>
          <t>GLOBAL_CHECK</t>
        </is>
      </c>
      <c r="G76">
        <f>IFERROR(VLOOKUP($A76&amp;"_"&amp;$B76,Results_Deltas!$A$2:$P$15000,5,FALSE),"")</f>
        <v/>
      </c>
      <c r="H76" t="inlineStr">
        <is>
          <t>Blanket (page end)</t>
        </is>
      </c>
      <c r="L76" t="inlineStr">
        <is>
          <t>NO</t>
        </is>
      </c>
    </row>
    <row r="77" ht="15.75" customHeight="1" s="67">
      <c r="A77" t="inlineStr">
        <is>
          <t>DUP_GUARD_FILTER_TF</t>
        </is>
      </c>
      <c r="B77" t="inlineStr">
        <is>
          <t>1h</t>
        </is>
      </c>
      <c r="D77" t="inlineStr">
        <is>
          <t>GLOBAL_CHECK</t>
        </is>
      </c>
      <c r="G77">
        <f>IFERROR(VLOOKUP($A77&amp;"_"&amp;$B77,Results_Deltas!$A$2:$P$15000,5,FALSE),"")</f>
        <v/>
      </c>
      <c r="H77" t="inlineStr">
        <is>
          <t>Blanket (page end)</t>
        </is>
      </c>
      <c r="L77" t="inlineStr">
        <is>
          <t>NO</t>
        </is>
      </c>
    </row>
    <row r="78" ht="15.75" customHeight="1" s="67">
      <c r="A78" t="inlineStr">
        <is>
          <t>DUP_GUARD_FILTER_TF</t>
        </is>
      </c>
      <c r="B78" t="inlineStr">
        <is>
          <t>15m</t>
        </is>
      </c>
      <c r="D78" t="inlineStr">
        <is>
          <t>GLOBAL_CHECK</t>
        </is>
      </c>
      <c r="G78">
        <f>IFERROR(VLOOKUP($A78&amp;"_"&amp;$B78,Results_Deltas!$A$2:$P$15000,5,FALSE),"")</f>
        <v/>
      </c>
      <c r="H78" t="inlineStr">
        <is>
          <t>Blanket (page end)</t>
        </is>
      </c>
      <c r="L78" t="inlineStr">
        <is>
          <t>YES</t>
        </is>
      </c>
    </row>
    <row r="79" ht="15.75" customHeight="1" s="67">
      <c r="A79" t="inlineStr">
        <is>
          <t>EMA_9_21_FILTER_MIN_TFS</t>
        </is>
      </c>
      <c r="B79" t="inlineStr">
        <is>
          <t>0</t>
        </is>
      </c>
      <c r="D79" t="inlineStr">
        <is>
          <t>GLOBAL_CHECK</t>
        </is>
      </c>
      <c r="G79">
        <f>IFERROR(VLOOKUP($A79&amp;"_"&amp;$B79,Results_Deltas!$A$2:$P$15000,5,FALSE),"")</f>
        <v/>
      </c>
      <c r="H79" t="inlineStr">
        <is>
          <t>Blanket (page end)</t>
        </is>
      </c>
      <c r="L79" t="inlineStr">
        <is>
          <t>NO</t>
        </is>
      </c>
    </row>
    <row r="80" ht="15.75" customHeight="1" s="67">
      <c r="A80" t="inlineStr">
        <is>
          <t>EMA_9_21_FILTER_MIN_TFS</t>
        </is>
      </c>
      <c r="B80" t="inlineStr">
        <is>
          <t>2</t>
        </is>
      </c>
      <c r="D80" t="inlineStr">
        <is>
          <t>GLOBAL_CHECK</t>
        </is>
      </c>
      <c r="G80">
        <f>IFERROR(VLOOKUP($A80&amp;"_"&amp;$B80,Results_Deltas!$A$2:$P$15000,5,FALSE),"")</f>
        <v/>
      </c>
      <c r="H80" t="inlineStr">
        <is>
          <t>Blanket (page end)</t>
        </is>
      </c>
      <c r="L80" t="inlineStr">
        <is>
          <t>NO</t>
        </is>
      </c>
    </row>
    <row r="81" ht="15.75" customHeight="1" s="67">
      <c r="A81" t="inlineStr">
        <is>
          <t>EMA_9_21_FILTER_MIN_TFS</t>
        </is>
      </c>
      <c r="B81" t="inlineStr">
        <is>
          <t>1</t>
        </is>
      </c>
      <c r="D81" t="inlineStr">
        <is>
          <t>GLOBAL_CHECK</t>
        </is>
      </c>
      <c r="G81">
        <f>IFERROR(VLOOKUP($A81&amp;"_"&amp;$B81,Results_Deltas!$A$2:$P$15000,5,FALSE),"")</f>
        <v/>
      </c>
      <c r="H81" t="inlineStr">
        <is>
          <t>Blanket (page end)</t>
        </is>
      </c>
      <c r="L81" t="inlineStr">
        <is>
          <t>NO</t>
        </is>
      </c>
    </row>
    <row r="82" ht="15.75" customHeight="1" s="67">
      <c r="A82" t="inlineStr">
        <is>
          <t>EMA_BLANKET_FILTER_ENABLED</t>
        </is>
      </c>
      <c r="B82" t="inlineStr">
        <is>
          <t>False</t>
        </is>
      </c>
      <c r="D82" t="inlineStr">
        <is>
          <t>GLOBAL_CHECK</t>
        </is>
      </c>
      <c r="G82">
        <f>IFERROR(VLOOKUP($A82&amp;"_"&amp;$B82,Results_Deltas!$A$2:$P$15000,5,FALSE),"")</f>
        <v/>
      </c>
      <c r="H82" t="inlineStr">
        <is>
          <t>Blanket (page end)</t>
        </is>
      </c>
      <c r="L82" t="inlineStr">
        <is>
          <t>NO</t>
        </is>
      </c>
    </row>
    <row r="83" ht="15.75" customHeight="1" s="67">
      <c r="A83" t="inlineStr">
        <is>
          <t>EMA_BLANKET_FILTER_ENABLED</t>
        </is>
      </c>
      <c r="B83" t="inlineStr">
        <is>
          <t>True</t>
        </is>
      </c>
      <c r="D83" t="inlineStr">
        <is>
          <t>GLOBAL_CHECK</t>
        </is>
      </c>
      <c r="G83">
        <f>IFERROR(VLOOKUP($A83&amp;"_"&amp;$B83,Results_Deltas!$A$2:$P$15000,5,FALSE),"")</f>
        <v/>
      </c>
      <c r="H83" t="inlineStr">
        <is>
          <t>Blanket (page end)</t>
        </is>
      </c>
      <c r="L83" t="inlineStr">
        <is>
          <t>YES</t>
        </is>
      </c>
    </row>
    <row r="84" ht="15.75" customHeight="1" s="67">
      <c r="A84" t="inlineStr">
        <is>
          <t>EMA_BLANKET_FILTER_MIN_TFS</t>
        </is>
      </c>
      <c r="B84" t="inlineStr">
        <is>
          <t>0</t>
        </is>
      </c>
      <c r="D84" t="inlineStr">
        <is>
          <t>GLOBAL_CHECK</t>
        </is>
      </c>
      <c r="G84">
        <f>IFERROR(VLOOKUP($A84&amp;"_"&amp;$B84,Results_Deltas!$A$2:$P$15000,5,FALSE),"")</f>
        <v/>
      </c>
      <c r="H84" t="inlineStr">
        <is>
          <t>Blanket (page end)</t>
        </is>
      </c>
      <c r="L84" t="inlineStr">
        <is>
          <t>NO</t>
        </is>
      </c>
    </row>
    <row r="85" ht="15.75" customHeight="1" s="67">
      <c r="A85" t="inlineStr">
        <is>
          <t>EMA_BLANKET_FILTER_MIN_TFS</t>
        </is>
      </c>
      <c r="B85" t="inlineStr">
        <is>
          <t>2</t>
        </is>
      </c>
      <c r="D85" t="inlineStr">
        <is>
          <t>GLOBAL_CHECK</t>
        </is>
      </c>
      <c r="G85">
        <f>IFERROR(VLOOKUP($A85&amp;"_"&amp;$B85,Results_Deltas!$A$2:$P$15000,5,FALSE),"")</f>
        <v/>
      </c>
      <c r="H85" t="inlineStr">
        <is>
          <t>Blanket (page end)</t>
        </is>
      </c>
      <c r="L85" t="inlineStr">
        <is>
          <t>NO</t>
        </is>
      </c>
    </row>
    <row r="86" ht="15.75" customHeight="1" s="67">
      <c r="A86" t="inlineStr">
        <is>
          <t>EMA_BLANKET_FILTER_MIN_TFS</t>
        </is>
      </c>
      <c r="B86" t="inlineStr">
        <is>
          <t>1</t>
        </is>
      </c>
      <c r="D86" t="inlineStr">
        <is>
          <t>GLOBAL_CHECK</t>
        </is>
      </c>
      <c r="G86">
        <f>IFERROR(VLOOKUP($A86&amp;"_"&amp;$B86,Results_Deltas!$A$2:$P$15000,5,FALSE),"")</f>
        <v/>
      </c>
      <c r="H86" t="inlineStr">
        <is>
          <t>Blanket (page end)</t>
        </is>
      </c>
      <c r="L86" t="inlineStr">
        <is>
          <t>NO</t>
        </is>
      </c>
    </row>
    <row r="87" ht="15.75" customHeight="1" s="67">
      <c r="A87" t="inlineStr">
        <is>
          <t>EXECUTE_NOW_SINGLE_GATE_ENFORCE</t>
        </is>
      </c>
      <c r="B87" t="inlineStr">
        <is>
          <t>0.0</t>
        </is>
      </c>
      <c r="D87" t="inlineStr">
        <is>
          <t>ENTRY, GLOBAL_CHECK, STOCKS_EXIT</t>
        </is>
      </c>
      <c r="G87">
        <f>IFERROR(VLOOKUP($A87&amp;"_"&amp;$B87,Results_Deltas!$A$2:$P$15000,5,FALSE),"")</f>
        <v/>
      </c>
      <c r="H87" t="inlineStr">
        <is>
          <t>Blanket (page end)</t>
        </is>
      </c>
      <c r="L87" t="inlineStr">
        <is>
          <t>NO</t>
        </is>
      </c>
    </row>
    <row r="88" ht="15.75" customHeight="1" s="67">
      <c r="A88" t="inlineStr">
        <is>
          <t>EXECUTE_NOW_SINGLE_GATE_ENFORCE</t>
        </is>
      </c>
      <c r="B88" t="inlineStr">
        <is>
          <t>0.0_ALT</t>
        </is>
      </c>
      <c r="D88" t="inlineStr">
        <is>
          <t>ENTRY, GLOBAL_CHECK, STOCKS_EXIT</t>
        </is>
      </c>
      <c r="G88">
        <f>IFERROR(VLOOKUP($A88&amp;"_"&amp;$B88,Results_Deltas!$A$2:$P$15000,5,FALSE),"")</f>
        <v/>
      </c>
      <c r="H88" t="inlineStr">
        <is>
          <t>Blanket (page end)</t>
        </is>
      </c>
      <c r="L88" t="inlineStr">
        <is>
          <t>NO</t>
        </is>
      </c>
    </row>
    <row r="89" ht="15.75" customHeight="1" s="67">
      <c r="A89" t="inlineStr">
        <is>
          <t>EZ_MANAGE_THROTTLER_RATE</t>
        </is>
      </c>
      <c r="B89" t="inlineStr">
        <is>
          <t>0.0</t>
        </is>
      </c>
      <c r="D89" t="inlineStr">
        <is>
          <t>GLOBAL_CHECK, STOCKS_EXIT</t>
        </is>
      </c>
      <c r="G89">
        <f>IFERROR(VLOOKUP($A89&amp;"_"&amp;$B89,Results_Deltas!$A$2:$P$15000,5,FALSE),"")</f>
        <v/>
      </c>
      <c r="H89" t="inlineStr">
        <is>
          <t>Blanket (page end)</t>
        </is>
      </c>
      <c r="L89" t="inlineStr">
        <is>
          <t>NO</t>
        </is>
      </c>
    </row>
    <row r="90" ht="15.75" customHeight="1" s="67">
      <c r="A90" t="inlineStr">
        <is>
          <t>EZ_MANAGE_THROTTLER_RATE</t>
        </is>
      </c>
      <c r="B90" t="inlineStr">
        <is>
          <t>0.0_ALT</t>
        </is>
      </c>
      <c r="D90" t="inlineStr">
        <is>
          <t>GLOBAL_CHECK, STOCKS_EXIT</t>
        </is>
      </c>
      <c r="G90">
        <f>IFERROR(VLOOKUP($A90&amp;"_"&amp;$B90,Results_Deltas!$A$2:$P$15000,5,FALSE),"")</f>
        <v/>
      </c>
      <c r="H90" t="inlineStr">
        <is>
          <t>Blanket (page end)</t>
        </is>
      </c>
      <c r="L90" t="inlineStr">
        <is>
          <t>NO</t>
        </is>
      </c>
    </row>
    <row r="91" ht="15.75" customHeight="1" s="67">
      <c r="A91" t="inlineStr">
        <is>
          <t>FG_FEAR_THRESHOLD</t>
        </is>
      </c>
      <c r="B91" t="n">
        <v>0</v>
      </c>
      <c r="D91" t="inlineStr">
        <is>
          <t>GLOBAL_CHECK, STOCKS_EXIT</t>
        </is>
      </c>
      <c r="G91">
        <f>IFERROR(VLOOKUP($A91&amp;"_"&amp;$B91,Results_Deltas!$A$2:$P$15000,5,FALSE),"")</f>
        <v/>
      </c>
      <c r="H91" t="inlineStr">
        <is>
          <t>Blanket (page end)</t>
        </is>
      </c>
      <c r="L91" t="inlineStr">
        <is>
          <t>YES</t>
        </is>
      </c>
    </row>
    <row r="92" ht="15.75" customHeight="1" s="67">
      <c r="A92" t="inlineStr">
        <is>
          <t>FG_FEAR_THRESHOLD</t>
        </is>
      </c>
      <c r="B92" t="inlineStr">
        <is>
          <t>31.25</t>
        </is>
      </c>
      <c r="D92" t="inlineStr">
        <is>
          <t>GLOBAL_CHECK, STOCKS_EXIT</t>
        </is>
      </c>
      <c r="G92">
        <f>IFERROR(VLOOKUP($A92&amp;"_"&amp;$B92,Results_Deltas!$A$2:$P$15000,5,FALSE),"")</f>
        <v/>
      </c>
      <c r="H92" t="inlineStr">
        <is>
          <t>Blanket (page end)</t>
        </is>
      </c>
      <c r="L92" t="inlineStr">
        <is>
          <t>NO</t>
        </is>
      </c>
    </row>
    <row r="93" ht="15.75" customHeight="1" s="67">
      <c r="A93" t="inlineStr">
        <is>
          <t>FG_FEAR_THRESHOLD</t>
        </is>
      </c>
      <c r="B93" t="inlineStr">
        <is>
          <t>18.75</t>
        </is>
      </c>
      <c r="D93" t="inlineStr">
        <is>
          <t>GLOBAL_CHECK, STOCKS_EXIT</t>
        </is>
      </c>
      <c r="G93">
        <f>IFERROR(VLOOKUP($A93&amp;"_"&amp;$B93,Results_Deltas!$A$2:$P$15000,5,FALSE),"")</f>
        <v/>
      </c>
      <c r="H93" t="inlineStr">
        <is>
          <t>Blanket (page end)</t>
        </is>
      </c>
      <c r="L93" t="inlineStr">
        <is>
          <t>NO</t>
        </is>
      </c>
    </row>
    <row r="94" ht="15.75" customHeight="1" s="67">
      <c r="A94" t="inlineStr">
        <is>
          <t>FG_FEAR_THRESHOLD</t>
        </is>
      </c>
      <c r="B94" t="inlineStr">
        <is>
          <t>12.5</t>
        </is>
      </c>
      <c r="D94" t="inlineStr">
        <is>
          <t>GLOBAL_CHECK, STOCKS_EXIT</t>
        </is>
      </c>
      <c r="G94">
        <f>IFERROR(VLOOKUP($A94&amp;"_"&amp;$B94,Results_Deltas!$A$2:$P$15000,5,FALSE),"")</f>
        <v/>
      </c>
      <c r="H94" t="inlineStr">
        <is>
          <t>Blanket (page end)</t>
        </is>
      </c>
      <c r="L94" t="inlineStr">
        <is>
          <t>NO</t>
        </is>
      </c>
    </row>
    <row r="95" ht="15.75" customHeight="1" s="67">
      <c r="A95" t="inlineStr">
        <is>
          <t>FG_GREED_THRESHOLD</t>
        </is>
      </c>
      <c r="B95" t="n">
        <v>0</v>
      </c>
      <c r="D95" t="inlineStr">
        <is>
          <t>GLOBAL_CHECK, STOCKS_EXIT</t>
        </is>
      </c>
      <c r="G95">
        <f>IFERROR(VLOOKUP($A95&amp;"_"&amp;$B95,Results_Deltas!$A$2:$P$15000,5,FALSE),"")</f>
        <v/>
      </c>
      <c r="H95" t="inlineStr">
        <is>
          <t>Blanket (page end)</t>
        </is>
      </c>
      <c r="L95" t="inlineStr">
        <is>
          <t>YES</t>
        </is>
      </c>
    </row>
    <row r="96" ht="15.75" customHeight="1" s="67">
      <c r="A96" t="inlineStr">
        <is>
          <t>FG_GREED_THRESHOLD</t>
        </is>
      </c>
      <c r="B96" t="inlineStr">
        <is>
          <t>93.75</t>
        </is>
      </c>
      <c r="D96" t="inlineStr">
        <is>
          <t>GLOBAL_CHECK, STOCKS_EXIT</t>
        </is>
      </c>
      <c r="G96">
        <f>IFERROR(VLOOKUP($A96&amp;"_"&amp;$B96,Results_Deltas!$A$2:$P$15000,5,FALSE),"")</f>
        <v/>
      </c>
      <c r="H96" t="inlineStr">
        <is>
          <t>Blanket (page end)</t>
        </is>
      </c>
      <c r="L96" t="inlineStr">
        <is>
          <t>NO</t>
        </is>
      </c>
    </row>
    <row r="97" ht="15.75" customHeight="1" s="67">
      <c r="A97" t="inlineStr">
        <is>
          <t>FG_GREED_THRESHOLD</t>
        </is>
      </c>
      <c r="B97" t="inlineStr">
        <is>
          <t>56.25</t>
        </is>
      </c>
      <c r="D97" t="inlineStr">
        <is>
          <t>GLOBAL_CHECK, STOCKS_EXIT</t>
        </is>
      </c>
      <c r="G97">
        <f>IFERROR(VLOOKUP($A97&amp;"_"&amp;$B97,Results_Deltas!$A$2:$P$15000,5,FALSE),"")</f>
        <v/>
      </c>
      <c r="H97" t="inlineStr">
        <is>
          <t>Blanket (page end)</t>
        </is>
      </c>
      <c r="L97" t="inlineStr">
        <is>
          <t>NO</t>
        </is>
      </c>
    </row>
    <row r="98" ht="15.75" customHeight="1" s="67">
      <c r="A98" t="inlineStr">
        <is>
          <t>FG_GREED_THRESHOLD</t>
        </is>
      </c>
      <c r="B98" t="inlineStr">
        <is>
          <t>37.5</t>
        </is>
      </c>
      <c r="D98" t="inlineStr">
        <is>
          <t>GLOBAL_CHECK, STOCKS_EXIT</t>
        </is>
      </c>
      <c r="G98">
        <f>IFERROR(VLOOKUP($A98&amp;"_"&amp;$B98,Results_Deltas!$A$2:$P$15000,5,FALSE),"")</f>
        <v/>
      </c>
      <c r="H98" t="inlineStr">
        <is>
          <t>Blanket (page end)</t>
        </is>
      </c>
      <c r="L98" t="inlineStr">
        <is>
          <t>NO</t>
        </is>
      </c>
    </row>
    <row r="99" ht="15.75" customHeight="1" s="67">
      <c r="A99" t="inlineStr">
        <is>
          <t>FUNDING_GATE_FILTER_TF</t>
        </is>
      </c>
      <c r="B99" t="inlineStr">
        <is>
          <t>OFF</t>
        </is>
      </c>
      <c r="D99" t="inlineStr">
        <is>
          <t>GLOBAL_CHECK</t>
        </is>
      </c>
      <c r="G99">
        <f>IFERROR(VLOOKUP($A99&amp;"_"&amp;$B99,Results_Deltas!$A$2:$P$15000,5,FALSE),"")</f>
        <v/>
      </c>
      <c r="H99" t="inlineStr">
        <is>
          <t>Blanket (page end)</t>
        </is>
      </c>
      <c r="L99" t="inlineStr">
        <is>
          <t>NO</t>
        </is>
      </c>
    </row>
    <row r="100" ht="15.75" customHeight="1" s="67">
      <c r="A100" t="inlineStr">
        <is>
          <t>FUNDING_GATE_FILTER_TF</t>
        </is>
      </c>
      <c r="B100" t="inlineStr">
        <is>
          <t>D</t>
        </is>
      </c>
      <c r="D100" t="inlineStr">
        <is>
          <t>GLOBAL_CHECK</t>
        </is>
      </c>
      <c r="G100">
        <f>IFERROR(VLOOKUP($A100&amp;"_"&amp;$B100,Results_Deltas!$A$2:$P$15000,5,FALSE),"")</f>
        <v/>
      </c>
      <c r="H100" t="inlineStr">
        <is>
          <t>Blanket (page end)</t>
        </is>
      </c>
      <c r="L100" t="inlineStr">
        <is>
          <t>NO</t>
        </is>
      </c>
    </row>
    <row r="101" ht="15.75" customHeight="1" s="67">
      <c r="A101" t="inlineStr">
        <is>
          <t>FUNDING_GATE_FILTER_TF</t>
        </is>
      </c>
      <c r="B101" t="inlineStr">
        <is>
          <t>4h</t>
        </is>
      </c>
      <c r="D101" t="inlineStr">
        <is>
          <t>GLOBAL_CHECK</t>
        </is>
      </c>
      <c r="G101">
        <f>IFERROR(VLOOKUP($A101&amp;"_"&amp;$B101,Results_Deltas!$A$2:$P$15000,5,FALSE),"")</f>
        <v/>
      </c>
      <c r="H101" t="inlineStr">
        <is>
          <t>Blanket (page end)</t>
        </is>
      </c>
      <c r="L101" t="inlineStr">
        <is>
          <t>NO</t>
        </is>
      </c>
    </row>
    <row r="102" ht="15.75" customHeight="1" s="67">
      <c r="A102" t="inlineStr">
        <is>
          <t>FUNDING_GATE_FILTER_TF</t>
        </is>
      </c>
      <c r="B102" t="inlineStr">
        <is>
          <t>1h</t>
        </is>
      </c>
      <c r="D102" t="inlineStr">
        <is>
          <t>GLOBAL_CHECK</t>
        </is>
      </c>
      <c r="G102">
        <f>IFERROR(VLOOKUP($A102&amp;"_"&amp;$B102,Results_Deltas!$A$2:$P$15000,5,FALSE),"")</f>
        <v/>
      </c>
      <c r="H102" t="inlineStr">
        <is>
          <t>Blanket (page end)</t>
        </is>
      </c>
      <c r="L102" t="inlineStr">
        <is>
          <t>NO</t>
        </is>
      </c>
    </row>
    <row r="103" ht="15.75" customHeight="1" s="67">
      <c r="A103" t="inlineStr">
        <is>
          <t>FUNDING_GATE_FILTER_TF</t>
        </is>
      </c>
      <c r="B103" t="inlineStr">
        <is>
          <t>15m</t>
        </is>
      </c>
      <c r="D103" t="inlineStr">
        <is>
          <t>GLOBAL_CHECK</t>
        </is>
      </c>
      <c r="G103">
        <f>IFERROR(VLOOKUP($A103&amp;"_"&amp;$B103,Results_Deltas!$A$2:$P$15000,5,FALSE),"")</f>
        <v/>
      </c>
      <c r="H103" t="inlineStr">
        <is>
          <t>Blanket (page end)</t>
        </is>
      </c>
      <c r="L103" t="inlineStr">
        <is>
          <t>YES</t>
        </is>
      </c>
    </row>
    <row r="104" ht="15.75" customHeight="1" s="67">
      <c r="A104" t="inlineStr">
        <is>
          <t>FUNDING_GATE_LONG_MAX</t>
        </is>
      </c>
      <c r="B104" t="inlineStr">
        <is>
          <t>0.0</t>
        </is>
      </c>
      <c r="D104" t="inlineStr">
        <is>
          <t>ENTRY, GLOBAL_CHECK, STOCKS_EXIT</t>
        </is>
      </c>
      <c r="G104">
        <f>IFERROR(VLOOKUP($A104&amp;"_"&amp;$B104,Results_Deltas!$A$2:$P$15000,5,FALSE),"")</f>
        <v/>
      </c>
      <c r="H104" t="inlineStr">
        <is>
          <t>Blanket (page end)</t>
        </is>
      </c>
      <c r="L104" t="inlineStr">
        <is>
          <t>NO</t>
        </is>
      </c>
    </row>
    <row r="105" ht="15.75" customHeight="1" s="67">
      <c r="A105" t="inlineStr">
        <is>
          <t>FUNDING_GATE_LONG_MAX</t>
        </is>
      </c>
      <c r="B105" t="inlineStr">
        <is>
          <t>0.0_ALT</t>
        </is>
      </c>
      <c r="D105" t="inlineStr">
        <is>
          <t>ENTRY, GLOBAL_CHECK, STOCKS_EXIT</t>
        </is>
      </c>
      <c r="G105">
        <f>IFERROR(VLOOKUP($A105&amp;"_"&amp;$B105,Results_Deltas!$A$2:$P$15000,5,FALSE),"")</f>
        <v/>
      </c>
      <c r="H105" t="inlineStr">
        <is>
          <t>Blanket (page end)</t>
        </is>
      </c>
      <c r="L105" t="inlineStr">
        <is>
          <t>NO</t>
        </is>
      </c>
    </row>
    <row r="106" ht="15.75" customHeight="1" s="67">
      <c r="A106" t="inlineStr">
        <is>
          <t>FUNDING_GATE_MTF_REQUIRED</t>
        </is>
      </c>
      <c r="B106" t="inlineStr">
        <is>
          <t>0.0</t>
        </is>
      </c>
      <c r="D106" t="inlineStr">
        <is>
          <t>ENTRY, GLOBAL_CHECK, STOCKS_EXIT</t>
        </is>
      </c>
      <c r="G106">
        <f>IFERROR(VLOOKUP($A106&amp;"_"&amp;$B106,Results_Deltas!$A$2:$P$15000,5,FALSE),"")</f>
        <v/>
      </c>
      <c r="H106" t="inlineStr">
        <is>
          <t>Blanket (page end)</t>
        </is>
      </c>
      <c r="L106" t="inlineStr">
        <is>
          <t>NO</t>
        </is>
      </c>
    </row>
    <row r="107" ht="15.75" customHeight="1" s="67">
      <c r="A107" t="inlineStr">
        <is>
          <t>FUNDING_GATE_MTF_REQUIRED</t>
        </is>
      </c>
      <c r="B107" t="inlineStr">
        <is>
          <t>0.0_ALT</t>
        </is>
      </c>
      <c r="D107" t="inlineStr">
        <is>
          <t>ENTRY, GLOBAL_CHECK, STOCKS_EXIT</t>
        </is>
      </c>
      <c r="G107">
        <f>IFERROR(VLOOKUP($A107&amp;"_"&amp;$B107,Results_Deltas!$A$2:$P$15000,5,FALSE),"")</f>
        <v/>
      </c>
      <c r="H107" t="inlineStr">
        <is>
          <t>Blanket (page end)</t>
        </is>
      </c>
      <c r="L107" t="inlineStr">
        <is>
          <t>NO</t>
        </is>
      </c>
    </row>
    <row r="108" ht="15.75" customHeight="1" s="67">
      <c r="A108" t="inlineStr">
        <is>
          <t>FUNDING_GATE_SHORT_MIN</t>
        </is>
      </c>
      <c r="B108" t="inlineStr">
        <is>
          <t>0.0</t>
        </is>
      </c>
      <c r="D108" t="inlineStr">
        <is>
          <t>ENTRY, GLOBAL_CHECK, STOCKS_EXIT</t>
        </is>
      </c>
      <c r="G108">
        <f>IFERROR(VLOOKUP($A108&amp;"_"&amp;$B108,Results_Deltas!$A$2:$P$15000,5,FALSE),"")</f>
        <v/>
      </c>
      <c r="H108" t="inlineStr">
        <is>
          <t>Blanket (page end)</t>
        </is>
      </c>
      <c r="L108" t="inlineStr">
        <is>
          <t>NO</t>
        </is>
      </c>
    </row>
    <row r="109" ht="15.75" customHeight="1" s="67">
      <c r="A109" t="inlineStr">
        <is>
          <t>FUNDING_GATE_SHORT_MIN</t>
        </is>
      </c>
      <c r="B109" t="inlineStr">
        <is>
          <t>0.0_ALT</t>
        </is>
      </c>
      <c r="D109" t="inlineStr">
        <is>
          <t>ENTRY, GLOBAL_CHECK, STOCKS_EXIT</t>
        </is>
      </c>
      <c r="G109">
        <f>IFERROR(VLOOKUP($A109&amp;"_"&amp;$B109,Results_Deltas!$A$2:$P$15000,5,FALSE),"")</f>
        <v/>
      </c>
      <c r="H109" t="inlineStr">
        <is>
          <t>Blanket (page end)</t>
        </is>
      </c>
      <c r="L109" t="inlineStr">
        <is>
          <t>NO</t>
        </is>
      </c>
    </row>
    <row r="110" ht="15.75" customHeight="1" s="67">
      <c r="A110" t="inlineStr">
        <is>
          <t>GOLDEN_RULE_BASE_USD</t>
        </is>
      </c>
      <c r="B110" t="inlineStr">
        <is>
          <t>0.0</t>
        </is>
      </c>
      <c r="D110" t="inlineStr">
        <is>
          <t>GLOBAL_CHECK, STOCKS_EXIT</t>
        </is>
      </c>
      <c r="G110">
        <f>IFERROR(VLOOKUP($A110&amp;"_"&amp;$B110,Results_Deltas!$A$2:$P$15000,5,FALSE),"")</f>
        <v/>
      </c>
      <c r="H110" t="inlineStr">
        <is>
          <t>Blanket (page end)</t>
        </is>
      </c>
      <c r="L110" t="inlineStr">
        <is>
          <t>NO</t>
        </is>
      </c>
    </row>
    <row r="111" ht="15.75" customHeight="1" s="67">
      <c r="A111" t="inlineStr">
        <is>
          <t>GOLDEN_RULE_BASE_USD</t>
        </is>
      </c>
      <c r="B111" t="inlineStr">
        <is>
          <t>0.0_ALT</t>
        </is>
      </c>
      <c r="D111" t="inlineStr">
        <is>
          <t>GLOBAL_CHECK, STOCKS_EXIT</t>
        </is>
      </c>
      <c r="G111">
        <f>IFERROR(VLOOKUP($A111&amp;"_"&amp;$B111,Results_Deltas!$A$2:$P$15000,5,FALSE),"")</f>
        <v/>
      </c>
      <c r="H111" t="inlineStr">
        <is>
          <t>Blanket (page end)</t>
        </is>
      </c>
      <c r="L111" t="inlineStr">
        <is>
          <t>NO</t>
        </is>
      </c>
    </row>
    <row r="112" ht="15.75" customHeight="1" s="67">
      <c r="A112" t="inlineStr">
        <is>
          <t>GR_FILTER_ALL_ENTRIES</t>
        </is>
      </c>
      <c r="B112" t="inlineStr">
        <is>
          <t>0.0</t>
        </is>
      </c>
      <c r="D112" t="inlineStr">
        <is>
          <t>GLOBAL_CHECK, STOCKS_EXIT</t>
        </is>
      </c>
      <c r="G112">
        <f>IFERROR(VLOOKUP($A112&amp;"_"&amp;$B112,Results_Deltas!$A$2:$P$15000,5,FALSE),"")</f>
        <v/>
      </c>
      <c r="H112" t="inlineStr">
        <is>
          <t>Blanket (page end)</t>
        </is>
      </c>
      <c r="L112" t="inlineStr">
        <is>
          <t>NO</t>
        </is>
      </c>
    </row>
    <row r="113" ht="15.75" customHeight="1" s="67">
      <c r="A113" t="inlineStr">
        <is>
          <t>GR_FILTER_ALL_ENTRIES</t>
        </is>
      </c>
      <c r="B113" t="inlineStr">
        <is>
          <t>0.0_ALT</t>
        </is>
      </c>
      <c r="D113" t="inlineStr">
        <is>
          <t>GLOBAL_CHECK, STOCKS_EXIT</t>
        </is>
      </c>
      <c r="G113">
        <f>IFERROR(VLOOKUP($A113&amp;"_"&amp;$B113,Results_Deltas!$A$2:$P$15000,5,FALSE),"")</f>
        <v/>
      </c>
      <c r="H113" t="inlineStr">
        <is>
          <t>Blanket (page end)</t>
        </is>
      </c>
      <c r="L113" t="inlineStr">
        <is>
          <t>NO</t>
        </is>
      </c>
    </row>
    <row r="114" ht="15.75" customHeight="1" s="67">
      <c r="A114" t="inlineStr">
        <is>
          <t>GR_FILTER_VEC_ENABLED</t>
        </is>
      </c>
      <c r="B114" t="inlineStr">
        <is>
          <t>False</t>
        </is>
      </c>
      <c r="D114" t="inlineStr">
        <is>
          <t>GLOBAL_CHECK</t>
        </is>
      </c>
      <c r="G114">
        <f>IFERROR(VLOOKUP($A114&amp;"_"&amp;$B114,Results_Deltas!$A$2:$P$15000,5,FALSE),"")</f>
        <v/>
      </c>
      <c r="H114" t="inlineStr">
        <is>
          <t>Blanket (page end)</t>
        </is>
      </c>
      <c r="L114" t="inlineStr">
        <is>
          <t>NO</t>
        </is>
      </c>
    </row>
    <row r="115" ht="15.75" customHeight="1" s="67">
      <c r="A115" t="inlineStr">
        <is>
          <t>GR_FILTER_VEC_ENABLED</t>
        </is>
      </c>
      <c r="B115" t="inlineStr">
        <is>
          <t>True</t>
        </is>
      </c>
      <c r="D115" t="inlineStr">
        <is>
          <t>GLOBAL_CHECK</t>
        </is>
      </c>
      <c r="G115">
        <f>IFERROR(VLOOKUP($A115&amp;"_"&amp;$B115,Results_Deltas!$A$2:$P$15000,5,FALSE),"")</f>
        <v/>
      </c>
      <c r="H115" t="inlineStr">
        <is>
          <t>Blanket (page end)</t>
        </is>
      </c>
      <c r="L115" t="inlineStr">
        <is>
          <t>NO</t>
        </is>
      </c>
    </row>
    <row r="116" ht="15.75" customHeight="1" s="67">
      <c r="A116" t="inlineStr">
        <is>
          <t>GR_FILTER_VEC_MIN_TFS</t>
        </is>
      </c>
      <c r="B116" t="inlineStr">
        <is>
          <t>0</t>
        </is>
      </c>
      <c r="D116" t="inlineStr">
        <is>
          <t>GLOBAL_CHECK</t>
        </is>
      </c>
      <c r="G116">
        <f>IFERROR(VLOOKUP($A116&amp;"_"&amp;$B116,Results_Deltas!$A$2:$P$15000,5,FALSE),"")</f>
        <v/>
      </c>
      <c r="H116" t="inlineStr">
        <is>
          <t>Blanket (page end)</t>
        </is>
      </c>
      <c r="L116" t="inlineStr">
        <is>
          <t>NO</t>
        </is>
      </c>
    </row>
    <row r="117" ht="15.75" customHeight="1" s="67">
      <c r="A117" t="inlineStr">
        <is>
          <t>GR_FILTER_VEC_MIN_TFS</t>
        </is>
      </c>
      <c r="B117" t="n">
        <v>0</v>
      </c>
      <c r="D117" t="inlineStr">
        <is>
          <t>GLOBAL_CHECK</t>
        </is>
      </c>
      <c r="G117">
        <f>IFERROR(VLOOKUP($A117&amp;"_"&amp;$B117,Results_Deltas!$A$2:$P$15000,5,FALSE),"")</f>
        <v/>
      </c>
      <c r="H117" t="inlineStr">
        <is>
          <t>Blanket (page end)</t>
        </is>
      </c>
      <c r="L117" t="inlineStr">
        <is>
          <t>YES</t>
        </is>
      </c>
    </row>
    <row r="118" ht="15.75" customHeight="1" s="67">
      <c r="A118" t="inlineStr">
        <is>
          <t>GR_FILTER_VEC_MIN_TFS</t>
        </is>
      </c>
      <c r="B118" t="inlineStr">
        <is>
          <t>1</t>
        </is>
      </c>
      <c r="D118" t="inlineStr">
        <is>
          <t>GLOBAL_CHECK</t>
        </is>
      </c>
      <c r="G118">
        <f>IFERROR(VLOOKUP($A118&amp;"_"&amp;$B118,Results_Deltas!$A$2:$P$15000,5,FALSE),"")</f>
        <v/>
      </c>
      <c r="H118" t="inlineStr">
        <is>
          <t>Blanket (page end)</t>
        </is>
      </c>
      <c r="L118" t="inlineStr">
        <is>
          <t>NO</t>
        </is>
      </c>
    </row>
    <row r="119" ht="15.75" customHeight="1" s="67">
      <c r="A119" t="inlineStr">
        <is>
          <t>HA_WICK_QUALITY_ENABLED</t>
        </is>
      </c>
      <c r="B119" t="inlineStr">
        <is>
          <t>False</t>
        </is>
      </c>
      <c r="D119" t="inlineStr">
        <is>
          <t>ENTRY, GLOBAL_CHECK, STOCKS_EXIT</t>
        </is>
      </c>
      <c r="G119">
        <f>IFERROR(VLOOKUP($A119&amp;"_"&amp;$B119,Results_Deltas!$A$2:$P$15000,5,FALSE),"")</f>
        <v/>
      </c>
      <c r="H119" t="inlineStr">
        <is>
          <t>Blanket (page end)</t>
        </is>
      </c>
      <c r="L119" t="inlineStr">
        <is>
          <t>NO</t>
        </is>
      </c>
    </row>
    <row r="120" ht="15.75" customHeight="1" s="67">
      <c r="A120" t="inlineStr">
        <is>
          <t>HA_WICK_QUALITY_ENABLED</t>
        </is>
      </c>
      <c r="B120" t="inlineStr">
        <is>
          <t>True</t>
        </is>
      </c>
      <c r="D120" t="inlineStr">
        <is>
          <t>ENTRY, GLOBAL_CHECK, STOCKS_EXIT</t>
        </is>
      </c>
      <c r="G120">
        <f>IFERROR(VLOOKUP($A120&amp;"_"&amp;$B120,Results_Deltas!$A$2:$P$15000,5,FALSE),"")</f>
        <v/>
      </c>
      <c r="H120" t="inlineStr">
        <is>
          <t>Blanket (page end)</t>
        </is>
      </c>
      <c r="L120" t="inlineStr">
        <is>
          <t>YES</t>
        </is>
      </c>
    </row>
    <row r="121" ht="15.75" customHeight="1" s="67">
      <c r="A121" t="inlineStr">
        <is>
          <t>HA_WICK_QUALITY_SCORE</t>
        </is>
      </c>
      <c r="B121" t="n">
        <v>0</v>
      </c>
      <c r="D121" t="inlineStr">
        <is>
          <t>ENTRY, GLOBAL_CHECK, STOCKS_EXIT</t>
        </is>
      </c>
      <c r="G121">
        <f>IFERROR(VLOOKUP($A121&amp;"_"&amp;$B121,Results_Deltas!$A$2:$P$15000,5,FALSE),"")</f>
        <v/>
      </c>
      <c r="H121" t="inlineStr">
        <is>
          <t>Blanket (page end)</t>
        </is>
      </c>
      <c r="L121" t="inlineStr">
        <is>
          <t>NO</t>
        </is>
      </c>
    </row>
    <row r="122" ht="15.75" customHeight="1" s="67">
      <c r="A122" t="inlineStr">
        <is>
          <t>HA_WICK_QUALITY_SCORE</t>
        </is>
      </c>
      <c r="B122" t="inlineStr">
        <is>
          <t>15_ALT</t>
        </is>
      </c>
      <c r="D122" t="inlineStr">
        <is>
          <t>ENTRY, GLOBAL_CHECK, STOCKS_EXIT</t>
        </is>
      </c>
      <c r="G122">
        <f>IFERROR(VLOOKUP($A122&amp;"_"&amp;$B122,Results_Deltas!$A$2:$P$15000,5,FALSE),"")</f>
        <v/>
      </c>
      <c r="H122" t="inlineStr">
        <is>
          <t>Blanket (page end)</t>
        </is>
      </c>
      <c r="L122" t="inlineStr">
        <is>
          <t>YES</t>
        </is>
      </c>
    </row>
    <row r="123" ht="15.75" customHeight="1" s="67">
      <c r="A123" t="inlineStr">
        <is>
          <t>HA_WICK_QUALITY_TF</t>
        </is>
      </c>
      <c r="B123" t="inlineStr">
        <is>
          <t>OFF</t>
        </is>
      </c>
      <c r="D123" t="inlineStr">
        <is>
          <t>ENTRY, GLOBAL_CHECK, STOCKS_EXIT</t>
        </is>
      </c>
      <c r="G123">
        <f>IFERROR(VLOOKUP($A123&amp;"_"&amp;$B123,Results_Deltas!$A$2:$P$15000,5,FALSE),"")</f>
        <v/>
      </c>
      <c r="H123" t="inlineStr">
        <is>
          <t>Blanket (page end)</t>
        </is>
      </c>
      <c r="L123" t="inlineStr">
        <is>
          <t>NO</t>
        </is>
      </c>
    </row>
    <row r="124" ht="15.75" customHeight="1" s="67">
      <c r="A124" t="inlineStr">
        <is>
          <t>HA_WICK_QUALITY_TF</t>
        </is>
      </c>
      <c r="B124" t="inlineStr">
        <is>
          <t>D</t>
        </is>
      </c>
      <c r="D124" t="inlineStr">
        <is>
          <t>ENTRY, GLOBAL_CHECK, STOCKS_EXIT</t>
        </is>
      </c>
      <c r="G124">
        <f>IFERROR(VLOOKUP($A124&amp;"_"&amp;$B124,Results_Deltas!$A$2:$P$15000,5,FALSE),"")</f>
        <v/>
      </c>
      <c r="H124" t="inlineStr">
        <is>
          <t>Blanket (page end)</t>
        </is>
      </c>
      <c r="L124" t="inlineStr">
        <is>
          <t>NO</t>
        </is>
      </c>
    </row>
    <row r="125" ht="15.75" customHeight="1" s="67">
      <c r="A125" t="inlineStr">
        <is>
          <t>HA_WICK_QUALITY_TF</t>
        </is>
      </c>
      <c r="B125" t="inlineStr">
        <is>
          <t>4h</t>
        </is>
      </c>
      <c r="D125" t="inlineStr">
        <is>
          <t>ENTRY, GLOBAL_CHECK, STOCKS_EXIT</t>
        </is>
      </c>
      <c r="G125">
        <f>IFERROR(VLOOKUP($A125&amp;"_"&amp;$B125,Results_Deltas!$A$2:$P$15000,5,FALSE),"")</f>
        <v/>
      </c>
      <c r="H125" t="inlineStr">
        <is>
          <t>Blanket (page end)</t>
        </is>
      </c>
      <c r="L125" t="inlineStr">
        <is>
          <t>NO</t>
        </is>
      </c>
    </row>
    <row r="126" ht="15.75" customHeight="1" s="67">
      <c r="A126" t="inlineStr">
        <is>
          <t>HA_WICK_QUALITY_TF</t>
        </is>
      </c>
      <c r="B126" t="inlineStr">
        <is>
          <t>15m</t>
        </is>
      </c>
      <c r="D126" t="inlineStr">
        <is>
          <t>ENTRY, GLOBAL_CHECK, STOCKS_EXIT</t>
        </is>
      </c>
      <c r="G126">
        <f>IFERROR(VLOOKUP($A126&amp;"_"&amp;$B126,Results_Deltas!$A$2:$P$15000,5,FALSE),"")</f>
        <v/>
      </c>
      <c r="H126" t="inlineStr">
        <is>
          <t>Blanket (page end)</t>
        </is>
      </c>
      <c r="L126" t="inlineStr">
        <is>
          <t>NO</t>
        </is>
      </c>
    </row>
    <row r="127" ht="15.75" customHeight="1" s="67">
      <c r="A127" t="inlineStr">
        <is>
          <t>HA_WICK_QUALITY_TF</t>
        </is>
      </c>
      <c r="B127" t="inlineStr">
        <is>
          <t>15m</t>
        </is>
      </c>
      <c r="D127" t="inlineStr">
        <is>
          <t>ENTRY, GLOBAL_CHECK, STOCKS_EXIT</t>
        </is>
      </c>
      <c r="G127">
        <f>IFERROR(VLOOKUP($A127&amp;"_"&amp;$B127,Results_Deltas!$A$2:$P$15000,5,FALSE),"")</f>
        <v/>
      </c>
      <c r="H127" t="inlineStr">
        <is>
          <t>Blanket (page end)</t>
        </is>
      </c>
      <c r="L127" t="inlineStr">
        <is>
          <t>YES</t>
        </is>
      </c>
    </row>
    <row r="128" ht="15.75" customHeight="1" s="67">
      <c r="A128" t="inlineStr">
        <is>
          <t>HLR_SMA_BAND_PCT</t>
        </is>
      </c>
      <c r="B128" t="inlineStr">
        <is>
          <t>0</t>
        </is>
      </c>
      <c r="D128" t="inlineStr">
        <is>
          <t>ENTRY, GLOBAL_CHECK, STOCKS_EXIT</t>
        </is>
      </c>
      <c r="G128">
        <f>IFERROR(VLOOKUP($A128&amp;"_"&amp;$B128,Results_Deltas!$A$2:$P$15000,5,FALSE),"")</f>
        <v/>
      </c>
      <c r="H128" t="inlineStr">
        <is>
          <t>Blanket (page end)</t>
        </is>
      </c>
      <c r="L128" t="inlineStr">
        <is>
          <t>NO</t>
        </is>
      </c>
    </row>
    <row r="129" ht="15.75" customHeight="1" s="67">
      <c r="A129" t="inlineStr">
        <is>
          <t>HLR_SMA_BAND_PCT</t>
        </is>
      </c>
      <c r="B129" t="inlineStr">
        <is>
          <t>2.0</t>
        </is>
      </c>
      <c r="D129" t="inlineStr">
        <is>
          <t>ENTRY, GLOBAL_CHECK, STOCKS_EXIT</t>
        </is>
      </c>
      <c r="G129">
        <f>IFERROR(VLOOKUP($A129&amp;"_"&amp;$B129,Results_Deltas!$A$2:$P$15000,5,FALSE),"")</f>
        <v/>
      </c>
      <c r="H129" t="inlineStr">
        <is>
          <t>Blanket (page end)</t>
        </is>
      </c>
      <c r="L129" t="inlineStr">
        <is>
          <t>NO</t>
        </is>
      </c>
    </row>
    <row r="130" ht="15.75" customHeight="1" s="67">
      <c r="A130" t="inlineStr">
        <is>
          <t>HLR_SMA_BAND_PCT</t>
        </is>
      </c>
      <c r="B130" t="inlineStr">
        <is>
          <t>1.0</t>
        </is>
      </c>
      <c r="D130" t="inlineStr">
        <is>
          <t>ENTRY, GLOBAL_CHECK, STOCKS_EXIT</t>
        </is>
      </c>
      <c r="G130">
        <f>IFERROR(VLOOKUP($A130&amp;"_"&amp;$B130,Results_Deltas!$A$2:$P$15000,5,FALSE),"")</f>
        <v/>
      </c>
      <c r="H130" t="inlineStr">
        <is>
          <t>Blanket (page end)</t>
        </is>
      </c>
      <c r="L130" t="inlineStr">
        <is>
          <t>NO</t>
        </is>
      </c>
    </row>
    <row r="131" ht="15.75" customHeight="1" s="67">
      <c r="A131" t="inlineStr">
        <is>
          <t>HLR_SMA_BAND_PCT</t>
        </is>
      </c>
      <c r="B131" t="inlineStr">
        <is>
          <t>0.5</t>
        </is>
      </c>
      <c r="D131" t="inlineStr">
        <is>
          <t>ENTRY, GLOBAL_CHECK, STOCKS_EXIT</t>
        </is>
      </c>
      <c r="G131">
        <f>IFERROR(VLOOKUP($A131&amp;"_"&amp;$B131,Results_Deltas!$A$2:$P$15000,5,FALSE),"")</f>
        <v/>
      </c>
      <c r="H131" t="inlineStr">
        <is>
          <t>Blanket (page end)</t>
        </is>
      </c>
      <c r="L131" t="inlineStr">
        <is>
          <t>NO</t>
        </is>
      </c>
    </row>
    <row r="132" ht="15.75" customHeight="1" s="67">
      <c r="A132" t="inlineStr">
        <is>
          <t>HLR_TOP_MIN_TFS</t>
        </is>
      </c>
      <c r="B132" t="inlineStr">
        <is>
          <t>0</t>
        </is>
      </c>
      <c r="D132" t="inlineStr">
        <is>
          <t>GLOBAL_CHECK, REENTRY, STOCKS_EXIT</t>
        </is>
      </c>
      <c r="G132">
        <f>IFERROR(VLOOKUP($A132&amp;"_"&amp;$B132,Results_Deltas!$A$2:$P$15000,5,FALSE),"")</f>
        <v/>
      </c>
      <c r="H132" t="inlineStr">
        <is>
          <t>Blanket (page end)</t>
        </is>
      </c>
      <c r="L132" t="inlineStr">
        <is>
          <t>NO</t>
        </is>
      </c>
    </row>
    <row r="133" ht="15.75" customHeight="1" s="67">
      <c r="A133" t="inlineStr">
        <is>
          <t>HLR_TOP_MIN_TFS</t>
        </is>
      </c>
      <c r="B133" t="n">
        <v>0</v>
      </c>
      <c r="D133" t="inlineStr">
        <is>
          <t>GLOBAL_CHECK, REENTRY, STOCKS_EXIT</t>
        </is>
      </c>
      <c r="G133">
        <f>IFERROR(VLOOKUP($A133&amp;"_"&amp;$B133,Results_Deltas!$A$2:$P$15000,5,FALSE),"")</f>
        <v/>
      </c>
      <c r="H133" t="inlineStr">
        <is>
          <t>Blanket (page end)</t>
        </is>
      </c>
      <c r="L133" t="inlineStr">
        <is>
          <t>NO</t>
        </is>
      </c>
    </row>
    <row r="134" ht="15.75" customHeight="1" s="67">
      <c r="A134" t="inlineStr">
        <is>
          <t>HLR_TOP_MIN_TFS</t>
        </is>
      </c>
      <c r="B134" t="inlineStr">
        <is>
          <t>1</t>
        </is>
      </c>
      <c r="D134" t="inlineStr">
        <is>
          <t>GLOBAL_CHECK, REENTRY, STOCKS_EXIT</t>
        </is>
      </c>
      <c r="G134">
        <f>IFERROR(VLOOKUP($A134&amp;"_"&amp;$B134,Results_Deltas!$A$2:$P$15000,5,FALSE),"")</f>
        <v/>
      </c>
      <c r="H134" t="inlineStr">
        <is>
          <t>Blanket (page end)</t>
        </is>
      </c>
      <c r="L134" t="inlineStr">
        <is>
          <t>YES</t>
        </is>
      </c>
    </row>
    <row r="135" ht="15.75" customHeight="1" s="67">
      <c r="A135" t="inlineStr">
        <is>
          <t>HTF4_CONF</t>
        </is>
      </c>
      <c r="B135" t="inlineStr">
        <is>
          <t>False</t>
        </is>
      </c>
      <c r="D135" t="inlineStr">
        <is>
          <t>GLOBAL_CHECK, STOCKS_EXIT</t>
        </is>
      </c>
      <c r="G135">
        <f>IFERROR(VLOOKUP($A135&amp;"_"&amp;$B135,Results_Deltas!$A$2:$P$15000,5,FALSE),"")</f>
        <v/>
      </c>
      <c r="H135" t="inlineStr">
        <is>
          <t>Blanket (page end)</t>
        </is>
      </c>
      <c r="L135" t="inlineStr">
        <is>
          <t>NO</t>
        </is>
      </c>
    </row>
    <row r="136" ht="15.75" customHeight="1" s="67">
      <c r="A136" t="inlineStr">
        <is>
          <t>HTF4_CONF</t>
        </is>
      </c>
      <c r="B136" t="inlineStr">
        <is>
          <t>False_ALT</t>
        </is>
      </c>
      <c r="D136" t="inlineStr">
        <is>
          <t>GLOBAL_CHECK, STOCKS_EXIT</t>
        </is>
      </c>
      <c r="G136">
        <f>IFERROR(VLOOKUP($A136&amp;"_"&amp;$B136,Results_Deltas!$A$2:$P$15000,5,FALSE),"")</f>
        <v/>
      </c>
      <c r="H136" t="inlineStr">
        <is>
          <t>Blanket (page end)</t>
        </is>
      </c>
      <c r="L136" t="inlineStr">
        <is>
          <t>NO</t>
        </is>
      </c>
    </row>
    <row r="137" ht="15.75" customHeight="1" s="67">
      <c r="A137" t="inlineStr">
        <is>
          <t>HTF_DIRECTION_GATE_ENABLED</t>
        </is>
      </c>
      <c r="B137" t="inlineStr">
        <is>
          <t>False</t>
        </is>
      </c>
      <c r="D137" t="inlineStr">
        <is>
          <t>ENTRY, GLOBAL_CHECK, STOCKS_EXIT</t>
        </is>
      </c>
      <c r="G137">
        <f>IFERROR(VLOOKUP($A137&amp;"_"&amp;$B137,Results_Deltas!$A$2:$P$15000,5,FALSE),"")</f>
        <v/>
      </c>
      <c r="H137" t="inlineStr">
        <is>
          <t>Blanket (page end)</t>
        </is>
      </c>
      <c r="L137" t="inlineStr">
        <is>
          <t>NO</t>
        </is>
      </c>
    </row>
    <row r="138" ht="15.75" customHeight="1" s="67">
      <c r="A138" t="inlineStr">
        <is>
          <t>HTF_DIRECTION_GATE_ENABLED</t>
        </is>
      </c>
      <c r="B138" t="inlineStr">
        <is>
          <t>True</t>
        </is>
      </c>
      <c r="D138" t="inlineStr">
        <is>
          <t>ENTRY, GLOBAL_CHECK, STOCKS_EXIT</t>
        </is>
      </c>
      <c r="G138">
        <f>IFERROR(VLOOKUP($A138&amp;"_"&amp;$B138,Results_Deltas!$A$2:$P$15000,5,FALSE),"")</f>
        <v/>
      </c>
      <c r="H138" t="inlineStr">
        <is>
          <t>Blanket (page end)</t>
        </is>
      </c>
      <c r="L138" t="inlineStr">
        <is>
          <t>YES</t>
        </is>
      </c>
    </row>
    <row r="139" ht="15.75" customHeight="1" s="67">
      <c r="A139" t="inlineStr">
        <is>
          <t>HTF_GATE_BYPASS_RZ</t>
        </is>
      </c>
      <c r="B139" t="inlineStr">
        <is>
          <t>0.0</t>
        </is>
      </c>
      <c r="D139" t="inlineStr">
        <is>
          <t>ENTRY, GLOBAL_CHECK, STOCKS_EXIT</t>
        </is>
      </c>
      <c r="G139">
        <f>IFERROR(VLOOKUP($A139&amp;"_"&amp;$B139,Results_Deltas!$A$2:$P$15000,5,FALSE),"")</f>
        <v/>
      </c>
      <c r="H139" t="inlineStr">
        <is>
          <t>Blanket (page end)</t>
        </is>
      </c>
      <c r="L139" t="inlineStr">
        <is>
          <t>NO</t>
        </is>
      </c>
    </row>
    <row r="140" ht="15.75" customHeight="1" s="67">
      <c r="A140" t="inlineStr">
        <is>
          <t>HTF_GATE_BYPASS_RZ</t>
        </is>
      </c>
      <c r="B140" t="inlineStr">
        <is>
          <t>0.0_ALT</t>
        </is>
      </c>
      <c r="D140" t="inlineStr">
        <is>
          <t>ENTRY, GLOBAL_CHECK, STOCKS_EXIT</t>
        </is>
      </c>
      <c r="G140">
        <f>IFERROR(VLOOKUP($A140&amp;"_"&amp;$B140,Results_Deltas!$A$2:$P$15000,5,FALSE),"")</f>
        <v/>
      </c>
      <c r="H140" t="inlineStr">
        <is>
          <t>Blanket (page end)</t>
        </is>
      </c>
      <c r="L140" t="inlineStr">
        <is>
          <t>NO</t>
        </is>
      </c>
    </row>
    <row r="141" ht="15.75" customHeight="1" s="67">
      <c r="A141" t="inlineStr">
        <is>
          <t>HTF_GATE_D_MANDATORY</t>
        </is>
      </c>
      <c r="B141" t="inlineStr">
        <is>
          <t>0.0</t>
        </is>
      </c>
      <c r="D141" t="inlineStr">
        <is>
          <t>ENTRY, GLOBAL_CHECK, STOCKS_EXIT</t>
        </is>
      </c>
      <c r="G141">
        <f>IFERROR(VLOOKUP($A141&amp;"_"&amp;$B141,Results_Deltas!$A$2:$P$15000,5,FALSE),"")</f>
        <v/>
      </c>
      <c r="H141" t="inlineStr">
        <is>
          <t>Blanket (page end)</t>
        </is>
      </c>
      <c r="L141" t="inlineStr">
        <is>
          <t>NO</t>
        </is>
      </c>
    </row>
    <row r="142" ht="15.75" customHeight="1" s="67">
      <c r="A142" t="inlineStr">
        <is>
          <t>HTF_GATE_D_MANDATORY</t>
        </is>
      </c>
      <c r="B142" t="inlineStr">
        <is>
          <t>0.0_ALT</t>
        </is>
      </c>
      <c r="D142" t="inlineStr">
        <is>
          <t>ENTRY, GLOBAL_CHECK, STOCKS_EXIT</t>
        </is>
      </c>
      <c r="G142">
        <f>IFERROR(VLOOKUP($A142&amp;"_"&amp;$B142,Results_Deltas!$A$2:$P$15000,5,FALSE),"")</f>
        <v/>
      </c>
      <c r="H142" t="inlineStr">
        <is>
          <t>Blanket (page end)</t>
        </is>
      </c>
      <c r="L142" t="inlineStr">
        <is>
          <t>NO</t>
        </is>
      </c>
    </row>
    <row r="143" ht="15.75" customHeight="1" s="67">
      <c r="A143" t="inlineStr">
        <is>
          <t>HTF_GATE_MIN_CONFIRMATIONS</t>
        </is>
      </c>
      <c r="B143" t="inlineStr">
        <is>
          <t>0.0</t>
        </is>
      </c>
      <c r="D143" t="inlineStr">
        <is>
          <t>ENTRY, GLOBAL_CHECK, STOCKS_EXIT</t>
        </is>
      </c>
      <c r="G143">
        <f>IFERROR(VLOOKUP($A143&amp;"_"&amp;$B143,Results_Deltas!$A$2:$P$15000,5,FALSE),"")</f>
        <v/>
      </c>
      <c r="H143" t="inlineStr">
        <is>
          <t>Blanket (page end)</t>
        </is>
      </c>
      <c r="L143" t="inlineStr">
        <is>
          <t>NO</t>
        </is>
      </c>
    </row>
    <row r="144" ht="15.75" customHeight="1" s="67">
      <c r="A144" t="inlineStr">
        <is>
          <t>HTF_GATE_MIN_CONFIRMATIONS</t>
        </is>
      </c>
      <c r="B144" t="inlineStr">
        <is>
          <t>0.0_ALT</t>
        </is>
      </c>
      <c r="D144" t="inlineStr">
        <is>
          <t>ENTRY, GLOBAL_CHECK, STOCKS_EXIT</t>
        </is>
      </c>
      <c r="G144">
        <f>IFERROR(VLOOKUP($A144&amp;"_"&amp;$B144,Results_Deltas!$A$2:$P$15000,5,FALSE),"")</f>
        <v/>
      </c>
      <c r="H144" t="inlineStr">
        <is>
          <t>Blanket (page end)</t>
        </is>
      </c>
      <c r="L144" t="inlineStr">
        <is>
          <t>NO</t>
        </is>
      </c>
    </row>
    <row r="145" ht="15.75" customHeight="1" s="67">
      <c r="A145" t="inlineStr">
        <is>
          <t>HTF_TREND_VETO_BYPASS_ENABLED</t>
        </is>
      </c>
      <c r="B145" t="inlineStr">
        <is>
          <t>False</t>
        </is>
      </c>
      <c r="D145" t="inlineStr">
        <is>
          <t>GLOBAL_CHECK, STOCKS_EXIT</t>
        </is>
      </c>
      <c r="G145">
        <f>IFERROR(VLOOKUP($A145&amp;"_"&amp;$B145,Results_Deltas!$A$2:$P$15000,5,FALSE),"")</f>
        <v/>
      </c>
      <c r="H145" t="inlineStr">
        <is>
          <t>Blanket (page end)</t>
        </is>
      </c>
      <c r="L145" t="inlineStr">
        <is>
          <t>NO</t>
        </is>
      </c>
    </row>
    <row r="146" ht="15.75" customHeight="1" s="67">
      <c r="A146" t="inlineStr">
        <is>
          <t>HTF_TREND_VETO_BYPASS_ENABLED</t>
        </is>
      </c>
      <c r="B146" t="b">
        <v>0</v>
      </c>
      <c r="D146" t="inlineStr">
        <is>
          <t>GLOBAL_CHECK, STOCKS_EXIT</t>
        </is>
      </c>
      <c r="G146">
        <f>IFERROR(VLOOKUP($A146&amp;"_"&amp;$B146,Results_Deltas!$A$2:$P$15000,5,FALSE),"")</f>
        <v/>
      </c>
      <c r="H146" t="inlineStr">
        <is>
          <t>Blanket (page end)</t>
        </is>
      </c>
      <c r="L146" t="inlineStr">
        <is>
          <t>NO</t>
        </is>
      </c>
    </row>
    <row r="147" ht="15.75" customHeight="1" s="67">
      <c r="A147" t="inlineStr">
        <is>
          <t>HTF_TREND_VETO_BYPASS_REASONS</t>
        </is>
      </c>
      <c r="B147" t="inlineStr">
        <is>
          <t>0.0</t>
        </is>
      </c>
      <c r="D147" t="inlineStr">
        <is>
          <t>GLOBAL_CHECK, STOCKS_EXIT</t>
        </is>
      </c>
      <c r="G147">
        <f>IFERROR(VLOOKUP($A147&amp;"_"&amp;$B147,Results_Deltas!$A$2:$P$15000,5,FALSE),"")</f>
        <v/>
      </c>
      <c r="H147" t="inlineStr">
        <is>
          <t>Blanket (page end)</t>
        </is>
      </c>
      <c r="L147" t="inlineStr">
        <is>
          <t>YES</t>
        </is>
      </c>
    </row>
    <row r="148" ht="15.75" customHeight="1" s="67">
      <c r="A148" t="inlineStr">
        <is>
          <t>HTF_TREND_VETO_BYPASS_REASONS</t>
        </is>
      </c>
      <c r="B148" t="inlineStr">
        <is>
          <t>0.0_ALT</t>
        </is>
      </c>
      <c r="D148" t="inlineStr">
        <is>
          <t>GLOBAL_CHECK, STOCKS_EXIT</t>
        </is>
      </c>
      <c r="G148">
        <f>IFERROR(VLOOKUP($A148&amp;"_"&amp;$B148,Results_Deltas!$A$2:$P$15000,5,FALSE),"")</f>
        <v/>
      </c>
      <c r="H148" t="inlineStr">
        <is>
          <t>Blanket (page end)</t>
        </is>
      </c>
      <c r="L148" t="inlineStr">
        <is>
          <t>NO</t>
        </is>
      </c>
    </row>
    <row r="149" ht="15.75" customHeight="1" s="67">
      <c r="A149" t="inlineStr">
        <is>
          <t>LEADERBOARD_FILTER</t>
        </is>
      </c>
      <c r="B149" t="inlineStr">
        <is>
          <t>False</t>
        </is>
      </c>
      <c r="D149" t="inlineStr">
        <is>
          <t>AUGMENT, ENTRY, EXIT, GLOBAL_CHECK, REDUCE, STOCKS_EXIT</t>
        </is>
      </c>
      <c r="G149">
        <f>IFERROR(VLOOKUP($A149&amp;"_"&amp;$B149,Results_Deltas!$A$2:$P$15000,5,FALSE),"")</f>
        <v/>
      </c>
      <c r="H149" t="inlineStr">
        <is>
          <t>Blanket (page end)</t>
        </is>
      </c>
      <c r="L149" t="inlineStr">
        <is>
          <t>NO</t>
        </is>
      </c>
    </row>
    <row r="150" ht="15.75" customHeight="1" s="67">
      <c r="A150" t="inlineStr">
        <is>
          <t>LEADERBOARD_FILTER</t>
        </is>
      </c>
      <c r="B150" t="inlineStr">
        <is>
          <t>False_ALT</t>
        </is>
      </c>
      <c r="D150" t="inlineStr">
        <is>
          <t>AUGMENT, ENTRY, EXIT, GLOBAL_CHECK, REDUCE, STOCKS_EXIT</t>
        </is>
      </c>
      <c r="G150">
        <f>IFERROR(VLOOKUP($A150&amp;"_"&amp;$B150,Results_Deltas!$A$2:$P$15000,5,FALSE),"")</f>
        <v/>
      </c>
      <c r="H150" t="inlineStr">
        <is>
          <t>Blanket (page end)</t>
        </is>
      </c>
      <c r="L150" t="inlineStr">
        <is>
          <t>NO</t>
        </is>
      </c>
    </row>
    <row r="151" ht="15.75" customHeight="1" s="67">
      <c r="A151" t="inlineStr">
        <is>
          <t>LH_HL_FILTER_ENABLED</t>
        </is>
      </c>
      <c r="B151" t="inlineStr">
        <is>
          <t>False</t>
        </is>
      </c>
      <c r="D151" t="inlineStr">
        <is>
          <t>ENTRY, GLOBAL_CHECK, STOCKS_EXIT</t>
        </is>
      </c>
      <c r="G151">
        <f>IFERROR(VLOOKUP($A151&amp;"_"&amp;$B151,Results_Deltas!$A$2:$P$15000,5,FALSE),"")</f>
        <v/>
      </c>
      <c r="H151" t="inlineStr">
        <is>
          <t>Blanket (page end)</t>
        </is>
      </c>
      <c r="L151" t="inlineStr">
        <is>
          <t>NO</t>
        </is>
      </c>
    </row>
    <row r="152" ht="15.75" customHeight="1" s="67">
      <c r="A152" t="inlineStr">
        <is>
          <t>LH_HL_FILTER_ENABLED</t>
        </is>
      </c>
      <c r="B152" t="inlineStr">
        <is>
          <t>True</t>
        </is>
      </c>
      <c r="D152" t="inlineStr">
        <is>
          <t>ENTRY, GLOBAL_CHECK, STOCKS_EXIT</t>
        </is>
      </c>
      <c r="G152">
        <f>IFERROR(VLOOKUP($A152&amp;"_"&amp;$B152,Results_Deltas!$A$2:$P$15000,5,FALSE),"")</f>
        <v/>
      </c>
      <c r="H152" t="inlineStr">
        <is>
          <t>Blanket (page end)</t>
        </is>
      </c>
      <c r="L152" t="inlineStr">
        <is>
          <t>YES</t>
        </is>
      </c>
    </row>
    <row r="153" ht="15.75" customHeight="1" s="67">
      <c r="A153" t="inlineStr">
        <is>
          <t>LH_HL_FILTER_MODE</t>
        </is>
      </c>
      <c r="B153" t="inlineStr">
        <is>
          <t>STRICT_2BAR</t>
        </is>
      </c>
      <c r="D153" t="inlineStr">
        <is>
          <t>ENTRY, GLOBAL_CHECK, STOCKS_EXIT</t>
        </is>
      </c>
      <c r="G153">
        <f>IFERROR(VLOOKUP($A153&amp;"_"&amp;$B153,Results_Deltas!$A$2:$P$15000,5,FALSE),"")</f>
        <v/>
      </c>
      <c r="H153" t="inlineStr">
        <is>
          <t>Blanket (page end)</t>
        </is>
      </c>
      <c r="L153" t="inlineStr">
        <is>
          <t>NO</t>
        </is>
      </c>
    </row>
    <row r="154" ht="15.75" customHeight="1" s="67">
      <c r="A154" t="inlineStr">
        <is>
          <t>LH_HL_FILTER_MODE</t>
        </is>
      </c>
      <c r="B154" t="inlineStr">
        <is>
          <t>STRICT_2BAR_ALT</t>
        </is>
      </c>
      <c r="D154" t="inlineStr">
        <is>
          <t>ENTRY, GLOBAL_CHECK, STOCKS_EXIT</t>
        </is>
      </c>
      <c r="G154">
        <f>IFERROR(VLOOKUP($A154&amp;"_"&amp;$B154,Results_Deltas!$A$2:$P$15000,5,FALSE),"")</f>
        <v/>
      </c>
      <c r="H154" t="inlineStr">
        <is>
          <t>Blanket (page end)</t>
        </is>
      </c>
      <c r="L154" t="inlineStr">
        <is>
          <t>YES</t>
        </is>
      </c>
    </row>
    <row r="155" ht="15.75" customHeight="1" s="67">
      <c r="A155" t="inlineStr">
        <is>
          <t>LH_HL_FILTER_REQUIRE_BOTH</t>
        </is>
      </c>
      <c r="B155" t="inlineStr">
        <is>
          <t>False</t>
        </is>
      </c>
      <c r="D155" t="inlineStr">
        <is>
          <t>ENTRY, GLOBAL_CHECK, STOCKS_EXIT</t>
        </is>
      </c>
      <c r="G155">
        <f>IFERROR(VLOOKUP($A155&amp;"_"&amp;$B155,Results_Deltas!$A$2:$P$15000,5,FALSE),"")</f>
        <v/>
      </c>
      <c r="H155" t="inlineStr">
        <is>
          <t>Blanket (page end)</t>
        </is>
      </c>
      <c r="L155" t="inlineStr">
        <is>
          <t>NO</t>
        </is>
      </c>
    </row>
    <row r="156" ht="15.75" customHeight="1" s="67">
      <c r="A156" t="inlineStr">
        <is>
          <t>LH_HL_FILTER_REQUIRE_BOTH</t>
        </is>
      </c>
      <c r="B156" t="inlineStr">
        <is>
          <t>False_ALT</t>
        </is>
      </c>
      <c r="D156" t="inlineStr">
        <is>
          <t>ENTRY, GLOBAL_CHECK, STOCKS_EXIT</t>
        </is>
      </c>
      <c r="G156">
        <f>IFERROR(VLOOKUP($A156&amp;"_"&amp;$B156,Results_Deltas!$A$2:$P$15000,5,FALSE),"")</f>
        <v/>
      </c>
      <c r="H156" t="inlineStr">
        <is>
          <t>Blanket (page end)</t>
        </is>
      </c>
      <c r="L156" t="inlineStr">
        <is>
          <t>YES</t>
        </is>
      </c>
    </row>
    <row r="157" ht="15.75" customHeight="1" s="67">
      <c r="A157" t="inlineStr">
        <is>
          <t>LIVE_VEC_EMERGENCY_BRAKE_ENABLED</t>
        </is>
      </c>
      <c r="B157" t="inlineStr">
        <is>
          <t>False</t>
        </is>
      </c>
      <c r="D157" t="inlineStr">
        <is>
          <t>GLOBAL_CHECK, STOCKS_EXIT</t>
        </is>
      </c>
      <c r="G157">
        <f>IFERROR(VLOOKUP($A157&amp;"_"&amp;$B157,Results_Deltas!$A$2:$P$15000,5,FALSE),"")</f>
        <v/>
      </c>
      <c r="H157" t="inlineStr">
        <is>
          <t>Blanket (page end)</t>
        </is>
      </c>
      <c r="L157" t="inlineStr">
        <is>
          <t>NO</t>
        </is>
      </c>
    </row>
    <row r="158" ht="15.75" customHeight="1" s="67">
      <c r="A158" t="inlineStr">
        <is>
          <t>LIVE_VEC_EMERGENCY_BRAKE_ENABLED</t>
        </is>
      </c>
      <c r="B158" t="inlineStr">
        <is>
          <t>True</t>
        </is>
      </c>
      <c r="D158" t="inlineStr">
        <is>
          <t>GLOBAL_CHECK, STOCKS_EXIT</t>
        </is>
      </c>
      <c r="G158">
        <f>IFERROR(VLOOKUP($A158&amp;"_"&amp;$B158,Results_Deltas!$A$2:$P$15000,5,FALSE),"")</f>
        <v/>
      </c>
      <c r="H158" t="inlineStr">
        <is>
          <t>Blanket (page end)</t>
        </is>
      </c>
      <c r="L158" t="inlineStr">
        <is>
          <t>YES</t>
        </is>
      </c>
    </row>
    <row r="159" ht="15.75" customHeight="1" s="67">
      <c r="A159" t="inlineStr">
        <is>
          <t>LR_BAND_LADDER_STOCH_EXTREME</t>
        </is>
      </c>
      <c r="B159" t="inlineStr">
        <is>
          <t>30.0</t>
        </is>
      </c>
      <c r="D159" t="inlineStr">
        <is>
          <t>GLOBAL_CHECK, STOCKS_EXIT</t>
        </is>
      </c>
      <c r="G159">
        <f>IFERROR(VLOOKUP($A159&amp;"_"&amp;$B159,Results_Deltas!$A$2:$P$15000,5,FALSE),"")</f>
        <v/>
      </c>
      <c r="H159" t="inlineStr">
        <is>
          <t>Blanket (page end)</t>
        </is>
      </c>
      <c r="L159" t="inlineStr">
        <is>
          <t>NO</t>
        </is>
      </c>
    </row>
    <row r="160" ht="15.75" customHeight="1" s="67">
      <c r="A160" t="inlineStr">
        <is>
          <t>LR_BAND_LADDER_STOCH_EXTREME</t>
        </is>
      </c>
      <c r="B160" t="inlineStr">
        <is>
          <t>30.0_ALT</t>
        </is>
      </c>
      <c r="D160" t="inlineStr">
        <is>
          <t>GLOBAL_CHECK, STOCKS_EXIT</t>
        </is>
      </c>
      <c r="G160">
        <f>IFERROR(VLOOKUP($A160&amp;"_"&amp;$B160,Results_Deltas!$A$2:$P$15000,5,FALSE),"")</f>
        <v/>
      </c>
      <c r="H160" t="inlineStr">
        <is>
          <t>Blanket (page end)</t>
        </is>
      </c>
      <c r="L160" t="inlineStr">
        <is>
          <t>YES</t>
        </is>
      </c>
    </row>
    <row r="161" ht="15.75" customHeight="1" s="67">
      <c r="A161" t="inlineStr">
        <is>
          <t>LR_BAND_LADDER_TF_BOTTOM</t>
        </is>
      </c>
      <c r="B161" t="inlineStr">
        <is>
          <t>0</t>
        </is>
      </c>
      <c r="D161" t="inlineStr">
        <is>
          <t>GLOBAL_CHECK, STOCKS_EXIT</t>
        </is>
      </c>
      <c r="G161">
        <f>IFERROR(VLOOKUP($A161&amp;"_"&amp;$B161,Results_Deltas!$A$2:$P$15000,5,FALSE),"")</f>
        <v/>
      </c>
      <c r="H161" t="inlineStr">
        <is>
          <t>Blanket (page end)</t>
        </is>
      </c>
      <c r="L161" t="inlineStr">
        <is>
          <t>NO</t>
        </is>
      </c>
    </row>
    <row r="162" ht="15.75" customHeight="1" s="67">
      <c r="A162" t="inlineStr">
        <is>
          <t>LR_BAND_LADDER_TF_BOTTOM</t>
        </is>
      </c>
      <c r="B162" t="inlineStr">
        <is>
          <t>1</t>
        </is>
      </c>
      <c r="D162" t="inlineStr">
        <is>
          <t>GLOBAL_CHECK, STOCKS_EXIT</t>
        </is>
      </c>
      <c r="G162">
        <f>IFERROR(VLOOKUP($A162&amp;"_"&amp;$B162,Results_Deltas!$A$2:$P$15000,5,FALSE),"")</f>
        <v/>
      </c>
      <c r="H162" t="inlineStr">
        <is>
          <t>Blanket (page end)</t>
        </is>
      </c>
      <c r="L162" t="inlineStr">
        <is>
          <t>NO</t>
        </is>
      </c>
    </row>
    <row r="163" ht="15.75" customHeight="1" s="67">
      <c r="A163" t="inlineStr">
        <is>
          <t>LR_BAND_LADDER_TF_TOP</t>
        </is>
      </c>
      <c r="B163" t="inlineStr">
        <is>
          <t>0</t>
        </is>
      </c>
      <c r="D163" t="inlineStr">
        <is>
          <t>GLOBAL_CHECK, STOCKS_EXIT</t>
        </is>
      </c>
      <c r="G163">
        <f>IFERROR(VLOOKUP($A163&amp;"_"&amp;$B163,Results_Deltas!$A$2:$P$15000,5,FALSE),"")</f>
        <v/>
      </c>
      <c r="H163" t="inlineStr">
        <is>
          <t>Blanket (page end)</t>
        </is>
      </c>
      <c r="L163" t="inlineStr">
        <is>
          <t>NO</t>
        </is>
      </c>
    </row>
    <row r="164" ht="15.75" customHeight="1" s="67">
      <c r="A164" t="inlineStr">
        <is>
          <t>LR_BAND_LADDER_TF_TOP</t>
        </is>
      </c>
      <c r="B164" t="inlineStr">
        <is>
          <t>1</t>
        </is>
      </c>
      <c r="D164" t="inlineStr">
        <is>
          <t>GLOBAL_CHECK, STOCKS_EXIT</t>
        </is>
      </c>
      <c r="G164">
        <f>IFERROR(VLOOKUP($A164&amp;"_"&amp;$B164,Results_Deltas!$A$2:$P$15000,5,FALSE),"")</f>
        <v/>
      </c>
      <c r="H164" t="inlineStr">
        <is>
          <t>Blanket (page end)</t>
        </is>
      </c>
      <c r="L164" t="inlineStr">
        <is>
          <t>NO</t>
        </is>
      </c>
    </row>
    <row r="165" ht="15.75" customHeight="1" s="67">
      <c r="A165" t="inlineStr">
        <is>
          <t>MANDATORY_REENTRY_WT_FILTER_MIN_TFS</t>
        </is>
      </c>
      <c r="B165" t="n">
        <v>0</v>
      </c>
      <c r="D165" t="inlineStr">
        <is>
          <t>GLOBAL_CHECK, STOCKS_EXIT</t>
        </is>
      </c>
      <c r="G165">
        <f>IFERROR(VLOOKUP($A165&amp;"_"&amp;$B165,Results_Deltas!$A$2:$P$15000,5,FALSE),"")</f>
        <v/>
      </c>
      <c r="H165" t="inlineStr">
        <is>
          <t>Blanket (page end)</t>
        </is>
      </c>
      <c r="L165" t="inlineStr">
        <is>
          <t>NO</t>
        </is>
      </c>
    </row>
    <row r="166" ht="15.75" customHeight="1" s="67">
      <c r="A166" t="inlineStr">
        <is>
          <t>MANDATORY_REENTRY_WT_FILTER_MIN_TFS</t>
        </is>
      </c>
      <c r="B166" t="inlineStr">
        <is>
          <t>3</t>
        </is>
      </c>
      <c r="D166" t="inlineStr">
        <is>
          <t>GLOBAL_CHECK, STOCKS_EXIT</t>
        </is>
      </c>
      <c r="G166">
        <f>IFERROR(VLOOKUP($A166&amp;"_"&amp;$B166,Results_Deltas!$A$2:$P$15000,5,FALSE),"")</f>
        <v/>
      </c>
      <c r="H166" t="inlineStr">
        <is>
          <t>Blanket (page end)</t>
        </is>
      </c>
      <c r="L166" t="inlineStr">
        <is>
          <t>YES</t>
        </is>
      </c>
    </row>
    <row r="167" ht="15.75" customHeight="1" s="67">
      <c r="A167" t="inlineStr">
        <is>
          <t>MANDATORY_REENTRY_WT_FILTER_MIN_TFS</t>
        </is>
      </c>
      <c r="B167" t="inlineStr">
        <is>
          <t>2</t>
        </is>
      </c>
      <c r="D167" t="inlineStr">
        <is>
          <t>GLOBAL_CHECK, STOCKS_EXIT</t>
        </is>
      </c>
      <c r="G167">
        <f>IFERROR(VLOOKUP($A167&amp;"_"&amp;$B167,Results_Deltas!$A$2:$P$15000,5,FALSE),"")</f>
        <v/>
      </c>
      <c r="H167" t="inlineStr">
        <is>
          <t>Blanket (page end)</t>
        </is>
      </c>
      <c r="L167" t="inlineStr">
        <is>
          <t>NO</t>
        </is>
      </c>
    </row>
    <row r="168" ht="15.75" customHeight="1" s="67">
      <c r="A168" t="inlineStr">
        <is>
          <t>MANDATORY_REENTRY_WT_FILTER_MIN_VELOCITY</t>
        </is>
      </c>
      <c r="B168" t="inlineStr">
        <is>
          <t>0.0</t>
        </is>
      </c>
      <c r="D168" t="inlineStr">
        <is>
          <t>GLOBAL_CHECK, STOCKS_EXIT</t>
        </is>
      </c>
      <c r="G168">
        <f>IFERROR(VLOOKUP($A168&amp;"_"&amp;$B168,Results_Deltas!$A$2:$P$15000,5,FALSE),"")</f>
        <v/>
      </c>
      <c r="H168" t="inlineStr">
        <is>
          <t>Blanket (page end)</t>
        </is>
      </c>
      <c r="L168" t="inlineStr">
        <is>
          <t>NO</t>
        </is>
      </c>
    </row>
    <row r="169" ht="15.75" customHeight="1" s="67">
      <c r="A169" t="inlineStr">
        <is>
          <t>MANDATORY_REENTRY_WT_FILTER_MIN_VELOCITY</t>
        </is>
      </c>
      <c r="B169" t="inlineStr">
        <is>
          <t>0.0_ALT</t>
        </is>
      </c>
      <c r="D169" t="inlineStr">
        <is>
          <t>GLOBAL_CHECK, STOCKS_EXIT</t>
        </is>
      </c>
      <c r="G169">
        <f>IFERROR(VLOOKUP($A169&amp;"_"&amp;$B169,Results_Deltas!$A$2:$P$15000,5,FALSE),"")</f>
        <v/>
      </c>
      <c r="H169" t="inlineStr">
        <is>
          <t>Blanket (page end)</t>
        </is>
      </c>
      <c r="L169" t="inlineStr">
        <is>
          <t>YES</t>
        </is>
      </c>
    </row>
    <row r="170" ht="15.75" customHeight="1" s="67">
      <c r="A170" t="inlineStr">
        <is>
          <t>MANDATORY_REENTRY_WT_FILTER_REQUIRE_FLIP</t>
        </is>
      </c>
      <c r="B170" t="n">
        <v>0</v>
      </c>
      <c r="D170" t="inlineStr">
        <is>
          <t>GLOBAL_CHECK, STOCKS_EXIT</t>
        </is>
      </c>
      <c r="G170">
        <f>IFERROR(VLOOKUP($A170&amp;"_"&amp;$B170,Results_Deltas!$A$2:$P$15000,5,FALSE),"")</f>
        <v/>
      </c>
      <c r="H170" t="inlineStr">
        <is>
          <t>Blanket (page end)</t>
        </is>
      </c>
      <c r="L170" t="inlineStr">
        <is>
          <t>NO</t>
        </is>
      </c>
    </row>
    <row r="171" ht="15.75" customHeight="1" s="67">
      <c r="A171" t="inlineStr">
        <is>
          <t>MANDATORY_REENTRY_WT_FILTER_REQUIRE_FLIP</t>
        </is>
      </c>
      <c r="B171" t="inlineStr">
        <is>
          <t>False_ALT</t>
        </is>
      </c>
      <c r="D171" t="inlineStr">
        <is>
          <t>GLOBAL_CHECK, STOCKS_EXIT</t>
        </is>
      </c>
      <c r="G171">
        <f>IFERROR(VLOOKUP($A171&amp;"_"&amp;$B171,Results_Deltas!$A$2:$P$15000,5,FALSE),"")</f>
        <v/>
      </c>
      <c r="H171" t="inlineStr">
        <is>
          <t>Blanket (page end)</t>
        </is>
      </c>
      <c r="L171" t="inlineStr">
        <is>
          <t>YES</t>
        </is>
      </c>
    </row>
    <row r="172" ht="15.75" customHeight="1" s="67">
      <c r="A172" t="inlineStr">
        <is>
          <t>MANDATORY_REENTRY_WT_FILTER_VELOCITY_RATIO</t>
        </is>
      </c>
      <c r="B172" t="n">
        <v>0</v>
      </c>
      <c r="D172" t="inlineStr">
        <is>
          <t>GLOBAL_CHECK, STOCKS_EXIT</t>
        </is>
      </c>
      <c r="G172">
        <f>IFERROR(VLOOKUP($A172&amp;"_"&amp;$B172,Results_Deltas!$A$2:$P$15000,5,FALSE),"")</f>
        <v/>
      </c>
      <c r="H172" t="inlineStr">
        <is>
          <t>Blanket (page end)</t>
        </is>
      </c>
      <c r="L172" t="inlineStr">
        <is>
          <t>NO</t>
        </is>
      </c>
    </row>
    <row r="173" ht="15.75" customHeight="1" s="67">
      <c r="A173" t="inlineStr">
        <is>
          <t>MANDATORY_REENTRY_WT_FILTER_VELOCITY_RATIO</t>
        </is>
      </c>
      <c r="B173" t="inlineStr">
        <is>
          <t>0.90_ALT</t>
        </is>
      </c>
      <c r="D173" t="inlineStr">
        <is>
          <t>GLOBAL_CHECK, STOCKS_EXIT</t>
        </is>
      </c>
      <c r="G173">
        <f>IFERROR(VLOOKUP($A173&amp;"_"&amp;$B173,Results_Deltas!$A$2:$P$15000,5,FALSE),"")</f>
        <v/>
      </c>
      <c r="H173" t="inlineStr">
        <is>
          <t>Blanket (page end)</t>
        </is>
      </c>
      <c r="L173" t="inlineStr">
        <is>
          <t>YES</t>
        </is>
      </c>
    </row>
    <row r="174" ht="15.75" customHeight="1" s="67">
      <c r="A174" t="inlineStr">
        <is>
          <t>MARKET_QUALITY_SCORE_ENABLED</t>
        </is>
      </c>
      <c r="B174" t="inlineStr">
        <is>
          <t>False</t>
        </is>
      </c>
      <c r="D174" t="inlineStr">
        <is>
          <t>ENTRY, GLOBAL_CHECK, STOCKS_EXIT</t>
        </is>
      </c>
      <c r="G174">
        <f>IFERROR(VLOOKUP($A174&amp;"_"&amp;$B174,Results_Deltas!$A$2:$P$15000,5,FALSE),"")</f>
        <v/>
      </c>
      <c r="H174" t="inlineStr">
        <is>
          <t>Blanket (page end)</t>
        </is>
      </c>
      <c r="L174" t="inlineStr">
        <is>
          <t>NO</t>
        </is>
      </c>
    </row>
    <row r="175" ht="15.75" customHeight="1" s="67">
      <c r="A175" t="inlineStr">
        <is>
          <t>MARKET_QUALITY_SCORE_ENABLED</t>
        </is>
      </c>
      <c r="B175" t="inlineStr">
        <is>
          <t>True</t>
        </is>
      </c>
      <c r="D175" t="inlineStr">
        <is>
          <t>ENTRY, GLOBAL_CHECK, STOCKS_EXIT</t>
        </is>
      </c>
      <c r="G175">
        <f>IFERROR(VLOOKUP($A175&amp;"_"&amp;$B175,Results_Deltas!$A$2:$P$15000,5,FALSE),"")</f>
        <v/>
      </c>
      <c r="H175" t="inlineStr">
        <is>
          <t>Blanket (page end)</t>
        </is>
      </c>
      <c r="L175" t="inlineStr">
        <is>
          <t>YES</t>
        </is>
      </c>
    </row>
    <row r="176" ht="15.75" customHeight="1" s="67">
      <c r="A176" t="inlineStr">
        <is>
          <t>MI_TF_AGREE_MIN</t>
        </is>
      </c>
      <c r="B176" t="inlineStr">
        <is>
          <t>0.0</t>
        </is>
      </c>
      <c r="D176" t="inlineStr">
        <is>
          <t>ENTRY, GLOBAL_CHECK, STOCKS_EXIT</t>
        </is>
      </c>
      <c r="G176">
        <f>IFERROR(VLOOKUP($A176&amp;"_"&amp;$B176,Results_Deltas!$A$2:$P$15000,5,FALSE),"")</f>
        <v/>
      </c>
      <c r="H176" t="inlineStr">
        <is>
          <t>Blanket (page end)</t>
        </is>
      </c>
      <c r="L176" t="inlineStr">
        <is>
          <t>NO</t>
        </is>
      </c>
    </row>
    <row r="177" ht="15.75" customHeight="1" s="67">
      <c r="A177" t="inlineStr">
        <is>
          <t>MI_TF_AGREE_MIN</t>
        </is>
      </c>
      <c r="B177" t="inlineStr">
        <is>
          <t>0.0_ALT</t>
        </is>
      </c>
      <c r="D177" t="inlineStr">
        <is>
          <t>ENTRY, GLOBAL_CHECK, STOCKS_EXIT</t>
        </is>
      </c>
      <c r="G177">
        <f>IFERROR(VLOOKUP($A177&amp;"_"&amp;$B177,Results_Deltas!$A$2:$P$15000,5,FALSE),"")</f>
        <v/>
      </c>
      <c r="H177" t="inlineStr">
        <is>
          <t>Blanket (page end)</t>
        </is>
      </c>
      <c r="L177" t="inlineStr">
        <is>
          <t>NO</t>
        </is>
      </c>
    </row>
    <row r="178" ht="15.75" customHeight="1" s="67">
      <c r="A178" t="inlineStr">
        <is>
          <t>MOVER_THRESHOLD</t>
        </is>
      </c>
      <c r="B178" t="n">
        <v>0</v>
      </c>
      <c r="D178" t="inlineStr">
        <is>
          <t>ENTRY, GLOBAL_CHECK, STOCKS_EXIT</t>
        </is>
      </c>
      <c r="G178">
        <f>IFERROR(VLOOKUP($A178&amp;"_"&amp;$B178,Results_Deltas!$A$2:$P$15000,5,FALSE),"")</f>
        <v/>
      </c>
      <c r="H178" t="inlineStr">
        <is>
          <t>Blanket (page end)</t>
        </is>
      </c>
      <c r="L178" t="inlineStr">
        <is>
          <t>NO</t>
        </is>
      </c>
    </row>
    <row r="179" ht="15.75" customHeight="1" s="67">
      <c r="A179" t="inlineStr">
        <is>
          <t>MOVER_THRESHOLD</t>
        </is>
      </c>
      <c r="B179" t="inlineStr">
        <is>
          <t>6.25</t>
        </is>
      </c>
      <c r="D179" t="inlineStr">
        <is>
          <t>ENTRY, GLOBAL_CHECK, STOCKS_EXIT</t>
        </is>
      </c>
      <c r="G179">
        <f>IFERROR(VLOOKUP($A179&amp;"_"&amp;$B179,Results_Deltas!$A$2:$P$15000,5,FALSE),"")</f>
        <v/>
      </c>
      <c r="H179" t="inlineStr">
        <is>
          <t>Blanket (page end)</t>
        </is>
      </c>
      <c r="L179" t="inlineStr">
        <is>
          <t>YES</t>
        </is>
      </c>
    </row>
    <row r="180" ht="15.75" customHeight="1" s="67">
      <c r="A180" t="inlineStr">
        <is>
          <t>MOVER_THRESHOLD</t>
        </is>
      </c>
      <c r="B180" t="inlineStr">
        <is>
          <t>3.75</t>
        </is>
      </c>
      <c r="D180" t="inlineStr">
        <is>
          <t>ENTRY, GLOBAL_CHECK, STOCKS_EXIT</t>
        </is>
      </c>
      <c r="G180">
        <f>IFERROR(VLOOKUP($A180&amp;"_"&amp;$B180,Results_Deltas!$A$2:$P$15000,5,FALSE),"")</f>
        <v/>
      </c>
      <c r="H180" t="inlineStr">
        <is>
          <t>Blanket (page end)</t>
        </is>
      </c>
      <c r="L180" t="inlineStr">
        <is>
          <t>NO</t>
        </is>
      </c>
    </row>
    <row r="181" ht="15.75" customHeight="1" s="67">
      <c r="A181" t="inlineStr">
        <is>
          <t>MOVER_THRESHOLD</t>
        </is>
      </c>
      <c r="B181" t="inlineStr">
        <is>
          <t>2.5</t>
        </is>
      </c>
      <c r="D181" t="inlineStr">
        <is>
          <t>ENTRY, GLOBAL_CHECK, STOCKS_EXIT</t>
        </is>
      </c>
      <c r="G181">
        <f>IFERROR(VLOOKUP($A181&amp;"_"&amp;$B181,Results_Deltas!$A$2:$P$15000,5,FALSE),"")</f>
        <v/>
      </c>
      <c r="H181" t="inlineStr">
        <is>
          <t>Blanket (page end)</t>
        </is>
      </c>
      <c r="L181" t="inlineStr">
        <is>
          <t>NO</t>
        </is>
      </c>
    </row>
    <row r="182" ht="15.75" customHeight="1" s="67">
      <c r="A182" t="inlineStr">
        <is>
          <t>MTF_FILTER_STRONG_BUY_QUICK_BYPASS</t>
        </is>
      </c>
      <c r="B182" t="inlineStr">
        <is>
          <t>0.0</t>
        </is>
      </c>
      <c r="D182" t="inlineStr">
        <is>
          <t>GLOBAL_CHECK, STOCKS_EXIT</t>
        </is>
      </c>
      <c r="G182">
        <f>IFERROR(VLOOKUP($A182&amp;"_"&amp;$B182,Results_Deltas!$A$2:$P$15000,5,FALSE),"")</f>
        <v/>
      </c>
      <c r="H182" t="inlineStr">
        <is>
          <t>Blanket (page end)</t>
        </is>
      </c>
      <c r="L182" t="inlineStr">
        <is>
          <t>NO</t>
        </is>
      </c>
    </row>
    <row r="183" ht="15.75" customHeight="1" s="67">
      <c r="A183" t="inlineStr">
        <is>
          <t>MTF_FILTER_STRONG_BUY_QUICK_BYPASS</t>
        </is>
      </c>
      <c r="B183" t="inlineStr">
        <is>
          <t>0.0_ALT</t>
        </is>
      </c>
      <c r="D183" t="inlineStr">
        <is>
          <t>GLOBAL_CHECK, STOCKS_EXIT</t>
        </is>
      </c>
      <c r="G183">
        <f>IFERROR(VLOOKUP($A183&amp;"_"&amp;$B183,Results_Deltas!$A$2:$P$15000,5,FALSE),"")</f>
        <v/>
      </c>
      <c r="H183" t="inlineStr">
        <is>
          <t>Blanket (page end)</t>
        </is>
      </c>
      <c r="L183" t="inlineStr">
        <is>
          <t>NO</t>
        </is>
      </c>
    </row>
    <row r="184" ht="15.75" customHeight="1" s="67">
      <c r="A184" t="inlineStr">
        <is>
          <t>MTF_GR_MIN_IND</t>
        </is>
      </c>
      <c r="B184" t="inlineStr">
        <is>
          <t>5</t>
        </is>
      </c>
      <c r="D184" t="inlineStr">
        <is>
          <t>GLOBAL_CHECK, STOCKS_EXIT</t>
        </is>
      </c>
      <c r="G184">
        <f>IFERROR(VLOOKUP($A184&amp;"_"&amp;$B184,Results_Deltas!$A$2:$P$15000,5,FALSE),"")</f>
        <v/>
      </c>
      <c r="H184" t="inlineStr">
        <is>
          <t>Blanket (page end)</t>
        </is>
      </c>
      <c r="L184" t="inlineStr">
        <is>
          <t>NO</t>
        </is>
      </c>
    </row>
    <row r="185" ht="15.75" customHeight="1" s="67">
      <c r="A185" t="inlineStr">
        <is>
          <t>MTF_GR_MIN_IND</t>
        </is>
      </c>
      <c r="B185" t="inlineStr">
        <is>
          <t>5_ALT</t>
        </is>
      </c>
      <c r="D185" t="inlineStr">
        <is>
          <t>GLOBAL_CHECK, STOCKS_EXIT</t>
        </is>
      </c>
      <c r="G185">
        <f>IFERROR(VLOOKUP($A185&amp;"_"&amp;$B185,Results_Deltas!$A$2:$P$15000,5,FALSE),"")</f>
        <v/>
      </c>
      <c r="H185" t="inlineStr">
        <is>
          <t>Blanket (page end)</t>
        </is>
      </c>
      <c r="L185" t="inlineStr">
        <is>
          <t>NO</t>
        </is>
      </c>
    </row>
    <row r="186" ht="15.75" customHeight="1" s="67">
      <c r="A186" t="inlineStr">
        <is>
          <t>MTS_BOTTOM_BONUS_THRESHOLD</t>
        </is>
      </c>
      <c r="B186" t="n">
        <v>0</v>
      </c>
      <c r="D186" t="inlineStr">
        <is>
          <t>ENTRY, GLOBAL_CHECK, STOCKS_EXIT</t>
        </is>
      </c>
      <c r="G186">
        <f>IFERROR(VLOOKUP($A186&amp;"_"&amp;$B186,Results_Deltas!$A$2:$P$15000,5,FALSE),"")</f>
        <v/>
      </c>
      <c r="H186" t="inlineStr">
        <is>
          <t>Blanket (page end)</t>
        </is>
      </c>
      <c r="L186" t="inlineStr">
        <is>
          <t>NO</t>
        </is>
      </c>
    </row>
    <row r="187" ht="15.75" customHeight="1" s="67">
      <c r="A187" t="inlineStr">
        <is>
          <t>MTS_BOTTOM_BONUS_THRESHOLD</t>
        </is>
      </c>
      <c r="B187" t="inlineStr">
        <is>
          <t>31.25</t>
        </is>
      </c>
      <c r="D187" t="inlineStr">
        <is>
          <t>ENTRY, GLOBAL_CHECK, STOCKS_EXIT</t>
        </is>
      </c>
      <c r="G187">
        <f>IFERROR(VLOOKUP($A187&amp;"_"&amp;$B187,Results_Deltas!$A$2:$P$15000,5,FALSE),"")</f>
        <v/>
      </c>
      <c r="H187" t="inlineStr">
        <is>
          <t>Blanket (page end)</t>
        </is>
      </c>
      <c r="L187" t="inlineStr">
        <is>
          <t>YES</t>
        </is>
      </c>
    </row>
    <row r="188" ht="15.75" customHeight="1" s="67">
      <c r="A188" t="inlineStr">
        <is>
          <t>MTS_BOTTOM_BONUS_THRESHOLD</t>
        </is>
      </c>
      <c r="B188" t="inlineStr">
        <is>
          <t>18.75</t>
        </is>
      </c>
      <c r="D188" t="inlineStr">
        <is>
          <t>ENTRY, GLOBAL_CHECK, STOCKS_EXIT</t>
        </is>
      </c>
      <c r="G188">
        <f>IFERROR(VLOOKUP($A188&amp;"_"&amp;$B188,Results_Deltas!$A$2:$P$15000,5,FALSE),"")</f>
        <v/>
      </c>
      <c r="H188" t="inlineStr">
        <is>
          <t>Blanket (page end)</t>
        </is>
      </c>
      <c r="L188" t="inlineStr">
        <is>
          <t>NO</t>
        </is>
      </c>
    </row>
    <row r="189" ht="15.75" customHeight="1" s="67">
      <c r="A189" t="inlineStr">
        <is>
          <t>MTS_BOTTOM_BONUS_THRESHOLD</t>
        </is>
      </c>
      <c r="B189" t="inlineStr">
        <is>
          <t>12.5</t>
        </is>
      </c>
      <c r="D189" t="inlineStr">
        <is>
          <t>ENTRY, GLOBAL_CHECK, STOCKS_EXIT</t>
        </is>
      </c>
      <c r="G189">
        <f>IFERROR(VLOOKUP($A189&amp;"_"&amp;$B189,Results_Deltas!$A$2:$P$15000,5,FALSE),"")</f>
        <v/>
      </c>
      <c r="H189" t="inlineStr">
        <is>
          <t>Blanket (page end)</t>
        </is>
      </c>
      <c r="L189" t="inlineStr">
        <is>
          <t>NO</t>
        </is>
      </c>
    </row>
    <row r="190" ht="15.75" customHeight="1" s="67">
      <c r="A190" t="inlineStr">
        <is>
          <t>MTS_BOTTOM_STRONG_THRESHOLD</t>
        </is>
      </c>
      <c r="B190" t="n">
        <v>0</v>
      </c>
      <c r="D190" t="inlineStr">
        <is>
          <t>ENTRY, GLOBAL_CHECK, STOCKS_EXIT</t>
        </is>
      </c>
      <c r="G190">
        <f>IFERROR(VLOOKUP($A190&amp;"_"&amp;$B190,Results_Deltas!$A$2:$P$15000,5,FALSE),"")</f>
        <v/>
      </c>
      <c r="H190" t="inlineStr">
        <is>
          <t>Blanket (page end)</t>
        </is>
      </c>
      <c r="L190" t="inlineStr">
        <is>
          <t>NO</t>
        </is>
      </c>
    </row>
    <row r="191" ht="15.75" customHeight="1" s="67">
      <c r="A191" t="inlineStr">
        <is>
          <t>MTS_BOTTOM_STRONG_THRESHOLD</t>
        </is>
      </c>
      <c r="B191" t="inlineStr">
        <is>
          <t>50</t>
        </is>
      </c>
      <c r="D191" t="inlineStr">
        <is>
          <t>ENTRY, GLOBAL_CHECK, STOCKS_EXIT</t>
        </is>
      </c>
      <c r="G191">
        <f>IFERROR(VLOOKUP($A191&amp;"_"&amp;$B191,Results_Deltas!$A$2:$P$15000,5,FALSE),"")</f>
        <v/>
      </c>
      <c r="H191" t="inlineStr">
        <is>
          <t>Blanket (page end)</t>
        </is>
      </c>
      <c r="L191" t="inlineStr">
        <is>
          <t>YES</t>
        </is>
      </c>
    </row>
    <row r="192" ht="15.75" customHeight="1" s="67">
      <c r="A192" t="inlineStr">
        <is>
          <t>MTS_BOTTOM_STRONG_THRESHOLD</t>
        </is>
      </c>
      <c r="B192" t="inlineStr">
        <is>
          <t>30</t>
        </is>
      </c>
      <c r="D192" t="inlineStr">
        <is>
          <t>ENTRY, GLOBAL_CHECK, STOCKS_EXIT</t>
        </is>
      </c>
      <c r="G192">
        <f>IFERROR(VLOOKUP($A192&amp;"_"&amp;$B192,Results_Deltas!$A$2:$P$15000,5,FALSE),"")</f>
        <v/>
      </c>
      <c r="H192" t="inlineStr">
        <is>
          <t>Blanket (page end)</t>
        </is>
      </c>
      <c r="L192" t="inlineStr">
        <is>
          <t>NO</t>
        </is>
      </c>
    </row>
    <row r="193" ht="15.75" customHeight="1" s="67">
      <c r="A193" t="inlineStr">
        <is>
          <t>MTS_BOTTOM_STRONG_THRESHOLD</t>
        </is>
      </c>
      <c r="B193" t="inlineStr">
        <is>
          <t>20</t>
        </is>
      </c>
      <c r="D193" t="inlineStr">
        <is>
          <t>ENTRY, GLOBAL_CHECK, STOCKS_EXIT</t>
        </is>
      </c>
      <c r="G193">
        <f>IFERROR(VLOOKUP($A193&amp;"_"&amp;$B193,Results_Deltas!$A$2:$P$15000,5,FALSE),"")</f>
        <v/>
      </c>
      <c r="H193" t="inlineStr">
        <is>
          <t>Blanket (page end)</t>
        </is>
      </c>
      <c r="L193" t="inlineStr">
        <is>
          <t>NO</t>
        </is>
      </c>
    </row>
    <row r="194" ht="15.75" customHeight="1" s="67">
      <c r="A194" t="inlineStr">
        <is>
          <t>MTS_GATE_ENABLED</t>
        </is>
      </c>
      <c r="B194" t="inlineStr">
        <is>
          <t>False</t>
        </is>
      </c>
      <c r="D194" t="inlineStr">
        <is>
          <t>ENTRY, GLOBAL_CHECK, STOCKS_EXIT</t>
        </is>
      </c>
      <c r="G194">
        <f>IFERROR(VLOOKUP($A194&amp;"_"&amp;$B194,Results_Deltas!$A$2:$P$15000,5,FALSE),"")</f>
        <v/>
      </c>
      <c r="H194" t="inlineStr">
        <is>
          <t>Blanket (page end)</t>
        </is>
      </c>
      <c r="L194" t="inlineStr">
        <is>
          <t>NO</t>
        </is>
      </c>
    </row>
    <row r="195" ht="15.75" customHeight="1" s="67">
      <c r="A195" t="inlineStr">
        <is>
          <t>MTS_GATE_ENABLED</t>
        </is>
      </c>
      <c r="B195" t="b">
        <v>0</v>
      </c>
      <c r="D195" t="inlineStr">
        <is>
          <t>ENTRY, GLOBAL_CHECK, STOCKS_EXIT</t>
        </is>
      </c>
      <c r="G195">
        <f>IFERROR(VLOOKUP($A195&amp;"_"&amp;$B195,Results_Deltas!$A$2:$P$15000,5,FALSE),"")</f>
        <v/>
      </c>
      <c r="H195" t="inlineStr">
        <is>
          <t>Blanket (page end)</t>
        </is>
      </c>
      <c r="L195" t="inlineStr">
        <is>
          <t>NO</t>
        </is>
      </c>
    </row>
    <row r="196" ht="15.75" customHeight="1" s="67">
      <c r="A196" t="inlineStr">
        <is>
          <t>NEWBORN_LOSS_KILL_GAIN_THRESHOLD_PCT</t>
        </is>
      </c>
      <c r="B196" t="inlineStr">
        <is>
          <t>0</t>
        </is>
      </c>
      <c r="D196" t="inlineStr">
        <is>
          <t>AUGMENT, EXIT, GLOBAL_CHECK, REDUCE, STOCKS_EXIT</t>
        </is>
      </c>
      <c r="G196">
        <f>IFERROR(VLOOKUP($A196&amp;"_"&amp;$B196,Results_Deltas!$A$2:$P$15000,5,FALSE),"")</f>
        <v/>
      </c>
      <c r="H196" t="inlineStr">
        <is>
          <t>Blanket (page end)</t>
        </is>
      </c>
      <c r="L196" t="inlineStr">
        <is>
          <t>YES</t>
        </is>
      </c>
    </row>
    <row r="197" ht="15.75" customHeight="1" s="67">
      <c r="A197" t="inlineStr">
        <is>
          <t>NEWBORN_LOSS_KILL_GAIN_THRESHOLD_PCT</t>
        </is>
      </c>
      <c r="B197" t="inlineStr">
        <is>
          <t>2.0</t>
        </is>
      </c>
      <c r="D197" t="inlineStr">
        <is>
          <t>AUGMENT, EXIT, GLOBAL_CHECK, REDUCE, STOCKS_EXIT</t>
        </is>
      </c>
      <c r="G197">
        <f>IFERROR(VLOOKUP($A197&amp;"_"&amp;$B197,Results_Deltas!$A$2:$P$15000,5,FALSE),"")</f>
        <v/>
      </c>
      <c r="H197" t="inlineStr">
        <is>
          <t>Blanket (page end)</t>
        </is>
      </c>
      <c r="L197" t="inlineStr">
        <is>
          <t>YES</t>
        </is>
      </c>
    </row>
    <row r="198" ht="15.75" customHeight="1" s="67">
      <c r="A198" t="inlineStr">
        <is>
          <t>NEWBORN_LOSS_KILL_GAIN_THRESHOLD_PCT</t>
        </is>
      </c>
      <c r="B198" t="inlineStr">
        <is>
          <t>1.0</t>
        </is>
      </c>
      <c r="D198" t="inlineStr">
        <is>
          <t>AUGMENT, EXIT, GLOBAL_CHECK, REDUCE, STOCKS_EXIT</t>
        </is>
      </c>
      <c r="G198">
        <f>IFERROR(VLOOKUP($A198&amp;"_"&amp;$B198,Results_Deltas!$A$2:$P$15000,5,FALSE),"")</f>
        <v/>
      </c>
      <c r="H198" t="inlineStr">
        <is>
          <t>Blanket (page end)</t>
        </is>
      </c>
      <c r="L198" t="inlineStr">
        <is>
          <t>NO</t>
        </is>
      </c>
    </row>
    <row r="199" ht="15.75" customHeight="1" s="67">
      <c r="A199" t="inlineStr">
        <is>
          <t>NEWBORN_LOSS_KILL_GAIN_THRESHOLD_PCT</t>
        </is>
      </c>
      <c r="B199" t="inlineStr">
        <is>
          <t>0.5</t>
        </is>
      </c>
      <c r="D199" t="inlineStr">
        <is>
          <t>AUGMENT, EXIT, GLOBAL_CHECK, REDUCE, STOCKS_EXIT</t>
        </is>
      </c>
      <c r="G199">
        <f>IFERROR(VLOOKUP($A199&amp;"_"&amp;$B199,Results_Deltas!$A$2:$P$15000,5,FALSE),"")</f>
        <v/>
      </c>
      <c r="H199" t="inlineStr">
        <is>
          <t>Blanket (page end)</t>
        </is>
      </c>
      <c r="L199" t="inlineStr">
        <is>
          <t>NO</t>
        </is>
      </c>
    </row>
    <row r="200" ht="15.75" customHeight="1" s="67">
      <c r="A200" t="inlineStr">
        <is>
          <t>NEWBORN_LOSS_KILL_REQUIRE_VEL_AGAINST</t>
        </is>
      </c>
      <c r="B200" t="inlineStr">
        <is>
          <t>0.0</t>
        </is>
      </c>
      <c r="D200" t="inlineStr">
        <is>
          <t>AUGMENT, EXIT, GLOBAL_CHECK, REDUCE, STOCKS_EXIT</t>
        </is>
      </c>
      <c r="G200">
        <f>IFERROR(VLOOKUP($A200&amp;"_"&amp;$B200,Results_Deltas!$A$2:$P$15000,5,FALSE),"")</f>
        <v/>
      </c>
      <c r="H200" t="inlineStr">
        <is>
          <t>Blanket (page end)</t>
        </is>
      </c>
      <c r="L200" t="inlineStr">
        <is>
          <t>NO</t>
        </is>
      </c>
    </row>
    <row r="201" ht="15.75" customHeight="1" s="67">
      <c r="A201" t="inlineStr">
        <is>
          <t>NEWBORN_LOSS_KILL_REQUIRE_VEL_AGAINST</t>
        </is>
      </c>
      <c r="B201" t="inlineStr">
        <is>
          <t>0.0_ALT</t>
        </is>
      </c>
      <c r="D201" t="inlineStr">
        <is>
          <t>AUGMENT, EXIT, GLOBAL_CHECK, REDUCE, STOCKS_EXIT</t>
        </is>
      </c>
      <c r="G201">
        <f>IFERROR(VLOOKUP($A201&amp;"_"&amp;$B201,Results_Deltas!$A$2:$P$15000,5,FALSE),"")</f>
        <v/>
      </c>
      <c r="H201" t="inlineStr">
        <is>
          <t>Blanket (page end)</t>
        </is>
      </c>
      <c r="L201" t="inlineStr">
        <is>
          <t>NO</t>
        </is>
      </c>
    </row>
    <row r="202" ht="15.75" customHeight="1" s="67">
      <c r="A202" t="inlineStr">
        <is>
          <t>NEW_POSITION_MAX_LOSS_THRESHOLD</t>
        </is>
      </c>
      <c r="B202" t="inlineStr">
        <is>
          <t>0</t>
        </is>
      </c>
      <c r="D202" t="inlineStr">
        <is>
          <t>AUGMENT, EXIT, GLOBAL_CHECK, REDUCE, STOCKS_EXIT</t>
        </is>
      </c>
      <c r="G202">
        <f>IFERROR(VLOOKUP($A202&amp;"_"&amp;$B202,Results_Deltas!$A$2:$P$15000,5,FALSE),"")</f>
        <v/>
      </c>
      <c r="H202" t="inlineStr">
        <is>
          <t>Blanket (page end)</t>
        </is>
      </c>
      <c r="L202" t="inlineStr">
        <is>
          <t>NO</t>
        </is>
      </c>
    </row>
    <row r="203" ht="15.75" customHeight="1" s="67">
      <c r="A203" t="inlineStr">
        <is>
          <t>NEW_POSITION_MAX_LOSS_THRESHOLD</t>
        </is>
      </c>
      <c r="B203" t="inlineStr">
        <is>
          <t>2.0</t>
        </is>
      </c>
      <c r="D203" t="inlineStr">
        <is>
          <t>AUGMENT, EXIT, GLOBAL_CHECK, REDUCE, STOCKS_EXIT</t>
        </is>
      </c>
      <c r="G203">
        <f>IFERROR(VLOOKUP($A203&amp;"_"&amp;$B203,Results_Deltas!$A$2:$P$15000,5,FALSE),"")</f>
        <v/>
      </c>
      <c r="H203" t="inlineStr">
        <is>
          <t>Blanket (page end)</t>
        </is>
      </c>
      <c r="L203" t="inlineStr">
        <is>
          <t>NO</t>
        </is>
      </c>
    </row>
    <row r="204" ht="15.75" customHeight="1" s="67">
      <c r="A204" t="inlineStr">
        <is>
          <t>NEW_POSITION_MAX_LOSS_THRESHOLD</t>
        </is>
      </c>
      <c r="B204" t="inlineStr">
        <is>
          <t>1.0</t>
        </is>
      </c>
      <c r="D204" t="inlineStr">
        <is>
          <t>AUGMENT, EXIT, GLOBAL_CHECK, REDUCE, STOCKS_EXIT</t>
        </is>
      </c>
      <c r="G204">
        <f>IFERROR(VLOOKUP($A204&amp;"_"&amp;$B204,Results_Deltas!$A$2:$P$15000,5,FALSE),"")</f>
        <v/>
      </c>
      <c r="H204" t="inlineStr">
        <is>
          <t>Blanket (page end)</t>
        </is>
      </c>
      <c r="L204" t="inlineStr">
        <is>
          <t>NO</t>
        </is>
      </c>
    </row>
    <row r="205" ht="15.75" customHeight="1" s="67">
      <c r="A205" t="inlineStr">
        <is>
          <t>NEW_POSITION_MAX_LOSS_THRESHOLD</t>
        </is>
      </c>
      <c r="B205" t="inlineStr">
        <is>
          <t>0.5</t>
        </is>
      </c>
      <c r="D205" t="inlineStr">
        <is>
          <t>AUGMENT, EXIT, GLOBAL_CHECK, REDUCE, STOCKS_EXIT</t>
        </is>
      </c>
      <c r="G205">
        <f>IFERROR(VLOOKUP($A205&amp;"_"&amp;$B205,Results_Deltas!$A$2:$P$15000,5,FALSE),"")</f>
        <v/>
      </c>
      <c r="H205" t="inlineStr">
        <is>
          <t>Blanket (page end)</t>
        </is>
      </c>
      <c r="L205" t="inlineStr">
        <is>
          <t>NO</t>
        </is>
      </c>
    </row>
    <row r="206" ht="15.75" customHeight="1" s="67">
      <c r="A206" t="inlineStr">
        <is>
          <t>OI_CONFIRM_ENABLED</t>
        </is>
      </c>
      <c r="B206" t="inlineStr">
        <is>
          <t>False</t>
        </is>
      </c>
      <c r="D206" t="inlineStr">
        <is>
          <t>ENTRY, GLOBAL_CHECK, STOCKS_EXIT</t>
        </is>
      </c>
      <c r="G206">
        <f>IFERROR(VLOOKUP($A206&amp;"_"&amp;$B206,Results_Deltas!$A$2:$P$15000,5,FALSE),"")</f>
        <v/>
      </c>
      <c r="H206" t="inlineStr">
        <is>
          <t>Blanket (page end)</t>
        </is>
      </c>
      <c r="L206" t="inlineStr">
        <is>
          <t>NO</t>
        </is>
      </c>
    </row>
    <row r="207" ht="15.75" customHeight="1" s="67">
      <c r="A207" t="inlineStr">
        <is>
          <t>OI_CONFIRM_ENABLED</t>
        </is>
      </c>
      <c r="B207" t="b">
        <v>0</v>
      </c>
      <c r="D207" t="inlineStr">
        <is>
          <t>ENTRY, GLOBAL_CHECK, STOCKS_EXIT</t>
        </is>
      </c>
      <c r="G207">
        <f>IFERROR(VLOOKUP($A207&amp;"_"&amp;$B207,Results_Deltas!$A$2:$P$15000,5,FALSE),"")</f>
        <v/>
      </c>
      <c r="H207" t="inlineStr">
        <is>
          <t>Blanket (page end)</t>
        </is>
      </c>
      <c r="L207" t="inlineStr">
        <is>
          <t>NO</t>
        </is>
      </c>
    </row>
    <row r="208" ht="15.75" customHeight="1" s="67">
      <c r="A208" t="inlineStr">
        <is>
          <t>OI_CONFIRM_MIN_CHANGE_PCT</t>
        </is>
      </c>
      <c r="B208" t="inlineStr">
        <is>
          <t>0</t>
        </is>
      </c>
      <c r="D208" t="inlineStr">
        <is>
          <t>ENTRY, GLOBAL_CHECK, STOCKS_EXIT</t>
        </is>
      </c>
      <c r="G208">
        <f>IFERROR(VLOOKUP($A208&amp;"_"&amp;$B208,Results_Deltas!$A$2:$P$15000,5,FALSE),"")</f>
        <v/>
      </c>
      <c r="H208" t="inlineStr">
        <is>
          <t>Blanket (page end)</t>
        </is>
      </c>
      <c r="L208" t="inlineStr">
        <is>
          <t>YES</t>
        </is>
      </c>
    </row>
    <row r="209" ht="15.75" customHeight="1" s="67">
      <c r="A209" t="inlineStr">
        <is>
          <t>OI_CONFIRM_MIN_CHANGE_PCT</t>
        </is>
      </c>
      <c r="B209" t="inlineStr">
        <is>
          <t>2.0</t>
        </is>
      </c>
      <c r="D209" t="inlineStr">
        <is>
          <t>ENTRY, GLOBAL_CHECK, STOCKS_EXIT</t>
        </is>
      </c>
      <c r="G209">
        <f>IFERROR(VLOOKUP($A209&amp;"_"&amp;$B209,Results_Deltas!$A$2:$P$15000,5,FALSE),"")</f>
        <v/>
      </c>
      <c r="H209" t="inlineStr">
        <is>
          <t>Blanket (page end)</t>
        </is>
      </c>
      <c r="L209" t="inlineStr">
        <is>
          <t>NO</t>
        </is>
      </c>
    </row>
    <row r="210" ht="15.75" customHeight="1" s="67">
      <c r="A210" t="inlineStr">
        <is>
          <t>OI_CONFIRM_MIN_CHANGE_PCT</t>
        </is>
      </c>
      <c r="B210" t="inlineStr">
        <is>
          <t>1.0</t>
        </is>
      </c>
      <c r="D210" t="inlineStr">
        <is>
          <t>ENTRY, GLOBAL_CHECK, STOCKS_EXIT</t>
        </is>
      </c>
      <c r="G210">
        <f>IFERROR(VLOOKUP($A210&amp;"_"&amp;$B210,Results_Deltas!$A$2:$P$15000,5,FALSE),"")</f>
        <v/>
      </c>
      <c r="H210" t="inlineStr">
        <is>
          <t>Blanket (page end)</t>
        </is>
      </c>
      <c r="L210" t="inlineStr">
        <is>
          <t>NO</t>
        </is>
      </c>
    </row>
    <row r="211" ht="15.75" customHeight="1" s="67">
      <c r="A211" t="inlineStr">
        <is>
          <t>OI_CONFIRM_MIN_CHANGE_PCT</t>
        </is>
      </c>
      <c r="B211" t="inlineStr">
        <is>
          <t>0.5</t>
        </is>
      </c>
      <c r="D211" t="inlineStr">
        <is>
          <t>ENTRY, GLOBAL_CHECK, STOCKS_EXIT</t>
        </is>
      </c>
      <c r="G211">
        <f>IFERROR(VLOOKUP($A211&amp;"_"&amp;$B211,Results_Deltas!$A$2:$P$15000,5,FALSE),"")</f>
        <v/>
      </c>
      <c r="H211" t="inlineStr">
        <is>
          <t>Blanket (page end)</t>
        </is>
      </c>
      <c r="L211" t="inlineStr">
        <is>
          <t>NO</t>
        </is>
      </c>
    </row>
    <row r="212" ht="15.75" customHeight="1" s="67">
      <c r="A212" t="inlineStr">
        <is>
          <t>OI_CONFIRM_MIN_PRICE_PCT</t>
        </is>
      </c>
      <c r="B212" t="inlineStr">
        <is>
          <t>0</t>
        </is>
      </c>
      <c r="D212" t="inlineStr">
        <is>
          <t>ENTRY, GLOBAL_CHECK, STOCKS_EXIT</t>
        </is>
      </c>
      <c r="G212">
        <f>IFERROR(VLOOKUP($A212&amp;"_"&amp;$B212,Results_Deltas!$A$2:$P$15000,5,FALSE),"")</f>
        <v/>
      </c>
      <c r="H212" t="inlineStr">
        <is>
          <t>Blanket (page end)</t>
        </is>
      </c>
      <c r="L212" t="inlineStr">
        <is>
          <t>YES</t>
        </is>
      </c>
    </row>
    <row r="213" ht="15.75" customHeight="1" s="67">
      <c r="A213" t="inlineStr">
        <is>
          <t>OI_CONFIRM_MIN_PRICE_PCT</t>
        </is>
      </c>
      <c r="B213" t="inlineStr">
        <is>
          <t>2.0</t>
        </is>
      </c>
      <c r="D213" t="inlineStr">
        <is>
          <t>ENTRY, GLOBAL_CHECK, STOCKS_EXIT</t>
        </is>
      </c>
      <c r="G213">
        <f>IFERROR(VLOOKUP($A213&amp;"_"&amp;$B213,Results_Deltas!$A$2:$P$15000,5,FALSE),"")</f>
        <v/>
      </c>
      <c r="H213" t="inlineStr">
        <is>
          <t>Blanket (page end)</t>
        </is>
      </c>
      <c r="L213" t="inlineStr">
        <is>
          <t>NO</t>
        </is>
      </c>
    </row>
    <row r="214" ht="15.75" customHeight="1" s="67">
      <c r="A214" t="inlineStr">
        <is>
          <t>OI_CONFIRM_MIN_PRICE_PCT</t>
        </is>
      </c>
      <c r="B214" t="inlineStr">
        <is>
          <t>1.0</t>
        </is>
      </c>
      <c r="D214" t="inlineStr">
        <is>
          <t>ENTRY, GLOBAL_CHECK, STOCKS_EXIT</t>
        </is>
      </c>
      <c r="G214">
        <f>IFERROR(VLOOKUP($A214&amp;"_"&amp;$B214,Results_Deltas!$A$2:$P$15000,5,FALSE),"")</f>
        <v/>
      </c>
      <c r="H214" t="inlineStr">
        <is>
          <t>Blanket (page end)</t>
        </is>
      </c>
      <c r="L214" t="inlineStr">
        <is>
          <t>NO</t>
        </is>
      </c>
    </row>
    <row r="215" ht="15.75" customHeight="1" s="67">
      <c r="A215" t="inlineStr">
        <is>
          <t>OI_CONFIRM_MIN_PRICE_PCT</t>
        </is>
      </c>
      <c r="B215" t="inlineStr">
        <is>
          <t>0.5</t>
        </is>
      </c>
      <c r="D215" t="inlineStr">
        <is>
          <t>ENTRY, GLOBAL_CHECK, STOCKS_EXIT</t>
        </is>
      </c>
      <c r="G215">
        <f>IFERROR(VLOOKUP($A215&amp;"_"&amp;$B215,Results_Deltas!$A$2:$P$15000,5,FALSE),"")</f>
        <v/>
      </c>
      <c r="H215" t="inlineStr">
        <is>
          <t>Blanket (page end)</t>
        </is>
      </c>
      <c r="L215" t="inlineStr">
        <is>
          <t>NO</t>
        </is>
      </c>
    </row>
    <row r="216">
      <c r="A216" t="inlineStr">
        <is>
          <t>REENTRY_SMA200_GR_CONTINUATION_ENABLED</t>
        </is>
      </c>
      <c r="B216" t="inlineStr">
        <is>
          <t>False</t>
        </is>
      </c>
      <c r="D216" t="inlineStr">
        <is>
          <t>BOUNCE_REENTRY</t>
        </is>
      </c>
      <c r="F216">
        <f>IFERROR(VLOOKUP($A216&amp;"_"&amp;$B216,Results_Deltas!$A:$J,5,FALSE),0)</f>
        <v/>
      </c>
      <c r="G216">
        <f>IFERROR(VLOOKUP($A216&amp;"_"&amp;$B216,Results_Deltas!$A$2:$P$15000,5,FALSE),"")</f>
        <v/>
      </c>
      <c r="H216">
        <f>IFERROR(VLOOKUP($A216&amp;"_"&amp;$B216,Results_Deltas!$A:$J,5,FALSE),0)</f>
        <v/>
      </c>
      <c r="I216">
        <f>IFERROR(VLOOKUP($A216&amp;"_"&amp;$B216,Results_Deltas!$A:$J,5,FALSE),0)</f>
        <v/>
      </c>
      <c r="L216"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AUGMENT_MIN_GAIN_PCT</t>
        </is>
      </c>
      <c r="B3" t="inlineStr">
        <is>
          <t>0.5</t>
        </is>
      </c>
      <c r="G3">
        <f>IFERROR(VLOOKUP($A5&amp;"_"&amp;$B5,Results_Deltas!$A$2:$P$15000,5,FALSE),"")</f>
        <v/>
      </c>
      <c r="H3">
        <f>IFERROR(VLOOKUP($A5,Results_30d_Deltas!$A$2:$H$5000,7,FALSE)-E4,"")</f>
        <v/>
      </c>
      <c r="I3">
        <f>IFERROR(VLOOKUP($A5,Results_30d_Deltas!$A$2:$H$5000,6,FALSE),"")</f>
        <v/>
      </c>
      <c r="L3" t="inlineStr">
        <is>
          <t>NO</t>
        </is>
      </c>
      <c r="IK3" t="inlineStr">
        <is>
          <t>ez_manage.py:30417 top()</t>
        </is>
      </c>
      <c r="IL3" t="inlineStr">
        <is>
          <t>v12_quick_engine.py:4874 x5</t>
        </is>
      </c>
    </row>
    <row r="4" ht="10.5" customHeight="1" s="67">
      <c r="A4" t="inlineStr">
        <is>
          <t>BOUNCE_AUGMENT_MIN_LOSS_PCT</t>
        </is>
      </c>
      <c r="B4" t="inlineStr">
        <is>
          <t>-0.75</t>
        </is>
      </c>
      <c r="G4">
        <f>IFERROR(VLOOKUP($A8&amp;"_"&amp;$B8,Results_Deltas!$A$2:$P$15000,5,FALSE),"")</f>
        <v/>
      </c>
      <c r="H4">
        <f>IFERROR(VLOOKUP($A8,Results_30d_Deltas!$A$2:$H$5000,7,FALSE)-E7,"")</f>
        <v/>
      </c>
      <c r="I4">
        <f>IFERROR(VLOOKUP($A8,Results_30d_Deltas!$A$2:$H$5000,6,FALSE),"")</f>
        <v/>
      </c>
      <c r="L4" t="inlineStr">
        <is>
          <t>NO</t>
        </is>
      </c>
      <c r="IK4" t="inlineStr">
        <is>
          <t>ez_manage.py:4390 top()</t>
        </is>
      </c>
      <c r="IL4" t="inlineStr">
        <is>
          <t>v12_quick_engine.py:1310 x9</t>
        </is>
      </c>
    </row>
    <row r="5" ht="10.5" customHeight="1" s="67">
      <c r="A5" t="inlineStr">
        <is>
          <t>BOUNCE_AUGMENT_MIN_LOSS_PCT</t>
        </is>
      </c>
      <c r="B5" t="inlineStr">
        <is>
          <t>-0.625</t>
        </is>
      </c>
      <c r="G5">
        <f>IFERROR(VLOOKUP($A9&amp;"_"&amp;$B9,Results_Deltas!$A$2:$P$15000,5,FALSE),"")</f>
        <v/>
      </c>
      <c r="H5">
        <f>IFERROR(VLOOKUP($A9,Results_30d_Deltas!$A$2:$H$5000,7,FALSE)-E8,"")</f>
        <v/>
      </c>
      <c r="I5">
        <f>IFERROR(VLOOKUP($A9,Results_30d_Deltas!$A$2:$H$5000,6,FALSE),"")</f>
        <v/>
      </c>
      <c r="L5" t="inlineStr">
        <is>
          <t>NO</t>
        </is>
      </c>
      <c r="IK5" t="inlineStr">
        <is>
          <t>ez_manage.py:4390 top()</t>
        </is>
      </c>
      <c r="IL5" t="inlineStr">
        <is>
          <t>v12_quick_engine.py:1310 x9</t>
        </is>
      </c>
    </row>
    <row r="6" ht="10.5" customHeight="1" s="67">
      <c r="A6" t="inlineStr">
        <is>
          <t>BOUNCE_AUGMENT_MIN_LOSS_PCT</t>
        </is>
      </c>
      <c r="B6" t="inlineStr">
        <is>
          <t>-0.5</t>
        </is>
      </c>
      <c r="G6">
        <f>IFERROR(VLOOKUP($A10&amp;"_"&amp;$B10,Results_Deltas!$A$2:$P$15000,5,FALSE),"")</f>
        <v/>
      </c>
      <c r="H6">
        <f>IFERROR(VLOOKUP($A10,Results_30d_Deltas!$A$2:$H$5000,7,FALSE)-E9,"")</f>
        <v/>
      </c>
      <c r="I6">
        <f>IFERROR(VLOOKUP($A10,Results_30d_Deltas!$A$2:$H$5000,6,FALSE),"")</f>
        <v/>
      </c>
      <c r="L6" t="inlineStr">
        <is>
          <t>YES</t>
        </is>
      </c>
      <c r="IK6" t="inlineStr">
        <is>
          <t>ez_manage.py:4390 top()</t>
        </is>
      </c>
      <c r="IL6" t="inlineStr">
        <is>
          <t>v12_quick_engine.py:1310 x9</t>
        </is>
      </c>
    </row>
    <row r="7" ht="10.5" customHeight="1" s="67">
      <c r="A7" t="inlineStr">
        <is>
          <t>BOUNCE_AUGMENT_MIN_LOSS_PCT</t>
        </is>
      </c>
      <c r="B7" t="inlineStr">
        <is>
          <t>-0.375</t>
        </is>
      </c>
      <c r="G7">
        <f>IFERROR(VLOOKUP($A11&amp;"_"&amp;$B11,Results_Deltas!$A$2:$P$15000,5,FALSE),"")</f>
        <v/>
      </c>
      <c r="H7">
        <f>IFERROR(VLOOKUP($A11,Results_30d_Deltas!$A$2:$H$5000,7,FALSE)-E10,"")</f>
        <v/>
      </c>
      <c r="I7">
        <f>IFERROR(VLOOKUP($A11,Results_30d_Deltas!$A$2:$H$5000,6,FALSE),"")</f>
        <v/>
      </c>
      <c r="L7" t="inlineStr">
        <is>
          <t>NO</t>
        </is>
      </c>
      <c r="IK7" t="inlineStr">
        <is>
          <t>ez_manage.py:4390 top()</t>
        </is>
      </c>
      <c r="IL7" t="inlineStr">
        <is>
          <t>v12_quick_engine.py:1310 x9</t>
        </is>
      </c>
    </row>
    <row r="8" ht="10.5" customHeight="1" s="67">
      <c r="A8" t="inlineStr">
        <is>
          <t>BOUNCE_AUGMENT_MIN_LOSS_PCT</t>
        </is>
      </c>
      <c r="B8" t="inlineStr">
        <is>
          <t>-0.25</t>
        </is>
      </c>
      <c r="G8">
        <f>IFERROR(VLOOKUP($A12&amp;"_"&amp;$B12,Results_Deltas!$A$2:$P$15000,5,FALSE),"")</f>
        <v/>
      </c>
      <c r="H8">
        <f>IFERROR(VLOOKUP($A12,Results_30d_Deltas!$A$2:$H$5000,7,FALSE)-E11,"")</f>
        <v/>
      </c>
      <c r="I8">
        <f>IFERROR(VLOOKUP($A12,Results_30d_Deltas!$A$2:$H$5000,6,FALSE),"")</f>
        <v/>
      </c>
      <c r="L8" t="inlineStr">
        <is>
          <t>NO</t>
        </is>
      </c>
      <c r="IK8" t="inlineStr">
        <is>
          <t>ez_manage.py:4390 top()</t>
        </is>
      </c>
      <c r="IL8" t="inlineStr">
        <is>
          <t>v12_quick_engine.py:1310 x9</t>
        </is>
      </c>
    </row>
    <row r="9" ht="10.5" customHeight="1" s="67">
      <c r="A9" t="inlineStr">
        <is>
          <t>AUGMENT_BOUNCE_MIN_GAIN_PCT</t>
        </is>
      </c>
      <c r="B9" t="inlineStr">
        <is>
          <t>0.5</t>
        </is>
      </c>
      <c r="G9">
        <f>IFERROR(VLOOKUP($A15&amp;"_"&amp;$B15,Results_Deltas!$A$2:$P$15000,5,FALSE),"")</f>
        <v/>
      </c>
      <c r="H9">
        <f>IFERROR(VLOOKUP($A15,Results_30d_Deltas!$A$2:$H$5000,7,FALSE)-E14,"")</f>
        <v/>
      </c>
      <c r="I9">
        <f>IFERROR(VLOOKUP($A15,Results_30d_Deltas!$A$2:$H$5000,6,FALSE),"")</f>
        <v/>
      </c>
      <c r="L9" t="inlineStr">
        <is>
          <t>YES</t>
        </is>
      </c>
      <c r="IK9" t="inlineStr">
        <is>
          <t>ez_manage.py:56856 top()</t>
        </is>
      </c>
      <c r="IL9" t="inlineStr">
        <is>
          <t>v12_quick_engine.py:4872 x2</t>
        </is>
      </c>
    </row>
    <row r="10" ht="10.5" customHeight="1" s="67">
      <c r="A10" t="inlineStr">
        <is>
          <t>AUGMENT_BREAKOUT_MIN_GAIN_PCT</t>
        </is>
      </c>
      <c r="B10" t="inlineStr">
        <is>
          <t>0.5</t>
        </is>
      </c>
      <c r="G10">
        <f>IFERROR(VLOOKUP($A20&amp;"_"&amp;$B20,Results_Deltas!$A$2:$P$15000,5,FALSE),"")</f>
        <v/>
      </c>
      <c r="H10">
        <f>IFERROR(VLOOKUP($A20,Results_30d_Deltas!$A$2:$H$5000,7,FALSE)-E19,"")</f>
        <v/>
      </c>
      <c r="I10">
        <f>IFERROR(VLOOKUP($A20,Results_30d_Deltas!$A$2:$H$5000,6,FALSE),"")</f>
        <v/>
      </c>
      <c r="L10" t="inlineStr">
        <is>
          <t>NO</t>
        </is>
      </c>
      <c r="IK10" t="inlineStr">
        <is>
          <t>ez_manage.py:56860 top()</t>
        </is>
      </c>
      <c r="IL10" t="inlineStr">
        <is>
          <t>v12_quick_engine.py:4873 x2</t>
        </is>
      </c>
    </row>
    <row r="11" ht="10.5" customHeight="1" s="67">
      <c r="A11" t="inlineStr">
        <is>
          <t>HTF_GATE_APPLY_TO_AUGMENT</t>
        </is>
      </c>
      <c r="B11" t="inlineStr">
        <is>
          <t>0</t>
        </is>
      </c>
      <c r="G11">
        <f>IFERROR(VLOOKUP($A23&amp;"_"&amp;$B23,Results_Deltas!$A$2:$P$15000,5,FALSE),"")</f>
        <v/>
      </c>
      <c r="H11">
        <f>IFERROR(VLOOKUP($A23,Results_30d_Deltas!$A$2:$H$5000,7,FALSE)-E22,"")</f>
        <v/>
      </c>
      <c r="I11">
        <f>IFERROR(VLOOKUP($A23,Results_30d_Deltas!$A$2:$H$5000,6,FALSE),"")</f>
        <v/>
      </c>
      <c r="L11" t="inlineStr">
        <is>
          <t>NO</t>
        </is>
      </c>
      <c r="IK11" t="inlineStr">
        <is>
          <t>ez_manage.py:4876 top()</t>
        </is>
      </c>
      <c r="IL11" t="inlineStr">
        <is>
          <t>v12_quick_engine.py:2052 x6</t>
        </is>
      </c>
    </row>
    <row r="12" ht="10.5" customHeight="1" s="67">
      <c r="A12" t="inlineStr">
        <is>
          <t>HTF_GATE_APPLY_TO_AUGMENT</t>
        </is>
      </c>
      <c r="B12" t="inlineStr">
        <is>
          <t>0.5</t>
        </is>
      </c>
      <c r="G12">
        <f>IFERROR(VLOOKUP($A24&amp;"_"&amp;$B24,Results_Deltas!$A$2:$P$15000,5,FALSE),"")</f>
        <v/>
      </c>
      <c r="H12">
        <f>IFERROR(VLOOKUP($A24,Results_30d_Deltas!$A$2:$H$5000,7,FALSE)-E23,"")</f>
        <v/>
      </c>
      <c r="I12">
        <f>IFERROR(VLOOKUP($A24,Results_30d_Deltas!$A$2:$H$5000,6,FALSE),"")</f>
        <v/>
      </c>
      <c r="L12" t="inlineStr">
        <is>
          <t>NO</t>
        </is>
      </c>
      <c r="IK12" t="inlineStr">
        <is>
          <t>ez_manage.py:4876 top()</t>
        </is>
      </c>
      <c r="IL12" t="inlineStr">
        <is>
          <t>v12_quick_engine.py:2052 x6</t>
        </is>
      </c>
    </row>
    <row r="13" ht="10.5" customHeight="1" s="67">
      <c r="A13" t="inlineStr">
        <is>
          <t>HTF_GATE_APPLY_TO_AUGMENT</t>
        </is>
      </c>
      <c r="B13" t="inlineStr">
        <is>
          <t>1.0</t>
        </is>
      </c>
      <c r="G13">
        <f>IFERROR(VLOOKUP($A25&amp;"_"&amp;$B25,Results_Deltas!$A$2:$P$15000,5,FALSE),"")</f>
        <v/>
      </c>
      <c r="H13">
        <f>IFERROR(VLOOKUP($A25,Results_30d_Deltas!$A$2:$H$5000,7,FALSE)-E24,"")</f>
        <v/>
      </c>
      <c r="I13">
        <f>IFERROR(VLOOKUP($A25,Results_30d_Deltas!$A$2:$H$5000,6,FALSE),"")</f>
        <v/>
      </c>
      <c r="L13" t="inlineStr">
        <is>
          <t>NO</t>
        </is>
      </c>
      <c r="IK13" t="inlineStr">
        <is>
          <t>ez_manage.py:4876 top()</t>
        </is>
      </c>
      <c r="IL13" t="inlineStr">
        <is>
          <t>v12_quick_engine.py:2052 x6</t>
        </is>
      </c>
    </row>
    <row r="14" ht="10.5" customHeight="1" s="67">
      <c r="A14" t="inlineStr">
        <is>
          <t>HTF_GATE_APPLY_TO_AUGMENT</t>
        </is>
      </c>
      <c r="B14" t="inlineStr">
        <is>
          <t>2.0</t>
        </is>
      </c>
      <c r="G14">
        <f>IFERROR(VLOOKUP($A26&amp;"_"&amp;$B26,Results_Deltas!$A$2:$P$15000,5,FALSE),"")</f>
        <v/>
      </c>
      <c r="H14">
        <f>IFERROR(VLOOKUP($A26,Results_30d_Deltas!$A$2:$H$5000,7,FALSE)-E25,"")</f>
        <v/>
      </c>
      <c r="I14">
        <f>IFERROR(VLOOKUP($A26,Results_30d_Deltas!$A$2:$H$5000,6,FALSE),"")</f>
        <v/>
      </c>
      <c r="L14" t="inlineStr">
        <is>
          <t>NO</t>
        </is>
      </c>
      <c r="IK14" t="inlineStr">
        <is>
          <t>ez_manage.py:4876 top()</t>
        </is>
      </c>
      <c r="IL14" t="inlineStr">
        <is>
          <t>v12_quick_engine.py:2052 x6</t>
        </is>
      </c>
    </row>
    <row r="15" ht="10.5" customHeight="1" s="67">
      <c r="A15" t="inlineStr">
        <is>
          <t>ADX_RANGING_THRESHOLD</t>
        </is>
      </c>
      <c r="B15" t="inlineStr">
        <is>
          <t>20</t>
        </is>
      </c>
      <c r="D15" t="inlineStr">
        <is>
          <t>ENTRY, GLOBAL_CHECK, STOCKS_EXIT</t>
        </is>
      </c>
      <c r="G15">
        <f>IFERROR(VLOOKUP($A27&amp;"_"&amp;$B27,Results_Deltas!$A$2:$P$15000,5,FALSE),"")</f>
        <v/>
      </c>
      <c r="H15" t="inlineStr">
        <is>
          <t>Blanket (page end)</t>
        </is>
      </c>
      <c r="L15" t="inlineStr">
        <is>
          <t>NO</t>
        </is>
      </c>
    </row>
    <row r="16" ht="10.5" customHeight="1" s="67">
      <c r="A16" t="inlineStr">
        <is>
          <t>ADX_RANGING_THRESHOLD</t>
        </is>
      </c>
      <c r="B16" t="inlineStr">
        <is>
          <t>25</t>
        </is>
      </c>
      <c r="D16" t="inlineStr">
        <is>
          <t>ENTRY, GLOBAL_CHECK, STOCKS_EXIT</t>
        </is>
      </c>
      <c r="G16">
        <f>IFERROR(VLOOKUP($A28&amp;"_"&amp;$B28,Results_Deltas!$A$2:$P$15000,5,FALSE),"")</f>
        <v/>
      </c>
      <c r="H16" t="inlineStr">
        <is>
          <t>Blanket (page end)</t>
        </is>
      </c>
      <c r="L16" t="inlineStr">
        <is>
          <t>NO</t>
        </is>
      </c>
    </row>
    <row r="17" ht="10.5" customHeight="1" s="67">
      <c r="A17" t="inlineStr">
        <is>
          <t>ADX_RANGING_THRESHOLD</t>
        </is>
      </c>
      <c r="B17" t="inlineStr">
        <is>
          <t>15</t>
        </is>
      </c>
      <c r="D17" t="inlineStr">
        <is>
          <t>ENTRY, GLOBAL_CHECK, STOCKS_EXIT</t>
        </is>
      </c>
      <c r="G17">
        <f>IFERROR(VLOOKUP($A29&amp;"_"&amp;$B29,Results_Deltas!$A$2:$P$15000,5,FALSE),"")</f>
        <v/>
      </c>
      <c r="H17" t="inlineStr">
        <is>
          <t>Blanket (page end)</t>
        </is>
      </c>
      <c r="L17" t="inlineStr">
        <is>
          <t>YES</t>
        </is>
      </c>
    </row>
    <row r="18" ht="10.5" customHeight="1" s="67">
      <c r="A18" t="inlineStr">
        <is>
          <t>ADX_RANGING_THRESHOLD</t>
        </is>
      </c>
      <c r="B18" t="inlineStr">
        <is>
          <t>10</t>
        </is>
      </c>
      <c r="D18" t="inlineStr">
        <is>
          <t>ENTRY, GLOBAL_CHECK, STOCKS_EXIT</t>
        </is>
      </c>
      <c r="G18">
        <f>IFERROR(VLOOKUP($A30&amp;"_"&amp;$B30,Results_Deltas!$A$2:$P$15000,5,FALSE),"")</f>
        <v/>
      </c>
      <c r="H18" t="inlineStr">
        <is>
          <t>Blanket (page end)</t>
        </is>
      </c>
      <c r="L18" t="inlineStr">
        <is>
          <t>NO</t>
        </is>
      </c>
    </row>
    <row r="19" ht="10.5" customHeight="1" s="67">
      <c r="A19" t="inlineStr">
        <is>
          <t>BANDAID_OFF_LOSER_RECOVER_PCT</t>
        </is>
      </c>
      <c r="B19" t="inlineStr">
        <is>
          <t>0</t>
        </is>
      </c>
      <c r="D19" t="inlineStr">
        <is>
          <t>AUGMENT, ENTRY, EXIT, GLOBAL_CHECK, REDUCE, STOCKS_EXIT</t>
        </is>
      </c>
      <c r="G19">
        <f>IFERROR(VLOOKUP($A31&amp;"_"&amp;$B31,Results_Deltas!$A$2:$P$15000,5,FALSE),"")</f>
        <v/>
      </c>
      <c r="H19" t="inlineStr">
        <is>
          <t>Blanket (page end)</t>
        </is>
      </c>
      <c r="L19" t="inlineStr">
        <is>
          <t>NO</t>
        </is>
      </c>
    </row>
    <row r="20" ht="10.5" customHeight="1" s="67">
      <c r="A20" t="inlineStr">
        <is>
          <t>BANDAID_OFF_LOSER_RECOVER_PCT</t>
        </is>
      </c>
      <c r="B20" t="inlineStr">
        <is>
          <t>2.0</t>
        </is>
      </c>
      <c r="D20" t="inlineStr">
        <is>
          <t>AUGMENT, ENTRY, EXIT, GLOBAL_CHECK, REDUCE, STOCKS_EXIT</t>
        </is>
      </c>
      <c r="G20">
        <f>IFERROR(VLOOKUP($A32&amp;"_"&amp;$B32,Results_Deltas!$A$2:$P$15000,5,FALSE),"")</f>
        <v/>
      </c>
      <c r="H20" t="inlineStr">
        <is>
          <t>Blanket (page end)</t>
        </is>
      </c>
      <c r="L20" t="inlineStr">
        <is>
          <t>NO</t>
        </is>
      </c>
    </row>
    <row r="21" ht="10.5" customHeight="1" s="67">
      <c r="A21" t="inlineStr">
        <is>
          <t>BANDAID_OFF_LOSER_RECOVER_PCT</t>
        </is>
      </c>
      <c r="B21" t="inlineStr">
        <is>
          <t>1.0</t>
        </is>
      </c>
      <c r="D21" t="inlineStr">
        <is>
          <t>AUGMENT, ENTRY, EXIT, GLOBAL_CHECK, REDUCE, STOCKS_EXIT</t>
        </is>
      </c>
      <c r="G21">
        <f>IFERROR(VLOOKUP($A33&amp;"_"&amp;$B33,Results_Deltas!$A$2:$P$15000,5,FALSE),"")</f>
        <v/>
      </c>
      <c r="H21" t="inlineStr">
        <is>
          <t>Blanket (page end)</t>
        </is>
      </c>
      <c r="L21" t="inlineStr">
        <is>
          <t>NO</t>
        </is>
      </c>
    </row>
    <row r="22" ht="10.5" customHeight="1" s="67">
      <c r="A22" t="inlineStr">
        <is>
          <t>BANDAID_OFF_LOSER_RECOVER_PCT</t>
        </is>
      </c>
      <c r="B22" t="inlineStr">
        <is>
          <t>0.5</t>
        </is>
      </c>
      <c r="D22" t="inlineStr">
        <is>
          <t>AUGMENT, ENTRY, EXIT, GLOBAL_CHECK, REDUCE, STOCKS_EXIT</t>
        </is>
      </c>
      <c r="G22">
        <f>IFERROR(VLOOKUP($A34&amp;"_"&amp;$B34,Results_Deltas!$A$2:$P$15000,5,FALSE),"")</f>
        <v/>
      </c>
      <c r="H22" t="inlineStr">
        <is>
          <t>Blanket (page end)</t>
        </is>
      </c>
      <c r="L22" t="inlineStr">
        <is>
          <t>YES</t>
        </is>
      </c>
    </row>
    <row r="23" ht="10.5" customHeight="1" s="67">
      <c r="A23" t="inlineStr">
        <is>
          <t>BAND_ARROW_ENABLED</t>
        </is>
      </c>
      <c r="B23" t="inlineStr">
        <is>
          <t>False</t>
        </is>
      </c>
      <c r="D23" t="inlineStr">
        <is>
          <t>GLOBAL_CHECK, STOCKS_EXIT</t>
        </is>
      </c>
      <c r="G23">
        <f>IFERROR(VLOOKUP($A35&amp;"_"&amp;$B35,Results_Deltas!$A$2:$P$15000,5,FALSE),"")</f>
        <v/>
      </c>
      <c r="H23" t="inlineStr">
        <is>
          <t>Blanket (page end)</t>
        </is>
      </c>
      <c r="L23" t="inlineStr">
        <is>
          <t>NO</t>
        </is>
      </c>
    </row>
    <row r="24" ht="10.5" customHeight="1" s="67">
      <c r="A24" t="inlineStr">
        <is>
          <t>BAND_ARROW_ENABLED</t>
        </is>
      </c>
      <c r="B24" t="inlineStr">
        <is>
          <t>True</t>
        </is>
      </c>
      <c r="D24" t="inlineStr">
        <is>
          <t>GLOBAL_CHECK, STOCKS_EXIT</t>
        </is>
      </c>
      <c r="G24">
        <f>IFERROR(VLOOKUP($A36&amp;"_"&amp;$B36,Results_Deltas!$A$2:$P$15000,5,FALSE),"")</f>
        <v/>
      </c>
      <c r="H24" t="inlineStr">
        <is>
          <t>Blanket (page end)</t>
        </is>
      </c>
      <c r="L24" t="inlineStr">
        <is>
          <t>NO</t>
        </is>
      </c>
    </row>
    <row r="25" ht="10.5" customHeight="1" s="67">
      <c r="A25" t="inlineStr">
        <is>
          <t>COOLDOWN_LOCKS_FILTER_TF</t>
        </is>
      </c>
      <c r="B25" t="inlineStr">
        <is>
          <t>OFF</t>
        </is>
      </c>
      <c r="D25" t="inlineStr">
        <is>
          <t>GLOBAL_CHECK</t>
        </is>
      </c>
      <c r="G25">
        <f>IFERROR(VLOOKUP($A37&amp;"_"&amp;$B37,Results_Deltas!$A$2:$P$15000,5,FALSE),"")</f>
        <v/>
      </c>
      <c r="H25" t="inlineStr">
        <is>
          <t>Blanket (page end)</t>
        </is>
      </c>
      <c r="L25" t="inlineStr">
        <is>
          <t>NO</t>
        </is>
      </c>
    </row>
    <row r="26" ht="10.5" customHeight="1" s="67">
      <c r="A26" t="inlineStr">
        <is>
          <t>COOLDOWN_LOCKS_FILTER_TF</t>
        </is>
      </c>
      <c r="B26" t="inlineStr">
        <is>
          <t>D</t>
        </is>
      </c>
      <c r="D26" t="inlineStr">
        <is>
          <t>GLOBAL_CHECK</t>
        </is>
      </c>
      <c r="G26">
        <f>IFERROR(VLOOKUP($A38&amp;"_"&amp;$B38,Results_Deltas!$A$2:$P$15000,5,FALSE),"")</f>
        <v/>
      </c>
      <c r="H26" t="inlineStr">
        <is>
          <t>Blanket (page end)</t>
        </is>
      </c>
      <c r="L26" t="inlineStr">
        <is>
          <t>NO</t>
        </is>
      </c>
    </row>
    <row r="27" ht="15.75" customHeight="1" s="67">
      <c r="A27" t="inlineStr">
        <is>
          <t>COOLDOWN_LOCKS_FILTER_TF</t>
        </is>
      </c>
      <c r="B27" t="inlineStr">
        <is>
          <t>4h</t>
        </is>
      </c>
      <c r="D27" t="inlineStr">
        <is>
          <t>GLOBAL_CHECK</t>
        </is>
      </c>
      <c r="G27">
        <f>IFERROR(VLOOKUP($A39&amp;"_"&amp;$B39,Results_Deltas!$A$2:$P$15000,5,FALSE),"")</f>
        <v/>
      </c>
      <c r="H27" t="inlineStr">
        <is>
          <t>Blanket (page end)</t>
        </is>
      </c>
      <c r="L27" t="inlineStr">
        <is>
          <t>NO</t>
        </is>
      </c>
    </row>
    <row r="28" ht="15.75" customHeight="1" s="67">
      <c r="A28" t="inlineStr">
        <is>
          <t>COOLDOWN_LOCKS_FILTER_TF</t>
        </is>
      </c>
      <c r="B28" t="inlineStr">
        <is>
          <t>1h</t>
        </is>
      </c>
      <c r="D28" t="inlineStr">
        <is>
          <t>GLOBAL_CHECK</t>
        </is>
      </c>
      <c r="G28">
        <f>IFERROR(VLOOKUP($A40&amp;"_"&amp;$B40,Results_Deltas!$A$2:$P$15000,5,FALSE),"")</f>
        <v/>
      </c>
      <c r="H28" t="inlineStr">
        <is>
          <t>Blanket (page end)</t>
        </is>
      </c>
      <c r="L28" t="inlineStr">
        <is>
          <t>NO</t>
        </is>
      </c>
    </row>
    <row r="29" ht="15.75" customHeight="1" s="67">
      <c r="A29" t="inlineStr">
        <is>
          <t>COOLDOWN_LOCKS_FILTER_TF</t>
        </is>
      </c>
      <c r="B29" t="inlineStr">
        <is>
          <t>15m</t>
        </is>
      </c>
      <c r="D29" t="inlineStr">
        <is>
          <t>GLOBAL_CHECK</t>
        </is>
      </c>
      <c r="G29">
        <f>IFERROR(VLOOKUP($A41&amp;"_"&amp;$B41,Results_Deltas!$A$2:$P$15000,5,FALSE),"")</f>
        <v/>
      </c>
      <c r="H29" t="inlineStr">
        <is>
          <t>Blanket (page end)</t>
        </is>
      </c>
      <c r="L29" t="inlineStr">
        <is>
          <t>NO</t>
        </is>
      </c>
    </row>
    <row r="30" ht="15.75" customHeight="1" s="67">
      <c r="A30" t="inlineStr">
        <is>
          <t>CRYPTO_SPIKE_FADE_THRESHOLD_PCT</t>
        </is>
      </c>
      <c r="B30" t="inlineStr">
        <is>
          <t>10</t>
        </is>
      </c>
      <c r="D30" t="inlineStr">
        <is>
          <t>GLOBAL_CHECK, STOCKS_EXIT</t>
        </is>
      </c>
      <c r="G30">
        <f>IFERROR(VLOOKUP($A42&amp;"_"&amp;$B42,Results_Deltas!$A$2:$P$15000,5,FALSE),"")</f>
        <v/>
      </c>
      <c r="H30" t="inlineStr">
        <is>
          <t>Blanket (page end)</t>
        </is>
      </c>
      <c r="L30" t="inlineStr">
        <is>
          <t>NO</t>
        </is>
      </c>
    </row>
    <row r="31" ht="15.75" customHeight="1" s="67">
      <c r="A31" t="inlineStr">
        <is>
          <t>CRYPTO_SPIKE_FADE_THRESHOLD_PCT</t>
        </is>
      </c>
      <c r="B31" t="inlineStr">
        <is>
          <t>12.5</t>
        </is>
      </c>
      <c r="D31" t="inlineStr">
        <is>
          <t>GLOBAL_CHECK, STOCKS_EXIT</t>
        </is>
      </c>
      <c r="G31">
        <f>IFERROR(VLOOKUP($A43&amp;"_"&amp;$B43,Results_Deltas!$A$2:$P$15000,5,FALSE),"")</f>
        <v/>
      </c>
      <c r="H31" t="inlineStr">
        <is>
          <t>Blanket (page end)</t>
        </is>
      </c>
      <c r="L31" t="inlineStr">
        <is>
          <t>NO</t>
        </is>
      </c>
    </row>
    <row r="32" ht="15.75" customHeight="1" s="67">
      <c r="A32" t="inlineStr">
        <is>
          <t>CRYPTO_SPIKE_FADE_THRESHOLD_PCT</t>
        </is>
      </c>
      <c r="B32" t="inlineStr">
        <is>
          <t>7.5</t>
        </is>
      </c>
      <c r="D32" t="inlineStr">
        <is>
          <t>GLOBAL_CHECK, STOCKS_EXIT</t>
        </is>
      </c>
      <c r="G32">
        <f>IFERROR(VLOOKUP($A44&amp;"_"&amp;$B44,Results_Deltas!$A$2:$P$15000,5,FALSE),"")</f>
        <v/>
      </c>
      <c r="H32" t="inlineStr">
        <is>
          <t>Blanket (page end)</t>
        </is>
      </c>
      <c r="L32" t="inlineStr">
        <is>
          <t>NO</t>
        </is>
      </c>
    </row>
    <row r="33" ht="15.75" customHeight="1" s="67">
      <c r="A33" t="inlineStr">
        <is>
          <t>CRYPTO_SPIKE_FADE_THRESHOLD_PCT</t>
        </is>
      </c>
      <c r="B33" t="inlineStr">
        <is>
          <t>5</t>
        </is>
      </c>
      <c r="D33" t="inlineStr">
        <is>
          <t>GLOBAL_CHECK, STOCKS_EXIT</t>
        </is>
      </c>
      <c r="G33">
        <f>IFERROR(VLOOKUP($A45&amp;"_"&amp;$B45,Results_Deltas!$A$2:$P$15000,5,FALSE),"")</f>
        <v/>
      </c>
      <c r="H33" t="inlineStr">
        <is>
          <t>Blanket (page end)</t>
        </is>
      </c>
      <c r="L33" t="inlineStr">
        <is>
          <t>NO</t>
        </is>
      </c>
    </row>
    <row r="34" ht="15.75" customHeight="1" s="67">
      <c r="A34" t="inlineStr">
        <is>
          <t>DC_MOMENT_STRONG_THRESHOLD</t>
        </is>
      </c>
      <c r="B34" t="inlineStr">
        <is>
          <t>40</t>
        </is>
      </c>
      <c r="D34" t="inlineStr">
        <is>
          <t>ENTRY, GLOBAL_CHECK, STOCKS_EXIT</t>
        </is>
      </c>
      <c r="G34">
        <f>IFERROR(VLOOKUP($A46&amp;"_"&amp;$B46,Results_Deltas!$A$2:$P$15000,5,FALSE),"")</f>
        <v/>
      </c>
      <c r="H34" t="inlineStr">
        <is>
          <t>Blanket (page end)</t>
        </is>
      </c>
      <c r="L34" t="inlineStr">
        <is>
          <t>YES</t>
        </is>
      </c>
    </row>
    <row r="35" ht="15.75" customHeight="1" s="67">
      <c r="A35" t="inlineStr">
        <is>
          <t>DC_MOMENT_STRONG_THRESHOLD</t>
        </is>
      </c>
      <c r="B35" t="inlineStr">
        <is>
          <t>50</t>
        </is>
      </c>
      <c r="D35" t="inlineStr">
        <is>
          <t>ENTRY, GLOBAL_CHECK, STOCKS_EXIT</t>
        </is>
      </c>
      <c r="G35">
        <f>IFERROR(VLOOKUP($A47&amp;"_"&amp;$B47,Results_Deltas!$A$2:$P$15000,5,FALSE),"")</f>
        <v/>
      </c>
      <c r="H35" t="inlineStr">
        <is>
          <t>Blanket (page end)</t>
        </is>
      </c>
      <c r="L35" t="inlineStr">
        <is>
          <t>YES</t>
        </is>
      </c>
    </row>
    <row r="36" ht="15.75" customHeight="1" s="67">
      <c r="A36" t="inlineStr">
        <is>
          <t>DC_MOMENT_STRONG_THRESHOLD</t>
        </is>
      </c>
      <c r="B36" t="inlineStr">
        <is>
          <t>30</t>
        </is>
      </c>
      <c r="D36" t="inlineStr">
        <is>
          <t>ENTRY, GLOBAL_CHECK, STOCKS_EXIT</t>
        </is>
      </c>
      <c r="G36">
        <f>IFERROR(VLOOKUP($A48&amp;"_"&amp;$B48,Results_Deltas!$A$2:$P$15000,5,FALSE),"")</f>
        <v/>
      </c>
      <c r="H36" t="inlineStr">
        <is>
          <t>Blanket (page end)</t>
        </is>
      </c>
      <c r="L36" t="inlineStr">
        <is>
          <t>NO</t>
        </is>
      </c>
    </row>
    <row r="37" ht="15.75" customHeight="1" s="67">
      <c r="A37" t="inlineStr">
        <is>
          <t>DC_MOMENT_STRONG_THRESHOLD</t>
        </is>
      </c>
      <c r="B37" t="inlineStr">
        <is>
          <t>20</t>
        </is>
      </c>
      <c r="D37" t="inlineStr">
        <is>
          <t>ENTRY, GLOBAL_CHECK, STOCKS_EXIT</t>
        </is>
      </c>
      <c r="G37">
        <f>IFERROR(VLOOKUP($A49&amp;"_"&amp;$B49,Results_Deltas!$A$2:$P$15000,5,FALSE),"")</f>
        <v/>
      </c>
      <c r="H37" t="inlineStr">
        <is>
          <t>Blanket (page end)</t>
        </is>
      </c>
      <c r="L37" t="inlineStr">
        <is>
          <t>NO</t>
        </is>
      </c>
    </row>
    <row r="38" ht="15.75" customHeight="1" s="67">
      <c r="A38" t="inlineStr">
        <is>
          <t>DELTA_HTF_GATE</t>
        </is>
      </c>
      <c r="B38" t="inlineStr">
        <is>
          <t>4h</t>
        </is>
      </c>
      <c r="D38" t="inlineStr">
        <is>
          <t>ENTRY, GLOBAL_CHECK, STOCKS_EXIT</t>
        </is>
      </c>
      <c r="G38">
        <f>IFERROR(VLOOKUP($A50&amp;"_"&amp;$B50,Results_Deltas!$A$2:$P$15000,5,FALSE),"")</f>
        <v/>
      </c>
      <c r="H38" t="inlineStr">
        <is>
          <t>Blanket (page end)</t>
        </is>
      </c>
      <c r="L38" t="inlineStr">
        <is>
          <t>NO</t>
        </is>
      </c>
    </row>
    <row r="39" ht="15.75" customHeight="1" s="67">
      <c r="A39" t="inlineStr">
        <is>
          <t>DELTA_HTF_GATE</t>
        </is>
      </c>
      <c r="B39" t="inlineStr">
        <is>
          <t>4h_ALT</t>
        </is>
      </c>
      <c r="D39" t="inlineStr">
        <is>
          <t>ENTRY, GLOBAL_CHECK, STOCKS_EXIT</t>
        </is>
      </c>
      <c r="G39">
        <f>IFERROR(VLOOKUP($A51&amp;"_"&amp;$B51,Results_Deltas!$A$2:$P$15000,5,FALSE),"")</f>
        <v/>
      </c>
      <c r="H39" t="inlineStr">
        <is>
          <t>Blanket (page end)</t>
        </is>
      </c>
      <c r="L39" t="inlineStr">
        <is>
          <t>YES</t>
        </is>
      </c>
    </row>
    <row r="40" ht="15.75" customHeight="1" s="67">
      <c r="A40" t="inlineStr">
        <is>
          <t>DELTA_REENTRY_FILTER_ENABLED</t>
        </is>
      </c>
      <c r="B40" t="inlineStr">
        <is>
          <t>False</t>
        </is>
      </c>
      <c r="D40" t="inlineStr">
        <is>
          <t>ENTRY, GLOBAL_CHECK, STOCKS_EXIT</t>
        </is>
      </c>
      <c r="G40">
        <f>IFERROR(VLOOKUP($A52&amp;"_"&amp;$B52,Results_Deltas!$A$2:$P$15000,5,FALSE),"")</f>
        <v/>
      </c>
      <c r="H40" t="inlineStr">
        <is>
          <t>Blanket (page end)</t>
        </is>
      </c>
      <c r="L40" t="inlineStr">
        <is>
          <t>NO</t>
        </is>
      </c>
    </row>
    <row r="41" ht="15.75" customHeight="1" s="67">
      <c r="A41" t="inlineStr">
        <is>
          <t>DELTA_REENTRY_FILTER_ENABLED</t>
        </is>
      </c>
      <c r="B41" t="inlineStr">
        <is>
          <t>True</t>
        </is>
      </c>
      <c r="D41" t="inlineStr">
        <is>
          <t>ENTRY, GLOBAL_CHECK, STOCKS_EXIT</t>
        </is>
      </c>
      <c r="G41">
        <f>IFERROR(VLOOKUP($A53&amp;"_"&amp;$B53,Results_Deltas!$A$2:$P$15000,5,FALSE),"")</f>
        <v/>
      </c>
      <c r="H41" t="inlineStr">
        <is>
          <t>Blanket (page end)</t>
        </is>
      </c>
      <c r="L41" t="inlineStr">
        <is>
          <t>NO</t>
        </is>
      </c>
    </row>
    <row r="42" ht="15.75" customHeight="1" s="67">
      <c r="A42" t="inlineStr">
        <is>
          <t>DUP_GUARD_FILTER_TF</t>
        </is>
      </c>
      <c r="B42" t="inlineStr">
        <is>
          <t>OFF</t>
        </is>
      </c>
      <c r="D42" t="inlineStr">
        <is>
          <t>GLOBAL_CHECK</t>
        </is>
      </c>
      <c r="G42">
        <f>IFERROR(VLOOKUP($A54&amp;"_"&amp;$B54,Results_Deltas!$A$2:$P$15000,5,FALSE),"")</f>
        <v/>
      </c>
      <c r="H42" t="inlineStr">
        <is>
          <t>Blanket (page end)</t>
        </is>
      </c>
      <c r="L42" t="inlineStr">
        <is>
          <t>NO</t>
        </is>
      </c>
    </row>
    <row r="43" ht="15.75" customHeight="1" s="67">
      <c r="A43" t="inlineStr">
        <is>
          <t>DUP_GUARD_FILTER_TF</t>
        </is>
      </c>
      <c r="B43" t="inlineStr">
        <is>
          <t>D</t>
        </is>
      </c>
      <c r="D43" t="inlineStr">
        <is>
          <t>GLOBAL_CHECK</t>
        </is>
      </c>
      <c r="G43">
        <f>IFERROR(VLOOKUP($A55&amp;"_"&amp;$B55,Results_Deltas!$A$2:$P$15000,5,FALSE),"")</f>
        <v/>
      </c>
      <c r="H43" t="inlineStr">
        <is>
          <t>Blanket (page end)</t>
        </is>
      </c>
      <c r="L43" t="inlineStr">
        <is>
          <t>NO</t>
        </is>
      </c>
    </row>
    <row r="44" ht="15.75" customHeight="1" s="67">
      <c r="A44" t="inlineStr">
        <is>
          <t>DUP_GUARD_FILTER_TF</t>
        </is>
      </c>
      <c r="B44" t="inlineStr">
        <is>
          <t>4h</t>
        </is>
      </c>
      <c r="D44" t="inlineStr">
        <is>
          <t>GLOBAL_CHECK</t>
        </is>
      </c>
      <c r="G44">
        <f>IFERROR(VLOOKUP($A56&amp;"_"&amp;$B56,Results_Deltas!$A$2:$P$15000,5,FALSE),"")</f>
        <v/>
      </c>
      <c r="H44" t="inlineStr">
        <is>
          <t>Blanket (page end)</t>
        </is>
      </c>
      <c r="L44" t="inlineStr">
        <is>
          <t>NO</t>
        </is>
      </c>
    </row>
    <row r="45" ht="15.75" customHeight="1" s="67">
      <c r="A45" t="inlineStr">
        <is>
          <t>DUP_GUARD_FILTER_TF</t>
        </is>
      </c>
      <c r="B45" t="inlineStr">
        <is>
          <t>1h</t>
        </is>
      </c>
      <c r="D45" t="inlineStr">
        <is>
          <t>GLOBAL_CHECK</t>
        </is>
      </c>
      <c r="G45">
        <f>IFERROR(VLOOKUP($A57&amp;"_"&amp;$B57,Results_Deltas!$A$2:$P$15000,5,FALSE),"")</f>
        <v/>
      </c>
      <c r="H45" t="inlineStr">
        <is>
          <t>Blanket (page end)</t>
        </is>
      </c>
      <c r="L45" t="inlineStr">
        <is>
          <t>YES</t>
        </is>
      </c>
    </row>
    <row r="46" ht="15.75" customHeight="1" s="67">
      <c r="A46" t="inlineStr">
        <is>
          <t>DUP_GUARD_FILTER_TF</t>
        </is>
      </c>
      <c r="B46" t="inlineStr">
        <is>
          <t>15m</t>
        </is>
      </c>
      <c r="D46" t="inlineStr">
        <is>
          <t>GLOBAL_CHECK</t>
        </is>
      </c>
      <c r="G46">
        <f>IFERROR(VLOOKUP($A58&amp;"_"&amp;$B58,Results_Deltas!$A$2:$P$15000,5,FALSE),"")</f>
        <v/>
      </c>
      <c r="H46" t="inlineStr">
        <is>
          <t>Blanket (page end)</t>
        </is>
      </c>
      <c r="L46" t="inlineStr">
        <is>
          <t>NO</t>
        </is>
      </c>
    </row>
    <row r="47" ht="15.75" customHeight="1" s="67">
      <c r="A47" t="inlineStr">
        <is>
          <t>EMA_9_21_FILTER_MIN_TFS</t>
        </is>
      </c>
      <c r="B47" t="inlineStr">
        <is>
          <t>0</t>
        </is>
      </c>
      <c r="D47" t="inlineStr">
        <is>
          <t>GLOBAL_CHECK</t>
        </is>
      </c>
      <c r="G47">
        <f>IFERROR(VLOOKUP($A59&amp;"_"&amp;$B59,Results_Deltas!$A$2:$P$15000,5,FALSE),"")</f>
        <v/>
      </c>
      <c r="H47" t="inlineStr">
        <is>
          <t>Blanket (page end)</t>
        </is>
      </c>
      <c r="L47" t="inlineStr">
        <is>
          <t>NO</t>
        </is>
      </c>
    </row>
    <row r="48" ht="15.75" customHeight="1" s="67">
      <c r="A48" t="inlineStr">
        <is>
          <t>EMA_9_21_FILTER_MIN_TFS</t>
        </is>
      </c>
      <c r="B48" t="inlineStr">
        <is>
          <t>2</t>
        </is>
      </c>
      <c r="D48" t="inlineStr">
        <is>
          <t>GLOBAL_CHECK</t>
        </is>
      </c>
      <c r="G48">
        <f>IFERROR(VLOOKUP($A60&amp;"_"&amp;$B60,Results_Deltas!$A$2:$P$15000,5,FALSE),"")</f>
        <v/>
      </c>
      <c r="H48" t="inlineStr">
        <is>
          <t>Blanket (page end)</t>
        </is>
      </c>
      <c r="L48" t="inlineStr">
        <is>
          <t>NO</t>
        </is>
      </c>
    </row>
    <row r="49" ht="15.75" customHeight="1" s="67">
      <c r="A49" t="inlineStr">
        <is>
          <t>EMA_9_21_FILTER_MIN_TFS</t>
        </is>
      </c>
      <c r="B49" t="inlineStr">
        <is>
          <t>1</t>
        </is>
      </c>
      <c r="D49" t="inlineStr">
        <is>
          <t>GLOBAL_CHECK</t>
        </is>
      </c>
      <c r="G49">
        <f>IFERROR(VLOOKUP($A61&amp;"_"&amp;$B61,Results_Deltas!$A$2:$P$15000,5,FALSE),"")</f>
        <v/>
      </c>
      <c r="H49" t="inlineStr">
        <is>
          <t>Blanket (page end)</t>
        </is>
      </c>
      <c r="L49" t="inlineStr">
        <is>
          <t>NO</t>
        </is>
      </c>
    </row>
    <row r="50" ht="15.75" customHeight="1" s="67">
      <c r="A50" t="inlineStr">
        <is>
          <t>EMA_BLANKET_FILTER_ENABLED</t>
        </is>
      </c>
      <c r="B50" t="inlineStr">
        <is>
          <t>False</t>
        </is>
      </c>
      <c r="D50" t="inlineStr">
        <is>
          <t>GLOBAL_CHECK</t>
        </is>
      </c>
      <c r="G50">
        <f>IFERROR(VLOOKUP($A62&amp;"_"&amp;$B62,Results_Deltas!$A$2:$P$15000,5,FALSE),"")</f>
        <v/>
      </c>
      <c r="H50" t="inlineStr">
        <is>
          <t>Blanket (page end)</t>
        </is>
      </c>
      <c r="L50" t="inlineStr">
        <is>
          <t>NO</t>
        </is>
      </c>
    </row>
    <row r="51" ht="15.75" customHeight="1" s="67">
      <c r="A51" t="inlineStr">
        <is>
          <t>EMA_BLANKET_FILTER_ENABLED</t>
        </is>
      </c>
      <c r="B51" t="inlineStr">
        <is>
          <t>True</t>
        </is>
      </c>
      <c r="D51" t="inlineStr">
        <is>
          <t>GLOBAL_CHECK</t>
        </is>
      </c>
      <c r="G51">
        <f>IFERROR(VLOOKUP($A63&amp;"_"&amp;$B63,Results_Deltas!$A$2:$P$15000,5,FALSE),"")</f>
        <v/>
      </c>
      <c r="H51" t="inlineStr">
        <is>
          <t>Blanket (page end)</t>
        </is>
      </c>
      <c r="L51" t="inlineStr">
        <is>
          <t>YES</t>
        </is>
      </c>
    </row>
    <row r="52" ht="15.75" customHeight="1" s="67">
      <c r="A52" t="inlineStr">
        <is>
          <t>EMA_BLANKET_FILTER_MIN_TFS</t>
        </is>
      </c>
      <c r="B52" t="inlineStr">
        <is>
          <t>0</t>
        </is>
      </c>
      <c r="D52" t="inlineStr">
        <is>
          <t>GLOBAL_CHECK</t>
        </is>
      </c>
      <c r="G52">
        <f>IFERROR(VLOOKUP($A64&amp;"_"&amp;$B64,Results_Deltas!$A$2:$P$15000,5,FALSE),"")</f>
        <v/>
      </c>
      <c r="H52" t="inlineStr">
        <is>
          <t>Blanket (page end)</t>
        </is>
      </c>
      <c r="L52" t="inlineStr">
        <is>
          <t>NO</t>
        </is>
      </c>
    </row>
    <row r="53" ht="15.75" customHeight="1" s="67">
      <c r="A53" t="inlineStr">
        <is>
          <t>EMA_BLANKET_FILTER_MIN_TFS</t>
        </is>
      </c>
      <c r="B53" t="inlineStr">
        <is>
          <t>2</t>
        </is>
      </c>
      <c r="D53" t="inlineStr">
        <is>
          <t>GLOBAL_CHECK</t>
        </is>
      </c>
      <c r="G53">
        <f>IFERROR(VLOOKUP($A65&amp;"_"&amp;$B65,Results_Deltas!$A$2:$P$15000,5,FALSE),"")</f>
        <v/>
      </c>
      <c r="H53" t="inlineStr">
        <is>
          <t>Blanket (page end)</t>
        </is>
      </c>
      <c r="L53" t="inlineStr">
        <is>
          <t>NO</t>
        </is>
      </c>
    </row>
    <row r="54" ht="15.75" customHeight="1" s="67">
      <c r="A54" t="inlineStr">
        <is>
          <t>EMA_BLANKET_FILTER_MIN_TFS</t>
        </is>
      </c>
      <c r="B54" t="inlineStr">
        <is>
          <t>1</t>
        </is>
      </c>
      <c r="D54" t="inlineStr">
        <is>
          <t>GLOBAL_CHECK</t>
        </is>
      </c>
      <c r="G54">
        <f>IFERROR(VLOOKUP($A66&amp;"_"&amp;$B66,Results_Deltas!$A$2:$P$15000,5,FALSE),"")</f>
        <v/>
      </c>
      <c r="H54" t="inlineStr">
        <is>
          <t>Blanket (page end)</t>
        </is>
      </c>
      <c r="L54" t="inlineStr">
        <is>
          <t>NO</t>
        </is>
      </c>
    </row>
    <row r="55" ht="15.75" customHeight="1" s="67">
      <c r="A55" t="inlineStr">
        <is>
          <t>EXECUTE_NOW_SINGLE_GATE_ENFORCE</t>
        </is>
      </c>
      <c r="B55" t="inlineStr">
        <is>
          <t>0.0</t>
        </is>
      </c>
      <c r="D55" t="inlineStr">
        <is>
          <t>ENTRY, GLOBAL_CHECK, STOCKS_EXIT</t>
        </is>
      </c>
      <c r="G55">
        <f>IFERROR(VLOOKUP($A67&amp;"_"&amp;$B67,Results_Deltas!$A$2:$P$15000,5,FALSE),"")</f>
        <v/>
      </c>
      <c r="H55" t="inlineStr">
        <is>
          <t>Blanket (page end)</t>
        </is>
      </c>
      <c r="L55" t="inlineStr">
        <is>
          <t>NO</t>
        </is>
      </c>
    </row>
    <row r="56" ht="15.75" customHeight="1" s="67">
      <c r="A56" t="inlineStr">
        <is>
          <t>EXECUTE_NOW_SINGLE_GATE_ENFORCE</t>
        </is>
      </c>
      <c r="B56" t="inlineStr">
        <is>
          <t>0.0_ALT</t>
        </is>
      </c>
      <c r="D56" t="inlineStr">
        <is>
          <t>ENTRY, GLOBAL_CHECK, STOCKS_EXIT</t>
        </is>
      </c>
      <c r="G56">
        <f>IFERROR(VLOOKUP($A68&amp;"_"&amp;$B68,Results_Deltas!$A$2:$P$15000,5,FALSE),"")</f>
        <v/>
      </c>
      <c r="H56" t="inlineStr">
        <is>
          <t>Blanket (page end)</t>
        </is>
      </c>
      <c r="L56" t="inlineStr">
        <is>
          <t>YES</t>
        </is>
      </c>
    </row>
    <row r="57" ht="15.75" customHeight="1" s="67">
      <c r="A57" t="inlineStr">
        <is>
          <t>EZ_MANAGE_THROTTLER_RATE</t>
        </is>
      </c>
      <c r="B57" t="inlineStr">
        <is>
          <t>0.0</t>
        </is>
      </c>
      <c r="D57" t="inlineStr">
        <is>
          <t>GLOBAL_CHECK, STOCKS_EXIT</t>
        </is>
      </c>
      <c r="G57">
        <f>IFERROR(VLOOKUP($A69&amp;"_"&amp;$B69,Results_Deltas!$A$2:$P$15000,5,FALSE),"")</f>
        <v/>
      </c>
      <c r="H57" t="inlineStr">
        <is>
          <t>Blanket (page end)</t>
        </is>
      </c>
      <c r="L57" t="inlineStr">
        <is>
          <t>NO</t>
        </is>
      </c>
    </row>
    <row r="58" ht="15.75" customHeight="1" s="67">
      <c r="A58" t="inlineStr">
        <is>
          <t>EZ_MANAGE_THROTTLER_RATE</t>
        </is>
      </c>
      <c r="B58" t="inlineStr">
        <is>
          <t>0.0_ALT</t>
        </is>
      </c>
      <c r="D58" t="inlineStr">
        <is>
          <t>GLOBAL_CHECK, STOCKS_EXIT</t>
        </is>
      </c>
      <c r="G58">
        <f>IFERROR(VLOOKUP($A70&amp;"_"&amp;$B70,Results_Deltas!$A$2:$P$15000,5,FALSE),"")</f>
        <v/>
      </c>
      <c r="H58" t="inlineStr">
        <is>
          <t>Blanket (page end)</t>
        </is>
      </c>
      <c r="L58" t="inlineStr">
        <is>
          <t>NO</t>
        </is>
      </c>
    </row>
    <row r="59" ht="15.75" customHeight="1" s="67">
      <c r="A59" t="inlineStr">
        <is>
          <t>FG_FEAR_THRESHOLD</t>
        </is>
      </c>
      <c r="B59" t="inlineStr">
        <is>
          <t>25</t>
        </is>
      </c>
      <c r="D59" t="inlineStr">
        <is>
          <t>GLOBAL_CHECK, STOCKS_EXIT</t>
        </is>
      </c>
      <c r="G59">
        <f>IFERROR(VLOOKUP($A71&amp;"_"&amp;$B71,Results_Deltas!$A$2:$P$15000,5,FALSE),"")</f>
        <v/>
      </c>
      <c r="H59" t="inlineStr">
        <is>
          <t>Blanket (page end)</t>
        </is>
      </c>
      <c r="L59" t="inlineStr">
        <is>
          <t>NO</t>
        </is>
      </c>
    </row>
    <row r="60" ht="15.75" customHeight="1" s="67">
      <c r="A60" t="inlineStr">
        <is>
          <t>FG_FEAR_THRESHOLD</t>
        </is>
      </c>
      <c r="B60" t="inlineStr">
        <is>
          <t>31.25</t>
        </is>
      </c>
      <c r="D60" t="inlineStr">
        <is>
          <t>GLOBAL_CHECK, STOCKS_EXIT</t>
        </is>
      </c>
      <c r="G60">
        <f>IFERROR(VLOOKUP($A72&amp;"_"&amp;$B72,Results_Deltas!$A$2:$P$15000,5,FALSE),"")</f>
        <v/>
      </c>
      <c r="H60" t="inlineStr">
        <is>
          <t>Blanket (page end)</t>
        </is>
      </c>
      <c r="L60" t="inlineStr">
        <is>
          <t>NO</t>
        </is>
      </c>
    </row>
    <row r="61" ht="15.75" customHeight="1" s="67">
      <c r="A61" t="inlineStr">
        <is>
          <t>FG_FEAR_THRESHOLD</t>
        </is>
      </c>
      <c r="B61" t="inlineStr">
        <is>
          <t>18.75</t>
        </is>
      </c>
      <c r="D61" t="inlineStr">
        <is>
          <t>GLOBAL_CHECK, STOCKS_EXIT</t>
        </is>
      </c>
      <c r="G61">
        <f>IFERROR(VLOOKUP($A73&amp;"_"&amp;$B73,Results_Deltas!$A$2:$P$15000,5,FALSE),"")</f>
        <v/>
      </c>
      <c r="H61" t="inlineStr">
        <is>
          <t>Blanket (page end)</t>
        </is>
      </c>
      <c r="L61" t="inlineStr">
        <is>
          <t>NO</t>
        </is>
      </c>
    </row>
    <row r="62" ht="15.75" customHeight="1" s="67">
      <c r="A62" t="inlineStr">
        <is>
          <t>FG_FEAR_THRESHOLD</t>
        </is>
      </c>
      <c r="B62" t="inlineStr">
        <is>
          <t>12.5</t>
        </is>
      </c>
      <c r="D62" t="inlineStr">
        <is>
          <t>GLOBAL_CHECK, STOCKS_EXIT</t>
        </is>
      </c>
      <c r="G62">
        <f>IFERROR(VLOOKUP($A74&amp;"_"&amp;$B74,Results_Deltas!$A$2:$P$15000,5,FALSE),"")</f>
        <v/>
      </c>
      <c r="H62" t="inlineStr">
        <is>
          <t>Blanket (page end)</t>
        </is>
      </c>
      <c r="L62" t="inlineStr">
        <is>
          <t>NO</t>
        </is>
      </c>
    </row>
    <row r="63" ht="15.75" customHeight="1" s="67">
      <c r="A63" t="inlineStr">
        <is>
          <t>FG_GREED_THRESHOLD</t>
        </is>
      </c>
      <c r="B63" t="inlineStr">
        <is>
          <t>75</t>
        </is>
      </c>
      <c r="D63" t="inlineStr">
        <is>
          <t>GLOBAL_CHECK, STOCKS_EXIT</t>
        </is>
      </c>
      <c r="G63">
        <f>IFERROR(VLOOKUP($A75&amp;"_"&amp;$B75,Results_Deltas!$A$2:$P$15000,5,FALSE),"")</f>
        <v/>
      </c>
      <c r="H63" t="inlineStr">
        <is>
          <t>Blanket (page end)</t>
        </is>
      </c>
      <c r="L63" t="inlineStr">
        <is>
          <t>NO</t>
        </is>
      </c>
    </row>
    <row r="64" ht="15.75" customHeight="1" s="67">
      <c r="A64" t="inlineStr">
        <is>
          <t>FG_GREED_THRESHOLD</t>
        </is>
      </c>
      <c r="B64" t="inlineStr">
        <is>
          <t>93.75</t>
        </is>
      </c>
      <c r="D64" t="inlineStr">
        <is>
          <t>GLOBAL_CHECK, STOCKS_EXIT</t>
        </is>
      </c>
      <c r="G64">
        <f>IFERROR(VLOOKUP($A76&amp;"_"&amp;$B76,Results_Deltas!$A$2:$P$15000,5,FALSE),"")</f>
        <v/>
      </c>
      <c r="H64" t="inlineStr">
        <is>
          <t>Blanket (page end)</t>
        </is>
      </c>
      <c r="L64" t="inlineStr">
        <is>
          <t>YES</t>
        </is>
      </c>
    </row>
    <row r="65" ht="15.75" customHeight="1" s="67">
      <c r="A65" t="inlineStr">
        <is>
          <t>FG_GREED_THRESHOLD</t>
        </is>
      </c>
      <c r="B65" t="inlineStr">
        <is>
          <t>56.25</t>
        </is>
      </c>
      <c r="D65" t="inlineStr">
        <is>
          <t>GLOBAL_CHECK, STOCKS_EXIT</t>
        </is>
      </c>
      <c r="G65">
        <f>IFERROR(VLOOKUP($A77&amp;"_"&amp;$B77,Results_Deltas!$A$2:$P$15000,5,FALSE),"")</f>
        <v/>
      </c>
      <c r="H65" t="inlineStr">
        <is>
          <t>Blanket (page end)</t>
        </is>
      </c>
      <c r="L65" t="inlineStr">
        <is>
          <t>NO</t>
        </is>
      </c>
    </row>
    <row r="66" ht="15.75" customHeight="1" s="67">
      <c r="A66" t="inlineStr">
        <is>
          <t>FG_GREED_THRESHOLD</t>
        </is>
      </c>
      <c r="B66" t="inlineStr">
        <is>
          <t>37.5</t>
        </is>
      </c>
      <c r="D66" t="inlineStr">
        <is>
          <t>GLOBAL_CHECK, STOCKS_EXIT</t>
        </is>
      </c>
      <c r="G66">
        <f>IFERROR(VLOOKUP($A78&amp;"_"&amp;$B78,Results_Deltas!$A$2:$P$15000,5,FALSE),"")</f>
        <v/>
      </c>
      <c r="H66" t="inlineStr">
        <is>
          <t>Blanket (page end)</t>
        </is>
      </c>
      <c r="L66" t="inlineStr">
        <is>
          <t>NO</t>
        </is>
      </c>
    </row>
    <row r="67" ht="15.75" customHeight="1" s="67">
      <c r="A67" t="inlineStr">
        <is>
          <t>FUNDING_GATE_FILTER_TF</t>
        </is>
      </c>
      <c r="B67" t="inlineStr">
        <is>
          <t>OFF</t>
        </is>
      </c>
      <c r="D67" t="inlineStr">
        <is>
          <t>GLOBAL_CHECK</t>
        </is>
      </c>
      <c r="G67">
        <f>IFERROR(VLOOKUP($A79&amp;"_"&amp;$B79,Results_Deltas!$A$2:$P$15000,5,FALSE),"")</f>
        <v/>
      </c>
      <c r="H67" t="inlineStr">
        <is>
          <t>Blanket (page end)</t>
        </is>
      </c>
      <c r="L67" t="inlineStr">
        <is>
          <t>NO</t>
        </is>
      </c>
    </row>
    <row r="68" ht="15.75" customHeight="1" s="67">
      <c r="A68" t="inlineStr">
        <is>
          <t>FUNDING_GATE_FILTER_TF</t>
        </is>
      </c>
      <c r="B68" t="inlineStr">
        <is>
          <t>D</t>
        </is>
      </c>
      <c r="D68" t="inlineStr">
        <is>
          <t>GLOBAL_CHECK</t>
        </is>
      </c>
      <c r="G68">
        <f>IFERROR(VLOOKUP($A80&amp;"_"&amp;$B80,Results_Deltas!$A$2:$P$15000,5,FALSE),"")</f>
        <v/>
      </c>
      <c r="H68" t="inlineStr">
        <is>
          <t>Blanket (page end)</t>
        </is>
      </c>
      <c r="L68" t="inlineStr">
        <is>
          <t>YES</t>
        </is>
      </c>
    </row>
    <row r="69" ht="15.75" customHeight="1" s="67">
      <c r="A69" t="inlineStr">
        <is>
          <t>FUNDING_GATE_FILTER_TF</t>
        </is>
      </c>
      <c r="B69" t="inlineStr">
        <is>
          <t>4h</t>
        </is>
      </c>
      <c r="D69" t="inlineStr">
        <is>
          <t>GLOBAL_CHECK</t>
        </is>
      </c>
      <c r="G69">
        <f>IFERROR(VLOOKUP($A81&amp;"_"&amp;$B81,Results_Deltas!$A$2:$P$15000,5,FALSE),"")</f>
        <v/>
      </c>
      <c r="H69" t="inlineStr">
        <is>
          <t>Blanket (page end)</t>
        </is>
      </c>
      <c r="L69" t="inlineStr">
        <is>
          <t>NO</t>
        </is>
      </c>
    </row>
    <row r="70" ht="15.75" customHeight="1" s="67">
      <c r="A70" t="inlineStr">
        <is>
          <t>FUNDING_GATE_FILTER_TF</t>
        </is>
      </c>
      <c r="B70" t="inlineStr">
        <is>
          <t>1h</t>
        </is>
      </c>
      <c r="D70" t="inlineStr">
        <is>
          <t>GLOBAL_CHECK</t>
        </is>
      </c>
      <c r="G70">
        <f>IFERROR(VLOOKUP($A82&amp;"_"&amp;$B82,Results_Deltas!$A$2:$P$15000,5,FALSE),"")</f>
        <v/>
      </c>
      <c r="H70" t="inlineStr">
        <is>
          <t>Blanket (page end)</t>
        </is>
      </c>
      <c r="L70" t="inlineStr">
        <is>
          <t>NO</t>
        </is>
      </c>
    </row>
    <row r="71" ht="15.75" customHeight="1" s="67">
      <c r="A71" t="inlineStr">
        <is>
          <t>FUNDING_GATE_FILTER_TF</t>
        </is>
      </c>
      <c r="B71" t="inlineStr">
        <is>
          <t>15m</t>
        </is>
      </c>
      <c r="D71" t="inlineStr">
        <is>
          <t>GLOBAL_CHECK</t>
        </is>
      </c>
      <c r="G71">
        <f>IFERROR(VLOOKUP($A83&amp;"_"&amp;$B83,Results_Deltas!$A$2:$P$15000,5,FALSE),"")</f>
        <v/>
      </c>
      <c r="H71" t="inlineStr">
        <is>
          <t>Blanket (page end)</t>
        </is>
      </c>
      <c r="L71" t="inlineStr">
        <is>
          <t>NO</t>
        </is>
      </c>
    </row>
    <row r="72" ht="15.75" customHeight="1" s="67">
      <c r="A72" t="inlineStr">
        <is>
          <t>FUNDING_GATE_LONG_MAX</t>
        </is>
      </c>
      <c r="B72" t="inlineStr">
        <is>
          <t>0.0</t>
        </is>
      </c>
      <c r="D72" t="inlineStr">
        <is>
          <t>ENTRY, GLOBAL_CHECK, STOCKS_EXIT</t>
        </is>
      </c>
      <c r="G72">
        <f>IFERROR(VLOOKUP($A84&amp;"_"&amp;$B84,Results_Deltas!$A$2:$P$15000,5,FALSE),"")</f>
        <v/>
      </c>
      <c r="H72" t="inlineStr">
        <is>
          <t>Blanket (page end)</t>
        </is>
      </c>
      <c r="L72" t="inlineStr">
        <is>
          <t>NO</t>
        </is>
      </c>
    </row>
    <row r="73" ht="15.75" customHeight="1" s="67">
      <c r="A73" t="inlineStr">
        <is>
          <t>FUNDING_GATE_LONG_MAX</t>
        </is>
      </c>
      <c r="B73" t="inlineStr">
        <is>
          <t>0.0_ALT</t>
        </is>
      </c>
      <c r="D73" t="inlineStr">
        <is>
          <t>ENTRY, GLOBAL_CHECK, STOCKS_EXIT</t>
        </is>
      </c>
      <c r="G73">
        <f>IFERROR(VLOOKUP($A85&amp;"_"&amp;$B85,Results_Deltas!$A$2:$P$15000,5,FALSE),"")</f>
        <v/>
      </c>
      <c r="H73" t="inlineStr">
        <is>
          <t>Blanket (page end)</t>
        </is>
      </c>
      <c r="L73" t="inlineStr">
        <is>
          <t>NO</t>
        </is>
      </c>
    </row>
    <row r="74" ht="15.75" customHeight="1" s="67">
      <c r="A74" t="inlineStr">
        <is>
          <t>FUNDING_GATE_MTF_REQUIRED</t>
        </is>
      </c>
      <c r="B74" t="inlineStr">
        <is>
          <t>0.0</t>
        </is>
      </c>
      <c r="D74" t="inlineStr">
        <is>
          <t>ENTRY, GLOBAL_CHECK, STOCKS_EXIT</t>
        </is>
      </c>
      <c r="G74">
        <f>IFERROR(VLOOKUP($A86&amp;"_"&amp;$B86,Results_Deltas!$A$2:$P$15000,5,FALSE),"")</f>
        <v/>
      </c>
      <c r="H74" t="inlineStr">
        <is>
          <t>Blanket (page end)</t>
        </is>
      </c>
      <c r="L74" t="inlineStr">
        <is>
          <t>NO</t>
        </is>
      </c>
    </row>
    <row r="75" ht="15.75" customHeight="1" s="67">
      <c r="A75" t="inlineStr">
        <is>
          <t>FUNDING_GATE_MTF_REQUIRED</t>
        </is>
      </c>
      <c r="B75" t="inlineStr">
        <is>
          <t>0.0_ALT</t>
        </is>
      </c>
      <c r="D75" t="inlineStr">
        <is>
          <t>ENTRY, GLOBAL_CHECK, STOCKS_EXIT</t>
        </is>
      </c>
      <c r="G75">
        <f>IFERROR(VLOOKUP($A87&amp;"_"&amp;$B87,Results_Deltas!$A$2:$P$15000,5,FALSE),"")</f>
        <v/>
      </c>
      <c r="H75" t="inlineStr">
        <is>
          <t>Blanket (page end)</t>
        </is>
      </c>
      <c r="L75" t="inlineStr">
        <is>
          <t>NO</t>
        </is>
      </c>
    </row>
    <row r="76" ht="15.75" customHeight="1" s="67">
      <c r="A76" t="inlineStr">
        <is>
          <t>FUNDING_GATE_SHORT_MIN</t>
        </is>
      </c>
      <c r="B76" t="inlineStr">
        <is>
          <t>0.0</t>
        </is>
      </c>
      <c r="D76" t="inlineStr">
        <is>
          <t>ENTRY, GLOBAL_CHECK, STOCKS_EXIT</t>
        </is>
      </c>
      <c r="G76">
        <f>IFERROR(VLOOKUP($A88&amp;"_"&amp;$B88,Results_Deltas!$A$2:$P$15000,5,FALSE),"")</f>
        <v/>
      </c>
      <c r="H76" t="inlineStr">
        <is>
          <t>Blanket (page end)</t>
        </is>
      </c>
      <c r="L76" t="inlineStr">
        <is>
          <t>YES</t>
        </is>
      </c>
    </row>
    <row r="77" ht="15.75" customHeight="1" s="67">
      <c r="A77" t="inlineStr">
        <is>
          <t>FUNDING_GATE_SHORT_MIN</t>
        </is>
      </c>
      <c r="B77" t="inlineStr">
        <is>
          <t>0.0_ALT</t>
        </is>
      </c>
      <c r="D77" t="inlineStr">
        <is>
          <t>ENTRY, GLOBAL_CHECK, STOCKS_EXIT</t>
        </is>
      </c>
      <c r="G77">
        <f>IFERROR(VLOOKUP($A89&amp;"_"&amp;$B89,Results_Deltas!$A$2:$P$15000,5,FALSE),"")</f>
        <v/>
      </c>
      <c r="H77" t="inlineStr">
        <is>
          <t>Blanket (page end)</t>
        </is>
      </c>
      <c r="L77" t="inlineStr">
        <is>
          <t>NO</t>
        </is>
      </c>
    </row>
    <row r="78" ht="15.75" customHeight="1" s="67">
      <c r="A78" t="inlineStr">
        <is>
          <t>GOLDEN_RULE_BASE_USD</t>
        </is>
      </c>
      <c r="B78" t="inlineStr">
        <is>
          <t>0.0</t>
        </is>
      </c>
      <c r="D78" t="inlineStr">
        <is>
          <t>GLOBAL_CHECK, STOCKS_EXIT</t>
        </is>
      </c>
      <c r="G78">
        <f>IFERROR(VLOOKUP($A90&amp;"_"&amp;$B90,Results_Deltas!$A$2:$P$15000,5,FALSE),"")</f>
        <v/>
      </c>
      <c r="H78" t="inlineStr">
        <is>
          <t>Blanket (page end)</t>
        </is>
      </c>
      <c r="L78" t="inlineStr">
        <is>
          <t>NO</t>
        </is>
      </c>
    </row>
    <row r="79" ht="15.75" customHeight="1" s="67">
      <c r="A79" t="inlineStr">
        <is>
          <t>GOLDEN_RULE_BASE_USD</t>
        </is>
      </c>
      <c r="B79" t="inlineStr">
        <is>
          <t>0.0_ALT</t>
        </is>
      </c>
      <c r="D79" t="inlineStr">
        <is>
          <t>GLOBAL_CHECK, STOCKS_EXIT</t>
        </is>
      </c>
      <c r="G79">
        <f>IFERROR(VLOOKUP($A91&amp;"_"&amp;$B91,Results_Deltas!$A$2:$P$15000,5,FALSE),"")</f>
        <v/>
      </c>
      <c r="H79" t="inlineStr">
        <is>
          <t>Blanket (page end)</t>
        </is>
      </c>
      <c r="L79" t="inlineStr">
        <is>
          <t>NO</t>
        </is>
      </c>
    </row>
    <row r="80" ht="15.75" customHeight="1" s="67">
      <c r="A80" t="inlineStr">
        <is>
          <t>GR_FILTER_ALL_ENTRIES</t>
        </is>
      </c>
      <c r="B80" t="inlineStr">
        <is>
          <t>0.0</t>
        </is>
      </c>
      <c r="D80" t="inlineStr">
        <is>
          <t>GLOBAL_CHECK, STOCKS_EXIT</t>
        </is>
      </c>
      <c r="G80">
        <f>IFERROR(VLOOKUP($A92&amp;"_"&amp;$B92,Results_Deltas!$A$2:$P$15000,5,FALSE),"")</f>
        <v/>
      </c>
      <c r="H80" t="inlineStr">
        <is>
          <t>Blanket (page end)</t>
        </is>
      </c>
      <c r="L80" t="inlineStr">
        <is>
          <t>NO</t>
        </is>
      </c>
    </row>
    <row r="81" ht="15.75" customHeight="1" s="67">
      <c r="A81" t="inlineStr">
        <is>
          <t>GR_FILTER_ALL_ENTRIES</t>
        </is>
      </c>
      <c r="B81" t="inlineStr">
        <is>
          <t>0.0_ALT</t>
        </is>
      </c>
      <c r="D81" t="inlineStr">
        <is>
          <t>GLOBAL_CHECK, STOCKS_EXIT</t>
        </is>
      </c>
      <c r="G81">
        <f>IFERROR(VLOOKUP($A93&amp;"_"&amp;$B93,Results_Deltas!$A$2:$P$15000,5,FALSE),"")</f>
        <v/>
      </c>
      <c r="H81" t="inlineStr">
        <is>
          <t>Blanket (page end)</t>
        </is>
      </c>
      <c r="L81" t="inlineStr">
        <is>
          <t>NO</t>
        </is>
      </c>
    </row>
    <row r="82" ht="15.75" customHeight="1" s="67">
      <c r="A82" t="inlineStr">
        <is>
          <t>GR_FILTER_VEC_ENABLED</t>
        </is>
      </c>
      <c r="B82" t="inlineStr">
        <is>
          <t>False</t>
        </is>
      </c>
      <c r="D82" t="inlineStr">
        <is>
          <t>GLOBAL_CHECK</t>
        </is>
      </c>
      <c r="G82">
        <f>IFERROR(VLOOKUP($A94&amp;"_"&amp;$B94,Results_Deltas!$A$2:$P$15000,5,FALSE),"")</f>
        <v/>
      </c>
      <c r="H82" t="inlineStr">
        <is>
          <t>Blanket (page end)</t>
        </is>
      </c>
      <c r="L82" t="inlineStr">
        <is>
          <t>NO</t>
        </is>
      </c>
    </row>
    <row r="83" ht="15.75" customHeight="1" s="67">
      <c r="A83" t="inlineStr">
        <is>
          <t>GR_FILTER_VEC_ENABLED</t>
        </is>
      </c>
      <c r="B83" t="inlineStr">
        <is>
          <t>True</t>
        </is>
      </c>
      <c r="D83" t="inlineStr">
        <is>
          <t>GLOBAL_CHECK</t>
        </is>
      </c>
      <c r="G83">
        <f>IFERROR(VLOOKUP($A95&amp;"_"&amp;$B95,Results_Deltas!$A$2:$P$15000,5,FALSE),"")</f>
        <v/>
      </c>
      <c r="H83" t="inlineStr">
        <is>
          <t>Blanket (page end)</t>
        </is>
      </c>
      <c r="L83" t="inlineStr">
        <is>
          <t>NO</t>
        </is>
      </c>
    </row>
    <row r="84" ht="15.75" customHeight="1" s="67">
      <c r="A84" t="inlineStr">
        <is>
          <t>GR_FILTER_VEC_MIN_TFS</t>
        </is>
      </c>
      <c r="B84" t="inlineStr">
        <is>
          <t>0</t>
        </is>
      </c>
      <c r="D84" t="inlineStr">
        <is>
          <t>GLOBAL_CHECK</t>
        </is>
      </c>
      <c r="G84">
        <f>IFERROR(VLOOKUP($A96&amp;"_"&amp;$B96,Results_Deltas!$A$2:$P$15000,5,FALSE),"")</f>
        <v/>
      </c>
      <c r="H84" t="inlineStr">
        <is>
          <t>Blanket (page end)</t>
        </is>
      </c>
      <c r="L84" t="inlineStr">
        <is>
          <t>NO</t>
        </is>
      </c>
    </row>
    <row r="85" ht="15.75" customHeight="1" s="67">
      <c r="A85" t="inlineStr">
        <is>
          <t>GR_FILTER_VEC_MIN_TFS</t>
        </is>
      </c>
      <c r="B85" t="inlineStr">
        <is>
          <t>2</t>
        </is>
      </c>
      <c r="D85" t="inlineStr">
        <is>
          <t>GLOBAL_CHECK</t>
        </is>
      </c>
      <c r="G85">
        <f>IFERROR(VLOOKUP($A97&amp;"_"&amp;$B97,Results_Deltas!$A$2:$P$15000,5,FALSE),"")</f>
        <v/>
      </c>
      <c r="H85" t="inlineStr">
        <is>
          <t>Blanket (page end)</t>
        </is>
      </c>
      <c r="L85" t="inlineStr">
        <is>
          <t>NO</t>
        </is>
      </c>
    </row>
    <row r="86" ht="15.75" customHeight="1" s="67">
      <c r="A86" t="inlineStr">
        <is>
          <t>GR_FILTER_VEC_MIN_TFS</t>
        </is>
      </c>
      <c r="B86" t="inlineStr">
        <is>
          <t>1</t>
        </is>
      </c>
      <c r="D86" t="inlineStr">
        <is>
          <t>GLOBAL_CHECK</t>
        </is>
      </c>
      <c r="G86">
        <f>IFERROR(VLOOKUP($A98&amp;"_"&amp;$B98,Results_Deltas!$A$2:$P$15000,5,FALSE),"")</f>
        <v/>
      </c>
      <c r="H86" t="inlineStr">
        <is>
          <t>Blanket (page end)</t>
        </is>
      </c>
      <c r="L86" t="inlineStr">
        <is>
          <t>NO</t>
        </is>
      </c>
    </row>
    <row r="87" ht="15.75" customHeight="1" s="67">
      <c r="A87" t="inlineStr">
        <is>
          <t>HA_WICK_QUALITY_ENABLED</t>
        </is>
      </c>
      <c r="B87" t="inlineStr">
        <is>
          <t>False</t>
        </is>
      </c>
      <c r="D87" t="inlineStr">
        <is>
          <t>ENTRY, GLOBAL_CHECK, STOCKS_EXIT</t>
        </is>
      </c>
      <c r="G87">
        <f>IFERROR(VLOOKUP($A99&amp;"_"&amp;$B99,Results_Deltas!$A$2:$P$15000,5,FALSE),"")</f>
        <v/>
      </c>
      <c r="H87" t="inlineStr">
        <is>
          <t>Blanket (page end)</t>
        </is>
      </c>
      <c r="L87" t="inlineStr">
        <is>
          <t>YES</t>
        </is>
      </c>
    </row>
    <row r="88" ht="15.75" customHeight="1" s="67">
      <c r="A88" t="inlineStr">
        <is>
          <t>HA_WICK_QUALITY_ENABLED</t>
        </is>
      </c>
      <c r="B88" t="inlineStr">
        <is>
          <t>True</t>
        </is>
      </c>
      <c r="D88" t="inlineStr">
        <is>
          <t>ENTRY, GLOBAL_CHECK, STOCKS_EXIT</t>
        </is>
      </c>
      <c r="G88">
        <f>IFERROR(VLOOKUP($A100&amp;"_"&amp;$B100,Results_Deltas!$A$2:$P$15000,5,FALSE),"")</f>
        <v/>
      </c>
      <c r="H88" t="inlineStr">
        <is>
          <t>Blanket (page end)</t>
        </is>
      </c>
      <c r="L88" t="inlineStr">
        <is>
          <t>NO</t>
        </is>
      </c>
    </row>
    <row r="89" ht="15.75" customHeight="1" s="67">
      <c r="A89" t="inlineStr">
        <is>
          <t>HA_WICK_QUALITY_SCORE</t>
        </is>
      </c>
      <c r="B89" t="inlineStr">
        <is>
          <t>15</t>
        </is>
      </c>
      <c r="D89" t="inlineStr">
        <is>
          <t>ENTRY, GLOBAL_CHECK, STOCKS_EXIT</t>
        </is>
      </c>
      <c r="G89">
        <f>IFERROR(VLOOKUP($A101&amp;"_"&amp;$B101,Results_Deltas!$A$2:$P$15000,5,FALSE),"")</f>
        <v/>
      </c>
      <c r="H89" t="inlineStr">
        <is>
          <t>Blanket (page end)</t>
        </is>
      </c>
      <c r="L89" t="inlineStr">
        <is>
          <t>NO</t>
        </is>
      </c>
    </row>
    <row r="90" ht="15.75" customHeight="1" s="67">
      <c r="A90" t="inlineStr">
        <is>
          <t>HA_WICK_QUALITY_SCORE</t>
        </is>
      </c>
      <c r="B90" t="inlineStr">
        <is>
          <t>15_ALT</t>
        </is>
      </c>
      <c r="D90" t="inlineStr">
        <is>
          <t>ENTRY, GLOBAL_CHECK, STOCKS_EXIT</t>
        </is>
      </c>
      <c r="G90">
        <f>IFERROR(VLOOKUP($A102&amp;"_"&amp;$B102,Results_Deltas!$A$2:$P$15000,5,FALSE),"")</f>
        <v/>
      </c>
      <c r="H90" t="inlineStr">
        <is>
          <t>Blanket (page end)</t>
        </is>
      </c>
      <c r="L90" t="inlineStr">
        <is>
          <t>YES</t>
        </is>
      </c>
    </row>
    <row r="91" ht="15.75" customHeight="1" s="67">
      <c r="A91" t="inlineStr">
        <is>
          <t>HA_WICK_QUALITY_TF</t>
        </is>
      </c>
      <c r="B91" t="inlineStr">
        <is>
          <t>OFF</t>
        </is>
      </c>
      <c r="D91" t="inlineStr">
        <is>
          <t>ENTRY, GLOBAL_CHECK, STOCKS_EXIT</t>
        </is>
      </c>
      <c r="G91">
        <f>IFERROR(VLOOKUP($A103&amp;"_"&amp;$B103,Results_Deltas!$A$2:$P$15000,5,FALSE),"")</f>
        <v/>
      </c>
      <c r="H91" t="inlineStr">
        <is>
          <t>Blanket (page end)</t>
        </is>
      </c>
      <c r="L91" t="inlineStr">
        <is>
          <t>NO</t>
        </is>
      </c>
    </row>
    <row r="92" ht="15.75" customHeight="1" s="67">
      <c r="A92" t="inlineStr">
        <is>
          <t>HA_WICK_QUALITY_TF</t>
        </is>
      </c>
      <c r="B92" t="inlineStr">
        <is>
          <t>D</t>
        </is>
      </c>
      <c r="D92" t="inlineStr">
        <is>
          <t>ENTRY, GLOBAL_CHECK, STOCKS_EXIT</t>
        </is>
      </c>
      <c r="G92">
        <f>IFERROR(VLOOKUP($A104&amp;"_"&amp;$B104,Results_Deltas!$A$2:$P$15000,5,FALSE),"")</f>
        <v/>
      </c>
      <c r="H92" t="inlineStr">
        <is>
          <t>Blanket (page end)</t>
        </is>
      </c>
      <c r="L92" t="inlineStr">
        <is>
          <t>YES</t>
        </is>
      </c>
    </row>
    <row r="93" ht="15.75" customHeight="1" s="67">
      <c r="A93" t="inlineStr">
        <is>
          <t>HA_WICK_QUALITY_TF</t>
        </is>
      </c>
      <c r="B93" t="inlineStr">
        <is>
          <t>4h</t>
        </is>
      </c>
      <c r="D93" t="inlineStr">
        <is>
          <t>ENTRY, GLOBAL_CHECK, STOCKS_EXIT</t>
        </is>
      </c>
      <c r="G93">
        <f>IFERROR(VLOOKUP($A105&amp;"_"&amp;$B105,Results_Deltas!$A$2:$P$15000,5,FALSE),"")</f>
        <v/>
      </c>
      <c r="H93" t="inlineStr">
        <is>
          <t>Blanket (page end)</t>
        </is>
      </c>
      <c r="L93" t="inlineStr">
        <is>
          <t>NO</t>
        </is>
      </c>
    </row>
    <row r="94" ht="15.75" customHeight="1" s="67">
      <c r="A94" t="inlineStr">
        <is>
          <t>HA_WICK_QUALITY_TF</t>
        </is>
      </c>
      <c r="B94" t="inlineStr">
        <is>
          <t>1h</t>
        </is>
      </c>
      <c r="D94" t="inlineStr">
        <is>
          <t>ENTRY, GLOBAL_CHECK, STOCKS_EXIT</t>
        </is>
      </c>
      <c r="G94">
        <f>IFERROR(VLOOKUP($A106&amp;"_"&amp;$B106,Results_Deltas!$A$2:$P$15000,5,FALSE),"")</f>
        <v/>
      </c>
      <c r="H94" t="inlineStr">
        <is>
          <t>Blanket (page end)</t>
        </is>
      </c>
      <c r="L94" t="inlineStr">
        <is>
          <t>YES</t>
        </is>
      </c>
    </row>
    <row r="95" ht="15.75" customHeight="1" s="67">
      <c r="A95" t="inlineStr">
        <is>
          <t>HA_WICK_QUALITY_TF</t>
        </is>
      </c>
      <c r="B95" t="inlineStr">
        <is>
          <t>15m</t>
        </is>
      </c>
      <c r="D95" t="inlineStr">
        <is>
          <t>ENTRY, GLOBAL_CHECK, STOCKS_EXIT</t>
        </is>
      </c>
      <c r="G95">
        <f>IFERROR(VLOOKUP($A107&amp;"_"&amp;$B107,Results_Deltas!$A$2:$P$15000,5,FALSE),"")</f>
        <v/>
      </c>
      <c r="H95" t="inlineStr">
        <is>
          <t>Blanket (page end)</t>
        </is>
      </c>
      <c r="L95" t="inlineStr">
        <is>
          <t>NO</t>
        </is>
      </c>
    </row>
    <row r="96" ht="15.75" customHeight="1" s="67">
      <c r="A96" t="inlineStr">
        <is>
          <t>HLR_SMA_BAND_PCT</t>
        </is>
      </c>
      <c r="B96" t="inlineStr">
        <is>
          <t>0</t>
        </is>
      </c>
      <c r="D96" t="inlineStr">
        <is>
          <t>ENTRY, GLOBAL_CHECK, STOCKS_EXIT</t>
        </is>
      </c>
      <c r="G96">
        <f>IFERROR(VLOOKUP($A108&amp;"_"&amp;$B108,Results_Deltas!$A$2:$P$15000,5,FALSE),"")</f>
        <v/>
      </c>
      <c r="H96" t="inlineStr">
        <is>
          <t>Blanket (page end)</t>
        </is>
      </c>
      <c r="L96" t="inlineStr">
        <is>
          <t>NO</t>
        </is>
      </c>
    </row>
    <row r="97" ht="15.75" customHeight="1" s="67">
      <c r="A97" t="inlineStr">
        <is>
          <t>HLR_SMA_BAND_PCT</t>
        </is>
      </c>
      <c r="B97" t="inlineStr">
        <is>
          <t>2.0</t>
        </is>
      </c>
      <c r="D97" t="inlineStr">
        <is>
          <t>ENTRY, GLOBAL_CHECK, STOCKS_EXIT</t>
        </is>
      </c>
      <c r="G97">
        <f>IFERROR(VLOOKUP($A109&amp;"_"&amp;$B109,Results_Deltas!$A$2:$P$15000,5,FALSE),"")</f>
        <v/>
      </c>
      <c r="H97" t="inlineStr">
        <is>
          <t>Blanket (page end)</t>
        </is>
      </c>
      <c r="L97" t="inlineStr">
        <is>
          <t>NO</t>
        </is>
      </c>
    </row>
    <row r="98" ht="15.75" customHeight="1" s="67">
      <c r="A98" t="inlineStr">
        <is>
          <t>HLR_SMA_BAND_PCT</t>
        </is>
      </c>
      <c r="B98" t="inlineStr">
        <is>
          <t>1.0</t>
        </is>
      </c>
      <c r="D98" t="inlineStr">
        <is>
          <t>ENTRY, GLOBAL_CHECK, STOCKS_EXIT</t>
        </is>
      </c>
      <c r="G98">
        <f>IFERROR(VLOOKUP($A110&amp;"_"&amp;$B110,Results_Deltas!$A$2:$P$15000,5,FALSE),"")</f>
        <v/>
      </c>
      <c r="H98" t="inlineStr">
        <is>
          <t>Blanket (page end)</t>
        </is>
      </c>
      <c r="L98" t="inlineStr">
        <is>
          <t>NO</t>
        </is>
      </c>
    </row>
    <row r="99" ht="15.75" customHeight="1" s="67">
      <c r="A99" t="inlineStr">
        <is>
          <t>HLR_SMA_BAND_PCT</t>
        </is>
      </c>
      <c r="B99" t="inlineStr">
        <is>
          <t>0.5</t>
        </is>
      </c>
      <c r="D99" t="inlineStr">
        <is>
          <t>ENTRY, GLOBAL_CHECK, STOCKS_EXIT</t>
        </is>
      </c>
      <c r="G99">
        <f>IFERROR(VLOOKUP($A111&amp;"_"&amp;$B111,Results_Deltas!$A$2:$P$15000,5,FALSE),"")</f>
        <v/>
      </c>
      <c r="H99" t="inlineStr">
        <is>
          <t>Blanket (page end)</t>
        </is>
      </c>
      <c r="L99" t="inlineStr">
        <is>
          <t>YES</t>
        </is>
      </c>
    </row>
    <row r="100" ht="15.75" customHeight="1" s="67">
      <c r="A100" t="inlineStr">
        <is>
          <t>HLR_TOP_MIN_TFS</t>
        </is>
      </c>
      <c r="B100" t="inlineStr">
        <is>
          <t>0</t>
        </is>
      </c>
      <c r="D100" t="inlineStr">
        <is>
          <t>GLOBAL_CHECK, REENTRY, STOCKS_EXIT</t>
        </is>
      </c>
      <c r="G100">
        <f>IFERROR(VLOOKUP($A112&amp;"_"&amp;$B112,Results_Deltas!$A$2:$P$15000,5,FALSE),"")</f>
        <v/>
      </c>
      <c r="H100" t="inlineStr">
        <is>
          <t>Blanket (page end)</t>
        </is>
      </c>
      <c r="L100" t="inlineStr">
        <is>
          <t>NO</t>
        </is>
      </c>
    </row>
    <row r="101" ht="15.75" customHeight="1" s="67">
      <c r="A101" t="inlineStr">
        <is>
          <t>HLR_TOP_MIN_TFS</t>
        </is>
      </c>
      <c r="B101" t="inlineStr">
        <is>
          <t>2</t>
        </is>
      </c>
      <c r="D101" t="inlineStr">
        <is>
          <t>GLOBAL_CHECK, REENTRY, STOCKS_EXIT</t>
        </is>
      </c>
      <c r="G101">
        <f>IFERROR(VLOOKUP($A113&amp;"_"&amp;$B113,Results_Deltas!$A$2:$P$15000,5,FALSE),"")</f>
        <v/>
      </c>
      <c r="H101" t="inlineStr">
        <is>
          <t>Blanket (page end)</t>
        </is>
      </c>
      <c r="L101" t="inlineStr">
        <is>
          <t>NO</t>
        </is>
      </c>
    </row>
    <row r="102" ht="15.75" customHeight="1" s="67">
      <c r="A102" t="inlineStr">
        <is>
          <t>HLR_TOP_MIN_TFS</t>
        </is>
      </c>
      <c r="B102" t="inlineStr">
        <is>
          <t>1</t>
        </is>
      </c>
      <c r="D102" t="inlineStr">
        <is>
          <t>GLOBAL_CHECK, REENTRY, STOCKS_EXIT</t>
        </is>
      </c>
      <c r="G102">
        <f>IFERROR(VLOOKUP($A114&amp;"_"&amp;$B114,Results_Deltas!$A$2:$P$15000,5,FALSE),"")</f>
        <v/>
      </c>
      <c r="H102" t="inlineStr">
        <is>
          <t>Blanket (page end)</t>
        </is>
      </c>
      <c r="L102" t="inlineStr">
        <is>
          <t>NO</t>
        </is>
      </c>
    </row>
    <row r="103" ht="15.75" customHeight="1" s="67">
      <c r="A103" t="inlineStr">
        <is>
          <t>HTF4_CONF</t>
        </is>
      </c>
      <c r="B103" t="inlineStr">
        <is>
          <t>False</t>
        </is>
      </c>
      <c r="D103" t="inlineStr">
        <is>
          <t>GLOBAL_CHECK, STOCKS_EXIT</t>
        </is>
      </c>
      <c r="G103">
        <f>IFERROR(VLOOKUP($A115&amp;"_"&amp;$B115,Results_Deltas!$A$2:$P$15000,5,FALSE),"")</f>
        <v/>
      </c>
      <c r="H103" t="inlineStr">
        <is>
          <t>Blanket (page end)</t>
        </is>
      </c>
      <c r="L103" t="inlineStr">
        <is>
          <t>NO</t>
        </is>
      </c>
    </row>
    <row r="104" ht="15.75" customHeight="1" s="67">
      <c r="A104" t="inlineStr">
        <is>
          <t>HTF4_CONF</t>
        </is>
      </c>
      <c r="B104" t="inlineStr">
        <is>
          <t>False_ALT</t>
        </is>
      </c>
      <c r="D104" t="inlineStr">
        <is>
          <t>GLOBAL_CHECK, STOCKS_EXIT</t>
        </is>
      </c>
      <c r="G104">
        <f>IFERROR(VLOOKUP($A116&amp;"_"&amp;$B116,Results_Deltas!$A$2:$P$15000,5,FALSE),"")</f>
        <v/>
      </c>
      <c r="H104" t="inlineStr">
        <is>
          <t>Blanket (page end)</t>
        </is>
      </c>
      <c r="L104" t="inlineStr">
        <is>
          <t>NO</t>
        </is>
      </c>
    </row>
    <row r="105" ht="15.75" customHeight="1" s="67">
      <c r="A105" t="inlineStr">
        <is>
          <t>HTF_DIRECTION_GATE_ENABLED</t>
        </is>
      </c>
      <c r="B105" t="inlineStr">
        <is>
          <t>False</t>
        </is>
      </c>
      <c r="D105" t="inlineStr">
        <is>
          <t>ENTRY, GLOBAL_CHECK, STOCKS_EXIT</t>
        </is>
      </c>
      <c r="G105">
        <f>IFERROR(VLOOKUP($A117&amp;"_"&amp;$B117,Results_Deltas!$A$2:$P$15000,5,FALSE),"")</f>
        <v/>
      </c>
      <c r="H105" t="inlineStr">
        <is>
          <t>Blanket (page end)</t>
        </is>
      </c>
      <c r="L105" t="inlineStr">
        <is>
          <t>NO</t>
        </is>
      </c>
    </row>
    <row r="106" ht="15.75" customHeight="1" s="67">
      <c r="A106" t="inlineStr">
        <is>
          <t>HTF_DIRECTION_GATE_ENABLED</t>
        </is>
      </c>
      <c r="B106" t="inlineStr">
        <is>
          <t>True</t>
        </is>
      </c>
      <c r="D106" t="inlineStr">
        <is>
          <t>ENTRY, GLOBAL_CHECK, STOCKS_EXIT</t>
        </is>
      </c>
      <c r="G106">
        <f>IFERROR(VLOOKUP($A118&amp;"_"&amp;$B118,Results_Deltas!$A$2:$P$15000,5,FALSE),"")</f>
        <v/>
      </c>
      <c r="H106" t="inlineStr">
        <is>
          <t>Blanket (page end)</t>
        </is>
      </c>
      <c r="L106" t="inlineStr">
        <is>
          <t>YES</t>
        </is>
      </c>
    </row>
    <row r="107" ht="15.75" customHeight="1" s="67">
      <c r="A107" t="inlineStr">
        <is>
          <t>HTF_GATE_BYPASS_RZ</t>
        </is>
      </c>
      <c r="B107" t="inlineStr">
        <is>
          <t>0.0</t>
        </is>
      </c>
      <c r="D107" t="inlineStr">
        <is>
          <t>ENTRY, GLOBAL_CHECK, STOCKS_EXIT</t>
        </is>
      </c>
      <c r="G107">
        <f>IFERROR(VLOOKUP($A119&amp;"_"&amp;$B119,Results_Deltas!$A$2:$P$15000,5,FALSE),"")</f>
        <v/>
      </c>
      <c r="H107" t="inlineStr">
        <is>
          <t>Blanket (page end)</t>
        </is>
      </c>
      <c r="L107" t="inlineStr">
        <is>
          <t>NO</t>
        </is>
      </c>
    </row>
    <row r="108" ht="15.75" customHeight="1" s="67">
      <c r="A108" t="inlineStr">
        <is>
          <t>HTF_GATE_BYPASS_RZ</t>
        </is>
      </c>
      <c r="B108" t="inlineStr">
        <is>
          <t>0.0_ALT</t>
        </is>
      </c>
      <c r="D108" t="inlineStr">
        <is>
          <t>ENTRY, GLOBAL_CHECK, STOCKS_EXIT</t>
        </is>
      </c>
      <c r="G108">
        <f>IFERROR(VLOOKUP($A120&amp;"_"&amp;$B120,Results_Deltas!$A$2:$P$15000,5,FALSE),"")</f>
        <v/>
      </c>
      <c r="H108" t="inlineStr">
        <is>
          <t>Blanket (page end)</t>
        </is>
      </c>
      <c r="L108" t="inlineStr">
        <is>
          <t>NO</t>
        </is>
      </c>
    </row>
    <row r="109" ht="15.75" customHeight="1" s="67">
      <c r="A109" t="inlineStr">
        <is>
          <t>HTF_GATE_D_MANDATORY</t>
        </is>
      </c>
      <c r="B109" t="inlineStr">
        <is>
          <t>0.0</t>
        </is>
      </c>
      <c r="D109" t="inlineStr">
        <is>
          <t>ENTRY, GLOBAL_CHECK, STOCKS_EXIT</t>
        </is>
      </c>
      <c r="G109">
        <f>IFERROR(VLOOKUP($A121&amp;"_"&amp;$B121,Results_Deltas!$A$2:$P$15000,5,FALSE),"")</f>
        <v/>
      </c>
      <c r="H109" t="inlineStr">
        <is>
          <t>Blanket (page end)</t>
        </is>
      </c>
      <c r="L109" t="inlineStr">
        <is>
          <t>NO</t>
        </is>
      </c>
    </row>
    <row r="110" ht="15.75" customHeight="1" s="67">
      <c r="A110" t="inlineStr">
        <is>
          <t>HTF_GATE_D_MANDATORY</t>
        </is>
      </c>
      <c r="B110" t="inlineStr">
        <is>
          <t>0.0_ALT</t>
        </is>
      </c>
      <c r="D110" t="inlineStr">
        <is>
          <t>ENTRY, GLOBAL_CHECK, STOCKS_EXIT</t>
        </is>
      </c>
      <c r="G110">
        <f>IFERROR(VLOOKUP($A122&amp;"_"&amp;$B122,Results_Deltas!$A$2:$P$15000,5,FALSE),"")</f>
        <v/>
      </c>
      <c r="H110" t="inlineStr">
        <is>
          <t>Blanket (page end)</t>
        </is>
      </c>
      <c r="L110" t="inlineStr">
        <is>
          <t>YES</t>
        </is>
      </c>
    </row>
    <row r="111" ht="15.75" customHeight="1" s="67">
      <c r="A111" t="inlineStr">
        <is>
          <t>HTF_GATE_MIN_CONFIRMATIONS</t>
        </is>
      </c>
      <c r="B111" t="inlineStr">
        <is>
          <t>0.0</t>
        </is>
      </c>
      <c r="D111" t="inlineStr">
        <is>
          <t>ENTRY, GLOBAL_CHECK, STOCKS_EXIT</t>
        </is>
      </c>
      <c r="G111">
        <f>IFERROR(VLOOKUP($A123&amp;"_"&amp;$B123,Results_Deltas!$A$2:$P$15000,5,FALSE),"")</f>
        <v/>
      </c>
      <c r="H111" t="inlineStr">
        <is>
          <t>Blanket (page end)</t>
        </is>
      </c>
      <c r="L111" t="inlineStr">
        <is>
          <t>NO</t>
        </is>
      </c>
    </row>
    <row r="112" ht="15.75" customHeight="1" s="67">
      <c r="A112" t="inlineStr">
        <is>
          <t>HTF_GATE_MIN_CONFIRMATIONS</t>
        </is>
      </c>
      <c r="B112" t="inlineStr">
        <is>
          <t>0.0_ALT</t>
        </is>
      </c>
      <c r="D112" t="inlineStr">
        <is>
          <t>ENTRY, GLOBAL_CHECK, STOCKS_EXIT</t>
        </is>
      </c>
      <c r="G112">
        <f>IFERROR(VLOOKUP($A124&amp;"_"&amp;$B124,Results_Deltas!$A$2:$P$15000,5,FALSE),"")</f>
        <v/>
      </c>
      <c r="H112" t="inlineStr">
        <is>
          <t>Blanket (page end)</t>
        </is>
      </c>
      <c r="L112" t="inlineStr">
        <is>
          <t>NO</t>
        </is>
      </c>
    </row>
    <row r="113" ht="15.75" customHeight="1" s="67">
      <c r="A113" t="inlineStr">
        <is>
          <t>HTF_TREND_VETO_BYPASS_ENABLED</t>
        </is>
      </c>
      <c r="B113" t="inlineStr">
        <is>
          <t>False</t>
        </is>
      </c>
      <c r="D113" t="inlineStr">
        <is>
          <t>GLOBAL_CHECK, STOCKS_EXIT</t>
        </is>
      </c>
      <c r="G113">
        <f>IFERROR(VLOOKUP($A125&amp;"_"&amp;$B125,Results_Deltas!$A$2:$P$15000,5,FALSE),"")</f>
        <v/>
      </c>
      <c r="H113" t="inlineStr">
        <is>
          <t>Blanket (page end)</t>
        </is>
      </c>
      <c r="L113" t="inlineStr">
        <is>
          <t>NO</t>
        </is>
      </c>
    </row>
    <row r="114" ht="15.75" customHeight="1" s="67">
      <c r="A114" t="inlineStr">
        <is>
          <t>HTF_TREND_VETO_BYPASS_ENABLED</t>
        </is>
      </c>
      <c r="B114" t="inlineStr">
        <is>
          <t>True</t>
        </is>
      </c>
      <c r="D114" t="inlineStr">
        <is>
          <t>GLOBAL_CHECK, STOCKS_EXIT</t>
        </is>
      </c>
      <c r="G114">
        <f>IFERROR(VLOOKUP($A126&amp;"_"&amp;$B126,Results_Deltas!$A$2:$P$15000,5,FALSE),"")</f>
        <v/>
      </c>
      <c r="H114" t="inlineStr">
        <is>
          <t>Blanket (page end)</t>
        </is>
      </c>
      <c r="L114" t="inlineStr">
        <is>
          <t>NO</t>
        </is>
      </c>
    </row>
    <row r="115" ht="15.75" customHeight="1" s="67">
      <c r="A115" t="inlineStr">
        <is>
          <t>HTF_TREND_VETO_BYPASS_REASONS</t>
        </is>
      </c>
      <c r="B115" t="inlineStr">
        <is>
          <t>0.0</t>
        </is>
      </c>
      <c r="D115" t="inlineStr">
        <is>
          <t>GLOBAL_CHECK, STOCKS_EXIT</t>
        </is>
      </c>
      <c r="G115">
        <f>IFERROR(VLOOKUP($A127&amp;"_"&amp;$B127,Results_Deltas!$A$2:$P$15000,5,FALSE),"")</f>
        <v/>
      </c>
      <c r="H115" t="inlineStr">
        <is>
          <t>Blanket (page end)</t>
        </is>
      </c>
      <c r="L115" t="inlineStr">
        <is>
          <t>NO</t>
        </is>
      </c>
    </row>
    <row r="116" ht="15.75" customHeight="1" s="67">
      <c r="A116" t="inlineStr">
        <is>
          <t>HTF_TREND_VETO_BYPASS_REASONS</t>
        </is>
      </c>
      <c r="B116" t="inlineStr">
        <is>
          <t>0.0_ALT</t>
        </is>
      </c>
      <c r="D116" t="inlineStr">
        <is>
          <t>GLOBAL_CHECK, STOCKS_EXIT</t>
        </is>
      </c>
      <c r="G116">
        <f>IFERROR(VLOOKUP($A128&amp;"_"&amp;$B128,Results_Deltas!$A$2:$P$15000,5,FALSE),"")</f>
        <v/>
      </c>
      <c r="H116" t="inlineStr">
        <is>
          <t>Blanket (page end)</t>
        </is>
      </c>
      <c r="L116" t="inlineStr">
        <is>
          <t>NO</t>
        </is>
      </c>
    </row>
    <row r="117" ht="15.75" customHeight="1" s="67">
      <c r="A117" t="inlineStr">
        <is>
          <t>LEADERBOARD_FILTER</t>
        </is>
      </c>
      <c r="B117" t="inlineStr">
        <is>
          <t>False</t>
        </is>
      </c>
      <c r="D117" t="inlineStr">
        <is>
          <t>AUGMENT, ENTRY, EXIT, GLOBAL_CHECK, REDUCE, STOCKS_EXIT</t>
        </is>
      </c>
      <c r="G117">
        <f>IFERROR(VLOOKUP($A129&amp;"_"&amp;$B129,Results_Deltas!$A$2:$P$15000,5,FALSE),"")</f>
        <v/>
      </c>
      <c r="H117" t="inlineStr">
        <is>
          <t>Blanket (page end)</t>
        </is>
      </c>
      <c r="L117" t="inlineStr">
        <is>
          <t>NO</t>
        </is>
      </c>
    </row>
    <row r="118" ht="15.75" customHeight="1" s="67">
      <c r="A118" t="inlineStr">
        <is>
          <t>LEADERBOARD_FILTER</t>
        </is>
      </c>
      <c r="B118" t="inlineStr">
        <is>
          <t>False_ALT</t>
        </is>
      </c>
      <c r="D118" t="inlineStr">
        <is>
          <t>AUGMENT, ENTRY, EXIT, GLOBAL_CHECK, REDUCE, STOCKS_EXIT</t>
        </is>
      </c>
      <c r="G118">
        <f>IFERROR(VLOOKUP($A130&amp;"_"&amp;$B130,Results_Deltas!$A$2:$P$15000,5,FALSE),"")</f>
        <v/>
      </c>
      <c r="H118" t="inlineStr">
        <is>
          <t>Blanket (page end)</t>
        </is>
      </c>
      <c r="L118" t="inlineStr">
        <is>
          <t>NO</t>
        </is>
      </c>
    </row>
    <row r="119" ht="15.75" customHeight="1" s="67">
      <c r="A119" t="inlineStr">
        <is>
          <t>LH_HL_FILTER_ENABLED</t>
        </is>
      </c>
      <c r="B119" t="inlineStr">
        <is>
          <t>False</t>
        </is>
      </c>
      <c r="D119" t="inlineStr">
        <is>
          <t>ENTRY, GLOBAL_CHECK, STOCKS_EXIT</t>
        </is>
      </c>
      <c r="G119">
        <f>IFERROR(VLOOKUP($A131&amp;"_"&amp;$B131,Results_Deltas!$A$2:$P$15000,5,FALSE),"")</f>
        <v/>
      </c>
      <c r="H119" t="inlineStr">
        <is>
          <t>Blanket (page end)</t>
        </is>
      </c>
      <c r="L119" t="inlineStr">
        <is>
          <t>YES</t>
        </is>
      </c>
    </row>
    <row r="120" ht="15.75" customHeight="1" s="67">
      <c r="A120" t="inlineStr">
        <is>
          <t>LH_HL_FILTER_ENABLED</t>
        </is>
      </c>
      <c r="B120" t="inlineStr">
        <is>
          <t>True</t>
        </is>
      </c>
      <c r="D120" t="inlineStr">
        <is>
          <t>ENTRY, GLOBAL_CHECK, STOCKS_EXIT</t>
        </is>
      </c>
      <c r="G120">
        <f>IFERROR(VLOOKUP($A132&amp;"_"&amp;$B132,Results_Deltas!$A$2:$P$15000,5,FALSE),"")</f>
        <v/>
      </c>
      <c r="H120" t="inlineStr">
        <is>
          <t>Blanket (page end)</t>
        </is>
      </c>
      <c r="L120" t="inlineStr">
        <is>
          <t>NO</t>
        </is>
      </c>
    </row>
    <row r="121" ht="15.75" customHeight="1" s="67">
      <c r="A121" t="inlineStr">
        <is>
          <t>LH_HL_FILTER_MODE</t>
        </is>
      </c>
      <c r="B121" t="inlineStr">
        <is>
          <t>STRICT_2BAR</t>
        </is>
      </c>
      <c r="D121" t="inlineStr">
        <is>
          <t>ENTRY, GLOBAL_CHECK, STOCKS_EXIT</t>
        </is>
      </c>
      <c r="G121">
        <f>IFERROR(VLOOKUP($A133&amp;"_"&amp;$B133,Results_Deltas!$A$2:$P$15000,5,FALSE),"")</f>
        <v/>
      </c>
      <c r="H121" t="inlineStr">
        <is>
          <t>Blanket (page end)</t>
        </is>
      </c>
      <c r="L121" t="inlineStr">
        <is>
          <t>NO</t>
        </is>
      </c>
    </row>
    <row r="122" ht="15.75" customHeight="1" s="67">
      <c r="A122" t="inlineStr">
        <is>
          <t>LH_HL_FILTER_MODE</t>
        </is>
      </c>
      <c r="B122" t="inlineStr">
        <is>
          <t>STRICT_2BAR_ALT</t>
        </is>
      </c>
      <c r="D122" t="inlineStr">
        <is>
          <t>ENTRY, GLOBAL_CHECK, STOCKS_EXIT</t>
        </is>
      </c>
      <c r="G122">
        <f>IFERROR(VLOOKUP($A134&amp;"_"&amp;$B134,Results_Deltas!$A$2:$P$15000,5,FALSE),"")</f>
        <v/>
      </c>
      <c r="H122" t="inlineStr">
        <is>
          <t>Blanket (page end)</t>
        </is>
      </c>
      <c r="L122" t="inlineStr">
        <is>
          <t>NO</t>
        </is>
      </c>
    </row>
    <row r="123" ht="15.75" customHeight="1" s="67">
      <c r="A123" t="inlineStr">
        <is>
          <t>LH_HL_FILTER_REQUIRE_BOTH</t>
        </is>
      </c>
      <c r="B123" t="inlineStr">
        <is>
          <t>False</t>
        </is>
      </c>
      <c r="D123" t="inlineStr">
        <is>
          <t>ENTRY, GLOBAL_CHECK, STOCKS_EXIT</t>
        </is>
      </c>
      <c r="G123">
        <f>IFERROR(VLOOKUP($A135&amp;"_"&amp;$B135,Results_Deltas!$A$2:$P$15000,5,FALSE),"")</f>
        <v/>
      </c>
      <c r="H123" t="inlineStr">
        <is>
          <t>Blanket (page end)</t>
        </is>
      </c>
      <c r="L123" t="inlineStr">
        <is>
          <t>NO</t>
        </is>
      </c>
    </row>
    <row r="124" ht="15.75" customHeight="1" s="67">
      <c r="A124" t="inlineStr">
        <is>
          <t>LH_HL_FILTER_REQUIRE_BOTH</t>
        </is>
      </c>
      <c r="B124" t="inlineStr">
        <is>
          <t>False_ALT</t>
        </is>
      </c>
      <c r="D124" t="inlineStr">
        <is>
          <t>ENTRY, GLOBAL_CHECK, STOCKS_EXIT</t>
        </is>
      </c>
      <c r="G124">
        <f>IFERROR(VLOOKUP($A136&amp;"_"&amp;$B136,Results_Deltas!$A$2:$P$15000,5,FALSE),"")</f>
        <v/>
      </c>
      <c r="H124" t="inlineStr">
        <is>
          <t>Blanket (page end)</t>
        </is>
      </c>
      <c r="L124" t="inlineStr">
        <is>
          <t>YES</t>
        </is>
      </c>
    </row>
    <row r="125" ht="15.75" customHeight="1" s="67">
      <c r="A125" t="inlineStr">
        <is>
          <t>LIVE_VEC_EMERGENCY_BRAKE_ENABLED</t>
        </is>
      </c>
      <c r="B125" t="inlineStr">
        <is>
          <t>False</t>
        </is>
      </c>
      <c r="D125" t="inlineStr">
        <is>
          <t>GLOBAL_CHECK, STOCKS_EXIT</t>
        </is>
      </c>
      <c r="G125">
        <f>IFERROR(VLOOKUP($A137&amp;"_"&amp;$B137,Results_Deltas!$A$2:$P$15000,5,FALSE),"")</f>
        <v/>
      </c>
      <c r="H125" t="inlineStr">
        <is>
          <t>Blanket (page end)</t>
        </is>
      </c>
      <c r="L125" t="inlineStr">
        <is>
          <t>NO</t>
        </is>
      </c>
    </row>
    <row r="126" ht="15.75" customHeight="1" s="67">
      <c r="A126" t="inlineStr">
        <is>
          <t>LIVE_VEC_EMERGENCY_BRAKE_ENABLED</t>
        </is>
      </c>
      <c r="B126" t="inlineStr">
        <is>
          <t>True</t>
        </is>
      </c>
      <c r="D126" t="inlineStr">
        <is>
          <t>GLOBAL_CHECK, STOCKS_EXIT</t>
        </is>
      </c>
      <c r="G126">
        <f>IFERROR(VLOOKUP($A138&amp;"_"&amp;$B138,Results_Deltas!$A$2:$P$15000,5,FALSE),"")</f>
        <v/>
      </c>
      <c r="H126" t="inlineStr">
        <is>
          <t>Blanket (page end)</t>
        </is>
      </c>
      <c r="L126" t="inlineStr">
        <is>
          <t>YES</t>
        </is>
      </c>
    </row>
    <row r="127" ht="15.75" customHeight="1" s="67">
      <c r="A127" t="inlineStr">
        <is>
          <t>LR_BAND_LADDER_STOCH_EXTREME</t>
        </is>
      </c>
      <c r="B127" t="inlineStr">
        <is>
          <t>30.0</t>
        </is>
      </c>
      <c r="D127" t="inlineStr">
        <is>
          <t>GLOBAL_CHECK, STOCKS_EXIT</t>
        </is>
      </c>
      <c r="G127">
        <f>IFERROR(VLOOKUP($A139&amp;"_"&amp;$B139,Results_Deltas!$A$2:$P$15000,5,FALSE),"")</f>
        <v/>
      </c>
      <c r="H127" t="inlineStr">
        <is>
          <t>Blanket (page end)</t>
        </is>
      </c>
      <c r="L127" t="inlineStr">
        <is>
          <t>NO</t>
        </is>
      </c>
    </row>
    <row r="128" ht="15.75" customHeight="1" s="67">
      <c r="A128" t="inlineStr">
        <is>
          <t>LR_BAND_LADDER_STOCH_EXTREME</t>
        </is>
      </c>
      <c r="B128" t="inlineStr">
        <is>
          <t>30.0_ALT</t>
        </is>
      </c>
      <c r="D128" t="inlineStr">
        <is>
          <t>GLOBAL_CHECK, STOCKS_EXIT</t>
        </is>
      </c>
      <c r="G128">
        <f>IFERROR(VLOOKUP($A140&amp;"_"&amp;$B140,Results_Deltas!$A$2:$P$15000,5,FALSE),"")</f>
        <v/>
      </c>
      <c r="H128" t="inlineStr">
        <is>
          <t>Blanket (page end)</t>
        </is>
      </c>
      <c r="L128" t="inlineStr">
        <is>
          <t>YES</t>
        </is>
      </c>
    </row>
    <row r="129" ht="15.75" customHeight="1" s="67">
      <c r="A129" t="inlineStr">
        <is>
          <t>LR_BAND_LADDER_TF_BOTTOM</t>
        </is>
      </c>
      <c r="B129" t="inlineStr">
        <is>
          <t>0</t>
        </is>
      </c>
      <c r="D129" t="inlineStr">
        <is>
          <t>GLOBAL_CHECK, STOCKS_EXIT</t>
        </is>
      </c>
      <c r="G129">
        <f>IFERROR(VLOOKUP($A141&amp;"_"&amp;$B141,Results_Deltas!$A$2:$P$15000,5,FALSE),"")</f>
        <v/>
      </c>
      <c r="H129" t="inlineStr">
        <is>
          <t>Blanket (page end)</t>
        </is>
      </c>
      <c r="L129" t="inlineStr">
        <is>
          <t>NO</t>
        </is>
      </c>
    </row>
    <row r="130" ht="15.75" customHeight="1" s="67">
      <c r="A130" t="inlineStr">
        <is>
          <t>LR_BAND_LADDER_TF_BOTTOM</t>
        </is>
      </c>
      <c r="B130" t="inlineStr">
        <is>
          <t>1</t>
        </is>
      </c>
      <c r="D130" t="inlineStr">
        <is>
          <t>GLOBAL_CHECK, STOCKS_EXIT</t>
        </is>
      </c>
      <c r="G130">
        <f>IFERROR(VLOOKUP($A142&amp;"_"&amp;$B142,Results_Deltas!$A$2:$P$15000,5,FALSE),"")</f>
        <v/>
      </c>
      <c r="H130" t="inlineStr">
        <is>
          <t>Blanket (page end)</t>
        </is>
      </c>
      <c r="L130" t="inlineStr">
        <is>
          <t>YES</t>
        </is>
      </c>
    </row>
    <row r="131" ht="15.75" customHeight="1" s="67">
      <c r="A131" t="inlineStr">
        <is>
          <t>LR_BAND_LADDER_TF_TOP</t>
        </is>
      </c>
      <c r="B131" t="inlineStr">
        <is>
          <t>0</t>
        </is>
      </c>
      <c r="D131" t="inlineStr">
        <is>
          <t>GLOBAL_CHECK, STOCKS_EXIT</t>
        </is>
      </c>
      <c r="G131">
        <f>IFERROR(VLOOKUP($A143&amp;"_"&amp;$B143,Results_Deltas!$A$2:$P$15000,5,FALSE),"")</f>
        <v/>
      </c>
      <c r="H131" t="inlineStr">
        <is>
          <t>Blanket (page end)</t>
        </is>
      </c>
      <c r="L131" t="inlineStr">
        <is>
          <t>NO</t>
        </is>
      </c>
    </row>
    <row r="132" ht="15.75" customHeight="1" s="67">
      <c r="A132" t="inlineStr">
        <is>
          <t>LR_BAND_LADDER_TF_TOP</t>
        </is>
      </c>
      <c r="B132" t="inlineStr">
        <is>
          <t>1</t>
        </is>
      </c>
      <c r="D132" t="inlineStr">
        <is>
          <t>GLOBAL_CHECK, STOCKS_EXIT</t>
        </is>
      </c>
      <c r="G132">
        <f>IFERROR(VLOOKUP($A144&amp;"_"&amp;$B144,Results_Deltas!$A$2:$P$15000,5,FALSE),"")</f>
        <v/>
      </c>
      <c r="H132" t="inlineStr">
        <is>
          <t>Blanket (page end)</t>
        </is>
      </c>
      <c r="L132" t="inlineStr">
        <is>
          <t>YES</t>
        </is>
      </c>
    </row>
    <row r="133" ht="15.75" customHeight="1" s="67">
      <c r="A133" t="inlineStr">
        <is>
          <t>MANDATORY_REENTRY_WT_FILTER_MIN_TFS</t>
        </is>
      </c>
      <c r="B133" t="inlineStr">
        <is>
          <t>1</t>
        </is>
      </c>
      <c r="D133" t="inlineStr">
        <is>
          <t>GLOBAL_CHECK, STOCKS_EXIT</t>
        </is>
      </c>
      <c r="G133">
        <f>IFERROR(VLOOKUP($A145&amp;"_"&amp;$B145,Results_Deltas!$A$2:$P$15000,5,FALSE),"")</f>
        <v/>
      </c>
      <c r="H133" t="inlineStr">
        <is>
          <t>Blanket (page end)</t>
        </is>
      </c>
      <c r="L133" t="inlineStr">
        <is>
          <t>NO</t>
        </is>
      </c>
    </row>
    <row r="134" ht="15.75" customHeight="1" s="67">
      <c r="A134" t="inlineStr">
        <is>
          <t>MANDATORY_REENTRY_WT_FILTER_MIN_TFS</t>
        </is>
      </c>
      <c r="B134" t="inlineStr">
        <is>
          <t>3</t>
        </is>
      </c>
      <c r="D134" t="inlineStr">
        <is>
          <t>GLOBAL_CHECK, STOCKS_EXIT</t>
        </is>
      </c>
      <c r="G134">
        <f>IFERROR(VLOOKUP($A146&amp;"_"&amp;$B146,Results_Deltas!$A$2:$P$15000,5,FALSE),"")</f>
        <v/>
      </c>
      <c r="H134" t="inlineStr">
        <is>
          <t>Blanket (page end)</t>
        </is>
      </c>
      <c r="L134" t="inlineStr">
        <is>
          <t>NO</t>
        </is>
      </c>
    </row>
    <row r="135" ht="15.75" customHeight="1" s="67">
      <c r="A135" t="inlineStr">
        <is>
          <t>MANDATORY_REENTRY_WT_FILTER_MIN_TFS</t>
        </is>
      </c>
      <c r="B135" t="inlineStr">
        <is>
          <t>2</t>
        </is>
      </c>
      <c r="D135" t="inlineStr">
        <is>
          <t>GLOBAL_CHECK, STOCKS_EXIT</t>
        </is>
      </c>
      <c r="G135">
        <f>IFERROR(VLOOKUP($A147&amp;"_"&amp;$B147,Results_Deltas!$A$2:$P$15000,5,FALSE),"")</f>
        <v/>
      </c>
      <c r="H135" t="inlineStr">
        <is>
          <t>Blanket (page end)</t>
        </is>
      </c>
      <c r="L135" t="inlineStr">
        <is>
          <t>NO</t>
        </is>
      </c>
    </row>
    <row r="136" ht="15.75" customHeight="1" s="67">
      <c r="A136" t="inlineStr">
        <is>
          <t>MANDATORY_REENTRY_WT_FILTER_MIN_VELOCITY</t>
        </is>
      </c>
      <c r="B136" t="inlineStr">
        <is>
          <t>0.0</t>
        </is>
      </c>
      <c r="D136" t="inlineStr">
        <is>
          <t>GLOBAL_CHECK, STOCKS_EXIT</t>
        </is>
      </c>
      <c r="G136">
        <f>IFERROR(VLOOKUP($A148&amp;"_"&amp;$B148,Results_Deltas!$A$2:$P$15000,5,FALSE),"")</f>
        <v/>
      </c>
      <c r="H136" t="inlineStr">
        <is>
          <t>Blanket (page end)</t>
        </is>
      </c>
      <c r="L136" t="inlineStr">
        <is>
          <t>YES</t>
        </is>
      </c>
    </row>
    <row r="137" ht="15.75" customHeight="1" s="67">
      <c r="A137" t="inlineStr">
        <is>
          <t>MANDATORY_REENTRY_WT_FILTER_MIN_VELOCITY</t>
        </is>
      </c>
      <c r="B137" t="inlineStr">
        <is>
          <t>0.0_ALT</t>
        </is>
      </c>
      <c r="D137" t="inlineStr">
        <is>
          <t>GLOBAL_CHECK, STOCKS_EXIT</t>
        </is>
      </c>
      <c r="G137">
        <f>IFERROR(VLOOKUP($A149&amp;"_"&amp;$B149,Results_Deltas!$A$2:$P$15000,5,FALSE),"")</f>
        <v/>
      </c>
      <c r="H137" t="inlineStr">
        <is>
          <t>Blanket (page end)</t>
        </is>
      </c>
      <c r="L137" t="inlineStr">
        <is>
          <t>NO</t>
        </is>
      </c>
    </row>
    <row r="138" ht="15.75" customHeight="1" s="67">
      <c r="A138" t="inlineStr">
        <is>
          <t>MANDATORY_REENTRY_WT_FILTER_REQUIRE_FLIP</t>
        </is>
      </c>
      <c r="B138" t="inlineStr">
        <is>
          <t>False</t>
        </is>
      </c>
      <c r="D138" t="inlineStr">
        <is>
          <t>GLOBAL_CHECK, STOCKS_EXIT</t>
        </is>
      </c>
      <c r="G138">
        <f>IFERROR(VLOOKUP($A150&amp;"_"&amp;$B150,Results_Deltas!$A$2:$P$15000,5,FALSE),"")</f>
        <v/>
      </c>
      <c r="H138" t="inlineStr">
        <is>
          <t>Blanket (page end)</t>
        </is>
      </c>
      <c r="L138" t="inlineStr">
        <is>
          <t>NO</t>
        </is>
      </c>
    </row>
    <row r="139" ht="15.75" customHeight="1" s="67">
      <c r="A139" t="inlineStr">
        <is>
          <t>MANDATORY_REENTRY_WT_FILTER_REQUIRE_FLIP</t>
        </is>
      </c>
      <c r="B139" t="inlineStr">
        <is>
          <t>False_ALT</t>
        </is>
      </c>
      <c r="D139" t="inlineStr">
        <is>
          <t>GLOBAL_CHECK, STOCKS_EXIT</t>
        </is>
      </c>
      <c r="G139">
        <f>IFERROR(VLOOKUP($A151&amp;"_"&amp;$B151,Results_Deltas!$A$2:$P$15000,5,FALSE),"")</f>
        <v/>
      </c>
      <c r="H139" t="inlineStr">
        <is>
          <t>Blanket (page end)</t>
        </is>
      </c>
      <c r="L139" t="inlineStr">
        <is>
          <t>NO</t>
        </is>
      </c>
    </row>
    <row r="140" ht="15.75" customHeight="1" s="67">
      <c r="A140" t="inlineStr">
        <is>
          <t>MANDATORY_REENTRY_WT_FILTER_VELOCITY_RATIO</t>
        </is>
      </c>
      <c r="B140" t="inlineStr">
        <is>
          <t>0.90</t>
        </is>
      </c>
      <c r="D140" t="inlineStr">
        <is>
          <t>GLOBAL_CHECK, STOCKS_EXIT</t>
        </is>
      </c>
      <c r="G140">
        <f>IFERROR(VLOOKUP($A152&amp;"_"&amp;$B152,Results_Deltas!$A$2:$P$15000,5,FALSE),"")</f>
        <v/>
      </c>
      <c r="H140" t="inlineStr">
        <is>
          <t>Blanket (page end)</t>
        </is>
      </c>
      <c r="L140" t="inlineStr">
        <is>
          <t>NO</t>
        </is>
      </c>
    </row>
    <row r="141" ht="15.75" customHeight="1" s="67">
      <c r="A141" t="inlineStr">
        <is>
          <t>MANDATORY_REENTRY_WT_FILTER_VELOCITY_RATIO</t>
        </is>
      </c>
      <c r="B141" t="inlineStr">
        <is>
          <t>0.90_ALT</t>
        </is>
      </c>
      <c r="D141" t="inlineStr">
        <is>
          <t>GLOBAL_CHECK, STOCKS_EXIT</t>
        </is>
      </c>
      <c r="G141">
        <f>IFERROR(VLOOKUP($A153&amp;"_"&amp;$B153,Results_Deltas!$A$2:$P$15000,5,FALSE),"")</f>
        <v/>
      </c>
      <c r="H141" t="inlineStr">
        <is>
          <t>Blanket (page end)</t>
        </is>
      </c>
      <c r="L141" t="inlineStr">
        <is>
          <t>NO</t>
        </is>
      </c>
    </row>
    <row r="142" ht="15.75" customHeight="1" s="67">
      <c r="A142" t="inlineStr">
        <is>
          <t>MARKET_QUALITY_SCORE_ENABLED</t>
        </is>
      </c>
      <c r="B142" t="inlineStr">
        <is>
          <t>False</t>
        </is>
      </c>
      <c r="D142" t="inlineStr">
        <is>
          <t>ENTRY, GLOBAL_CHECK, STOCKS_EXIT</t>
        </is>
      </c>
      <c r="G142">
        <f>IFERROR(VLOOKUP($A154&amp;"_"&amp;$B154,Results_Deltas!$A$2:$P$15000,5,FALSE),"")</f>
        <v/>
      </c>
      <c r="H142" t="inlineStr">
        <is>
          <t>Blanket (page end)</t>
        </is>
      </c>
      <c r="L142" t="inlineStr">
        <is>
          <t>NO</t>
        </is>
      </c>
    </row>
    <row r="143" ht="15.75" customHeight="1" s="67">
      <c r="A143" t="inlineStr">
        <is>
          <t>MARKET_QUALITY_SCORE_ENABLED</t>
        </is>
      </c>
      <c r="B143" t="inlineStr">
        <is>
          <t>True</t>
        </is>
      </c>
      <c r="D143" t="inlineStr">
        <is>
          <t>ENTRY, GLOBAL_CHECK, STOCKS_EXIT</t>
        </is>
      </c>
      <c r="G143">
        <f>IFERROR(VLOOKUP($A155&amp;"_"&amp;$B155,Results_Deltas!$A$2:$P$15000,5,FALSE),"")</f>
        <v/>
      </c>
      <c r="H143" t="inlineStr">
        <is>
          <t>Blanket (page end)</t>
        </is>
      </c>
      <c r="L143" t="inlineStr">
        <is>
          <t>NO</t>
        </is>
      </c>
    </row>
    <row r="144" ht="15.75" customHeight="1" s="67">
      <c r="A144" t="inlineStr">
        <is>
          <t>MI_TF_AGREE_MIN</t>
        </is>
      </c>
      <c r="B144" t="inlineStr">
        <is>
          <t>0.0</t>
        </is>
      </c>
      <c r="D144" t="inlineStr">
        <is>
          <t>ENTRY, GLOBAL_CHECK, STOCKS_EXIT</t>
        </is>
      </c>
      <c r="G144">
        <f>IFERROR(VLOOKUP($A156&amp;"_"&amp;$B156,Results_Deltas!$A$2:$P$15000,5,FALSE),"")</f>
        <v/>
      </c>
      <c r="H144" t="inlineStr">
        <is>
          <t>Blanket (page end)</t>
        </is>
      </c>
      <c r="L144" t="inlineStr">
        <is>
          <t>YES</t>
        </is>
      </c>
    </row>
    <row r="145" ht="15.75" customHeight="1" s="67">
      <c r="A145" t="inlineStr">
        <is>
          <t>MI_TF_AGREE_MIN</t>
        </is>
      </c>
      <c r="B145" t="inlineStr">
        <is>
          <t>0.0_ALT</t>
        </is>
      </c>
      <c r="D145" t="inlineStr">
        <is>
          <t>ENTRY, GLOBAL_CHECK, STOCKS_EXIT</t>
        </is>
      </c>
      <c r="G145">
        <f>IFERROR(VLOOKUP($A157&amp;"_"&amp;$B157,Results_Deltas!$A$2:$P$15000,5,FALSE),"")</f>
        <v/>
      </c>
      <c r="H145" t="inlineStr">
        <is>
          <t>Blanket (page end)</t>
        </is>
      </c>
      <c r="L145" t="inlineStr">
        <is>
          <t>NO</t>
        </is>
      </c>
    </row>
    <row r="146" ht="15.75" customHeight="1" s="67">
      <c r="A146" t="inlineStr">
        <is>
          <t>MOVER_THRESHOLD</t>
        </is>
      </c>
      <c r="B146" t="inlineStr">
        <is>
          <t>5</t>
        </is>
      </c>
      <c r="D146" t="inlineStr">
        <is>
          <t>ENTRY, GLOBAL_CHECK, STOCKS_EXIT</t>
        </is>
      </c>
      <c r="G146">
        <f>IFERROR(VLOOKUP($A158&amp;"_"&amp;$B158,Results_Deltas!$A$2:$P$15000,5,FALSE),"")</f>
        <v/>
      </c>
      <c r="H146" t="inlineStr">
        <is>
          <t>Blanket (page end)</t>
        </is>
      </c>
      <c r="L146" t="inlineStr">
        <is>
          <t>NO</t>
        </is>
      </c>
    </row>
    <row r="147" ht="15.75" customHeight="1" s="67">
      <c r="A147" t="inlineStr">
        <is>
          <t>MOVER_THRESHOLD</t>
        </is>
      </c>
      <c r="B147" t="inlineStr">
        <is>
          <t>6.25</t>
        </is>
      </c>
      <c r="D147" t="inlineStr">
        <is>
          <t>ENTRY, GLOBAL_CHECK, STOCKS_EXIT</t>
        </is>
      </c>
      <c r="G147">
        <f>IFERROR(VLOOKUP($A159&amp;"_"&amp;$B159,Results_Deltas!$A$2:$P$15000,5,FALSE),"")</f>
        <v/>
      </c>
      <c r="H147" t="inlineStr">
        <is>
          <t>Blanket (page end)</t>
        </is>
      </c>
      <c r="L147" t="inlineStr">
        <is>
          <t>NO</t>
        </is>
      </c>
    </row>
    <row r="148" ht="15.75" customHeight="1" s="67">
      <c r="A148" t="inlineStr">
        <is>
          <t>MOVER_THRESHOLD</t>
        </is>
      </c>
      <c r="B148" t="inlineStr">
        <is>
          <t>3.75</t>
        </is>
      </c>
      <c r="D148" t="inlineStr">
        <is>
          <t>ENTRY, GLOBAL_CHECK, STOCKS_EXIT</t>
        </is>
      </c>
      <c r="G148">
        <f>IFERROR(VLOOKUP($A160&amp;"_"&amp;$B160,Results_Deltas!$A$2:$P$15000,5,FALSE),"")</f>
        <v/>
      </c>
      <c r="H148" t="inlineStr">
        <is>
          <t>Blanket (page end)</t>
        </is>
      </c>
      <c r="L148" t="inlineStr">
        <is>
          <t>YES</t>
        </is>
      </c>
    </row>
    <row r="149" ht="15.75" customHeight="1" s="67">
      <c r="A149" t="inlineStr">
        <is>
          <t>MOVER_THRESHOLD</t>
        </is>
      </c>
      <c r="B149" t="inlineStr">
        <is>
          <t>2.5</t>
        </is>
      </c>
      <c r="D149" t="inlineStr">
        <is>
          <t>ENTRY, GLOBAL_CHECK, STOCKS_EXIT</t>
        </is>
      </c>
      <c r="G149">
        <f>IFERROR(VLOOKUP($A161&amp;"_"&amp;$B161,Results_Deltas!$A$2:$P$15000,5,FALSE),"")</f>
        <v/>
      </c>
      <c r="H149" t="inlineStr">
        <is>
          <t>Blanket (page end)</t>
        </is>
      </c>
      <c r="L149" t="inlineStr">
        <is>
          <t>NO</t>
        </is>
      </c>
    </row>
    <row r="150" ht="15.75" customHeight="1" s="67">
      <c r="A150" t="inlineStr">
        <is>
          <t>MTF_FILTER_STRONG_BUY_QUICK_BYPASS</t>
        </is>
      </c>
      <c r="B150" t="inlineStr">
        <is>
          <t>0.0</t>
        </is>
      </c>
      <c r="D150" t="inlineStr">
        <is>
          <t>GLOBAL_CHECK, STOCKS_EXIT</t>
        </is>
      </c>
      <c r="G150">
        <f>IFERROR(VLOOKUP($A162&amp;"_"&amp;$B162,Results_Deltas!$A$2:$P$15000,5,FALSE),"")</f>
        <v/>
      </c>
      <c r="H150" t="inlineStr">
        <is>
          <t>Blanket (page end)</t>
        </is>
      </c>
      <c r="L150" t="inlineStr">
        <is>
          <t>NO</t>
        </is>
      </c>
    </row>
    <row r="151" ht="15.75" customHeight="1" s="67">
      <c r="A151" t="inlineStr">
        <is>
          <t>MTF_FILTER_STRONG_BUY_QUICK_BYPASS</t>
        </is>
      </c>
      <c r="B151" t="inlineStr">
        <is>
          <t>0.0_ALT</t>
        </is>
      </c>
      <c r="D151" t="inlineStr">
        <is>
          <t>GLOBAL_CHECK, STOCKS_EXIT</t>
        </is>
      </c>
      <c r="G151">
        <f>IFERROR(VLOOKUP($A163&amp;"_"&amp;$B163,Results_Deltas!$A$2:$P$15000,5,FALSE),"")</f>
        <v/>
      </c>
      <c r="H151" t="inlineStr">
        <is>
          <t>Blanket (page end)</t>
        </is>
      </c>
      <c r="L151" t="inlineStr">
        <is>
          <t>NO</t>
        </is>
      </c>
    </row>
    <row r="152" ht="15.75" customHeight="1" s="67">
      <c r="A152" t="inlineStr">
        <is>
          <t>MTF_GR_MIN_IND</t>
        </is>
      </c>
      <c r="B152" t="inlineStr">
        <is>
          <t>5</t>
        </is>
      </c>
      <c r="D152" t="inlineStr">
        <is>
          <t>GLOBAL_CHECK, STOCKS_EXIT</t>
        </is>
      </c>
      <c r="G152">
        <f>IFERROR(VLOOKUP($A164&amp;"_"&amp;$B164,Results_Deltas!$A$2:$P$15000,5,FALSE),"")</f>
        <v/>
      </c>
      <c r="H152" t="inlineStr">
        <is>
          <t>Blanket (page end)</t>
        </is>
      </c>
      <c r="L152" t="inlineStr">
        <is>
          <t>NO</t>
        </is>
      </c>
    </row>
    <row r="153" ht="15.75" customHeight="1" s="67">
      <c r="A153" t="inlineStr">
        <is>
          <t>MTF_GR_MIN_IND</t>
        </is>
      </c>
      <c r="B153" t="inlineStr">
        <is>
          <t>5_ALT</t>
        </is>
      </c>
      <c r="D153" t="inlineStr">
        <is>
          <t>GLOBAL_CHECK, STOCKS_EXIT</t>
        </is>
      </c>
      <c r="G153">
        <f>IFERROR(VLOOKUP($A165&amp;"_"&amp;$B165,Results_Deltas!$A$2:$P$15000,5,FALSE),"")</f>
        <v/>
      </c>
      <c r="H153" t="inlineStr">
        <is>
          <t>Blanket (page end)</t>
        </is>
      </c>
      <c r="L153" t="inlineStr">
        <is>
          <t>YES</t>
        </is>
      </c>
    </row>
    <row r="154" ht="15.75" customHeight="1" s="67">
      <c r="A154" t="inlineStr">
        <is>
          <t>MTS_BOTTOM_BONUS_THRESHOLD</t>
        </is>
      </c>
      <c r="B154" t="inlineStr">
        <is>
          <t>25</t>
        </is>
      </c>
      <c r="D154" t="inlineStr">
        <is>
          <t>ENTRY, GLOBAL_CHECK, STOCKS_EXIT</t>
        </is>
      </c>
      <c r="G154">
        <f>IFERROR(VLOOKUP($A166&amp;"_"&amp;$B166,Results_Deltas!$A$2:$P$15000,5,FALSE),"")</f>
        <v/>
      </c>
      <c r="H154" t="inlineStr">
        <is>
          <t>Blanket (page end)</t>
        </is>
      </c>
      <c r="L154" t="inlineStr">
        <is>
          <t>YES</t>
        </is>
      </c>
    </row>
    <row r="155" ht="15.75" customHeight="1" s="67">
      <c r="A155" t="inlineStr">
        <is>
          <t>MTS_BOTTOM_BONUS_THRESHOLD</t>
        </is>
      </c>
      <c r="B155" t="inlineStr">
        <is>
          <t>31.25</t>
        </is>
      </c>
      <c r="D155" t="inlineStr">
        <is>
          <t>ENTRY, GLOBAL_CHECK, STOCKS_EXIT</t>
        </is>
      </c>
      <c r="G155">
        <f>IFERROR(VLOOKUP($A167&amp;"_"&amp;$B167,Results_Deltas!$A$2:$P$15000,5,FALSE),"")</f>
        <v/>
      </c>
      <c r="H155" t="inlineStr">
        <is>
          <t>Blanket (page end)</t>
        </is>
      </c>
      <c r="L155" t="inlineStr">
        <is>
          <t>NO</t>
        </is>
      </c>
    </row>
    <row r="156" ht="15.75" customHeight="1" s="67">
      <c r="A156" t="inlineStr">
        <is>
          <t>MTS_BOTTOM_BONUS_THRESHOLD</t>
        </is>
      </c>
      <c r="B156" t="inlineStr">
        <is>
          <t>18.75</t>
        </is>
      </c>
      <c r="D156" t="inlineStr">
        <is>
          <t>ENTRY, GLOBAL_CHECK, STOCKS_EXIT</t>
        </is>
      </c>
      <c r="G156">
        <f>IFERROR(VLOOKUP($A168&amp;"_"&amp;$B168,Results_Deltas!$A$2:$P$15000,5,FALSE),"")</f>
        <v/>
      </c>
      <c r="H156" t="inlineStr">
        <is>
          <t>Blanket (page end)</t>
        </is>
      </c>
      <c r="L156" t="inlineStr">
        <is>
          <t>NO</t>
        </is>
      </c>
    </row>
    <row r="157" ht="15.75" customHeight="1" s="67">
      <c r="A157" t="inlineStr">
        <is>
          <t>MTS_BOTTOM_BONUS_THRESHOLD</t>
        </is>
      </c>
      <c r="B157" t="inlineStr">
        <is>
          <t>12.5</t>
        </is>
      </c>
      <c r="D157" t="inlineStr">
        <is>
          <t>ENTRY, GLOBAL_CHECK, STOCKS_EXIT</t>
        </is>
      </c>
      <c r="G157">
        <f>IFERROR(VLOOKUP($A169&amp;"_"&amp;$B169,Results_Deltas!$A$2:$P$15000,5,FALSE),"")</f>
        <v/>
      </c>
      <c r="H157" t="inlineStr">
        <is>
          <t>Blanket (page end)</t>
        </is>
      </c>
      <c r="L157" t="inlineStr">
        <is>
          <t>NO</t>
        </is>
      </c>
    </row>
    <row r="158" ht="15.75" customHeight="1" s="67">
      <c r="A158" t="inlineStr">
        <is>
          <t>MTS_BOTTOM_STRONG_THRESHOLD</t>
        </is>
      </c>
      <c r="B158" t="inlineStr">
        <is>
          <t>40</t>
        </is>
      </c>
      <c r="D158" t="inlineStr">
        <is>
          <t>ENTRY, GLOBAL_CHECK, STOCKS_EXIT</t>
        </is>
      </c>
      <c r="G158">
        <f>IFERROR(VLOOKUP($A170&amp;"_"&amp;$B170,Results_Deltas!$A$2:$P$15000,5,FALSE),"")</f>
        <v/>
      </c>
      <c r="H158" t="inlineStr">
        <is>
          <t>Blanket (page end)</t>
        </is>
      </c>
      <c r="L158" t="inlineStr">
        <is>
          <t>NO</t>
        </is>
      </c>
    </row>
    <row r="159" ht="15.75" customHeight="1" s="67">
      <c r="A159" t="inlineStr">
        <is>
          <t>MTS_BOTTOM_STRONG_THRESHOLD</t>
        </is>
      </c>
      <c r="B159" t="inlineStr">
        <is>
          <t>50</t>
        </is>
      </c>
      <c r="D159" t="inlineStr">
        <is>
          <t>ENTRY, GLOBAL_CHECK, STOCKS_EXIT</t>
        </is>
      </c>
      <c r="G159">
        <f>IFERROR(VLOOKUP($A171&amp;"_"&amp;$B171,Results_Deltas!$A$2:$P$15000,5,FALSE),"")</f>
        <v/>
      </c>
      <c r="H159" t="inlineStr">
        <is>
          <t>Blanket (page end)</t>
        </is>
      </c>
      <c r="L159" t="inlineStr">
        <is>
          <t>NO</t>
        </is>
      </c>
    </row>
    <row r="160" ht="15.75" customHeight="1" s="67">
      <c r="A160" t="inlineStr">
        <is>
          <t>MTS_BOTTOM_STRONG_THRESHOLD</t>
        </is>
      </c>
      <c r="B160" t="inlineStr">
        <is>
          <t>30</t>
        </is>
      </c>
      <c r="D160" t="inlineStr">
        <is>
          <t>ENTRY, GLOBAL_CHECK, STOCKS_EXIT</t>
        </is>
      </c>
      <c r="G160">
        <f>IFERROR(VLOOKUP($A172&amp;"_"&amp;$B172,Results_Deltas!$A$2:$P$15000,5,FALSE),"")</f>
        <v/>
      </c>
      <c r="H160" t="inlineStr">
        <is>
          <t>Blanket (page end)</t>
        </is>
      </c>
      <c r="L160" t="inlineStr">
        <is>
          <t>NO</t>
        </is>
      </c>
    </row>
    <row r="161" ht="15.75" customHeight="1" s="67">
      <c r="A161" t="inlineStr">
        <is>
          <t>MTS_BOTTOM_STRONG_THRESHOLD</t>
        </is>
      </c>
      <c r="B161" t="inlineStr">
        <is>
          <t>20</t>
        </is>
      </c>
      <c r="D161" t="inlineStr">
        <is>
          <t>ENTRY, GLOBAL_CHECK, STOCKS_EXIT</t>
        </is>
      </c>
      <c r="G161">
        <f>IFERROR(VLOOKUP($A173&amp;"_"&amp;$B173,Results_Deltas!$A$2:$P$15000,5,FALSE),"")</f>
        <v/>
      </c>
      <c r="H161" t="inlineStr">
        <is>
          <t>Blanket (page end)</t>
        </is>
      </c>
      <c r="L161" t="inlineStr">
        <is>
          <t>NO</t>
        </is>
      </c>
    </row>
    <row r="162" ht="15.75" customHeight="1" s="67">
      <c r="A162" t="inlineStr">
        <is>
          <t>MTS_GATE_ENABLED</t>
        </is>
      </c>
      <c r="B162" t="inlineStr">
        <is>
          <t>False</t>
        </is>
      </c>
      <c r="D162" t="inlineStr">
        <is>
          <t>ENTRY, GLOBAL_CHECK, STOCKS_EXIT</t>
        </is>
      </c>
      <c r="G162">
        <f>IFERROR(VLOOKUP($A174&amp;"_"&amp;$B174,Results_Deltas!$A$2:$P$15000,5,FALSE),"")</f>
        <v/>
      </c>
      <c r="H162" t="inlineStr">
        <is>
          <t>Blanket (page end)</t>
        </is>
      </c>
      <c r="L162" t="inlineStr">
        <is>
          <t>NO</t>
        </is>
      </c>
    </row>
    <row r="163" ht="15.75" customHeight="1" s="67">
      <c r="A163" t="inlineStr">
        <is>
          <t>MTS_GATE_ENABLED</t>
        </is>
      </c>
      <c r="B163" t="inlineStr">
        <is>
          <t>True</t>
        </is>
      </c>
      <c r="D163" t="inlineStr">
        <is>
          <t>ENTRY, GLOBAL_CHECK, STOCKS_EXIT</t>
        </is>
      </c>
      <c r="G163">
        <f>IFERROR(VLOOKUP($A175&amp;"_"&amp;$B175,Results_Deltas!$A$2:$P$15000,5,FALSE),"")</f>
        <v/>
      </c>
      <c r="H163" t="inlineStr">
        <is>
          <t>Blanket (page end)</t>
        </is>
      </c>
      <c r="L163" t="inlineStr">
        <is>
          <t>NO</t>
        </is>
      </c>
    </row>
    <row r="164" ht="15.75" customHeight="1" s="67">
      <c r="A164" t="inlineStr">
        <is>
          <t>NEWBORN_LOSS_KILL_GAIN_THRESHOLD_PCT</t>
        </is>
      </c>
      <c r="B164" t="inlineStr">
        <is>
          <t>0</t>
        </is>
      </c>
      <c r="D164" t="inlineStr">
        <is>
          <t>AUGMENT, EXIT, GLOBAL_CHECK, REDUCE, STOCKS_EXIT</t>
        </is>
      </c>
      <c r="G164">
        <f>IFERROR(VLOOKUP($A176&amp;"_"&amp;$B176,Results_Deltas!$A$2:$P$15000,5,FALSE),"")</f>
        <v/>
      </c>
      <c r="H164" t="inlineStr">
        <is>
          <t>Blanket (page end)</t>
        </is>
      </c>
      <c r="L164" t="inlineStr">
        <is>
          <t>NO</t>
        </is>
      </c>
    </row>
    <row r="165" ht="15.75" customHeight="1" s="67">
      <c r="A165" t="inlineStr">
        <is>
          <t>NEWBORN_LOSS_KILL_GAIN_THRESHOLD_PCT</t>
        </is>
      </c>
      <c r="B165" t="inlineStr">
        <is>
          <t>2.0</t>
        </is>
      </c>
      <c r="D165" t="inlineStr">
        <is>
          <t>AUGMENT, EXIT, GLOBAL_CHECK, REDUCE, STOCKS_EXIT</t>
        </is>
      </c>
      <c r="G165">
        <f>IFERROR(VLOOKUP($A177&amp;"_"&amp;$B177,Results_Deltas!$A$2:$P$15000,5,FALSE),"")</f>
        <v/>
      </c>
      <c r="H165" t="inlineStr">
        <is>
          <t>Blanket (page end)</t>
        </is>
      </c>
      <c r="L165" t="inlineStr">
        <is>
          <t>YES</t>
        </is>
      </c>
    </row>
    <row r="166" ht="15.75" customHeight="1" s="67">
      <c r="A166" t="inlineStr">
        <is>
          <t>NEWBORN_LOSS_KILL_GAIN_THRESHOLD_PCT</t>
        </is>
      </c>
      <c r="B166" t="inlineStr">
        <is>
          <t>1.0</t>
        </is>
      </c>
      <c r="D166" t="inlineStr">
        <is>
          <t>AUGMENT, EXIT, GLOBAL_CHECK, REDUCE, STOCKS_EXIT</t>
        </is>
      </c>
      <c r="G166">
        <f>IFERROR(VLOOKUP($A178&amp;"_"&amp;$B178,Results_Deltas!$A$2:$P$15000,5,FALSE),"")</f>
        <v/>
      </c>
      <c r="H166" t="inlineStr">
        <is>
          <t>Blanket (page end)</t>
        </is>
      </c>
      <c r="L166" t="inlineStr">
        <is>
          <t>NO</t>
        </is>
      </c>
    </row>
    <row r="167" ht="15.75" customHeight="1" s="67">
      <c r="A167" t="inlineStr">
        <is>
          <t>NEWBORN_LOSS_KILL_GAIN_THRESHOLD_PCT</t>
        </is>
      </c>
      <c r="B167" t="inlineStr">
        <is>
          <t>0.5</t>
        </is>
      </c>
      <c r="D167" t="inlineStr">
        <is>
          <t>AUGMENT, EXIT, GLOBAL_CHECK, REDUCE, STOCKS_EXIT</t>
        </is>
      </c>
      <c r="G167">
        <f>IFERROR(VLOOKUP($A179&amp;"_"&amp;$B179,Results_Deltas!$A$2:$P$15000,5,FALSE),"")</f>
        <v/>
      </c>
      <c r="H167" t="inlineStr">
        <is>
          <t>Blanket (page end)</t>
        </is>
      </c>
      <c r="L167" t="inlineStr">
        <is>
          <t>NO</t>
        </is>
      </c>
    </row>
    <row r="168" ht="15.75" customHeight="1" s="67">
      <c r="A168" t="inlineStr">
        <is>
          <t>NEWBORN_LOSS_KILL_REQUIRE_VEL_AGAINST</t>
        </is>
      </c>
      <c r="B168" t="inlineStr">
        <is>
          <t>0.0</t>
        </is>
      </c>
      <c r="D168" t="inlineStr">
        <is>
          <t>AUGMENT, EXIT, GLOBAL_CHECK, REDUCE, STOCKS_EXIT</t>
        </is>
      </c>
      <c r="G168">
        <f>IFERROR(VLOOKUP($A180&amp;"_"&amp;$B180,Results_Deltas!$A$2:$P$15000,5,FALSE),"")</f>
        <v/>
      </c>
      <c r="H168" t="inlineStr">
        <is>
          <t>Blanket (page end)</t>
        </is>
      </c>
      <c r="L168" t="inlineStr">
        <is>
          <t>NO</t>
        </is>
      </c>
    </row>
    <row r="169" ht="15.75" customHeight="1" s="67">
      <c r="A169" t="inlineStr">
        <is>
          <t>NEWBORN_LOSS_KILL_REQUIRE_VEL_AGAINST</t>
        </is>
      </c>
      <c r="B169" t="inlineStr">
        <is>
          <t>0.0_ALT</t>
        </is>
      </c>
      <c r="D169" t="inlineStr">
        <is>
          <t>AUGMENT, EXIT, GLOBAL_CHECK, REDUCE, STOCKS_EXIT</t>
        </is>
      </c>
      <c r="G169">
        <f>IFERROR(VLOOKUP($A181&amp;"_"&amp;$B181,Results_Deltas!$A$2:$P$15000,5,FALSE),"")</f>
        <v/>
      </c>
      <c r="H169" t="inlineStr">
        <is>
          <t>Blanket (page end)</t>
        </is>
      </c>
      <c r="L169" t="inlineStr">
        <is>
          <t>YES</t>
        </is>
      </c>
    </row>
    <row r="170" ht="15.75" customHeight="1" s="67">
      <c r="A170" t="inlineStr">
        <is>
          <t>NEW_POSITION_MAX_LOSS_THRESHOLD</t>
        </is>
      </c>
      <c r="B170" t="inlineStr">
        <is>
          <t>0</t>
        </is>
      </c>
      <c r="D170" t="inlineStr">
        <is>
          <t>AUGMENT, EXIT, GLOBAL_CHECK, REDUCE, STOCKS_EXIT</t>
        </is>
      </c>
      <c r="G170">
        <f>IFERROR(VLOOKUP($A182&amp;"_"&amp;$B182,Results_Deltas!$A$2:$P$15000,5,FALSE),"")</f>
        <v/>
      </c>
      <c r="H170" t="inlineStr">
        <is>
          <t>Blanket (page end)</t>
        </is>
      </c>
      <c r="L170" t="inlineStr">
        <is>
          <t>NO</t>
        </is>
      </c>
    </row>
    <row r="171" ht="15.75" customHeight="1" s="67">
      <c r="A171" t="inlineStr">
        <is>
          <t>NEW_POSITION_MAX_LOSS_THRESHOLD</t>
        </is>
      </c>
      <c r="B171" t="inlineStr">
        <is>
          <t>2.0</t>
        </is>
      </c>
      <c r="D171" t="inlineStr">
        <is>
          <t>AUGMENT, EXIT, GLOBAL_CHECK, REDUCE, STOCKS_EXIT</t>
        </is>
      </c>
      <c r="G171">
        <f>IFERROR(VLOOKUP($A183&amp;"_"&amp;$B183,Results_Deltas!$A$2:$P$15000,5,FALSE),"")</f>
        <v/>
      </c>
      <c r="H171" t="inlineStr">
        <is>
          <t>Blanket (page end)</t>
        </is>
      </c>
      <c r="L171" t="inlineStr">
        <is>
          <t>NO</t>
        </is>
      </c>
    </row>
    <row r="172" ht="15.75" customHeight="1" s="67">
      <c r="A172" t="inlineStr">
        <is>
          <t>NEW_POSITION_MAX_LOSS_THRESHOLD</t>
        </is>
      </c>
      <c r="B172" t="inlineStr">
        <is>
          <t>1.0</t>
        </is>
      </c>
      <c r="D172" t="inlineStr">
        <is>
          <t>AUGMENT, EXIT, GLOBAL_CHECK, REDUCE, STOCKS_EXIT</t>
        </is>
      </c>
      <c r="G172">
        <f>IFERROR(VLOOKUP($A184&amp;"_"&amp;$B184,Results_Deltas!$A$2:$P$15000,5,FALSE),"")</f>
        <v/>
      </c>
      <c r="H172" t="inlineStr">
        <is>
          <t>Blanket (page end)</t>
        </is>
      </c>
      <c r="L172" t="inlineStr">
        <is>
          <t>NO</t>
        </is>
      </c>
    </row>
    <row r="173" ht="15.75" customHeight="1" s="67">
      <c r="A173" t="inlineStr">
        <is>
          <t>NEW_POSITION_MAX_LOSS_THRESHOLD</t>
        </is>
      </c>
      <c r="B173" t="inlineStr">
        <is>
          <t>0.5</t>
        </is>
      </c>
      <c r="D173" t="inlineStr">
        <is>
          <t>AUGMENT, EXIT, GLOBAL_CHECK, REDUCE, STOCKS_EXIT</t>
        </is>
      </c>
      <c r="G173">
        <f>IFERROR(VLOOKUP($A185&amp;"_"&amp;$B185,Results_Deltas!$A$2:$P$15000,5,FALSE),"")</f>
        <v/>
      </c>
      <c r="H173" t="inlineStr">
        <is>
          <t>Blanket (page end)</t>
        </is>
      </c>
      <c r="L173" t="inlineStr">
        <is>
          <t>NO</t>
        </is>
      </c>
    </row>
    <row r="174" ht="15.75" customHeight="1" s="67">
      <c r="A174" t="inlineStr">
        <is>
          <t>OI_CONFIRM_ENABLED</t>
        </is>
      </c>
      <c r="B174" t="inlineStr">
        <is>
          <t>False</t>
        </is>
      </c>
      <c r="D174" t="inlineStr">
        <is>
          <t>ENTRY, GLOBAL_CHECK, STOCKS_EXIT</t>
        </is>
      </c>
      <c r="G174">
        <f>IFERROR(VLOOKUP($A186&amp;"_"&amp;$B186,Results_Deltas!$A$2:$P$15000,5,FALSE),"")</f>
        <v/>
      </c>
      <c r="H174" t="inlineStr">
        <is>
          <t>Blanket (page end)</t>
        </is>
      </c>
      <c r="L174" t="inlineStr">
        <is>
          <t>NO</t>
        </is>
      </c>
    </row>
    <row r="175" ht="15.75" customHeight="1" s="67">
      <c r="A175" t="inlineStr">
        <is>
          <t>OI_CONFIRM_ENABLED</t>
        </is>
      </c>
      <c r="B175" t="inlineStr">
        <is>
          <t>True</t>
        </is>
      </c>
      <c r="D175" t="inlineStr">
        <is>
          <t>ENTRY, GLOBAL_CHECK, STOCKS_EXIT</t>
        </is>
      </c>
      <c r="G175">
        <f>IFERROR(VLOOKUP($A187&amp;"_"&amp;$B187,Results_Deltas!$A$2:$P$15000,5,FALSE),"")</f>
        <v/>
      </c>
      <c r="H175" t="inlineStr">
        <is>
          <t>Blanket (page end)</t>
        </is>
      </c>
      <c r="L175" t="inlineStr">
        <is>
          <t>NO</t>
        </is>
      </c>
    </row>
    <row r="176" ht="15.75" customHeight="1" s="67">
      <c r="A176" t="inlineStr">
        <is>
          <t>OI_CONFIRM_MIN_CHANGE_PCT</t>
        </is>
      </c>
      <c r="B176" t="inlineStr">
        <is>
          <t>0</t>
        </is>
      </c>
      <c r="D176" t="inlineStr">
        <is>
          <t>ENTRY, GLOBAL_CHECK, STOCKS_EXIT</t>
        </is>
      </c>
      <c r="G176">
        <f>IFERROR(VLOOKUP($A188&amp;"_"&amp;$B188,Results_Deltas!$A$2:$P$15000,5,FALSE),"")</f>
        <v/>
      </c>
      <c r="H176" t="inlineStr">
        <is>
          <t>Blanket (page end)</t>
        </is>
      </c>
      <c r="L176" t="inlineStr">
        <is>
          <t>NO</t>
        </is>
      </c>
    </row>
    <row r="177" ht="15.75" customHeight="1" s="67">
      <c r="A177" t="inlineStr">
        <is>
          <t>OI_CONFIRM_MIN_CHANGE_PCT</t>
        </is>
      </c>
      <c r="B177" t="inlineStr">
        <is>
          <t>2.0</t>
        </is>
      </c>
      <c r="D177" t="inlineStr">
        <is>
          <t>ENTRY, GLOBAL_CHECK, STOCKS_EXIT</t>
        </is>
      </c>
      <c r="G177">
        <f>IFERROR(VLOOKUP($A189&amp;"_"&amp;$B189,Results_Deltas!$A$2:$P$15000,5,FALSE),"")</f>
        <v/>
      </c>
      <c r="H177" t="inlineStr">
        <is>
          <t>Blanket (page end)</t>
        </is>
      </c>
      <c r="L177" t="inlineStr">
        <is>
          <t>YES</t>
        </is>
      </c>
    </row>
    <row r="178" ht="15.75" customHeight="1" s="67">
      <c r="A178" t="inlineStr">
        <is>
          <t>OI_CONFIRM_MIN_CHANGE_PCT</t>
        </is>
      </c>
      <c r="B178" t="inlineStr">
        <is>
          <t>1.0</t>
        </is>
      </c>
      <c r="D178" t="inlineStr">
        <is>
          <t>ENTRY, GLOBAL_CHECK, STOCKS_EXIT</t>
        </is>
      </c>
      <c r="G178">
        <f>IFERROR(VLOOKUP($A190&amp;"_"&amp;$B190,Results_Deltas!$A$2:$P$15000,5,FALSE),"")</f>
        <v/>
      </c>
      <c r="H178" t="inlineStr">
        <is>
          <t>Blanket (page end)</t>
        </is>
      </c>
      <c r="L178" t="inlineStr">
        <is>
          <t>NO</t>
        </is>
      </c>
    </row>
    <row r="179" ht="15.75" customHeight="1" s="67">
      <c r="A179" t="inlineStr">
        <is>
          <t>OI_CONFIRM_MIN_CHANGE_PCT</t>
        </is>
      </c>
      <c r="B179" t="inlineStr">
        <is>
          <t>0.5</t>
        </is>
      </c>
      <c r="D179" t="inlineStr">
        <is>
          <t>ENTRY, GLOBAL_CHECK, STOCKS_EXIT</t>
        </is>
      </c>
      <c r="G179">
        <f>IFERROR(VLOOKUP($A191&amp;"_"&amp;$B191,Results_Deltas!$A$2:$P$15000,5,FALSE),"")</f>
        <v/>
      </c>
      <c r="H179" t="inlineStr">
        <is>
          <t>Blanket (page end)</t>
        </is>
      </c>
      <c r="L179" t="inlineStr">
        <is>
          <t>NO</t>
        </is>
      </c>
    </row>
    <row r="180" ht="15.75" customHeight="1" s="67">
      <c r="A180" t="inlineStr">
        <is>
          <t>OI_CONFIRM_MIN_PRICE_PCT</t>
        </is>
      </c>
      <c r="B180" t="inlineStr">
        <is>
          <t>0</t>
        </is>
      </c>
      <c r="D180" t="inlineStr">
        <is>
          <t>ENTRY, GLOBAL_CHECK, STOCKS_EXIT</t>
        </is>
      </c>
      <c r="G180">
        <f>IFERROR(VLOOKUP($A192&amp;"_"&amp;$B192,Results_Deltas!$A$2:$P$15000,5,FALSE),"")</f>
        <v/>
      </c>
      <c r="H180" t="inlineStr">
        <is>
          <t>Blanket (page end)</t>
        </is>
      </c>
      <c r="L180" t="inlineStr">
        <is>
          <t>NO</t>
        </is>
      </c>
    </row>
    <row r="181" ht="15.75" customHeight="1" s="67">
      <c r="A181" t="inlineStr">
        <is>
          <t>OI_CONFIRM_MIN_PRICE_PCT</t>
        </is>
      </c>
      <c r="B181" t="inlineStr">
        <is>
          <t>2.0</t>
        </is>
      </c>
      <c r="D181" t="inlineStr">
        <is>
          <t>ENTRY, GLOBAL_CHECK, STOCKS_EXIT</t>
        </is>
      </c>
      <c r="G181">
        <f>IFERROR(VLOOKUP($A193&amp;"_"&amp;$B193,Results_Deltas!$A$2:$P$15000,5,FALSE),"")</f>
        <v/>
      </c>
      <c r="H181" t="inlineStr">
        <is>
          <t>Blanket (page end)</t>
        </is>
      </c>
      <c r="L181" t="inlineStr">
        <is>
          <t>YES</t>
        </is>
      </c>
    </row>
    <row r="182" ht="15.75" customHeight="1" s="67">
      <c r="A182" t="inlineStr">
        <is>
          <t>OI_CONFIRM_MIN_PRICE_PCT</t>
        </is>
      </c>
      <c r="B182" t="inlineStr">
        <is>
          <t>1.0</t>
        </is>
      </c>
      <c r="D182" t="inlineStr">
        <is>
          <t>ENTRY, GLOBAL_CHECK, STOCKS_EXIT</t>
        </is>
      </c>
      <c r="G182">
        <f>IFERROR(VLOOKUP($A194&amp;"_"&amp;$B194,Results_Deltas!$A$2:$P$15000,5,FALSE),"")</f>
        <v/>
      </c>
      <c r="H182" t="inlineStr">
        <is>
          <t>Blanket (page end)</t>
        </is>
      </c>
      <c r="L182" t="inlineStr">
        <is>
          <t>NO</t>
        </is>
      </c>
    </row>
    <row r="183" ht="15.75" customHeight="1" s="67">
      <c r="A183" t="inlineStr">
        <is>
          <t>OI_CONFIRM_MIN_PRICE_PCT</t>
        </is>
      </c>
      <c r="B183" t="inlineStr">
        <is>
          <t>0.5</t>
        </is>
      </c>
      <c r="D183" t="inlineStr">
        <is>
          <t>ENTRY, GLOBAL_CHECK, STOCKS_EXIT</t>
        </is>
      </c>
      <c r="G183">
        <f>IFERROR(VLOOKUP($A195&amp;"_"&amp;$B195,Results_Deltas!$A$2:$P$15000,5,FALSE),"")</f>
        <v/>
      </c>
      <c r="H183" t="inlineStr">
        <is>
          <t>Blanket (page end)</t>
        </is>
      </c>
      <c r="L183" t="inlineStr">
        <is>
          <t>NO</t>
        </is>
      </c>
    </row>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DD_BOUNCE_ENABLED</t>
        </is>
      </c>
      <c r="B3" t="inlineStr">
        <is>
          <t>True</t>
        </is>
      </c>
      <c r="G3">
        <f>IFERROR(VLOOKUP($A3&amp;"="&amp;$B3,Results_Deltas!$A$2:$P$15000,5,FALSE),"")</f>
        <v/>
      </c>
      <c r="H3">
        <f>IFERROR(VLOOKUP($A3,Results_30d_Deltas!$A$2:$H$5000,7,FALSE)-E3,"")</f>
        <v/>
      </c>
      <c r="I3">
        <f>IFERROR(VLOOKUP($A3,Results_30d_Deltas!$A$2:$H$5000,6,FALSE),"")</f>
        <v/>
      </c>
      <c r="L3" t="inlineStr">
        <is>
          <t>NO</t>
        </is>
      </c>
      <c r="IK3" t="inlineStr">
        <is>
          <t>ez_manage.py:4586 top()</t>
        </is>
      </c>
      <c r="IL3" t="inlineStr">
        <is>
          <t>v12_quick_engine.py:567 x9</t>
        </is>
      </c>
    </row>
    <row r="4" ht="10.5" customHeight="1" s="67">
      <c r="A4" t="inlineStr">
        <is>
          <t>MAX_AUGMENTS_PER_POSITION</t>
        </is>
      </c>
      <c r="B4" t="inlineStr">
        <is>
          <t>0</t>
        </is>
      </c>
      <c r="G4">
        <f>IFERROR(VLOOKUP($A4&amp;"_"&amp;$B4,Results_Deltas!$A$2:$P$15000,5,FALSE),"")</f>
        <v/>
      </c>
      <c r="H4">
        <f>IFERROR(VLOOKUP($A4,Results_30d_Deltas!$A$2:$H$5000,7,FALSE)-E3,"")</f>
        <v/>
      </c>
      <c r="I4">
        <f>IFERROR(VLOOKUP($A4,Results_30d_Deltas!$A$2:$H$5000,6,FALSE),"")</f>
        <v/>
      </c>
      <c r="L4" t="inlineStr">
        <is>
          <t>NO</t>
        </is>
      </c>
      <c r="IK4" t="inlineStr">
        <is>
          <t>ez_manage.py:3521 top()</t>
        </is>
      </c>
      <c r="IL4" t="inlineStr">
        <is>
          <t>v12_quick_engine.py:2267 x7</t>
        </is>
      </c>
    </row>
    <row r="5" ht="10.5" customHeight="1" s="67">
      <c r="A5" t="inlineStr">
        <is>
          <t>MAX_AUGMENTS_PER_POSITION</t>
        </is>
      </c>
      <c r="B5" t="inlineStr">
        <is>
          <t>0.5</t>
        </is>
      </c>
      <c r="G5">
        <f>IFERROR(VLOOKUP($A5&amp;"_"&amp;$B5,Results_Deltas!$A$2:$P$15000,5,FALSE),"")</f>
        <v/>
      </c>
      <c r="H5">
        <f>IFERROR(VLOOKUP($A5,Results_30d_Deltas!$A$2:$H$5000,7,FALSE)-E4,"")</f>
        <v/>
      </c>
      <c r="I5">
        <f>IFERROR(VLOOKUP($A5,Results_30d_Deltas!$A$2:$H$5000,6,FALSE),"")</f>
        <v/>
      </c>
      <c r="L5" t="inlineStr">
        <is>
          <t>NO</t>
        </is>
      </c>
      <c r="IK5" t="inlineStr">
        <is>
          <t>ez_manage.py:3521 top()</t>
        </is>
      </c>
      <c r="IL5" t="inlineStr">
        <is>
          <t>v12_quick_engine.py:2267 x7</t>
        </is>
      </c>
    </row>
    <row r="6" ht="10.5" customHeight="1" s="67">
      <c r="A6" t="inlineStr">
        <is>
          <t>MAX_AUGMENTS_PER_POSITION</t>
        </is>
      </c>
      <c r="B6" t="inlineStr">
        <is>
          <t>1.0</t>
        </is>
      </c>
      <c r="G6">
        <f>IFERROR(VLOOKUP($A6&amp;"_"&amp;$B6,Results_Deltas!$A$2:$P$15000,5,FALSE),"")</f>
        <v/>
      </c>
      <c r="H6">
        <f>IFERROR(VLOOKUP($A6,Results_30d_Deltas!$A$2:$H$5000,7,FALSE)-E5,"")</f>
        <v/>
      </c>
      <c r="I6">
        <f>IFERROR(VLOOKUP($A6,Results_30d_Deltas!$A$2:$H$5000,6,FALSE),"")</f>
        <v/>
      </c>
      <c r="L6" t="inlineStr">
        <is>
          <t>NO</t>
        </is>
      </c>
      <c r="IK6" t="inlineStr">
        <is>
          <t>ez_manage.py:3521 top()</t>
        </is>
      </c>
      <c r="IL6" t="inlineStr">
        <is>
          <t>v12_quick_engine.py:2267 x7</t>
        </is>
      </c>
    </row>
    <row r="7" ht="10.5" customHeight="1" s="67">
      <c r="A7" t="inlineStr">
        <is>
          <t>MAX_AUGMENTS_PER_POSITION</t>
        </is>
      </c>
      <c r="B7" t="inlineStr">
        <is>
          <t>2.0</t>
        </is>
      </c>
      <c r="G7">
        <f>IFERROR(VLOOKUP($A7&amp;"_"&amp;$B7,Results_Deltas!$A$2:$P$15000,5,FALSE),"")</f>
        <v/>
      </c>
      <c r="H7">
        <f>IFERROR(VLOOKUP($A7,Results_30d_Deltas!$A$2:$H$5000,7,FALSE)-E6,"")</f>
        <v/>
      </c>
      <c r="I7">
        <f>IFERROR(VLOOKUP($A7,Results_30d_Deltas!$A$2:$H$5000,6,FALSE),"")</f>
        <v/>
      </c>
      <c r="L7" t="inlineStr">
        <is>
          <t>NO</t>
        </is>
      </c>
      <c r="IK7" t="inlineStr">
        <is>
          <t>ez_manage.py:3521 top()</t>
        </is>
      </c>
      <c r="IL7" t="inlineStr">
        <is>
          <t>v12_quick_engine.py:2267 x7</t>
        </is>
      </c>
    </row>
    <row r="8" ht="10.5" customHeight="1" s="67">
      <c r="A8" t="inlineStr">
        <is>
          <t>AUGMENTED_POSITIONS_GUARD_FLOOR_MULT</t>
        </is>
      </c>
      <c r="B8" t="inlineStr">
        <is>
          <t>0</t>
        </is>
      </c>
      <c r="G8">
        <f>IFERROR(VLOOKUP($A8&amp;"_"&amp;$B8,Results_Deltas!$A$2:$P$15000,5,FALSE),"")</f>
        <v/>
      </c>
      <c r="H8">
        <f>IFERROR(VLOOKUP($A8,Results_30d_Deltas!$A$2:$H$5000,7,FALSE)-E7,"")</f>
        <v/>
      </c>
      <c r="I8">
        <f>IFERROR(VLOOKUP($A8,Results_30d_Deltas!$A$2:$H$5000,6,FALSE),"")</f>
        <v/>
      </c>
      <c r="L8" t="inlineStr">
        <is>
          <t>NO</t>
        </is>
      </c>
      <c r="IK8" t="inlineStr">
        <is>
          <t>ez_manage.py:4336 top()</t>
        </is>
      </c>
      <c r="IL8" t="inlineStr">
        <is>
          <t>v12_quick_engine.py:221 x13</t>
        </is>
      </c>
    </row>
    <row r="9" ht="10.5" customHeight="1" s="67">
      <c r="A9" t="inlineStr">
        <is>
          <t>AUGMENTED_POSITIONS_GUARD_FLOOR_MULT</t>
        </is>
      </c>
      <c r="B9" t="n">
        <v>0</v>
      </c>
      <c r="G9">
        <f>IFERROR(VLOOKUP($A9&amp;"_"&amp;$B9,Results_Deltas!$A$2:$P$15000,5,FALSE),"")</f>
        <v/>
      </c>
      <c r="H9">
        <f>IFERROR(VLOOKUP($A9,Results_30d_Deltas!$A$2:$H$5000,7,FALSE)-E8,"")</f>
        <v/>
      </c>
      <c r="I9">
        <f>IFERROR(VLOOKUP($A9,Results_30d_Deltas!$A$2:$H$5000,6,FALSE),"")</f>
        <v/>
      </c>
      <c r="L9" t="inlineStr">
        <is>
          <t>YES</t>
        </is>
      </c>
      <c r="IK9" t="inlineStr">
        <is>
          <t>ez_manage.py:4336 top()</t>
        </is>
      </c>
      <c r="IL9" t="inlineStr">
        <is>
          <t>v12_quick_engine.py:221 x13</t>
        </is>
      </c>
    </row>
    <row r="10" ht="10.5" customHeight="1" s="67">
      <c r="A10" t="inlineStr">
        <is>
          <t>AUGMENTED_POSITIONS_GUARD_FLOOR_MULT</t>
        </is>
      </c>
      <c r="B10" t="inlineStr">
        <is>
          <t>1.0</t>
        </is>
      </c>
      <c r="G10">
        <f>IFERROR(VLOOKUP($A10&amp;"_"&amp;$B10,Results_Deltas!$A$2:$P$15000,5,FALSE),"")</f>
        <v/>
      </c>
      <c r="H10">
        <f>IFERROR(VLOOKUP($A10,Results_30d_Deltas!$A$2:$H$5000,7,FALSE)-E9,"")</f>
        <v/>
      </c>
      <c r="I10">
        <f>IFERROR(VLOOKUP($A10,Results_30d_Deltas!$A$2:$H$5000,6,FALSE),"")</f>
        <v/>
      </c>
      <c r="L10" t="inlineStr">
        <is>
          <t>NO</t>
        </is>
      </c>
      <c r="IK10" t="inlineStr">
        <is>
          <t>ez_manage.py:4336 top()</t>
        </is>
      </c>
      <c r="IL10" t="inlineStr">
        <is>
          <t>v12_quick_engine.py:221 x13</t>
        </is>
      </c>
    </row>
    <row r="11" ht="10.5" customHeight="1" s="67">
      <c r="A11" t="inlineStr">
        <is>
          <t>AUGMENTED_POSITIONS_GUARD_FLOOR_MULT</t>
        </is>
      </c>
      <c r="B11" t="inlineStr">
        <is>
          <t>2.0</t>
        </is>
      </c>
      <c r="G11">
        <f>IFERROR(VLOOKUP($A11&amp;"_"&amp;$B11,Results_Deltas!$A$2:$P$15000,5,FALSE),"")</f>
        <v/>
      </c>
      <c r="H11">
        <f>IFERROR(VLOOKUP($A11,Results_30d_Deltas!$A$2:$H$5000,7,FALSE)-E10,"")</f>
        <v/>
      </c>
      <c r="I11">
        <f>IFERROR(VLOOKUP($A11,Results_30d_Deltas!$A$2:$H$5000,6,FALSE),"")</f>
        <v/>
      </c>
      <c r="L11" t="inlineStr">
        <is>
          <t>NO</t>
        </is>
      </c>
      <c r="IK11" t="inlineStr">
        <is>
          <t>ez_manage.py:4336 top()</t>
        </is>
      </c>
      <c r="IL11" t="inlineStr">
        <is>
          <t>v12_quick_engine.py:221 x13</t>
        </is>
      </c>
    </row>
    <row r="12" ht="10.5" customHeight="1" s="67">
      <c r="A12" t="inlineStr">
        <is>
          <t>AUGMENT_AT_LOSS_ENABLED</t>
        </is>
      </c>
      <c r="B12" t="inlineStr">
        <is>
          <t>False</t>
        </is>
      </c>
      <c r="G12">
        <f>IFERROR(VLOOKUP($A12&amp;"_"&amp;$B12,Results_Deltas!$A$2:$P$15000,5,FALSE),"")</f>
        <v/>
      </c>
      <c r="H12">
        <f>IFERROR(VLOOKUP($A12,Results_30d_Deltas!$A$2:$H$5000,7,FALSE)-E11,"")</f>
        <v/>
      </c>
      <c r="I12">
        <f>IFERROR(VLOOKUP($A12,Results_30d_Deltas!$A$2:$H$5000,6,FALSE),"")</f>
        <v/>
      </c>
      <c r="L12" t="inlineStr">
        <is>
          <t>YES</t>
        </is>
      </c>
      <c r="IK12" t="inlineStr">
        <is>
          <t>ez_manage.py:5956 top()</t>
        </is>
      </c>
      <c r="IL12" t="inlineStr">
        <is>
          <t>v12_quick_engine.py:228 x5</t>
        </is>
      </c>
    </row>
    <row r="13" ht="10.5" customHeight="1" s="67">
      <c r="A13" t="inlineStr">
        <is>
          <t>AUGMENT_AT_LOSS_ENABLED</t>
        </is>
      </c>
      <c r="B13" t="inlineStr">
        <is>
          <t>True</t>
        </is>
      </c>
      <c r="G13">
        <f>IFERROR(VLOOKUP($A13&amp;"_"&amp;$B13,Results_Deltas!$A$2:$P$15000,5,FALSE),"")</f>
        <v/>
      </c>
      <c r="H13">
        <f>IFERROR(VLOOKUP($A13,Results_30d_Deltas!$A$2:$H$5000,7,FALSE)-E12,"")</f>
        <v/>
      </c>
      <c r="I13">
        <f>IFERROR(VLOOKUP($A13,Results_30d_Deltas!$A$2:$H$5000,6,FALSE),"")</f>
        <v/>
      </c>
      <c r="L13" t="inlineStr">
        <is>
          <t>NO</t>
        </is>
      </c>
      <c r="IK13" t="inlineStr">
        <is>
          <t>ez_manage.py:5956 top()</t>
        </is>
      </c>
      <c r="IL13" t="inlineStr">
        <is>
          <t>v12_quick_engine.py:228 x5</t>
        </is>
      </c>
    </row>
    <row r="14" ht="10.5" customHeight="1" s="67">
      <c r="A14" t="inlineStr">
        <is>
          <t>AUGMENT_FALLBACK_GAIN_PCT</t>
        </is>
      </c>
      <c r="B14" t="inlineStr">
        <is>
          <t>1.0</t>
        </is>
      </c>
      <c r="G14">
        <f>IFERROR(VLOOKUP($A16&amp;"_"&amp;$B16,Results_Deltas!$A$2:$P$15000,5,FALSE),"")</f>
        <v/>
      </c>
      <c r="H14">
        <f>IFERROR(VLOOKUP($A16,Results_30d_Deltas!$A$2:$H$5000,7,FALSE)-E15,"")</f>
        <v/>
      </c>
      <c r="I14">
        <f>IFERROR(VLOOKUP($A16,Results_30d_Deltas!$A$2:$H$5000,6,FALSE),"")</f>
        <v/>
      </c>
      <c r="L14" t="inlineStr">
        <is>
          <t>YES</t>
        </is>
      </c>
      <c r="IK14" t="inlineStr">
        <is>
          <t>ez_manage.py:56864 top()</t>
        </is>
      </c>
      <c r="IL14" t="inlineStr">
        <is>
          <t>v12_quick_engine.py:4990 x4</t>
        </is>
      </c>
    </row>
    <row r="15" ht="10.5" customHeight="1" s="67">
      <c r="A15" t="inlineStr">
        <is>
          <t>AUGMENT_FALLBACK_REDUCE_ENABLED</t>
        </is>
      </c>
      <c r="B15" t="inlineStr">
        <is>
          <t>False</t>
        </is>
      </c>
      <c r="G15">
        <f>IFERROR(VLOOKUP($A19&amp;"_"&amp;$B19,Results_Deltas!$A$2:$P$15000,5,FALSE),"")</f>
        <v/>
      </c>
      <c r="H15">
        <f>IFERROR(VLOOKUP($A19,Results_30d_Deltas!$A$2:$H$5000,7,FALSE)-E18,"")</f>
        <v/>
      </c>
      <c r="I15">
        <f>IFERROR(VLOOKUP($A19,Results_30d_Deltas!$A$2:$H$5000,6,FALSE),"")</f>
        <v/>
      </c>
      <c r="L15" t="inlineStr">
        <is>
          <t>YES</t>
        </is>
      </c>
      <c r="IK15" t="inlineStr">
        <is>
          <t>ez_manage.py:56872 top()</t>
        </is>
      </c>
      <c r="IL15" t="inlineStr">
        <is>
          <t>v12_quick_engine.py:4988 x3</t>
        </is>
      </c>
    </row>
    <row r="16" ht="10.5" customHeight="1" s="67">
      <c r="A16" t="inlineStr">
        <is>
          <t>AUGMENT_FALLBACK_REDUCE_ENABLED</t>
        </is>
      </c>
      <c r="B16" t="inlineStr">
        <is>
          <t>True</t>
        </is>
      </c>
      <c r="G16">
        <f>IFERROR(VLOOKUP($A20&amp;"_"&amp;$B20,Results_Deltas!$A$2:$P$15000,5,FALSE),"")</f>
        <v/>
      </c>
      <c r="H16">
        <f>IFERROR(VLOOKUP($A20,Results_30d_Deltas!$A$2:$H$5000,7,FALSE)-E19,"")</f>
        <v/>
      </c>
      <c r="I16">
        <f>IFERROR(VLOOKUP($A20,Results_30d_Deltas!$A$2:$H$5000,6,FALSE),"")</f>
        <v/>
      </c>
      <c r="L16" t="inlineStr">
        <is>
          <t>NO</t>
        </is>
      </c>
      <c r="IK16" t="inlineStr">
        <is>
          <t>ez_manage.py:56872 top()</t>
        </is>
      </c>
      <c r="IL16" t="inlineStr">
        <is>
          <t>v12_quick_engine.py:4988 x3</t>
        </is>
      </c>
    </row>
    <row r="17" ht="10.5" customHeight="1" s="67">
      <c r="A17" t="inlineStr">
        <is>
          <t>AUGMENT_FALLBACK_REDUCE_PCT</t>
        </is>
      </c>
      <c r="B17" t="inlineStr">
        <is>
          <t>0.25</t>
        </is>
      </c>
      <c r="G17">
        <f>IFERROR(VLOOKUP($A21&amp;"_"&amp;$B21,Results_Deltas!$A$2:$P$15000,5,FALSE),"")</f>
        <v/>
      </c>
      <c r="H17">
        <f>IFERROR(VLOOKUP($A21,Results_30d_Deltas!$A$2:$H$5000,7,FALSE)-E20,"")</f>
        <v/>
      </c>
      <c r="I17">
        <f>IFERROR(VLOOKUP($A21,Results_30d_Deltas!$A$2:$H$5000,6,FALSE),"")</f>
        <v/>
      </c>
      <c r="L17" t="inlineStr">
        <is>
          <t>NO</t>
        </is>
      </c>
      <c r="IK17" t="inlineStr">
        <is>
          <t>ez_manage.py:56876 top()</t>
        </is>
      </c>
      <c r="IL17" t="inlineStr">
        <is>
          <t>v12_quick_engine.py:4989 x3</t>
        </is>
      </c>
    </row>
    <row r="18" ht="10.5" customHeight="1" s="67">
      <c r="A18" t="inlineStr">
        <is>
          <t>AUGMENT_FALLBACK_REDUCE_PCT</t>
        </is>
      </c>
      <c r="B18" t="inlineStr">
        <is>
          <t>0.375</t>
        </is>
      </c>
      <c r="G18">
        <f>IFERROR(VLOOKUP($A22&amp;"_"&amp;$B22,Results_Deltas!$A$2:$P$15000,5,FALSE),"")</f>
        <v/>
      </c>
      <c r="H18">
        <f>IFERROR(VLOOKUP($A22,Results_30d_Deltas!$A$2:$H$5000,7,FALSE)-E21,"")</f>
        <v/>
      </c>
      <c r="I18">
        <f>IFERROR(VLOOKUP($A22,Results_30d_Deltas!$A$2:$H$5000,6,FALSE),"")</f>
        <v/>
      </c>
      <c r="L18" t="inlineStr">
        <is>
          <t>NO</t>
        </is>
      </c>
      <c r="IK18" t="inlineStr">
        <is>
          <t>ez_manage.py:56876 top()</t>
        </is>
      </c>
      <c r="IL18" t="inlineStr">
        <is>
          <t>v12_quick_engine.py:4989 x3</t>
        </is>
      </c>
    </row>
    <row r="19" ht="10.5" customHeight="1" s="67">
      <c r="A19" t="inlineStr">
        <is>
          <t>AUGMENT_FALLBACK_REDUCE_PCT</t>
        </is>
      </c>
      <c r="B19" t="inlineStr">
        <is>
          <t>0.5</t>
        </is>
      </c>
      <c r="G19">
        <f>IFERROR(VLOOKUP($A23&amp;"_"&amp;$B23,Results_Deltas!$A$2:$P$15000,5,FALSE),"")</f>
        <v/>
      </c>
      <c r="H19">
        <f>IFERROR(VLOOKUP($A23,Results_30d_Deltas!$A$2:$H$5000,7,FALSE)-E22,"")</f>
        <v/>
      </c>
      <c r="I19">
        <f>IFERROR(VLOOKUP($A23,Results_30d_Deltas!$A$2:$H$5000,6,FALSE),"")</f>
        <v/>
      </c>
      <c r="L19" t="inlineStr">
        <is>
          <t>YES</t>
        </is>
      </c>
      <c r="IK19" t="inlineStr">
        <is>
          <t>ez_manage.py:56876 top()</t>
        </is>
      </c>
      <c r="IL19" t="inlineStr">
        <is>
          <t>v12_quick_engine.py:4989 x3</t>
        </is>
      </c>
    </row>
    <row r="20" ht="10.5" customHeight="1" s="67">
      <c r="A20" t="inlineStr">
        <is>
          <t>AUGMENT_FALLBACK_REDUCE_PCT</t>
        </is>
      </c>
      <c r="B20" t="inlineStr">
        <is>
          <t>0.625</t>
        </is>
      </c>
      <c r="G20">
        <f>IFERROR(VLOOKUP($A24&amp;"_"&amp;$B24,Results_Deltas!$A$2:$P$15000,5,FALSE),"")</f>
        <v/>
      </c>
      <c r="H20">
        <f>IFERROR(VLOOKUP($A24,Results_30d_Deltas!$A$2:$H$5000,7,FALSE)-E23,"")</f>
        <v/>
      </c>
      <c r="I20">
        <f>IFERROR(VLOOKUP($A24,Results_30d_Deltas!$A$2:$H$5000,6,FALSE),"")</f>
        <v/>
      </c>
      <c r="L20" t="inlineStr">
        <is>
          <t>NO</t>
        </is>
      </c>
      <c r="IK20" t="inlineStr">
        <is>
          <t>ez_manage.py:56876 top()</t>
        </is>
      </c>
      <c r="IL20" t="inlineStr">
        <is>
          <t>v12_quick_engine.py:4989 x3</t>
        </is>
      </c>
    </row>
    <row r="21" ht="10.5" customHeight="1" s="67">
      <c r="A21" t="inlineStr">
        <is>
          <t>AUGMENT_FALLBACK_REDUCE_PCT</t>
        </is>
      </c>
      <c r="B21" t="inlineStr">
        <is>
          <t>0.75</t>
        </is>
      </c>
      <c r="G21">
        <f>IFERROR(VLOOKUP($A25&amp;"_"&amp;$B25,Results_Deltas!$A$2:$P$15000,5,FALSE),"")</f>
        <v/>
      </c>
      <c r="H21">
        <f>IFERROR(VLOOKUP($A25,Results_30d_Deltas!$A$2:$H$5000,7,FALSE)-E24,"")</f>
        <v/>
      </c>
      <c r="I21">
        <f>IFERROR(VLOOKUP($A25,Results_30d_Deltas!$A$2:$H$5000,6,FALSE),"")</f>
        <v/>
      </c>
      <c r="L21" t="inlineStr">
        <is>
          <t>NO</t>
        </is>
      </c>
      <c r="IK21" t="inlineStr">
        <is>
          <t>ez_manage.py:56876 top()</t>
        </is>
      </c>
      <c r="IL21" t="inlineStr">
        <is>
          <t>v12_quick_engine.py:4989 x3</t>
        </is>
      </c>
    </row>
    <row r="22" ht="10.5" customHeight="1" s="67">
      <c r="A22" t="inlineStr">
        <is>
          <t>AUGMENT_ONLY_WHEN_PROFITABLE</t>
        </is>
      </c>
      <c r="B22" t="inlineStr">
        <is>
          <t>0</t>
        </is>
      </c>
      <c r="G22">
        <f>IFERROR(VLOOKUP($A26&amp;"_"&amp;$B26,Results_Deltas!$A$2:$P$15000,5,FALSE),"")</f>
        <v/>
      </c>
      <c r="H22">
        <f>IFERROR(VLOOKUP($A26,Results_30d_Deltas!$A$2:$H$5000,7,FALSE)-E25,"")</f>
        <v/>
      </c>
      <c r="I22">
        <f>IFERROR(VLOOKUP($A26,Results_30d_Deltas!$A$2:$H$5000,6,FALSE),"")</f>
        <v/>
      </c>
      <c r="L22" t="inlineStr">
        <is>
          <t>NO</t>
        </is>
      </c>
      <c r="IK22" t="inlineStr">
        <is>
          <t>ez_manage.py:2943 top()</t>
        </is>
      </c>
      <c r="IL22" t="inlineStr">
        <is>
          <t>v12_quick_engine.py:235 x18</t>
        </is>
      </c>
    </row>
    <row r="23" ht="10.5" customHeight="1" s="67">
      <c r="A23" t="inlineStr">
        <is>
          <t>AUGMENT_ONLY_WHEN_PROFITABLE</t>
        </is>
      </c>
      <c r="B23" t="inlineStr">
        <is>
          <t>0.5</t>
        </is>
      </c>
      <c r="G23">
        <f>IFERROR(VLOOKUP($A27&amp;"_"&amp;$B27,Results_Deltas!$A$2:$P$15000,5,FALSE),"")</f>
        <v/>
      </c>
      <c r="H23">
        <f>IFERROR(VLOOKUP($A27,Results_30d_Deltas!$A$2:$H$5000,7,FALSE)-E26,"")</f>
        <v/>
      </c>
      <c r="I23">
        <f>IFERROR(VLOOKUP($A27,Results_30d_Deltas!$A$2:$H$5000,6,FALSE),"")</f>
        <v/>
      </c>
      <c r="L23" t="inlineStr">
        <is>
          <t>NO</t>
        </is>
      </c>
      <c r="IK23" t="inlineStr">
        <is>
          <t>ez_manage.py:2943 top()</t>
        </is>
      </c>
      <c r="IL23" t="inlineStr">
        <is>
          <t>v12_quick_engine.py:235 x18</t>
        </is>
      </c>
    </row>
    <row r="24" ht="10.5" customHeight="1" s="67">
      <c r="A24" t="inlineStr">
        <is>
          <t>AUGMENT_ONLY_WHEN_PROFITABLE</t>
        </is>
      </c>
      <c r="B24" t="inlineStr">
        <is>
          <t>1.0</t>
        </is>
      </c>
      <c r="G24">
        <f>IFERROR(VLOOKUP($A28&amp;"_"&amp;$B28,Results_Deltas!$A$2:$P$15000,5,FALSE),"")</f>
        <v/>
      </c>
      <c r="H24">
        <f>IFERROR(VLOOKUP($A28,Results_30d_Deltas!$A$2:$H$5000,7,FALSE)-E27,"")</f>
        <v/>
      </c>
      <c r="I24">
        <f>IFERROR(VLOOKUP($A28,Results_30d_Deltas!$A$2:$H$5000,6,FALSE),"")</f>
        <v/>
      </c>
      <c r="L24" t="inlineStr">
        <is>
          <t>NO</t>
        </is>
      </c>
      <c r="IK24" t="inlineStr">
        <is>
          <t>ez_manage.py:2943 top()</t>
        </is>
      </c>
      <c r="IL24" t="inlineStr">
        <is>
          <t>v12_quick_engine.py:235 x18</t>
        </is>
      </c>
    </row>
    <row r="25" ht="10.5" customHeight="1" s="67">
      <c r="A25" t="inlineStr">
        <is>
          <t>AUGMENT_ONLY_WHEN_PROFITABLE</t>
        </is>
      </c>
      <c r="B25" t="inlineStr">
        <is>
          <t>2.0</t>
        </is>
      </c>
      <c r="G25">
        <f>IFERROR(VLOOKUP($A29&amp;"_"&amp;$B29,Results_Deltas!$A$2:$P$15000,5,FALSE),"")</f>
        <v/>
      </c>
      <c r="H25">
        <f>IFERROR(VLOOKUP($A29,Results_30d_Deltas!$A$2:$H$5000,7,FALSE)-E28,"")</f>
        <v/>
      </c>
      <c r="I25">
        <f>IFERROR(VLOOKUP($A29,Results_30d_Deltas!$A$2:$H$5000,6,FALSE),"")</f>
        <v/>
      </c>
      <c r="L25" t="inlineStr">
        <is>
          <t>NO</t>
        </is>
      </c>
      <c r="IK25" t="inlineStr">
        <is>
          <t>ez_manage.py:2943 top()</t>
        </is>
      </c>
      <c r="IL25" t="inlineStr">
        <is>
          <t>v12_quick_engine.py:235 x18</t>
        </is>
      </c>
    </row>
    <row r="26" ht="10.5" customHeight="1" s="67">
      <c r="A26" t="inlineStr">
        <is>
          <t>AUGMENT_WT_4H_BOUNCE_ENABLED</t>
        </is>
      </c>
      <c r="B26" t="inlineStr">
        <is>
          <t>False</t>
        </is>
      </c>
      <c r="G26">
        <f>IFERROR(VLOOKUP($A30&amp;"_"&amp;$B30,Results_Deltas!$A$2:$P$15000,5,FALSE),"")</f>
        <v/>
      </c>
      <c r="H26">
        <f>IFERROR(VLOOKUP($A30,Results_30d_Deltas!$A$2:$H$5000,7,FALSE)-E29,"")</f>
        <v/>
      </c>
      <c r="I26">
        <f>IFERROR(VLOOKUP($A30,Results_30d_Deltas!$A$2:$H$5000,6,FALSE),"")</f>
        <v/>
      </c>
      <c r="L26" t="inlineStr">
        <is>
          <t>YES</t>
        </is>
      </c>
      <c r="IK26" t="inlineStr">
        <is>
          <t>ez_manage.py:5957 top()</t>
        </is>
      </c>
      <c r="IL26" t="inlineStr">
        <is>
          <t>v12_quick_engine.py:242 x9</t>
        </is>
      </c>
    </row>
    <row r="27" ht="10.5" customHeight="1" s="67">
      <c r="A27" t="inlineStr">
        <is>
          <t>AUGMENT_WT_4H_BOUNCE_ENABLED</t>
        </is>
      </c>
      <c r="B27" t="inlineStr">
        <is>
          <t>True</t>
        </is>
      </c>
      <c r="G27">
        <f>IFERROR(VLOOKUP($A31&amp;"_"&amp;$B31,Results_Deltas!$A$2:$P$15000,5,FALSE),"")</f>
        <v/>
      </c>
      <c r="H27">
        <f>IFERROR(VLOOKUP($A31,Results_30d_Deltas!$A$2:$H$5000,7,FALSE)-E30,"")</f>
        <v/>
      </c>
      <c r="I27">
        <f>IFERROR(VLOOKUP($A31,Results_30d_Deltas!$A$2:$H$5000,6,FALSE),"")</f>
        <v/>
      </c>
      <c r="L27" t="inlineStr">
        <is>
          <t>NO</t>
        </is>
      </c>
      <c r="IK27" t="inlineStr">
        <is>
          <t>ez_manage.py:5957 top()</t>
        </is>
      </c>
      <c r="IL27" t="inlineStr">
        <is>
          <t>v12_quick_engine.py:242 x9</t>
        </is>
      </c>
    </row>
    <row r="28" ht="10.5" customHeight="1" s="67">
      <c r="A28" t="inlineStr">
        <is>
          <t>DELTA_PYRAMID_MAX</t>
        </is>
      </c>
      <c r="B28" t="inlineStr">
        <is>
          <t>0</t>
        </is>
      </c>
      <c r="G28">
        <f>IFERROR(VLOOKUP($A32&amp;"_"&amp;$B32,Results_Deltas!$A$2:$P$15000,5,FALSE),"")</f>
        <v/>
      </c>
      <c r="H28">
        <f>IFERROR(VLOOKUP($A32,Results_30d_Deltas!$A$2:$H$5000,7,FALSE)-E31,"")</f>
        <v/>
      </c>
      <c r="I28">
        <f>IFERROR(VLOOKUP($A32,Results_30d_Deltas!$A$2:$H$5000,6,FALSE),"")</f>
        <v/>
      </c>
      <c r="L28" t="inlineStr">
        <is>
          <t>NO</t>
        </is>
      </c>
      <c r="IK28" t="inlineStr">
        <is>
          <t>ez_manage.py:3153 top()</t>
        </is>
      </c>
      <c r="IL28" t="inlineStr">
        <is>
          <t>v12_quick_engine.py:591 x16</t>
        </is>
      </c>
    </row>
    <row r="29" ht="10.5" customHeight="1" s="67">
      <c r="A29" t="inlineStr">
        <is>
          <t>DELTA_PYRAMID_MAX</t>
        </is>
      </c>
      <c r="B29" t="inlineStr">
        <is>
          <t>0.5</t>
        </is>
      </c>
      <c r="G29">
        <f>IFERROR(VLOOKUP($A33&amp;"_"&amp;$B33,Results_Deltas!$A$2:$P$15000,5,FALSE),"")</f>
        <v/>
      </c>
      <c r="H29">
        <f>IFERROR(VLOOKUP($A33,Results_30d_Deltas!$A$2:$H$5000,7,FALSE)-E32,"")</f>
        <v/>
      </c>
      <c r="I29">
        <f>IFERROR(VLOOKUP($A33,Results_30d_Deltas!$A$2:$H$5000,6,FALSE),"")</f>
        <v/>
      </c>
      <c r="L29" t="inlineStr">
        <is>
          <t>NO</t>
        </is>
      </c>
      <c r="IK29" t="inlineStr">
        <is>
          <t>ez_manage.py:3153 top()</t>
        </is>
      </c>
      <c r="IL29" t="inlineStr">
        <is>
          <t>v12_quick_engine.py:591 x16</t>
        </is>
      </c>
    </row>
    <row r="30" ht="10.5" customHeight="1" s="67">
      <c r="A30" t="inlineStr">
        <is>
          <t>DELTA_PYRAMID_MAX</t>
        </is>
      </c>
      <c r="B30" t="inlineStr">
        <is>
          <t>1.0</t>
        </is>
      </c>
      <c r="G30">
        <f>IFERROR(VLOOKUP($A34&amp;"_"&amp;$B34,Results_Deltas!$A$2:$P$15000,5,FALSE),"")</f>
        <v/>
      </c>
      <c r="H30">
        <f>IFERROR(VLOOKUP($A34,Results_30d_Deltas!$A$2:$H$5000,7,FALSE)-E33,"")</f>
        <v/>
      </c>
      <c r="I30">
        <f>IFERROR(VLOOKUP($A34,Results_30d_Deltas!$A$2:$H$5000,6,FALSE),"")</f>
        <v/>
      </c>
      <c r="L30" t="inlineStr">
        <is>
          <t>NO</t>
        </is>
      </c>
      <c r="IK30" t="inlineStr">
        <is>
          <t>ez_manage.py:3153 top()</t>
        </is>
      </c>
      <c r="IL30" t="inlineStr">
        <is>
          <t>v12_quick_engine.py:591 x16</t>
        </is>
      </c>
    </row>
    <row r="31" ht="10.5" customHeight="1" s="67">
      <c r="A31" t="inlineStr">
        <is>
          <t>DELTA_PYRAMID_MAX</t>
        </is>
      </c>
      <c r="B31" t="inlineStr">
        <is>
          <t>2.0</t>
        </is>
      </c>
      <c r="G31">
        <f>IFERROR(VLOOKUP($A35&amp;"_"&amp;$B35,Results_Deltas!$A$2:$P$15000,5,FALSE),"")</f>
        <v/>
      </c>
      <c r="H31">
        <f>IFERROR(VLOOKUP($A35,Results_30d_Deltas!$A$2:$H$5000,7,FALSE)-E34,"")</f>
        <v/>
      </c>
      <c r="I31">
        <f>IFERROR(VLOOKUP($A35,Results_30d_Deltas!$A$2:$H$5000,6,FALSE),"")</f>
        <v/>
      </c>
      <c r="L31" t="inlineStr">
        <is>
          <t>NO</t>
        </is>
      </c>
      <c r="IK31" t="inlineStr">
        <is>
          <t>ez_manage.py:3153 top()</t>
        </is>
      </c>
      <c r="IL31" t="inlineStr">
        <is>
          <t>v12_quick_engine.py:591 x16</t>
        </is>
      </c>
    </row>
    <row r="32" ht="10.5" customHeight="1" s="67">
      <c r="A32" t="inlineStr">
        <is>
          <t>DELTA_PYRAMID_PRICE_TOL</t>
        </is>
      </c>
      <c r="B32" t="inlineStr">
        <is>
          <t>0</t>
        </is>
      </c>
      <c r="G32">
        <f>IFERROR(VLOOKUP($A36&amp;"_"&amp;$B36,Results_Deltas!$A$2:$P$15000,5,FALSE),"")</f>
        <v/>
      </c>
      <c r="H32">
        <f>IFERROR(VLOOKUP($A36,Results_30d_Deltas!$A$2:$H$5000,7,FALSE)-E35,"")</f>
        <v/>
      </c>
      <c r="I32">
        <f>IFERROR(VLOOKUP($A36,Results_30d_Deltas!$A$2:$H$5000,6,FALSE),"")</f>
        <v/>
      </c>
      <c r="L32" t="inlineStr">
        <is>
          <t>NO</t>
        </is>
      </c>
      <c r="IK32" t="inlineStr">
        <is>
          <t>ez_manage.py:3155 top()</t>
        </is>
      </c>
      <c r="IL32" t="inlineStr">
        <is>
          <t>v12_quick_engine.py:597 x16</t>
        </is>
      </c>
    </row>
    <row r="33" ht="10.5" customHeight="1" s="67">
      <c r="A33" t="inlineStr">
        <is>
          <t>DELTA_PYRAMID_PRICE_TOL</t>
        </is>
      </c>
      <c r="B33" t="inlineStr">
        <is>
          <t>0.5</t>
        </is>
      </c>
      <c r="G33">
        <f>IFERROR(VLOOKUP($A37&amp;"_"&amp;$B37,Results_Deltas!$A$2:$P$15000,5,FALSE),"")</f>
        <v/>
      </c>
      <c r="H33">
        <f>IFERROR(VLOOKUP($A37,Results_30d_Deltas!$A$2:$H$5000,7,FALSE)-E36,"")</f>
        <v/>
      </c>
      <c r="I33">
        <f>IFERROR(VLOOKUP($A37,Results_30d_Deltas!$A$2:$H$5000,6,FALSE),"")</f>
        <v/>
      </c>
      <c r="L33" t="inlineStr">
        <is>
          <t>NO</t>
        </is>
      </c>
      <c r="IK33" t="inlineStr">
        <is>
          <t>ez_manage.py:3155 top()</t>
        </is>
      </c>
      <c r="IL33" t="inlineStr">
        <is>
          <t>v12_quick_engine.py:597 x16</t>
        </is>
      </c>
    </row>
    <row r="34" ht="10.5" customHeight="1" s="67">
      <c r="A34" t="inlineStr">
        <is>
          <t>DELTA_PYRAMID_PRICE_TOL</t>
        </is>
      </c>
      <c r="B34" t="inlineStr">
        <is>
          <t>1.0</t>
        </is>
      </c>
      <c r="G34">
        <f>IFERROR(VLOOKUP($A38&amp;"_"&amp;$B38,Results_Deltas!$A$2:$P$15000,5,FALSE),"")</f>
        <v/>
      </c>
      <c r="H34">
        <f>IFERROR(VLOOKUP($A38,Results_30d_Deltas!$A$2:$H$5000,7,FALSE)-E37,"")</f>
        <v/>
      </c>
      <c r="I34">
        <f>IFERROR(VLOOKUP($A38,Results_30d_Deltas!$A$2:$H$5000,6,FALSE),"")</f>
        <v/>
      </c>
      <c r="L34" t="inlineStr">
        <is>
          <t>NO</t>
        </is>
      </c>
      <c r="IK34" t="inlineStr">
        <is>
          <t>ez_manage.py:3155 top()</t>
        </is>
      </c>
      <c r="IL34" t="inlineStr">
        <is>
          <t>v12_quick_engine.py:597 x16</t>
        </is>
      </c>
    </row>
    <row r="35" ht="10.5" customHeight="1" s="67">
      <c r="A35" t="inlineStr">
        <is>
          <t>DELTA_PYRAMID_PRICE_TOL</t>
        </is>
      </c>
      <c r="B35" t="inlineStr">
        <is>
          <t>2.0</t>
        </is>
      </c>
      <c r="G35">
        <f>IFERROR(VLOOKUP($A39&amp;"_"&amp;$B39,Results_Deltas!$A$2:$P$15000,5,FALSE),"")</f>
        <v/>
      </c>
      <c r="H35">
        <f>IFERROR(VLOOKUP($A39,Results_30d_Deltas!$A$2:$H$5000,7,FALSE)-E38,"")</f>
        <v/>
      </c>
      <c r="I35">
        <f>IFERROR(VLOOKUP($A39,Results_30d_Deltas!$A$2:$H$5000,6,FALSE),"")</f>
        <v/>
      </c>
      <c r="L35" t="inlineStr">
        <is>
          <t>NO</t>
        </is>
      </c>
      <c r="IK35" t="inlineStr">
        <is>
          <t>ez_manage.py:3155 top()</t>
        </is>
      </c>
      <c r="IL35" t="inlineStr">
        <is>
          <t>v12_quick_engine.py:597 x16</t>
        </is>
      </c>
    </row>
    <row r="36" ht="10.5" customHeight="1" s="67">
      <c r="A36" t="inlineStr">
        <is>
          <t>DYNAMIC_SCORE_AUGMENT_ENABLED</t>
        </is>
      </c>
      <c r="B36" t="inlineStr">
        <is>
          <t>False</t>
        </is>
      </c>
      <c r="G36">
        <f>IFERROR(VLOOKUP($A40&amp;"_"&amp;$B40,Results_Deltas!$A$2:$P$15000,5,FALSE),"")</f>
        <v/>
      </c>
      <c r="H36">
        <f>IFERROR(VLOOKUP($A40,Results_30d_Deltas!$A$2:$H$5000,7,FALSE)-E39,"")</f>
        <v/>
      </c>
      <c r="I36">
        <f>IFERROR(VLOOKUP($A40,Results_30d_Deltas!$A$2:$H$5000,6,FALSE),"")</f>
        <v/>
      </c>
      <c r="L36" t="inlineStr">
        <is>
          <t>NO</t>
        </is>
      </c>
      <c r="IK36" t="inlineStr">
        <is>
          <t>ez_manage.py:5978 top()</t>
        </is>
      </c>
      <c r="IL36" t="inlineStr">
        <is>
          <t>v12_quick_engine.py:983 x9</t>
        </is>
      </c>
    </row>
    <row r="37" ht="10.5" customHeight="1" s="67">
      <c r="A37" t="inlineStr">
        <is>
          <t>DYNAMIC_SCORE_AUGMENT_ENABLED</t>
        </is>
      </c>
      <c r="B37" t="b">
        <v>0</v>
      </c>
      <c r="G37">
        <f>IFERROR(VLOOKUP($A41&amp;"_"&amp;$B41,Results_Deltas!$A$2:$P$15000,5,FALSE),"")</f>
        <v/>
      </c>
      <c r="H37">
        <f>IFERROR(VLOOKUP($A41,Results_30d_Deltas!$A$2:$H$5000,7,FALSE)-E40,"")</f>
        <v/>
      </c>
      <c r="I37">
        <f>IFERROR(VLOOKUP($A41,Results_30d_Deltas!$A$2:$H$5000,6,FALSE),"")</f>
        <v/>
      </c>
      <c r="L37" t="inlineStr">
        <is>
          <t>YES</t>
        </is>
      </c>
      <c r="IK37" t="inlineStr">
        <is>
          <t>ez_manage.py:5978 top()</t>
        </is>
      </c>
      <c r="IL37" t="inlineStr">
        <is>
          <t>v12_quick_engine.py:983 x9</t>
        </is>
      </c>
    </row>
    <row r="38" ht="10.5" customHeight="1" s="67">
      <c r="A38" t="inlineStr">
        <is>
          <t>HIGH_GAIN_AUGMENTATION_MIN_SIZE</t>
        </is>
      </c>
      <c r="B38" t="inlineStr">
        <is>
          <t>0</t>
        </is>
      </c>
      <c r="G38">
        <f>IFERROR(VLOOKUP($A42&amp;"_"&amp;$B42,Results_Deltas!$A$2:$P$15000,5,FALSE),"")</f>
        <v/>
      </c>
      <c r="H38">
        <f>IFERROR(VLOOKUP($A42,Results_30d_Deltas!$A$2:$H$5000,7,FALSE)-E41,"")</f>
        <v/>
      </c>
      <c r="I38">
        <f>IFERROR(VLOOKUP($A42,Results_30d_Deltas!$A$2:$H$5000,6,FALSE),"")</f>
        <v/>
      </c>
      <c r="L38" t="inlineStr">
        <is>
          <t>NO</t>
        </is>
      </c>
      <c r="IK38" t="inlineStr">
        <is>
          <t>ez_manage.py:3366 top()</t>
        </is>
      </c>
      <c r="IL38" t="inlineStr">
        <is>
          <t>v12_quick_engine.py:2019 x10</t>
        </is>
      </c>
    </row>
    <row r="39" ht="10.5" customHeight="1" s="67">
      <c r="A39" t="inlineStr">
        <is>
          <t>HIGH_GAIN_AUGMENTATION_MIN_SIZE</t>
        </is>
      </c>
      <c r="B39" t="inlineStr">
        <is>
          <t>0.5</t>
        </is>
      </c>
      <c r="G39">
        <f>IFERROR(VLOOKUP($A43&amp;"_"&amp;$B43,Results_Deltas!$A$2:$P$15000,5,FALSE),"")</f>
        <v/>
      </c>
      <c r="H39">
        <f>IFERROR(VLOOKUP($A43,Results_30d_Deltas!$A$2:$H$5000,7,FALSE)-E42,"")</f>
        <v/>
      </c>
      <c r="I39">
        <f>IFERROR(VLOOKUP($A43,Results_30d_Deltas!$A$2:$H$5000,6,FALSE),"")</f>
        <v/>
      </c>
      <c r="L39" t="inlineStr">
        <is>
          <t>NO</t>
        </is>
      </c>
      <c r="IK39" t="inlineStr">
        <is>
          <t>ez_manage.py:3366 top()</t>
        </is>
      </c>
      <c r="IL39" t="inlineStr">
        <is>
          <t>v12_quick_engine.py:2019 x10</t>
        </is>
      </c>
    </row>
    <row r="40" ht="10.5" customHeight="1" s="67">
      <c r="A40" t="inlineStr">
        <is>
          <t>HIGH_GAIN_AUGMENTATION_MIN_SIZE</t>
        </is>
      </c>
      <c r="B40" t="inlineStr">
        <is>
          <t>1.0</t>
        </is>
      </c>
      <c r="G40">
        <f>IFERROR(VLOOKUP($A44&amp;"_"&amp;$B44,Results_Deltas!$A$2:$P$15000,5,FALSE),"")</f>
        <v/>
      </c>
      <c r="H40">
        <f>IFERROR(VLOOKUP($A44,Results_30d_Deltas!$A$2:$H$5000,7,FALSE)-E43,"")</f>
        <v/>
      </c>
      <c r="I40">
        <f>IFERROR(VLOOKUP($A44,Results_30d_Deltas!$A$2:$H$5000,6,FALSE),"")</f>
        <v/>
      </c>
      <c r="L40" t="inlineStr">
        <is>
          <t>NO</t>
        </is>
      </c>
      <c r="IK40" t="inlineStr">
        <is>
          <t>ez_manage.py:3366 top()</t>
        </is>
      </c>
      <c r="IL40" t="inlineStr">
        <is>
          <t>v12_quick_engine.py:2019 x10</t>
        </is>
      </c>
    </row>
    <row r="41" ht="10.5" customHeight="1" s="67">
      <c r="A41" t="inlineStr">
        <is>
          <t>HIGH_GAIN_AUGMENTATION_MIN_SIZE</t>
        </is>
      </c>
      <c r="B41" t="inlineStr">
        <is>
          <t>2.0</t>
        </is>
      </c>
      <c r="G41">
        <f>IFERROR(VLOOKUP($A45&amp;"_"&amp;$B45,Results_Deltas!$A$2:$P$15000,5,FALSE),"")</f>
        <v/>
      </c>
      <c r="H41">
        <f>IFERROR(VLOOKUP($A45,Results_30d_Deltas!$A$2:$H$5000,7,FALSE)-E44,"")</f>
        <v/>
      </c>
      <c r="I41">
        <f>IFERROR(VLOOKUP($A45,Results_30d_Deltas!$A$2:$H$5000,6,FALSE),"")</f>
        <v/>
      </c>
      <c r="L41" t="inlineStr">
        <is>
          <t>NO</t>
        </is>
      </c>
      <c r="IK41" t="inlineStr">
        <is>
          <t>ez_manage.py:3366 top()</t>
        </is>
      </c>
      <c r="IL41" t="inlineStr">
        <is>
          <t>v12_quick_engine.py:2019 x10</t>
        </is>
      </c>
    </row>
    <row r="42" ht="10.5" customHeight="1" s="67">
      <c r="A42" t="inlineStr">
        <is>
          <t>PYRAMID_MIN_WT_VEL_1H</t>
        </is>
      </c>
      <c r="B42" t="inlineStr">
        <is>
          <t>1.0</t>
        </is>
      </c>
      <c r="G42">
        <f>IFERROR(VLOOKUP($A46&amp;"_"&amp;$B46,Results_Deltas!$A$2:$P$15000,5,FALSE),"")</f>
        <v/>
      </c>
      <c r="H42">
        <f>IFERROR(VLOOKUP($A46,Results_30d_Deltas!$A$2:$H$5000,7,FALSE)-E45,"")</f>
        <v/>
      </c>
      <c r="I42">
        <f>IFERROR(VLOOKUP($A46,Results_30d_Deltas!$A$2:$H$5000,6,FALSE),"")</f>
        <v/>
      </c>
      <c r="L42" t="inlineStr">
        <is>
          <t>NO</t>
        </is>
      </c>
      <c r="IK42" t="inlineStr">
        <is>
          <t>ez_manage.py:5196 top()</t>
        </is>
      </c>
      <c r="IL42" t="inlineStr">
        <is>
          <t>v12_quick_engine.py:2727 x10</t>
        </is>
      </c>
    </row>
    <row r="43" ht="10.5" customHeight="1" s="67">
      <c r="A43" t="inlineStr">
        <is>
          <t>PYRAMID_MIN_WT_VEL_1H</t>
        </is>
      </c>
      <c r="B43" t="inlineStr">
        <is>
          <t>1.5</t>
        </is>
      </c>
      <c r="G43">
        <f>IFERROR(VLOOKUP($A47&amp;"_"&amp;$B47,Results_Deltas!$A$2:$P$15000,5,FALSE),"")</f>
        <v/>
      </c>
      <c r="H43">
        <f>IFERROR(VLOOKUP($A47,Results_30d_Deltas!$A$2:$H$5000,7,FALSE)-E46,"")</f>
        <v/>
      </c>
      <c r="I43">
        <f>IFERROR(VLOOKUP($A47,Results_30d_Deltas!$A$2:$H$5000,6,FALSE),"")</f>
        <v/>
      </c>
      <c r="L43" t="inlineStr">
        <is>
          <t>NO</t>
        </is>
      </c>
      <c r="IK43" t="inlineStr">
        <is>
          <t>ez_manage.py:5196 top()</t>
        </is>
      </c>
      <c r="IL43" t="inlineStr">
        <is>
          <t>v12_quick_engine.py:2727 x10</t>
        </is>
      </c>
    </row>
    <row r="44" ht="10.5" customHeight="1" s="67">
      <c r="A44" t="inlineStr">
        <is>
          <t>PYRAMID_MIN_WT_VEL_1H</t>
        </is>
      </c>
      <c r="B44" t="inlineStr">
        <is>
          <t>2.0</t>
        </is>
      </c>
      <c r="G44">
        <f>IFERROR(VLOOKUP($A48&amp;"_"&amp;$B48,Results_Deltas!$A$2:$P$15000,5,FALSE),"")</f>
        <v/>
      </c>
      <c r="H44">
        <f>IFERROR(VLOOKUP($A48,Results_30d_Deltas!$A$2:$H$5000,7,FALSE)-E47,"")</f>
        <v/>
      </c>
      <c r="I44">
        <f>IFERROR(VLOOKUP($A48,Results_30d_Deltas!$A$2:$H$5000,6,FALSE),"")</f>
        <v/>
      </c>
      <c r="L44" t="inlineStr">
        <is>
          <t>YES</t>
        </is>
      </c>
      <c r="IK44" t="inlineStr">
        <is>
          <t>ez_manage.py:5196 top()</t>
        </is>
      </c>
      <c r="IL44" t="inlineStr">
        <is>
          <t>v12_quick_engine.py:2727 x10</t>
        </is>
      </c>
    </row>
    <row r="45" ht="10.5" customHeight="1" s="67">
      <c r="A45" t="inlineStr">
        <is>
          <t>PYRAMID_MIN_WT_VEL_1H</t>
        </is>
      </c>
      <c r="B45" t="inlineStr">
        <is>
          <t>2.5</t>
        </is>
      </c>
      <c r="G45">
        <f>IFERROR(VLOOKUP($A49&amp;"_"&amp;$B49,Results_Deltas!$A$2:$P$15000,5,FALSE),"")</f>
        <v/>
      </c>
      <c r="H45">
        <f>IFERROR(VLOOKUP($A49,Results_30d_Deltas!$A$2:$H$5000,7,FALSE)-E48,"")</f>
        <v/>
      </c>
      <c r="I45">
        <f>IFERROR(VLOOKUP($A49,Results_30d_Deltas!$A$2:$H$5000,6,FALSE),"")</f>
        <v/>
      </c>
      <c r="L45" t="inlineStr">
        <is>
          <t>NO</t>
        </is>
      </c>
      <c r="IK45" t="inlineStr">
        <is>
          <t>ez_manage.py:5196 top()</t>
        </is>
      </c>
      <c r="IL45" t="inlineStr">
        <is>
          <t>v12_quick_engine.py:2727 x10</t>
        </is>
      </c>
    </row>
    <row r="46" ht="10.5" customHeight="1" s="67">
      <c r="A46" t="inlineStr">
        <is>
          <t>PYRAMID_MIN_WT_VEL_1H</t>
        </is>
      </c>
      <c r="B46" t="inlineStr">
        <is>
          <t>3.0</t>
        </is>
      </c>
      <c r="G46">
        <f>IFERROR(VLOOKUP($A50&amp;"_"&amp;$B50,Results_Deltas!$A$2:$P$15000,5,FALSE),"")</f>
        <v/>
      </c>
      <c r="H46">
        <f>IFERROR(VLOOKUP($A50,Results_30d_Deltas!$A$2:$H$5000,7,FALSE)-E49,"")</f>
        <v/>
      </c>
      <c r="I46">
        <f>IFERROR(VLOOKUP($A50,Results_30d_Deltas!$A$2:$H$5000,6,FALSE),"")</f>
        <v/>
      </c>
      <c r="L46" t="inlineStr">
        <is>
          <t>NO</t>
        </is>
      </c>
      <c r="IK46" t="inlineStr">
        <is>
          <t>ez_manage.py:5196 top()</t>
        </is>
      </c>
      <c r="IL46" t="inlineStr">
        <is>
          <t>v12_quick_engine.py:2727 x10</t>
        </is>
      </c>
    </row>
    <row r="47" ht="10.5" customHeight="1" s="67">
      <c r="A47" t="inlineStr">
        <is>
          <t>SCALP_V3_AUG_BE_STOP_ENABLED</t>
        </is>
      </c>
      <c r="B47" t="inlineStr">
        <is>
          <t>False</t>
        </is>
      </c>
      <c r="G47">
        <f>IFERROR(VLOOKUP($A51&amp;"_"&amp;$B51,Results_Deltas!$A$2:$P$15000,5,FALSE),"")</f>
        <v/>
      </c>
      <c r="H47">
        <f>IFERROR(VLOOKUP($A51,Results_30d_Deltas!$A$2:$H$5000,7,FALSE)-E50,"")</f>
        <v/>
      </c>
      <c r="I47">
        <f>IFERROR(VLOOKUP($A51,Results_30d_Deltas!$A$2:$H$5000,6,FALSE),"")</f>
        <v/>
      </c>
      <c r="L47" t="inlineStr">
        <is>
          <t>NO</t>
        </is>
      </c>
      <c r="IK47" t="inlineStr">
        <is>
          <t>ez_manage.py:5494 top()</t>
        </is>
      </c>
      <c r="IL47" t="inlineStr">
        <is>
          <t>v12_quick_engine.py:3136 x8</t>
        </is>
      </c>
    </row>
    <row r="48" ht="10.5" customHeight="1" s="67">
      <c r="A48" t="inlineStr">
        <is>
          <t>SCALP_V3_AUG_BE_STOP_ENABLED</t>
        </is>
      </c>
      <c r="B48" t="b">
        <v>0</v>
      </c>
      <c r="G48">
        <f>IFERROR(VLOOKUP($A52&amp;"_"&amp;$B52,Results_Deltas!$A$2:$P$15000,5,FALSE),"")</f>
        <v/>
      </c>
      <c r="H48">
        <f>IFERROR(VLOOKUP($A52,Results_30d_Deltas!$A$2:$H$5000,7,FALSE)-E51,"")</f>
        <v/>
      </c>
      <c r="I48">
        <f>IFERROR(VLOOKUP($A52,Results_30d_Deltas!$A$2:$H$5000,6,FALSE),"")</f>
        <v/>
      </c>
      <c r="L48" t="inlineStr">
        <is>
          <t>YES</t>
        </is>
      </c>
      <c r="IK48" t="inlineStr">
        <is>
          <t>ez_manage.py:5494 top()</t>
        </is>
      </c>
      <c r="IL48" t="inlineStr">
        <is>
          <t>v12_quick_engine.py:3136 x8</t>
        </is>
      </c>
    </row>
    <row r="49" ht="10.5" customHeight="1" s="67">
      <c r="A49" t="inlineStr">
        <is>
          <t>SCALP_V3_AUG_BE_STOP_PCT</t>
        </is>
      </c>
      <c r="B49" t="inlineStr">
        <is>
          <t>0</t>
        </is>
      </c>
      <c r="G49">
        <f>IFERROR(VLOOKUP($A53&amp;"_"&amp;$B53,Results_Deltas!$A$2:$P$15000,5,FALSE),"")</f>
        <v/>
      </c>
      <c r="H49">
        <f>IFERROR(VLOOKUP($A53,Results_30d_Deltas!$A$2:$H$5000,7,FALSE)-E52,"")</f>
        <v/>
      </c>
      <c r="I49">
        <f>IFERROR(VLOOKUP($A53,Results_30d_Deltas!$A$2:$H$5000,6,FALSE),"")</f>
        <v/>
      </c>
      <c r="L49" t="inlineStr">
        <is>
          <t>NO</t>
        </is>
      </c>
      <c r="IK49" t="inlineStr">
        <is>
          <t>ez_manage.py:5495 top()</t>
        </is>
      </c>
      <c r="IL49" t="inlineStr">
        <is>
          <t>v12_quick_engine.py:4074 x7</t>
        </is>
      </c>
    </row>
    <row r="50" ht="10.5" customHeight="1" s="67">
      <c r="A50" t="inlineStr">
        <is>
          <t>SCALP_V3_AUG_BE_STOP_PCT</t>
        </is>
      </c>
      <c r="B50" t="inlineStr">
        <is>
          <t>0.5</t>
        </is>
      </c>
      <c r="G50">
        <f>IFERROR(VLOOKUP($A54&amp;"_"&amp;$B54,Results_Deltas!$A$2:$P$15000,5,FALSE),"")</f>
        <v/>
      </c>
      <c r="H50">
        <f>IFERROR(VLOOKUP($A54,Results_30d_Deltas!$A$2:$H$5000,7,FALSE)-E53,"")</f>
        <v/>
      </c>
      <c r="I50">
        <f>IFERROR(VLOOKUP($A54,Results_30d_Deltas!$A$2:$H$5000,6,FALSE),"")</f>
        <v/>
      </c>
      <c r="L50" t="inlineStr">
        <is>
          <t>YES</t>
        </is>
      </c>
      <c r="IK50" t="inlineStr">
        <is>
          <t>ez_manage.py:5495 top()</t>
        </is>
      </c>
      <c r="IL50" t="inlineStr">
        <is>
          <t>v12_quick_engine.py:4074 x7</t>
        </is>
      </c>
    </row>
    <row r="51" ht="10.5" customHeight="1" s="67">
      <c r="A51" t="inlineStr">
        <is>
          <t>SCALP_V3_AUG_BE_STOP_PCT</t>
        </is>
      </c>
      <c r="B51" t="inlineStr">
        <is>
          <t>1.0</t>
        </is>
      </c>
      <c r="G51">
        <f>IFERROR(VLOOKUP($A55&amp;"_"&amp;$B55,Results_Deltas!$A$2:$P$15000,5,FALSE),"")</f>
        <v/>
      </c>
      <c r="H51">
        <f>IFERROR(VLOOKUP($A55,Results_30d_Deltas!$A$2:$H$5000,7,FALSE)-E54,"")</f>
        <v/>
      </c>
      <c r="I51">
        <f>IFERROR(VLOOKUP($A55,Results_30d_Deltas!$A$2:$H$5000,6,FALSE),"")</f>
        <v/>
      </c>
      <c r="L51" t="inlineStr">
        <is>
          <t>NO</t>
        </is>
      </c>
      <c r="IK51" t="inlineStr">
        <is>
          <t>ez_manage.py:5495 top()</t>
        </is>
      </c>
      <c r="IL51" t="inlineStr">
        <is>
          <t>v12_quick_engine.py:4074 x7</t>
        </is>
      </c>
    </row>
    <row r="52" ht="10.5" customHeight="1" s="67">
      <c r="A52" t="inlineStr">
        <is>
          <t>SCALP_V3_AUG_BE_STOP_PCT</t>
        </is>
      </c>
      <c r="B52" t="inlineStr">
        <is>
          <t>2.0</t>
        </is>
      </c>
      <c r="G52">
        <f>IFERROR(VLOOKUP($A56&amp;"_"&amp;$B56,Results_Deltas!$A$2:$P$15000,5,FALSE),"")</f>
        <v/>
      </c>
      <c r="H52">
        <f>IFERROR(VLOOKUP($A56,Results_30d_Deltas!$A$2:$H$5000,7,FALSE)-E55,"")</f>
        <v/>
      </c>
      <c r="I52">
        <f>IFERROR(VLOOKUP($A56,Results_30d_Deltas!$A$2:$H$5000,6,FALSE),"")</f>
        <v/>
      </c>
      <c r="L52" t="inlineStr">
        <is>
          <t>NO</t>
        </is>
      </c>
      <c r="IK52" t="inlineStr">
        <is>
          <t>ez_manage.py:5495 top()</t>
        </is>
      </c>
      <c r="IL52" t="inlineStr">
        <is>
          <t>v12_quick_engine.py:4074 x7</t>
        </is>
      </c>
    </row>
    <row r="53" ht="10.5" customHeight="1" s="67">
      <c r="A53" t="inlineStr">
        <is>
          <t>UNIVERSAL_AUGMENT_GAIN_GATE_ENABLED</t>
        </is>
      </c>
      <c r="B53" t="inlineStr">
        <is>
          <t>False</t>
        </is>
      </c>
      <c r="G53">
        <f>IFERROR(VLOOKUP($A57&amp;"_"&amp;$B57,Results_Deltas!$A$2:$P$15000,5,FALSE),"")</f>
        <v/>
      </c>
      <c r="H53">
        <f>IFERROR(VLOOKUP($A57,Results_30d_Deltas!$A$2:$H$5000,7,FALSE)-E56,"")</f>
        <v/>
      </c>
      <c r="I53">
        <f>IFERROR(VLOOKUP($A57,Results_30d_Deltas!$A$2:$H$5000,6,FALSE),"")</f>
        <v/>
      </c>
      <c r="L53" t="inlineStr">
        <is>
          <t>NO</t>
        </is>
      </c>
      <c r="IK53" t="inlineStr">
        <is>
          <t>ez_manage.py:5804 top()</t>
        </is>
      </c>
      <c r="IL53" t="inlineStr">
        <is>
          <t>v12_quick_engine.py:3581 x3</t>
        </is>
      </c>
    </row>
    <row r="54" ht="10.5" customHeight="1" s="67">
      <c r="A54" t="inlineStr">
        <is>
          <t>UNIVERSAL_AUGMENT_GAIN_GATE_ENABLED</t>
        </is>
      </c>
      <c r="B54" t="b">
        <v>0</v>
      </c>
      <c r="G54">
        <f>IFERROR(VLOOKUP($A58&amp;"_"&amp;$B58,Results_Deltas!$A$2:$P$15000,5,FALSE),"")</f>
        <v/>
      </c>
      <c r="H54">
        <f>IFERROR(VLOOKUP($A58,Results_30d_Deltas!$A$2:$H$5000,7,FALSE)-E57,"")</f>
        <v/>
      </c>
      <c r="I54">
        <f>IFERROR(VLOOKUP($A58,Results_30d_Deltas!$A$2:$H$5000,6,FALSE),"")</f>
        <v/>
      </c>
      <c r="L54" t="inlineStr">
        <is>
          <t>YES</t>
        </is>
      </c>
      <c r="IK54" t="inlineStr">
        <is>
          <t>ez_manage.py:5804 top()</t>
        </is>
      </c>
      <c r="IL54" t="inlineStr">
        <is>
          <t>v12_quick_engine.py:3581 x3</t>
        </is>
      </c>
    </row>
    <row r="55" ht="10.5" customHeight="1" s="67">
      <c r="A55" t="inlineStr">
        <is>
          <t>ADX_RANGING_THRESHOLD</t>
        </is>
      </c>
      <c r="B55" t="inlineStr">
        <is>
          <t>20</t>
        </is>
      </c>
      <c r="D55" t="inlineStr">
        <is>
          <t>ENTRY, GLOBAL_CHECK, STOCKS_EXIT</t>
        </is>
      </c>
      <c r="G55">
        <f>IFERROR(VLOOKUP($A59&amp;"_"&amp;$B59,Results_Deltas!$A$2:$P$15000,5,FALSE),"")</f>
        <v/>
      </c>
      <c r="H55" t="inlineStr">
        <is>
          <t>Blanket (page end)</t>
        </is>
      </c>
      <c r="L55" t="inlineStr">
        <is>
          <t>NO</t>
        </is>
      </c>
    </row>
    <row r="56" ht="10.5" customHeight="1" s="67">
      <c r="A56" t="inlineStr">
        <is>
          <t>ADX_RANGING_THRESHOLD</t>
        </is>
      </c>
      <c r="B56" t="inlineStr">
        <is>
          <t>25</t>
        </is>
      </c>
      <c r="D56" t="inlineStr">
        <is>
          <t>ENTRY, GLOBAL_CHECK, STOCKS_EXIT</t>
        </is>
      </c>
      <c r="G56">
        <f>IFERROR(VLOOKUP($A60&amp;"_"&amp;$B60,Results_Deltas!$A$2:$P$15000,5,FALSE),"")</f>
        <v/>
      </c>
      <c r="H56" t="inlineStr">
        <is>
          <t>Blanket (page end)</t>
        </is>
      </c>
      <c r="L56" t="inlineStr">
        <is>
          <t>NO</t>
        </is>
      </c>
    </row>
    <row r="57" ht="10.5" customHeight="1" s="67">
      <c r="A57" t="inlineStr">
        <is>
          <t>ADX_RANGING_THRESHOLD</t>
        </is>
      </c>
      <c r="B57" t="inlineStr">
        <is>
          <t>15</t>
        </is>
      </c>
      <c r="D57" t="inlineStr">
        <is>
          <t>ENTRY, GLOBAL_CHECK, STOCKS_EXIT</t>
        </is>
      </c>
      <c r="G57">
        <f>IFERROR(VLOOKUP($A61&amp;"_"&amp;$B61,Results_Deltas!$A$2:$P$15000,5,FALSE),"")</f>
        <v/>
      </c>
      <c r="H57" t="inlineStr">
        <is>
          <t>Blanket (page end)</t>
        </is>
      </c>
      <c r="L57" t="inlineStr">
        <is>
          <t>NO</t>
        </is>
      </c>
    </row>
    <row r="58" ht="10.5" customHeight="1" s="67">
      <c r="A58" t="inlineStr">
        <is>
          <t>ADX_RANGING_THRESHOLD</t>
        </is>
      </c>
      <c r="B58" t="n">
        <v>20</v>
      </c>
      <c r="D58" t="inlineStr">
        <is>
          <t>ENTRY, GLOBAL_CHECK, STOCKS_EXIT</t>
        </is>
      </c>
      <c r="G58">
        <f>IFERROR(VLOOKUP($A62&amp;"_"&amp;$B62,Results_Deltas!$A$2:$P$15000,5,FALSE),"")</f>
        <v/>
      </c>
      <c r="H58" t="inlineStr">
        <is>
          <t>Blanket (page end)</t>
        </is>
      </c>
      <c r="L58" t="inlineStr">
        <is>
          <t>YES</t>
        </is>
      </c>
    </row>
    <row r="59" ht="15.75" customHeight="1" s="67">
      <c r="A59" t="inlineStr">
        <is>
          <t>BANDAID_OFF_LOSER_RECOVER_PCT</t>
        </is>
      </c>
      <c r="B59" t="inlineStr">
        <is>
          <t>0</t>
        </is>
      </c>
      <c r="D59" t="inlineStr">
        <is>
          <t>AUGMENT, ENTRY, EXIT, GLOBAL_CHECK, REDUCE, STOCKS_EXIT</t>
        </is>
      </c>
      <c r="G59">
        <f>IFERROR(VLOOKUP($A63&amp;"_"&amp;$B63,Results_Deltas!$A$2:$P$15000,5,FALSE),"")</f>
        <v/>
      </c>
      <c r="H59" t="inlineStr">
        <is>
          <t>Blanket (page end)</t>
        </is>
      </c>
      <c r="L59" t="inlineStr">
        <is>
          <t>NO</t>
        </is>
      </c>
    </row>
    <row r="60" ht="15.75" customHeight="1" s="67">
      <c r="A60" t="inlineStr">
        <is>
          <t>BANDAID_OFF_LOSER_RECOVER_PCT</t>
        </is>
      </c>
      <c r="B60" t="inlineStr">
        <is>
          <t>2.0</t>
        </is>
      </c>
      <c r="D60" t="inlineStr">
        <is>
          <t>AUGMENT, ENTRY, EXIT, GLOBAL_CHECK, REDUCE, STOCKS_EXIT</t>
        </is>
      </c>
      <c r="G60">
        <f>IFERROR(VLOOKUP($A64&amp;"_"&amp;$B64,Results_Deltas!$A$2:$P$15000,5,FALSE),"")</f>
        <v/>
      </c>
      <c r="H60" t="inlineStr">
        <is>
          <t>Blanket (page end)</t>
        </is>
      </c>
      <c r="L60" t="inlineStr">
        <is>
          <t>NO</t>
        </is>
      </c>
    </row>
    <row r="61" ht="15.75" customHeight="1" s="67">
      <c r="A61" t="inlineStr">
        <is>
          <t>BANDAID_OFF_LOSER_RECOVER_PCT</t>
        </is>
      </c>
      <c r="B61" t="inlineStr">
        <is>
          <t>1.0</t>
        </is>
      </c>
      <c r="D61" t="inlineStr">
        <is>
          <t>AUGMENT, ENTRY, EXIT, GLOBAL_CHECK, REDUCE, STOCKS_EXIT</t>
        </is>
      </c>
      <c r="G61">
        <f>IFERROR(VLOOKUP($A65&amp;"_"&amp;$B65,Results_Deltas!$A$2:$P$15000,5,FALSE),"")</f>
        <v/>
      </c>
      <c r="H61" t="inlineStr">
        <is>
          <t>Blanket (page end)</t>
        </is>
      </c>
      <c r="L61" t="inlineStr">
        <is>
          <t>NO</t>
        </is>
      </c>
    </row>
    <row r="62" ht="15.75" customHeight="1" s="67">
      <c r="A62" t="inlineStr">
        <is>
          <t>BANDAID_OFF_LOSER_RECOVER_PCT</t>
        </is>
      </c>
      <c r="B62" t="inlineStr">
        <is>
          <t>0.5</t>
        </is>
      </c>
      <c r="D62" t="inlineStr">
        <is>
          <t>AUGMENT, ENTRY, EXIT, GLOBAL_CHECK, REDUCE, STOCKS_EXIT</t>
        </is>
      </c>
      <c r="G62">
        <f>IFERROR(VLOOKUP($A66&amp;"_"&amp;$B66,Results_Deltas!$A$2:$P$15000,5,FALSE),"")</f>
        <v/>
      </c>
      <c r="H62" t="inlineStr">
        <is>
          <t>Blanket (page end)</t>
        </is>
      </c>
      <c r="L62" t="inlineStr">
        <is>
          <t>NO</t>
        </is>
      </c>
    </row>
    <row r="63" ht="15.75" customHeight="1" s="67">
      <c r="A63" t="inlineStr">
        <is>
          <t>BAND_ARROW_ENABLED</t>
        </is>
      </c>
      <c r="B63" t="inlineStr">
        <is>
          <t>False</t>
        </is>
      </c>
      <c r="D63" t="inlineStr">
        <is>
          <t>GLOBAL_CHECK, STOCKS_EXIT</t>
        </is>
      </c>
      <c r="G63">
        <f>IFERROR(VLOOKUP($A67&amp;"_"&amp;$B67,Results_Deltas!$A$2:$P$15000,5,FALSE),"")</f>
        <v/>
      </c>
      <c r="H63" t="inlineStr">
        <is>
          <t>Blanket (page end)</t>
        </is>
      </c>
      <c r="L63" t="inlineStr">
        <is>
          <t>YES</t>
        </is>
      </c>
    </row>
    <row r="64" ht="15.75" customHeight="1" s="67">
      <c r="A64" t="inlineStr">
        <is>
          <t>BAND_ARROW_ENABLED</t>
        </is>
      </c>
      <c r="B64" t="inlineStr">
        <is>
          <t>True</t>
        </is>
      </c>
      <c r="D64" t="inlineStr">
        <is>
          <t>GLOBAL_CHECK, STOCKS_EXIT</t>
        </is>
      </c>
      <c r="G64">
        <f>IFERROR(VLOOKUP($A68&amp;"_"&amp;$B68,Results_Deltas!$A$2:$P$15000,5,FALSE),"")</f>
        <v/>
      </c>
      <c r="H64" t="inlineStr">
        <is>
          <t>Blanket (page end)</t>
        </is>
      </c>
      <c r="L64" t="inlineStr">
        <is>
          <t>NO</t>
        </is>
      </c>
    </row>
    <row r="65" ht="15.75" customHeight="1" s="67">
      <c r="A65" t="inlineStr">
        <is>
          <t>COOLDOWN_LOCKS_FILTER_TF</t>
        </is>
      </c>
      <c r="B65" t="inlineStr">
        <is>
          <t>OFF</t>
        </is>
      </c>
      <c r="D65" t="inlineStr">
        <is>
          <t>GLOBAL_CHECK</t>
        </is>
      </c>
      <c r="G65">
        <f>IFERROR(VLOOKUP($A69&amp;"_"&amp;$B69,Results_Deltas!$A$2:$P$15000,5,FALSE),"")</f>
        <v/>
      </c>
      <c r="H65" t="inlineStr">
        <is>
          <t>Blanket (page end)</t>
        </is>
      </c>
      <c r="L65" t="inlineStr">
        <is>
          <t>NO</t>
        </is>
      </c>
    </row>
    <row r="66" ht="15.75" customHeight="1" s="67">
      <c r="A66" t="inlineStr">
        <is>
          <t>COOLDOWN_LOCKS_FILTER_TF</t>
        </is>
      </c>
      <c r="B66" t="inlineStr">
        <is>
          <t>D</t>
        </is>
      </c>
      <c r="D66" t="inlineStr">
        <is>
          <t>GLOBAL_CHECK</t>
        </is>
      </c>
      <c r="G66">
        <f>IFERROR(VLOOKUP($A70&amp;"_"&amp;$B70,Results_Deltas!$A$2:$P$15000,5,FALSE),"")</f>
        <v/>
      </c>
      <c r="H66" t="inlineStr">
        <is>
          <t>Blanket (page end)</t>
        </is>
      </c>
      <c r="L66" t="inlineStr">
        <is>
          <t>NO</t>
        </is>
      </c>
    </row>
    <row r="67" ht="15.75" customHeight="1" s="67">
      <c r="A67" t="inlineStr">
        <is>
          <t>COOLDOWN_LOCKS_FILTER_TF</t>
        </is>
      </c>
      <c r="B67" t="inlineStr">
        <is>
          <t>4h</t>
        </is>
      </c>
      <c r="D67" t="inlineStr">
        <is>
          <t>GLOBAL_CHECK</t>
        </is>
      </c>
      <c r="G67">
        <f>IFERROR(VLOOKUP($A71&amp;"_"&amp;$B71,Results_Deltas!$A$2:$P$15000,5,FALSE),"")</f>
        <v/>
      </c>
      <c r="H67" t="inlineStr">
        <is>
          <t>Blanket (page end)</t>
        </is>
      </c>
      <c r="L67" t="inlineStr">
        <is>
          <t>NO</t>
        </is>
      </c>
    </row>
    <row r="68" ht="15.75" customHeight="1" s="67">
      <c r="A68" t="inlineStr">
        <is>
          <t>COOLDOWN_LOCKS_FILTER_TF</t>
        </is>
      </c>
      <c r="B68" t="inlineStr">
        <is>
          <t>1h</t>
        </is>
      </c>
      <c r="D68" t="inlineStr">
        <is>
          <t>GLOBAL_CHECK</t>
        </is>
      </c>
      <c r="G68">
        <f>IFERROR(VLOOKUP($A72&amp;"_"&amp;$B72,Results_Deltas!$A$2:$P$15000,5,FALSE),"")</f>
        <v/>
      </c>
      <c r="H68" t="inlineStr">
        <is>
          <t>Blanket (page end)</t>
        </is>
      </c>
      <c r="L68" t="inlineStr">
        <is>
          <t>NO</t>
        </is>
      </c>
    </row>
    <row r="69" ht="15.75" customHeight="1" s="67">
      <c r="A69" t="inlineStr">
        <is>
          <t>COOLDOWN_LOCKS_FILTER_TF</t>
        </is>
      </c>
      <c r="B69" t="inlineStr">
        <is>
          <t>15m</t>
        </is>
      </c>
      <c r="D69" t="inlineStr">
        <is>
          <t>GLOBAL_CHECK</t>
        </is>
      </c>
      <c r="G69">
        <f>IFERROR(VLOOKUP($A73&amp;"_"&amp;$B73,Results_Deltas!$A$2:$P$15000,5,FALSE),"")</f>
        <v/>
      </c>
      <c r="H69" t="inlineStr">
        <is>
          <t>Blanket (page end)</t>
        </is>
      </c>
      <c r="L69" t="inlineStr">
        <is>
          <t>NO</t>
        </is>
      </c>
    </row>
    <row r="70" ht="15.75" customHeight="1" s="67">
      <c r="A70" t="inlineStr">
        <is>
          <t>CRYPTO_SPIKE_FADE_THRESHOLD_PCT</t>
        </is>
      </c>
      <c r="B70" t="n">
        <v>0</v>
      </c>
      <c r="D70" t="inlineStr">
        <is>
          <t>GLOBAL_CHECK, STOCKS_EXIT</t>
        </is>
      </c>
      <c r="G70">
        <f>IFERROR(VLOOKUP($A74&amp;"_"&amp;$B74,Results_Deltas!$A$2:$P$15000,5,FALSE),"")</f>
        <v/>
      </c>
      <c r="H70" t="inlineStr">
        <is>
          <t>Blanket (page end)</t>
        </is>
      </c>
      <c r="L70" t="inlineStr">
        <is>
          <t>NO</t>
        </is>
      </c>
    </row>
    <row r="71" ht="15.75" customHeight="1" s="67">
      <c r="A71" t="inlineStr">
        <is>
          <t>CRYPTO_SPIKE_FADE_THRESHOLD_PCT</t>
        </is>
      </c>
      <c r="B71" t="inlineStr">
        <is>
          <t>12.5</t>
        </is>
      </c>
      <c r="D71" t="inlineStr">
        <is>
          <t>GLOBAL_CHECK, STOCKS_EXIT</t>
        </is>
      </c>
      <c r="G71">
        <f>IFERROR(VLOOKUP($A75&amp;"_"&amp;$B75,Results_Deltas!$A$2:$P$15000,5,FALSE),"")</f>
        <v/>
      </c>
      <c r="H71" t="inlineStr">
        <is>
          <t>Blanket (page end)</t>
        </is>
      </c>
      <c r="L71" t="inlineStr">
        <is>
          <t>NO</t>
        </is>
      </c>
    </row>
    <row r="72" ht="15.75" customHeight="1" s="67">
      <c r="A72" t="inlineStr">
        <is>
          <t>CRYPTO_SPIKE_FADE_THRESHOLD_PCT</t>
        </is>
      </c>
      <c r="B72" t="inlineStr">
        <is>
          <t>7.5</t>
        </is>
      </c>
      <c r="D72" t="inlineStr">
        <is>
          <t>GLOBAL_CHECK, STOCKS_EXIT</t>
        </is>
      </c>
      <c r="G72">
        <f>IFERROR(VLOOKUP($A76&amp;"_"&amp;$B76,Results_Deltas!$A$2:$P$15000,5,FALSE),"")</f>
        <v/>
      </c>
      <c r="H72" t="inlineStr">
        <is>
          <t>Blanket (page end)</t>
        </is>
      </c>
      <c r="L72" t="inlineStr">
        <is>
          <t>NO</t>
        </is>
      </c>
    </row>
    <row r="73" ht="15.75" customHeight="1" s="67">
      <c r="A73" t="inlineStr">
        <is>
          <t>CRYPTO_SPIKE_FADE_THRESHOLD_PCT</t>
        </is>
      </c>
      <c r="B73" t="inlineStr">
        <is>
          <t>5</t>
        </is>
      </c>
      <c r="D73" t="inlineStr">
        <is>
          <t>GLOBAL_CHECK, STOCKS_EXIT</t>
        </is>
      </c>
      <c r="G73">
        <f>IFERROR(VLOOKUP($A77&amp;"_"&amp;$B77,Results_Deltas!$A$2:$P$15000,5,FALSE),"")</f>
        <v/>
      </c>
      <c r="H73" t="inlineStr">
        <is>
          <t>Blanket (page end)</t>
        </is>
      </c>
      <c r="L73" t="inlineStr">
        <is>
          <t>NO</t>
        </is>
      </c>
    </row>
    <row r="74" ht="15.75" customHeight="1" s="67">
      <c r="A74" t="inlineStr">
        <is>
          <t>DC_MOMENT_STRONG_THRESHOLD</t>
        </is>
      </c>
      <c r="B74" t="n">
        <v>0</v>
      </c>
      <c r="D74" t="inlineStr">
        <is>
          <t>ENTRY, GLOBAL_CHECK, STOCKS_EXIT</t>
        </is>
      </c>
      <c r="G74">
        <f>IFERROR(VLOOKUP($A78&amp;"_"&amp;$B78,Results_Deltas!$A$2:$P$15000,5,FALSE),"")</f>
        <v/>
      </c>
      <c r="H74" t="inlineStr">
        <is>
          <t>Blanket (page end)</t>
        </is>
      </c>
      <c r="L74" t="inlineStr">
        <is>
          <t>YES</t>
        </is>
      </c>
    </row>
    <row r="75" ht="15.75" customHeight="1" s="67">
      <c r="A75" t="inlineStr">
        <is>
          <t>DC_MOMENT_STRONG_THRESHOLD</t>
        </is>
      </c>
      <c r="B75" t="inlineStr">
        <is>
          <t>50</t>
        </is>
      </c>
      <c r="D75" t="inlineStr">
        <is>
          <t>ENTRY, GLOBAL_CHECK, STOCKS_EXIT</t>
        </is>
      </c>
      <c r="G75">
        <f>IFERROR(VLOOKUP($A79&amp;"_"&amp;$B79,Results_Deltas!$A$2:$P$15000,5,FALSE),"")</f>
        <v/>
      </c>
      <c r="H75" t="inlineStr">
        <is>
          <t>Blanket (page end)</t>
        </is>
      </c>
      <c r="L75" t="inlineStr">
        <is>
          <t>YES</t>
        </is>
      </c>
    </row>
    <row r="76" ht="15.75" customHeight="1" s="67">
      <c r="A76" t="inlineStr">
        <is>
          <t>DC_MOMENT_STRONG_THRESHOLD</t>
        </is>
      </c>
      <c r="B76" t="inlineStr">
        <is>
          <t>30</t>
        </is>
      </c>
      <c r="D76" t="inlineStr">
        <is>
          <t>ENTRY, GLOBAL_CHECK, STOCKS_EXIT</t>
        </is>
      </c>
      <c r="G76">
        <f>IFERROR(VLOOKUP($A80&amp;"_"&amp;$B80,Results_Deltas!$A$2:$P$15000,5,FALSE),"")</f>
        <v/>
      </c>
      <c r="H76" t="inlineStr">
        <is>
          <t>Blanket (page end)</t>
        </is>
      </c>
      <c r="L76" t="inlineStr">
        <is>
          <t>NO</t>
        </is>
      </c>
    </row>
    <row r="77" ht="15.75" customHeight="1" s="67">
      <c r="A77" t="inlineStr">
        <is>
          <t>DC_MOMENT_STRONG_THRESHOLD</t>
        </is>
      </c>
      <c r="B77" t="inlineStr">
        <is>
          <t>20</t>
        </is>
      </c>
      <c r="D77" t="inlineStr">
        <is>
          <t>ENTRY, GLOBAL_CHECK, STOCKS_EXIT</t>
        </is>
      </c>
      <c r="G77">
        <f>IFERROR(VLOOKUP($A81&amp;"_"&amp;$B81,Results_Deltas!$A$2:$P$15000,5,FALSE),"")</f>
        <v/>
      </c>
      <c r="H77" t="inlineStr">
        <is>
          <t>Blanket (page end)</t>
        </is>
      </c>
      <c r="L77" t="inlineStr">
        <is>
          <t>NO</t>
        </is>
      </c>
    </row>
    <row r="78" ht="15.75" customHeight="1" s="67">
      <c r="A78" t="inlineStr">
        <is>
          <t>DELTA_HTF_GATE</t>
        </is>
      </c>
      <c r="B78" t="inlineStr">
        <is>
          <t>4h</t>
        </is>
      </c>
      <c r="D78" t="inlineStr">
        <is>
          <t>ENTRY, GLOBAL_CHECK, STOCKS_EXIT</t>
        </is>
      </c>
      <c r="G78">
        <f>IFERROR(VLOOKUP($A82&amp;"_"&amp;$B82,Results_Deltas!$A$2:$P$15000,5,FALSE),"")</f>
        <v/>
      </c>
      <c r="H78" t="inlineStr">
        <is>
          <t>Blanket (page end)</t>
        </is>
      </c>
      <c r="L78" t="inlineStr">
        <is>
          <t>NO</t>
        </is>
      </c>
    </row>
    <row r="79" ht="15.75" customHeight="1" s="67">
      <c r="A79" t="inlineStr">
        <is>
          <t>DELTA_HTF_GATE</t>
        </is>
      </c>
      <c r="B79" t="inlineStr">
        <is>
          <t>4h_ALT</t>
        </is>
      </c>
      <c r="D79" t="inlineStr">
        <is>
          <t>ENTRY, GLOBAL_CHECK, STOCKS_EXIT</t>
        </is>
      </c>
      <c r="G79">
        <f>IFERROR(VLOOKUP($A83&amp;"_"&amp;$B83,Results_Deltas!$A$2:$P$15000,5,FALSE),"")</f>
        <v/>
      </c>
      <c r="H79" t="inlineStr">
        <is>
          <t>Blanket (page end)</t>
        </is>
      </c>
      <c r="L79" t="inlineStr">
        <is>
          <t>YES</t>
        </is>
      </c>
    </row>
    <row r="80" ht="15.75" customHeight="1" s="67">
      <c r="A80" t="inlineStr">
        <is>
          <t>DELTA_REENTRY_FILTER_ENABLED</t>
        </is>
      </c>
      <c r="B80" t="inlineStr">
        <is>
          <t>False</t>
        </is>
      </c>
      <c r="D80" t="inlineStr">
        <is>
          <t>ENTRY, GLOBAL_CHECK, STOCKS_EXIT</t>
        </is>
      </c>
      <c r="G80">
        <f>IFERROR(VLOOKUP($A84&amp;"_"&amp;$B84,Results_Deltas!$A$2:$P$15000,5,FALSE),"")</f>
        <v/>
      </c>
      <c r="H80" t="inlineStr">
        <is>
          <t>Blanket (page end)</t>
        </is>
      </c>
      <c r="L80" t="inlineStr">
        <is>
          <t>NO</t>
        </is>
      </c>
    </row>
    <row r="81" ht="15.75" customHeight="1" s="67">
      <c r="A81" t="inlineStr">
        <is>
          <t>DELTA_REENTRY_FILTER_ENABLED</t>
        </is>
      </c>
      <c r="B81" t="inlineStr">
        <is>
          <t>True</t>
        </is>
      </c>
      <c r="D81" t="inlineStr">
        <is>
          <t>ENTRY, GLOBAL_CHECK, STOCKS_EXIT</t>
        </is>
      </c>
      <c r="G81">
        <f>IFERROR(VLOOKUP($A85&amp;"_"&amp;$B85,Results_Deltas!$A$2:$P$15000,5,FALSE),"")</f>
        <v/>
      </c>
      <c r="H81" t="inlineStr">
        <is>
          <t>Blanket (page end)</t>
        </is>
      </c>
      <c r="L81" t="inlineStr">
        <is>
          <t>NO</t>
        </is>
      </c>
    </row>
    <row r="82" ht="15.75" customHeight="1" s="67">
      <c r="A82" t="inlineStr">
        <is>
          <t>DUP_GUARD_FILTER_TF</t>
        </is>
      </c>
      <c r="B82" t="inlineStr">
        <is>
          <t>OFF</t>
        </is>
      </c>
      <c r="D82" t="inlineStr">
        <is>
          <t>GLOBAL_CHECK</t>
        </is>
      </c>
      <c r="G82">
        <f>IFERROR(VLOOKUP($A86&amp;"_"&amp;$B86,Results_Deltas!$A$2:$P$15000,5,FALSE),"")</f>
        <v/>
      </c>
      <c r="H82" t="inlineStr">
        <is>
          <t>Blanket (page end)</t>
        </is>
      </c>
      <c r="L82" t="inlineStr">
        <is>
          <t>NO</t>
        </is>
      </c>
    </row>
    <row r="83" ht="15.75" customHeight="1" s="67">
      <c r="A83" t="inlineStr">
        <is>
          <t>DUP_GUARD_FILTER_TF</t>
        </is>
      </c>
      <c r="B83" t="inlineStr">
        <is>
          <t>D</t>
        </is>
      </c>
      <c r="D83" t="inlineStr">
        <is>
          <t>GLOBAL_CHECK</t>
        </is>
      </c>
      <c r="G83">
        <f>IFERROR(VLOOKUP($A87&amp;"_"&amp;$B87,Results_Deltas!$A$2:$P$15000,5,FALSE),"")</f>
        <v/>
      </c>
      <c r="H83" t="inlineStr">
        <is>
          <t>Blanket (page end)</t>
        </is>
      </c>
      <c r="L83" t="inlineStr">
        <is>
          <t>NO</t>
        </is>
      </c>
    </row>
    <row r="84" ht="15.75" customHeight="1" s="67">
      <c r="A84" t="inlineStr">
        <is>
          <t>DUP_GUARD_FILTER_TF</t>
        </is>
      </c>
      <c r="B84" t="inlineStr">
        <is>
          <t>4h</t>
        </is>
      </c>
      <c r="D84" t="inlineStr">
        <is>
          <t>GLOBAL_CHECK</t>
        </is>
      </c>
      <c r="G84">
        <f>IFERROR(VLOOKUP($A88&amp;"_"&amp;$B88,Results_Deltas!$A$2:$P$15000,5,FALSE),"")</f>
        <v/>
      </c>
      <c r="H84" t="inlineStr">
        <is>
          <t>Blanket (page end)</t>
        </is>
      </c>
      <c r="L84" t="inlineStr">
        <is>
          <t>NO</t>
        </is>
      </c>
    </row>
    <row r="85" ht="15.75" customHeight="1" s="67">
      <c r="A85" t="inlineStr">
        <is>
          <t>DUP_GUARD_FILTER_TF</t>
        </is>
      </c>
      <c r="B85" t="inlineStr">
        <is>
          <t>1h</t>
        </is>
      </c>
      <c r="D85" t="inlineStr">
        <is>
          <t>GLOBAL_CHECK</t>
        </is>
      </c>
      <c r="G85">
        <f>IFERROR(VLOOKUP($A89&amp;"_"&amp;$B89,Results_Deltas!$A$2:$P$15000,5,FALSE),"")</f>
        <v/>
      </c>
      <c r="H85" t="inlineStr">
        <is>
          <t>Blanket (page end)</t>
        </is>
      </c>
      <c r="L85" t="inlineStr">
        <is>
          <t>YES</t>
        </is>
      </c>
    </row>
    <row r="86" ht="15.75" customHeight="1" s="67">
      <c r="A86" t="inlineStr">
        <is>
          <t>DUP_GUARD_FILTER_TF</t>
        </is>
      </c>
      <c r="B86" t="inlineStr">
        <is>
          <t>15m</t>
        </is>
      </c>
      <c r="D86" t="inlineStr">
        <is>
          <t>GLOBAL_CHECK</t>
        </is>
      </c>
      <c r="G86">
        <f>IFERROR(VLOOKUP($A90&amp;"_"&amp;$B90,Results_Deltas!$A$2:$P$15000,5,FALSE),"")</f>
        <v/>
      </c>
      <c r="H86" t="inlineStr">
        <is>
          <t>Blanket (page end)</t>
        </is>
      </c>
      <c r="L86" t="inlineStr">
        <is>
          <t>NO</t>
        </is>
      </c>
    </row>
    <row r="87" ht="15.75" customHeight="1" s="67">
      <c r="A87" t="inlineStr">
        <is>
          <t>EMA_9_21_FILTER_MIN_TFS</t>
        </is>
      </c>
      <c r="B87" t="inlineStr">
        <is>
          <t>0</t>
        </is>
      </c>
      <c r="D87" t="inlineStr">
        <is>
          <t>GLOBAL_CHECK</t>
        </is>
      </c>
      <c r="G87">
        <f>IFERROR(VLOOKUP($A91&amp;"_"&amp;$B91,Results_Deltas!$A$2:$P$15000,5,FALSE),"")</f>
        <v/>
      </c>
      <c r="H87" t="inlineStr">
        <is>
          <t>Blanket (page end)</t>
        </is>
      </c>
      <c r="L87" t="inlineStr">
        <is>
          <t>NO</t>
        </is>
      </c>
    </row>
    <row r="88" ht="15.75" customHeight="1" s="67">
      <c r="A88" t="inlineStr">
        <is>
          <t>EMA_9_21_FILTER_MIN_TFS</t>
        </is>
      </c>
      <c r="B88" t="inlineStr">
        <is>
          <t>2</t>
        </is>
      </c>
      <c r="D88" t="inlineStr">
        <is>
          <t>GLOBAL_CHECK</t>
        </is>
      </c>
      <c r="G88">
        <f>IFERROR(VLOOKUP($A92&amp;"_"&amp;$B92,Results_Deltas!$A$2:$P$15000,5,FALSE),"")</f>
        <v/>
      </c>
      <c r="H88" t="inlineStr">
        <is>
          <t>Blanket (page end)</t>
        </is>
      </c>
      <c r="L88" t="inlineStr">
        <is>
          <t>NO</t>
        </is>
      </c>
    </row>
    <row r="89" ht="15.75" customHeight="1" s="67">
      <c r="A89" t="inlineStr">
        <is>
          <t>EMA_9_21_FILTER_MIN_TFS</t>
        </is>
      </c>
      <c r="B89" t="inlineStr">
        <is>
          <t>1</t>
        </is>
      </c>
      <c r="D89" t="inlineStr">
        <is>
          <t>GLOBAL_CHECK</t>
        </is>
      </c>
      <c r="G89">
        <f>IFERROR(VLOOKUP($A93&amp;"_"&amp;$B93,Results_Deltas!$A$2:$P$15000,5,FALSE),"")</f>
        <v/>
      </c>
      <c r="H89" t="inlineStr">
        <is>
          <t>Blanket (page end)</t>
        </is>
      </c>
      <c r="L89" t="inlineStr">
        <is>
          <t>NO</t>
        </is>
      </c>
    </row>
    <row r="90" ht="15.75" customHeight="1" s="67">
      <c r="A90" t="inlineStr">
        <is>
          <t>EMA_BLANKET_FILTER_ENABLED</t>
        </is>
      </c>
      <c r="B90" t="inlineStr">
        <is>
          <t>False</t>
        </is>
      </c>
      <c r="D90" t="inlineStr">
        <is>
          <t>GLOBAL_CHECK</t>
        </is>
      </c>
      <c r="G90">
        <f>IFERROR(VLOOKUP($A94&amp;"_"&amp;$B94,Results_Deltas!$A$2:$P$15000,5,FALSE),"")</f>
        <v/>
      </c>
      <c r="H90" t="inlineStr">
        <is>
          <t>Blanket (page end)</t>
        </is>
      </c>
      <c r="L90" t="inlineStr">
        <is>
          <t>NO</t>
        </is>
      </c>
    </row>
    <row r="91" ht="15.75" customHeight="1" s="67">
      <c r="A91" t="inlineStr">
        <is>
          <t>EMA_BLANKET_FILTER_ENABLED</t>
        </is>
      </c>
      <c r="B91" t="inlineStr">
        <is>
          <t>True</t>
        </is>
      </c>
      <c r="D91" t="inlineStr">
        <is>
          <t>GLOBAL_CHECK</t>
        </is>
      </c>
      <c r="G91">
        <f>IFERROR(VLOOKUP($A95&amp;"_"&amp;$B95,Results_Deltas!$A$2:$P$15000,5,FALSE),"")</f>
        <v/>
      </c>
      <c r="H91" t="inlineStr">
        <is>
          <t>Blanket (page end)</t>
        </is>
      </c>
      <c r="L91" t="inlineStr">
        <is>
          <t>YES</t>
        </is>
      </c>
    </row>
    <row r="92" ht="15.75" customHeight="1" s="67">
      <c r="A92" t="inlineStr">
        <is>
          <t>EMA_BLANKET_FILTER_MIN_TFS</t>
        </is>
      </c>
      <c r="B92" t="inlineStr">
        <is>
          <t>0</t>
        </is>
      </c>
      <c r="D92" t="inlineStr">
        <is>
          <t>GLOBAL_CHECK</t>
        </is>
      </c>
      <c r="G92">
        <f>IFERROR(VLOOKUP($A96&amp;"_"&amp;$B96,Results_Deltas!$A$2:$P$15000,5,FALSE),"")</f>
        <v/>
      </c>
      <c r="H92" t="inlineStr">
        <is>
          <t>Blanket (page end)</t>
        </is>
      </c>
      <c r="L92" t="inlineStr">
        <is>
          <t>NO</t>
        </is>
      </c>
    </row>
    <row r="93" ht="15.75" customHeight="1" s="67">
      <c r="A93" t="inlineStr">
        <is>
          <t>EMA_BLANKET_FILTER_MIN_TFS</t>
        </is>
      </c>
      <c r="B93" t="inlineStr">
        <is>
          <t>2</t>
        </is>
      </c>
      <c r="D93" t="inlineStr">
        <is>
          <t>GLOBAL_CHECK</t>
        </is>
      </c>
      <c r="G93">
        <f>IFERROR(VLOOKUP($A97&amp;"_"&amp;$B97,Results_Deltas!$A$2:$P$15000,5,FALSE),"")</f>
        <v/>
      </c>
      <c r="H93" t="inlineStr">
        <is>
          <t>Blanket (page end)</t>
        </is>
      </c>
      <c r="L93" t="inlineStr">
        <is>
          <t>NO</t>
        </is>
      </c>
    </row>
    <row r="94" ht="15.75" customHeight="1" s="67">
      <c r="A94" t="inlineStr">
        <is>
          <t>EMA_BLANKET_FILTER_MIN_TFS</t>
        </is>
      </c>
      <c r="B94" t="inlineStr">
        <is>
          <t>1</t>
        </is>
      </c>
      <c r="D94" t="inlineStr">
        <is>
          <t>GLOBAL_CHECK</t>
        </is>
      </c>
      <c r="G94">
        <f>IFERROR(VLOOKUP($A98&amp;"_"&amp;$B98,Results_Deltas!$A$2:$P$15000,5,FALSE),"")</f>
        <v/>
      </c>
      <c r="H94" t="inlineStr">
        <is>
          <t>Blanket (page end)</t>
        </is>
      </c>
      <c r="L94" t="inlineStr">
        <is>
          <t>NO</t>
        </is>
      </c>
    </row>
    <row r="95" ht="15.75" customHeight="1" s="67">
      <c r="A95" t="inlineStr">
        <is>
          <t>EXECUTE_NOW_SINGLE_GATE_ENFORCE</t>
        </is>
      </c>
      <c r="B95" t="inlineStr">
        <is>
          <t>0.0</t>
        </is>
      </c>
      <c r="D95" t="inlineStr">
        <is>
          <t>ENTRY, GLOBAL_CHECK, STOCKS_EXIT</t>
        </is>
      </c>
      <c r="G95">
        <f>IFERROR(VLOOKUP($A99&amp;"_"&amp;$B99,Results_Deltas!$A$2:$P$15000,5,FALSE),"")</f>
        <v/>
      </c>
      <c r="H95" t="inlineStr">
        <is>
          <t>Blanket (page end)</t>
        </is>
      </c>
      <c r="L95" t="inlineStr">
        <is>
          <t>NO</t>
        </is>
      </c>
    </row>
    <row r="96" ht="15.75" customHeight="1" s="67">
      <c r="A96" t="inlineStr">
        <is>
          <t>EXECUTE_NOW_SINGLE_GATE_ENFORCE</t>
        </is>
      </c>
      <c r="B96" t="inlineStr">
        <is>
          <t>0.0_ALT</t>
        </is>
      </c>
      <c r="D96" t="inlineStr">
        <is>
          <t>ENTRY, GLOBAL_CHECK, STOCKS_EXIT</t>
        </is>
      </c>
      <c r="G96">
        <f>IFERROR(VLOOKUP($A100&amp;"_"&amp;$B100,Results_Deltas!$A$2:$P$15000,5,FALSE),"")</f>
        <v/>
      </c>
      <c r="H96" t="inlineStr">
        <is>
          <t>Blanket (page end)</t>
        </is>
      </c>
      <c r="L96" t="inlineStr">
        <is>
          <t>YES</t>
        </is>
      </c>
    </row>
    <row r="97" ht="15.75" customHeight="1" s="67">
      <c r="A97" t="inlineStr">
        <is>
          <t>EZ_MANAGE_THROTTLER_RATE</t>
        </is>
      </c>
      <c r="B97" t="inlineStr">
        <is>
          <t>0.0</t>
        </is>
      </c>
      <c r="D97" t="inlineStr">
        <is>
          <t>GLOBAL_CHECK, STOCKS_EXIT</t>
        </is>
      </c>
      <c r="G97">
        <f>IFERROR(VLOOKUP($A101&amp;"_"&amp;$B101,Results_Deltas!$A$2:$P$15000,5,FALSE),"")</f>
        <v/>
      </c>
      <c r="H97" t="inlineStr">
        <is>
          <t>Blanket (page end)</t>
        </is>
      </c>
      <c r="L97" t="inlineStr">
        <is>
          <t>NO</t>
        </is>
      </c>
    </row>
    <row r="98" ht="15.75" customHeight="1" s="67">
      <c r="A98" t="inlineStr">
        <is>
          <t>EZ_MANAGE_THROTTLER_RATE</t>
        </is>
      </c>
      <c r="B98" t="inlineStr">
        <is>
          <t>0.0_ALT</t>
        </is>
      </c>
      <c r="D98" t="inlineStr">
        <is>
          <t>GLOBAL_CHECK, STOCKS_EXIT</t>
        </is>
      </c>
      <c r="G98">
        <f>IFERROR(VLOOKUP($A102&amp;"_"&amp;$B102,Results_Deltas!$A$2:$P$15000,5,FALSE),"")</f>
        <v/>
      </c>
      <c r="H98" t="inlineStr">
        <is>
          <t>Blanket (page end)</t>
        </is>
      </c>
      <c r="L98" t="inlineStr">
        <is>
          <t>NO</t>
        </is>
      </c>
    </row>
    <row r="99" ht="15.75" customHeight="1" s="67">
      <c r="A99" t="inlineStr">
        <is>
          <t>FG_FEAR_THRESHOLD</t>
        </is>
      </c>
      <c r="B99" t="n">
        <v>0</v>
      </c>
      <c r="D99" t="inlineStr">
        <is>
          <t>GLOBAL_CHECK, STOCKS_EXIT</t>
        </is>
      </c>
      <c r="G99">
        <f>IFERROR(VLOOKUP($A103&amp;"_"&amp;$B103,Results_Deltas!$A$2:$P$15000,5,FALSE),"")</f>
        <v/>
      </c>
      <c r="H99" t="inlineStr">
        <is>
          <t>Blanket (page end)</t>
        </is>
      </c>
      <c r="L99" t="inlineStr">
        <is>
          <t>NO</t>
        </is>
      </c>
    </row>
    <row r="100" ht="15.75" customHeight="1" s="67">
      <c r="A100" t="inlineStr">
        <is>
          <t>FG_FEAR_THRESHOLD</t>
        </is>
      </c>
      <c r="B100" t="inlineStr">
        <is>
          <t>31.25</t>
        </is>
      </c>
      <c r="D100" t="inlineStr">
        <is>
          <t>GLOBAL_CHECK, STOCKS_EXIT</t>
        </is>
      </c>
      <c r="G100">
        <f>IFERROR(VLOOKUP($A104&amp;"_"&amp;$B104,Results_Deltas!$A$2:$P$15000,5,FALSE),"")</f>
        <v/>
      </c>
      <c r="H100" t="inlineStr">
        <is>
          <t>Blanket (page end)</t>
        </is>
      </c>
      <c r="L100" t="inlineStr">
        <is>
          <t>NO</t>
        </is>
      </c>
    </row>
    <row r="101" ht="15.75" customHeight="1" s="67">
      <c r="A101" t="inlineStr">
        <is>
          <t>FG_FEAR_THRESHOLD</t>
        </is>
      </c>
      <c r="B101" t="inlineStr">
        <is>
          <t>18.75</t>
        </is>
      </c>
      <c r="D101" t="inlineStr">
        <is>
          <t>GLOBAL_CHECK, STOCKS_EXIT</t>
        </is>
      </c>
      <c r="G101">
        <f>IFERROR(VLOOKUP($A105&amp;"_"&amp;$B105,Results_Deltas!$A$2:$P$15000,5,FALSE),"")</f>
        <v/>
      </c>
      <c r="H101" t="inlineStr">
        <is>
          <t>Blanket (page end)</t>
        </is>
      </c>
      <c r="L101" t="inlineStr">
        <is>
          <t>NO</t>
        </is>
      </c>
    </row>
    <row r="102" ht="15.75" customHeight="1" s="67">
      <c r="A102" t="inlineStr">
        <is>
          <t>FG_FEAR_THRESHOLD</t>
        </is>
      </c>
      <c r="B102" t="inlineStr">
        <is>
          <t>12.5</t>
        </is>
      </c>
      <c r="D102" t="inlineStr">
        <is>
          <t>GLOBAL_CHECK, STOCKS_EXIT</t>
        </is>
      </c>
      <c r="G102">
        <f>IFERROR(VLOOKUP($A106&amp;"_"&amp;$B106,Results_Deltas!$A$2:$P$15000,5,FALSE),"")</f>
        <v/>
      </c>
      <c r="H102" t="inlineStr">
        <is>
          <t>Blanket (page end)</t>
        </is>
      </c>
      <c r="L102" t="inlineStr">
        <is>
          <t>NO</t>
        </is>
      </c>
    </row>
    <row r="103" ht="15.75" customHeight="1" s="67">
      <c r="A103" t="inlineStr">
        <is>
          <t>FG_GREED_THRESHOLD</t>
        </is>
      </c>
      <c r="B103" t="n">
        <v>0</v>
      </c>
      <c r="D103" t="inlineStr">
        <is>
          <t>GLOBAL_CHECK, STOCKS_EXIT</t>
        </is>
      </c>
      <c r="G103">
        <f>IFERROR(VLOOKUP($A107&amp;"_"&amp;$B107,Results_Deltas!$A$2:$P$15000,5,FALSE),"")</f>
        <v/>
      </c>
      <c r="H103" t="inlineStr">
        <is>
          <t>Blanket (page end)</t>
        </is>
      </c>
      <c r="L103" t="inlineStr">
        <is>
          <t>NO</t>
        </is>
      </c>
    </row>
    <row r="104" ht="15.75" customHeight="1" s="67">
      <c r="A104" t="inlineStr">
        <is>
          <t>FG_GREED_THRESHOLD</t>
        </is>
      </c>
      <c r="B104" t="inlineStr">
        <is>
          <t>93.75</t>
        </is>
      </c>
      <c r="D104" t="inlineStr">
        <is>
          <t>GLOBAL_CHECK, STOCKS_EXIT</t>
        </is>
      </c>
      <c r="G104">
        <f>IFERROR(VLOOKUP($A108&amp;"_"&amp;$B108,Results_Deltas!$A$2:$P$15000,5,FALSE),"")</f>
        <v/>
      </c>
      <c r="H104" t="inlineStr">
        <is>
          <t>Blanket (page end)</t>
        </is>
      </c>
      <c r="L104" t="inlineStr">
        <is>
          <t>YES</t>
        </is>
      </c>
    </row>
    <row r="105" ht="15.75" customHeight="1" s="67">
      <c r="A105" t="inlineStr">
        <is>
          <t>FG_GREED_THRESHOLD</t>
        </is>
      </c>
      <c r="B105" t="inlineStr">
        <is>
          <t>56.25</t>
        </is>
      </c>
      <c r="D105" t="inlineStr">
        <is>
          <t>GLOBAL_CHECK, STOCKS_EXIT</t>
        </is>
      </c>
      <c r="G105">
        <f>IFERROR(VLOOKUP($A109&amp;"_"&amp;$B109,Results_Deltas!$A$2:$P$15000,5,FALSE),"")</f>
        <v/>
      </c>
      <c r="H105" t="inlineStr">
        <is>
          <t>Blanket (page end)</t>
        </is>
      </c>
      <c r="L105" t="inlineStr">
        <is>
          <t>NO</t>
        </is>
      </c>
    </row>
    <row r="106" ht="15.75" customHeight="1" s="67">
      <c r="A106" t="inlineStr">
        <is>
          <t>FG_GREED_THRESHOLD</t>
        </is>
      </c>
      <c r="B106" t="inlineStr">
        <is>
          <t>37.5</t>
        </is>
      </c>
      <c r="D106" t="inlineStr">
        <is>
          <t>GLOBAL_CHECK, STOCKS_EXIT</t>
        </is>
      </c>
      <c r="G106">
        <f>IFERROR(VLOOKUP($A110&amp;"_"&amp;$B110,Results_Deltas!$A$2:$P$15000,5,FALSE),"")</f>
        <v/>
      </c>
      <c r="H106" t="inlineStr">
        <is>
          <t>Blanket (page end)</t>
        </is>
      </c>
      <c r="L106" t="inlineStr">
        <is>
          <t>NO</t>
        </is>
      </c>
    </row>
    <row r="107" ht="15.75" customHeight="1" s="67">
      <c r="A107" t="inlineStr">
        <is>
          <t>FUNDING_GATE_FILTER_TF</t>
        </is>
      </c>
      <c r="B107" t="inlineStr">
        <is>
          <t>OFF</t>
        </is>
      </c>
      <c r="D107" t="inlineStr">
        <is>
          <t>GLOBAL_CHECK</t>
        </is>
      </c>
      <c r="G107">
        <f>IFERROR(VLOOKUP($A111&amp;"_"&amp;$B111,Results_Deltas!$A$2:$P$15000,5,FALSE),"")</f>
        <v/>
      </c>
      <c r="H107" t="inlineStr">
        <is>
          <t>Blanket (page end)</t>
        </is>
      </c>
      <c r="L107" t="inlineStr">
        <is>
          <t>NO</t>
        </is>
      </c>
    </row>
    <row r="108" ht="15.75" customHeight="1" s="67">
      <c r="A108" t="inlineStr">
        <is>
          <t>FUNDING_GATE_FILTER_TF</t>
        </is>
      </c>
      <c r="B108" t="inlineStr">
        <is>
          <t>D</t>
        </is>
      </c>
      <c r="D108" t="inlineStr">
        <is>
          <t>GLOBAL_CHECK</t>
        </is>
      </c>
      <c r="G108">
        <f>IFERROR(VLOOKUP($A112&amp;"_"&amp;$B112,Results_Deltas!$A$2:$P$15000,5,FALSE),"")</f>
        <v/>
      </c>
      <c r="H108" t="inlineStr">
        <is>
          <t>Blanket (page end)</t>
        </is>
      </c>
      <c r="L108" t="inlineStr">
        <is>
          <t>YES</t>
        </is>
      </c>
    </row>
    <row r="109" ht="15.75" customHeight="1" s="67">
      <c r="A109" t="inlineStr">
        <is>
          <t>FUNDING_GATE_FILTER_TF</t>
        </is>
      </c>
      <c r="B109" t="inlineStr">
        <is>
          <t>4h</t>
        </is>
      </c>
      <c r="D109" t="inlineStr">
        <is>
          <t>GLOBAL_CHECK</t>
        </is>
      </c>
      <c r="G109">
        <f>IFERROR(VLOOKUP($A113&amp;"_"&amp;$B113,Results_Deltas!$A$2:$P$15000,5,FALSE),"")</f>
        <v/>
      </c>
      <c r="H109" t="inlineStr">
        <is>
          <t>Blanket (page end)</t>
        </is>
      </c>
      <c r="L109" t="inlineStr">
        <is>
          <t>NO</t>
        </is>
      </c>
    </row>
    <row r="110" ht="15.75" customHeight="1" s="67">
      <c r="A110" t="inlineStr">
        <is>
          <t>FUNDING_GATE_FILTER_TF</t>
        </is>
      </c>
      <c r="B110" t="inlineStr">
        <is>
          <t>1h</t>
        </is>
      </c>
      <c r="D110" t="inlineStr">
        <is>
          <t>GLOBAL_CHECK</t>
        </is>
      </c>
      <c r="G110">
        <f>IFERROR(VLOOKUP($A114&amp;"_"&amp;$B114,Results_Deltas!$A$2:$P$15000,5,FALSE),"")</f>
        <v/>
      </c>
      <c r="H110" t="inlineStr">
        <is>
          <t>Blanket (page end)</t>
        </is>
      </c>
      <c r="L110" t="inlineStr">
        <is>
          <t>NO</t>
        </is>
      </c>
    </row>
    <row r="111" ht="15.75" customHeight="1" s="67">
      <c r="A111" t="inlineStr">
        <is>
          <t>FUNDING_GATE_FILTER_TF</t>
        </is>
      </c>
      <c r="B111" t="inlineStr">
        <is>
          <t>15m</t>
        </is>
      </c>
      <c r="D111" t="inlineStr">
        <is>
          <t>GLOBAL_CHECK</t>
        </is>
      </c>
      <c r="G111">
        <f>IFERROR(VLOOKUP($A115&amp;"_"&amp;$B115,Results_Deltas!$A$2:$P$15000,5,FALSE),"")</f>
        <v/>
      </c>
      <c r="H111" t="inlineStr">
        <is>
          <t>Blanket (page end)</t>
        </is>
      </c>
      <c r="L111" t="inlineStr">
        <is>
          <t>NO</t>
        </is>
      </c>
    </row>
    <row r="112" ht="15.75" customHeight="1" s="67">
      <c r="A112" t="inlineStr">
        <is>
          <t>FUNDING_GATE_LONG_MAX</t>
        </is>
      </c>
      <c r="B112" t="inlineStr">
        <is>
          <t>0.0</t>
        </is>
      </c>
      <c r="D112" t="inlineStr">
        <is>
          <t>ENTRY, GLOBAL_CHECK, STOCKS_EXIT</t>
        </is>
      </c>
      <c r="G112">
        <f>IFERROR(VLOOKUP($A116&amp;"_"&amp;$B116,Results_Deltas!$A$2:$P$15000,5,FALSE),"")</f>
        <v/>
      </c>
      <c r="H112" t="inlineStr">
        <is>
          <t>Blanket (page end)</t>
        </is>
      </c>
      <c r="L112" t="inlineStr">
        <is>
          <t>NO</t>
        </is>
      </c>
    </row>
    <row r="113" ht="15.75" customHeight="1" s="67">
      <c r="A113" t="inlineStr">
        <is>
          <t>FUNDING_GATE_LONG_MAX</t>
        </is>
      </c>
      <c r="B113" t="inlineStr">
        <is>
          <t>0.0_ALT</t>
        </is>
      </c>
      <c r="D113" t="inlineStr">
        <is>
          <t>ENTRY, GLOBAL_CHECK, STOCKS_EXIT</t>
        </is>
      </c>
      <c r="G113">
        <f>IFERROR(VLOOKUP($A117&amp;"_"&amp;$B117,Results_Deltas!$A$2:$P$15000,5,FALSE),"")</f>
        <v/>
      </c>
      <c r="H113" t="inlineStr">
        <is>
          <t>Blanket (page end)</t>
        </is>
      </c>
      <c r="L113" t="inlineStr">
        <is>
          <t>NO</t>
        </is>
      </c>
    </row>
    <row r="114" ht="15.75" customHeight="1" s="67">
      <c r="A114" t="inlineStr">
        <is>
          <t>FUNDING_GATE_MTF_REQUIRED</t>
        </is>
      </c>
      <c r="B114" t="inlineStr">
        <is>
          <t>0.0</t>
        </is>
      </c>
      <c r="D114" t="inlineStr">
        <is>
          <t>ENTRY, GLOBAL_CHECK, STOCKS_EXIT</t>
        </is>
      </c>
      <c r="G114">
        <f>IFERROR(VLOOKUP($A118&amp;"_"&amp;$B118,Results_Deltas!$A$2:$P$15000,5,FALSE),"")</f>
        <v/>
      </c>
      <c r="H114" t="inlineStr">
        <is>
          <t>Blanket (page end)</t>
        </is>
      </c>
      <c r="L114" t="inlineStr">
        <is>
          <t>NO</t>
        </is>
      </c>
    </row>
    <row r="115" ht="15.75" customHeight="1" s="67">
      <c r="A115" t="inlineStr">
        <is>
          <t>FUNDING_GATE_MTF_REQUIRED</t>
        </is>
      </c>
      <c r="B115" t="inlineStr">
        <is>
          <t>0.0_ALT</t>
        </is>
      </c>
      <c r="D115" t="inlineStr">
        <is>
          <t>ENTRY, GLOBAL_CHECK, STOCKS_EXIT</t>
        </is>
      </c>
      <c r="G115">
        <f>IFERROR(VLOOKUP($A119&amp;"_"&amp;$B119,Results_Deltas!$A$2:$P$15000,5,FALSE),"")</f>
        <v/>
      </c>
      <c r="H115" t="inlineStr">
        <is>
          <t>Blanket (page end)</t>
        </is>
      </c>
      <c r="L115" t="inlineStr">
        <is>
          <t>NO</t>
        </is>
      </c>
    </row>
    <row r="116" ht="15.75" customHeight="1" s="67">
      <c r="A116" t="inlineStr">
        <is>
          <t>FUNDING_GATE_SHORT_MIN</t>
        </is>
      </c>
      <c r="B116" t="inlineStr">
        <is>
          <t>0.0</t>
        </is>
      </c>
      <c r="D116" t="inlineStr">
        <is>
          <t>ENTRY, GLOBAL_CHECK, STOCKS_EXIT</t>
        </is>
      </c>
      <c r="G116">
        <f>IFERROR(VLOOKUP($A120&amp;"_"&amp;$B120,Results_Deltas!$A$2:$P$15000,5,FALSE),"")</f>
        <v/>
      </c>
      <c r="H116" t="inlineStr">
        <is>
          <t>Blanket (page end)</t>
        </is>
      </c>
      <c r="L116" t="inlineStr">
        <is>
          <t>YES</t>
        </is>
      </c>
    </row>
    <row r="117" ht="15.75" customHeight="1" s="67">
      <c r="A117" t="inlineStr">
        <is>
          <t>FUNDING_GATE_SHORT_MIN</t>
        </is>
      </c>
      <c r="B117" t="inlineStr">
        <is>
          <t>0.0_ALT</t>
        </is>
      </c>
      <c r="D117" t="inlineStr">
        <is>
          <t>ENTRY, GLOBAL_CHECK, STOCKS_EXIT</t>
        </is>
      </c>
      <c r="G117">
        <f>IFERROR(VLOOKUP($A121&amp;"_"&amp;$B121,Results_Deltas!$A$2:$P$15000,5,FALSE),"")</f>
        <v/>
      </c>
      <c r="H117" t="inlineStr">
        <is>
          <t>Blanket (page end)</t>
        </is>
      </c>
      <c r="L117" t="inlineStr">
        <is>
          <t>NO</t>
        </is>
      </c>
    </row>
    <row r="118" ht="15.75" customHeight="1" s="67">
      <c r="A118" t="inlineStr">
        <is>
          <t>GOLDEN_RULE_BASE_USD</t>
        </is>
      </c>
      <c r="B118" t="inlineStr">
        <is>
          <t>0.0</t>
        </is>
      </c>
      <c r="D118" t="inlineStr">
        <is>
          <t>GLOBAL_CHECK, STOCKS_EXIT</t>
        </is>
      </c>
      <c r="G118">
        <f>IFERROR(VLOOKUP($A122&amp;"_"&amp;$B122,Results_Deltas!$A$2:$P$15000,5,FALSE),"")</f>
        <v/>
      </c>
      <c r="H118" t="inlineStr">
        <is>
          <t>Blanket (page end)</t>
        </is>
      </c>
      <c r="L118" t="inlineStr">
        <is>
          <t>NO</t>
        </is>
      </c>
    </row>
    <row r="119" ht="15.75" customHeight="1" s="67">
      <c r="A119" t="inlineStr">
        <is>
          <t>GOLDEN_RULE_BASE_USD</t>
        </is>
      </c>
      <c r="B119" t="inlineStr">
        <is>
          <t>0.0_ALT</t>
        </is>
      </c>
      <c r="D119" t="inlineStr">
        <is>
          <t>GLOBAL_CHECK, STOCKS_EXIT</t>
        </is>
      </c>
      <c r="G119">
        <f>IFERROR(VLOOKUP($A123&amp;"_"&amp;$B123,Results_Deltas!$A$2:$P$15000,5,FALSE),"")</f>
        <v/>
      </c>
      <c r="H119" t="inlineStr">
        <is>
          <t>Blanket (page end)</t>
        </is>
      </c>
      <c r="L119" t="inlineStr">
        <is>
          <t>NO</t>
        </is>
      </c>
    </row>
    <row r="120" ht="15.75" customHeight="1" s="67">
      <c r="A120" t="inlineStr">
        <is>
          <t>GR_FILTER_ALL_ENTRIES</t>
        </is>
      </c>
      <c r="B120" t="inlineStr">
        <is>
          <t>0.0</t>
        </is>
      </c>
      <c r="D120" t="inlineStr">
        <is>
          <t>GLOBAL_CHECK, STOCKS_EXIT</t>
        </is>
      </c>
      <c r="G120">
        <f>IFERROR(VLOOKUP($A124&amp;"_"&amp;$B124,Results_Deltas!$A$2:$P$15000,5,FALSE),"")</f>
        <v/>
      </c>
      <c r="H120" t="inlineStr">
        <is>
          <t>Blanket (page end)</t>
        </is>
      </c>
      <c r="L120" t="inlineStr">
        <is>
          <t>NO</t>
        </is>
      </c>
    </row>
    <row r="121" ht="15.75" customHeight="1" s="67">
      <c r="A121" t="inlineStr">
        <is>
          <t>GR_FILTER_ALL_ENTRIES</t>
        </is>
      </c>
      <c r="B121" t="inlineStr">
        <is>
          <t>0.0_ALT</t>
        </is>
      </c>
      <c r="D121" t="inlineStr">
        <is>
          <t>GLOBAL_CHECK, STOCKS_EXIT</t>
        </is>
      </c>
      <c r="G121">
        <f>IFERROR(VLOOKUP($A125&amp;"_"&amp;$B125,Results_Deltas!$A$2:$P$15000,5,FALSE),"")</f>
        <v/>
      </c>
      <c r="H121" t="inlineStr">
        <is>
          <t>Blanket (page end)</t>
        </is>
      </c>
      <c r="L121" t="inlineStr">
        <is>
          <t>NO</t>
        </is>
      </c>
    </row>
    <row r="122" ht="15.75" customHeight="1" s="67">
      <c r="A122" t="inlineStr">
        <is>
          <t>GR_FILTER_VEC_ENABLED</t>
        </is>
      </c>
      <c r="B122" t="inlineStr">
        <is>
          <t>False</t>
        </is>
      </c>
      <c r="D122" t="inlineStr">
        <is>
          <t>GLOBAL_CHECK</t>
        </is>
      </c>
      <c r="G122">
        <f>IFERROR(VLOOKUP($A126&amp;"_"&amp;$B126,Results_Deltas!$A$2:$P$15000,5,FALSE),"")</f>
        <v/>
      </c>
      <c r="H122" t="inlineStr">
        <is>
          <t>Blanket (page end)</t>
        </is>
      </c>
      <c r="L122" t="inlineStr">
        <is>
          <t>NO</t>
        </is>
      </c>
    </row>
    <row r="123" ht="15.75" customHeight="1" s="67">
      <c r="A123" t="inlineStr">
        <is>
          <t>GR_FILTER_VEC_ENABLED</t>
        </is>
      </c>
      <c r="B123" t="inlineStr">
        <is>
          <t>True</t>
        </is>
      </c>
      <c r="D123" t="inlineStr">
        <is>
          <t>GLOBAL_CHECK</t>
        </is>
      </c>
      <c r="G123">
        <f>IFERROR(VLOOKUP($A127&amp;"_"&amp;$B127,Results_Deltas!$A$2:$P$15000,5,FALSE),"")</f>
        <v/>
      </c>
      <c r="H123" t="inlineStr">
        <is>
          <t>Blanket (page end)</t>
        </is>
      </c>
      <c r="L123" t="inlineStr">
        <is>
          <t>NO</t>
        </is>
      </c>
    </row>
    <row r="124" ht="15.75" customHeight="1" s="67">
      <c r="A124" t="inlineStr">
        <is>
          <t>GR_FILTER_VEC_MIN_TFS</t>
        </is>
      </c>
      <c r="B124" t="inlineStr">
        <is>
          <t>0</t>
        </is>
      </c>
      <c r="D124" t="inlineStr">
        <is>
          <t>GLOBAL_CHECK</t>
        </is>
      </c>
      <c r="G124">
        <f>IFERROR(VLOOKUP($A128&amp;"_"&amp;$B128,Results_Deltas!$A$2:$P$15000,5,FALSE),"")</f>
        <v/>
      </c>
      <c r="H124" t="inlineStr">
        <is>
          <t>Blanket (page end)</t>
        </is>
      </c>
      <c r="L124" t="inlineStr">
        <is>
          <t>NO</t>
        </is>
      </c>
    </row>
    <row r="125" ht="15.75" customHeight="1" s="67">
      <c r="A125" t="inlineStr">
        <is>
          <t>GR_FILTER_VEC_MIN_TFS</t>
        </is>
      </c>
      <c r="B125" t="n">
        <v>0</v>
      </c>
      <c r="D125" t="inlineStr">
        <is>
          <t>GLOBAL_CHECK</t>
        </is>
      </c>
      <c r="G125">
        <f>IFERROR(VLOOKUP($A129&amp;"_"&amp;$B129,Results_Deltas!$A$2:$P$15000,5,FALSE),"")</f>
        <v/>
      </c>
      <c r="H125" t="inlineStr">
        <is>
          <t>Blanket (page end)</t>
        </is>
      </c>
      <c r="L125" t="inlineStr">
        <is>
          <t>NO</t>
        </is>
      </c>
    </row>
    <row r="126" ht="15.75" customHeight="1" s="67">
      <c r="A126" t="inlineStr">
        <is>
          <t>GR_FILTER_VEC_MIN_TFS</t>
        </is>
      </c>
      <c r="B126" t="inlineStr">
        <is>
          <t>1</t>
        </is>
      </c>
      <c r="D126" t="inlineStr">
        <is>
          <t>GLOBAL_CHECK</t>
        </is>
      </c>
      <c r="G126">
        <f>IFERROR(VLOOKUP($A130&amp;"_"&amp;$B130,Results_Deltas!$A$2:$P$15000,5,FALSE),"")</f>
        <v/>
      </c>
      <c r="H126" t="inlineStr">
        <is>
          <t>Blanket (page end)</t>
        </is>
      </c>
      <c r="L126" t="inlineStr">
        <is>
          <t>NO</t>
        </is>
      </c>
    </row>
    <row r="127" ht="15.75" customHeight="1" s="67">
      <c r="A127" t="inlineStr">
        <is>
          <t>HA_WICK_QUALITY_ENABLED</t>
        </is>
      </c>
      <c r="B127" t="inlineStr">
        <is>
          <t>False</t>
        </is>
      </c>
      <c r="D127" t="inlineStr">
        <is>
          <t>ENTRY, GLOBAL_CHECK, STOCKS_EXIT</t>
        </is>
      </c>
      <c r="G127">
        <f>IFERROR(VLOOKUP($A131&amp;"_"&amp;$B131,Results_Deltas!$A$2:$P$15000,5,FALSE),"")</f>
        <v/>
      </c>
      <c r="H127" t="inlineStr">
        <is>
          <t>Blanket (page end)</t>
        </is>
      </c>
      <c r="L127" t="inlineStr">
        <is>
          <t>YES</t>
        </is>
      </c>
    </row>
    <row r="128" ht="15.75" customHeight="1" s="67">
      <c r="A128" t="inlineStr">
        <is>
          <t>HA_WICK_QUALITY_ENABLED</t>
        </is>
      </c>
      <c r="B128" t="inlineStr">
        <is>
          <t>True</t>
        </is>
      </c>
      <c r="D128" t="inlineStr">
        <is>
          <t>ENTRY, GLOBAL_CHECK, STOCKS_EXIT</t>
        </is>
      </c>
      <c r="G128">
        <f>IFERROR(VLOOKUP($A132&amp;"_"&amp;$B132,Results_Deltas!$A$2:$P$15000,5,FALSE),"")</f>
        <v/>
      </c>
      <c r="H128" t="inlineStr">
        <is>
          <t>Blanket (page end)</t>
        </is>
      </c>
      <c r="L128" t="inlineStr">
        <is>
          <t>NO</t>
        </is>
      </c>
    </row>
    <row r="129" ht="15.75" customHeight="1" s="67">
      <c r="A129" t="inlineStr">
        <is>
          <t>HA_WICK_QUALITY_SCORE</t>
        </is>
      </c>
      <c r="B129" t="n">
        <v>0</v>
      </c>
      <c r="D129" t="inlineStr">
        <is>
          <t>ENTRY, GLOBAL_CHECK, STOCKS_EXIT</t>
        </is>
      </c>
      <c r="G129">
        <f>IFERROR(VLOOKUP($A133&amp;"_"&amp;$B133,Results_Deltas!$A$2:$P$15000,5,FALSE),"")</f>
        <v/>
      </c>
      <c r="H129" t="inlineStr">
        <is>
          <t>Blanket (page end)</t>
        </is>
      </c>
      <c r="L129" t="inlineStr">
        <is>
          <t>NO</t>
        </is>
      </c>
    </row>
    <row r="130" ht="15.75" customHeight="1" s="67">
      <c r="A130" t="inlineStr">
        <is>
          <t>HA_WICK_QUALITY_SCORE</t>
        </is>
      </c>
      <c r="B130" t="inlineStr">
        <is>
          <t>15_ALT</t>
        </is>
      </c>
      <c r="D130" t="inlineStr">
        <is>
          <t>ENTRY, GLOBAL_CHECK, STOCKS_EXIT</t>
        </is>
      </c>
      <c r="G130">
        <f>IFERROR(VLOOKUP($A134&amp;"_"&amp;$B134,Results_Deltas!$A$2:$P$15000,5,FALSE),"")</f>
        <v/>
      </c>
      <c r="H130" t="inlineStr">
        <is>
          <t>Blanket (page end)</t>
        </is>
      </c>
      <c r="L130" t="inlineStr">
        <is>
          <t>YES</t>
        </is>
      </c>
    </row>
    <row r="131" ht="15.75" customHeight="1" s="67">
      <c r="A131" t="inlineStr">
        <is>
          <t>HA_WICK_QUALITY_TF</t>
        </is>
      </c>
      <c r="B131" t="inlineStr">
        <is>
          <t>OFF</t>
        </is>
      </c>
      <c r="D131" t="inlineStr">
        <is>
          <t>ENTRY, GLOBAL_CHECK, STOCKS_EXIT</t>
        </is>
      </c>
      <c r="G131">
        <f>IFERROR(VLOOKUP($A135&amp;"_"&amp;$B135,Results_Deltas!$A$2:$P$15000,5,FALSE),"")</f>
        <v/>
      </c>
      <c r="H131" t="inlineStr">
        <is>
          <t>Blanket (page end)</t>
        </is>
      </c>
      <c r="L131" t="inlineStr">
        <is>
          <t>NO</t>
        </is>
      </c>
    </row>
    <row r="132" ht="15.75" customHeight="1" s="67">
      <c r="A132" t="inlineStr">
        <is>
          <t>HA_WICK_QUALITY_TF</t>
        </is>
      </c>
      <c r="B132" t="inlineStr">
        <is>
          <t>D</t>
        </is>
      </c>
      <c r="D132" t="inlineStr">
        <is>
          <t>ENTRY, GLOBAL_CHECK, STOCKS_EXIT</t>
        </is>
      </c>
      <c r="G132">
        <f>IFERROR(VLOOKUP($A136&amp;"_"&amp;$B136,Results_Deltas!$A$2:$P$15000,5,FALSE),"")</f>
        <v/>
      </c>
      <c r="H132" t="inlineStr">
        <is>
          <t>Blanket (page end)</t>
        </is>
      </c>
      <c r="L132" t="inlineStr">
        <is>
          <t>YES</t>
        </is>
      </c>
    </row>
    <row r="133" ht="15.75" customHeight="1" s="67">
      <c r="A133" t="inlineStr">
        <is>
          <t>HA_WICK_QUALITY_TF</t>
        </is>
      </c>
      <c r="B133" t="inlineStr">
        <is>
          <t>4h</t>
        </is>
      </c>
      <c r="D133" t="inlineStr">
        <is>
          <t>ENTRY, GLOBAL_CHECK, STOCKS_EXIT</t>
        </is>
      </c>
      <c r="G133">
        <f>IFERROR(VLOOKUP($A137&amp;"_"&amp;$B137,Results_Deltas!$A$2:$P$15000,5,FALSE),"")</f>
        <v/>
      </c>
      <c r="H133" t="inlineStr">
        <is>
          <t>Blanket (page end)</t>
        </is>
      </c>
      <c r="L133" t="inlineStr">
        <is>
          <t>NO</t>
        </is>
      </c>
    </row>
    <row r="134" ht="15.75" customHeight="1" s="67">
      <c r="A134" t="inlineStr">
        <is>
          <t>HA_WICK_QUALITY_TF</t>
        </is>
      </c>
      <c r="B134" t="inlineStr">
        <is>
          <t>15m</t>
        </is>
      </c>
      <c r="D134" t="inlineStr">
        <is>
          <t>ENTRY, GLOBAL_CHECK, STOCKS_EXIT</t>
        </is>
      </c>
      <c r="G134">
        <f>IFERROR(VLOOKUP($A138&amp;"_"&amp;$B138,Results_Deltas!$A$2:$P$15000,5,FALSE),"")</f>
        <v/>
      </c>
      <c r="H134" t="inlineStr">
        <is>
          <t>Blanket (page end)</t>
        </is>
      </c>
      <c r="L134" t="inlineStr">
        <is>
          <t>YES</t>
        </is>
      </c>
    </row>
    <row r="135" ht="15.75" customHeight="1" s="67">
      <c r="A135" t="inlineStr">
        <is>
          <t>HA_WICK_QUALITY_TF</t>
        </is>
      </c>
      <c r="B135" t="inlineStr">
        <is>
          <t>15m</t>
        </is>
      </c>
      <c r="D135" t="inlineStr">
        <is>
          <t>ENTRY, GLOBAL_CHECK, STOCKS_EXIT</t>
        </is>
      </c>
      <c r="G135">
        <f>IFERROR(VLOOKUP($A139&amp;"_"&amp;$B139,Results_Deltas!$A$2:$P$15000,5,FALSE),"")</f>
        <v/>
      </c>
      <c r="H135" t="inlineStr">
        <is>
          <t>Blanket (page end)</t>
        </is>
      </c>
      <c r="L135" t="inlineStr">
        <is>
          <t>NO</t>
        </is>
      </c>
    </row>
    <row r="136" ht="15.75" customHeight="1" s="67">
      <c r="A136" t="inlineStr">
        <is>
          <t>HLR_SMA_BAND_PCT</t>
        </is>
      </c>
      <c r="B136" t="inlineStr">
        <is>
          <t>0</t>
        </is>
      </c>
      <c r="D136" t="inlineStr">
        <is>
          <t>ENTRY, GLOBAL_CHECK, STOCKS_EXIT</t>
        </is>
      </c>
      <c r="G136">
        <f>IFERROR(VLOOKUP($A140&amp;"_"&amp;$B140,Results_Deltas!$A$2:$P$15000,5,FALSE),"")</f>
        <v/>
      </c>
      <c r="H136" t="inlineStr">
        <is>
          <t>Blanket (page end)</t>
        </is>
      </c>
      <c r="L136" t="inlineStr">
        <is>
          <t>NO</t>
        </is>
      </c>
    </row>
    <row r="137" ht="15.75" customHeight="1" s="67">
      <c r="A137" t="inlineStr">
        <is>
          <t>HLR_SMA_BAND_PCT</t>
        </is>
      </c>
      <c r="B137" t="inlineStr">
        <is>
          <t>2.0</t>
        </is>
      </c>
      <c r="D137" t="inlineStr">
        <is>
          <t>ENTRY, GLOBAL_CHECK, STOCKS_EXIT</t>
        </is>
      </c>
      <c r="G137">
        <f>IFERROR(VLOOKUP($A141&amp;"_"&amp;$B141,Results_Deltas!$A$2:$P$15000,5,FALSE),"")</f>
        <v/>
      </c>
      <c r="H137" t="inlineStr">
        <is>
          <t>Blanket (page end)</t>
        </is>
      </c>
      <c r="L137" t="inlineStr">
        <is>
          <t>NO</t>
        </is>
      </c>
    </row>
    <row r="138" ht="15.75" customHeight="1" s="67">
      <c r="A138" t="inlineStr">
        <is>
          <t>HLR_SMA_BAND_PCT</t>
        </is>
      </c>
      <c r="B138" t="inlineStr">
        <is>
          <t>1.0</t>
        </is>
      </c>
      <c r="D138" t="inlineStr">
        <is>
          <t>ENTRY, GLOBAL_CHECK, STOCKS_EXIT</t>
        </is>
      </c>
      <c r="G138">
        <f>IFERROR(VLOOKUP($A142&amp;"_"&amp;$B142,Results_Deltas!$A$2:$P$15000,5,FALSE),"")</f>
        <v/>
      </c>
      <c r="H138" t="inlineStr">
        <is>
          <t>Blanket (page end)</t>
        </is>
      </c>
      <c r="L138" t="inlineStr">
        <is>
          <t>NO</t>
        </is>
      </c>
    </row>
    <row r="139" ht="15.75" customHeight="1" s="67">
      <c r="A139" t="inlineStr">
        <is>
          <t>HLR_SMA_BAND_PCT</t>
        </is>
      </c>
      <c r="B139" t="inlineStr">
        <is>
          <t>0.5</t>
        </is>
      </c>
      <c r="D139" t="inlineStr">
        <is>
          <t>ENTRY, GLOBAL_CHECK, STOCKS_EXIT</t>
        </is>
      </c>
      <c r="G139">
        <f>IFERROR(VLOOKUP($A143&amp;"_"&amp;$B143,Results_Deltas!$A$2:$P$15000,5,FALSE),"")</f>
        <v/>
      </c>
      <c r="H139" t="inlineStr">
        <is>
          <t>Blanket (page end)</t>
        </is>
      </c>
      <c r="L139" t="inlineStr">
        <is>
          <t>YES</t>
        </is>
      </c>
    </row>
    <row r="140" ht="15.75" customHeight="1" s="67">
      <c r="A140" t="inlineStr">
        <is>
          <t>HLR_TOP_MIN_TFS</t>
        </is>
      </c>
      <c r="B140" t="inlineStr">
        <is>
          <t>0</t>
        </is>
      </c>
      <c r="D140" t="inlineStr">
        <is>
          <t>GLOBAL_CHECK, REENTRY, STOCKS_EXIT</t>
        </is>
      </c>
      <c r="G140">
        <f>IFERROR(VLOOKUP($A144&amp;"_"&amp;$B144,Results_Deltas!$A$2:$P$15000,5,FALSE),"")</f>
        <v/>
      </c>
      <c r="H140" t="inlineStr">
        <is>
          <t>Blanket (page end)</t>
        </is>
      </c>
      <c r="L140" t="inlineStr">
        <is>
          <t>NO</t>
        </is>
      </c>
    </row>
    <row r="141" ht="15.75" customHeight="1" s="67">
      <c r="A141" t="inlineStr">
        <is>
          <t>HLR_TOP_MIN_TFS</t>
        </is>
      </c>
      <c r="B141" t="n">
        <v>0</v>
      </c>
      <c r="D141" t="inlineStr">
        <is>
          <t>GLOBAL_CHECK, REENTRY, STOCKS_EXIT</t>
        </is>
      </c>
      <c r="G141">
        <f>IFERROR(VLOOKUP($A145&amp;"_"&amp;$B145,Results_Deltas!$A$2:$P$15000,5,FALSE),"")</f>
        <v/>
      </c>
      <c r="H141" t="inlineStr">
        <is>
          <t>Blanket (page end)</t>
        </is>
      </c>
      <c r="L141" t="inlineStr">
        <is>
          <t>NO</t>
        </is>
      </c>
    </row>
    <row r="142" ht="15.75" customHeight="1" s="67">
      <c r="A142" t="inlineStr">
        <is>
          <t>HLR_TOP_MIN_TFS</t>
        </is>
      </c>
      <c r="B142" t="inlineStr">
        <is>
          <t>1</t>
        </is>
      </c>
      <c r="D142" t="inlineStr">
        <is>
          <t>GLOBAL_CHECK, REENTRY, STOCKS_EXIT</t>
        </is>
      </c>
      <c r="G142">
        <f>IFERROR(VLOOKUP($A146&amp;"_"&amp;$B146,Results_Deltas!$A$2:$P$15000,5,FALSE),"")</f>
        <v/>
      </c>
      <c r="H142" t="inlineStr">
        <is>
          <t>Blanket (page end)</t>
        </is>
      </c>
      <c r="L142" t="inlineStr">
        <is>
          <t>NO</t>
        </is>
      </c>
    </row>
    <row r="143" ht="15.75" customHeight="1" s="67">
      <c r="A143" t="inlineStr">
        <is>
          <t>HTF4_CONF</t>
        </is>
      </c>
      <c r="B143" t="inlineStr">
        <is>
          <t>False</t>
        </is>
      </c>
      <c r="D143" t="inlineStr">
        <is>
          <t>GLOBAL_CHECK, STOCKS_EXIT</t>
        </is>
      </c>
      <c r="G143">
        <f>IFERROR(VLOOKUP($A147&amp;"_"&amp;$B147,Results_Deltas!$A$2:$P$15000,5,FALSE),"")</f>
        <v/>
      </c>
      <c r="H143" t="inlineStr">
        <is>
          <t>Blanket (page end)</t>
        </is>
      </c>
      <c r="L143" t="inlineStr">
        <is>
          <t>NO</t>
        </is>
      </c>
    </row>
    <row r="144" ht="15.75" customHeight="1" s="67">
      <c r="A144" t="inlineStr">
        <is>
          <t>HTF4_CONF</t>
        </is>
      </c>
      <c r="B144" t="inlineStr">
        <is>
          <t>False_ALT</t>
        </is>
      </c>
      <c r="D144" t="inlineStr">
        <is>
          <t>GLOBAL_CHECK, STOCKS_EXIT</t>
        </is>
      </c>
      <c r="G144">
        <f>IFERROR(VLOOKUP($A148&amp;"_"&amp;$B148,Results_Deltas!$A$2:$P$15000,5,FALSE),"")</f>
        <v/>
      </c>
      <c r="H144" t="inlineStr">
        <is>
          <t>Blanket (page end)</t>
        </is>
      </c>
      <c r="L144" t="inlineStr">
        <is>
          <t>NO</t>
        </is>
      </c>
    </row>
    <row r="145" ht="15.75" customHeight="1" s="67">
      <c r="A145" t="inlineStr">
        <is>
          <t>HTF_DIRECTION_GATE_ENABLED</t>
        </is>
      </c>
      <c r="B145" t="inlineStr">
        <is>
          <t>False</t>
        </is>
      </c>
      <c r="D145" t="inlineStr">
        <is>
          <t>ENTRY, GLOBAL_CHECK, STOCKS_EXIT</t>
        </is>
      </c>
      <c r="G145">
        <f>IFERROR(VLOOKUP($A149&amp;"_"&amp;$B149,Results_Deltas!$A$2:$P$15000,5,FALSE),"")</f>
        <v/>
      </c>
      <c r="H145" t="inlineStr">
        <is>
          <t>Blanket (page end)</t>
        </is>
      </c>
      <c r="L145" t="inlineStr">
        <is>
          <t>NO</t>
        </is>
      </c>
    </row>
    <row r="146" ht="15.75" customHeight="1" s="67">
      <c r="A146" t="inlineStr">
        <is>
          <t>HTF_DIRECTION_GATE_ENABLED</t>
        </is>
      </c>
      <c r="B146" t="inlineStr">
        <is>
          <t>True</t>
        </is>
      </c>
      <c r="D146" t="inlineStr">
        <is>
          <t>ENTRY, GLOBAL_CHECK, STOCKS_EXIT</t>
        </is>
      </c>
      <c r="G146">
        <f>IFERROR(VLOOKUP($A150&amp;"_"&amp;$B150,Results_Deltas!$A$2:$P$15000,5,FALSE),"")</f>
        <v/>
      </c>
      <c r="H146" t="inlineStr">
        <is>
          <t>Blanket (page end)</t>
        </is>
      </c>
      <c r="L146" t="inlineStr">
        <is>
          <t>YES</t>
        </is>
      </c>
    </row>
    <row r="147" ht="15.75" customHeight="1" s="67">
      <c r="A147" t="inlineStr">
        <is>
          <t>HTF_GATE_BYPASS_RZ</t>
        </is>
      </c>
      <c r="B147" t="inlineStr">
        <is>
          <t>0.0</t>
        </is>
      </c>
      <c r="D147" t="inlineStr">
        <is>
          <t>ENTRY, GLOBAL_CHECK, STOCKS_EXIT</t>
        </is>
      </c>
      <c r="G147">
        <f>IFERROR(VLOOKUP($A151&amp;"_"&amp;$B151,Results_Deltas!$A$2:$P$15000,5,FALSE),"")</f>
        <v/>
      </c>
      <c r="H147" t="inlineStr">
        <is>
          <t>Blanket (page end)</t>
        </is>
      </c>
      <c r="L147" t="inlineStr">
        <is>
          <t>NO</t>
        </is>
      </c>
    </row>
    <row r="148" ht="15.75" customHeight="1" s="67">
      <c r="A148" t="inlineStr">
        <is>
          <t>HTF_GATE_BYPASS_RZ</t>
        </is>
      </c>
      <c r="B148" t="inlineStr">
        <is>
          <t>0.0_ALT</t>
        </is>
      </c>
      <c r="D148" t="inlineStr">
        <is>
          <t>ENTRY, GLOBAL_CHECK, STOCKS_EXIT</t>
        </is>
      </c>
      <c r="G148">
        <f>IFERROR(VLOOKUP($A152&amp;"_"&amp;$B152,Results_Deltas!$A$2:$P$15000,5,FALSE),"")</f>
        <v/>
      </c>
      <c r="H148" t="inlineStr">
        <is>
          <t>Blanket (page end)</t>
        </is>
      </c>
      <c r="L148" t="inlineStr">
        <is>
          <t>NO</t>
        </is>
      </c>
    </row>
    <row r="149" ht="15.75" customHeight="1" s="67">
      <c r="A149" t="inlineStr">
        <is>
          <t>HTF_GATE_D_MANDATORY</t>
        </is>
      </c>
      <c r="B149" t="inlineStr">
        <is>
          <t>0.0</t>
        </is>
      </c>
      <c r="D149" t="inlineStr">
        <is>
          <t>ENTRY, GLOBAL_CHECK, STOCKS_EXIT</t>
        </is>
      </c>
      <c r="G149">
        <f>IFERROR(VLOOKUP($A153&amp;"_"&amp;$B153,Results_Deltas!$A$2:$P$15000,5,FALSE),"")</f>
        <v/>
      </c>
      <c r="H149" t="inlineStr">
        <is>
          <t>Blanket (page end)</t>
        </is>
      </c>
      <c r="L149" t="inlineStr">
        <is>
          <t>NO</t>
        </is>
      </c>
    </row>
    <row r="150" ht="15.75" customHeight="1" s="67">
      <c r="A150" t="inlineStr">
        <is>
          <t>HTF_GATE_D_MANDATORY</t>
        </is>
      </c>
      <c r="B150" t="inlineStr">
        <is>
          <t>0.0_ALT</t>
        </is>
      </c>
      <c r="D150" t="inlineStr">
        <is>
          <t>ENTRY, GLOBAL_CHECK, STOCKS_EXIT</t>
        </is>
      </c>
      <c r="G150">
        <f>IFERROR(VLOOKUP($A154&amp;"_"&amp;$B154,Results_Deltas!$A$2:$P$15000,5,FALSE),"")</f>
        <v/>
      </c>
      <c r="H150" t="inlineStr">
        <is>
          <t>Blanket (page end)</t>
        </is>
      </c>
      <c r="L150" t="inlineStr">
        <is>
          <t>YES</t>
        </is>
      </c>
    </row>
    <row r="151" ht="15.75" customHeight="1" s="67">
      <c r="A151" t="inlineStr">
        <is>
          <t>HTF_GATE_MIN_CONFIRMATIONS</t>
        </is>
      </c>
      <c r="B151" t="inlineStr">
        <is>
          <t>0.0</t>
        </is>
      </c>
      <c r="D151" t="inlineStr">
        <is>
          <t>ENTRY, GLOBAL_CHECK, STOCKS_EXIT</t>
        </is>
      </c>
      <c r="G151">
        <f>IFERROR(VLOOKUP($A155&amp;"_"&amp;$B155,Results_Deltas!$A$2:$P$15000,5,FALSE),"")</f>
        <v/>
      </c>
      <c r="H151" t="inlineStr">
        <is>
          <t>Blanket (page end)</t>
        </is>
      </c>
      <c r="L151" t="inlineStr">
        <is>
          <t>NO</t>
        </is>
      </c>
    </row>
    <row r="152" ht="15.75" customHeight="1" s="67">
      <c r="A152" t="inlineStr">
        <is>
          <t>HTF_GATE_MIN_CONFIRMATIONS</t>
        </is>
      </c>
      <c r="B152" t="inlineStr">
        <is>
          <t>0.0_ALT</t>
        </is>
      </c>
      <c r="D152" t="inlineStr">
        <is>
          <t>ENTRY, GLOBAL_CHECK, STOCKS_EXIT</t>
        </is>
      </c>
      <c r="G152">
        <f>IFERROR(VLOOKUP($A156&amp;"_"&amp;$B156,Results_Deltas!$A$2:$P$15000,5,FALSE),"")</f>
        <v/>
      </c>
      <c r="H152" t="inlineStr">
        <is>
          <t>Blanket (page end)</t>
        </is>
      </c>
      <c r="L152" t="inlineStr">
        <is>
          <t>NO</t>
        </is>
      </c>
    </row>
    <row r="153" ht="15.75" customHeight="1" s="67">
      <c r="A153" t="inlineStr">
        <is>
          <t>HTF_TREND_VETO_BYPASS_ENABLED</t>
        </is>
      </c>
      <c r="B153" t="inlineStr">
        <is>
          <t>False</t>
        </is>
      </c>
      <c r="D153" t="inlineStr">
        <is>
          <t>GLOBAL_CHECK, STOCKS_EXIT</t>
        </is>
      </c>
      <c r="G153">
        <f>IFERROR(VLOOKUP($A157&amp;"_"&amp;$B157,Results_Deltas!$A$2:$P$15000,5,FALSE),"")</f>
        <v/>
      </c>
      <c r="H153" t="inlineStr">
        <is>
          <t>Blanket (page end)</t>
        </is>
      </c>
      <c r="L153" t="inlineStr">
        <is>
          <t>NO</t>
        </is>
      </c>
    </row>
    <row r="154" ht="15.75" customHeight="1" s="67">
      <c r="A154" t="inlineStr">
        <is>
          <t>HTF_TREND_VETO_BYPASS_ENABLED</t>
        </is>
      </c>
      <c r="B154" t="b">
        <v>0</v>
      </c>
      <c r="D154" t="inlineStr">
        <is>
          <t>GLOBAL_CHECK, STOCKS_EXIT</t>
        </is>
      </c>
      <c r="G154">
        <f>IFERROR(VLOOKUP($A158&amp;"_"&amp;$B158,Results_Deltas!$A$2:$P$15000,5,FALSE),"")</f>
        <v/>
      </c>
      <c r="H154" t="inlineStr">
        <is>
          <t>Blanket (page end)</t>
        </is>
      </c>
      <c r="L154" t="inlineStr">
        <is>
          <t>NO</t>
        </is>
      </c>
    </row>
    <row r="155" ht="15.75" customHeight="1" s="67">
      <c r="A155" t="inlineStr">
        <is>
          <t>HTF_TREND_VETO_BYPASS_REASONS</t>
        </is>
      </c>
      <c r="B155" t="inlineStr">
        <is>
          <t>0.0</t>
        </is>
      </c>
      <c r="D155" t="inlineStr">
        <is>
          <t>GLOBAL_CHECK, STOCKS_EXIT</t>
        </is>
      </c>
      <c r="G155">
        <f>IFERROR(VLOOKUP($A159&amp;"_"&amp;$B159,Results_Deltas!$A$2:$P$15000,5,FALSE),"")</f>
        <v/>
      </c>
      <c r="H155" t="inlineStr">
        <is>
          <t>Blanket (page end)</t>
        </is>
      </c>
      <c r="L155" t="inlineStr">
        <is>
          <t>NO</t>
        </is>
      </c>
    </row>
    <row r="156" ht="15.75" customHeight="1" s="67">
      <c r="A156" t="inlineStr">
        <is>
          <t>HTF_TREND_VETO_BYPASS_REASONS</t>
        </is>
      </c>
      <c r="B156" t="inlineStr">
        <is>
          <t>0.0_ALT</t>
        </is>
      </c>
      <c r="D156" t="inlineStr">
        <is>
          <t>GLOBAL_CHECK, STOCKS_EXIT</t>
        </is>
      </c>
      <c r="G156">
        <f>IFERROR(VLOOKUP($A160&amp;"_"&amp;$B160,Results_Deltas!$A$2:$P$15000,5,FALSE),"")</f>
        <v/>
      </c>
      <c r="H156" t="inlineStr">
        <is>
          <t>Blanket (page end)</t>
        </is>
      </c>
      <c r="L156" t="inlineStr">
        <is>
          <t>NO</t>
        </is>
      </c>
    </row>
    <row r="157" ht="15.75" customHeight="1" s="67">
      <c r="A157" t="inlineStr">
        <is>
          <t>LEADERBOARD_FILTER</t>
        </is>
      </c>
      <c r="B157" t="inlineStr">
        <is>
          <t>False</t>
        </is>
      </c>
      <c r="D157" t="inlineStr">
        <is>
          <t>AUGMENT, ENTRY, EXIT, GLOBAL_CHECK, REDUCE, STOCKS_EXIT</t>
        </is>
      </c>
      <c r="G157">
        <f>IFERROR(VLOOKUP($A161&amp;"_"&amp;$B161,Results_Deltas!$A$2:$P$15000,5,FALSE),"")</f>
        <v/>
      </c>
      <c r="H157" t="inlineStr">
        <is>
          <t>Blanket (page end)</t>
        </is>
      </c>
      <c r="L157" t="inlineStr">
        <is>
          <t>NO</t>
        </is>
      </c>
    </row>
    <row r="158" ht="15.75" customHeight="1" s="67">
      <c r="A158" t="inlineStr">
        <is>
          <t>LEADERBOARD_FILTER</t>
        </is>
      </c>
      <c r="B158" t="inlineStr">
        <is>
          <t>False_ALT</t>
        </is>
      </c>
      <c r="D158" t="inlineStr">
        <is>
          <t>AUGMENT, ENTRY, EXIT, GLOBAL_CHECK, REDUCE, STOCKS_EXIT</t>
        </is>
      </c>
      <c r="G158">
        <f>IFERROR(VLOOKUP($A162&amp;"_"&amp;$B162,Results_Deltas!$A$2:$P$15000,5,FALSE),"")</f>
        <v/>
      </c>
      <c r="H158" t="inlineStr">
        <is>
          <t>Blanket (page end)</t>
        </is>
      </c>
      <c r="L158" t="inlineStr">
        <is>
          <t>NO</t>
        </is>
      </c>
    </row>
    <row r="159" ht="15.75" customHeight="1" s="67">
      <c r="A159" t="inlineStr">
        <is>
          <t>LH_HL_FILTER_ENABLED</t>
        </is>
      </c>
      <c r="B159" t="inlineStr">
        <is>
          <t>False</t>
        </is>
      </c>
      <c r="D159" t="inlineStr">
        <is>
          <t>ENTRY, GLOBAL_CHECK, STOCKS_EXIT</t>
        </is>
      </c>
      <c r="G159">
        <f>IFERROR(VLOOKUP($A163&amp;"_"&amp;$B163,Results_Deltas!$A$2:$P$15000,5,FALSE),"")</f>
        <v/>
      </c>
      <c r="H159" t="inlineStr">
        <is>
          <t>Blanket (page end)</t>
        </is>
      </c>
      <c r="L159" t="inlineStr">
        <is>
          <t>YES</t>
        </is>
      </c>
    </row>
    <row r="160" ht="15.75" customHeight="1" s="67">
      <c r="A160" t="inlineStr">
        <is>
          <t>LH_HL_FILTER_ENABLED</t>
        </is>
      </c>
      <c r="B160" t="inlineStr">
        <is>
          <t>True</t>
        </is>
      </c>
      <c r="D160" t="inlineStr">
        <is>
          <t>ENTRY, GLOBAL_CHECK, STOCKS_EXIT</t>
        </is>
      </c>
      <c r="G160">
        <f>IFERROR(VLOOKUP($A164&amp;"_"&amp;$B164,Results_Deltas!$A$2:$P$15000,5,FALSE),"")</f>
        <v/>
      </c>
      <c r="H160" t="inlineStr">
        <is>
          <t>Blanket (page end)</t>
        </is>
      </c>
      <c r="L160" t="inlineStr">
        <is>
          <t>NO</t>
        </is>
      </c>
    </row>
    <row r="161" ht="15.75" customHeight="1" s="67">
      <c r="A161" t="inlineStr">
        <is>
          <t>LH_HL_FILTER_MODE</t>
        </is>
      </c>
      <c r="B161" t="inlineStr">
        <is>
          <t>STRICT_2BAR</t>
        </is>
      </c>
      <c r="D161" t="inlineStr">
        <is>
          <t>ENTRY, GLOBAL_CHECK, STOCKS_EXIT</t>
        </is>
      </c>
      <c r="G161">
        <f>IFERROR(VLOOKUP($A165&amp;"_"&amp;$B165,Results_Deltas!$A$2:$P$15000,5,FALSE),"")</f>
        <v/>
      </c>
      <c r="H161" t="inlineStr">
        <is>
          <t>Blanket (page end)</t>
        </is>
      </c>
      <c r="L161" t="inlineStr">
        <is>
          <t>NO</t>
        </is>
      </c>
    </row>
    <row r="162" ht="15.75" customHeight="1" s="67">
      <c r="A162" t="inlineStr">
        <is>
          <t>LH_HL_FILTER_MODE</t>
        </is>
      </c>
      <c r="B162" t="inlineStr">
        <is>
          <t>STRICT_2BAR_ALT</t>
        </is>
      </c>
      <c r="D162" t="inlineStr">
        <is>
          <t>ENTRY, GLOBAL_CHECK, STOCKS_EXIT</t>
        </is>
      </c>
      <c r="G162">
        <f>IFERROR(VLOOKUP($A166&amp;"_"&amp;$B166,Results_Deltas!$A$2:$P$15000,5,FALSE),"")</f>
        <v/>
      </c>
      <c r="H162" t="inlineStr">
        <is>
          <t>Blanket (page end)</t>
        </is>
      </c>
      <c r="L162" t="inlineStr">
        <is>
          <t>NO</t>
        </is>
      </c>
    </row>
    <row r="163" ht="15.75" customHeight="1" s="67">
      <c r="A163" t="inlineStr">
        <is>
          <t>LH_HL_FILTER_REQUIRE_BOTH</t>
        </is>
      </c>
      <c r="B163" t="inlineStr">
        <is>
          <t>False</t>
        </is>
      </c>
      <c r="D163" t="inlineStr">
        <is>
          <t>ENTRY, GLOBAL_CHECK, STOCKS_EXIT</t>
        </is>
      </c>
      <c r="G163">
        <f>IFERROR(VLOOKUP($A167&amp;"_"&amp;$B167,Results_Deltas!$A$2:$P$15000,5,FALSE),"")</f>
        <v/>
      </c>
      <c r="H163" t="inlineStr">
        <is>
          <t>Blanket (page end)</t>
        </is>
      </c>
      <c r="L163" t="inlineStr">
        <is>
          <t>NO</t>
        </is>
      </c>
    </row>
    <row r="164" ht="15.75" customHeight="1" s="67">
      <c r="A164" t="inlineStr">
        <is>
          <t>LH_HL_FILTER_REQUIRE_BOTH</t>
        </is>
      </c>
      <c r="B164" t="inlineStr">
        <is>
          <t>False_ALT</t>
        </is>
      </c>
      <c r="D164" t="inlineStr">
        <is>
          <t>ENTRY, GLOBAL_CHECK, STOCKS_EXIT</t>
        </is>
      </c>
      <c r="G164">
        <f>IFERROR(VLOOKUP($A168&amp;"_"&amp;$B168,Results_Deltas!$A$2:$P$15000,5,FALSE),"")</f>
        <v/>
      </c>
      <c r="H164" t="inlineStr">
        <is>
          <t>Blanket (page end)</t>
        </is>
      </c>
      <c r="L164" t="inlineStr">
        <is>
          <t>YES</t>
        </is>
      </c>
    </row>
    <row r="165" ht="15.75" customHeight="1" s="67">
      <c r="A165" t="inlineStr">
        <is>
          <t>LIVE_VEC_EMERGENCY_BRAKE_ENABLED</t>
        </is>
      </c>
      <c r="B165" t="inlineStr">
        <is>
          <t>False</t>
        </is>
      </c>
      <c r="D165" t="inlineStr">
        <is>
          <t>GLOBAL_CHECK, STOCKS_EXIT</t>
        </is>
      </c>
      <c r="G165">
        <f>IFERROR(VLOOKUP($A169&amp;"_"&amp;$B169,Results_Deltas!$A$2:$P$15000,5,FALSE),"")</f>
        <v/>
      </c>
      <c r="H165" t="inlineStr">
        <is>
          <t>Blanket (page end)</t>
        </is>
      </c>
      <c r="L165" t="inlineStr">
        <is>
          <t>NO</t>
        </is>
      </c>
    </row>
    <row r="166" ht="15.75" customHeight="1" s="67">
      <c r="A166" t="inlineStr">
        <is>
          <t>LIVE_VEC_EMERGENCY_BRAKE_ENABLED</t>
        </is>
      </c>
      <c r="B166" t="inlineStr">
        <is>
          <t>True</t>
        </is>
      </c>
      <c r="D166" t="inlineStr">
        <is>
          <t>GLOBAL_CHECK, STOCKS_EXIT</t>
        </is>
      </c>
      <c r="G166">
        <f>IFERROR(VLOOKUP($A170&amp;"_"&amp;$B170,Results_Deltas!$A$2:$P$15000,5,FALSE),"")</f>
        <v/>
      </c>
      <c r="H166" t="inlineStr">
        <is>
          <t>Blanket (page end)</t>
        </is>
      </c>
      <c r="L166" t="inlineStr">
        <is>
          <t>YES</t>
        </is>
      </c>
    </row>
    <row r="167" ht="15.75" customHeight="1" s="67">
      <c r="A167" t="inlineStr">
        <is>
          <t>LR_BAND_LADDER_STOCH_EXTREME</t>
        </is>
      </c>
      <c r="B167" t="inlineStr">
        <is>
          <t>30.0</t>
        </is>
      </c>
      <c r="D167" t="inlineStr">
        <is>
          <t>GLOBAL_CHECK, STOCKS_EXIT</t>
        </is>
      </c>
      <c r="G167">
        <f>IFERROR(VLOOKUP($A171&amp;"_"&amp;$B171,Results_Deltas!$A$2:$P$15000,5,FALSE),"")</f>
        <v/>
      </c>
      <c r="H167" t="inlineStr">
        <is>
          <t>Blanket (page end)</t>
        </is>
      </c>
      <c r="L167" t="inlineStr">
        <is>
          <t>NO</t>
        </is>
      </c>
    </row>
    <row r="168" ht="15.75" customHeight="1" s="67">
      <c r="A168" t="inlineStr">
        <is>
          <t>LR_BAND_LADDER_STOCH_EXTREME</t>
        </is>
      </c>
      <c r="B168" t="inlineStr">
        <is>
          <t>30.0_ALT</t>
        </is>
      </c>
      <c r="D168" t="inlineStr">
        <is>
          <t>GLOBAL_CHECK, STOCKS_EXIT</t>
        </is>
      </c>
      <c r="G168">
        <f>IFERROR(VLOOKUP($A172&amp;"_"&amp;$B172,Results_Deltas!$A$2:$P$15000,5,FALSE),"")</f>
        <v/>
      </c>
      <c r="H168" t="inlineStr">
        <is>
          <t>Blanket (page end)</t>
        </is>
      </c>
      <c r="L168" t="inlineStr">
        <is>
          <t>YES</t>
        </is>
      </c>
    </row>
    <row r="169" ht="15.75" customHeight="1" s="67">
      <c r="A169" t="inlineStr">
        <is>
          <t>LR_BAND_LADDER_TF_BOTTOM</t>
        </is>
      </c>
      <c r="B169" t="inlineStr">
        <is>
          <t>0</t>
        </is>
      </c>
      <c r="D169" t="inlineStr">
        <is>
          <t>GLOBAL_CHECK, STOCKS_EXIT</t>
        </is>
      </c>
      <c r="G169">
        <f>IFERROR(VLOOKUP($A173&amp;"_"&amp;$B173,Results_Deltas!$A$2:$P$15000,5,FALSE),"")</f>
        <v/>
      </c>
      <c r="H169" t="inlineStr">
        <is>
          <t>Blanket (page end)</t>
        </is>
      </c>
      <c r="L169" t="inlineStr">
        <is>
          <t>NO</t>
        </is>
      </c>
    </row>
    <row r="170" ht="15.75" customHeight="1" s="67">
      <c r="A170" t="inlineStr">
        <is>
          <t>LR_BAND_LADDER_TF_BOTTOM</t>
        </is>
      </c>
      <c r="B170" t="inlineStr">
        <is>
          <t>1</t>
        </is>
      </c>
      <c r="D170" t="inlineStr">
        <is>
          <t>GLOBAL_CHECK, STOCKS_EXIT</t>
        </is>
      </c>
      <c r="G170">
        <f>IFERROR(VLOOKUP($A174&amp;"_"&amp;$B174,Results_Deltas!$A$2:$P$15000,5,FALSE),"")</f>
        <v/>
      </c>
      <c r="H170" t="inlineStr">
        <is>
          <t>Blanket (page end)</t>
        </is>
      </c>
      <c r="L170" t="inlineStr">
        <is>
          <t>YES</t>
        </is>
      </c>
    </row>
    <row r="171" ht="15.75" customHeight="1" s="67">
      <c r="A171" t="inlineStr">
        <is>
          <t>LR_BAND_LADDER_TF_TOP</t>
        </is>
      </c>
      <c r="B171" t="inlineStr">
        <is>
          <t>0</t>
        </is>
      </c>
      <c r="D171" t="inlineStr">
        <is>
          <t>GLOBAL_CHECK, STOCKS_EXIT</t>
        </is>
      </c>
      <c r="G171">
        <f>IFERROR(VLOOKUP($A175&amp;"_"&amp;$B175,Results_Deltas!$A$2:$P$15000,5,FALSE),"")</f>
        <v/>
      </c>
      <c r="H171" t="inlineStr">
        <is>
          <t>Blanket (page end)</t>
        </is>
      </c>
      <c r="L171" t="inlineStr">
        <is>
          <t>NO</t>
        </is>
      </c>
    </row>
    <row r="172" ht="15.75" customHeight="1" s="67">
      <c r="A172" t="inlineStr">
        <is>
          <t>LR_BAND_LADDER_TF_TOP</t>
        </is>
      </c>
      <c r="B172" t="inlineStr">
        <is>
          <t>1</t>
        </is>
      </c>
      <c r="D172" t="inlineStr">
        <is>
          <t>GLOBAL_CHECK, STOCKS_EXIT</t>
        </is>
      </c>
      <c r="G172">
        <f>IFERROR(VLOOKUP($A176&amp;"_"&amp;$B176,Results_Deltas!$A$2:$P$15000,5,FALSE),"")</f>
        <v/>
      </c>
      <c r="H172" t="inlineStr">
        <is>
          <t>Blanket (page end)</t>
        </is>
      </c>
      <c r="L172" t="inlineStr">
        <is>
          <t>YES</t>
        </is>
      </c>
    </row>
    <row r="173" ht="15.75" customHeight="1" s="67">
      <c r="A173" t="inlineStr">
        <is>
          <t>MANDATORY_REENTRY_WT_FILTER_MIN_TFS</t>
        </is>
      </c>
      <c r="B173" t="n">
        <v>0</v>
      </c>
      <c r="D173" t="inlineStr">
        <is>
          <t>GLOBAL_CHECK, STOCKS_EXIT</t>
        </is>
      </c>
      <c r="G173">
        <f>IFERROR(VLOOKUP($A177&amp;"_"&amp;$B177,Results_Deltas!$A$2:$P$15000,5,FALSE),"")</f>
        <v/>
      </c>
      <c r="H173" t="inlineStr">
        <is>
          <t>Blanket (page end)</t>
        </is>
      </c>
      <c r="L173" t="inlineStr">
        <is>
          <t>NO</t>
        </is>
      </c>
    </row>
    <row r="174" ht="15.75" customHeight="1" s="67">
      <c r="A174" t="inlineStr">
        <is>
          <t>MANDATORY_REENTRY_WT_FILTER_MIN_TFS</t>
        </is>
      </c>
      <c r="B174" t="inlineStr">
        <is>
          <t>3</t>
        </is>
      </c>
      <c r="D174" t="inlineStr">
        <is>
          <t>GLOBAL_CHECK, STOCKS_EXIT</t>
        </is>
      </c>
      <c r="G174">
        <f>IFERROR(VLOOKUP($A178&amp;"_"&amp;$B178,Results_Deltas!$A$2:$P$15000,5,FALSE),"")</f>
        <v/>
      </c>
      <c r="H174" t="inlineStr">
        <is>
          <t>Blanket (page end)</t>
        </is>
      </c>
      <c r="L174" t="inlineStr">
        <is>
          <t>NO</t>
        </is>
      </c>
    </row>
    <row r="175" ht="15.75" customHeight="1" s="67">
      <c r="A175" t="inlineStr">
        <is>
          <t>MANDATORY_REENTRY_WT_FILTER_MIN_TFS</t>
        </is>
      </c>
      <c r="B175" t="inlineStr">
        <is>
          <t>2</t>
        </is>
      </c>
      <c r="D175" t="inlineStr">
        <is>
          <t>GLOBAL_CHECK, STOCKS_EXIT</t>
        </is>
      </c>
      <c r="G175">
        <f>IFERROR(VLOOKUP($A179&amp;"_"&amp;$B179,Results_Deltas!$A$2:$P$15000,5,FALSE),"")</f>
        <v/>
      </c>
      <c r="H175" t="inlineStr">
        <is>
          <t>Blanket (page end)</t>
        </is>
      </c>
      <c r="L175" t="inlineStr">
        <is>
          <t>NO</t>
        </is>
      </c>
    </row>
    <row r="176" ht="15.75" customHeight="1" s="67">
      <c r="A176" t="inlineStr">
        <is>
          <t>MANDATORY_REENTRY_WT_FILTER_MIN_VELOCITY</t>
        </is>
      </c>
      <c r="B176" t="inlineStr">
        <is>
          <t>0.0</t>
        </is>
      </c>
      <c r="D176" t="inlineStr">
        <is>
          <t>GLOBAL_CHECK, STOCKS_EXIT</t>
        </is>
      </c>
      <c r="G176">
        <f>IFERROR(VLOOKUP($A180&amp;"_"&amp;$B180,Results_Deltas!$A$2:$P$15000,5,FALSE),"")</f>
        <v/>
      </c>
      <c r="H176" t="inlineStr">
        <is>
          <t>Blanket (page end)</t>
        </is>
      </c>
      <c r="L176" t="inlineStr">
        <is>
          <t>NO</t>
        </is>
      </c>
    </row>
    <row r="177" ht="15.75" customHeight="1" s="67">
      <c r="A177" t="inlineStr">
        <is>
          <t>MANDATORY_REENTRY_WT_FILTER_MIN_VELOCITY</t>
        </is>
      </c>
      <c r="B177" t="inlineStr">
        <is>
          <t>0.0_ALT</t>
        </is>
      </c>
      <c r="D177" t="inlineStr">
        <is>
          <t>GLOBAL_CHECK, STOCKS_EXIT</t>
        </is>
      </c>
      <c r="G177">
        <f>IFERROR(VLOOKUP($A181&amp;"_"&amp;$B181,Results_Deltas!$A$2:$P$15000,5,FALSE),"")</f>
        <v/>
      </c>
      <c r="H177" t="inlineStr">
        <is>
          <t>Blanket (page end)</t>
        </is>
      </c>
      <c r="L177" t="inlineStr">
        <is>
          <t>NO</t>
        </is>
      </c>
    </row>
    <row r="178" ht="15.75" customHeight="1" s="67">
      <c r="A178" t="inlineStr">
        <is>
          <t>MANDATORY_REENTRY_WT_FILTER_REQUIRE_FLIP</t>
        </is>
      </c>
      <c r="B178" t="n">
        <v>0</v>
      </c>
      <c r="D178" t="inlineStr">
        <is>
          <t>GLOBAL_CHECK, STOCKS_EXIT</t>
        </is>
      </c>
      <c r="G178">
        <f>IFERROR(VLOOKUP($A182&amp;"_"&amp;$B182,Results_Deltas!$A$2:$P$15000,5,FALSE),"")</f>
        <v/>
      </c>
      <c r="H178" t="inlineStr">
        <is>
          <t>Blanket (page end)</t>
        </is>
      </c>
      <c r="L178" t="inlineStr">
        <is>
          <t>YES</t>
        </is>
      </c>
    </row>
    <row r="179" ht="15.75" customHeight="1" s="67">
      <c r="A179" t="inlineStr">
        <is>
          <t>MANDATORY_REENTRY_WT_FILTER_REQUIRE_FLIP</t>
        </is>
      </c>
      <c r="B179" t="inlineStr">
        <is>
          <t>False_ALT</t>
        </is>
      </c>
      <c r="D179" t="inlineStr">
        <is>
          <t>GLOBAL_CHECK, STOCKS_EXIT</t>
        </is>
      </c>
      <c r="G179">
        <f>IFERROR(VLOOKUP($A183&amp;"_"&amp;$B183,Results_Deltas!$A$2:$P$15000,5,FALSE),"")</f>
        <v/>
      </c>
      <c r="H179" t="inlineStr">
        <is>
          <t>Blanket (page end)</t>
        </is>
      </c>
      <c r="L179" t="inlineStr">
        <is>
          <t>NO</t>
        </is>
      </c>
    </row>
    <row r="180" ht="15.75" customHeight="1" s="67">
      <c r="A180" t="inlineStr">
        <is>
          <t>MANDATORY_REENTRY_WT_FILTER_VELOCITY_RATIO</t>
        </is>
      </c>
      <c r="B180" t="n">
        <v>0</v>
      </c>
      <c r="D180" t="inlineStr">
        <is>
          <t>GLOBAL_CHECK, STOCKS_EXIT</t>
        </is>
      </c>
      <c r="G180">
        <f>IFERROR(VLOOKUP($A184&amp;"_"&amp;$B184,Results_Deltas!$A$2:$P$15000,5,FALSE),"")</f>
        <v/>
      </c>
      <c r="H180" t="inlineStr">
        <is>
          <t>Blanket (page end)</t>
        </is>
      </c>
      <c r="L180" t="inlineStr">
        <is>
          <t>NO</t>
        </is>
      </c>
    </row>
    <row r="181" ht="15.75" customHeight="1" s="67">
      <c r="A181" t="inlineStr">
        <is>
          <t>MANDATORY_REENTRY_WT_FILTER_VELOCITY_RATIO</t>
        </is>
      </c>
      <c r="B181" t="inlineStr">
        <is>
          <t>0.90_ALT</t>
        </is>
      </c>
      <c r="D181" t="inlineStr">
        <is>
          <t>GLOBAL_CHECK, STOCKS_EXIT</t>
        </is>
      </c>
      <c r="G181">
        <f>IFERROR(VLOOKUP($A185&amp;"_"&amp;$B185,Results_Deltas!$A$2:$P$15000,5,FALSE),"")</f>
        <v/>
      </c>
      <c r="H181" t="inlineStr">
        <is>
          <t>Blanket (page end)</t>
        </is>
      </c>
      <c r="L181" t="inlineStr">
        <is>
          <t>YES</t>
        </is>
      </c>
    </row>
    <row r="182" ht="15.75" customHeight="1" s="67">
      <c r="A182" t="inlineStr">
        <is>
          <t>MARKET_QUALITY_SCORE_ENABLED</t>
        </is>
      </c>
      <c r="B182" t="inlineStr">
        <is>
          <t>False</t>
        </is>
      </c>
      <c r="D182" t="inlineStr">
        <is>
          <t>ENTRY, GLOBAL_CHECK, STOCKS_EXIT</t>
        </is>
      </c>
      <c r="G182">
        <f>IFERROR(VLOOKUP($A186&amp;"_"&amp;$B186,Results_Deltas!$A$2:$P$15000,5,FALSE),"")</f>
        <v/>
      </c>
      <c r="H182" t="inlineStr">
        <is>
          <t>Blanket (page end)</t>
        </is>
      </c>
      <c r="L182" t="inlineStr">
        <is>
          <t>NO</t>
        </is>
      </c>
    </row>
    <row r="183" ht="15.75" customHeight="1" s="67">
      <c r="A183" t="inlineStr">
        <is>
          <t>MARKET_QUALITY_SCORE_ENABLED</t>
        </is>
      </c>
      <c r="B183" t="inlineStr">
        <is>
          <t>True</t>
        </is>
      </c>
      <c r="D183" t="inlineStr">
        <is>
          <t>ENTRY, GLOBAL_CHECK, STOCKS_EXIT</t>
        </is>
      </c>
      <c r="G183">
        <f>IFERROR(VLOOKUP($A187&amp;"_"&amp;$B187,Results_Deltas!$A$2:$P$15000,5,FALSE),"")</f>
        <v/>
      </c>
      <c r="H183" t="inlineStr">
        <is>
          <t>Blanket (page end)</t>
        </is>
      </c>
      <c r="L183" t="inlineStr">
        <is>
          <t>YES</t>
        </is>
      </c>
    </row>
    <row r="184" ht="15.75" customHeight="1" s="67">
      <c r="A184" t="inlineStr">
        <is>
          <t>MI_TF_AGREE_MIN</t>
        </is>
      </c>
      <c r="B184" t="inlineStr">
        <is>
          <t>0.0</t>
        </is>
      </c>
      <c r="D184" t="inlineStr">
        <is>
          <t>ENTRY, GLOBAL_CHECK, STOCKS_EXIT</t>
        </is>
      </c>
      <c r="G184">
        <f>IFERROR(VLOOKUP($A188&amp;"_"&amp;$B188,Results_Deltas!$A$2:$P$15000,5,FALSE),"")</f>
        <v/>
      </c>
      <c r="H184" t="inlineStr">
        <is>
          <t>Blanket (page end)</t>
        </is>
      </c>
      <c r="L184" t="inlineStr">
        <is>
          <t>NO</t>
        </is>
      </c>
    </row>
    <row r="185" ht="15.75" customHeight="1" s="67">
      <c r="A185" t="inlineStr">
        <is>
          <t>MI_TF_AGREE_MIN</t>
        </is>
      </c>
      <c r="B185" t="inlineStr">
        <is>
          <t>0.0_ALT</t>
        </is>
      </c>
      <c r="D185" t="inlineStr">
        <is>
          <t>ENTRY, GLOBAL_CHECK, STOCKS_EXIT</t>
        </is>
      </c>
      <c r="G185">
        <f>IFERROR(VLOOKUP($A189&amp;"_"&amp;$B189,Results_Deltas!$A$2:$P$15000,5,FALSE),"")</f>
        <v/>
      </c>
      <c r="H185" t="inlineStr">
        <is>
          <t>Blanket (page end)</t>
        </is>
      </c>
      <c r="L185" t="inlineStr">
        <is>
          <t>YES</t>
        </is>
      </c>
    </row>
    <row r="186" ht="15.75" customHeight="1" s="67">
      <c r="A186" t="inlineStr">
        <is>
          <t>MOVER_THRESHOLD</t>
        </is>
      </c>
      <c r="B186" t="n">
        <v>0</v>
      </c>
      <c r="D186" t="inlineStr">
        <is>
          <t>ENTRY, GLOBAL_CHECK, STOCKS_EXIT</t>
        </is>
      </c>
      <c r="G186">
        <f>IFERROR(VLOOKUP($A190&amp;"_"&amp;$B190,Results_Deltas!$A$2:$P$15000,5,FALSE),"")</f>
        <v/>
      </c>
      <c r="H186" t="inlineStr">
        <is>
          <t>Blanket (page end)</t>
        </is>
      </c>
      <c r="L186" t="inlineStr">
        <is>
          <t>NO</t>
        </is>
      </c>
    </row>
    <row r="187" ht="15.75" customHeight="1" s="67">
      <c r="A187" t="inlineStr">
        <is>
          <t>MOVER_THRESHOLD</t>
        </is>
      </c>
      <c r="B187" t="inlineStr">
        <is>
          <t>6.25</t>
        </is>
      </c>
      <c r="D187" t="inlineStr">
        <is>
          <t>ENTRY, GLOBAL_CHECK, STOCKS_EXIT</t>
        </is>
      </c>
      <c r="G187">
        <f>IFERROR(VLOOKUP($A191&amp;"_"&amp;$B191,Results_Deltas!$A$2:$P$15000,5,FALSE),"")</f>
        <v/>
      </c>
      <c r="H187" t="inlineStr">
        <is>
          <t>Blanket (page end)</t>
        </is>
      </c>
      <c r="L187" t="inlineStr">
        <is>
          <t>YES</t>
        </is>
      </c>
    </row>
    <row r="188" ht="15.75" customHeight="1" s="67">
      <c r="A188" t="inlineStr">
        <is>
          <t>MOVER_THRESHOLD</t>
        </is>
      </c>
      <c r="B188" t="inlineStr">
        <is>
          <t>3.75</t>
        </is>
      </c>
      <c r="D188" t="inlineStr">
        <is>
          <t>ENTRY, GLOBAL_CHECK, STOCKS_EXIT</t>
        </is>
      </c>
      <c r="G188">
        <f>IFERROR(VLOOKUP($A192&amp;"_"&amp;$B192,Results_Deltas!$A$2:$P$15000,5,FALSE),"")</f>
        <v/>
      </c>
      <c r="H188" t="inlineStr">
        <is>
          <t>Blanket (page end)</t>
        </is>
      </c>
      <c r="L188" t="inlineStr">
        <is>
          <t>NO</t>
        </is>
      </c>
    </row>
    <row r="189" ht="15.75" customHeight="1" s="67">
      <c r="A189" t="inlineStr">
        <is>
          <t>MOVER_THRESHOLD</t>
        </is>
      </c>
      <c r="B189" t="inlineStr">
        <is>
          <t>2.5</t>
        </is>
      </c>
      <c r="D189" t="inlineStr">
        <is>
          <t>ENTRY, GLOBAL_CHECK, STOCKS_EXIT</t>
        </is>
      </c>
      <c r="G189">
        <f>IFERROR(VLOOKUP($A193&amp;"_"&amp;$B193,Results_Deltas!$A$2:$P$15000,5,FALSE),"")</f>
        <v/>
      </c>
      <c r="H189" t="inlineStr">
        <is>
          <t>Blanket (page end)</t>
        </is>
      </c>
      <c r="L189" t="inlineStr">
        <is>
          <t>NO</t>
        </is>
      </c>
    </row>
    <row r="190" ht="15.75" customHeight="1" s="67">
      <c r="A190" t="inlineStr">
        <is>
          <t>MTF_FILTER_STRONG_BUY_QUICK_BYPASS</t>
        </is>
      </c>
      <c r="B190" t="inlineStr">
        <is>
          <t>0.0</t>
        </is>
      </c>
      <c r="D190" t="inlineStr">
        <is>
          <t>GLOBAL_CHECK, STOCKS_EXIT</t>
        </is>
      </c>
      <c r="G190">
        <f>IFERROR(VLOOKUP($A194&amp;"_"&amp;$B194,Results_Deltas!$A$2:$P$15000,5,FALSE),"")</f>
        <v/>
      </c>
      <c r="H190" t="inlineStr">
        <is>
          <t>Blanket (page end)</t>
        </is>
      </c>
      <c r="L190" t="inlineStr">
        <is>
          <t>NO</t>
        </is>
      </c>
    </row>
    <row r="191" ht="15.75" customHeight="1" s="67">
      <c r="A191" t="inlineStr">
        <is>
          <t>MTF_FILTER_STRONG_BUY_QUICK_BYPASS</t>
        </is>
      </c>
      <c r="B191" t="inlineStr">
        <is>
          <t>0.0_ALT</t>
        </is>
      </c>
      <c r="D191" t="inlineStr">
        <is>
          <t>GLOBAL_CHECK, STOCKS_EXIT</t>
        </is>
      </c>
      <c r="G191">
        <f>IFERROR(VLOOKUP($A195&amp;"_"&amp;$B195,Results_Deltas!$A$2:$P$15000,5,FALSE),"")</f>
        <v/>
      </c>
      <c r="H191" t="inlineStr">
        <is>
          <t>Blanket (page end)</t>
        </is>
      </c>
      <c r="L191" t="inlineStr">
        <is>
          <t>YES</t>
        </is>
      </c>
    </row>
    <row r="192" ht="15.75" customHeight="1" s="67">
      <c r="A192" t="inlineStr">
        <is>
          <t>MTF_GR_MIN_IND</t>
        </is>
      </c>
      <c r="B192" t="inlineStr">
        <is>
          <t>5</t>
        </is>
      </c>
      <c r="D192" t="inlineStr">
        <is>
          <t>GLOBAL_CHECK, STOCKS_EXIT</t>
        </is>
      </c>
      <c r="G192">
        <f>IFERROR(VLOOKUP($A196&amp;"_"&amp;$B196,Results_Deltas!$A$2:$P$15000,5,FALSE),"")</f>
        <v/>
      </c>
      <c r="H192" t="inlineStr">
        <is>
          <t>Blanket (page end)</t>
        </is>
      </c>
      <c r="L192" t="inlineStr">
        <is>
          <t>NO</t>
        </is>
      </c>
    </row>
    <row r="193" ht="15.75" customHeight="1" s="67">
      <c r="A193" t="inlineStr">
        <is>
          <t>MTF_GR_MIN_IND</t>
        </is>
      </c>
      <c r="B193" t="inlineStr">
        <is>
          <t>5_ALT</t>
        </is>
      </c>
      <c r="D193" t="inlineStr">
        <is>
          <t>GLOBAL_CHECK, STOCKS_EXIT</t>
        </is>
      </c>
      <c r="G193">
        <f>IFERROR(VLOOKUP($A197&amp;"_"&amp;$B197,Results_Deltas!$A$2:$P$15000,5,FALSE),"")</f>
        <v/>
      </c>
      <c r="H193" t="inlineStr">
        <is>
          <t>Blanket (page end)</t>
        </is>
      </c>
      <c r="L193" t="inlineStr">
        <is>
          <t>NO</t>
        </is>
      </c>
    </row>
    <row r="194" ht="15.75" customHeight="1" s="67">
      <c r="A194" t="inlineStr">
        <is>
          <t>MTS_BOTTOM_BONUS_THRESHOLD</t>
        </is>
      </c>
      <c r="B194" t="n">
        <v>0</v>
      </c>
      <c r="D194" t="inlineStr">
        <is>
          <t>ENTRY, GLOBAL_CHECK, STOCKS_EXIT</t>
        </is>
      </c>
      <c r="G194">
        <f>IFERROR(VLOOKUP($A198&amp;"_"&amp;$B198,Results_Deltas!$A$2:$P$15000,5,FALSE),"")</f>
        <v/>
      </c>
      <c r="H194" t="inlineStr">
        <is>
          <t>Blanket (page end)</t>
        </is>
      </c>
      <c r="L194" t="inlineStr">
        <is>
          <t>NO</t>
        </is>
      </c>
    </row>
    <row r="195" ht="15.75" customHeight="1" s="67">
      <c r="A195" t="inlineStr">
        <is>
          <t>MTS_BOTTOM_BONUS_THRESHOLD</t>
        </is>
      </c>
      <c r="B195" t="inlineStr">
        <is>
          <t>31.25</t>
        </is>
      </c>
      <c r="D195" t="inlineStr">
        <is>
          <t>ENTRY, GLOBAL_CHECK, STOCKS_EXIT</t>
        </is>
      </c>
      <c r="G195">
        <f>IFERROR(VLOOKUP($A199&amp;"_"&amp;$B199,Results_Deltas!$A$2:$P$15000,5,FALSE),"")</f>
        <v/>
      </c>
      <c r="H195" t="inlineStr">
        <is>
          <t>Blanket (page end)</t>
        </is>
      </c>
      <c r="L195" t="inlineStr">
        <is>
          <t>NO</t>
        </is>
      </c>
    </row>
    <row r="196" ht="15.75" customHeight="1" s="67">
      <c r="A196" t="inlineStr">
        <is>
          <t>MTS_BOTTOM_BONUS_THRESHOLD</t>
        </is>
      </c>
      <c r="B196" t="inlineStr">
        <is>
          <t>18.75</t>
        </is>
      </c>
      <c r="D196" t="inlineStr">
        <is>
          <t>ENTRY, GLOBAL_CHECK, STOCKS_EXIT</t>
        </is>
      </c>
      <c r="G196">
        <f>IFERROR(VLOOKUP($A200&amp;"_"&amp;$B200,Results_Deltas!$A$2:$P$15000,5,FALSE),"")</f>
        <v/>
      </c>
      <c r="H196" t="inlineStr">
        <is>
          <t>Blanket (page end)</t>
        </is>
      </c>
      <c r="L196" t="inlineStr">
        <is>
          <t>NO</t>
        </is>
      </c>
    </row>
    <row r="197" ht="15.75" customHeight="1" s="67">
      <c r="A197" t="inlineStr">
        <is>
          <t>MTS_BOTTOM_BONUS_THRESHOLD</t>
        </is>
      </c>
      <c r="B197" t="inlineStr">
        <is>
          <t>12.5</t>
        </is>
      </c>
      <c r="D197" t="inlineStr">
        <is>
          <t>ENTRY, GLOBAL_CHECK, STOCKS_EXIT</t>
        </is>
      </c>
      <c r="G197">
        <f>IFERROR(VLOOKUP($A201&amp;"_"&amp;$B201,Results_Deltas!$A$2:$P$15000,5,FALSE),"")</f>
        <v/>
      </c>
      <c r="H197" t="inlineStr">
        <is>
          <t>Blanket (page end)</t>
        </is>
      </c>
      <c r="L197" t="inlineStr">
        <is>
          <t>NO</t>
        </is>
      </c>
    </row>
    <row r="198" ht="15.75" customHeight="1" s="67">
      <c r="A198" t="inlineStr">
        <is>
          <t>MTS_BOTTOM_STRONG_THRESHOLD</t>
        </is>
      </c>
      <c r="B198" t="n">
        <v>0</v>
      </c>
      <c r="D198" t="inlineStr">
        <is>
          <t>ENTRY, GLOBAL_CHECK, STOCKS_EXIT</t>
        </is>
      </c>
      <c r="G198">
        <f>IFERROR(VLOOKUP($A202&amp;"_"&amp;$B202,Results_Deltas!$A$2:$P$15000,5,FALSE),"")</f>
        <v/>
      </c>
      <c r="H198" t="inlineStr">
        <is>
          <t>Blanket (page end)</t>
        </is>
      </c>
      <c r="L198" t="inlineStr">
        <is>
          <t>NO</t>
        </is>
      </c>
    </row>
    <row r="199" ht="15.75" customHeight="1" s="67">
      <c r="A199" t="inlineStr">
        <is>
          <t>MTS_BOTTOM_STRONG_THRESHOLD</t>
        </is>
      </c>
      <c r="B199" t="inlineStr">
        <is>
          <t>50</t>
        </is>
      </c>
      <c r="D199" t="inlineStr">
        <is>
          <t>ENTRY, GLOBAL_CHECK, STOCKS_EXIT</t>
        </is>
      </c>
      <c r="G199">
        <f>IFERROR(VLOOKUP($A203&amp;"_"&amp;$B203,Results_Deltas!$A$2:$P$15000,5,FALSE),"")</f>
        <v/>
      </c>
      <c r="H199" t="inlineStr">
        <is>
          <t>Blanket (page end)</t>
        </is>
      </c>
      <c r="L199" t="inlineStr">
        <is>
          <t>YES</t>
        </is>
      </c>
    </row>
    <row r="200" ht="15.75" customHeight="1" s="67">
      <c r="A200" t="inlineStr">
        <is>
          <t>MTS_BOTTOM_STRONG_THRESHOLD</t>
        </is>
      </c>
      <c r="B200" t="inlineStr">
        <is>
          <t>30</t>
        </is>
      </c>
      <c r="D200" t="inlineStr">
        <is>
          <t>ENTRY, GLOBAL_CHECK, STOCKS_EXIT</t>
        </is>
      </c>
      <c r="G200">
        <f>IFERROR(VLOOKUP($A204&amp;"_"&amp;$B204,Results_Deltas!$A$2:$P$15000,5,FALSE),"")</f>
        <v/>
      </c>
      <c r="H200" t="inlineStr">
        <is>
          <t>Blanket (page end)</t>
        </is>
      </c>
      <c r="L200" t="inlineStr">
        <is>
          <t>NO</t>
        </is>
      </c>
    </row>
    <row r="201" ht="15.75" customHeight="1" s="67">
      <c r="A201" t="inlineStr">
        <is>
          <t>MTS_BOTTOM_STRONG_THRESHOLD</t>
        </is>
      </c>
      <c r="B201" t="inlineStr">
        <is>
          <t>20</t>
        </is>
      </c>
      <c r="D201" t="inlineStr">
        <is>
          <t>ENTRY, GLOBAL_CHECK, STOCKS_EXIT</t>
        </is>
      </c>
      <c r="G201">
        <f>IFERROR(VLOOKUP($A205&amp;"_"&amp;$B205,Results_Deltas!$A$2:$P$15000,5,FALSE),"")</f>
        <v/>
      </c>
      <c r="H201" t="inlineStr">
        <is>
          <t>Blanket (page end)</t>
        </is>
      </c>
      <c r="L201" t="inlineStr">
        <is>
          <t>NO</t>
        </is>
      </c>
    </row>
    <row r="202" ht="15.75" customHeight="1" s="67">
      <c r="A202" t="inlineStr">
        <is>
          <t>MTS_GATE_ENABLED</t>
        </is>
      </c>
      <c r="B202" t="inlineStr">
        <is>
          <t>False</t>
        </is>
      </c>
      <c r="D202" t="inlineStr">
        <is>
          <t>ENTRY, GLOBAL_CHECK, STOCKS_EXIT</t>
        </is>
      </c>
      <c r="G202">
        <f>IFERROR(VLOOKUP($A206&amp;"_"&amp;$B206,Results_Deltas!$A$2:$P$15000,5,FALSE),"")</f>
        <v/>
      </c>
      <c r="H202" t="inlineStr">
        <is>
          <t>Blanket (page end)</t>
        </is>
      </c>
      <c r="L202" t="inlineStr">
        <is>
          <t>NO</t>
        </is>
      </c>
    </row>
    <row r="203" ht="15.75" customHeight="1" s="67">
      <c r="A203" t="inlineStr">
        <is>
          <t>MTS_GATE_ENABLED</t>
        </is>
      </c>
      <c r="B203" t="b">
        <v>0</v>
      </c>
      <c r="D203" t="inlineStr">
        <is>
          <t>ENTRY, GLOBAL_CHECK, STOCKS_EXIT</t>
        </is>
      </c>
      <c r="G203">
        <f>IFERROR(VLOOKUP($A207&amp;"_"&amp;$B207,Results_Deltas!$A$2:$P$15000,5,FALSE),"")</f>
        <v/>
      </c>
      <c r="H203" t="inlineStr">
        <is>
          <t>Blanket (page end)</t>
        </is>
      </c>
      <c r="L203" t="inlineStr">
        <is>
          <t>YES</t>
        </is>
      </c>
    </row>
    <row r="204" ht="15.75" customHeight="1" s="67">
      <c r="A204" t="inlineStr">
        <is>
          <t>NEWBORN_LOSS_KILL_GAIN_THRESHOLD_PCT</t>
        </is>
      </c>
      <c r="B204" t="inlineStr">
        <is>
          <t>0</t>
        </is>
      </c>
      <c r="D204" t="inlineStr">
        <is>
          <t>AUGMENT, EXIT, GLOBAL_CHECK, REDUCE, STOCKS_EXIT</t>
        </is>
      </c>
      <c r="G204">
        <f>IFERROR(VLOOKUP($A208&amp;"_"&amp;$B208,Results_Deltas!$A$2:$P$15000,5,FALSE),"")</f>
        <v/>
      </c>
      <c r="H204" t="inlineStr">
        <is>
          <t>Blanket (page end)</t>
        </is>
      </c>
      <c r="L204" t="inlineStr">
        <is>
          <t>NO</t>
        </is>
      </c>
    </row>
    <row r="205" ht="15.75" customHeight="1" s="67">
      <c r="A205" t="inlineStr">
        <is>
          <t>NEWBORN_LOSS_KILL_GAIN_THRESHOLD_PCT</t>
        </is>
      </c>
      <c r="B205" t="inlineStr">
        <is>
          <t>2.0</t>
        </is>
      </c>
      <c r="D205" t="inlineStr">
        <is>
          <t>AUGMENT, EXIT, GLOBAL_CHECK, REDUCE, STOCKS_EXIT</t>
        </is>
      </c>
      <c r="G205">
        <f>IFERROR(VLOOKUP($A209&amp;"_"&amp;$B209,Results_Deltas!$A$2:$P$15000,5,FALSE),"")</f>
        <v/>
      </c>
      <c r="H205" t="inlineStr">
        <is>
          <t>Blanket (page end)</t>
        </is>
      </c>
      <c r="L205" t="inlineStr">
        <is>
          <t>NO</t>
        </is>
      </c>
    </row>
    <row r="206" ht="15.75" customHeight="1" s="67">
      <c r="A206" t="inlineStr">
        <is>
          <t>NEWBORN_LOSS_KILL_GAIN_THRESHOLD_PCT</t>
        </is>
      </c>
      <c r="B206" t="inlineStr">
        <is>
          <t>1.0</t>
        </is>
      </c>
      <c r="D206" t="inlineStr">
        <is>
          <t>AUGMENT, EXIT, GLOBAL_CHECK, REDUCE, STOCKS_EXIT</t>
        </is>
      </c>
      <c r="G206">
        <f>IFERROR(VLOOKUP($A210&amp;"_"&amp;$B210,Results_Deltas!$A$2:$P$15000,5,FALSE),"")</f>
        <v/>
      </c>
      <c r="H206" t="inlineStr">
        <is>
          <t>Blanket (page end)</t>
        </is>
      </c>
      <c r="L206" t="inlineStr">
        <is>
          <t>NO</t>
        </is>
      </c>
    </row>
    <row r="207" ht="15.75" customHeight="1" s="67">
      <c r="A207" t="inlineStr">
        <is>
          <t>NEWBORN_LOSS_KILL_GAIN_THRESHOLD_PCT</t>
        </is>
      </c>
      <c r="B207" t="inlineStr">
        <is>
          <t>0.5</t>
        </is>
      </c>
      <c r="D207" t="inlineStr">
        <is>
          <t>AUGMENT, EXIT, GLOBAL_CHECK, REDUCE, STOCKS_EXIT</t>
        </is>
      </c>
      <c r="G207">
        <f>IFERROR(VLOOKUP($A211&amp;"_"&amp;$B211,Results_Deltas!$A$2:$P$15000,5,FALSE),"")</f>
        <v/>
      </c>
      <c r="H207" t="inlineStr">
        <is>
          <t>Blanket (page end)</t>
        </is>
      </c>
      <c r="L207" t="inlineStr">
        <is>
          <t>NO</t>
        </is>
      </c>
    </row>
    <row r="208" ht="15.75" customHeight="1" s="67">
      <c r="A208" t="inlineStr">
        <is>
          <t>NEWBORN_LOSS_KILL_REQUIRE_VEL_AGAINST</t>
        </is>
      </c>
      <c r="B208" t="inlineStr">
        <is>
          <t>0.0</t>
        </is>
      </c>
      <c r="D208" t="inlineStr">
        <is>
          <t>AUGMENT, EXIT, GLOBAL_CHECK, REDUCE, STOCKS_EXIT</t>
        </is>
      </c>
      <c r="G208">
        <f>IFERROR(VLOOKUP($A212&amp;"_"&amp;$B212,Results_Deltas!$A$2:$P$15000,5,FALSE),"")</f>
        <v/>
      </c>
      <c r="H208" t="inlineStr">
        <is>
          <t>Blanket (page end)</t>
        </is>
      </c>
      <c r="L208" t="inlineStr">
        <is>
          <t>YES</t>
        </is>
      </c>
    </row>
    <row r="209" ht="15.75" customHeight="1" s="67">
      <c r="A209" t="inlineStr">
        <is>
          <t>NEWBORN_LOSS_KILL_REQUIRE_VEL_AGAINST</t>
        </is>
      </c>
      <c r="B209" t="inlineStr">
        <is>
          <t>0.0_ALT</t>
        </is>
      </c>
      <c r="D209" t="inlineStr">
        <is>
          <t>AUGMENT, EXIT, GLOBAL_CHECK, REDUCE, STOCKS_EXIT</t>
        </is>
      </c>
      <c r="G209">
        <f>IFERROR(VLOOKUP($A213&amp;"_"&amp;$B213,Results_Deltas!$A$2:$P$15000,5,FALSE),"")</f>
        <v/>
      </c>
      <c r="H209" t="inlineStr">
        <is>
          <t>Blanket (page end)</t>
        </is>
      </c>
      <c r="L209" t="inlineStr">
        <is>
          <t>YES</t>
        </is>
      </c>
    </row>
    <row r="210" ht="15.75" customHeight="1" s="67">
      <c r="A210" t="inlineStr">
        <is>
          <t>NEW_POSITION_MAX_LOSS_THRESHOLD</t>
        </is>
      </c>
      <c r="B210" t="inlineStr">
        <is>
          <t>0</t>
        </is>
      </c>
      <c r="D210" t="inlineStr">
        <is>
          <t>AUGMENT, EXIT, GLOBAL_CHECK, REDUCE, STOCKS_EXIT</t>
        </is>
      </c>
      <c r="G210">
        <f>IFERROR(VLOOKUP($A214&amp;"_"&amp;$B214,Results_Deltas!$A$2:$P$15000,5,FALSE),"")</f>
        <v/>
      </c>
      <c r="H210" t="inlineStr">
        <is>
          <t>Blanket (page end)</t>
        </is>
      </c>
      <c r="L210" t="inlineStr">
        <is>
          <t>NO</t>
        </is>
      </c>
    </row>
    <row r="211" ht="15.75" customHeight="1" s="67">
      <c r="A211" t="inlineStr">
        <is>
          <t>NEW_POSITION_MAX_LOSS_THRESHOLD</t>
        </is>
      </c>
      <c r="B211" t="inlineStr">
        <is>
          <t>2.0</t>
        </is>
      </c>
      <c r="D211" t="inlineStr">
        <is>
          <t>AUGMENT, EXIT, GLOBAL_CHECK, REDUCE, STOCKS_EXIT</t>
        </is>
      </c>
      <c r="G211">
        <f>IFERROR(VLOOKUP($A215&amp;"_"&amp;$B215,Results_Deltas!$A$2:$P$15000,5,FALSE),"")</f>
        <v/>
      </c>
      <c r="H211" t="inlineStr">
        <is>
          <t>Blanket (page end)</t>
        </is>
      </c>
      <c r="L211" t="inlineStr">
        <is>
          <t>NO</t>
        </is>
      </c>
    </row>
    <row r="212" ht="15.75" customHeight="1" s="67">
      <c r="A212" t="inlineStr">
        <is>
          <t>NEW_POSITION_MAX_LOSS_THRESHOLD</t>
        </is>
      </c>
      <c r="B212" t="inlineStr">
        <is>
          <t>1.0</t>
        </is>
      </c>
      <c r="D212" t="inlineStr">
        <is>
          <t>AUGMENT, EXIT, GLOBAL_CHECK, REDUCE, STOCKS_EXIT</t>
        </is>
      </c>
      <c r="G212">
        <f>IFERROR(VLOOKUP($A216&amp;"_"&amp;$B216,Results_Deltas!$A$2:$P$15000,5,FALSE),"")</f>
        <v/>
      </c>
      <c r="H212" t="inlineStr">
        <is>
          <t>Blanket (page end)</t>
        </is>
      </c>
      <c r="L212" t="inlineStr">
        <is>
          <t>NO</t>
        </is>
      </c>
    </row>
    <row r="213" ht="15.75" customHeight="1" s="67">
      <c r="A213" t="inlineStr">
        <is>
          <t>NEW_POSITION_MAX_LOSS_THRESHOLD</t>
        </is>
      </c>
      <c r="B213" t="inlineStr">
        <is>
          <t>0.5</t>
        </is>
      </c>
      <c r="D213" t="inlineStr">
        <is>
          <t>AUGMENT, EXIT, GLOBAL_CHECK, REDUCE, STOCKS_EXIT</t>
        </is>
      </c>
      <c r="G213">
        <f>IFERROR(VLOOKUP($A217&amp;"_"&amp;$B217,Results_Deltas!$A$2:$P$15000,5,FALSE),"")</f>
        <v/>
      </c>
      <c r="H213" t="inlineStr">
        <is>
          <t>Blanket (page end)</t>
        </is>
      </c>
      <c r="L213" t="inlineStr">
        <is>
          <t>NO</t>
        </is>
      </c>
    </row>
    <row r="214" ht="15.75" customHeight="1" s="67">
      <c r="A214" t="inlineStr">
        <is>
          <t>OI_CONFIRM_ENABLED</t>
        </is>
      </c>
      <c r="B214" t="inlineStr">
        <is>
          <t>False</t>
        </is>
      </c>
      <c r="D214" t="inlineStr">
        <is>
          <t>ENTRY, GLOBAL_CHECK, STOCKS_EXIT</t>
        </is>
      </c>
      <c r="G214">
        <f>IFERROR(VLOOKUP($A218&amp;"_"&amp;$B218,Results_Deltas!$A$2:$P$15000,5,FALSE),"")</f>
        <v/>
      </c>
      <c r="H214" t="inlineStr">
        <is>
          <t>Blanket (page end)</t>
        </is>
      </c>
      <c r="L214" t="inlineStr">
        <is>
          <t>NO</t>
        </is>
      </c>
    </row>
    <row r="215" ht="15.75" customHeight="1" s="67">
      <c r="A215" t="inlineStr">
        <is>
          <t>OI_CONFIRM_ENABLED</t>
        </is>
      </c>
      <c r="B215" t="b">
        <v>0</v>
      </c>
      <c r="D215" t="inlineStr">
        <is>
          <t>ENTRY, GLOBAL_CHECK, STOCKS_EXIT</t>
        </is>
      </c>
      <c r="G215">
        <f>IFERROR(VLOOKUP($A219&amp;"_"&amp;$B219,Results_Deltas!$A$2:$P$15000,5,FALSE),"")</f>
        <v/>
      </c>
      <c r="H215" t="inlineStr">
        <is>
          <t>Blanket (page end)</t>
        </is>
      </c>
      <c r="L215" t="inlineStr">
        <is>
          <t>NO</t>
        </is>
      </c>
    </row>
    <row r="216" ht="15.75" customHeight="1" s="67">
      <c r="A216" t="inlineStr">
        <is>
          <t>OI_CONFIRM_MIN_CHANGE_PCT</t>
        </is>
      </c>
      <c r="B216" t="inlineStr">
        <is>
          <t>0</t>
        </is>
      </c>
      <c r="D216" t="inlineStr">
        <is>
          <t>ENTRY, GLOBAL_CHECK, STOCKS_EXIT</t>
        </is>
      </c>
      <c r="G216">
        <f>IFERROR(VLOOKUP($A220&amp;"_"&amp;$B220,Results_Deltas!$A$2:$P$15000,5,FALSE),"")</f>
        <v/>
      </c>
      <c r="H216" t="inlineStr">
        <is>
          <t>Blanket (page end)</t>
        </is>
      </c>
      <c r="L216" t="inlineStr">
        <is>
          <t>NO</t>
        </is>
      </c>
    </row>
    <row r="217" ht="15.75" customHeight="1" s="67">
      <c r="A217" t="inlineStr">
        <is>
          <t>OI_CONFIRM_MIN_CHANGE_PCT</t>
        </is>
      </c>
      <c r="B217" t="inlineStr">
        <is>
          <t>2.0</t>
        </is>
      </c>
      <c r="D217" t="inlineStr">
        <is>
          <t>ENTRY, GLOBAL_CHECK, STOCKS_EXIT</t>
        </is>
      </c>
      <c r="G217">
        <f>IFERROR(VLOOKUP($A221&amp;"_"&amp;$B221,Results_Deltas!$A$2:$P$15000,5,FALSE),"")</f>
        <v/>
      </c>
      <c r="H217" t="inlineStr">
        <is>
          <t>Blanket (page end)</t>
        </is>
      </c>
      <c r="L217" t="inlineStr">
        <is>
          <t>NO</t>
        </is>
      </c>
    </row>
    <row r="218" ht="15.75" customHeight="1" s="67">
      <c r="A218" t="inlineStr">
        <is>
          <t>OI_CONFIRM_MIN_CHANGE_PCT</t>
        </is>
      </c>
      <c r="B218" t="inlineStr">
        <is>
          <t>1.0</t>
        </is>
      </c>
      <c r="D218" t="inlineStr">
        <is>
          <t>ENTRY, GLOBAL_CHECK, STOCKS_EXIT</t>
        </is>
      </c>
      <c r="G218">
        <f>IFERROR(VLOOKUP($A222&amp;"_"&amp;$B222,Results_Deltas!$A$2:$P$15000,5,FALSE),"")</f>
        <v/>
      </c>
      <c r="H218" t="inlineStr">
        <is>
          <t>Blanket (page end)</t>
        </is>
      </c>
      <c r="L218" t="inlineStr">
        <is>
          <t>NO</t>
        </is>
      </c>
    </row>
    <row r="219" ht="15.75" customHeight="1" s="67">
      <c r="A219" t="inlineStr">
        <is>
          <t>OI_CONFIRM_MIN_CHANGE_PCT</t>
        </is>
      </c>
      <c r="B219" t="inlineStr">
        <is>
          <t>0.5</t>
        </is>
      </c>
      <c r="D219" t="inlineStr">
        <is>
          <t>ENTRY, GLOBAL_CHECK, STOCKS_EXIT</t>
        </is>
      </c>
      <c r="G219">
        <f>IFERROR(VLOOKUP($A223&amp;"_"&amp;$B223,Results_Deltas!$A$2:$P$15000,5,FALSE),"")</f>
        <v/>
      </c>
      <c r="H219" t="inlineStr">
        <is>
          <t>Blanket (page end)</t>
        </is>
      </c>
      <c r="L219" t="inlineStr">
        <is>
          <t>NO</t>
        </is>
      </c>
    </row>
    <row r="220" ht="15.75" customHeight="1" s="67">
      <c r="A220" t="inlineStr">
        <is>
          <t>OI_CONFIRM_MIN_PRICE_PCT</t>
        </is>
      </c>
      <c r="B220" t="inlineStr">
        <is>
          <t>0</t>
        </is>
      </c>
      <c r="D220" t="inlineStr">
        <is>
          <t>ENTRY, GLOBAL_CHECK, STOCKS_EXIT</t>
        </is>
      </c>
      <c r="G220">
        <f>IFERROR(VLOOKUP($A224&amp;"_"&amp;$B224,Results_Deltas!$A$2:$P$15000,5,FALSE),"")</f>
        <v/>
      </c>
      <c r="H220" t="inlineStr">
        <is>
          <t>Blanket (page end)</t>
        </is>
      </c>
      <c r="L220" t="inlineStr">
        <is>
          <t>YES</t>
        </is>
      </c>
    </row>
    <row r="221" ht="15.75" customHeight="1" s="67">
      <c r="A221" t="inlineStr">
        <is>
          <t>OI_CONFIRM_MIN_PRICE_PCT</t>
        </is>
      </c>
      <c r="B221" t="inlineStr">
        <is>
          <t>2.0</t>
        </is>
      </c>
      <c r="D221" t="inlineStr">
        <is>
          <t>ENTRY, GLOBAL_CHECK, STOCKS_EXIT</t>
        </is>
      </c>
      <c r="G221">
        <f>IFERROR(VLOOKUP($A225&amp;"_"&amp;$B225,Results_Deltas!$A$2:$P$15000,5,FALSE),"")</f>
        <v/>
      </c>
      <c r="H221" t="inlineStr">
        <is>
          <t>Blanket (page end)</t>
        </is>
      </c>
      <c r="L221" t="inlineStr">
        <is>
          <t>NO</t>
        </is>
      </c>
    </row>
    <row r="222" ht="15.75" customHeight="1" s="67">
      <c r="A222" t="inlineStr">
        <is>
          <t>OI_CONFIRM_MIN_PRICE_PCT</t>
        </is>
      </c>
      <c r="B222" t="inlineStr">
        <is>
          <t>1.0</t>
        </is>
      </c>
      <c r="D222" t="inlineStr">
        <is>
          <t>ENTRY, GLOBAL_CHECK, STOCKS_EXIT</t>
        </is>
      </c>
      <c r="G222">
        <f>IFERROR(VLOOKUP($A226&amp;"_"&amp;$B226,Results_Deltas!$A$2:$P$15000,5,FALSE),"")</f>
        <v/>
      </c>
      <c r="H222" t="inlineStr">
        <is>
          <t>Blanket (page end)</t>
        </is>
      </c>
      <c r="L222" t="inlineStr">
        <is>
          <t>NO</t>
        </is>
      </c>
    </row>
    <row r="223" ht="15.75" customHeight="1" s="67">
      <c r="A223" t="inlineStr">
        <is>
          <t>OI_CONFIRM_MIN_PRICE_PCT</t>
        </is>
      </c>
      <c r="B223" t="inlineStr">
        <is>
          <t>0.5</t>
        </is>
      </c>
      <c r="D223" t="inlineStr">
        <is>
          <t>ENTRY, GLOBAL_CHECK, STOCKS_EXIT</t>
        </is>
      </c>
      <c r="G223">
        <f>IFERROR(VLOOKUP($A227&amp;"_"&amp;$B227,Results_Deltas!$A$2:$P$15000,5,FALSE),"")</f>
        <v/>
      </c>
      <c r="H223" t="inlineStr">
        <is>
          <t>Blanket (page end)</t>
        </is>
      </c>
      <c r="L223" t="inlineStr">
        <is>
          <t>NO</t>
        </is>
      </c>
    </row>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PEAK_GIVEBACK_DROP_TRIGGER_ENABLED</t>
        </is>
      </c>
      <c r="B3" t="inlineStr">
        <is>
          <t>False</t>
        </is>
      </c>
      <c r="G3">
        <f>IFERROR(VLOOKUP($A3&amp;"="&amp;$B3,Results_Deltas!$A$2:$P$15000,5,FALSE),"")</f>
        <v/>
      </c>
      <c r="H3">
        <f>IFERROR(VLOOKUP($A3,Results_30d_Deltas!$A$2:$H$5000,7,FALSE)-E3,"")</f>
        <v/>
      </c>
      <c r="I3">
        <f>IFERROR(VLOOKUP($A3,Results_30d_Deltas!$A$2:$H$5000,6,FALSE),"")</f>
        <v/>
      </c>
      <c r="L3" t="inlineStr">
        <is>
          <t>YES</t>
        </is>
      </c>
      <c r="IK3" t="inlineStr">
        <is>
          <t>ez_manage.py:5168 top()</t>
        </is>
      </c>
      <c r="IL3" t="inlineStr">
        <is>
          <t>v12_quick_engine.py:2682 x3</t>
        </is>
      </c>
    </row>
    <row r="4" ht="10.5" customHeight="1" s="67">
      <c r="A4" t="inlineStr">
        <is>
          <t>PEAK_GIVEBACK_DROP_TRIGGER_ENABLED</t>
        </is>
      </c>
      <c r="B4" t="inlineStr">
        <is>
          <t>True</t>
        </is>
      </c>
      <c r="G4">
        <f>IFERROR(VLOOKUP($A4&amp;"_"&amp;$B4,Results_Deltas!$A$2:$P$15000,5,FALSE),"")</f>
        <v/>
      </c>
      <c r="H4">
        <f>IFERROR(VLOOKUP($A4,Results_30d_Deltas!$A$2:$H$5000,7,FALSE)-E3,"")</f>
        <v/>
      </c>
      <c r="I4">
        <f>IFERROR(VLOOKUP($A4,Results_30d_Deltas!$A$2:$H$5000,6,FALSE),"")</f>
        <v/>
      </c>
      <c r="L4" t="inlineStr">
        <is>
          <t>NO</t>
        </is>
      </c>
      <c r="IK4" t="inlineStr">
        <is>
          <t>ez_manage.py:5168 top()</t>
        </is>
      </c>
      <c r="IL4" t="inlineStr">
        <is>
          <t>v12_quick_engine.py:2682 x3</t>
        </is>
      </c>
    </row>
    <row r="5" ht="10.5" customHeight="1" s="67">
      <c r="A5" t="inlineStr">
        <is>
          <t>PARTIAL_PROFIT_LOCK_FRAC</t>
        </is>
      </c>
      <c r="B5" t="inlineStr">
        <is>
          <t>0</t>
        </is>
      </c>
      <c r="G5">
        <f>IFERROR(VLOOKUP($A5&amp;"_"&amp;$B5,Results_Deltas!$A$2:$P$15000,5,FALSE),"")</f>
        <v/>
      </c>
      <c r="H5">
        <f>IFERROR(VLOOKUP($A5,Results_30d_Deltas!$A$2:$H$5000,7,FALSE)-E4,"")</f>
        <v/>
      </c>
      <c r="I5">
        <f>IFERROR(VLOOKUP($A5,Results_30d_Deltas!$A$2:$H$5000,6,FALSE),"")</f>
        <v/>
      </c>
      <c r="L5" t="inlineStr">
        <is>
          <t>NO</t>
        </is>
      </c>
      <c r="IK5" t="inlineStr">
        <is>
          <t>ez_manage.py:5158 top()</t>
        </is>
      </c>
      <c r="IL5" t="inlineStr">
        <is>
          <t>v12_quick_engine.py:2674 x7</t>
        </is>
      </c>
    </row>
    <row r="6" ht="10.5" customHeight="1" s="67">
      <c r="A6" t="inlineStr">
        <is>
          <t>PARTIAL_PROFIT_LOCK_FRAC</t>
        </is>
      </c>
      <c r="B6" t="n">
        <v>0</v>
      </c>
      <c r="G6">
        <f>IFERROR(VLOOKUP($A6&amp;"_"&amp;$B6,Results_Deltas!$A$2:$P$15000,5,FALSE),"")</f>
        <v/>
      </c>
      <c r="H6">
        <f>IFERROR(VLOOKUP($A6,Results_30d_Deltas!$A$2:$H$5000,7,FALSE)-E5,"")</f>
        <v/>
      </c>
      <c r="I6">
        <f>IFERROR(VLOOKUP($A6,Results_30d_Deltas!$A$2:$H$5000,6,FALSE),"")</f>
        <v/>
      </c>
      <c r="L6" t="inlineStr">
        <is>
          <t>YES</t>
        </is>
      </c>
      <c r="IK6" t="inlineStr">
        <is>
          <t>ez_manage.py:5158 top()</t>
        </is>
      </c>
      <c r="IL6" t="inlineStr">
        <is>
          <t>v12_quick_engine.py:2674 x7</t>
        </is>
      </c>
    </row>
    <row r="7" ht="10.5" customHeight="1" s="67">
      <c r="A7" t="inlineStr">
        <is>
          <t>PARTIAL_PROFIT_LOCK_FRAC</t>
        </is>
      </c>
      <c r="B7" t="inlineStr">
        <is>
          <t>1.0</t>
        </is>
      </c>
      <c r="G7">
        <f>IFERROR(VLOOKUP($A7&amp;"_"&amp;$B7,Results_Deltas!$A$2:$P$15000,5,FALSE),"")</f>
        <v/>
      </c>
      <c r="H7">
        <f>IFERROR(VLOOKUP($A7,Results_30d_Deltas!$A$2:$H$5000,7,FALSE)-E6,"")</f>
        <v/>
      </c>
      <c r="I7">
        <f>IFERROR(VLOOKUP($A7,Results_30d_Deltas!$A$2:$H$5000,6,FALSE),"")</f>
        <v/>
      </c>
      <c r="L7" t="inlineStr">
        <is>
          <t>NO</t>
        </is>
      </c>
      <c r="IK7" t="inlineStr">
        <is>
          <t>ez_manage.py:5158 top()</t>
        </is>
      </c>
      <c r="IL7" t="inlineStr">
        <is>
          <t>v12_quick_engine.py:2674 x7</t>
        </is>
      </c>
    </row>
    <row r="8" ht="10.5" customHeight="1" s="67">
      <c r="A8" t="inlineStr">
        <is>
          <t>PARTIAL_PROFIT_LOCK_FRAC</t>
        </is>
      </c>
      <c r="B8" t="inlineStr">
        <is>
          <t>2.0</t>
        </is>
      </c>
      <c r="G8">
        <f>IFERROR(VLOOKUP($A8&amp;"_"&amp;$B8,Results_Deltas!$A$2:$P$15000,5,FALSE),"")</f>
        <v/>
      </c>
      <c r="H8">
        <f>IFERROR(VLOOKUP($A8,Results_30d_Deltas!$A$2:$H$5000,7,FALSE)-E7,"")</f>
        <v/>
      </c>
      <c r="I8">
        <f>IFERROR(VLOOKUP($A8,Results_30d_Deltas!$A$2:$H$5000,6,FALSE),"")</f>
        <v/>
      </c>
      <c r="L8" t="inlineStr">
        <is>
          <t>NO</t>
        </is>
      </c>
      <c r="IK8" t="inlineStr">
        <is>
          <t>ez_manage.py:5158 top()</t>
        </is>
      </c>
      <c r="IL8" t="inlineStr">
        <is>
          <t>v12_quick_engine.py:2674 x7</t>
        </is>
      </c>
    </row>
    <row r="9" ht="10.5" customHeight="1" s="67">
      <c r="A9" t="inlineStr">
        <is>
          <t>MIN_HOLD_BARS_BEFORE_EXIT</t>
        </is>
      </c>
      <c r="B9" t="inlineStr">
        <is>
          <t>16</t>
        </is>
      </c>
      <c r="G9">
        <f>IFERROR(VLOOKUP($A9&amp;"_"&amp;$B9,Results_Deltas!$A$2:$P$15000,5,FALSE),"")</f>
        <v/>
      </c>
      <c r="H9">
        <f>IFERROR(VLOOKUP($A9,Results_30d_Deltas!$A$2:$H$5000,7,FALSE)-E8,"")</f>
        <v/>
      </c>
      <c r="I9">
        <f>IFERROR(VLOOKUP($A9,Results_30d_Deltas!$A$2:$H$5000,6,FALSE),"")</f>
        <v/>
      </c>
      <c r="L9" t="inlineStr">
        <is>
          <t>NO</t>
        </is>
      </c>
      <c r="IK9" t="inlineStr">
        <is>
          <t>ez_manage.py:4990 top()</t>
        </is>
      </c>
      <c r="IL9" t="inlineStr">
        <is>
          <t>v12_quick_engine.py:2309 x7</t>
        </is>
      </c>
    </row>
    <row r="10" ht="10.5" customHeight="1" s="67">
      <c r="A10" t="inlineStr">
        <is>
          <t>MIN_HOLD_BARS_BEFORE_EXIT</t>
        </is>
      </c>
      <c r="B10" t="inlineStr">
        <is>
          <t>24</t>
        </is>
      </c>
      <c r="G10">
        <f>IFERROR(VLOOKUP($A10&amp;"_"&amp;$B10,Results_Deltas!$A$2:$P$15000,5,FALSE),"")</f>
        <v/>
      </c>
      <c r="H10">
        <f>IFERROR(VLOOKUP($A10,Results_30d_Deltas!$A$2:$H$5000,7,FALSE)-E9,"")</f>
        <v/>
      </c>
      <c r="I10">
        <f>IFERROR(VLOOKUP($A10,Results_30d_Deltas!$A$2:$H$5000,6,FALSE),"")</f>
        <v/>
      </c>
      <c r="L10" t="inlineStr">
        <is>
          <t>NO</t>
        </is>
      </c>
      <c r="IK10" t="inlineStr">
        <is>
          <t>ez_manage.py:4990 top()</t>
        </is>
      </c>
      <c r="IL10" t="inlineStr">
        <is>
          <t>v12_quick_engine.py:2309 x7</t>
        </is>
      </c>
    </row>
    <row r="11" ht="10.5" customHeight="1" s="67">
      <c r="A11" t="inlineStr">
        <is>
          <t>MIN_HOLD_BARS_BEFORE_EXIT</t>
        </is>
      </c>
      <c r="B11" t="inlineStr">
        <is>
          <t>32</t>
        </is>
      </c>
      <c r="G11">
        <f>IFERROR(VLOOKUP($A11&amp;"_"&amp;$B11,Results_Deltas!$A$2:$P$15000,5,FALSE),"")</f>
        <v/>
      </c>
      <c r="H11">
        <f>IFERROR(VLOOKUP($A11,Results_30d_Deltas!$A$2:$H$5000,7,FALSE)-E10,"")</f>
        <v/>
      </c>
      <c r="I11">
        <f>IFERROR(VLOOKUP($A11,Results_30d_Deltas!$A$2:$H$5000,6,FALSE),"")</f>
        <v/>
      </c>
      <c r="L11" t="inlineStr">
        <is>
          <t>NO</t>
        </is>
      </c>
      <c r="IK11" t="inlineStr">
        <is>
          <t>ez_manage.py:4990 top()</t>
        </is>
      </c>
      <c r="IL11" t="inlineStr">
        <is>
          <t>v12_quick_engine.py:2309 x7</t>
        </is>
      </c>
    </row>
    <row r="12" ht="10.5" customHeight="1" s="67">
      <c r="A12" t="inlineStr">
        <is>
          <t>MIN_HOLD_BARS_BEFORE_EXIT</t>
        </is>
      </c>
      <c r="B12" t="inlineStr">
        <is>
          <t>40</t>
        </is>
      </c>
      <c r="G12">
        <f>IFERROR(VLOOKUP($A12&amp;"_"&amp;$B12,Results_Deltas!$A$2:$P$15000,5,FALSE),"")</f>
        <v/>
      </c>
      <c r="H12">
        <f>IFERROR(VLOOKUP($A12,Results_30d_Deltas!$A$2:$H$5000,7,FALSE)-E11,"")</f>
        <v/>
      </c>
      <c r="I12">
        <f>IFERROR(VLOOKUP($A12,Results_30d_Deltas!$A$2:$H$5000,6,FALSE),"")</f>
        <v/>
      </c>
      <c r="L12" t="inlineStr">
        <is>
          <t>NO</t>
        </is>
      </c>
      <c r="IK12" t="inlineStr">
        <is>
          <t>ez_manage.py:4990 top()</t>
        </is>
      </c>
      <c r="IL12" t="inlineStr">
        <is>
          <t>v12_quick_engine.py:2309 x7</t>
        </is>
      </c>
    </row>
    <row r="13" ht="10.5" customHeight="1" s="67">
      <c r="A13" t="inlineStr">
        <is>
          <t>MIN_HOLD_BARS_BEFORE_EXIT</t>
        </is>
      </c>
      <c r="B13" t="inlineStr">
        <is>
          <t>48</t>
        </is>
      </c>
      <c r="G13">
        <f>IFERROR(VLOOKUP($A13&amp;"_"&amp;$B13,Results_Deltas!$A$2:$P$15000,5,FALSE),"")</f>
        <v/>
      </c>
      <c r="H13">
        <f>IFERROR(VLOOKUP($A13,Results_30d_Deltas!$A$2:$H$5000,7,FALSE)-E12,"")</f>
        <v/>
      </c>
      <c r="I13">
        <f>IFERROR(VLOOKUP($A13,Results_30d_Deltas!$A$2:$H$5000,6,FALSE),"")</f>
        <v/>
      </c>
      <c r="L13" t="inlineStr">
        <is>
          <t>YES</t>
        </is>
      </c>
      <c r="IK13" t="inlineStr">
        <is>
          <t>ez_manage.py:4990 top()</t>
        </is>
      </c>
      <c r="IL13" t="inlineStr">
        <is>
          <t>v12_quick_engine.py:2309 x7</t>
        </is>
      </c>
    </row>
    <row r="14" ht="10.5" customHeight="1" s="67">
      <c r="A14" t="inlineStr">
        <is>
          <t>BREAKEVEN_GAIN_EROSION_ENABLED</t>
        </is>
      </c>
      <c r="B14" t="inlineStr">
        <is>
          <t>False</t>
        </is>
      </c>
      <c r="G14">
        <f>IFERROR(VLOOKUP($A14&amp;"_"&amp;$B14,Results_Deltas!$A$2:$P$15000,5,FALSE),"")</f>
        <v/>
      </c>
      <c r="H14">
        <f>IFERROR(VLOOKUP($A14,Results_30d_Deltas!$A$2:$H$5000,7,FALSE)-E13,"")</f>
        <v/>
      </c>
      <c r="I14">
        <f>IFERROR(VLOOKUP($A14,Results_30d_Deltas!$A$2:$H$5000,6,FALSE),"")</f>
        <v/>
      </c>
      <c r="L14" t="inlineStr">
        <is>
          <t>NO</t>
        </is>
      </c>
      <c r="IK14" t="inlineStr">
        <is>
          <t>ez_manage.py:4400 top()</t>
        </is>
      </c>
      <c r="IL14" t="inlineStr">
        <is>
          <t>v12_quick_engine.py:341 x8</t>
        </is>
      </c>
    </row>
    <row r="15" ht="10.5" customHeight="1" s="67">
      <c r="A15" t="inlineStr">
        <is>
          <t>BREAKEVEN_GAIN_EROSION_ENABLED</t>
        </is>
      </c>
      <c r="B15" t="inlineStr">
        <is>
          <t>True</t>
        </is>
      </c>
      <c r="G15">
        <f>IFERROR(VLOOKUP($A15&amp;"_"&amp;$B15,Results_Deltas!$A$2:$P$15000,5,FALSE),"")</f>
        <v/>
      </c>
      <c r="H15">
        <f>IFERROR(VLOOKUP($A15,Results_30d_Deltas!$A$2:$H$5000,7,FALSE)-E14,"")</f>
        <v/>
      </c>
      <c r="I15">
        <f>IFERROR(VLOOKUP($A15,Results_30d_Deltas!$A$2:$H$5000,6,FALSE),"")</f>
        <v/>
      </c>
      <c r="L15" t="inlineStr">
        <is>
          <t>NO</t>
        </is>
      </c>
      <c r="IK15" t="inlineStr">
        <is>
          <t>ez_manage.py:4400 top()</t>
        </is>
      </c>
      <c r="IL15" t="inlineStr">
        <is>
          <t>v12_quick_engine.py:341 x8</t>
        </is>
      </c>
    </row>
    <row r="16" ht="10.5" customHeight="1" s="67">
      <c r="A16" t="inlineStr">
        <is>
          <t>BREAKEVEN_GAIN_EROSION_MIN_GAIN</t>
        </is>
      </c>
      <c r="B16" t="inlineStr">
        <is>
          <t>25.0</t>
        </is>
      </c>
      <c r="G16">
        <f>IFERROR(VLOOKUP($A16&amp;"_"&amp;$B16,Results_Deltas!$A$2:$P$15000,5,FALSE),"")</f>
        <v/>
      </c>
      <c r="H16">
        <f>IFERROR(VLOOKUP($A16,Results_30d_Deltas!$A$2:$H$5000,7,FALSE)-E15,"")</f>
        <v/>
      </c>
      <c r="I16">
        <f>IFERROR(VLOOKUP($A16,Results_30d_Deltas!$A$2:$H$5000,6,FALSE),"")</f>
        <v/>
      </c>
      <c r="L16" t="inlineStr">
        <is>
          <t>NO</t>
        </is>
      </c>
      <c r="IK16" t="inlineStr">
        <is>
          <t>ez_manage.py:4401 top()</t>
        </is>
      </c>
      <c r="IL16" t="inlineStr">
        <is>
          <t>v12_quick_engine.py:357 x14</t>
        </is>
      </c>
    </row>
    <row r="17" ht="10.5" customHeight="1" s="67">
      <c r="A17" t="inlineStr">
        <is>
          <t>BREAKEVEN_GAIN_EROSION_MIN_GAIN</t>
        </is>
      </c>
      <c r="B17" t="inlineStr">
        <is>
          <t>37.5</t>
        </is>
      </c>
      <c r="G17">
        <f>IFERROR(VLOOKUP($A17&amp;"_"&amp;$B17,Results_Deltas!$A$2:$P$15000,5,FALSE),"")</f>
        <v/>
      </c>
      <c r="H17">
        <f>IFERROR(VLOOKUP($A17,Results_30d_Deltas!$A$2:$H$5000,7,FALSE)-E16,"")</f>
        <v/>
      </c>
      <c r="I17">
        <f>IFERROR(VLOOKUP($A17,Results_30d_Deltas!$A$2:$H$5000,6,FALSE),"")</f>
        <v/>
      </c>
      <c r="L17" t="inlineStr">
        <is>
          <t>YES</t>
        </is>
      </c>
      <c r="IK17" t="inlineStr">
        <is>
          <t>ez_manage.py:4401 top()</t>
        </is>
      </c>
      <c r="IL17" t="inlineStr">
        <is>
          <t>v12_quick_engine.py:357 x14</t>
        </is>
      </c>
    </row>
    <row r="18" ht="10.5" customHeight="1" s="67">
      <c r="A18" t="inlineStr">
        <is>
          <t>BREAKEVEN_GAIN_EROSION_MIN_GAIN</t>
        </is>
      </c>
      <c r="B18" t="inlineStr">
        <is>
          <t>50.0</t>
        </is>
      </c>
      <c r="G18">
        <f>IFERROR(VLOOKUP($A18&amp;"_"&amp;$B18,Results_Deltas!$A$2:$P$15000,5,FALSE),"")</f>
        <v/>
      </c>
      <c r="H18">
        <f>IFERROR(VLOOKUP($A18,Results_30d_Deltas!$A$2:$H$5000,7,FALSE)-E17,"")</f>
        <v/>
      </c>
      <c r="I18">
        <f>IFERROR(VLOOKUP($A18,Results_30d_Deltas!$A$2:$H$5000,6,FALSE),"")</f>
        <v/>
      </c>
      <c r="L18" t="inlineStr">
        <is>
          <t>NO</t>
        </is>
      </c>
      <c r="IK18" t="inlineStr">
        <is>
          <t>ez_manage.py:4401 top()</t>
        </is>
      </c>
      <c r="IL18" t="inlineStr">
        <is>
          <t>v12_quick_engine.py:357 x14</t>
        </is>
      </c>
    </row>
    <row r="19" ht="10.5" customHeight="1" s="67">
      <c r="A19" t="inlineStr">
        <is>
          <t>BREAKEVEN_GAIN_EROSION_MIN_GAIN</t>
        </is>
      </c>
      <c r="B19" t="inlineStr">
        <is>
          <t>62.5</t>
        </is>
      </c>
      <c r="G19">
        <f>IFERROR(VLOOKUP($A19&amp;"_"&amp;$B19,Results_Deltas!$A$2:$P$15000,5,FALSE),"")</f>
        <v/>
      </c>
      <c r="H19">
        <f>IFERROR(VLOOKUP($A19,Results_30d_Deltas!$A$2:$H$5000,7,FALSE)-E18,"")</f>
        <v/>
      </c>
      <c r="I19">
        <f>IFERROR(VLOOKUP($A19,Results_30d_Deltas!$A$2:$H$5000,6,FALSE),"")</f>
        <v/>
      </c>
      <c r="L19" t="inlineStr">
        <is>
          <t>NO</t>
        </is>
      </c>
      <c r="IK19" t="inlineStr">
        <is>
          <t>ez_manage.py:4401 top()</t>
        </is>
      </c>
      <c r="IL19" t="inlineStr">
        <is>
          <t>v12_quick_engine.py:357 x14</t>
        </is>
      </c>
    </row>
    <row r="20" ht="10.5" customHeight="1" s="67">
      <c r="A20" t="inlineStr">
        <is>
          <t>BREAKEVEN_GAIN_EROSION_MIN_GAIN</t>
        </is>
      </c>
      <c r="B20" t="inlineStr">
        <is>
          <t>75.0</t>
        </is>
      </c>
      <c r="G20">
        <f>IFERROR(VLOOKUP($A20&amp;"_"&amp;$B20,Results_Deltas!$A$2:$P$15000,5,FALSE),"")</f>
        <v/>
      </c>
      <c r="H20">
        <f>IFERROR(VLOOKUP($A20,Results_30d_Deltas!$A$2:$H$5000,7,FALSE)-E19,"")</f>
        <v/>
      </c>
      <c r="I20">
        <f>IFERROR(VLOOKUP($A20,Results_30d_Deltas!$A$2:$H$5000,6,FALSE),"")</f>
        <v/>
      </c>
      <c r="L20" t="inlineStr">
        <is>
          <t>NO</t>
        </is>
      </c>
      <c r="IK20" t="inlineStr">
        <is>
          <t>ez_manage.py:4401 top()</t>
        </is>
      </c>
      <c r="IL20" t="inlineStr">
        <is>
          <t>v12_quick_engine.py:357 x14</t>
        </is>
      </c>
    </row>
    <row r="21" ht="10.5" customHeight="1" s="67">
      <c r="A21" t="inlineStr">
        <is>
          <t>BREAKEVEN_GAIN_EROSION_REQUIRE_PROFIT</t>
        </is>
      </c>
      <c r="B21" t="inlineStr">
        <is>
          <t>False</t>
        </is>
      </c>
      <c r="G21">
        <f>IFERROR(VLOOKUP($A21&amp;"_"&amp;$B21,Results_Deltas!$A$2:$P$15000,5,FALSE),"")</f>
        <v/>
      </c>
      <c r="H21">
        <f>IFERROR(VLOOKUP($A21,Results_30d_Deltas!$A$2:$H$5000,7,FALSE)-E20,"")</f>
        <v/>
      </c>
      <c r="I21">
        <f>IFERROR(VLOOKUP($A21,Results_30d_Deltas!$A$2:$H$5000,6,FALSE),"")</f>
        <v/>
      </c>
      <c r="L21" t="inlineStr">
        <is>
          <t>YES</t>
        </is>
      </c>
      <c r="IK21" t="inlineStr">
        <is>
          <t>ez_manage.py:4402 top()</t>
        </is>
      </c>
      <c r="IL21" t="inlineStr">
        <is>
          <t>v12_quick_engine.py:364 x13</t>
        </is>
      </c>
    </row>
    <row r="22" ht="10.5" customHeight="1" s="67">
      <c r="A22" t="inlineStr">
        <is>
          <t>BREAKEVEN_GAIN_EROSION_REQUIRE_PROFIT</t>
        </is>
      </c>
      <c r="B22" t="inlineStr">
        <is>
          <t>True</t>
        </is>
      </c>
      <c r="G22">
        <f>IFERROR(VLOOKUP($A22&amp;"_"&amp;$B22,Results_Deltas!$A$2:$P$15000,5,FALSE),"")</f>
        <v/>
      </c>
      <c r="H22">
        <f>IFERROR(VLOOKUP($A22,Results_30d_Deltas!$A$2:$H$5000,7,FALSE)-E21,"")</f>
        <v/>
      </c>
      <c r="I22">
        <f>IFERROR(VLOOKUP($A22,Results_30d_Deltas!$A$2:$H$5000,6,FALSE),"")</f>
        <v/>
      </c>
      <c r="L22" t="inlineStr">
        <is>
          <t>NO</t>
        </is>
      </c>
      <c r="IK22" t="inlineStr">
        <is>
          <t>ez_manage.py:4402 top()</t>
        </is>
      </c>
      <c r="IL22" t="inlineStr">
        <is>
          <t>v12_quick_engine.py:364 x13</t>
        </is>
      </c>
    </row>
    <row r="23" ht="10.5" customHeight="1" s="67">
      <c r="A23" t="inlineStr">
        <is>
          <t>FUNDING_GATE_LONG_MAX</t>
        </is>
      </c>
      <c r="B23" t="inlineStr">
        <is>
          <t>0.0</t>
        </is>
      </c>
      <c r="G23">
        <f>IFERROR(VLOOKUP($A23&amp;"_"&amp;$B23,Results_Deltas!$A$2:$P$15000,5,FALSE),"")</f>
        <v/>
      </c>
      <c r="H23">
        <f>IFERROR(VLOOKUP($A23,Results_30d_Deltas!$A$2:$H$5000,7,FALSE)-E22,"")</f>
        <v/>
      </c>
      <c r="I23">
        <f>IFERROR(VLOOKUP($A23,Results_30d_Deltas!$A$2:$H$5000,6,FALSE),"")</f>
        <v/>
      </c>
      <c r="L23" t="inlineStr">
        <is>
          <t>NO</t>
        </is>
      </c>
      <c r="IK23" t="inlineStr">
        <is>
          <t>ez_manage.py:4730 top()</t>
        </is>
      </c>
      <c r="IL23" t="inlineStr">
        <is>
          <t>v12_quick_engine.py:1864 x6</t>
        </is>
      </c>
    </row>
    <row r="24" ht="10.5" customHeight="1" s="67">
      <c r="A24" t="inlineStr">
        <is>
          <t>FUNDING_GATE_LONG_MAX</t>
        </is>
      </c>
      <c r="B24" t="inlineStr">
        <is>
          <t>0.0_ALT</t>
        </is>
      </c>
      <c r="G24">
        <f>IFERROR(VLOOKUP($A24&amp;"_"&amp;$B24,Results_Deltas!$A$2:$P$15000,5,FALSE),"")</f>
        <v/>
      </c>
      <c r="H24">
        <f>IFERROR(VLOOKUP($A24,Results_30d_Deltas!$A$2:$H$5000,7,FALSE)-E23,"")</f>
        <v/>
      </c>
      <c r="I24">
        <f>IFERROR(VLOOKUP($A24,Results_30d_Deltas!$A$2:$H$5000,6,FALSE),"")</f>
        <v/>
      </c>
      <c r="L24" t="inlineStr">
        <is>
          <t>NO</t>
        </is>
      </c>
      <c r="IK24" t="inlineStr">
        <is>
          <t>ez_manage.py:4730 top()</t>
        </is>
      </c>
      <c r="IL24" t="inlineStr">
        <is>
          <t>v12_quick_engine.py:1864 x6</t>
        </is>
      </c>
    </row>
    <row r="25" ht="10.5" customHeight="1" s="67">
      <c r="A25" t="inlineStr">
        <is>
          <t>FUNDING_GATE_MTF_REQUIRED</t>
        </is>
      </c>
      <c r="B25" t="inlineStr">
        <is>
          <t>0.0</t>
        </is>
      </c>
      <c r="G25">
        <f>IFERROR(VLOOKUP($A25&amp;"_"&amp;$B25,Results_Deltas!$A$2:$P$15000,5,FALSE),"")</f>
        <v/>
      </c>
      <c r="H25">
        <f>IFERROR(VLOOKUP($A25,Results_30d_Deltas!$A$2:$H$5000,7,FALSE)-E24,"")</f>
        <v/>
      </c>
      <c r="I25">
        <f>IFERROR(VLOOKUP($A25,Results_30d_Deltas!$A$2:$H$5000,6,FALSE),"")</f>
        <v/>
      </c>
      <c r="L25" t="inlineStr">
        <is>
          <t>NO</t>
        </is>
      </c>
      <c r="IK25" t="inlineStr">
        <is>
          <t>ez_manage.py:4732 top()</t>
        </is>
      </c>
      <c r="IL25" t="inlineStr">
        <is>
          <t>v12_quick_engine.py:1866 x5</t>
        </is>
      </c>
    </row>
    <row r="26" ht="10.5" customHeight="1" s="67">
      <c r="A26" t="inlineStr">
        <is>
          <t>FUNDING_GATE_MTF_REQUIRED</t>
        </is>
      </c>
      <c r="B26" t="inlineStr">
        <is>
          <t>0.0_ALT</t>
        </is>
      </c>
      <c r="G26">
        <f>IFERROR(VLOOKUP($A26&amp;"_"&amp;$B26,Results_Deltas!$A$2:$P$15000,5,FALSE),"")</f>
        <v/>
      </c>
      <c r="H26">
        <f>IFERROR(VLOOKUP($A26,Results_30d_Deltas!$A$2:$H$5000,7,FALSE)-E25,"")</f>
        <v/>
      </c>
      <c r="I26">
        <f>IFERROR(VLOOKUP($A26,Results_30d_Deltas!$A$2:$H$5000,6,FALSE),"")</f>
        <v/>
      </c>
      <c r="L26" t="inlineStr">
        <is>
          <t>NO</t>
        </is>
      </c>
      <c r="IK26" t="inlineStr">
        <is>
          <t>ez_manage.py:4732 top()</t>
        </is>
      </c>
      <c r="IL26" t="inlineStr">
        <is>
          <t>v12_quick_engine.py:1866 x5</t>
        </is>
      </c>
    </row>
    <row r="27" ht="10.5" customHeight="1" s="67">
      <c r="A27" t="inlineStr">
        <is>
          <t>FUNDING_GATE_SHORT_MIN</t>
        </is>
      </c>
      <c r="B27" t="inlineStr">
        <is>
          <t>0.0</t>
        </is>
      </c>
      <c r="G27">
        <f>IFERROR(VLOOKUP($A27&amp;"_"&amp;$B27,Results_Deltas!$A$2:$P$15000,5,FALSE),"")</f>
        <v/>
      </c>
      <c r="H27">
        <f>IFERROR(VLOOKUP($A27,Results_30d_Deltas!$A$2:$H$5000,7,FALSE)-E26,"")</f>
        <v/>
      </c>
      <c r="I27">
        <f>IFERROR(VLOOKUP($A27,Results_30d_Deltas!$A$2:$H$5000,6,FALSE),"")</f>
        <v/>
      </c>
      <c r="L27" t="inlineStr">
        <is>
          <t>NO</t>
        </is>
      </c>
      <c r="IK27" t="inlineStr">
        <is>
          <t>ez_manage.py:4734 top()</t>
        </is>
      </c>
      <c r="IL27" t="inlineStr">
        <is>
          <t>v12_quick_engine.py:1870 x6</t>
        </is>
      </c>
    </row>
    <row r="28" ht="10.5" customHeight="1" s="67">
      <c r="A28" t="inlineStr">
        <is>
          <t>FUNDING_GATE_SHORT_MIN</t>
        </is>
      </c>
      <c r="B28" t="inlineStr">
        <is>
          <t>0.0_ALT</t>
        </is>
      </c>
      <c r="G28">
        <f>IFERROR(VLOOKUP($A28&amp;"_"&amp;$B28,Results_Deltas!$A$2:$P$15000,5,FALSE),"")</f>
        <v/>
      </c>
      <c r="H28">
        <f>IFERROR(VLOOKUP($A28,Results_30d_Deltas!$A$2:$H$5000,7,FALSE)-E27,"")</f>
        <v/>
      </c>
      <c r="I28">
        <f>IFERROR(VLOOKUP($A28,Results_30d_Deltas!$A$2:$H$5000,6,FALSE),"")</f>
        <v/>
      </c>
      <c r="L28" t="inlineStr">
        <is>
          <t>NO</t>
        </is>
      </c>
      <c r="IK28" t="inlineStr">
        <is>
          <t>ez_manage.py:4734 top()</t>
        </is>
      </c>
      <c r="IL28" t="inlineStr">
        <is>
          <t>v12_quick_engine.py:1870 x6</t>
        </is>
      </c>
    </row>
    <row r="29" ht="10.5" customHeight="1" s="67">
      <c r="A29" t="inlineStr">
        <is>
          <t>HTF4_CONF</t>
        </is>
      </c>
      <c r="B29" t="inlineStr">
        <is>
          <t>False</t>
        </is>
      </c>
      <c r="G29">
        <f>IFERROR(VLOOKUP($A29&amp;"_"&amp;$B29,Results_Deltas!$A$2:$P$15000,5,FALSE),"")</f>
        <v/>
      </c>
      <c r="H29">
        <f>IFERROR(VLOOKUP($A29,Results_30d_Deltas!$A$2:$H$5000,7,FALSE)-E28,"")</f>
        <v/>
      </c>
      <c r="I29">
        <f>IFERROR(VLOOKUP($A29,Results_30d_Deltas!$A$2:$H$5000,6,FALSE),"")</f>
        <v/>
      </c>
      <c r="L29" t="inlineStr">
        <is>
          <t>NO</t>
        </is>
      </c>
      <c r="IK29" t="inlineStr">
        <is>
          <t>ez_manage.py:3370 top()</t>
        </is>
      </c>
      <c r="IL29" t="inlineStr">
        <is>
          <t>v12_quick_engine.py:2038 x7</t>
        </is>
      </c>
    </row>
    <row r="30" ht="10.5" customHeight="1" s="67">
      <c r="A30" t="inlineStr">
        <is>
          <t>HTF4_CONF</t>
        </is>
      </c>
      <c r="B30" t="inlineStr">
        <is>
          <t>False_ALT</t>
        </is>
      </c>
      <c r="G30">
        <f>IFERROR(VLOOKUP($A30&amp;"_"&amp;$B30,Results_Deltas!$A$2:$P$15000,5,FALSE),"")</f>
        <v/>
      </c>
      <c r="H30">
        <f>IFERROR(VLOOKUP($A30,Results_30d_Deltas!$A$2:$H$5000,7,FALSE)-E29,"")</f>
        <v/>
      </c>
      <c r="I30">
        <f>IFERROR(VLOOKUP($A30,Results_30d_Deltas!$A$2:$H$5000,6,FALSE),"")</f>
        <v/>
      </c>
      <c r="L30" t="inlineStr">
        <is>
          <t>YES</t>
        </is>
      </c>
      <c r="IK30" t="inlineStr">
        <is>
          <t>ez_manage.py:3370 top()</t>
        </is>
      </c>
      <c r="IL30" t="inlineStr">
        <is>
          <t>v12_quick_engine.py:2038 x7</t>
        </is>
      </c>
    </row>
    <row r="31" ht="10.5" customHeight="1" s="67">
      <c r="A31" t="inlineStr">
        <is>
          <t>HTF_DIRECTION_GATE_ENABLED</t>
        </is>
      </c>
      <c r="B31" t="inlineStr">
        <is>
          <t>False</t>
        </is>
      </c>
      <c r="G31">
        <f>IFERROR(VLOOKUP($A31&amp;"_"&amp;$B31,Results_Deltas!$A$2:$P$15000,5,FALSE),"")</f>
        <v/>
      </c>
      <c r="H31">
        <f>IFERROR(VLOOKUP($A31,Results_30d_Deltas!$A$2:$H$5000,7,FALSE)-E30,"")</f>
        <v/>
      </c>
      <c r="I31">
        <f>IFERROR(VLOOKUP($A31,Results_30d_Deltas!$A$2:$H$5000,6,FALSE),"")</f>
        <v/>
      </c>
      <c r="L31" t="inlineStr">
        <is>
          <t>NO</t>
        </is>
      </c>
      <c r="IK31" t="inlineStr">
        <is>
          <t>ez_manage.py:4872 top()</t>
        </is>
      </c>
      <c r="IL31" t="inlineStr">
        <is>
          <t>v12_quick_engine.py:2048 x2</t>
        </is>
      </c>
    </row>
    <row r="32" ht="10.5" customHeight="1" s="67">
      <c r="A32" t="inlineStr">
        <is>
          <t>HTF_DIRECTION_GATE_ENABLED</t>
        </is>
      </c>
      <c r="B32" t="inlineStr">
        <is>
          <t>True</t>
        </is>
      </c>
      <c r="G32">
        <f>IFERROR(VLOOKUP($A32&amp;"_"&amp;$B32,Results_Deltas!$A$2:$P$15000,5,FALSE),"")</f>
        <v/>
      </c>
      <c r="H32">
        <f>IFERROR(VLOOKUP($A32,Results_30d_Deltas!$A$2:$H$5000,7,FALSE)-E31,"")</f>
        <v/>
      </c>
      <c r="I32">
        <f>IFERROR(VLOOKUP($A32,Results_30d_Deltas!$A$2:$H$5000,6,FALSE),"")</f>
        <v/>
      </c>
      <c r="L32" t="inlineStr">
        <is>
          <t>NO</t>
        </is>
      </c>
      <c r="IK32" t="inlineStr">
        <is>
          <t>ez_manage.py:4872 top()</t>
        </is>
      </c>
      <c r="IL32" t="inlineStr">
        <is>
          <t>v12_quick_engine.py:2048 x2</t>
        </is>
      </c>
    </row>
    <row r="33" ht="10.5" customHeight="1" s="67">
      <c r="A33" t="inlineStr">
        <is>
          <t>HTF_GATE_APPLY_TO_OPEN</t>
        </is>
      </c>
      <c r="B33" t="inlineStr">
        <is>
          <t>0</t>
        </is>
      </c>
      <c r="G33">
        <f>IFERROR(VLOOKUP($A33&amp;"_"&amp;$B33,Results_Deltas!$A$2:$P$15000,5,FALSE),"")</f>
        <v/>
      </c>
      <c r="H33">
        <f>IFERROR(VLOOKUP($A33,Results_30d_Deltas!$A$2:$H$5000,7,FALSE)-E32,"")</f>
        <v/>
      </c>
      <c r="I33">
        <f>IFERROR(VLOOKUP($A33,Results_30d_Deltas!$A$2:$H$5000,6,FALSE),"")</f>
        <v/>
      </c>
      <c r="L33" t="inlineStr">
        <is>
          <t>NO</t>
        </is>
      </c>
      <c r="IK33" t="inlineStr">
        <is>
          <t>ez_manage.py:4877 top()</t>
        </is>
      </c>
      <c r="IL33" t="inlineStr">
        <is>
          <t>v12_quick_engine.py:2053 x4</t>
        </is>
      </c>
    </row>
    <row r="34" ht="10.5" customHeight="1" s="67">
      <c r="A34" t="inlineStr">
        <is>
          <t>HTF_GATE_APPLY_TO_OPEN</t>
        </is>
      </c>
      <c r="B34" t="inlineStr">
        <is>
          <t>0.5</t>
        </is>
      </c>
      <c r="G34">
        <f>IFERROR(VLOOKUP($A34&amp;"_"&amp;$B34,Results_Deltas!$A$2:$P$15000,5,FALSE),"")</f>
        <v/>
      </c>
      <c r="H34">
        <f>IFERROR(VLOOKUP($A34,Results_30d_Deltas!$A$2:$H$5000,7,FALSE)-E33,"")</f>
        <v/>
      </c>
      <c r="I34">
        <f>IFERROR(VLOOKUP($A34,Results_30d_Deltas!$A$2:$H$5000,6,FALSE),"")</f>
        <v/>
      </c>
      <c r="L34" t="inlineStr">
        <is>
          <t>NO</t>
        </is>
      </c>
      <c r="IK34" t="inlineStr">
        <is>
          <t>ez_manage.py:4877 top()</t>
        </is>
      </c>
      <c r="IL34" t="inlineStr">
        <is>
          <t>v12_quick_engine.py:2053 x4</t>
        </is>
      </c>
    </row>
    <row r="35" ht="10.5" customHeight="1" s="67">
      <c r="A35" t="inlineStr">
        <is>
          <t>HTF_GATE_APPLY_TO_OPEN</t>
        </is>
      </c>
      <c r="B35" t="inlineStr">
        <is>
          <t>1.0</t>
        </is>
      </c>
      <c r="G35">
        <f>IFERROR(VLOOKUP($A35&amp;"_"&amp;$B35,Results_Deltas!$A$2:$P$15000,5,FALSE),"")</f>
        <v/>
      </c>
      <c r="H35">
        <f>IFERROR(VLOOKUP($A35,Results_30d_Deltas!$A$2:$H$5000,7,FALSE)-E34,"")</f>
        <v/>
      </c>
      <c r="I35">
        <f>IFERROR(VLOOKUP($A35,Results_30d_Deltas!$A$2:$H$5000,6,FALSE),"")</f>
        <v/>
      </c>
      <c r="L35" t="inlineStr">
        <is>
          <t>NO</t>
        </is>
      </c>
      <c r="IK35" t="inlineStr">
        <is>
          <t>ez_manage.py:4877 top()</t>
        </is>
      </c>
      <c r="IL35" t="inlineStr">
        <is>
          <t>v12_quick_engine.py:2053 x4</t>
        </is>
      </c>
    </row>
    <row r="36" ht="10.5" customHeight="1" s="67">
      <c r="A36" t="inlineStr">
        <is>
          <t>HTF_GATE_APPLY_TO_OPEN</t>
        </is>
      </c>
      <c r="B36" t="inlineStr">
        <is>
          <t>2.0</t>
        </is>
      </c>
      <c r="G36">
        <f>IFERROR(VLOOKUP($A36&amp;"_"&amp;$B36,Results_Deltas!$A$2:$P$15000,5,FALSE),"")</f>
        <v/>
      </c>
      <c r="H36">
        <f>IFERROR(VLOOKUP($A36,Results_30d_Deltas!$A$2:$H$5000,7,FALSE)-E35,"")</f>
        <v/>
      </c>
      <c r="I36">
        <f>IFERROR(VLOOKUP($A36,Results_30d_Deltas!$A$2:$H$5000,6,FALSE),"")</f>
        <v/>
      </c>
      <c r="L36" t="inlineStr">
        <is>
          <t>NO</t>
        </is>
      </c>
      <c r="IK36" t="inlineStr">
        <is>
          <t>ez_manage.py:4877 top()</t>
        </is>
      </c>
      <c r="IL36" t="inlineStr">
        <is>
          <t>v12_quick_engine.py:2053 x4</t>
        </is>
      </c>
    </row>
    <row r="37" ht="10.5" customHeight="1" s="67">
      <c r="A37" t="inlineStr">
        <is>
          <t>HTF_GATE_BYPASS_RZ</t>
        </is>
      </c>
      <c r="B37" t="inlineStr">
        <is>
          <t>0.0</t>
        </is>
      </c>
      <c r="G37">
        <f>IFERROR(VLOOKUP($A37&amp;"_"&amp;$B37,Results_Deltas!$A$2:$P$15000,5,FALSE),"")</f>
        <v/>
      </c>
      <c r="H37">
        <f>IFERROR(VLOOKUP($A37,Results_30d_Deltas!$A$2:$H$5000,7,FALSE)-E36,"")</f>
        <v/>
      </c>
      <c r="I37">
        <f>IFERROR(VLOOKUP($A37,Results_30d_Deltas!$A$2:$H$5000,6,FALSE),"")</f>
        <v/>
      </c>
      <c r="L37" t="inlineStr">
        <is>
          <t>NO</t>
        </is>
      </c>
      <c r="IK37" t="inlineStr">
        <is>
          <t>ez_manage.py:4878 top()</t>
        </is>
      </c>
      <c r="IL37" t="inlineStr">
        <is>
          <t>v12_quick_engine.py:2054 x4</t>
        </is>
      </c>
    </row>
    <row r="38" ht="10.5" customHeight="1" s="67">
      <c r="A38" t="inlineStr">
        <is>
          <t>HTF_GATE_BYPASS_RZ</t>
        </is>
      </c>
      <c r="B38" t="inlineStr">
        <is>
          <t>0.0_ALT</t>
        </is>
      </c>
      <c r="G38">
        <f>IFERROR(VLOOKUP($A38&amp;"_"&amp;$B38,Results_Deltas!$A$2:$P$15000,5,FALSE),"")</f>
        <v/>
      </c>
      <c r="H38">
        <f>IFERROR(VLOOKUP($A38,Results_30d_Deltas!$A$2:$H$5000,7,FALSE)-E37,"")</f>
        <v/>
      </c>
      <c r="I38">
        <f>IFERROR(VLOOKUP($A38,Results_30d_Deltas!$A$2:$H$5000,6,FALSE),"")</f>
        <v/>
      </c>
      <c r="L38" t="inlineStr">
        <is>
          <t>NO</t>
        </is>
      </c>
      <c r="IK38" t="inlineStr">
        <is>
          <t>ez_manage.py:4878 top()</t>
        </is>
      </c>
      <c r="IL38" t="inlineStr">
        <is>
          <t>v12_quick_engine.py:2054 x4</t>
        </is>
      </c>
    </row>
    <row r="39" ht="10.5" customHeight="1" s="67">
      <c r="A39" t="inlineStr">
        <is>
          <t>HTF_GATE_D_MANDATORY</t>
        </is>
      </c>
      <c r="B39" t="inlineStr">
        <is>
          <t>0.0</t>
        </is>
      </c>
      <c r="G39">
        <f>IFERROR(VLOOKUP($A39&amp;"_"&amp;$B39,Results_Deltas!$A$2:$P$15000,5,FALSE),"")</f>
        <v/>
      </c>
      <c r="H39">
        <f>IFERROR(VLOOKUP($A39,Results_30d_Deltas!$A$2:$H$5000,7,FALSE)-E38,"")</f>
        <v/>
      </c>
      <c r="I39">
        <f>IFERROR(VLOOKUP($A39,Results_30d_Deltas!$A$2:$H$5000,6,FALSE),"")</f>
        <v/>
      </c>
      <c r="L39" t="inlineStr">
        <is>
          <t>NO</t>
        </is>
      </c>
      <c r="IK39" t="inlineStr">
        <is>
          <t>ez_manage.py:4879 top()</t>
        </is>
      </c>
      <c r="IL39" t="inlineStr">
        <is>
          <t>v12_quick_engine.py:2055 x5</t>
        </is>
      </c>
    </row>
    <row r="40" ht="10.5" customHeight="1" s="67">
      <c r="A40" t="inlineStr">
        <is>
          <t>HTF_GATE_D_MANDATORY</t>
        </is>
      </c>
      <c r="B40" t="inlineStr">
        <is>
          <t>0.0_ALT</t>
        </is>
      </c>
      <c r="G40">
        <f>IFERROR(VLOOKUP($A40&amp;"_"&amp;$B40,Results_Deltas!$A$2:$P$15000,5,FALSE),"")</f>
        <v/>
      </c>
      <c r="H40">
        <f>IFERROR(VLOOKUP($A40,Results_30d_Deltas!$A$2:$H$5000,7,FALSE)-E39,"")</f>
        <v/>
      </c>
      <c r="I40">
        <f>IFERROR(VLOOKUP($A40,Results_30d_Deltas!$A$2:$H$5000,6,FALSE),"")</f>
        <v/>
      </c>
      <c r="L40" t="inlineStr">
        <is>
          <t>NO</t>
        </is>
      </c>
      <c r="IK40" t="inlineStr">
        <is>
          <t>ez_manage.py:4879 top()</t>
        </is>
      </c>
      <c r="IL40" t="inlineStr">
        <is>
          <t>v12_quick_engine.py:2055 x5</t>
        </is>
      </c>
    </row>
    <row r="41" ht="10.5" customHeight="1" s="67">
      <c r="A41" t="inlineStr">
        <is>
          <t>HTF_GATE_MIN_CONFIRMATIONS</t>
        </is>
      </c>
      <c r="B41" t="inlineStr">
        <is>
          <t>0.0</t>
        </is>
      </c>
      <c r="G41">
        <f>IFERROR(VLOOKUP($A41&amp;"_"&amp;$B41,Results_Deltas!$A$2:$P$15000,5,FALSE),"")</f>
        <v/>
      </c>
      <c r="H41">
        <f>IFERROR(VLOOKUP($A41,Results_30d_Deltas!$A$2:$H$5000,7,FALSE)-E40,"")</f>
        <v/>
      </c>
      <c r="I41">
        <f>IFERROR(VLOOKUP($A41,Results_30d_Deltas!$A$2:$H$5000,6,FALSE),"")</f>
        <v/>
      </c>
      <c r="L41" t="inlineStr">
        <is>
          <t>YES</t>
        </is>
      </c>
      <c r="IK41" t="inlineStr">
        <is>
          <t>ez_manage.py:4880 top()</t>
        </is>
      </c>
      <c r="IL41" t="inlineStr">
        <is>
          <t>v12_quick_engine.py:2056 x6</t>
        </is>
      </c>
    </row>
    <row r="42" ht="10.5" customHeight="1" s="67">
      <c r="A42" t="inlineStr">
        <is>
          <t>HTF_GATE_MIN_CONFIRMATIONS</t>
        </is>
      </c>
      <c r="B42" t="inlineStr">
        <is>
          <t>0.0_ALT</t>
        </is>
      </c>
      <c r="G42">
        <f>IFERROR(VLOOKUP($A42&amp;"_"&amp;$B42,Results_Deltas!$A$2:$P$15000,5,FALSE),"")</f>
        <v/>
      </c>
      <c r="H42">
        <f>IFERROR(VLOOKUP($A42,Results_30d_Deltas!$A$2:$H$5000,7,FALSE)-E41,"")</f>
        <v/>
      </c>
      <c r="I42">
        <f>IFERROR(VLOOKUP($A42,Results_30d_Deltas!$A$2:$H$5000,6,FALSE),"")</f>
        <v/>
      </c>
      <c r="L42" t="inlineStr">
        <is>
          <t>NO</t>
        </is>
      </c>
      <c r="IK42" t="inlineStr">
        <is>
          <t>ez_manage.py:4880 top()</t>
        </is>
      </c>
      <c r="IL42" t="inlineStr">
        <is>
          <t>v12_quick_engine.py:2056 x6</t>
        </is>
      </c>
    </row>
    <row r="43" ht="10.5" customHeight="1" s="67">
      <c r="A43" t="inlineStr">
        <is>
          <t>MARKET_QUALITY_SCORE_ENABLED</t>
        </is>
      </c>
      <c r="B43" t="inlineStr">
        <is>
          <t>False</t>
        </is>
      </c>
      <c r="G43">
        <f>IFERROR(VLOOKUP($A43&amp;"_"&amp;$B43,Results_Deltas!$A$2:$P$15000,5,FALSE),"")</f>
        <v/>
      </c>
      <c r="H43">
        <f>IFERROR(VLOOKUP($A43,Results_30d_Deltas!$A$2:$H$5000,7,FALSE)-E42,"")</f>
        <v/>
      </c>
      <c r="I43">
        <f>IFERROR(VLOOKUP($A43,Results_30d_Deltas!$A$2:$H$5000,6,FALSE),"")</f>
        <v/>
      </c>
      <c r="L43" t="inlineStr">
        <is>
          <t>NO</t>
        </is>
      </c>
      <c r="IK43" t="inlineStr">
        <is>
          <t>ez_manage.py:3518 top()</t>
        </is>
      </c>
      <c r="IL43" t="inlineStr">
        <is>
          <t>v12_quick_engine.py:2263 x8</t>
        </is>
      </c>
    </row>
    <row r="44" ht="10.5" customHeight="1" s="67">
      <c r="A44" t="inlineStr">
        <is>
          <t>MARKET_QUALITY_SCORE_ENABLED</t>
        </is>
      </c>
      <c r="B44" t="inlineStr">
        <is>
          <t>True</t>
        </is>
      </c>
      <c r="G44">
        <f>IFERROR(VLOOKUP($A44&amp;"_"&amp;$B44,Results_Deltas!$A$2:$P$15000,5,FALSE),"")</f>
        <v/>
      </c>
      <c r="H44">
        <f>IFERROR(VLOOKUP($A44,Results_30d_Deltas!$A$2:$H$5000,7,FALSE)-E43,"")</f>
        <v/>
      </c>
      <c r="I44">
        <f>IFERROR(VLOOKUP($A44,Results_30d_Deltas!$A$2:$H$5000,6,FALSE),"")</f>
        <v/>
      </c>
      <c r="L44" t="inlineStr">
        <is>
          <t>NO</t>
        </is>
      </c>
      <c r="IK44" t="inlineStr">
        <is>
          <t>ez_manage.py:3518 top()</t>
        </is>
      </c>
      <c r="IL44" t="inlineStr">
        <is>
          <t>v12_quick_engine.py:2263 x8</t>
        </is>
      </c>
    </row>
    <row r="45" ht="10.5" customHeight="1" s="67">
      <c r="A45" t="inlineStr">
        <is>
          <t>NOLOSS_BYPASS_WT_5OF5_MIN_TFS</t>
        </is>
      </c>
      <c r="B45" t="inlineStr">
        <is>
          <t>2</t>
        </is>
      </c>
      <c r="G45">
        <f>IFERROR(VLOOKUP($A45&amp;"_"&amp;$B45,Results_Deltas!$A$2:$P$15000,5,FALSE),"")</f>
        <v/>
      </c>
      <c r="H45">
        <f>IFERROR(VLOOKUP($A45,Results_30d_Deltas!$A$2:$H$5000,7,FALSE)-E44,"")</f>
        <v/>
      </c>
      <c r="I45">
        <f>IFERROR(VLOOKUP($A45,Results_30d_Deltas!$A$2:$H$5000,6,FALSE),"")</f>
        <v/>
      </c>
      <c r="L45" t="inlineStr">
        <is>
          <t>NO</t>
        </is>
      </c>
      <c r="IK45" t="inlineStr">
        <is>
          <t>ez_manage.py:5095 top()</t>
        </is>
      </c>
      <c r="IL45" t="inlineStr">
        <is>
          <t>v12_quick_engine.py:860 x7</t>
        </is>
      </c>
    </row>
    <row r="46" ht="10.5" customHeight="1" s="67">
      <c r="A46" t="inlineStr">
        <is>
          <t>NOLOSS_BYPASS_WT_5OF5_MIN_TFS</t>
        </is>
      </c>
      <c r="B46" t="inlineStr">
        <is>
          <t>4</t>
        </is>
      </c>
      <c r="G46">
        <f>IFERROR(VLOOKUP($A46&amp;"_"&amp;$B46,Results_Deltas!$A$2:$P$15000,5,FALSE),"")</f>
        <v/>
      </c>
      <c r="H46">
        <f>IFERROR(VLOOKUP($A46,Results_30d_Deltas!$A$2:$H$5000,7,FALSE)-E45,"")</f>
        <v/>
      </c>
      <c r="I46">
        <f>IFERROR(VLOOKUP($A46,Results_30d_Deltas!$A$2:$H$5000,6,FALSE),"")</f>
        <v/>
      </c>
      <c r="L46" t="inlineStr">
        <is>
          <t>NO</t>
        </is>
      </c>
      <c r="IK46" t="inlineStr">
        <is>
          <t>ez_manage.py:5095 top()</t>
        </is>
      </c>
      <c r="IL46" t="inlineStr">
        <is>
          <t>v12_quick_engine.py:860 x7</t>
        </is>
      </c>
    </row>
    <row r="47" ht="10.5" customHeight="1" s="67">
      <c r="A47" t="inlineStr">
        <is>
          <t>NOLOSS_BYPASS_WT_5OF5_MIN_TFS</t>
        </is>
      </c>
      <c r="B47" t="n">
        <v>3</v>
      </c>
      <c r="G47">
        <f>IFERROR(VLOOKUP($A47&amp;"_"&amp;$B47,Results_Deltas!$A$2:$P$15000,5,FALSE),"")</f>
        <v/>
      </c>
      <c r="H47">
        <f>IFERROR(VLOOKUP($A47,Results_30d_Deltas!$A$2:$H$5000,7,FALSE)-E46,"")</f>
        <v/>
      </c>
      <c r="I47">
        <f>IFERROR(VLOOKUP($A47,Results_30d_Deltas!$A$2:$H$5000,6,FALSE),"")</f>
        <v/>
      </c>
      <c r="L47" t="inlineStr">
        <is>
          <t>YES</t>
        </is>
      </c>
      <c r="IK47" t="inlineStr">
        <is>
          <t>ez_manage.py:5095 top()</t>
        </is>
      </c>
      <c r="IL47" t="inlineStr">
        <is>
          <t>v12_quick_engine.py:860 x7</t>
        </is>
      </c>
    </row>
    <row r="48" ht="10.5" customHeight="1" s="67">
      <c r="A48" t="inlineStr">
        <is>
          <t>NOLOSS_BYPASS_WT_5OF5_MIN_TFS</t>
        </is>
      </c>
      <c r="B48" t="inlineStr">
        <is>
          <t>6</t>
        </is>
      </c>
      <c r="G48">
        <f>IFERROR(VLOOKUP($A48&amp;"_"&amp;$B48,Results_Deltas!$A$2:$P$15000,5,FALSE),"")</f>
        <v/>
      </c>
      <c r="H48">
        <f>IFERROR(VLOOKUP($A48,Results_30d_Deltas!$A$2:$H$5000,7,FALSE)-E47,"")</f>
        <v/>
      </c>
      <c r="I48">
        <f>IFERROR(VLOOKUP($A48,Results_30d_Deltas!$A$2:$H$5000,6,FALSE),"")</f>
        <v/>
      </c>
      <c r="L48" t="inlineStr">
        <is>
          <t>NO</t>
        </is>
      </c>
      <c r="IK48" t="inlineStr">
        <is>
          <t>ez_manage.py:5095 top()</t>
        </is>
      </c>
      <c r="IL48" t="inlineStr">
        <is>
          <t>v12_quick_engine.py:860 x7</t>
        </is>
      </c>
    </row>
    <row r="49" ht="10.5" customHeight="1" s="67">
      <c r="A49" t="inlineStr">
        <is>
          <t>NOLOSS_BYPASS_WT_5OF5_MIN_TFS</t>
        </is>
      </c>
      <c r="B49" t="inlineStr">
        <is>
          <t>8</t>
        </is>
      </c>
      <c r="G49">
        <f>IFERROR(VLOOKUP($A49&amp;"_"&amp;$B49,Results_Deltas!$A$2:$P$15000,5,FALSE),"")</f>
        <v/>
      </c>
      <c r="H49">
        <f>IFERROR(VLOOKUP($A49,Results_30d_Deltas!$A$2:$H$5000,7,FALSE)-E48,"")</f>
        <v/>
      </c>
      <c r="I49">
        <f>IFERROR(VLOOKUP($A49,Results_30d_Deltas!$A$2:$H$5000,6,FALSE),"")</f>
        <v/>
      </c>
      <c r="L49" t="inlineStr">
        <is>
          <t>NO</t>
        </is>
      </c>
      <c r="IK49" t="inlineStr">
        <is>
          <t>ez_manage.py:5095 top()</t>
        </is>
      </c>
      <c r="IL49" t="inlineStr">
        <is>
          <t>v12_quick_engine.py:860 x7</t>
        </is>
      </c>
    </row>
    <row r="50" ht="10.5" customHeight="1" s="67">
      <c r="A50" t="inlineStr">
        <is>
          <t>SIMPLE_TP_EXIT_ENABLED</t>
        </is>
      </c>
      <c r="B50" t="inlineStr">
        <is>
          <t>False</t>
        </is>
      </c>
      <c r="G50">
        <f>IFERROR(VLOOKUP($A50&amp;"_"&amp;$B50,Results_Deltas!$A$2:$P$15000,5,FALSE),"")</f>
        <v/>
      </c>
      <c r="H50">
        <f>IFERROR(VLOOKUP($A50,Results_30d_Deltas!$A$2:$H$5000,7,FALSE)-E49,"")</f>
        <v/>
      </c>
      <c r="I50">
        <f>IFERROR(VLOOKUP($A50,Results_30d_Deltas!$A$2:$H$5000,6,FALSE),"")</f>
        <v/>
      </c>
      <c r="L50" t="inlineStr">
        <is>
          <t>YES</t>
        </is>
      </c>
      <c r="IK50" t="inlineStr">
        <is>
          <t>ez_manage.py:4001 top()</t>
        </is>
      </c>
      <c r="IL50" t="inlineStr">
        <is>
          <t>v12_quick_engine.py:3227 x2</t>
        </is>
      </c>
    </row>
    <row r="51" ht="10.5" customHeight="1" s="67">
      <c r="A51" t="inlineStr">
        <is>
          <t>SIMPLE_TP_EXIT_ENABLED</t>
        </is>
      </c>
      <c r="B51" t="inlineStr">
        <is>
          <t>True</t>
        </is>
      </c>
      <c r="G51">
        <f>IFERROR(VLOOKUP($A51&amp;"_"&amp;$B51,Results_Deltas!$A$2:$P$15000,5,FALSE),"")</f>
        <v/>
      </c>
      <c r="H51">
        <f>IFERROR(VLOOKUP($A51,Results_30d_Deltas!$A$2:$H$5000,7,FALSE)-E50,"")</f>
        <v/>
      </c>
      <c r="I51">
        <f>IFERROR(VLOOKUP($A51,Results_30d_Deltas!$A$2:$H$5000,6,FALSE),"")</f>
        <v/>
      </c>
      <c r="L51" t="inlineStr">
        <is>
          <t>NO</t>
        </is>
      </c>
      <c r="IK51" t="inlineStr">
        <is>
          <t>ez_manage.py:4001 top()</t>
        </is>
      </c>
      <c r="IL51" t="inlineStr">
        <is>
          <t>v12_quick_engine.py:3227 x2</t>
        </is>
      </c>
    </row>
    <row r="52" ht="10.5" customHeight="1" s="67">
      <c r="A52" t="inlineStr">
        <is>
          <t>SIMPLE_TP_PCT</t>
        </is>
      </c>
      <c r="B52" t="inlineStr">
        <is>
          <t>0</t>
        </is>
      </c>
      <c r="G52">
        <f>IFERROR(VLOOKUP($A52&amp;"_"&amp;$B52,Results_Deltas!$A$2:$P$15000,5,FALSE),"")</f>
        <v/>
      </c>
      <c r="H52">
        <f>IFERROR(VLOOKUP($A52,Results_30d_Deltas!$A$2:$H$5000,7,FALSE)-E51,"")</f>
        <v/>
      </c>
      <c r="I52">
        <f>IFERROR(VLOOKUP($A52,Results_30d_Deltas!$A$2:$H$5000,6,FALSE),"")</f>
        <v/>
      </c>
      <c r="L52" t="inlineStr">
        <is>
          <t>NO</t>
        </is>
      </c>
      <c r="IK52" t="inlineStr">
        <is>
          <t>ez_manage.py:4002 top()</t>
        </is>
      </c>
      <c r="IL52" t="inlineStr">
        <is>
          <t>v12_quick_engine.py:3228 x2</t>
        </is>
      </c>
    </row>
    <row r="53" ht="10.5" customHeight="1" s="67">
      <c r="A53" t="inlineStr">
        <is>
          <t>SIMPLE_TP_PCT</t>
        </is>
      </c>
      <c r="B53" t="n">
        <v>0</v>
      </c>
      <c r="G53">
        <f>IFERROR(VLOOKUP($A53&amp;"_"&amp;$B53,Results_Deltas!$A$2:$P$15000,5,FALSE),"")</f>
        <v/>
      </c>
      <c r="H53">
        <f>IFERROR(VLOOKUP($A53,Results_30d_Deltas!$A$2:$H$5000,7,FALSE)-E52,"")</f>
        <v/>
      </c>
      <c r="I53">
        <f>IFERROR(VLOOKUP($A53,Results_30d_Deltas!$A$2:$H$5000,6,FALSE),"")</f>
        <v/>
      </c>
      <c r="L53" t="inlineStr">
        <is>
          <t>NO</t>
        </is>
      </c>
      <c r="IK53" t="inlineStr">
        <is>
          <t>ez_manage.py:4002 top()</t>
        </is>
      </c>
      <c r="IL53" t="inlineStr">
        <is>
          <t>v12_quick_engine.py:3228 x2</t>
        </is>
      </c>
    </row>
    <row r="54" ht="10.5" customHeight="1" s="67">
      <c r="A54" t="inlineStr">
        <is>
          <t>SIMPLE_TP_PCT</t>
        </is>
      </c>
      <c r="B54" t="inlineStr">
        <is>
          <t>1.0</t>
        </is>
      </c>
      <c r="G54">
        <f>IFERROR(VLOOKUP($A54&amp;"_"&amp;$B54,Results_Deltas!$A$2:$P$15000,5,FALSE),"")</f>
        <v/>
      </c>
      <c r="H54">
        <f>IFERROR(VLOOKUP($A54,Results_30d_Deltas!$A$2:$H$5000,7,FALSE)-E53,"")</f>
        <v/>
      </c>
      <c r="I54">
        <f>IFERROR(VLOOKUP($A54,Results_30d_Deltas!$A$2:$H$5000,6,FALSE),"")</f>
        <v/>
      </c>
      <c r="L54" t="inlineStr">
        <is>
          <t>NO</t>
        </is>
      </c>
      <c r="IK54" t="inlineStr">
        <is>
          <t>ez_manage.py:4002 top()</t>
        </is>
      </c>
      <c r="IL54" t="inlineStr">
        <is>
          <t>v12_quick_engine.py:3228 x2</t>
        </is>
      </c>
    </row>
    <row r="55" ht="10.5" customHeight="1" s="67">
      <c r="A55" t="inlineStr">
        <is>
          <t>SIMPLE_TP_PCT</t>
        </is>
      </c>
      <c r="B55" t="inlineStr">
        <is>
          <t>2.0</t>
        </is>
      </c>
      <c r="G55">
        <f>IFERROR(VLOOKUP($A55&amp;"_"&amp;$B55,Results_Deltas!$A$2:$P$15000,5,FALSE),"")</f>
        <v/>
      </c>
      <c r="H55">
        <f>IFERROR(VLOOKUP($A55,Results_30d_Deltas!$A$2:$H$5000,7,FALSE)-E54,"")</f>
        <v/>
      </c>
      <c r="I55">
        <f>IFERROR(VLOOKUP($A55,Results_30d_Deltas!$A$2:$H$5000,6,FALSE),"")</f>
        <v/>
      </c>
      <c r="L55" t="inlineStr">
        <is>
          <t>YES</t>
        </is>
      </c>
      <c r="IK55" t="inlineStr">
        <is>
          <t>ez_manage.py:4002 top()</t>
        </is>
      </c>
      <c r="IL55" t="inlineStr">
        <is>
          <t>v12_quick_engine.py:3228 x2</t>
        </is>
      </c>
    </row>
    <row r="56" ht="15.75" customHeight="1" s="67">
      <c r="A56" t="inlineStr">
        <is>
          <t>ADX_RANGING_THRESHOLD</t>
        </is>
      </c>
      <c r="B56" t="inlineStr">
        <is>
          <t>20</t>
        </is>
      </c>
      <c r="D56" t="inlineStr">
        <is>
          <t>ENTRY, GLOBAL_CHECK, STOCKS_EXIT</t>
        </is>
      </c>
      <c r="G56">
        <f>IFERROR(VLOOKUP($A56&amp;"_"&amp;$B56,Results_Deltas!$A$2:$P$15000,5,FALSE),"")</f>
        <v/>
      </c>
      <c r="H56" t="inlineStr">
        <is>
          <t>Blanket (page end)</t>
        </is>
      </c>
      <c r="L56" t="inlineStr">
        <is>
          <t>NO</t>
        </is>
      </c>
    </row>
    <row r="57" ht="15.75" customHeight="1" s="67">
      <c r="A57" t="inlineStr">
        <is>
          <t>ADX_RANGING_THRESHOLD</t>
        </is>
      </c>
      <c r="B57" t="inlineStr">
        <is>
          <t>25</t>
        </is>
      </c>
      <c r="D57" t="inlineStr">
        <is>
          <t>ENTRY, GLOBAL_CHECK, STOCKS_EXIT</t>
        </is>
      </c>
      <c r="G57">
        <f>IFERROR(VLOOKUP($A57&amp;"_"&amp;$B57,Results_Deltas!$A$2:$P$15000,5,FALSE),"")</f>
        <v/>
      </c>
      <c r="H57" t="inlineStr">
        <is>
          <t>Blanket (page end)</t>
        </is>
      </c>
      <c r="L57" t="inlineStr">
        <is>
          <t>NO</t>
        </is>
      </c>
    </row>
    <row r="58" ht="15.75" customHeight="1" s="67">
      <c r="A58" t="inlineStr">
        <is>
          <t>ADX_RANGING_THRESHOLD</t>
        </is>
      </c>
      <c r="B58" t="inlineStr">
        <is>
          <t>15</t>
        </is>
      </c>
      <c r="D58" t="inlineStr">
        <is>
          <t>ENTRY, GLOBAL_CHECK, STOCKS_EXIT</t>
        </is>
      </c>
      <c r="G58">
        <f>IFERROR(VLOOKUP($A58&amp;"_"&amp;$B58,Results_Deltas!$A$2:$P$15000,5,FALSE),"")</f>
        <v/>
      </c>
      <c r="H58" t="inlineStr">
        <is>
          <t>Blanket (page end)</t>
        </is>
      </c>
      <c r="L58" t="inlineStr">
        <is>
          <t>NO</t>
        </is>
      </c>
    </row>
    <row r="59" ht="15.75" customHeight="1" s="67">
      <c r="A59" t="inlineStr">
        <is>
          <t>ADX_RANGING_THRESHOLD</t>
        </is>
      </c>
      <c r="B59" t="n">
        <v>20</v>
      </c>
      <c r="D59" t="inlineStr">
        <is>
          <t>ENTRY, GLOBAL_CHECK, STOCKS_EXIT</t>
        </is>
      </c>
      <c r="G59">
        <f>IFERROR(VLOOKUP($A59&amp;"_"&amp;$B59,Results_Deltas!$A$2:$P$15000,5,FALSE),"")</f>
        <v/>
      </c>
      <c r="H59" t="inlineStr">
        <is>
          <t>Blanket (page end)</t>
        </is>
      </c>
      <c r="L59" t="inlineStr">
        <is>
          <t>NO</t>
        </is>
      </c>
    </row>
    <row r="60" ht="15.75" customHeight="1" s="67">
      <c r="A60" t="inlineStr">
        <is>
          <t>BANDAID_OFF_LOSER_RECOVER_PCT</t>
        </is>
      </c>
      <c r="B60" t="inlineStr">
        <is>
          <t>0</t>
        </is>
      </c>
      <c r="D60" t="inlineStr">
        <is>
          <t>AUGMENT, ENTRY, EXIT, GLOBAL_CHECK, REDUCE, STOCKS_EXIT</t>
        </is>
      </c>
      <c r="G60">
        <f>IFERROR(VLOOKUP($A60&amp;"_"&amp;$B60,Results_Deltas!$A$2:$P$15000,5,FALSE),"")</f>
        <v/>
      </c>
      <c r="H60" t="inlineStr">
        <is>
          <t>Blanket (page end)</t>
        </is>
      </c>
      <c r="L60" t="inlineStr">
        <is>
          <t>YES</t>
        </is>
      </c>
    </row>
    <row r="61" ht="15.75" customHeight="1" s="67">
      <c r="A61" t="inlineStr">
        <is>
          <t>BANDAID_OFF_LOSER_RECOVER_PCT</t>
        </is>
      </c>
      <c r="B61" t="inlineStr">
        <is>
          <t>2.0</t>
        </is>
      </c>
      <c r="D61" t="inlineStr">
        <is>
          <t>AUGMENT, ENTRY, EXIT, GLOBAL_CHECK, REDUCE, STOCKS_EXIT</t>
        </is>
      </c>
      <c r="G61">
        <f>IFERROR(VLOOKUP($A61&amp;"_"&amp;$B61,Results_Deltas!$A$2:$P$15000,5,FALSE),"")</f>
        <v/>
      </c>
      <c r="H61" t="inlineStr">
        <is>
          <t>Blanket (page end)</t>
        </is>
      </c>
      <c r="L61" t="inlineStr">
        <is>
          <t>NO</t>
        </is>
      </c>
    </row>
    <row r="62" ht="15.75" customHeight="1" s="67">
      <c r="A62" t="inlineStr">
        <is>
          <t>BANDAID_OFF_LOSER_RECOVER_PCT</t>
        </is>
      </c>
      <c r="B62" t="inlineStr">
        <is>
          <t>1.0</t>
        </is>
      </c>
      <c r="D62" t="inlineStr">
        <is>
          <t>AUGMENT, ENTRY, EXIT, GLOBAL_CHECK, REDUCE, STOCKS_EXIT</t>
        </is>
      </c>
      <c r="G62">
        <f>IFERROR(VLOOKUP($A62&amp;"_"&amp;$B62,Results_Deltas!$A$2:$P$15000,5,FALSE),"")</f>
        <v/>
      </c>
      <c r="H62" t="inlineStr">
        <is>
          <t>Blanket (page end)</t>
        </is>
      </c>
      <c r="L62" t="inlineStr">
        <is>
          <t>NO</t>
        </is>
      </c>
    </row>
    <row r="63" ht="15.75" customHeight="1" s="67">
      <c r="A63" t="inlineStr">
        <is>
          <t>BANDAID_OFF_LOSER_RECOVER_PCT</t>
        </is>
      </c>
      <c r="B63" t="inlineStr">
        <is>
          <t>0.5</t>
        </is>
      </c>
      <c r="D63" t="inlineStr">
        <is>
          <t>AUGMENT, ENTRY, EXIT, GLOBAL_CHECK, REDUCE, STOCKS_EXIT</t>
        </is>
      </c>
      <c r="G63">
        <f>IFERROR(VLOOKUP($A63&amp;"_"&amp;$B63,Results_Deltas!$A$2:$P$15000,5,FALSE),"")</f>
        <v/>
      </c>
      <c r="H63" t="inlineStr">
        <is>
          <t>Blanket (page end)</t>
        </is>
      </c>
      <c r="L63" t="inlineStr">
        <is>
          <t>NO</t>
        </is>
      </c>
    </row>
    <row r="64" ht="15.75" customHeight="1" s="67">
      <c r="A64" t="inlineStr">
        <is>
          <t>BAND_ARROW_ENABLED</t>
        </is>
      </c>
      <c r="B64" t="inlineStr">
        <is>
          <t>False</t>
        </is>
      </c>
      <c r="D64" t="inlineStr">
        <is>
          <t>GLOBAL_CHECK, STOCKS_EXIT</t>
        </is>
      </c>
      <c r="G64">
        <f>IFERROR(VLOOKUP($A64&amp;"_"&amp;$B64,Results_Deltas!$A$2:$P$15000,5,FALSE),"")</f>
        <v/>
      </c>
      <c r="H64" t="inlineStr">
        <is>
          <t>Blanket (page end)</t>
        </is>
      </c>
      <c r="L64" t="inlineStr">
        <is>
          <t>NO</t>
        </is>
      </c>
    </row>
    <row r="65" ht="15.75" customHeight="1" s="67">
      <c r="A65" t="inlineStr">
        <is>
          <t>BAND_ARROW_ENABLED</t>
        </is>
      </c>
      <c r="B65" t="inlineStr">
        <is>
          <t>True</t>
        </is>
      </c>
      <c r="D65" t="inlineStr">
        <is>
          <t>GLOBAL_CHECK, STOCKS_EXIT</t>
        </is>
      </c>
      <c r="G65">
        <f>IFERROR(VLOOKUP($A65&amp;"_"&amp;$B65,Results_Deltas!$A$2:$P$15000,5,FALSE),"")</f>
        <v/>
      </c>
      <c r="H65" t="inlineStr">
        <is>
          <t>Blanket (page end)</t>
        </is>
      </c>
      <c r="L65" t="inlineStr">
        <is>
          <t>NO</t>
        </is>
      </c>
    </row>
    <row r="66" ht="15.75" customHeight="1" s="67">
      <c r="A66" t="inlineStr">
        <is>
          <t>COOLDOWN_LOCKS_FILTER_TF</t>
        </is>
      </c>
      <c r="B66" t="inlineStr">
        <is>
          <t>OFF</t>
        </is>
      </c>
      <c r="D66" t="inlineStr">
        <is>
          <t>GLOBAL_CHECK</t>
        </is>
      </c>
      <c r="G66">
        <f>IFERROR(VLOOKUP($A66&amp;"_"&amp;$B66,Results_Deltas!$A$2:$P$15000,5,FALSE),"")</f>
        <v/>
      </c>
      <c r="H66" t="inlineStr">
        <is>
          <t>Blanket (page end)</t>
        </is>
      </c>
      <c r="L66" t="inlineStr">
        <is>
          <t>NO</t>
        </is>
      </c>
    </row>
    <row r="67" ht="15.75" customHeight="1" s="67">
      <c r="A67" t="inlineStr">
        <is>
          <t>COOLDOWN_LOCKS_FILTER_TF</t>
        </is>
      </c>
      <c r="B67" t="inlineStr">
        <is>
          <t>D</t>
        </is>
      </c>
      <c r="D67" t="inlineStr">
        <is>
          <t>GLOBAL_CHECK</t>
        </is>
      </c>
      <c r="G67">
        <f>IFERROR(VLOOKUP($A67&amp;"_"&amp;$B67,Results_Deltas!$A$2:$P$15000,5,FALSE),"")</f>
        <v/>
      </c>
      <c r="H67" t="inlineStr">
        <is>
          <t>Blanket (page end)</t>
        </is>
      </c>
      <c r="L67" t="inlineStr">
        <is>
          <t>NO</t>
        </is>
      </c>
    </row>
    <row r="68" ht="15.75" customHeight="1" s="67">
      <c r="A68" t="inlineStr">
        <is>
          <t>COOLDOWN_LOCKS_FILTER_TF</t>
        </is>
      </c>
      <c r="B68" t="inlineStr">
        <is>
          <t>4h</t>
        </is>
      </c>
      <c r="D68" t="inlineStr">
        <is>
          <t>GLOBAL_CHECK</t>
        </is>
      </c>
      <c r="G68">
        <f>IFERROR(VLOOKUP($A68&amp;"_"&amp;$B68,Results_Deltas!$A$2:$P$15000,5,FALSE),"")</f>
        <v/>
      </c>
      <c r="H68" t="inlineStr">
        <is>
          <t>Blanket (page end)</t>
        </is>
      </c>
      <c r="L68" t="inlineStr">
        <is>
          <t>NO</t>
        </is>
      </c>
    </row>
    <row r="69" ht="15.75" customHeight="1" s="67">
      <c r="A69" t="inlineStr">
        <is>
          <t>COOLDOWN_LOCKS_FILTER_TF</t>
        </is>
      </c>
      <c r="B69" t="inlineStr">
        <is>
          <t>1h</t>
        </is>
      </c>
      <c r="D69" t="inlineStr">
        <is>
          <t>GLOBAL_CHECK</t>
        </is>
      </c>
      <c r="G69">
        <f>IFERROR(VLOOKUP($A69&amp;"_"&amp;$B69,Results_Deltas!$A$2:$P$15000,5,FALSE),"")</f>
        <v/>
      </c>
      <c r="H69" t="inlineStr">
        <is>
          <t>Blanket (page end)</t>
        </is>
      </c>
      <c r="L69" t="inlineStr">
        <is>
          <t>NO</t>
        </is>
      </c>
    </row>
    <row r="70" ht="15.75" customHeight="1" s="67">
      <c r="A70" t="inlineStr">
        <is>
          <t>COOLDOWN_LOCKS_FILTER_TF</t>
        </is>
      </c>
      <c r="B70" t="inlineStr">
        <is>
          <t>15m</t>
        </is>
      </c>
      <c r="D70" t="inlineStr">
        <is>
          <t>GLOBAL_CHECK</t>
        </is>
      </c>
      <c r="G70">
        <f>IFERROR(VLOOKUP($A70&amp;"_"&amp;$B70,Results_Deltas!$A$2:$P$15000,5,FALSE),"")</f>
        <v/>
      </c>
      <c r="H70" t="inlineStr">
        <is>
          <t>Blanket (page end)</t>
        </is>
      </c>
      <c r="L70" t="inlineStr">
        <is>
          <t>NO</t>
        </is>
      </c>
    </row>
    <row r="71" ht="15.75" customHeight="1" s="67">
      <c r="A71" t="inlineStr">
        <is>
          <t>CRYPTO_SPIKE_FADE_THRESHOLD_PCT</t>
        </is>
      </c>
      <c r="B71" t="n">
        <v>0</v>
      </c>
      <c r="D71" t="inlineStr">
        <is>
          <t>GLOBAL_CHECK, STOCKS_EXIT</t>
        </is>
      </c>
      <c r="G71">
        <f>IFERROR(VLOOKUP($A71&amp;"_"&amp;$B71,Results_Deltas!$A$2:$P$15000,5,FALSE),"")</f>
        <v/>
      </c>
      <c r="H71" t="inlineStr">
        <is>
          <t>Blanket (page end)</t>
        </is>
      </c>
      <c r="L71" t="inlineStr">
        <is>
          <t>NO</t>
        </is>
      </c>
    </row>
    <row r="72" ht="15.75" customHeight="1" s="67">
      <c r="A72" t="inlineStr">
        <is>
          <t>CRYPTO_SPIKE_FADE_THRESHOLD_PCT</t>
        </is>
      </c>
      <c r="B72" t="inlineStr">
        <is>
          <t>12.5</t>
        </is>
      </c>
      <c r="D72" t="inlineStr">
        <is>
          <t>GLOBAL_CHECK, STOCKS_EXIT</t>
        </is>
      </c>
      <c r="G72">
        <f>IFERROR(VLOOKUP($A72&amp;"_"&amp;$B72,Results_Deltas!$A$2:$P$15000,5,FALSE),"")</f>
        <v/>
      </c>
      <c r="H72" t="inlineStr">
        <is>
          <t>Blanket (page end)</t>
        </is>
      </c>
      <c r="L72" t="inlineStr">
        <is>
          <t>YES</t>
        </is>
      </c>
    </row>
    <row r="73" ht="15.75" customHeight="1" s="67">
      <c r="A73" t="inlineStr">
        <is>
          <t>CRYPTO_SPIKE_FADE_THRESHOLD_PCT</t>
        </is>
      </c>
      <c r="B73" t="inlineStr">
        <is>
          <t>7.5</t>
        </is>
      </c>
      <c r="D73" t="inlineStr">
        <is>
          <t>GLOBAL_CHECK, STOCKS_EXIT</t>
        </is>
      </c>
      <c r="G73">
        <f>IFERROR(VLOOKUP($A73&amp;"_"&amp;$B73,Results_Deltas!$A$2:$P$15000,5,FALSE),"")</f>
        <v/>
      </c>
      <c r="H73" t="inlineStr">
        <is>
          <t>Blanket (page end)</t>
        </is>
      </c>
      <c r="L73" t="inlineStr">
        <is>
          <t>YES</t>
        </is>
      </c>
    </row>
    <row r="74" ht="15.75" customHeight="1" s="67">
      <c r="A74" t="inlineStr">
        <is>
          <t>CRYPTO_SPIKE_FADE_THRESHOLD_PCT</t>
        </is>
      </c>
      <c r="B74" t="inlineStr">
        <is>
          <t>5</t>
        </is>
      </c>
      <c r="D74" t="inlineStr">
        <is>
          <t>GLOBAL_CHECK, STOCKS_EXIT</t>
        </is>
      </c>
      <c r="G74">
        <f>IFERROR(VLOOKUP($A74&amp;"_"&amp;$B74,Results_Deltas!$A$2:$P$15000,5,FALSE),"")</f>
        <v/>
      </c>
      <c r="H74" t="inlineStr">
        <is>
          <t>Blanket (page end)</t>
        </is>
      </c>
      <c r="L74" t="inlineStr">
        <is>
          <t>NO</t>
        </is>
      </c>
    </row>
    <row r="75" ht="15.75" customHeight="1" s="67">
      <c r="A75" t="inlineStr">
        <is>
          <t>DC_MOMENT_STRONG_THRESHOLD</t>
        </is>
      </c>
      <c r="B75" t="n">
        <v>0</v>
      </c>
      <c r="D75" t="inlineStr">
        <is>
          <t>ENTRY, GLOBAL_CHECK, STOCKS_EXIT</t>
        </is>
      </c>
      <c r="G75">
        <f>IFERROR(VLOOKUP($A75&amp;"_"&amp;$B75,Results_Deltas!$A$2:$P$15000,5,FALSE),"")</f>
        <v/>
      </c>
      <c r="H75" t="inlineStr">
        <is>
          <t>Blanket (page end)</t>
        </is>
      </c>
      <c r="L75" t="inlineStr">
        <is>
          <t>NO</t>
        </is>
      </c>
    </row>
    <row r="76" ht="15.75" customHeight="1" s="67">
      <c r="A76" t="inlineStr">
        <is>
          <t>DC_MOMENT_STRONG_THRESHOLD</t>
        </is>
      </c>
      <c r="B76" t="inlineStr">
        <is>
          <t>50</t>
        </is>
      </c>
      <c r="D76" t="inlineStr">
        <is>
          <t>ENTRY, GLOBAL_CHECK, STOCKS_EXIT</t>
        </is>
      </c>
      <c r="G76">
        <f>IFERROR(VLOOKUP($A76&amp;"_"&amp;$B76,Results_Deltas!$A$2:$P$15000,5,FALSE),"")</f>
        <v/>
      </c>
      <c r="H76" t="inlineStr">
        <is>
          <t>Blanket (page end)</t>
        </is>
      </c>
      <c r="L76" t="inlineStr">
        <is>
          <t>NO</t>
        </is>
      </c>
    </row>
    <row r="77" ht="15.75" customHeight="1" s="67">
      <c r="A77" t="inlineStr">
        <is>
          <t>DC_MOMENT_STRONG_THRESHOLD</t>
        </is>
      </c>
      <c r="B77" t="inlineStr">
        <is>
          <t>30</t>
        </is>
      </c>
      <c r="D77" t="inlineStr">
        <is>
          <t>ENTRY, GLOBAL_CHECK, STOCKS_EXIT</t>
        </is>
      </c>
      <c r="G77">
        <f>IFERROR(VLOOKUP($A77&amp;"_"&amp;$B77,Results_Deltas!$A$2:$P$15000,5,FALSE),"")</f>
        <v/>
      </c>
      <c r="H77" t="inlineStr">
        <is>
          <t>Blanket (page end)</t>
        </is>
      </c>
      <c r="L77" t="inlineStr">
        <is>
          <t>YES</t>
        </is>
      </c>
    </row>
    <row r="78" ht="15.75" customHeight="1" s="67">
      <c r="A78" t="inlineStr">
        <is>
          <t>DC_MOMENT_STRONG_THRESHOLD</t>
        </is>
      </c>
      <c r="B78" t="inlineStr">
        <is>
          <t>20</t>
        </is>
      </c>
      <c r="D78" t="inlineStr">
        <is>
          <t>ENTRY, GLOBAL_CHECK, STOCKS_EXIT</t>
        </is>
      </c>
      <c r="G78">
        <f>IFERROR(VLOOKUP($A78&amp;"_"&amp;$B78,Results_Deltas!$A$2:$P$15000,5,FALSE),"")</f>
        <v/>
      </c>
      <c r="H78" t="inlineStr">
        <is>
          <t>Blanket (page end)</t>
        </is>
      </c>
      <c r="L78" t="inlineStr">
        <is>
          <t>NO</t>
        </is>
      </c>
    </row>
    <row r="79" ht="15.75" customHeight="1" s="67">
      <c r="A79" t="inlineStr">
        <is>
          <t>DELTA_HTF_GATE</t>
        </is>
      </c>
      <c r="B79" t="inlineStr">
        <is>
          <t>4h</t>
        </is>
      </c>
      <c r="D79" t="inlineStr">
        <is>
          <t>ENTRY, GLOBAL_CHECK, STOCKS_EXIT</t>
        </is>
      </c>
      <c r="G79">
        <f>IFERROR(VLOOKUP($A79&amp;"_"&amp;$B79,Results_Deltas!$A$2:$P$15000,5,FALSE),"")</f>
        <v/>
      </c>
      <c r="H79" t="inlineStr">
        <is>
          <t>Blanket (page end)</t>
        </is>
      </c>
      <c r="L79" t="inlineStr">
        <is>
          <t>NO</t>
        </is>
      </c>
    </row>
    <row r="80" ht="15.75" customHeight="1" s="67">
      <c r="A80" t="inlineStr">
        <is>
          <t>DELTA_HTF_GATE</t>
        </is>
      </c>
      <c r="B80" t="inlineStr">
        <is>
          <t>4h_ALT</t>
        </is>
      </c>
      <c r="D80" t="inlineStr">
        <is>
          <t>ENTRY, GLOBAL_CHECK, STOCKS_EXIT</t>
        </is>
      </c>
      <c r="G80">
        <f>IFERROR(VLOOKUP($A80&amp;"_"&amp;$B80,Results_Deltas!$A$2:$P$15000,5,FALSE),"")</f>
        <v/>
      </c>
      <c r="H80" t="inlineStr">
        <is>
          <t>Blanket (page end)</t>
        </is>
      </c>
      <c r="L80" t="inlineStr">
        <is>
          <t>NO</t>
        </is>
      </c>
    </row>
    <row r="81" ht="15.75" customHeight="1" s="67">
      <c r="A81" t="inlineStr">
        <is>
          <t>DELTA_REENTRY_FILTER_ENABLED</t>
        </is>
      </c>
      <c r="B81" t="inlineStr">
        <is>
          <t>False</t>
        </is>
      </c>
      <c r="D81" t="inlineStr">
        <is>
          <t>ENTRY, GLOBAL_CHECK, STOCKS_EXIT</t>
        </is>
      </c>
      <c r="G81">
        <f>IFERROR(VLOOKUP($A81&amp;"_"&amp;$B81,Results_Deltas!$A$2:$P$15000,5,FALSE),"")</f>
        <v/>
      </c>
      <c r="H81" t="inlineStr">
        <is>
          <t>Blanket (page end)</t>
        </is>
      </c>
      <c r="L81" t="inlineStr">
        <is>
          <t>NO</t>
        </is>
      </c>
    </row>
    <row r="82" ht="15.75" customHeight="1" s="67">
      <c r="A82" t="inlineStr">
        <is>
          <t>DELTA_REENTRY_FILTER_ENABLED</t>
        </is>
      </c>
      <c r="B82" t="inlineStr">
        <is>
          <t>True</t>
        </is>
      </c>
      <c r="D82" t="inlineStr">
        <is>
          <t>ENTRY, GLOBAL_CHECK, STOCKS_EXIT</t>
        </is>
      </c>
      <c r="G82">
        <f>IFERROR(VLOOKUP($A82&amp;"_"&amp;$B82,Results_Deltas!$A$2:$P$15000,5,FALSE),"")</f>
        <v/>
      </c>
      <c r="H82" t="inlineStr">
        <is>
          <t>Blanket (page end)</t>
        </is>
      </c>
      <c r="L82" t="inlineStr">
        <is>
          <t>NO</t>
        </is>
      </c>
    </row>
    <row r="83" ht="15.75" customHeight="1" s="67">
      <c r="A83" t="inlineStr">
        <is>
          <t>DUP_GUARD_FILTER_TF</t>
        </is>
      </c>
      <c r="B83" t="inlineStr">
        <is>
          <t>OFF</t>
        </is>
      </c>
      <c r="D83" t="inlineStr">
        <is>
          <t>GLOBAL_CHECK</t>
        </is>
      </c>
      <c r="G83">
        <f>IFERROR(VLOOKUP($A83&amp;"_"&amp;$B83,Results_Deltas!$A$2:$P$15000,5,FALSE),"")</f>
        <v/>
      </c>
      <c r="H83" t="inlineStr">
        <is>
          <t>Blanket (page end)</t>
        </is>
      </c>
      <c r="L83" t="inlineStr">
        <is>
          <t>YES</t>
        </is>
      </c>
    </row>
    <row r="84" ht="15.75" customHeight="1" s="67">
      <c r="A84" t="inlineStr">
        <is>
          <t>DUP_GUARD_FILTER_TF</t>
        </is>
      </c>
      <c r="B84" t="inlineStr">
        <is>
          <t>D</t>
        </is>
      </c>
      <c r="D84" t="inlineStr">
        <is>
          <t>GLOBAL_CHECK</t>
        </is>
      </c>
      <c r="G84">
        <f>IFERROR(VLOOKUP($A84&amp;"_"&amp;$B84,Results_Deltas!$A$2:$P$15000,5,FALSE),"")</f>
        <v/>
      </c>
      <c r="H84" t="inlineStr">
        <is>
          <t>Blanket (page end)</t>
        </is>
      </c>
      <c r="L84" t="inlineStr">
        <is>
          <t>NO</t>
        </is>
      </c>
    </row>
    <row r="85" ht="15.75" customHeight="1" s="67">
      <c r="A85" t="inlineStr">
        <is>
          <t>DUP_GUARD_FILTER_TF</t>
        </is>
      </c>
      <c r="B85" t="inlineStr">
        <is>
          <t>4h</t>
        </is>
      </c>
      <c r="D85" t="inlineStr">
        <is>
          <t>GLOBAL_CHECK</t>
        </is>
      </c>
      <c r="G85">
        <f>IFERROR(VLOOKUP($A85&amp;"_"&amp;$B85,Results_Deltas!$A$2:$P$15000,5,FALSE),"")</f>
        <v/>
      </c>
      <c r="H85" t="inlineStr">
        <is>
          <t>Blanket (page end)</t>
        </is>
      </c>
      <c r="L85" t="inlineStr">
        <is>
          <t>NO</t>
        </is>
      </c>
    </row>
    <row r="86" ht="15.75" customHeight="1" s="67">
      <c r="A86" t="inlineStr">
        <is>
          <t>DUP_GUARD_FILTER_TF</t>
        </is>
      </c>
      <c r="B86" t="inlineStr">
        <is>
          <t>1h</t>
        </is>
      </c>
      <c r="D86" t="inlineStr">
        <is>
          <t>GLOBAL_CHECK</t>
        </is>
      </c>
      <c r="G86">
        <f>IFERROR(VLOOKUP($A86&amp;"_"&amp;$B86,Results_Deltas!$A$2:$P$15000,5,FALSE),"")</f>
        <v/>
      </c>
      <c r="H86" t="inlineStr">
        <is>
          <t>Blanket (page end)</t>
        </is>
      </c>
      <c r="L86" t="inlineStr">
        <is>
          <t>NO</t>
        </is>
      </c>
    </row>
    <row r="87" ht="15.75" customHeight="1" s="67">
      <c r="A87" t="inlineStr">
        <is>
          <t>DUP_GUARD_FILTER_TF</t>
        </is>
      </c>
      <c r="B87" t="inlineStr">
        <is>
          <t>15m</t>
        </is>
      </c>
      <c r="D87" t="inlineStr">
        <is>
          <t>GLOBAL_CHECK</t>
        </is>
      </c>
      <c r="G87">
        <f>IFERROR(VLOOKUP($A87&amp;"_"&amp;$B87,Results_Deltas!$A$2:$P$15000,5,FALSE),"")</f>
        <v/>
      </c>
      <c r="H87" t="inlineStr">
        <is>
          <t>Blanket (page end)</t>
        </is>
      </c>
      <c r="L87" t="inlineStr">
        <is>
          <t>NO</t>
        </is>
      </c>
    </row>
    <row r="88" ht="15.75" customHeight="1" s="67">
      <c r="A88" t="inlineStr">
        <is>
          <t>EMA_9_21_FILTER_MIN_TFS</t>
        </is>
      </c>
      <c r="B88" t="inlineStr">
        <is>
          <t>0</t>
        </is>
      </c>
      <c r="D88" t="inlineStr">
        <is>
          <t>GLOBAL_CHECK</t>
        </is>
      </c>
      <c r="G88">
        <f>IFERROR(VLOOKUP($A88&amp;"_"&amp;$B88,Results_Deltas!$A$2:$P$15000,5,FALSE),"")</f>
        <v/>
      </c>
      <c r="H88" t="inlineStr">
        <is>
          <t>Blanket (page end)</t>
        </is>
      </c>
      <c r="L88" t="inlineStr">
        <is>
          <t>NO</t>
        </is>
      </c>
    </row>
    <row r="89" ht="15.75" customHeight="1" s="67">
      <c r="A89" t="inlineStr">
        <is>
          <t>EMA_9_21_FILTER_MIN_TFS</t>
        </is>
      </c>
      <c r="B89" t="inlineStr">
        <is>
          <t>2</t>
        </is>
      </c>
      <c r="D89" t="inlineStr">
        <is>
          <t>GLOBAL_CHECK</t>
        </is>
      </c>
      <c r="G89">
        <f>IFERROR(VLOOKUP($A89&amp;"_"&amp;$B89,Results_Deltas!$A$2:$P$15000,5,FALSE),"")</f>
        <v/>
      </c>
      <c r="H89" t="inlineStr">
        <is>
          <t>Blanket (page end)</t>
        </is>
      </c>
      <c r="L89" t="inlineStr">
        <is>
          <t>YES</t>
        </is>
      </c>
    </row>
    <row r="90" ht="15.75" customHeight="1" s="67">
      <c r="A90" t="inlineStr">
        <is>
          <t>EMA_9_21_FILTER_MIN_TFS</t>
        </is>
      </c>
      <c r="B90" t="inlineStr">
        <is>
          <t>1</t>
        </is>
      </c>
      <c r="D90" t="inlineStr">
        <is>
          <t>GLOBAL_CHECK</t>
        </is>
      </c>
      <c r="G90">
        <f>IFERROR(VLOOKUP($A90&amp;"_"&amp;$B90,Results_Deltas!$A$2:$P$15000,5,FALSE),"")</f>
        <v/>
      </c>
      <c r="H90" t="inlineStr">
        <is>
          <t>Blanket (page end)</t>
        </is>
      </c>
      <c r="L90" t="inlineStr">
        <is>
          <t>NO</t>
        </is>
      </c>
    </row>
    <row r="91" ht="15.75" customHeight="1" s="67">
      <c r="A91" t="inlineStr">
        <is>
          <t>EMA_BLANKET_FILTER_ENABLED</t>
        </is>
      </c>
      <c r="B91" t="inlineStr">
        <is>
          <t>False</t>
        </is>
      </c>
      <c r="D91" t="inlineStr">
        <is>
          <t>GLOBAL_CHECK</t>
        </is>
      </c>
      <c r="G91">
        <f>IFERROR(VLOOKUP($A91&amp;"_"&amp;$B91,Results_Deltas!$A$2:$P$15000,5,FALSE),"")</f>
        <v/>
      </c>
      <c r="H91" t="inlineStr">
        <is>
          <t>Blanket (page end)</t>
        </is>
      </c>
      <c r="L91" t="inlineStr">
        <is>
          <t>NO</t>
        </is>
      </c>
    </row>
    <row r="92" ht="15.75" customHeight="1" s="67">
      <c r="A92" t="inlineStr">
        <is>
          <t>EMA_BLANKET_FILTER_ENABLED</t>
        </is>
      </c>
      <c r="B92" t="inlineStr">
        <is>
          <t>True</t>
        </is>
      </c>
      <c r="D92" t="inlineStr">
        <is>
          <t>GLOBAL_CHECK</t>
        </is>
      </c>
      <c r="G92">
        <f>IFERROR(VLOOKUP($A92&amp;"_"&amp;$B92,Results_Deltas!$A$2:$P$15000,5,FALSE),"")</f>
        <v/>
      </c>
      <c r="H92" t="inlineStr">
        <is>
          <t>Blanket (page end)</t>
        </is>
      </c>
      <c r="L92" t="inlineStr">
        <is>
          <t>NO</t>
        </is>
      </c>
    </row>
    <row r="93" ht="15.75" customHeight="1" s="67">
      <c r="A93" t="inlineStr">
        <is>
          <t>EMA_BLANKET_FILTER_MIN_TFS</t>
        </is>
      </c>
      <c r="B93" t="inlineStr">
        <is>
          <t>0</t>
        </is>
      </c>
      <c r="D93" t="inlineStr">
        <is>
          <t>GLOBAL_CHECK</t>
        </is>
      </c>
      <c r="G93">
        <f>IFERROR(VLOOKUP($A93&amp;"_"&amp;$B93,Results_Deltas!$A$2:$P$15000,5,FALSE),"")</f>
        <v/>
      </c>
      <c r="H93" t="inlineStr">
        <is>
          <t>Blanket (page end)</t>
        </is>
      </c>
      <c r="L93" t="inlineStr">
        <is>
          <t>NO</t>
        </is>
      </c>
    </row>
    <row r="94" ht="15.75" customHeight="1" s="67">
      <c r="A94" t="inlineStr">
        <is>
          <t>EMA_BLANKET_FILTER_MIN_TFS</t>
        </is>
      </c>
      <c r="B94" t="inlineStr">
        <is>
          <t>2</t>
        </is>
      </c>
      <c r="D94" t="inlineStr">
        <is>
          <t>GLOBAL_CHECK</t>
        </is>
      </c>
      <c r="G94">
        <f>IFERROR(VLOOKUP($A94&amp;"_"&amp;$B94,Results_Deltas!$A$2:$P$15000,5,FALSE),"")</f>
        <v/>
      </c>
      <c r="H94" t="inlineStr">
        <is>
          <t>Blanket (page end)</t>
        </is>
      </c>
      <c r="L94" t="inlineStr">
        <is>
          <t>YES</t>
        </is>
      </c>
    </row>
    <row r="95" ht="15.75" customHeight="1" s="67">
      <c r="A95" t="inlineStr">
        <is>
          <t>EMA_BLANKET_FILTER_MIN_TFS</t>
        </is>
      </c>
      <c r="B95" t="inlineStr">
        <is>
          <t>1</t>
        </is>
      </c>
      <c r="D95" t="inlineStr">
        <is>
          <t>GLOBAL_CHECK</t>
        </is>
      </c>
      <c r="G95">
        <f>IFERROR(VLOOKUP($A95&amp;"_"&amp;$B95,Results_Deltas!$A$2:$P$15000,5,FALSE),"")</f>
        <v/>
      </c>
      <c r="H95" t="inlineStr">
        <is>
          <t>Blanket (page end)</t>
        </is>
      </c>
      <c r="L95" t="inlineStr">
        <is>
          <t>NO</t>
        </is>
      </c>
    </row>
    <row r="96" ht="15.75" customHeight="1" s="67">
      <c r="A96" t="inlineStr">
        <is>
          <t>EXECUTE_NOW_SINGLE_GATE_ENFORCE</t>
        </is>
      </c>
      <c r="B96" t="inlineStr">
        <is>
          <t>0.0</t>
        </is>
      </c>
      <c r="D96" t="inlineStr">
        <is>
          <t>ENTRY, GLOBAL_CHECK, STOCKS_EXIT</t>
        </is>
      </c>
      <c r="G96">
        <f>IFERROR(VLOOKUP($A96&amp;"_"&amp;$B96,Results_Deltas!$A$2:$P$15000,5,FALSE),"")</f>
        <v/>
      </c>
      <c r="H96" t="inlineStr">
        <is>
          <t>Blanket (page end)</t>
        </is>
      </c>
      <c r="L96" t="inlineStr">
        <is>
          <t>NO</t>
        </is>
      </c>
    </row>
    <row r="97" ht="15.75" customHeight="1" s="67">
      <c r="A97" t="inlineStr">
        <is>
          <t>EXECUTE_NOW_SINGLE_GATE_ENFORCE</t>
        </is>
      </c>
      <c r="B97" t="inlineStr">
        <is>
          <t>0.0_ALT</t>
        </is>
      </c>
      <c r="D97" t="inlineStr">
        <is>
          <t>ENTRY, GLOBAL_CHECK, STOCKS_EXIT</t>
        </is>
      </c>
      <c r="G97">
        <f>IFERROR(VLOOKUP($A97&amp;"_"&amp;$B97,Results_Deltas!$A$2:$P$15000,5,FALSE),"")</f>
        <v/>
      </c>
      <c r="H97" t="inlineStr">
        <is>
          <t>Blanket (page end)</t>
        </is>
      </c>
      <c r="L97" t="inlineStr">
        <is>
          <t>NO</t>
        </is>
      </c>
    </row>
    <row r="98" ht="15.75" customHeight="1" s="67">
      <c r="A98" t="inlineStr">
        <is>
          <t>EZ_MANAGE_THROTTLER_RATE</t>
        </is>
      </c>
      <c r="B98" t="inlineStr">
        <is>
          <t>0.0</t>
        </is>
      </c>
      <c r="D98" t="inlineStr">
        <is>
          <t>GLOBAL_CHECK, STOCKS_EXIT</t>
        </is>
      </c>
      <c r="G98">
        <f>IFERROR(VLOOKUP($A98&amp;"_"&amp;$B98,Results_Deltas!$A$2:$P$15000,5,FALSE),"")</f>
        <v/>
      </c>
      <c r="H98" t="inlineStr">
        <is>
          <t>Blanket (page end)</t>
        </is>
      </c>
      <c r="L98" t="inlineStr">
        <is>
          <t>NO</t>
        </is>
      </c>
    </row>
    <row r="99" ht="15.75" customHeight="1" s="67">
      <c r="A99" t="inlineStr">
        <is>
          <t>EZ_MANAGE_THROTTLER_RATE</t>
        </is>
      </c>
      <c r="B99" t="inlineStr">
        <is>
          <t>0.0_ALT</t>
        </is>
      </c>
      <c r="D99" t="inlineStr">
        <is>
          <t>GLOBAL_CHECK, STOCKS_EXIT</t>
        </is>
      </c>
      <c r="G99">
        <f>IFERROR(VLOOKUP($A99&amp;"_"&amp;$B99,Results_Deltas!$A$2:$P$15000,5,FALSE),"")</f>
        <v/>
      </c>
      <c r="H99" t="inlineStr">
        <is>
          <t>Blanket (page end)</t>
        </is>
      </c>
      <c r="L99" t="inlineStr">
        <is>
          <t>NO</t>
        </is>
      </c>
    </row>
    <row r="100" ht="15.75" customHeight="1" s="67">
      <c r="A100" t="inlineStr">
        <is>
          <t>FG_FEAR_THRESHOLD</t>
        </is>
      </c>
      <c r="B100" t="n">
        <v>0</v>
      </c>
      <c r="D100" t="inlineStr">
        <is>
          <t>GLOBAL_CHECK, STOCKS_EXIT</t>
        </is>
      </c>
      <c r="G100">
        <f>IFERROR(VLOOKUP($A100&amp;"_"&amp;$B100,Results_Deltas!$A$2:$P$15000,5,FALSE),"")</f>
        <v/>
      </c>
      <c r="H100" t="inlineStr">
        <is>
          <t>Blanket (page end)</t>
        </is>
      </c>
      <c r="L100" t="inlineStr">
        <is>
          <t>NO</t>
        </is>
      </c>
    </row>
    <row r="101" ht="15.75" customHeight="1" s="67">
      <c r="A101" t="inlineStr">
        <is>
          <t>FG_FEAR_THRESHOLD</t>
        </is>
      </c>
      <c r="B101" t="inlineStr">
        <is>
          <t>31.25</t>
        </is>
      </c>
      <c r="D101" t="inlineStr">
        <is>
          <t>GLOBAL_CHECK, STOCKS_EXIT</t>
        </is>
      </c>
      <c r="G101">
        <f>IFERROR(VLOOKUP($A101&amp;"_"&amp;$B101,Results_Deltas!$A$2:$P$15000,5,FALSE),"")</f>
        <v/>
      </c>
      <c r="H101" t="inlineStr">
        <is>
          <t>Blanket (page end)</t>
        </is>
      </c>
      <c r="L101" t="inlineStr">
        <is>
          <t>NO</t>
        </is>
      </c>
    </row>
    <row r="102" ht="15.75" customHeight="1" s="67">
      <c r="A102" t="inlineStr">
        <is>
          <t>FG_FEAR_THRESHOLD</t>
        </is>
      </c>
      <c r="B102" t="inlineStr">
        <is>
          <t>18.75</t>
        </is>
      </c>
      <c r="D102" t="inlineStr">
        <is>
          <t>GLOBAL_CHECK, STOCKS_EXIT</t>
        </is>
      </c>
      <c r="G102">
        <f>IFERROR(VLOOKUP($A102&amp;"_"&amp;$B102,Results_Deltas!$A$2:$P$15000,5,FALSE),"")</f>
        <v/>
      </c>
      <c r="H102" t="inlineStr">
        <is>
          <t>Blanket (page end)</t>
        </is>
      </c>
      <c r="L102" t="inlineStr">
        <is>
          <t>YES</t>
        </is>
      </c>
    </row>
    <row r="103" ht="15.75" customHeight="1" s="67">
      <c r="A103" t="inlineStr">
        <is>
          <t>FG_FEAR_THRESHOLD</t>
        </is>
      </c>
      <c r="B103" t="inlineStr">
        <is>
          <t>12.5</t>
        </is>
      </c>
      <c r="D103" t="inlineStr">
        <is>
          <t>GLOBAL_CHECK, STOCKS_EXIT</t>
        </is>
      </c>
      <c r="G103">
        <f>IFERROR(VLOOKUP($A103&amp;"_"&amp;$B103,Results_Deltas!$A$2:$P$15000,5,FALSE),"")</f>
        <v/>
      </c>
      <c r="H103" t="inlineStr">
        <is>
          <t>Blanket (page end)</t>
        </is>
      </c>
      <c r="L103" t="inlineStr">
        <is>
          <t>NO</t>
        </is>
      </c>
    </row>
    <row r="104" ht="15.75" customHeight="1" s="67">
      <c r="A104" t="inlineStr">
        <is>
          <t>FG_GREED_THRESHOLD</t>
        </is>
      </c>
      <c r="B104" t="n">
        <v>0</v>
      </c>
      <c r="D104" t="inlineStr">
        <is>
          <t>GLOBAL_CHECK, STOCKS_EXIT</t>
        </is>
      </c>
      <c r="G104">
        <f>IFERROR(VLOOKUP($A104&amp;"_"&amp;$B104,Results_Deltas!$A$2:$P$15000,5,FALSE),"")</f>
        <v/>
      </c>
      <c r="H104" t="inlineStr">
        <is>
          <t>Blanket (page end)</t>
        </is>
      </c>
      <c r="L104" t="inlineStr">
        <is>
          <t>NO</t>
        </is>
      </c>
    </row>
    <row r="105" ht="15.75" customHeight="1" s="67">
      <c r="A105" t="inlineStr">
        <is>
          <t>FG_GREED_THRESHOLD</t>
        </is>
      </c>
      <c r="B105" t="inlineStr">
        <is>
          <t>93.75</t>
        </is>
      </c>
      <c r="D105" t="inlineStr">
        <is>
          <t>GLOBAL_CHECK, STOCKS_EXIT</t>
        </is>
      </c>
      <c r="G105">
        <f>IFERROR(VLOOKUP($A105&amp;"_"&amp;$B105,Results_Deltas!$A$2:$P$15000,5,FALSE),"")</f>
        <v/>
      </c>
      <c r="H105" t="inlineStr">
        <is>
          <t>Blanket (page end)</t>
        </is>
      </c>
      <c r="L105" t="inlineStr">
        <is>
          <t>NO</t>
        </is>
      </c>
    </row>
    <row r="106" ht="15.75" customHeight="1" s="67">
      <c r="A106" t="inlineStr">
        <is>
          <t>FG_GREED_THRESHOLD</t>
        </is>
      </c>
      <c r="B106" t="inlineStr">
        <is>
          <t>56.25</t>
        </is>
      </c>
      <c r="D106" t="inlineStr">
        <is>
          <t>GLOBAL_CHECK, STOCKS_EXIT</t>
        </is>
      </c>
      <c r="G106">
        <f>IFERROR(VLOOKUP($A106&amp;"_"&amp;$B106,Results_Deltas!$A$2:$P$15000,5,FALSE),"")</f>
        <v/>
      </c>
      <c r="H106" t="inlineStr">
        <is>
          <t>Blanket (page end)</t>
        </is>
      </c>
      <c r="L106" t="inlineStr">
        <is>
          <t>YES</t>
        </is>
      </c>
    </row>
    <row r="107" ht="15.75" customHeight="1" s="67">
      <c r="A107" t="inlineStr">
        <is>
          <t>FG_GREED_THRESHOLD</t>
        </is>
      </c>
      <c r="B107" t="inlineStr">
        <is>
          <t>37.5</t>
        </is>
      </c>
      <c r="D107" t="inlineStr">
        <is>
          <t>GLOBAL_CHECK, STOCKS_EXIT</t>
        </is>
      </c>
      <c r="G107">
        <f>IFERROR(VLOOKUP($A107&amp;"_"&amp;$B107,Results_Deltas!$A$2:$P$15000,5,FALSE),"")</f>
        <v/>
      </c>
      <c r="H107" t="inlineStr">
        <is>
          <t>Blanket (page end)</t>
        </is>
      </c>
      <c r="L107" t="inlineStr">
        <is>
          <t>NO</t>
        </is>
      </c>
    </row>
    <row r="108" ht="15.75" customHeight="1" s="67">
      <c r="A108" t="inlineStr">
        <is>
          <t>FUNDING_GATE_FILTER_TF</t>
        </is>
      </c>
      <c r="B108" t="inlineStr">
        <is>
          <t>OFF</t>
        </is>
      </c>
      <c r="D108" t="inlineStr">
        <is>
          <t>GLOBAL_CHECK</t>
        </is>
      </c>
      <c r="G108">
        <f>IFERROR(VLOOKUP($A108&amp;"_"&amp;$B108,Results_Deltas!$A$2:$P$15000,5,FALSE),"")</f>
        <v/>
      </c>
      <c r="H108" t="inlineStr">
        <is>
          <t>Blanket (page end)</t>
        </is>
      </c>
      <c r="L108" t="inlineStr">
        <is>
          <t>NO</t>
        </is>
      </c>
    </row>
    <row r="109" ht="15.75" customHeight="1" s="67">
      <c r="A109" t="inlineStr">
        <is>
          <t>FUNDING_GATE_FILTER_TF</t>
        </is>
      </c>
      <c r="B109" t="inlineStr">
        <is>
          <t>D</t>
        </is>
      </c>
      <c r="D109" t="inlineStr">
        <is>
          <t>GLOBAL_CHECK</t>
        </is>
      </c>
      <c r="G109">
        <f>IFERROR(VLOOKUP($A109&amp;"_"&amp;$B109,Results_Deltas!$A$2:$P$15000,5,FALSE),"")</f>
        <v/>
      </c>
      <c r="H109" t="inlineStr">
        <is>
          <t>Blanket (page end)</t>
        </is>
      </c>
      <c r="L109" t="inlineStr">
        <is>
          <t>NO</t>
        </is>
      </c>
    </row>
    <row r="110" ht="15.75" customHeight="1" s="67">
      <c r="A110" t="inlineStr">
        <is>
          <t>FUNDING_GATE_FILTER_TF</t>
        </is>
      </c>
      <c r="B110" t="inlineStr">
        <is>
          <t>4h</t>
        </is>
      </c>
      <c r="D110" t="inlineStr">
        <is>
          <t>GLOBAL_CHECK</t>
        </is>
      </c>
      <c r="G110">
        <f>IFERROR(VLOOKUP($A110&amp;"_"&amp;$B110,Results_Deltas!$A$2:$P$15000,5,FALSE),"")</f>
        <v/>
      </c>
      <c r="H110" t="inlineStr">
        <is>
          <t>Blanket (page end)</t>
        </is>
      </c>
      <c r="L110" t="inlineStr">
        <is>
          <t>NO</t>
        </is>
      </c>
    </row>
    <row r="111" ht="15.75" customHeight="1" s="67">
      <c r="A111" t="inlineStr">
        <is>
          <t>FUNDING_GATE_FILTER_TF</t>
        </is>
      </c>
      <c r="B111" t="inlineStr">
        <is>
          <t>1h</t>
        </is>
      </c>
      <c r="D111" t="inlineStr">
        <is>
          <t>GLOBAL_CHECK</t>
        </is>
      </c>
      <c r="G111">
        <f>IFERROR(VLOOKUP($A111&amp;"_"&amp;$B111,Results_Deltas!$A$2:$P$15000,5,FALSE),"")</f>
        <v/>
      </c>
      <c r="H111" t="inlineStr">
        <is>
          <t>Blanket (page end)</t>
        </is>
      </c>
      <c r="L111" t="inlineStr">
        <is>
          <t>NO</t>
        </is>
      </c>
    </row>
    <row r="112" ht="15.75" customHeight="1" s="67">
      <c r="A112" t="inlineStr">
        <is>
          <t>FUNDING_GATE_FILTER_TF</t>
        </is>
      </c>
      <c r="B112" t="inlineStr">
        <is>
          <t>15m</t>
        </is>
      </c>
      <c r="D112" t="inlineStr">
        <is>
          <t>GLOBAL_CHECK</t>
        </is>
      </c>
      <c r="G112">
        <f>IFERROR(VLOOKUP($A112&amp;"_"&amp;$B112,Results_Deltas!$A$2:$P$15000,5,FALSE),"")</f>
        <v/>
      </c>
      <c r="H112" t="inlineStr">
        <is>
          <t>Blanket (page end)</t>
        </is>
      </c>
      <c r="L112" t="inlineStr">
        <is>
          <t>NO</t>
        </is>
      </c>
    </row>
    <row r="113" ht="15.75" customHeight="1" s="67">
      <c r="A113" t="inlineStr">
        <is>
          <t>FUNDING_GATE_LONG_MAX</t>
        </is>
      </c>
      <c r="B113" t="inlineStr">
        <is>
          <t>0.0</t>
        </is>
      </c>
      <c r="D113" t="inlineStr">
        <is>
          <t>ENTRY, GLOBAL_CHECK, STOCKS_EXIT</t>
        </is>
      </c>
      <c r="G113">
        <f>IFERROR(VLOOKUP($A113&amp;"_"&amp;$B113,Results_Deltas!$A$2:$P$15000,5,FALSE),"")</f>
        <v/>
      </c>
      <c r="H113" t="inlineStr">
        <is>
          <t>Blanket (page end)</t>
        </is>
      </c>
      <c r="L113" t="inlineStr">
        <is>
          <t>NO</t>
        </is>
      </c>
    </row>
    <row r="114" ht="15.75" customHeight="1" s="67">
      <c r="A114" t="inlineStr">
        <is>
          <t>FUNDING_GATE_LONG_MAX</t>
        </is>
      </c>
      <c r="B114" t="inlineStr">
        <is>
          <t>0.0_ALT</t>
        </is>
      </c>
      <c r="D114" t="inlineStr">
        <is>
          <t>ENTRY, GLOBAL_CHECK, STOCKS_EXIT</t>
        </is>
      </c>
      <c r="G114">
        <f>IFERROR(VLOOKUP($A114&amp;"_"&amp;$B114,Results_Deltas!$A$2:$P$15000,5,FALSE),"")</f>
        <v/>
      </c>
      <c r="H114" t="inlineStr">
        <is>
          <t>Blanket (page end)</t>
        </is>
      </c>
      <c r="L114" t="inlineStr">
        <is>
          <t>YES</t>
        </is>
      </c>
    </row>
    <row r="115" ht="15.75" customHeight="1" s="67">
      <c r="A115" t="inlineStr">
        <is>
          <t>FUNDING_GATE_MTF_REQUIRED</t>
        </is>
      </c>
      <c r="B115" t="inlineStr">
        <is>
          <t>0.0</t>
        </is>
      </c>
      <c r="D115" t="inlineStr">
        <is>
          <t>ENTRY, GLOBAL_CHECK, STOCKS_EXIT</t>
        </is>
      </c>
      <c r="G115">
        <f>IFERROR(VLOOKUP($A115&amp;"_"&amp;$B115,Results_Deltas!$A$2:$P$15000,5,FALSE),"")</f>
        <v/>
      </c>
      <c r="H115" t="inlineStr">
        <is>
          <t>Blanket (page end)</t>
        </is>
      </c>
      <c r="L115" t="inlineStr">
        <is>
          <t>NO</t>
        </is>
      </c>
    </row>
    <row r="116" ht="15.75" customHeight="1" s="67">
      <c r="A116" t="inlineStr">
        <is>
          <t>FUNDING_GATE_MTF_REQUIRED</t>
        </is>
      </c>
      <c r="B116" t="inlineStr">
        <is>
          <t>0.0_ALT</t>
        </is>
      </c>
      <c r="D116" t="inlineStr">
        <is>
          <t>ENTRY, GLOBAL_CHECK, STOCKS_EXIT</t>
        </is>
      </c>
      <c r="G116">
        <f>IFERROR(VLOOKUP($A116&amp;"_"&amp;$B116,Results_Deltas!$A$2:$P$15000,5,FALSE),"")</f>
        <v/>
      </c>
      <c r="H116" t="inlineStr">
        <is>
          <t>Blanket (page end)</t>
        </is>
      </c>
      <c r="L116" t="inlineStr">
        <is>
          <t>NO</t>
        </is>
      </c>
    </row>
    <row r="117" ht="15.75" customHeight="1" s="67">
      <c r="A117" t="inlineStr">
        <is>
          <t>FUNDING_GATE_SHORT_MIN</t>
        </is>
      </c>
      <c r="B117" t="inlineStr">
        <is>
          <t>0.0</t>
        </is>
      </c>
      <c r="D117" t="inlineStr">
        <is>
          <t>ENTRY, GLOBAL_CHECK, STOCKS_EXIT</t>
        </is>
      </c>
      <c r="G117">
        <f>IFERROR(VLOOKUP($A117&amp;"_"&amp;$B117,Results_Deltas!$A$2:$P$15000,5,FALSE),"")</f>
        <v/>
      </c>
      <c r="H117" t="inlineStr">
        <is>
          <t>Blanket (page end)</t>
        </is>
      </c>
      <c r="L117" t="inlineStr">
        <is>
          <t>NO</t>
        </is>
      </c>
    </row>
    <row r="118" ht="15.75" customHeight="1" s="67">
      <c r="A118" t="inlineStr">
        <is>
          <t>FUNDING_GATE_SHORT_MIN</t>
        </is>
      </c>
      <c r="B118" t="inlineStr">
        <is>
          <t>0.0_ALT</t>
        </is>
      </c>
      <c r="D118" t="inlineStr">
        <is>
          <t>ENTRY, GLOBAL_CHECK, STOCKS_EXIT</t>
        </is>
      </c>
      <c r="G118">
        <f>IFERROR(VLOOKUP($A118&amp;"_"&amp;$B118,Results_Deltas!$A$2:$P$15000,5,FALSE),"")</f>
        <v/>
      </c>
      <c r="H118" t="inlineStr">
        <is>
          <t>Blanket (page end)</t>
        </is>
      </c>
      <c r="L118" t="inlineStr">
        <is>
          <t>NO</t>
        </is>
      </c>
    </row>
    <row r="119" ht="15.75" customHeight="1" s="67">
      <c r="A119" t="inlineStr">
        <is>
          <t>GOLDEN_RULE_BASE_USD</t>
        </is>
      </c>
      <c r="B119" t="inlineStr">
        <is>
          <t>0.0</t>
        </is>
      </c>
      <c r="D119" t="inlineStr">
        <is>
          <t>GLOBAL_CHECK, STOCKS_EXIT</t>
        </is>
      </c>
      <c r="G119">
        <f>IFERROR(VLOOKUP($A119&amp;"_"&amp;$B119,Results_Deltas!$A$2:$P$15000,5,FALSE),"")</f>
        <v/>
      </c>
      <c r="H119" t="inlineStr">
        <is>
          <t>Blanket (page end)</t>
        </is>
      </c>
      <c r="L119" t="inlineStr">
        <is>
          <t>NO</t>
        </is>
      </c>
    </row>
    <row r="120" ht="15.75" customHeight="1" s="67">
      <c r="A120" t="inlineStr">
        <is>
          <t>GOLDEN_RULE_BASE_USD</t>
        </is>
      </c>
      <c r="B120" t="inlineStr">
        <is>
          <t>0.0_ALT</t>
        </is>
      </c>
      <c r="D120" t="inlineStr">
        <is>
          <t>GLOBAL_CHECK, STOCKS_EXIT</t>
        </is>
      </c>
      <c r="G120">
        <f>IFERROR(VLOOKUP($A120&amp;"_"&amp;$B120,Results_Deltas!$A$2:$P$15000,5,FALSE),"")</f>
        <v/>
      </c>
      <c r="H120" t="inlineStr">
        <is>
          <t>Blanket (page end)</t>
        </is>
      </c>
      <c r="L120" t="inlineStr">
        <is>
          <t>NO</t>
        </is>
      </c>
    </row>
    <row r="121" ht="15.75" customHeight="1" s="67">
      <c r="A121" t="inlineStr">
        <is>
          <t>GR_FILTER_ALL_ENTRIES</t>
        </is>
      </c>
      <c r="B121" t="inlineStr">
        <is>
          <t>0.0</t>
        </is>
      </c>
      <c r="D121" t="inlineStr">
        <is>
          <t>GLOBAL_CHECK, STOCKS_EXIT</t>
        </is>
      </c>
      <c r="G121">
        <f>IFERROR(VLOOKUP($A121&amp;"_"&amp;$B121,Results_Deltas!$A$2:$P$15000,5,FALSE),"")</f>
        <v/>
      </c>
      <c r="H121" t="inlineStr">
        <is>
          <t>Blanket (page end)</t>
        </is>
      </c>
      <c r="L121" t="inlineStr">
        <is>
          <t>NO</t>
        </is>
      </c>
    </row>
    <row r="122" ht="15.75" customHeight="1" s="67">
      <c r="A122" t="inlineStr">
        <is>
          <t>GR_FILTER_ALL_ENTRIES</t>
        </is>
      </c>
      <c r="B122" t="inlineStr">
        <is>
          <t>0.0_ALT</t>
        </is>
      </c>
      <c r="D122" t="inlineStr">
        <is>
          <t>GLOBAL_CHECK, STOCKS_EXIT</t>
        </is>
      </c>
      <c r="G122">
        <f>IFERROR(VLOOKUP($A122&amp;"_"&amp;$B122,Results_Deltas!$A$2:$P$15000,5,FALSE),"")</f>
        <v/>
      </c>
      <c r="H122" t="inlineStr">
        <is>
          <t>Blanket (page end)</t>
        </is>
      </c>
      <c r="L122" t="inlineStr">
        <is>
          <t>NO</t>
        </is>
      </c>
    </row>
    <row r="123" ht="15.75" customHeight="1" s="67">
      <c r="A123" t="inlineStr">
        <is>
          <t>GR_FILTER_VEC_ENABLED</t>
        </is>
      </c>
      <c r="B123" t="inlineStr">
        <is>
          <t>False</t>
        </is>
      </c>
      <c r="D123" t="inlineStr">
        <is>
          <t>GLOBAL_CHECK</t>
        </is>
      </c>
      <c r="G123">
        <f>IFERROR(VLOOKUP($A123&amp;"_"&amp;$B123,Results_Deltas!$A$2:$P$15000,5,FALSE),"")</f>
        <v/>
      </c>
      <c r="H123" t="inlineStr">
        <is>
          <t>Blanket (page end)</t>
        </is>
      </c>
      <c r="L123" t="inlineStr">
        <is>
          <t>NO</t>
        </is>
      </c>
    </row>
    <row r="124" ht="15.75" customHeight="1" s="67">
      <c r="A124" t="inlineStr">
        <is>
          <t>GR_FILTER_VEC_ENABLED</t>
        </is>
      </c>
      <c r="B124" t="inlineStr">
        <is>
          <t>True</t>
        </is>
      </c>
      <c r="D124" t="inlineStr">
        <is>
          <t>GLOBAL_CHECK</t>
        </is>
      </c>
      <c r="G124">
        <f>IFERROR(VLOOKUP($A124&amp;"_"&amp;$B124,Results_Deltas!$A$2:$P$15000,5,FALSE),"")</f>
        <v/>
      </c>
      <c r="H124" t="inlineStr">
        <is>
          <t>Blanket (page end)</t>
        </is>
      </c>
      <c r="L124" t="inlineStr">
        <is>
          <t>NO</t>
        </is>
      </c>
    </row>
    <row r="125" ht="15.75" customHeight="1" s="67">
      <c r="A125" t="inlineStr">
        <is>
          <t>GR_FILTER_VEC_MIN_TFS</t>
        </is>
      </c>
      <c r="B125" t="inlineStr">
        <is>
          <t>0</t>
        </is>
      </c>
      <c r="D125" t="inlineStr">
        <is>
          <t>GLOBAL_CHECK</t>
        </is>
      </c>
      <c r="G125">
        <f>IFERROR(VLOOKUP($A125&amp;"_"&amp;$B125,Results_Deltas!$A$2:$P$15000,5,FALSE),"")</f>
        <v/>
      </c>
      <c r="H125" t="inlineStr">
        <is>
          <t>Blanket (page end)</t>
        </is>
      </c>
      <c r="L125" t="inlineStr">
        <is>
          <t>YES</t>
        </is>
      </c>
    </row>
    <row r="126" ht="15.75" customHeight="1" s="67">
      <c r="A126" t="inlineStr">
        <is>
          <t>GR_FILTER_VEC_MIN_TFS</t>
        </is>
      </c>
      <c r="B126" t="n">
        <v>0</v>
      </c>
      <c r="D126" t="inlineStr">
        <is>
          <t>GLOBAL_CHECK</t>
        </is>
      </c>
      <c r="G126">
        <f>IFERROR(VLOOKUP($A126&amp;"_"&amp;$B126,Results_Deltas!$A$2:$P$15000,5,FALSE),"")</f>
        <v/>
      </c>
      <c r="H126" t="inlineStr">
        <is>
          <t>Blanket (page end)</t>
        </is>
      </c>
      <c r="L126" t="inlineStr">
        <is>
          <t>NO</t>
        </is>
      </c>
    </row>
    <row r="127" ht="15.75" customHeight="1" s="67">
      <c r="A127" t="inlineStr">
        <is>
          <t>GR_FILTER_VEC_MIN_TFS</t>
        </is>
      </c>
      <c r="B127" t="inlineStr">
        <is>
          <t>1</t>
        </is>
      </c>
      <c r="D127" t="inlineStr">
        <is>
          <t>GLOBAL_CHECK</t>
        </is>
      </c>
      <c r="G127">
        <f>IFERROR(VLOOKUP($A127&amp;"_"&amp;$B127,Results_Deltas!$A$2:$P$15000,5,FALSE),"")</f>
        <v/>
      </c>
      <c r="H127" t="inlineStr">
        <is>
          <t>Blanket (page end)</t>
        </is>
      </c>
      <c r="L127" t="inlineStr">
        <is>
          <t>NO</t>
        </is>
      </c>
    </row>
    <row r="128" ht="15.75" customHeight="1" s="67">
      <c r="A128" t="inlineStr">
        <is>
          <t>HA_WICK_QUALITY_ENABLED</t>
        </is>
      </c>
      <c r="B128" t="inlineStr">
        <is>
          <t>False</t>
        </is>
      </c>
      <c r="D128" t="inlineStr">
        <is>
          <t>ENTRY, GLOBAL_CHECK, STOCKS_EXIT</t>
        </is>
      </c>
      <c r="G128">
        <f>IFERROR(VLOOKUP($A128&amp;"_"&amp;$B128,Results_Deltas!$A$2:$P$15000,5,FALSE),"")</f>
        <v/>
      </c>
      <c r="H128" t="inlineStr">
        <is>
          <t>Blanket (page end)</t>
        </is>
      </c>
      <c r="L128" t="inlineStr">
        <is>
          <t>YES</t>
        </is>
      </c>
    </row>
    <row r="129" ht="15.75" customHeight="1" s="67">
      <c r="A129" t="inlineStr">
        <is>
          <t>HA_WICK_QUALITY_ENABLED</t>
        </is>
      </c>
      <c r="B129" t="inlineStr">
        <is>
          <t>True</t>
        </is>
      </c>
      <c r="D129" t="inlineStr">
        <is>
          <t>ENTRY, GLOBAL_CHECK, STOCKS_EXIT</t>
        </is>
      </c>
      <c r="G129">
        <f>IFERROR(VLOOKUP($A129&amp;"_"&amp;$B129,Results_Deltas!$A$2:$P$15000,5,FALSE),"")</f>
        <v/>
      </c>
      <c r="H129" t="inlineStr">
        <is>
          <t>Blanket (page end)</t>
        </is>
      </c>
      <c r="L129" t="inlineStr">
        <is>
          <t>NO</t>
        </is>
      </c>
    </row>
    <row r="130" ht="15.75" customHeight="1" s="67">
      <c r="A130" t="inlineStr">
        <is>
          <t>HA_WICK_QUALITY_SCORE</t>
        </is>
      </c>
      <c r="B130" t="n">
        <v>0</v>
      </c>
      <c r="D130" t="inlineStr">
        <is>
          <t>ENTRY, GLOBAL_CHECK, STOCKS_EXIT</t>
        </is>
      </c>
      <c r="G130">
        <f>IFERROR(VLOOKUP($A130&amp;"_"&amp;$B130,Results_Deltas!$A$2:$P$15000,5,FALSE),"")</f>
        <v/>
      </c>
      <c r="H130" t="inlineStr">
        <is>
          <t>Blanket (page end)</t>
        </is>
      </c>
      <c r="L130" t="inlineStr">
        <is>
          <t>YES</t>
        </is>
      </c>
    </row>
    <row r="131" ht="15.75" customHeight="1" s="67">
      <c r="A131" t="inlineStr">
        <is>
          <t>HA_WICK_QUALITY_SCORE</t>
        </is>
      </c>
      <c r="B131" t="inlineStr">
        <is>
          <t>15_ALT</t>
        </is>
      </c>
      <c r="D131" t="inlineStr">
        <is>
          <t>ENTRY, GLOBAL_CHECK, STOCKS_EXIT</t>
        </is>
      </c>
      <c r="G131">
        <f>IFERROR(VLOOKUP($A131&amp;"_"&amp;$B131,Results_Deltas!$A$2:$P$15000,5,FALSE),"")</f>
        <v/>
      </c>
      <c r="H131" t="inlineStr">
        <is>
          <t>Blanket (page end)</t>
        </is>
      </c>
      <c r="L131" t="inlineStr">
        <is>
          <t>NO</t>
        </is>
      </c>
    </row>
    <row r="132" ht="15.75" customHeight="1" s="67">
      <c r="A132" t="inlineStr">
        <is>
          <t>HA_WICK_QUALITY_TF</t>
        </is>
      </c>
      <c r="B132" t="inlineStr">
        <is>
          <t>OFF</t>
        </is>
      </c>
      <c r="D132" t="inlineStr">
        <is>
          <t>ENTRY, GLOBAL_CHECK, STOCKS_EXIT</t>
        </is>
      </c>
      <c r="G132">
        <f>IFERROR(VLOOKUP($A132&amp;"_"&amp;$B132,Results_Deltas!$A$2:$P$15000,5,FALSE),"")</f>
        <v/>
      </c>
      <c r="H132" t="inlineStr">
        <is>
          <t>Blanket (page end)</t>
        </is>
      </c>
      <c r="L132" t="inlineStr">
        <is>
          <t>YES</t>
        </is>
      </c>
    </row>
    <row r="133" ht="15.75" customHeight="1" s="67">
      <c r="A133" t="inlineStr">
        <is>
          <t>HA_WICK_QUALITY_TF</t>
        </is>
      </c>
      <c r="B133" t="inlineStr">
        <is>
          <t>D</t>
        </is>
      </c>
      <c r="D133" t="inlineStr">
        <is>
          <t>ENTRY, GLOBAL_CHECK, STOCKS_EXIT</t>
        </is>
      </c>
      <c r="G133">
        <f>IFERROR(VLOOKUP($A133&amp;"_"&amp;$B133,Results_Deltas!$A$2:$P$15000,5,FALSE),"")</f>
        <v/>
      </c>
      <c r="H133" t="inlineStr">
        <is>
          <t>Blanket (page end)</t>
        </is>
      </c>
      <c r="L133" t="inlineStr">
        <is>
          <t>NO</t>
        </is>
      </c>
    </row>
    <row r="134" ht="15.75" customHeight="1" s="67">
      <c r="A134" t="inlineStr">
        <is>
          <t>HA_WICK_QUALITY_TF</t>
        </is>
      </c>
      <c r="B134" t="inlineStr">
        <is>
          <t>4h</t>
        </is>
      </c>
      <c r="D134" t="inlineStr">
        <is>
          <t>ENTRY, GLOBAL_CHECK, STOCKS_EXIT</t>
        </is>
      </c>
      <c r="G134">
        <f>IFERROR(VLOOKUP($A134&amp;"_"&amp;$B134,Results_Deltas!$A$2:$P$15000,5,FALSE),"")</f>
        <v/>
      </c>
      <c r="H134" t="inlineStr">
        <is>
          <t>Blanket (page end)</t>
        </is>
      </c>
      <c r="L134" t="inlineStr">
        <is>
          <t>NO</t>
        </is>
      </c>
    </row>
    <row r="135" ht="15.75" customHeight="1" s="67">
      <c r="A135" t="inlineStr">
        <is>
          <t>HA_WICK_QUALITY_TF</t>
        </is>
      </c>
      <c r="B135" t="inlineStr">
        <is>
          <t>15m</t>
        </is>
      </c>
      <c r="D135" t="inlineStr">
        <is>
          <t>ENTRY, GLOBAL_CHECK, STOCKS_EXIT</t>
        </is>
      </c>
      <c r="G135">
        <f>IFERROR(VLOOKUP($A135&amp;"_"&amp;$B135,Results_Deltas!$A$2:$P$15000,5,FALSE),"")</f>
        <v/>
      </c>
      <c r="H135" t="inlineStr">
        <is>
          <t>Blanket (page end)</t>
        </is>
      </c>
      <c r="L135" t="inlineStr">
        <is>
          <t>NO</t>
        </is>
      </c>
    </row>
    <row r="136" ht="15.75" customHeight="1" s="67">
      <c r="A136" t="inlineStr">
        <is>
          <t>HA_WICK_QUALITY_TF</t>
        </is>
      </c>
      <c r="B136" t="inlineStr">
        <is>
          <t>15m</t>
        </is>
      </c>
      <c r="D136" t="inlineStr">
        <is>
          <t>ENTRY, GLOBAL_CHECK, STOCKS_EXIT</t>
        </is>
      </c>
      <c r="G136">
        <f>IFERROR(VLOOKUP($A136&amp;"_"&amp;$B136,Results_Deltas!$A$2:$P$15000,5,FALSE),"")</f>
        <v/>
      </c>
      <c r="H136" t="inlineStr">
        <is>
          <t>Blanket (page end)</t>
        </is>
      </c>
      <c r="L136" t="inlineStr">
        <is>
          <t>NO</t>
        </is>
      </c>
    </row>
    <row r="137" ht="15.75" customHeight="1" s="67">
      <c r="A137" t="inlineStr">
        <is>
          <t>HLR_SMA_BAND_PCT</t>
        </is>
      </c>
      <c r="B137" t="inlineStr">
        <is>
          <t>0</t>
        </is>
      </c>
      <c r="D137" t="inlineStr">
        <is>
          <t>ENTRY, GLOBAL_CHECK, STOCKS_EXIT</t>
        </is>
      </c>
      <c r="G137">
        <f>IFERROR(VLOOKUP($A137&amp;"_"&amp;$B137,Results_Deltas!$A$2:$P$15000,5,FALSE),"")</f>
        <v/>
      </c>
      <c r="H137" t="inlineStr">
        <is>
          <t>Blanket (page end)</t>
        </is>
      </c>
      <c r="L137" t="inlineStr">
        <is>
          <t>YES</t>
        </is>
      </c>
    </row>
    <row r="138" ht="15.75" customHeight="1" s="67">
      <c r="A138" t="inlineStr">
        <is>
          <t>HLR_SMA_BAND_PCT</t>
        </is>
      </c>
      <c r="B138" t="inlineStr">
        <is>
          <t>2.0</t>
        </is>
      </c>
      <c r="D138" t="inlineStr">
        <is>
          <t>ENTRY, GLOBAL_CHECK, STOCKS_EXIT</t>
        </is>
      </c>
      <c r="G138">
        <f>IFERROR(VLOOKUP($A138&amp;"_"&amp;$B138,Results_Deltas!$A$2:$P$15000,5,FALSE),"")</f>
        <v/>
      </c>
      <c r="H138" t="inlineStr">
        <is>
          <t>Blanket (page end)</t>
        </is>
      </c>
      <c r="L138" t="inlineStr">
        <is>
          <t>NO</t>
        </is>
      </c>
    </row>
    <row r="139" ht="15.75" customHeight="1" s="67">
      <c r="A139" t="inlineStr">
        <is>
          <t>HLR_SMA_BAND_PCT</t>
        </is>
      </c>
      <c r="B139" t="inlineStr">
        <is>
          <t>1.0</t>
        </is>
      </c>
      <c r="D139" t="inlineStr">
        <is>
          <t>ENTRY, GLOBAL_CHECK, STOCKS_EXIT</t>
        </is>
      </c>
      <c r="G139">
        <f>IFERROR(VLOOKUP($A139&amp;"_"&amp;$B139,Results_Deltas!$A$2:$P$15000,5,FALSE),"")</f>
        <v/>
      </c>
      <c r="H139" t="inlineStr">
        <is>
          <t>Blanket (page end)</t>
        </is>
      </c>
      <c r="L139" t="inlineStr">
        <is>
          <t>NO</t>
        </is>
      </c>
    </row>
    <row r="140" ht="15.75" customHeight="1" s="67">
      <c r="A140" t="inlineStr">
        <is>
          <t>HLR_SMA_BAND_PCT</t>
        </is>
      </c>
      <c r="B140" t="inlineStr">
        <is>
          <t>0.5</t>
        </is>
      </c>
      <c r="D140" t="inlineStr">
        <is>
          <t>ENTRY, GLOBAL_CHECK, STOCKS_EXIT</t>
        </is>
      </c>
      <c r="G140">
        <f>IFERROR(VLOOKUP($A140&amp;"_"&amp;$B140,Results_Deltas!$A$2:$P$15000,5,FALSE),"")</f>
        <v/>
      </c>
      <c r="H140" t="inlineStr">
        <is>
          <t>Blanket (page end)</t>
        </is>
      </c>
      <c r="L140" t="inlineStr">
        <is>
          <t>NO</t>
        </is>
      </c>
    </row>
    <row r="141" ht="15.75" customHeight="1" s="67">
      <c r="A141" t="inlineStr">
        <is>
          <t>HLR_TOP_MIN_TFS</t>
        </is>
      </c>
      <c r="B141" t="inlineStr">
        <is>
          <t>0</t>
        </is>
      </c>
      <c r="D141" t="inlineStr">
        <is>
          <t>GLOBAL_CHECK, REENTRY, STOCKS_EXIT</t>
        </is>
      </c>
      <c r="G141">
        <f>IFERROR(VLOOKUP($A141&amp;"_"&amp;$B141,Results_Deltas!$A$2:$P$15000,5,FALSE),"")</f>
        <v/>
      </c>
      <c r="H141" t="inlineStr">
        <is>
          <t>Blanket (page end)</t>
        </is>
      </c>
      <c r="L141" t="inlineStr">
        <is>
          <t>NO</t>
        </is>
      </c>
    </row>
    <row r="142" ht="15.75" customHeight="1" s="67">
      <c r="A142" t="inlineStr">
        <is>
          <t>HLR_TOP_MIN_TFS</t>
        </is>
      </c>
      <c r="B142" t="n">
        <v>0</v>
      </c>
      <c r="D142" t="inlineStr">
        <is>
          <t>GLOBAL_CHECK, REENTRY, STOCKS_EXIT</t>
        </is>
      </c>
      <c r="G142">
        <f>IFERROR(VLOOKUP($A142&amp;"_"&amp;$B142,Results_Deltas!$A$2:$P$15000,5,FALSE),"")</f>
        <v/>
      </c>
      <c r="H142" t="inlineStr">
        <is>
          <t>Blanket (page end)</t>
        </is>
      </c>
      <c r="L142" t="inlineStr">
        <is>
          <t>NO</t>
        </is>
      </c>
    </row>
    <row r="143" ht="15.75" customHeight="1" s="67">
      <c r="A143" t="inlineStr">
        <is>
          <t>HLR_TOP_MIN_TFS</t>
        </is>
      </c>
      <c r="B143" t="inlineStr">
        <is>
          <t>1</t>
        </is>
      </c>
      <c r="D143" t="inlineStr">
        <is>
          <t>GLOBAL_CHECK, REENTRY, STOCKS_EXIT</t>
        </is>
      </c>
      <c r="G143">
        <f>IFERROR(VLOOKUP($A143&amp;"_"&amp;$B143,Results_Deltas!$A$2:$P$15000,5,FALSE),"")</f>
        <v/>
      </c>
      <c r="H143" t="inlineStr">
        <is>
          <t>Blanket (page end)</t>
        </is>
      </c>
      <c r="L143" t="inlineStr">
        <is>
          <t>NO</t>
        </is>
      </c>
    </row>
    <row r="144" ht="15.75" customHeight="1" s="67">
      <c r="A144" t="inlineStr">
        <is>
          <t>HTF4_CONF</t>
        </is>
      </c>
      <c r="B144" t="inlineStr">
        <is>
          <t>False</t>
        </is>
      </c>
      <c r="D144" t="inlineStr">
        <is>
          <t>GLOBAL_CHECK, STOCKS_EXIT</t>
        </is>
      </c>
      <c r="G144">
        <f>IFERROR(VLOOKUP($A144&amp;"_"&amp;$B144,Results_Deltas!$A$2:$P$15000,5,FALSE),"")</f>
        <v/>
      </c>
      <c r="H144" t="inlineStr">
        <is>
          <t>Blanket (page end)</t>
        </is>
      </c>
      <c r="L144" t="inlineStr">
        <is>
          <t>YES</t>
        </is>
      </c>
    </row>
    <row r="145" ht="15.75" customHeight="1" s="67">
      <c r="A145" t="inlineStr">
        <is>
          <t>HTF4_CONF</t>
        </is>
      </c>
      <c r="B145" t="inlineStr">
        <is>
          <t>False_ALT</t>
        </is>
      </c>
      <c r="D145" t="inlineStr">
        <is>
          <t>GLOBAL_CHECK, STOCKS_EXIT</t>
        </is>
      </c>
      <c r="G145">
        <f>IFERROR(VLOOKUP($A145&amp;"_"&amp;$B145,Results_Deltas!$A$2:$P$15000,5,FALSE),"")</f>
        <v/>
      </c>
      <c r="H145" t="inlineStr">
        <is>
          <t>Blanket (page end)</t>
        </is>
      </c>
      <c r="L145" t="inlineStr">
        <is>
          <t>NO</t>
        </is>
      </c>
    </row>
    <row r="146" ht="15.75" customHeight="1" s="67">
      <c r="A146" t="inlineStr">
        <is>
          <t>HTF_DIRECTION_GATE_ENABLED</t>
        </is>
      </c>
      <c r="B146" t="inlineStr">
        <is>
          <t>False</t>
        </is>
      </c>
      <c r="D146" t="inlineStr">
        <is>
          <t>ENTRY, GLOBAL_CHECK, STOCKS_EXIT</t>
        </is>
      </c>
      <c r="G146">
        <f>IFERROR(VLOOKUP($A146&amp;"_"&amp;$B146,Results_Deltas!$A$2:$P$15000,5,FALSE),"")</f>
        <v/>
      </c>
      <c r="H146" t="inlineStr">
        <is>
          <t>Blanket (page end)</t>
        </is>
      </c>
      <c r="L146" t="inlineStr">
        <is>
          <t>NO</t>
        </is>
      </c>
    </row>
    <row r="147" ht="15.75" customHeight="1" s="67">
      <c r="A147" t="inlineStr">
        <is>
          <t>HTF_DIRECTION_GATE_ENABLED</t>
        </is>
      </c>
      <c r="B147" t="inlineStr">
        <is>
          <t>True</t>
        </is>
      </c>
      <c r="D147" t="inlineStr">
        <is>
          <t>ENTRY, GLOBAL_CHECK, STOCKS_EXIT</t>
        </is>
      </c>
      <c r="G147">
        <f>IFERROR(VLOOKUP($A147&amp;"_"&amp;$B147,Results_Deltas!$A$2:$P$15000,5,FALSE),"")</f>
        <v/>
      </c>
      <c r="H147" t="inlineStr">
        <is>
          <t>Blanket (page end)</t>
        </is>
      </c>
      <c r="L147" t="inlineStr">
        <is>
          <t>NO</t>
        </is>
      </c>
    </row>
    <row r="148" ht="15.75" customHeight="1" s="67">
      <c r="A148" t="inlineStr">
        <is>
          <t>HTF_GATE_BYPASS_RZ</t>
        </is>
      </c>
      <c r="B148" t="inlineStr">
        <is>
          <t>0.0</t>
        </is>
      </c>
      <c r="D148" t="inlineStr">
        <is>
          <t>ENTRY, GLOBAL_CHECK, STOCKS_EXIT</t>
        </is>
      </c>
      <c r="G148">
        <f>IFERROR(VLOOKUP($A148&amp;"_"&amp;$B148,Results_Deltas!$A$2:$P$15000,5,FALSE),"")</f>
        <v/>
      </c>
      <c r="H148" t="inlineStr">
        <is>
          <t>Blanket (page end)</t>
        </is>
      </c>
      <c r="L148" t="inlineStr">
        <is>
          <t>YES</t>
        </is>
      </c>
    </row>
    <row r="149" ht="15.75" customHeight="1" s="67">
      <c r="A149" t="inlineStr">
        <is>
          <t>HTF_GATE_BYPASS_RZ</t>
        </is>
      </c>
      <c r="B149" t="inlineStr">
        <is>
          <t>0.0_ALT</t>
        </is>
      </c>
      <c r="D149" t="inlineStr">
        <is>
          <t>ENTRY, GLOBAL_CHECK, STOCKS_EXIT</t>
        </is>
      </c>
      <c r="G149">
        <f>IFERROR(VLOOKUP($A149&amp;"_"&amp;$B149,Results_Deltas!$A$2:$P$15000,5,FALSE),"")</f>
        <v/>
      </c>
      <c r="H149" t="inlineStr">
        <is>
          <t>Blanket (page end)</t>
        </is>
      </c>
      <c r="L149" t="inlineStr">
        <is>
          <t>NO</t>
        </is>
      </c>
    </row>
    <row r="150" ht="15.75" customHeight="1" s="67">
      <c r="A150" t="inlineStr">
        <is>
          <t>HTF_GATE_D_MANDATORY</t>
        </is>
      </c>
      <c r="B150" t="inlineStr">
        <is>
          <t>0.0</t>
        </is>
      </c>
      <c r="D150" t="inlineStr">
        <is>
          <t>ENTRY, GLOBAL_CHECK, STOCKS_EXIT</t>
        </is>
      </c>
      <c r="G150">
        <f>IFERROR(VLOOKUP($A150&amp;"_"&amp;$B150,Results_Deltas!$A$2:$P$15000,5,FALSE),"")</f>
        <v/>
      </c>
      <c r="H150" t="inlineStr">
        <is>
          <t>Blanket (page end)</t>
        </is>
      </c>
      <c r="L150" t="inlineStr">
        <is>
          <t>NO</t>
        </is>
      </c>
    </row>
    <row r="151" ht="15.75" customHeight="1" s="67">
      <c r="A151" t="inlineStr">
        <is>
          <t>HTF_GATE_D_MANDATORY</t>
        </is>
      </c>
      <c r="B151" t="inlineStr">
        <is>
          <t>0.0_ALT</t>
        </is>
      </c>
      <c r="D151" t="inlineStr">
        <is>
          <t>ENTRY, GLOBAL_CHECK, STOCKS_EXIT</t>
        </is>
      </c>
      <c r="G151">
        <f>IFERROR(VLOOKUP($A151&amp;"_"&amp;$B151,Results_Deltas!$A$2:$P$15000,5,FALSE),"")</f>
        <v/>
      </c>
      <c r="H151" t="inlineStr">
        <is>
          <t>Blanket (page end)</t>
        </is>
      </c>
      <c r="L151" t="inlineStr">
        <is>
          <t>NO</t>
        </is>
      </c>
    </row>
    <row r="152" ht="15.75" customHeight="1" s="67">
      <c r="A152" t="inlineStr">
        <is>
          <t>HTF_GATE_MIN_CONFIRMATIONS</t>
        </is>
      </c>
      <c r="B152" t="inlineStr">
        <is>
          <t>0.0</t>
        </is>
      </c>
      <c r="D152" t="inlineStr">
        <is>
          <t>ENTRY, GLOBAL_CHECK, STOCKS_EXIT</t>
        </is>
      </c>
      <c r="G152">
        <f>IFERROR(VLOOKUP($A152&amp;"_"&amp;$B152,Results_Deltas!$A$2:$P$15000,5,FALSE),"")</f>
        <v/>
      </c>
      <c r="H152" t="inlineStr">
        <is>
          <t>Blanket (page end)</t>
        </is>
      </c>
      <c r="L152" t="inlineStr">
        <is>
          <t>NO</t>
        </is>
      </c>
    </row>
    <row r="153" ht="15.75" customHeight="1" s="67">
      <c r="A153" t="inlineStr">
        <is>
          <t>HTF_GATE_MIN_CONFIRMATIONS</t>
        </is>
      </c>
      <c r="B153" t="inlineStr">
        <is>
          <t>0.0_ALT</t>
        </is>
      </c>
      <c r="D153" t="inlineStr">
        <is>
          <t>ENTRY, GLOBAL_CHECK, STOCKS_EXIT</t>
        </is>
      </c>
      <c r="G153">
        <f>IFERROR(VLOOKUP($A153&amp;"_"&amp;$B153,Results_Deltas!$A$2:$P$15000,5,FALSE),"")</f>
        <v/>
      </c>
      <c r="H153" t="inlineStr">
        <is>
          <t>Blanket (page end)</t>
        </is>
      </c>
      <c r="L153" t="inlineStr">
        <is>
          <t>NO</t>
        </is>
      </c>
    </row>
    <row r="154" ht="15.75" customHeight="1" s="67">
      <c r="A154" t="inlineStr">
        <is>
          <t>HTF_TREND_VETO_BYPASS_ENABLED</t>
        </is>
      </c>
      <c r="B154" t="inlineStr">
        <is>
          <t>False</t>
        </is>
      </c>
      <c r="D154" t="inlineStr">
        <is>
          <t>GLOBAL_CHECK, STOCKS_EXIT</t>
        </is>
      </c>
      <c r="G154">
        <f>IFERROR(VLOOKUP($A154&amp;"_"&amp;$B154,Results_Deltas!$A$2:$P$15000,5,FALSE),"")</f>
        <v/>
      </c>
      <c r="H154" t="inlineStr">
        <is>
          <t>Blanket (page end)</t>
        </is>
      </c>
      <c r="L154" t="inlineStr">
        <is>
          <t>NO</t>
        </is>
      </c>
    </row>
    <row r="155" ht="15.75" customHeight="1" s="67">
      <c r="A155" t="inlineStr">
        <is>
          <t>HTF_TREND_VETO_BYPASS_ENABLED</t>
        </is>
      </c>
      <c r="B155" t="b">
        <v>0</v>
      </c>
      <c r="D155" t="inlineStr">
        <is>
          <t>GLOBAL_CHECK, STOCKS_EXIT</t>
        </is>
      </c>
      <c r="G155">
        <f>IFERROR(VLOOKUP($A155&amp;"_"&amp;$B155,Results_Deltas!$A$2:$P$15000,5,FALSE),"")</f>
        <v/>
      </c>
      <c r="H155" t="inlineStr">
        <is>
          <t>Blanket (page end)</t>
        </is>
      </c>
      <c r="L155" t="inlineStr">
        <is>
          <t>NO</t>
        </is>
      </c>
    </row>
    <row r="156" ht="15.75" customHeight="1" s="67">
      <c r="A156" t="inlineStr">
        <is>
          <t>HTF_TREND_VETO_BYPASS_REASONS</t>
        </is>
      </c>
      <c r="B156" t="inlineStr">
        <is>
          <t>0.0</t>
        </is>
      </c>
      <c r="D156" t="inlineStr">
        <is>
          <t>GLOBAL_CHECK, STOCKS_EXIT</t>
        </is>
      </c>
      <c r="G156">
        <f>IFERROR(VLOOKUP($A156&amp;"_"&amp;$B156,Results_Deltas!$A$2:$P$15000,5,FALSE),"")</f>
        <v/>
      </c>
      <c r="H156" t="inlineStr">
        <is>
          <t>Blanket (page end)</t>
        </is>
      </c>
      <c r="L156" t="inlineStr">
        <is>
          <t>NO</t>
        </is>
      </c>
    </row>
    <row r="157" ht="15.75" customHeight="1" s="67">
      <c r="A157" t="inlineStr">
        <is>
          <t>HTF_TREND_VETO_BYPASS_REASONS</t>
        </is>
      </c>
      <c r="B157" t="inlineStr">
        <is>
          <t>0.0_ALT</t>
        </is>
      </c>
      <c r="D157" t="inlineStr">
        <is>
          <t>GLOBAL_CHECK, STOCKS_EXIT</t>
        </is>
      </c>
      <c r="G157">
        <f>IFERROR(VLOOKUP($A157&amp;"_"&amp;$B157,Results_Deltas!$A$2:$P$15000,5,FALSE),"")</f>
        <v/>
      </c>
      <c r="H157" t="inlineStr">
        <is>
          <t>Blanket (page end)</t>
        </is>
      </c>
      <c r="L157" t="inlineStr">
        <is>
          <t>YES</t>
        </is>
      </c>
    </row>
    <row r="158" ht="15.75" customHeight="1" s="67">
      <c r="A158" t="inlineStr">
        <is>
          <t>LEADERBOARD_FILTER</t>
        </is>
      </c>
      <c r="B158" t="inlineStr">
        <is>
          <t>False</t>
        </is>
      </c>
      <c r="D158" t="inlineStr">
        <is>
          <t>AUGMENT, ENTRY, EXIT, GLOBAL_CHECK, REDUCE, STOCKS_EXIT</t>
        </is>
      </c>
      <c r="G158">
        <f>IFERROR(VLOOKUP($A158&amp;"_"&amp;$B158,Results_Deltas!$A$2:$P$15000,5,FALSE),"")</f>
        <v/>
      </c>
      <c r="H158" t="inlineStr">
        <is>
          <t>Blanket (page end)</t>
        </is>
      </c>
      <c r="L158" t="inlineStr">
        <is>
          <t>NO</t>
        </is>
      </c>
    </row>
    <row r="159" ht="15.75" customHeight="1" s="67">
      <c r="A159" t="inlineStr">
        <is>
          <t>LEADERBOARD_FILTER</t>
        </is>
      </c>
      <c r="B159" t="inlineStr">
        <is>
          <t>False_ALT</t>
        </is>
      </c>
      <c r="D159" t="inlineStr">
        <is>
          <t>AUGMENT, ENTRY, EXIT, GLOBAL_CHECK, REDUCE, STOCKS_EXIT</t>
        </is>
      </c>
      <c r="G159">
        <f>IFERROR(VLOOKUP($A159&amp;"_"&amp;$B159,Results_Deltas!$A$2:$P$15000,5,FALSE),"")</f>
        <v/>
      </c>
      <c r="H159" t="inlineStr">
        <is>
          <t>Blanket (page end)</t>
        </is>
      </c>
      <c r="L159" t="inlineStr">
        <is>
          <t>NO</t>
        </is>
      </c>
    </row>
    <row r="160" ht="15.75" customHeight="1" s="67">
      <c r="A160" t="inlineStr">
        <is>
          <t>LH_HL_FILTER_ENABLED</t>
        </is>
      </c>
      <c r="B160" t="inlineStr">
        <is>
          <t>False</t>
        </is>
      </c>
      <c r="D160" t="inlineStr">
        <is>
          <t>ENTRY, GLOBAL_CHECK, STOCKS_EXIT</t>
        </is>
      </c>
      <c r="G160">
        <f>IFERROR(VLOOKUP($A160&amp;"_"&amp;$B160,Results_Deltas!$A$2:$P$15000,5,FALSE),"")</f>
        <v/>
      </c>
      <c r="H160" t="inlineStr">
        <is>
          <t>Blanket (page end)</t>
        </is>
      </c>
      <c r="L160" t="inlineStr">
        <is>
          <t>NO</t>
        </is>
      </c>
    </row>
    <row r="161" ht="15.75" customHeight="1" s="67">
      <c r="A161" t="inlineStr">
        <is>
          <t>LH_HL_FILTER_ENABLED</t>
        </is>
      </c>
      <c r="B161" t="inlineStr">
        <is>
          <t>True</t>
        </is>
      </c>
      <c r="D161" t="inlineStr">
        <is>
          <t>ENTRY, GLOBAL_CHECK, STOCKS_EXIT</t>
        </is>
      </c>
      <c r="G161">
        <f>IFERROR(VLOOKUP($A161&amp;"_"&amp;$B161,Results_Deltas!$A$2:$P$15000,5,FALSE),"")</f>
        <v/>
      </c>
      <c r="H161" t="inlineStr">
        <is>
          <t>Blanket (page end)</t>
        </is>
      </c>
      <c r="L161" t="inlineStr">
        <is>
          <t>NO</t>
        </is>
      </c>
    </row>
    <row r="162" ht="15.75" customHeight="1" s="67">
      <c r="A162" t="inlineStr">
        <is>
          <t>LH_HL_FILTER_MODE</t>
        </is>
      </c>
      <c r="B162" t="inlineStr">
        <is>
          <t>STRICT_2BAR</t>
        </is>
      </c>
      <c r="D162" t="inlineStr">
        <is>
          <t>ENTRY, GLOBAL_CHECK, STOCKS_EXIT</t>
        </is>
      </c>
      <c r="G162">
        <f>IFERROR(VLOOKUP($A162&amp;"_"&amp;$B162,Results_Deltas!$A$2:$P$15000,5,FALSE),"")</f>
        <v/>
      </c>
      <c r="H162" t="inlineStr">
        <is>
          <t>Blanket (page end)</t>
        </is>
      </c>
      <c r="L162" t="inlineStr">
        <is>
          <t>YES</t>
        </is>
      </c>
    </row>
    <row r="163" ht="15.75" customHeight="1" s="67">
      <c r="A163" t="inlineStr">
        <is>
          <t>LH_HL_FILTER_MODE</t>
        </is>
      </c>
      <c r="B163" t="inlineStr">
        <is>
          <t>STRICT_2BAR_ALT</t>
        </is>
      </c>
      <c r="D163" t="inlineStr">
        <is>
          <t>ENTRY, GLOBAL_CHECK, STOCKS_EXIT</t>
        </is>
      </c>
      <c r="G163">
        <f>IFERROR(VLOOKUP($A163&amp;"_"&amp;$B163,Results_Deltas!$A$2:$P$15000,5,FALSE),"")</f>
        <v/>
      </c>
      <c r="H163" t="inlineStr">
        <is>
          <t>Blanket (page end)</t>
        </is>
      </c>
      <c r="L163" t="inlineStr">
        <is>
          <t>NO</t>
        </is>
      </c>
    </row>
    <row r="164" ht="15.75" customHeight="1" s="67">
      <c r="A164" t="inlineStr">
        <is>
          <t>LH_HL_FILTER_REQUIRE_BOTH</t>
        </is>
      </c>
      <c r="B164" t="inlineStr">
        <is>
          <t>False</t>
        </is>
      </c>
      <c r="D164" t="inlineStr">
        <is>
          <t>ENTRY, GLOBAL_CHECK, STOCKS_EXIT</t>
        </is>
      </c>
      <c r="G164">
        <f>IFERROR(VLOOKUP($A164&amp;"_"&amp;$B164,Results_Deltas!$A$2:$P$15000,5,FALSE),"")</f>
        <v/>
      </c>
      <c r="H164" t="inlineStr">
        <is>
          <t>Blanket (page end)</t>
        </is>
      </c>
      <c r="L164" t="inlineStr">
        <is>
          <t>YES</t>
        </is>
      </c>
    </row>
    <row r="165" ht="15.75" customHeight="1" s="67">
      <c r="A165" t="inlineStr">
        <is>
          <t>LH_HL_FILTER_REQUIRE_BOTH</t>
        </is>
      </c>
      <c r="B165" t="inlineStr">
        <is>
          <t>False_ALT</t>
        </is>
      </c>
      <c r="D165" t="inlineStr">
        <is>
          <t>ENTRY, GLOBAL_CHECK, STOCKS_EXIT</t>
        </is>
      </c>
      <c r="G165">
        <f>IFERROR(VLOOKUP($A165&amp;"_"&amp;$B165,Results_Deltas!$A$2:$P$15000,5,FALSE),"")</f>
        <v/>
      </c>
      <c r="H165" t="inlineStr">
        <is>
          <t>Blanket (page end)</t>
        </is>
      </c>
      <c r="L165" t="inlineStr">
        <is>
          <t>NO</t>
        </is>
      </c>
    </row>
    <row r="166" ht="15.75" customHeight="1" s="67">
      <c r="A166" t="inlineStr">
        <is>
          <t>LIVE_VEC_EMERGENCY_BRAKE_ENABLED</t>
        </is>
      </c>
      <c r="B166" t="inlineStr">
        <is>
          <t>False</t>
        </is>
      </c>
      <c r="D166" t="inlineStr">
        <is>
          <t>GLOBAL_CHECK, STOCKS_EXIT</t>
        </is>
      </c>
      <c r="G166">
        <f>IFERROR(VLOOKUP($A166&amp;"_"&amp;$B166,Results_Deltas!$A$2:$P$15000,5,FALSE),"")</f>
        <v/>
      </c>
      <c r="H166" t="inlineStr">
        <is>
          <t>Blanket (page end)</t>
        </is>
      </c>
      <c r="L166" t="inlineStr">
        <is>
          <t>YES</t>
        </is>
      </c>
    </row>
    <row r="167" ht="15.75" customHeight="1" s="67">
      <c r="A167" t="inlineStr">
        <is>
          <t>LIVE_VEC_EMERGENCY_BRAKE_ENABLED</t>
        </is>
      </c>
      <c r="B167" t="inlineStr">
        <is>
          <t>True</t>
        </is>
      </c>
      <c r="D167" t="inlineStr">
        <is>
          <t>GLOBAL_CHECK, STOCKS_EXIT</t>
        </is>
      </c>
      <c r="G167">
        <f>IFERROR(VLOOKUP($A167&amp;"_"&amp;$B167,Results_Deltas!$A$2:$P$15000,5,FALSE),"")</f>
        <v/>
      </c>
      <c r="H167" t="inlineStr">
        <is>
          <t>Blanket (page end)</t>
        </is>
      </c>
      <c r="L167" t="inlineStr">
        <is>
          <t>NO</t>
        </is>
      </c>
    </row>
    <row r="168" ht="15.75" customHeight="1" s="67">
      <c r="A168" t="inlineStr">
        <is>
          <t>LR_BAND_LADDER_STOCH_EXTREME</t>
        </is>
      </c>
      <c r="B168" t="inlineStr">
        <is>
          <t>30.0</t>
        </is>
      </c>
      <c r="D168" t="inlineStr">
        <is>
          <t>GLOBAL_CHECK, STOCKS_EXIT</t>
        </is>
      </c>
      <c r="G168">
        <f>IFERROR(VLOOKUP($A168&amp;"_"&amp;$B168,Results_Deltas!$A$2:$P$15000,5,FALSE),"")</f>
        <v/>
      </c>
      <c r="H168" t="inlineStr">
        <is>
          <t>Blanket (page end)</t>
        </is>
      </c>
      <c r="L168" t="inlineStr">
        <is>
          <t>YES</t>
        </is>
      </c>
    </row>
    <row r="169" ht="15.75" customHeight="1" s="67">
      <c r="A169" t="inlineStr">
        <is>
          <t>LR_BAND_LADDER_STOCH_EXTREME</t>
        </is>
      </c>
      <c r="B169" t="inlineStr">
        <is>
          <t>30.0_ALT</t>
        </is>
      </c>
      <c r="D169" t="inlineStr">
        <is>
          <t>GLOBAL_CHECK, STOCKS_EXIT</t>
        </is>
      </c>
      <c r="G169">
        <f>IFERROR(VLOOKUP($A169&amp;"_"&amp;$B169,Results_Deltas!$A$2:$P$15000,5,FALSE),"")</f>
        <v/>
      </c>
      <c r="H169" t="inlineStr">
        <is>
          <t>Blanket (page end)</t>
        </is>
      </c>
      <c r="L169" t="inlineStr">
        <is>
          <t>NO</t>
        </is>
      </c>
    </row>
    <row r="170" ht="15.75" customHeight="1" s="67">
      <c r="A170" t="inlineStr">
        <is>
          <t>LR_BAND_LADDER_TF_BOTTOM</t>
        </is>
      </c>
      <c r="B170" t="inlineStr">
        <is>
          <t>0</t>
        </is>
      </c>
      <c r="D170" t="inlineStr">
        <is>
          <t>GLOBAL_CHECK, STOCKS_EXIT</t>
        </is>
      </c>
      <c r="G170">
        <f>IFERROR(VLOOKUP($A170&amp;"_"&amp;$B170,Results_Deltas!$A$2:$P$15000,5,FALSE),"")</f>
        <v/>
      </c>
      <c r="H170" t="inlineStr">
        <is>
          <t>Blanket (page end)</t>
        </is>
      </c>
      <c r="L170" t="inlineStr">
        <is>
          <t>YES</t>
        </is>
      </c>
    </row>
    <row r="171" ht="15.75" customHeight="1" s="67">
      <c r="A171" t="inlineStr">
        <is>
          <t>LR_BAND_LADDER_TF_BOTTOM</t>
        </is>
      </c>
      <c r="B171" t="inlineStr">
        <is>
          <t>1</t>
        </is>
      </c>
      <c r="D171" t="inlineStr">
        <is>
          <t>GLOBAL_CHECK, STOCKS_EXIT</t>
        </is>
      </c>
      <c r="G171">
        <f>IFERROR(VLOOKUP($A171&amp;"_"&amp;$B171,Results_Deltas!$A$2:$P$15000,5,FALSE),"")</f>
        <v/>
      </c>
      <c r="H171" t="inlineStr">
        <is>
          <t>Blanket (page end)</t>
        </is>
      </c>
      <c r="L171" t="inlineStr">
        <is>
          <t>NO</t>
        </is>
      </c>
    </row>
    <row r="172" ht="15.75" customHeight="1" s="67">
      <c r="A172" t="inlineStr">
        <is>
          <t>LR_BAND_LADDER_TF_TOP</t>
        </is>
      </c>
      <c r="B172" t="inlineStr">
        <is>
          <t>0</t>
        </is>
      </c>
      <c r="D172" t="inlineStr">
        <is>
          <t>GLOBAL_CHECK, STOCKS_EXIT</t>
        </is>
      </c>
      <c r="G172">
        <f>IFERROR(VLOOKUP($A172&amp;"_"&amp;$B172,Results_Deltas!$A$2:$P$15000,5,FALSE),"")</f>
        <v/>
      </c>
      <c r="H172" t="inlineStr">
        <is>
          <t>Blanket (page end)</t>
        </is>
      </c>
      <c r="L172" t="inlineStr">
        <is>
          <t>NO</t>
        </is>
      </c>
    </row>
    <row r="173" ht="15.75" customHeight="1" s="67">
      <c r="A173" t="inlineStr">
        <is>
          <t>LR_BAND_LADDER_TF_TOP</t>
        </is>
      </c>
      <c r="B173" t="inlineStr">
        <is>
          <t>1</t>
        </is>
      </c>
      <c r="D173" t="inlineStr">
        <is>
          <t>GLOBAL_CHECK, STOCKS_EXIT</t>
        </is>
      </c>
      <c r="G173">
        <f>IFERROR(VLOOKUP($A173&amp;"_"&amp;$B173,Results_Deltas!$A$2:$P$15000,5,FALSE),"")</f>
        <v/>
      </c>
      <c r="H173" t="inlineStr">
        <is>
          <t>Blanket (page end)</t>
        </is>
      </c>
      <c r="L173" t="inlineStr">
        <is>
          <t>NO</t>
        </is>
      </c>
    </row>
    <row r="174" ht="15.75" customHeight="1" s="67">
      <c r="A174" t="inlineStr">
        <is>
          <t>MANDATORY_REENTRY_WT_FILTER_MIN_TFS</t>
        </is>
      </c>
      <c r="B174" t="n">
        <v>0</v>
      </c>
      <c r="D174" t="inlineStr">
        <is>
          <t>GLOBAL_CHECK, STOCKS_EXIT</t>
        </is>
      </c>
      <c r="G174">
        <f>IFERROR(VLOOKUP($A174&amp;"_"&amp;$B174,Results_Deltas!$A$2:$P$15000,5,FALSE),"")</f>
        <v/>
      </c>
      <c r="H174" t="inlineStr">
        <is>
          <t>Blanket (page end)</t>
        </is>
      </c>
      <c r="L174" t="inlineStr">
        <is>
          <t>NO</t>
        </is>
      </c>
    </row>
    <row r="175" ht="15.75" customHeight="1" s="67">
      <c r="A175" t="inlineStr">
        <is>
          <t>MANDATORY_REENTRY_WT_FILTER_MIN_TFS</t>
        </is>
      </c>
      <c r="B175" t="inlineStr">
        <is>
          <t>3</t>
        </is>
      </c>
      <c r="D175" t="inlineStr">
        <is>
          <t>GLOBAL_CHECK, STOCKS_EXIT</t>
        </is>
      </c>
      <c r="G175">
        <f>IFERROR(VLOOKUP($A175&amp;"_"&amp;$B175,Results_Deltas!$A$2:$P$15000,5,FALSE),"")</f>
        <v/>
      </c>
      <c r="H175" t="inlineStr">
        <is>
          <t>Blanket (page end)</t>
        </is>
      </c>
      <c r="L175" t="inlineStr">
        <is>
          <t>NO</t>
        </is>
      </c>
    </row>
    <row r="176" ht="15.75" customHeight="1" s="67">
      <c r="A176" t="inlineStr">
        <is>
          <t>MANDATORY_REENTRY_WT_FILTER_MIN_TFS</t>
        </is>
      </c>
      <c r="B176" t="inlineStr">
        <is>
          <t>2</t>
        </is>
      </c>
      <c r="D176" t="inlineStr">
        <is>
          <t>GLOBAL_CHECK, STOCKS_EXIT</t>
        </is>
      </c>
      <c r="G176">
        <f>IFERROR(VLOOKUP($A176&amp;"_"&amp;$B176,Results_Deltas!$A$2:$P$15000,5,FALSE),"")</f>
        <v/>
      </c>
      <c r="H176" t="inlineStr">
        <is>
          <t>Blanket (page end)</t>
        </is>
      </c>
      <c r="L176" t="inlineStr">
        <is>
          <t>YES</t>
        </is>
      </c>
    </row>
    <row r="177" ht="15.75" customHeight="1" s="67">
      <c r="A177" t="inlineStr">
        <is>
          <t>MANDATORY_REENTRY_WT_FILTER_MIN_VELOCITY</t>
        </is>
      </c>
      <c r="B177" t="inlineStr">
        <is>
          <t>0.0</t>
        </is>
      </c>
      <c r="D177" t="inlineStr">
        <is>
          <t>GLOBAL_CHECK, STOCKS_EXIT</t>
        </is>
      </c>
      <c r="G177">
        <f>IFERROR(VLOOKUP($A177&amp;"_"&amp;$B177,Results_Deltas!$A$2:$P$15000,5,FALSE),"")</f>
        <v/>
      </c>
      <c r="H177" t="inlineStr">
        <is>
          <t>Blanket (page end)</t>
        </is>
      </c>
      <c r="L177" t="inlineStr">
        <is>
          <t>NO</t>
        </is>
      </c>
    </row>
    <row r="178" ht="15.75" customHeight="1" s="67">
      <c r="A178" t="inlineStr">
        <is>
          <t>MANDATORY_REENTRY_WT_FILTER_MIN_VELOCITY</t>
        </is>
      </c>
      <c r="B178" t="inlineStr">
        <is>
          <t>0.0_ALT</t>
        </is>
      </c>
      <c r="D178" t="inlineStr">
        <is>
          <t>GLOBAL_CHECK, STOCKS_EXIT</t>
        </is>
      </c>
      <c r="G178">
        <f>IFERROR(VLOOKUP($A178&amp;"_"&amp;$B178,Results_Deltas!$A$2:$P$15000,5,FALSE),"")</f>
        <v/>
      </c>
      <c r="H178" t="inlineStr">
        <is>
          <t>Blanket (page end)</t>
        </is>
      </c>
      <c r="L178" t="inlineStr">
        <is>
          <t>NO</t>
        </is>
      </c>
    </row>
    <row r="179" ht="15.75" customHeight="1" s="67">
      <c r="A179" t="inlineStr">
        <is>
          <t>MANDATORY_REENTRY_WT_FILTER_REQUIRE_FLIP</t>
        </is>
      </c>
      <c r="B179" t="n">
        <v>0</v>
      </c>
      <c r="D179" t="inlineStr">
        <is>
          <t>GLOBAL_CHECK, STOCKS_EXIT</t>
        </is>
      </c>
      <c r="G179">
        <f>IFERROR(VLOOKUP($A179&amp;"_"&amp;$B179,Results_Deltas!$A$2:$P$15000,5,FALSE),"")</f>
        <v/>
      </c>
      <c r="H179" t="inlineStr">
        <is>
          <t>Blanket (page end)</t>
        </is>
      </c>
      <c r="L179" t="inlineStr">
        <is>
          <t>YES</t>
        </is>
      </c>
    </row>
    <row r="180" ht="15.75" customHeight="1" s="67">
      <c r="A180" t="inlineStr">
        <is>
          <t>MANDATORY_REENTRY_WT_FILTER_REQUIRE_FLIP</t>
        </is>
      </c>
      <c r="B180" t="inlineStr">
        <is>
          <t>False_ALT</t>
        </is>
      </c>
      <c r="D180" t="inlineStr">
        <is>
          <t>GLOBAL_CHECK, STOCKS_EXIT</t>
        </is>
      </c>
      <c r="G180">
        <f>IFERROR(VLOOKUP($A180&amp;"_"&amp;$B180,Results_Deltas!$A$2:$P$15000,5,FALSE),"")</f>
        <v/>
      </c>
      <c r="H180" t="inlineStr">
        <is>
          <t>Blanket (page end)</t>
        </is>
      </c>
      <c r="L180" t="inlineStr">
        <is>
          <t>NO</t>
        </is>
      </c>
    </row>
    <row r="181" ht="15.75" customHeight="1" s="67">
      <c r="A181" t="inlineStr">
        <is>
          <t>MANDATORY_REENTRY_WT_FILTER_VELOCITY_RATIO</t>
        </is>
      </c>
      <c r="B181" t="n">
        <v>0</v>
      </c>
      <c r="D181" t="inlineStr">
        <is>
          <t>GLOBAL_CHECK, STOCKS_EXIT</t>
        </is>
      </c>
      <c r="G181">
        <f>IFERROR(VLOOKUP($A181&amp;"_"&amp;$B181,Results_Deltas!$A$2:$P$15000,5,FALSE),"")</f>
        <v/>
      </c>
      <c r="H181" t="inlineStr">
        <is>
          <t>Blanket (page end)</t>
        </is>
      </c>
      <c r="L181" t="inlineStr">
        <is>
          <t>YES</t>
        </is>
      </c>
    </row>
    <row r="182" ht="15.75" customHeight="1" s="67">
      <c r="A182" t="inlineStr">
        <is>
          <t>MANDATORY_REENTRY_WT_FILTER_VELOCITY_RATIO</t>
        </is>
      </c>
      <c r="B182" t="inlineStr">
        <is>
          <t>0.90_ALT</t>
        </is>
      </c>
      <c r="D182" t="inlineStr">
        <is>
          <t>GLOBAL_CHECK, STOCKS_EXIT</t>
        </is>
      </c>
      <c r="G182">
        <f>IFERROR(VLOOKUP($A182&amp;"_"&amp;$B182,Results_Deltas!$A$2:$P$15000,5,FALSE),"")</f>
        <v/>
      </c>
      <c r="H182" t="inlineStr">
        <is>
          <t>Blanket (page end)</t>
        </is>
      </c>
      <c r="L182" t="inlineStr">
        <is>
          <t>NO</t>
        </is>
      </c>
    </row>
    <row r="183" ht="15.75" customHeight="1" s="67">
      <c r="A183" t="inlineStr">
        <is>
          <t>MARKET_QUALITY_SCORE_ENABLED</t>
        </is>
      </c>
      <c r="B183" t="inlineStr">
        <is>
          <t>False</t>
        </is>
      </c>
      <c r="D183" t="inlineStr">
        <is>
          <t>ENTRY, GLOBAL_CHECK, STOCKS_EXIT</t>
        </is>
      </c>
      <c r="G183">
        <f>IFERROR(VLOOKUP($A183&amp;"_"&amp;$B183,Results_Deltas!$A$2:$P$15000,5,FALSE),"")</f>
        <v/>
      </c>
      <c r="H183" t="inlineStr">
        <is>
          <t>Blanket (page end)</t>
        </is>
      </c>
      <c r="L183" t="inlineStr">
        <is>
          <t>YES</t>
        </is>
      </c>
    </row>
    <row r="184" ht="15.75" customHeight="1" s="67">
      <c r="A184" t="inlineStr">
        <is>
          <t>MARKET_QUALITY_SCORE_ENABLED</t>
        </is>
      </c>
      <c r="B184" t="inlineStr">
        <is>
          <t>True</t>
        </is>
      </c>
      <c r="D184" t="inlineStr">
        <is>
          <t>ENTRY, GLOBAL_CHECK, STOCKS_EXIT</t>
        </is>
      </c>
      <c r="G184">
        <f>IFERROR(VLOOKUP($A184&amp;"_"&amp;$B184,Results_Deltas!$A$2:$P$15000,5,FALSE),"")</f>
        <v/>
      </c>
      <c r="H184" t="inlineStr">
        <is>
          <t>Blanket (page end)</t>
        </is>
      </c>
      <c r="L184" t="inlineStr">
        <is>
          <t>NO</t>
        </is>
      </c>
    </row>
    <row r="185" ht="15.75" customHeight="1" s="67">
      <c r="A185" t="inlineStr">
        <is>
          <t>MI_TF_AGREE_MIN</t>
        </is>
      </c>
      <c r="B185" t="inlineStr">
        <is>
          <t>0.0</t>
        </is>
      </c>
      <c r="D185" t="inlineStr">
        <is>
          <t>ENTRY, GLOBAL_CHECK, STOCKS_EXIT</t>
        </is>
      </c>
      <c r="G185">
        <f>IFERROR(VLOOKUP($A185&amp;"_"&amp;$B185,Results_Deltas!$A$2:$P$15000,5,FALSE),"")</f>
        <v/>
      </c>
      <c r="H185" t="inlineStr">
        <is>
          <t>Blanket (page end)</t>
        </is>
      </c>
      <c r="L185" t="inlineStr">
        <is>
          <t>YES</t>
        </is>
      </c>
    </row>
    <row r="186" ht="15.75" customHeight="1" s="67">
      <c r="A186" t="inlineStr">
        <is>
          <t>MI_TF_AGREE_MIN</t>
        </is>
      </c>
      <c r="B186" t="inlineStr">
        <is>
          <t>0.0_ALT</t>
        </is>
      </c>
      <c r="D186" t="inlineStr">
        <is>
          <t>ENTRY, GLOBAL_CHECK, STOCKS_EXIT</t>
        </is>
      </c>
      <c r="G186">
        <f>IFERROR(VLOOKUP($A186&amp;"_"&amp;$B186,Results_Deltas!$A$2:$P$15000,5,FALSE),"")</f>
        <v/>
      </c>
      <c r="H186" t="inlineStr">
        <is>
          <t>Blanket (page end)</t>
        </is>
      </c>
      <c r="L186" t="inlineStr">
        <is>
          <t>NO</t>
        </is>
      </c>
    </row>
    <row r="187" ht="15.75" customHeight="1" s="67">
      <c r="A187" t="inlineStr">
        <is>
          <t>MOVER_THRESHOLD</t>
        </is>
      </c>
      <c r="B187" t="n">
        <v>0</v>
      </c>
      <c r="D187" t="inlineStr">
        <is>
          <t>ENTRY, GLOBAL_CHECK, STOCKS_EXIT</t>
        </is>
      </c>
      <c r="G187">
        <f>IFERROR(VLOOKUP($A187&amp;"_"&amp;$B187,Results_Deltas!$A$2:$P$15000,5,FALSE),"")</f>
        <v/>
      </c>
      <c r="H187" t="inlineStr">
        <is>
          <t>Blanket (page end)</t>
        </is>
      </c>
      <c r="L187" t="inlineStr">
        <is>
          <t>NO</t>
        </is>
      </c>
    </row>
    <row r="188" ht="15.75" customHeight="1" s="67">
      <c r="A188" t="inlineStr">
        <is>
          <t>MOVER_THRESHOLD</t>
        </is>
      </c>
      <c r="B188" t="inlineStr">
        <is>
          <t>6.25</t>
        </is>
      </c>
      <c r="D188" t="inlineStr">
        <is>
          <t>ENTRY, GLOBAL_CHECK, STOCKS_EXIT</t>
        </is>
      </c>
      <c r="G188">
        <f>IFERROR(VLOOKUP($A188&amp;"_"&amp;$B188,Results_Deltas!$A$2:$P$15000,5,FALSE),"")</f>
        <v/>
      </c>
      <c r="H188" t="inlineStr">
        <is>
          <t>Blanket (page end)</t>
        </is>
      </c>
      <c r="L188" t="inlineStr">
        <is>
          <t>NO</t>
        </is>
      </c>
    </row>
    <row r="189" ht="15.75" customHeight="1" s="67">
      <c r="A189" t="inlineStr">
        <is>
          <t>MOVER_THRESHOLD</t>
        </is>
      </c>
      <c r="B189" t="inlineStr">
        <is>
          <t>3.75</t>
        </is>
      </c>
      <c r="D189" t="inlineStr">
        <is>
          <t>ENTRY, GLOBAL_CHECK, STOCKS_EXIT</t>
        </is>
      </c>
      <c r="G189">
        <f>IFERROR(VLOOKUP($A189&amp;"_"&amp;$B189,Results_Deltas!$A$2:$P$15000,5,FALSE),"")</f>
        <v/>
      </c>
      <c r="H189" t="inlineStr">
        <is>
          <t>Blanket (page end)</t>
        </is>
      </c>
      <c r="L189" t="inlineStr">
        <is>
          <t>YES</t>
        </is>
      </c>
    </row>
    <row r="190" ht="15.75" customHeight="1" s="67">
      <c r="A190" t="inlineStr">
        <is>
          <t>MOVER_THRESHOLD</t>
        </is>
      </c>
      <c r="B190" t="inlineStr">
        <is>
          <t>2.5</t>
        </is>
      </c>
      <c r="D190" t="inlineStr">
        <is>
          <t>ENTRY, GLOBAL_CHECK, STOCKS_EXIT</t>
        </is>
      </c>
      <c r="G190">
        <f>IFERROR(VLOOKUP($A190&amp;"_"&amp;$B190,Results_Deltas!$A$2:$P$15000,5,FALSE),"")</f>
        <v/>
      </c>
      <c r="H190" t="inlineStr">
        <is>
          <t>Blanket (page end)</t>
        </is>
      </c>
      <c r="L190" t="inlineStr">
        <is>
          <t>NO</t>
        </is>
      </c>
    </row>
    <row r="191" ht="15.75" customHeight="1" s="67">
      <c r="A191" t="inlineStr">
        <is>
          <t>MTF_FILTER_STRONG_BUY_QUICK_BYPASS</t>
        </is>
      </c>
      <c r="B191" t="inlineStr">
        <is>
          <t>0.0</t>
        </is>
      </c>
      <c r="D191" t="inlineStr">
        <is>
          <t>GLOBAL_CHECK, STOCKS_EXIT</t>
        </is>
      </c>
      <c r="G191">
        <f>IFERROR(VLOOKUP($A191&amp;"_"&amp;$B191,Results_Deltas!$A$2:$P$15000,5,FALSE),"")</f>
        <v/>
      </c>
      <c r="H191" t="inlineStr">
        <is>
          <t>Blanket (page end)</t>
        </is>
      </c>
      <c r="L191" t="inlineStr">
        <is>
          <t>NO</t>
        </is>
      </c>
    </row>
    <row r="192" ht="15.75" customHeight="1" s="67">
      <c r="A192" t="inlineStr">
        <is>
          <t>MTF_FILTER_STRONG_BUY_QUICK_BYPASS</t>
        </is>
      </c>
      <c r="B192" t="inlineStr">
        <is>
          <t>0.0_ALT</t>
        </is>
      </c>
      <c r="D192" t="inlineStr">
        <is>
          <t>GLOBAL_CHECK, STOCKS_EXIT</t>
        </is>
      </c>
      <c r="G192">
        <f>IFERROR(VLOOKUP($A192&amp;"_"&amp;$B192,Results_Deltas!$A$2:$P$15000,5,FALSE),"")</f>
        <v/>
      </c>
      <c r="H192" t="inlineStr">
        <is>
          <t>Blanket (page end)</t>
        </is>
      </c>
      <c r="L192" t="inlineStr">
        <is>
          <t>NO</t>
        </is>
      </c>
    </row>
    <row r="193" ht="15.75" customHeight="1" s="67">
      <c r="A193" t="inlineStr">
        <is>
          <t>MTF_GR_MIN_IND</t>
        </is>
      </c>
      <c r="B193" t="inlineStr">
        <is>
          <t>5</t>
        </is>
      </c>
      <c r="D193" t="inlineStr">
        <is>
          <t>GLOBAL_CHECK, STOCKS_EXIT</t>
        </is>
      </c>
      <c r="G193">
        <f>IFERROR(VLOOKUP($A193&amp;"_"&amp;$B193,Results_Deltas!$A$2:$P$15000,5,FALSE),"")</f>
        <v/>
      </c>
      <c r="H193" t="inlineStr">
        <is>
          <t>Blanket (page end)</t>
        </is>
      </c>
      <c r="L193" t="inlineStr">
        <is>
          <t>NO</t>
        </is>
      </c>
    </row>
    <row r="194" ht="15.75" customHeight="1" s="67">
      <c r="A194" t="inlineStr">
        <is>
          <t>MTF_GR_MIN_IND</t>
        </is>
      </c>
      <c r="B194" t="inlineStr">
        <is>
          <t>5_ALT</t>
        </is>
      </c>
      <c r="D194" t="inlineStr">
        <is>
          <t>GLOBAL_CHECK, STOCKS_EXIT</t>
        </is>
      </c>
      <c r="G194">
        <f>IFERROR(VLOOKUP($A194&amp;"_"&amp;$B194,Results_Deltas!$A$2:$P$15000,5,FALSE),"")</f>
        <v/>
      </c>
      <c r="H194" t="inlineStr">
        <is>
          <t>Blanket (page end)</t>
        </is>
      </c>
      <c r="L194" t="inlineStr">
        <is>
          <t>NO</t>
        </is>
      </c>
    </row>
    <row r="195" ht="15.75" customHeight="1" s="67">
      <c r="A195" t="inlineStr">
        <is>
          <t>MTS_BOTTOM_BONUS_THRESHOLD</t>
        </is>
      </c>
      <c r="B195" t="n">
        <v>0</v>
      </c>
      <c r="D195" t="inlineStr">
        <is>
          <t>ENTRY, GLOBAL_CHECK, STOCKS_EXIT</t>
        </is>
      </c>
      <c r="G195">
        <f>IFERROR(VLOOKUP($A195&amp;"_"&amp;$B195,Results_Deltas!$A$2:$P$15000,5,FALSE),"")</f>
        <v/>
      </c>
      <c r="H195" t="inlineStr">
        <is>
          <t>Blanket (page end)</t>
        </is>
      </c>
      <c r="L195" t="inlineStr">
        <is>
          <t>NO</t>
        </is>
      </c>
    </row>
    <row r="196" ht="15.75" customHeight="1" s="67">
      <c r="A196" t="inlineStr">
        <is>
          <t>MTS_BOTTOM_BONUS_THRESHOLD</t>
        </is>
      </c>
      <c r="B196" t="inlineStr">
        <is>
          <t>31.25</t>
        </is>
      </c>
      <c r="D196" t="inlineStr">
        <is>
          <t>ENTRY, GLOBAL_CHECK, STOCKS_EXIT</t>
        </is>
      </c>
      <c r="G196">
        <f>IFERROR(VLOOKUP($A196&amp;"_"&amp;$B196,Results_Deltas!$A$2:$P$15000,5,FALSE),"")</f>
        <v/>
      </c>
      <c r="H196" t="inlineStr">
        <is>
          <t>Blanket (page end)</t>
        </is>
      </c>
      <c r="L196" t="inlineStr">
        <is>
          <t>NO</t>
        </is>
      </c>
    </row>
    <row r="197" ht="15.75" customHeight="1" s="67">
      <c r="A197" t="inlineStr">
        <is>
          <t>MTS_BOTTOM_BONUS_THRESHOLD</t>
        </is>
      </c>
      <c r="B197" t="inlineStr">
        <is>
          <t>18.75</t>
        </is>
      </c>
      <c r="D197" t="inlineStr">
        <is>
          <t>ENTRY, GLOBAL_CHECK, STOCKS_EXIT</t>
        </is>
      </c>
      <c r="G197">
        <f>IFERROR(VLOOKUP($A197&amp;"_"&amp;$B197,Results_Deltas!$A$2:$P$15000,5,FALSE),"")</f>
        <v/>
      </c>
      <c r="H197" t="inlineStr">
        <is>
          <t>Blanket (page end)</t>
        </is>
      </c>
      <c r="L197" t="inlineStr">
        <is>
          <t>YES</t>
        </is>
      </c>
    </row>
    <row r="198" ht="15.75" customHeight="1" s="67">
      <c r="A198" t="inlineStr">
        <is>
          <t>MTS_BOTTOM_BONUS_THRESHOLD</t>
        </is>
      </c>
      <c r="B198" t="inlineStr">
        <is>
          <t>12.5</t>
        </is>
      </c>
      <c r="D198" t="inlineStr">
        <is>
          <t>ENTRY, GLOBAL_CHECK, STOCKS_EXIT</t>
        </is>
      </c>
      <c r="G198">
        <f>IFERROR(VLOOKUP($A198&amp;"_"&amp;$B198,Results_Deltas!$A$2:$P$15000,5,FALSE),"")</f>
        <v/>
      </c>
      <c r="H198" t="inlineStr">
        <is>
          <t>Blanket (page end)</t>
        </is>
      </c>
      <c r="L198" t="inlineStr">
        <is>
          <t>NO</t>
        </is>
      </c>
    </row>
    <row r="199" ht="15.75" customHeight="1" s="67">
      <c r="A199" t="inlineStr">
        <is>
          <t>MTS_BOTTOM_STRONG_THRESHOLD</t>
        </is>
      </c>
      <c r="B199" t="n">
        <v>0</v>
      </c>
      <c r="D199" t="inlineStr">
        <is>
          <t>ENTRY, GLOBAL_CHECK, STOCKS_EXIT</t>
        </is>
      </c>
      <c r="G199">
        <f>IFERROR(VLOOKUP($A199&amp;"_"&amp;$B199,Results_Deltas!$A$2:$P$15000,5,FALSE),"")</f>
        <v/>
      </c>
      <c r="H199" t="inlineStr">
        <is>
          <t>Blanket (page end)</t>
        </is>
      </c>
      <c r="L199" t="inlineStr">
        <is>
          <t>NO</t>
        </is>
      </c>
    </row>
    <row r="200" ht="15.75" customHeight="1" s="67">
      <c r="A200" t="inlineStr">
        <is>
          <t>MTS_BOTTOM_STRONG_THRESHOLD</t>
        </is>
      </c>
      <c r="B200" t="inlineStr">
        <is>
          <t>50</t>
        </is>
      </c>
      <c r="D200" t="inlineStr">
        <is>
          <t>ENTRY, GLOBAL_CHECK, STOCKS_EXIT</t>
        </is>
      </c>
      <c r="G200">
        <f>IFERROR(VLOOKUP($A200&amp;"_"&amp;$B200,Results_Deltas!$A$2:$P$15000,5,FALSE),"")</f>
        <v/>
      </c>
      <c r="H200" t="inlineStr">
        <is>
          <t>Blanket (page end)</t>
        </is>
      </c>
      <c r="L200" t="inlineStr">
        <is>
          <t>NO</t>
        </is>
      </c>
    </row>
    <row r="201" ht="15.75" customHeight="1" s="67">
      <c r="A201" t="inlineStr">
        <is>
          <t>MTS_BOTTOM_STRONG_THRESHOLD</t>
        </is>
      </c>
      <c r="B201" t="inlineStr">
        <is>
          <t>30</t>
        </is>
      </c>
      <c r="D201" t="inlineStr">
        <is>
          <t>ENTRY, GLOBAL_CHECK, STOCKS_EXIT</t>
        </is>
      </c>
      <c r="G201">
        <f>IFERROR(VLOOKUP($A201&amp;"_"&amp;$B201,Results_Deltas!$A$2:$P$15000,5,FALSE),"")</f>
        <v/>
      </c>
      <c r="H201" t="inlineStr">
        <is>
          <t>Blanket (page end)</t>
        </is>
      </c>
      <c r="L201" t="inlineStr">
        <is>
          <t>YES</t>
        </is>
      </c>
    </row>
    <row r="202" ht="15.75" customHeight="1" s="67">
      <c r="A202" t="inlineStr">
        <is>
          <t>MTS_BOTTOM_STRONG_THRESHOLD</t>
        </is>
      </c>
      <c r="B202" t="inlineStr">
        <is>
          <t>20</t>
        </is>
      </c>
      <c r="D202" t="inlineStr">
        <is>
          <t>ENTRY, GLOBAL_CHECK, STOCKS_EXIT</t>
        </is>
      </c>
      <c r="G202">
        <f>IFERROR(VLOOKUP($A202&amp;"_"&amp;$B202,Results_Deltas!$A$2:$P$15000,5,FALSE),"")</f>
        <v/>
      </c>
      <c r="H202" t="inlineStr">
        <is>
          <t>Blanket (page end)</t>
        </is>
      </c>
      <c r="L202" t="inlineStr">
        <is>
          <t>NO</t>
        </is>
      </c>
    </row>
    <row r="203" ht="15.75" customHeight="1" s="67">
      <c r="A203" t="inlineStr">
        <is>
          <t>MTS_GATE_ENABLED</t>
        </is>
      </c>
      <c r="B203" t="inlineStr">
        <is>
          <t>False</t>
        </is>
      </c>
      <c r="D203" t="inlineStr">
        <is>
          <t>ENTRY, GLOBAL_CHECK, STOCKS_EXIT</t>
        </is>
      </c>
      <c r="G203">
        <f>IFERROR(VLOOKUP($A203&amp;"_"&amp;$B203,Results_Deltas!$A$2:$P$15000,5,FALSE),"")</f>
        <v/>
      </c>
      <c r="H203" t="inlineStr">
        <is>
          <t>Blanket (page end)</t>
        </is>
      </c>
      <c r="L203" t="inlineStr">
        <is>
          <t>NO</t>
        </is>
      </c>
    </row>
    <row r="204" ht="15.75" customHeight="1" s="67">
      <c r="A204" t="inlineStr">
        <is>
          <t>MTS_GATE_ENABLED</t>
        </is>
      </c>
      <c r="B204" t="b">
        <v>0</v>
      </c>
      <c r="D204" t="inlineStr">
        <is>
          <t>ENTRY, GLOBAL_CHECK, STOCKS_EXIT</t>
        </is>
      </c>
      <c r="G204">
        <f>IFERROR(VLOOKUP($A204&amp;"_"&amp;$B204,Results_Deltas!$A$2:$P$15000,5,FALSE),"")</f>
        <v/>
      </c>
      <c r="H204" t="inlineStr">
        <is>
          <t>Blanket (page end)</t>
        </is>
      </c>
      <c r="L204" t="inlineStr">
        <is>
          <t>NO</t>
        </is>
      </c>
    </row>
    <row r="205" ht="15.75" customHeight="1" s="67">
      <c r="A205" t="inlineStr">
        <is>
          <t>NEWBORN_LOSS_KILL_GAIN_THRESHOLD_PCT</t>
        </is>
      </c>
      <c r="B205" t="inlineStr">
        <is>
          <t>0</t>
        </is>
      </c>
      <c r="D205" t="inlineStr">
        <is>
          <t>AUGMENT, EXIT, GLOBAL_CHECK, REDUCE, STOCKS_EXIT</t>
        </is>
      </c>
      <c r="G205">
        <f>IFERROR(VLOOKUP($A205&amp;"_"&amp;$B205,Results_Deltas!$A$2:$P$15000,5,FALSE),"")</f>
        <v/>
      </c>
      <c r="H205" t="inlineStr">
        <is>
          <t>Blanket (page end)</t>
        </is>
      </c>
      <c r="L205" t="inlineStr">
        <is>
          <t>NO</t>
        </is>
      </c>
    </row>
    <row r="206" ht="15.75" customHeight="1" s="67">
      <c r="A206" t="inlineStr">
        <is>
          <t>NEWBORN_LOSS_KILL_GAIN_THRESHOLD_PCT</t>
        </is>
      </c>
      <c r="B206" t="inlineStr">
        <is>
          <t>2.0</t>
        </is>
      </c>
      <c r="D206" t="inlineStr">
        <is>
          <t>AUGMENT, EXIT, GLOBAL_CHECK, REDUCE, STOCKS_EXIT</t>
        </is>
      </c>
      <c r="G206">
        <f>IFERROR(VLOOKUP($A206&amp;"_"&amp;$B206,Results_Deltas!$A$2:$P$15000,5,FALSE),"")</f>
        <v/>
      </c>
      <c r="H206" t="inlineStr">
        <is>
          <t>Blanket (page end)</t>
        </is>
      </c>
      <c r="L206" t="inlineStr">
        <is>
          <t>YES</t>
        </is>
      </c>
    </row>
    <row r="207" ht="15.75" customHeight="1" s="67">
      <c r="A207" t="inlineStr">
        <is>
          <t>NEWBORN_LOSS_KILL_GAIN_THRESHOLD_PCT</t>
        </is>
      </c>
      <c r="B207" t="inlineStr">
        <is>
          <t>1.0</t>
        </is>
      </c>
      <c r="D207" t="inlineStr">
        <is>
          <t>AUGMENT, EXIT, GLOBAL_CHECK, REDUCE, STOCKS_EXIT</t>
        </is>
      </c>
      <c r="G207">
        <f>IFERROR(VLOOKUP($A207&amp;"_"&amp;$B207,Results_Deltas!$A$2:$P$15000,5,FALSE),"")</f>
        <v/>
      </c>
      <c r="H207" t="inlineStr">
        <is>
          <t>Blanket (page end)</t>
        </is>
      </c>
      <c r="L207" t="inlineStr">
        <is>
          <t>YES</t>
        </is>
      </c>
    </row>
    <row r="208" ht="15.75" customHeight="1" s="67">
      <c r="A208" t="inlineStr">
        <is>
          <t>NEWBORN_LOSS_KILL_GAIN_THRESHOLD_PCT</t>
        </is>
      </c>
      <c r="B208" t="inlineStr">
        <is>
          <t>0.5</t>
        </is>
      </c>
      <c r="D208" t="inlineStr">
        <is>
          <t>AUGMENT, EXIT, GLOBAL_CHECK, REDUCE, STOCKS_EXIT</t>
        </is>
      </c>
      <c r="G208">
        <f>IFERROR(VLOOKUP($A208&amp;"_"&amp;$B208,Results_Deltas!$A$2:$P$15000,5,FALSE),"")</f>
        <v/>
      </c>
      <c r="H208" t="inlineStr">
        <is>
          <t>Blanket (page end)</t>
        </is>
      </c>
      <c r="L208" t="inlineStr">
        <is>
          <t>NO</t>
        </is>
      </c>
    </row>
    <row r="209" ht="15.75" customHeight="1" s="67">
      <c r="A209" t="inlineStr">
        <is>
          <t>NEWBORN_LOSS_KILL_REQUIRE_VEL_AGAINST</t>
        </is>
      </c>
      <c r="B209" t="inlineStr">
        <is>
          <t>0.0</t>
        </is>
      </c>
      <c r="D209" t="inlineStr">
        <is>
          <t>AUGMENT, EXIT, GLOBAL_CHECK, REDUCE, STOCKS_EXIT</t>
        </is>
      </c>
      <c r="G209">
        <f>IFERROR(VLOOKUP($A209&amp;"_"&amp;$B209,Results_Deltas!$A$2:$P$15000,5,FALSE),"")</f>
        <v/>
      </c>
      <c r="H209" t="inlineStr">
        <is>
          <t>Blanket (page end)</t>
        </is>
      </c>
      <c r="L209" t="inlineStr">
        <is>
          <t>NO</t>
        </is>
      </c>
    </row>
    <row r="210" ht="15.75" customHeight="1" s="67">
      <c r="A210" t="inlineStr">
        <is>
          <t>NEWBORN_LOSS_KILL_REQUIRE_VEL_AGAINST</t>
        </is>
      </c>
      <c r="B210" t="inlineStr">
        <is>
          <t>0.0_ALT</t>
        </is>
      </c>
      <c r="D210" t="inlineStr">
        <is>
          <t>AUGMENT, EXIT, GLOBAL_CHECK, REDUCE, STOCKS_EXIT</t>
        </is>
      </c>
      <c r="G210">
        <f>IFERROR(VLOOKUP($A210&amp;"_"&amp;$B210,Results_Deltas!$A$2:$P$15000,5,FALSE),"")</f>
        <v/>
      </c>
      <c r="H210" t="inlineStr">
        <is>
          <t>Blanket (page end)</t>
        </is>
      </c>
      <c r="L210" t="inlineStr">
        <is>
          <t>NO</t>
        </is>
      </c>
    </row>
    <row r="211" ht="15.75" customHeight="1" s="67">
      <c r="A211" t="inlineStr">
        <is>
          <t>NEW_POSITION_MAX_LOSS_THRESHOLD</t>
        </is>
      </c>
      <c r="B211" t="inlineStr">
        <is>
          <t>0</t>
        </is>
      </c>
      <c r="D211" t="inlineStr">
        <is>
          <t>AUGMENT, EXIT, GLOBAL_CHECK, REDUCE, STOCKS_EXIT</t>
        </is>
      </c>
      <c r="G211">
        <f>IFERROR(VLOOKUP($A211&amp;"_"&amp;$B211,Results_Deltas!$A$2:$P$15000,5,FALSE),"")</f>
        <v/>
      </c>
      <c r="H211" t="inlineStr">
        <is>
          <t>Blanket (page end)</t>
        </is>
      </c>
      <c r="L211" t="inlineStr">
        <is>
          <t>NO</t>
        </is>
      </c>
    </row>
    <row r="212" ht="15.75" customHeight="1" s="67">
      <c r="A212" t="inlineStr">
        <is>
          <t>NEW_POSITION_MAX_LOSS_THRESHOLD</t>
        </is>
      </c>
      <c r="B212" t="inlineStr">
        <is>
          <t>2.0</t>
        </is>
      </c>
      <c r="D212" t="inlineStr">
        <is>
          <t>AUGMENT, EXIT, GLOBAL_CHECK, REDUCE, STOCKS_EXIT</t>
        </is>
      </c>
      <c r="G212">
        <f>IFERROR(VLOOKUP($A212&amp;"_"&amp;$B212,Results_Deltas!$A$2:$P$15000,5,FALSE),"")</f>
        <v/>
      </c>
      <c r="H212" t="inlineStr">
        <is>
          <t>Blanket (page end)</t>
        </is>
      </c>
      <c r="L212" t="inlineStr">
        <is>
          <t>NO</t>
        </is>
      </c>
    </row>
    <row r="213" ht="15.75" customHeight="1" s="67">
      <c r="A213" t="inlineStr">
        <is>
          <t>NEW_POSITION_MAX_LOSS_THRESHOLD</t>
        </is>
      </c>
      <c r="B213" t="inlineStr">
        <is>
          <t>1.0</t>
        </is>
      </c>
      <c r="D213" t="inlineStr">
        <is>
          <t>AUGMENT, EXIT, GLOBAL_CHECK, REDUCE, STOCKS_EXIT</t>
        </is>
      </c>
      <c r="G213">
        <f>IFERROR(VLOOKUP($A213&amp;"_"&amp;$B213,Results_Deltas!$A$2:$P$15000,5,FALSE),"")</f>
        <v/>
      </c>
      <c r="H213" t="inlineStr">
        <is>
          <t>Blanket (page end)</t>
        </is>
      </c>
      <c r="L213" t="inlineStr">
        <is>
          <t>NO</t>
        </is>
      </c>
    </row>
    <row r="214" ht="15.75" customHeight="1" s="67">
      <c r="A214" t="inlineStr">
        <is>
          <t>NEW_POSITION_MAX_LOSS_THRESHOLD</t>
        </is>
      </c>
      <c r="B214" t="inlineStr">
        <is>
          <t>0.5</t>
        </is>
      </c>
      <c r="D214" t="inlineStr">
        <is>
          <t>AUGMENT, EXIT, GLOBAL_CHECK, REDUCE, STOCKS_EXIT</t>
        </is>
      </c>
      <c r="G214">
        <f>IFERROR(VLOOKUP($A214&amp;"_"&amp;$B214,Results_Deltas!$A$2:$P$15000,5,FALSE),"")</f>
        <v/>
      </c>
      <c r="H214" t="inlineStr">
        <is>
          <t>Blanket (page end)</t>
        </is>
      </c>
      <c r="L214" t="inlineStr">
        <is>
          <t>NO</t>
        </is>
      </c>
    </row>
    <row r="215" ht="15.75" customHeight="1" s="67">
      <c r="A215" t="inlineStr">
        <is>
          <t>OI_CONFIRM_ENABLED</t>
        </is>
      </c>
      <c r="B215" t="inlineStr">
        <is>
          <t>False</t>
        </is>
      </c>
      <c r="D215" t="inlineStr">
        <is>
          <t>ENTRY, GLOBAL_CHECK, STOCKS_EXIT</t>
        </is>
      </c>
      <c r="G215">
        <f>IFERROR(VLOOKUP($A215&amp;"_"&amp;$B215,Results_Deltas!$A$2:$P$15000,5,FALSE),"")</f>
        <v/>
      </c>
      <c r="H215" t="inlineStr">
        <is>
          <t>Blanket (page end)</t>
        </is>
      </c>
      <c r="L215" t="inlineStr">
        <is>
          <t>NO</t>
        </is>
      </c>
    </row>
    <row r="216" ht="15.75" customHeight="1" s="67">
      <c r="A216" t="inlineStr">
        <is>
          <t>OI_CONFIRM_ENABLED</t>
        </is>
      </c>
      <c r="B216" t="b">
        <v>0</v>
      </c>
      <c r="D216" t="inlineStr">
        <is>
          <t>ENTRY, GLOBAL_CHECK, STOCKS_EXIT</t>
        </is>
      </c>
      <c r="G216">
        <f>IFERROR(VLOOKUP($A216&amp;"_"&amp;$B216,Results_Deltas!$A$2:$P$15000,5,FALSE),"")</f>
        <v/>
      </c>
      <c r="H216" t="inlineStr">
        <is>
          <t>Blanket (page end)</t>
        </is>
      </c>
      <c r="L216" t="inlineStr">
        <is>
          <t>NO</t>
        </is>
      </c>
    </row>
    <row r="217" ht="15.75" customHeight="1" s="67">
      <c r="A217" t="inlineStr">
        <is>
          <t>OI_CONFIRM_MIN_CHANGE_PCT</t>
        </is>
      </c>
      <c r="B217" t="inlineStr">
        <is>
          <t>0</t>
        </is>
      </c>
      <c r="D217" t="inlineStr">
        <is>
          <t>ENTRY, GLOBAL_CHECK, STOCKS_EXIT</t>
        </is>
      </c>
      <c r="G217">
        <f>IFERROR(VLOOKUP($A217&amp;"_"&amp;$B217,Results_Deltas!$A$2:$P$15000,5,FALSE),"")</f>
        <v/>
      </c>
      <c r="H217" t="inlineStr">
        <is>
          <t>Blanket (page end)</t>
        </is>
      </c>
      <c r="L217" t="inlineStr">
        <is>
          <t>NO</t>
        </is>
      </c>
    </row>
    <row r="218" ht="15.75" customHeight="1" s="67">
      <c r="A218" t="inlineStr">
        <is>
          <t>OI_CONFIRM_MIN_CHANGE_PCT</t>
        </is>
      </c>
      <c r="B218" t="inlineStr">
        <is>
          <t>2.0</t>
        </is>
      </c>
      <c r="D218" t="inlineStr">
        <is>
          <t>ENTRY, GLOBAL_CHECK, STOCKS_EXIT</t>
        </is>
      </c>
      <c r="G218">
        <f>IFERROR(VLOOKUP($A218&amp;"_"&amp;$B218,Results_Deltas!$A$2:$P$15000,5,FALSE),"")</f>
        <v/>
      </c>
      <c r="H218" t="inlineStr">
        <is>
          <t>Blanket (page end)</t>
        </is>
      </c>
      <c r="L218" t="inlineStr">
        <is>
          <t>YES</t>
        </is>
      </c>
    </row>
    <row r="219" ht="15.75" customHeight="1" s="67">
      <c r="A219" t="inlineStr">
        <is>
          <t>OI_CONFIRM_MIN_CHANGE_PCT</t>
        </is>
      </c>
      <c r="B219" t="inlineStr">
        <is>
          <t>1.0</t>
        </is>
      </c>
      <c r="D219" t="inlineStr">
        <is>
          <t>ENTRY, GLOBAL_CHECK, STOCKS_EXIT</t>
        </is>
      </c>
      <c r="G219">
        <f>IFERROR(VLOOKUP($A219&amp;"_"&amp;$B219,Results_Deltas!$A$2:$P$15000,5,FALSE),"")</f>
        <v/>
      </c>
      <c r="H219" t="inlineStr">
        <is>
          <t>Blanket (page end)</t>
        </is>
      </c>
      <c r="L219" t="inlineStr">
        <is>
          <t>NO</t>
        </is>
      </c>
    </row>
    <row r="220" ht="15.75" customHeight="1" s="67">
      <c r="A220" t="inlineStr">
        <is>
          <t>OI_CONFIRM_MIN_CHANGE_PCT</t>
        </is>
      </c>
      <c r="B220" t="inlineStr">
        <is>
          <t>0.5</t>
        </is>
      </c>
      <c r="D220" t="inlineStr">
        <is>
          <t>ENTRY, GLOBAL_CHECK, STOCKS_EXIT</t>
        </is>
      </c>
      <c r="G220">
        <f>IFERROR(VLOOKUP($A220&amp;"_"&amp;$B220,Results_Deltas!$A$2:$P$15000,5,FALSE),"")</f>
        <v/>
      </c>
      <c r="H220" t="inlineStr">
        <is>
          <t>Blanket (page end)</t>
        </is>
      </c>
      <c r="L220" t="inlineStr">
        <is>
          <t>NO</t>
        </is>
      </c>
    </row>
    <row r="221" ht="15.75" customHeight="1" s="67">
      <c r="A221" t="inlineStr">
        <is>
          <t>OI_CONFIRM_MIN_PRICE_PCT</t>
        </is>
      </c>
      <c r="B221" t="inlineStr">
        <is>
          <t>0</t>
        </is>
      </c>
      <c r="D221" t="inlineStr">
        <is>
          <t>ENTRY, GLOBAL_CHECK, STOCKS_EXIT</t>
        </is>
      </c>
      <c r="G221">
        <f>IFERROR(VLOOKUP($A221&amp;"_"&amp;$B221,Results_Deltas!$A$2:$P$15000,5,FALSE),"")</f>
        <v/>
      </c>
      <c r="H221" t="inlineStr">
        <is>
          <t>Blanket (page end)</t>
        </is>
      </c>
      <c r="L221" t="inlineStr">
        <is>
          <t>NO</t>
        </is>
      </c>
    </row>
    <row r="222" ht="15.75" customHeight="1" s="67">
      <c r="A222" t="inlineStr">
        <is>
          <t>OI_CONFIRM_MIN_PRICE_PCT</t>
        </is>
      </c>
      <c r="B222" t="inlineStr">
        <is>
          <t>2.0</t>
        </is>
      </c>
      <c r="D222" t="inlineStr">
        <is>
          <t>ENTRY, GLOBAL_CHECK, STOCKS_EXIT</t>
        </is>
      </c>
      <c r="G222">
        <f>IFERROR(VLOOKUP($A222&amp;"_"&amp;$B222,Results_Deltas!$A$2:$P$15000,5,FALSE),"")</f>
        <v/>
      </c>
      <c r="H222" t="inlineStr">
        <is>
          <t>Blanket (page end)</t>
        </is>
      </c>
      <c r="L222" t="inlineStr">
        <is>
          <t>YES</t>
        </is>
      </c>
    </row>
    <row r="223" ht="15.75" customHeight="1" s="67">
      <c r="A223" t="inlineStr">
        <is>
          <t>OI_CONFIRM_MIN_PRICE_PCT</t>
        </is>
      </c>
      <c r="B223" t="inlineStr">
        <is>
          <t>1.0</t>
        </is>
      </c>
      <c r="D223" t="inlineStr">
        <is>
          <t>ENTRY, GLOBAL_CHECK, STOCKS_EXIT</t>
        </is>
      </c>
      <c r="G223">
        <f>IFERROR(VLOOKUP($A223&amp;"_"&amp;$B223,Results_Deltas!$A$2:$P$15000,5,FALSE),"")</f>
        <v/>
      </c>
      <c r="H223" t="inlineStr">
        <is>
          <t>Blanket (page end)</t>
        </is>
      </c>
      <c r="L223" t="inlineStr">
        <is>
          <t>NO</t>
        </is>
      </c>
    </row>
    <row r="224" ht="15.75" customHeight="1" s="67">
      <c r="A224" t="inlineStr">
        <is>
          <t>OI_CONFIRM_MIN_PRICE_PCT</t>
        </is>
      </c>
      <c r="B224" t="inlineStr">
        <is>
          <t>0.5</t>
        </is>
      </c>
      <c r="D224" t="inlineStr">
        <is>
          <t>ENTRY, GLOBAL_CHECK, STOCKS_EXIT</t>
        </is>
      </c>
      <c r="G224">
        <f>IFERROR(VLOOKUP($A224&amp;"_"&amp;$B224,Results_Deltas!$A$2:$P$15000,5,FALSE),"")</f>
        <v/>
      </c>
      <c r="H224" t="inlineStr">
        <is>
          <t>Blanket (page end)</t>
        </is>
      </c>
      <c r="L224" t="inlineStr">
        <is>
          <t>NO</t>
        </is>
      </c>
    </row>
    <row r="225" ht="15.75" customHeight="1" s="67">
      <c r="A225" t="inlineStr">
        <is>
          <t>PEAK_GIVEBACK_DROP_TRIGGER_ENABLED</t>
        </is>
      </c>
      <c r="B225" t="inlineStr">
        <is>
          <t>False</t>
        </is>
      </c>
      <c r="G225">
        <f>IFERROR(VLOOKUP($A225&amp;"_"&amp;$B225,Results_Deltas!$A$2:$P$15000,5,FALSE),"")</f>
        <v/>
      </c>
      <c r="H225">
        <f>IFERROR(VLOOKUP($A226,Results_30d_Deltas!$A$2:$H$5000,7,FALSE)-E3,"")</f>
        <v/>
      </c>
      <c r="I225">
        <f>IFERROR(VLOOKUP($A226,Results_30d_Deltas!$A$2:$H$5000,6,FALSE),"")</f>
        <v/>
      </c>
      <c r="L225" t="inlineStr">
        <is>
          <t>YES</t>
        </is>
      </c>
      <c r="IK225" t="inlineStr">
        <is>
          <t>ez_manage.py:5168 top()</t>
        </is>
      </c>
      <c r="IL225" t="inlineStr">
        <is>
          <t>v12_quick_engine.py:2682 x3</t>
        </is>
      </c>
    </row>
    <row r="226">
      <c r="A226" t="inlineStr">
        <is>
          <t>BB_PROFIT_TAKE_TF</t>
        </is>
      </c>
      <c r="B226" t="inlineStr">
        <is>
          <t>OFF</t>
        </is>
      </c>
      <c r="D226" t="inlineStr">
        <is>
          <t>PROFIT_BB</t>
        </is>
      </c>
      <c r="G226">
        <f>IFERROR(VLOOKUP($A226&amp;"_"&amp;$B226,Results_Deltas!$A$2:$P$15000,5,FALSE),"")</f>
        <v/>
      </c>
      <c r="H226">
        <f>IFERROR(VLOOKUP($A226,Results_30d_Deltas!$A$2:$H$5000,7,FALSE)-E3,"")</f>
        <v/>
      </c>
      <c r="I226">
        <f>IFERROR(VLOOKUP($A226,Results_30d_Deltas!$A$2:$H$5000,6,FALSE),"")</f>
        <v/>
      </c>
      <c r="L226" t="inlineStr">
        <is>
          <t>YES</t>
        </is>
      </c>
    </row>
    <row r="227">
      <c r="A227" t="inlineStr">
        <is>
          <t>BB_PROFIT_TAKE_TF</t>
        </is>
      </c>
      <c r="B227" t="inlineStr">
        <is>
          <t>15m</t>
        </is>
      </c>
      <c r="D227" t="inlineStr">
        <is>
          <t>PROFIT_BB</t>
        </is>
      </c>
      <c r="G227">
        <f>IFERROR(VLOOKUP($A227&amp;"_"&amp;$B227,Results_Deltas!$A$2:$P$15000,5,FALSE),"")</f>
        <v/>
      </c>
      <c r="H227">
        <f>IFERROR(VLOOKUP($A227,Results_30d_Deltas!$A$2:$H$5000,7,FALSE)-E3,"")</f>
        <v/>
      </c>
      <c r="I227">
        <f>IFERROR(VLOOKUP($A227,Results_30d_Deltas!$A$2:$H$5000,6,FALSE),"")</f>
        <v/>
      </c>
      <c r="L227" t="inlineStr">
        <is>
          <t>NO</t>
        </is>
      </c>
    </row>
    <row r="228">
      <c r="A228" t="inlineStr">
        <is>
          <t>BB_PROFIT_TAKE_TF</t>
        </is>
      </c>
      <c r="B228" t="inlineStr">
        <is>
          <t>1h</t>
        </is>
      </c>
      <c r="D228" t="inlineStr">
        <is>
          <t>PROFIT_BB</t>
        </is>
      </c>
      <c r="G228">
        <f>IFERROR(VLOOKUP($A228&amp;"_"&amp;$B228,Results_Deltas!$A$2:$P$15000,5,FALSE),"")</f>
        <v/>
      </c>
      <c r="H228">
        <f>IFERROR(VLOOKUP($A228,Results_30d_Deltas!$A$2:$H$5000,7,FALSE)-E3,"")</f>
        <v/>
      </c>
      <c r="I228">
        <f>IFERROR(VLOOKUP($A228,Results_30d_Deltas!$A$2:$H$5000,6,FALSE),"")</f>
        <v/>
      </c>
      <c r="L228" t="inlineStr">
        <is>
          <t>NO</t>
        </is>
      </c>
    </row>
    <row r="229">
      <c r="A229" t="inlineStr">
        <is>
          <t>BB_PROFIT_TAKE_TF</t>
        </is>
      </c>
      <c r="B229" t="inlineStr">
        <is>
          <t>4h</t>
        </is>
      </c>
      <c r="D229" t="inlineStr">
        <is>
          <t>PROFIT_BB</t>
        </is>
      </c>
      <c r="G229">
        <f>IFERROR(VLOOKUP($A229&amp;"_"&amp;$B229,Results_Deltas!$A$2:$P$15000,5,FALSE),"")</f>
        <v/>
      </c>
      <c r="H229">
        <f>IFERROR(VLOOKUP($A229,Results_30d_Deltas!$A$2:$H$5000,7,FALSE)-E3,"")</f>
        <v/>
      </c>
      <c r="I229">
        <f>IFERROR(VLOOKUP($A229,Results_30d_Deltas!$A$2:$H$5000,6,FALSE),"")</f>
        <v/>
      </c>
      <c r="L229" t="inlineStr">
        <is>
          <t>NO</t>
        </is>
      </c>
    </row>
    <row r="230">
      <c r="A230" t="inlineStr">
        <is>
          <t>BB_PROFIT_TAKE_TF</t>
        </is>
      </c>
      <c r="B230" t="inlineStr">
        <is>
          <t>D</t>
        </is>
      </c>
      <c r="D230" t="inlineStr">
        <is>
          <t>PROFIT_BB</t>
        </is>
      </c>
      <c r="G230">
        <f>IFERROR(VLOOKUP($A230&amp;"_"&amp;$B230,Results_Deltas!$A$2:$P$15000,5,FALSE),"")</f>
        <v/>
      </c>
      <c r="H230">
        <f>IFERROR(VLOOKUP($A230,Results_30d_Deltas!$A$2:$H$5000,7,FALSE)-E3,"")</f>
        <v/>
      </c>
      <c r="I230">
        <f>IFERROR(VLOOKUP($A230,Results_30d_Deltas!$A$2:$H$5000,6,FALSE),"")</f>
        <v/>
      </c>
      <c r="L23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QUICK_REDUCE_TECHNICAL_ONLY</t>
        </is>
      </c>
      <c r="B3" t="inlineStr">
        <is>
          <t>0</t>
        </is>
      </c>
      <c r="G3">
        <f>IFERROR(VLOOKUP($A3&amp;"="&amp;$B3,Results_Deltas!$A$2:$P$15000,5,FALSE),"")</f>
        <v/>
      </c>
      <c r="H3">
        <f>IFERROR(VLOOKUP($A3,Results_30d_Deltas!$A$2:$H$5000,7,FALSE)-E3,"")</f>
        <v/>
      </c>
      <c r="I3">
        <f>IFERROR(VLOOKUP($A3,Results_30d_Deltas!$A$2:$H$5000,6,FALSE),"")</f>
        <v/>
      </c>
      <c r="L3" t="inlineStr">
        <is>
          <t>NO</t>
        </is>
      </c>
      <c r="IK3" t="inlineStr">
        <is>
          <t>ez_manage.py:5218 top()</t>
        </is>
      </c>
      <c r="IL3" t="inlineStr">
        <is>
          <t>v12_quick_engine.py:2747 x2</t>
        </is>
      </c>
    </row>
    <row r="4" ht="10.5" customHeight="1" s="67">
      <c r="A4" t="inlineStr">
        <is>
          <t>QUICK_REDUCE_TECHNICAL_ONLY</t>
        </is>
      </c>
      <c r="B4" t="inlineStr">
        <is>
          <t>0.5</t>
        </is>
      </c>
      <c r="G4">
        <f>IFERROR(VLOOKUP($A4&amp;"_"&amp;$B4,Results_Deltas!$A$2:$P$15000,5,FALSE),"")</f>
        <v/>
      </c>
      <c r="H4">
        <f>IFERROR(VLOOKUP($A4,Results_30d_Deltas!$A$2:$H$5000,7,FALSE)-E3,"")</f>
        <v/>
      </c>
      <c r="I4">
        <f>IFERROR(VLOOKUP($A4,Results_30d_Deltas!$A$2:$H$5000,6,FALSE),"")</f>
        <v/>
      </c>
      <c r="L4" t="inlineStr">
        <is>
          <t>NO</t>
        </is>
      </c>
      <c r="IK4" t="inlineStr">
        <is>
          <t>ez_manage.py:5218 top()</t>
        </is>
      </c>
      <c r="IL4" t="inlineStr">
        <is>
          <t>v12_quick_engine.py:2747 x2</t>
        </is>
      </c>
    </row>
    <row r="5" ht="10.5" customHeight="1" s="67">
      <c r="A5" t="inlineStr">
        <is>
          <t>QUICK_REDUCE_TECHNICAL_ONLY</t>
        </is>
      </c>
      <c r="B5" t="inlineStr">
        <is>
          <t>1.0</t>
        </is>
      </c>
      <c r="G5">
        <f>IFERROR(VLOOKUP($A5&amp;"_"&amp;$B5,Results_Deltas!$A$2:$P$15000,5,FALSE),"")</f>
        <v/>
      </c>
      <c r="H5">
        <f>IFERROR(VLOOKUP($A5,Results_30d_Deltas!$A$2:$H$5000,7,FALSE)-E4,"")</f>
        <v/>
      </c>
      <c r="I5">
        <f>IFERROR(VLOOKUP($A5,Results_30d_Deltas!$A$2:$H$5000,6,FALSE),"")</f>
        <v/>
      </c>
      <c r="L5" t="inlineStr">
        <is>
          <t>NO</t>
        </is>
      </c>
      <c r="IK5" t="inlineStr">
        <is>
          <t>ez_manage.py:5218 top()</t>
        </is>
      </c>
      <c r="IL5" t="inlineStr">
        <is>
          <t>v12_quick_engine.py:2747 x2</t>
        </is>
      </c>
    </row>
    <row r="6" ht="10.5" customHeight="1" s="67">
      <c r="A6" t="inlineStr">
        <is>
          <t>QUICK_REDUCE_TECHNICAL_ONLY</t>
        </is>
      </c>
      <c r="B6" t="inlineStr">
        <is>
          <t>2.0</t>
        </is>
      </c>
      <c r="G6">
        <f>IFERROR(VLOOKUP($A6&amp;"_"&amp;$B6,Results_Deltas!$A$2:$P$15000,5,FALSE),"")</f>
        <v/>
      </c>
      <c r="H6">
        <f>IFERROR(VLOOKUP($A6,Results_30d_Deltas!$A$2:$H$5000,7,FALSE)-E5,"")</f>
        <v/>
      </c>
      <c r="I6">
        <f>IFERROR(VLOOKUP($A6,Results_30d_Deltas!$A$2:$H$5000,6,FALSE),"")</f>
        <v/>
      </c>
      <c r="L6" t="inlineStr">
        <is>
          <t>NO</t>
        </is>
      </c>
      <c r="IK6" t="inlineStr">
        <is>
          <t>ez_manage.py:5218 top()</t>
        </is>
      </c>
      <c r="IL6" t="inlineStr">
        <is>
          <t>v12_quick_engine.py:2747 x2</t>
        </is>
      </c>
    </row>
    <row r="7" ht="10.5" customHeight="1" s="67">
      <c r="A7" t="inlineStr">
        <is>
          <t>ALL_TF_AGAINST_CLOSE_MIN_TFS</t>
        </is>
      </c>
      <c r="B7" t="inlineStr">
        <is>
          <t>0</t>
        </is>
      </c>
      <c r="G7">
        <f>IFERROR(VLOOKUP($A7&amp;"_"&amp;$B7,Results_Deltas!$A$2:$P$15000,5,FALSE),"")</f>
        <v/>
      </c>
      <c r="H7">
        <f>IFERROR(VLOOKUP($A7,Results_30d_Deltas!$A$2:$H$5000,7,FALSE)-E6,"")</f>
        <v/>
      </c>
      <c r="I7">
        <f>IFERROR(VLOOKUP($A7,Results_30d_Deltas!$A$2:$H$5000,6,FALSE),"")</f>
        <v/>
      </c>
      <c r="L7" t="inlineStr">
        <is>
          <t>NO</t>
        </is>
      </c>
      <c r="IK7" t="inlineStr">
        <is>
          <t>ez_manage.py:2932 top()</t>
        </is>
      </c>
      <c r="IL7" t="inlineStr">
        <is>
          <t>v12_quick_engine.py:181 x11</t>
        </is>
      </c>
    </row>
    <row r="8" ht="10.5" customHeight="1" s="67">
      <c r="A8" t="inlineStr">
        <is>
          <t>ALL_TF_AGAINST_CLOSE_MIN_TFS</t>
        </is>
      </c>
      <c r="B8" t="inlineStr">
        <is>
          <t>0.5</t>
        </is>
      </c>
      <c r="G8">
        <f>IFERROR(VLOOKUP($A8&amp;"_"&amp;$B8,Results_Deltas!$A$2:$P$15000,5,FALSE),"")</f>
        <v/>
      </c>
      <c r="H8">
        <f>IFERROR(VLOOKUP($A8,Results_30d_Deltas!$A$2:$H$5000,7,FALSE)-E7,"")</f>
        <v/>
      </c>
      <c r="I8">
        <f>IFERROR(VLOOKUP($A8,Results_30d_Deltas!$A$2:$H$5000,6,FALSE),"")</f>
        <v/>
      </c>
      <c r="L8" t="inlineStr">
        <is>
          <t>NO</t>
        </is>
      </c>
      <c r="IK8" t="inlineStr">
        <is>
          <t>ez_manage.py:2932 top()</t>
        </is>
      </c>
      <c r="IL8" t="inlineStr">
        <is>
          <t>v12_quick_engine.py:181 x11</t>
        </is>
      </c>
    </row>
    <row r="9" ht="10.5" customHeight="1" s="67">
      <c r="A9" t="inlineStr">
        <is>
          <t>ALL_TF_AGAINST_CLOSE_MIN_TFS</t>
        </is>
      </c>
      <c r="B9" t="inlineStr">
        <is>
          <t>1.0</t>
        </is>
      </c>
      <c r="G9">
        <f>IFERROR(VLOOKUP($A9&amp;"_"&amp;$B9,Results_Deltas!$A$2:$P$15000,5,FALSE),"")</f>
        <v/>
      </c>
      <c r="H9">
        <f>IFERROR(VLOOKUP($A9,Results_30d_Deltas!$A$2:$H$5000,7,FALSE)-E8,"")</f>
        <v/>
      </c>
      <c r="I9">
        <f>IFERROR(VLOOKUP($A9,Results_30d_Deltas!$A$2:$H$5000,6,FALSE),"")</f>
        <v/>
      </c>
      <c r="L9" t="inlineStr">
        <is>
          <t>NO</t>
        </is>
      </c>
      <c r="IK9" t="inlineStr">
        <is>
          <t>ez_manage.py:2932 top()</t>
        </is>
      </c>
      <c r="IL9" t="inlineStr">
        <is>
          <t>v12_quick_engine.py:181 x11</t>
        </is>
      </c>
    </row>
    <row r="10" ht="10.5" customHeight="1" s="67">
      <c r="A10" t="inlineStr">
        <is>
          <t>ALL_TF_AGAINST_CLOSE_MIN_TFS</t>
        </is>
      </c>
      <c r="B10" t="inlineStr">
        <is>
          <t>2.0</t>
        </is>
      </c>
      <c r="G10">
        <f>IFERROR(VLOOKUP($A10&amp;"_"&amp;$B10,Results_Deltas!$A$2:$P$15000,5,FALSE),"")</f>
        <v/>
      </c>
      <c r="H10">
        <f>IFERROR(VLOOKUP($A10,Results_30d_Deltas!$A$2:$H$5000,7,FALSE)-E9,"")</f>
        <v/>
      </c>
      <c r="I10">
        <f>IFERROR(VLOOKUP($A10,Results_30d_Deltas!$A$2:$H$5000,6,FALSE),"")</f>
        <v/>
      </c>
      <c r="L10" t="inlineStr">
        <is>
          <t>NO</t>
        </is>
      </c>
      <c r="IK10" t="inlineStr">
        <is>
          <t>ez_manage.py:2932 top()</t>
        </is>
      </c>
      <c r="IL10" t="inlineStr">
        <is>
          <t>v12_quick_engine.py:181 x11</t>
        </is>
      </c>
    </row>
    <row r="11" ht="10.5" customHeight="1" s="67">
      <c r="A11" t="inlineStr">
        <is>
          <t>SATOSHIT_EXIT_LONG_RSI_MIN_TRADIER</t>
        </is>
      </c>
      <c r="B11" t="inlineStr">
        <is>
          <t>27.5</t>
        </is>
      </c>
      <c r="G11">
        <f>IFERROR(VLOOKUP($A11&amp;"_"&amp;$B11,Results_Deltas!$A$2:$P$15000,5,FALSE),"")</f>
        <v/>
      </c>
      <c r="H11">
        <f>IFERROR(VLOOKUP($A11,Results_30d_Deltas!$A$2:$H$5000,7,FALSE)-E10,"")</f>
        <v/>
      </c>
      <c r="I11">
        <f>IFERROR(VLOOKUP($A11,Results_30d_Deltas!$A$2:$H$5000,6,FALSE),"")</f>
        <v/>
      </c>
      <c r="L11" t="inlineStr">
        <is>
          <t>NO</t>
        </is>
      </c>
      <c r="IK11" t="inlineStr">
        <is>
          <t>ez_manage.py:5452 top()</t>
        </is>
      </c>
      <c r="IL11" t="inlineStr">
        <is>
          <t>v12_quick_engine.py:3061 x7</t>
        </is>
      </c>
    </row>
    <row r="12" ht="10.5" customHeight="1" s="67">
      <c r="A12" t="inlineStr">
        <is>
          <t>SATOSHIT_EXIT_LONG_RSI_MIN_TRADIER</t>
        </is>
      </c>
      <c r="B12" t="inlineStr">
        <is>
          <t>41.25</t>
        </is>
      </c>
      <c r="G12">
        <f>IFERROR(VLOOKUP($A12&amp;"_"&amp;$B12,Results_Deltas!$A$2:$P$15000,5,FALSE),"")</f>
        <v/>
      </c>
      <c r="H12">
        <f>IFERROR(VLOOKUP($A12,Results_30d_Deltas!$A$2:$H$5000,7,FALSE)-E11,"")</f>
        <v/>
      </c>
      <c r="I12">
        <f>IFERROR(VLOOKUP($A12,Results_30d_Deltas!$A$2:$H$5000,6,FALSE),"")</f>
        <v/>
      </c>
      <c r="L12" t="inlineStr">
        <is>
          <t>NO</t>
        </is>
      </c>
      <c r="IK12" t="inlineStr">
        <is>
          <t>ez_manage.py:5452 top()</t>
        </is>
      </c>
      <c r="IL12" t="inlineStr">
        <is>
          <t>v12_quick_engine.py:3061 x7</t>
        </is>
      </c>
    </row>
    <row r="13" ht="10.5" customHeight="1" s="67">
      <c r="A13" t="inlineStr">
        <is>
          <t>SATOSHIT_EXIT_LONG_RSI_MIN_TRADIER</t>
        </is>
      </c>
      <c r="B13" t="inlineStr">
        <is>
          <t>55.0</t>
        </is>
      </c>
      <c r="G13">
        <f>IFERROR(VLOOKUP($A13&amp;"_"&amp;$B13,Results_Deltas!$A$2:$P$15000,5,FALSE),"")</f>
        <v/>
      </c>
      <c r="H13">
        <f>IFERROR(VLOOKUP($A13,Results_30d_Deltas!$A$2:$H$5000,7,FALSE)-E12,"")</f>
        <v/>
      </c>
      <c r="I13">
        <f>IFERROR(VLOOKUP($A13,Results_30d_Deltas!$A$2:$H$5000,6,FALSE),"")</f>
        <v/>
      </c>
      <c r="L13" t="inlineStr">
        <is>
          <t>NO</t>
        </is>
      </c>
      <c r="IK13" t="inlineStr">
        <is>
          <t>ez_manage.py:5452 top()</t>
        </is>
      </c>
      <c r="IL13" t="inlineStr">
        <is>
          <t>v12_quick_engine.py:3061 x7</t>
        </is>
      </c>
    </row>
    <row r="14" ht="10.5" customHeight="1" s="67">
      <c r="A14" t="inlineStr">
        <is>
          <t>SATOSHIT_EXIT_LONG_RSI_MIN_TRADIER</t>
        </is>
      </c>
      <c r="B14" t="inlineStr">
        <is>
          <t>68.75</t>
        </is>
      </c>
      <c r="G14">
        <f>IFERROR(VLOOKUP($A14&amp;"_"&amp;$B14,Results_Deltas!$A$2:$P$15000,5,FALSE),"")</f>
        <v/>
      </c>
      <c r="H14">
        <f>IFERROR(VLOOKUP($A14,Results_30d_Deltas!$A$2:$H$5000,7,FALSE)-E13,"")</f>
        <v/>
      </c>
      <c r="I14">
        <f>IFERROR(VLOOKUP($A14,Results_30d_Deltas!$A$2:$H$5000,6,FALSE),"")</f>
        <v/>
      </c>
      <c r="L14" t="inlineStr">
        <is>
          <t>NO</t>
        </is>
      </c>
      <c r="IK14" t="inlineStr">
        <is>
          <t>ez_manage.py:5452 top()</t>
        </is>
      </c>
      <c r="IL14" t="inlineStr">
        <is>
          <t>v12_quick_engine.py:3061 x7</t>
        </is>
      </c>
    </row>
    <row r="15" ht="10.5" customHeight="1" s="67">
      <c r="A15" t="inlineStr">
        <is>
          <t>SATOSHIT_EXIT_LONG_RSI_MIN_TRADIER</t>
        </is>
      </c>
      <c r="B15" t="inlineStr">
        <is>
          <t>82.5</t>
        </is>
      </c>
      <c r="G15">
        <f>IFERROR(VLOOKUP($A15&amp;"_"&amp;$B15,Results_Deltas!$A$2:$P$15000,5,FALSE),"")</f>
        <v/>
      </c>
      <c r="H15">
        <f>IFERROR(VLOOKUP($A15,Results_30d_Deltas!$A$2:$H$5000,7,FALSE)-E14,"")</f>
        <v/>
      </c>
      <c r="I15">
        <f>IFERROR(VLOOKUP($A15,Results_30d_Deltas!$A$2:$H$5000,6,FALSE),"")</f>
        <v/>
      </c>
      <c r="L15" t="inlineStr">
        <is>
          <t>NO</t>
        </is>
      </c>
      <c r="IK15" t="inlineStr">
        <is>
          <t>ez_manage.py:5452 top()</t>
        </is>
      </c>
      <c r="IL15" t="inlineStr">
        <is>
          <t>v12_quick_engine.py:3061 x7</t>
        </is>
      </c>
    </row>
    <row r="16" ht="10.5" customHeight="1" s="67">
      <c r="A16" t="inlineStr">
        <is>
          <t>DC_HOPELESS_EXIT_ENABLED</t>
        </is>
      </c>
      <c r="B16" t="inlineStr">
        <is>
          <t>False</t>
        </is>
      </c>
      <c r="G16">
        <f>IFERROR(VLOOKUP($A16&amp;"_"&amp;$B16,Results_Deltas!$A$2:$P$15000,5,FALSE),"")</f>
        <v/>
      </c>
      <c r="H16">
        <f>IFERROR(VLOOKUP($A16,Results_30d_Deltas!$A$2:$H$5000,7,FALSE)-E15,"")</f>
        <v/>
      </c>
      <c r="I16">
        <f>IFERROR(VLOOKUP($A16,Results_30d_Deltas!$A$2:$H$5000,6,FALSE),"")</f>
        <v/>
      </c>
      <c r="L16" t="inlineStr">
        <is>
          <t>NO</t>
        </is>
      </c>
      <c r="IK16" t="inlineStr">
        <is>
          <t>ez_manage.py:4572 top()</t>
        </is>
      </c>
      <c r="IL16" t="inlineStr">
        <is>
          <t>v12_quick_engine.py:541 x9</t>
        </is>
      </c>
    </row>
    <row r="17" ht="10.5" customHeight="1" s="67">
      <c r="A17" t="inlineStr">
        <is>
          <t>DC_HOPELESS_EXIT_ENABLED</t>
        </is>
      </c>
      <c r="B17" t="inlineStr">
        <is>
          <t>True</t>
        </is>
      </c>
      <c r="G17">
        <f>IFERROR(VLOOKUP($A17&amp;"_"&amp;$B17,Results_Deltas!$A$2:$P$15000,5,FALSE),"")</f>
        <v/>
      </c>
      <c r="H17">
        <f>IFERROR(VLOOKUP($A17,Results_30d_Deltas!$A$2:$H$5000,7,FALSE)-E16,"")</f>
        <v/>
      </c>
      <c r="I17">
        <f>IFERROR(VLOOKUP($A17,Results_30d_Deltas!$A$2:$H$5000,6,FALSE),"")</f>
        <v/>
      </c>
      <c r="L17" t="inlineStr">
        <is>
          <t>YES</t>
        </is>
      </c>
      <c r="IK17" t="inlineStr">
        <is>
          <t>ez_manage.py:4572 top()</t>
        </is>
      </c>
      <c r="IL17" t="inlineStr">
        <is>
          <t>v12_quick_engine.py:541 x9</t>
        </is>
      </c>
    </row>
    <row r="18" ht="10.5" customHeight="1" s="67">
      <c r="A18" t="inlineStr">
        <is>
          <t>WT_PERCENTILE_EXIT_ENABLED</t>
        </is>
      </c>
      <c r="B18" t="inlineStr">
        <is>
          <t>False</t>
        </is>
      </c>
      <c r="G18">
        <f>IFERROR(VLOOKUP($A18&amp;"_"&amp;$B18,Results_Deltas!$A$2:$P$15000,5,FALSE),"")</f>
        <v/>
      </c>
      <c r="H18">
        <f>IFERROR(VLOOKUP($A18,Results_30d_Deltas!$A$2:$H$5000,7,FALSE)-E17,"")</f>
        <v/>
      </c>
      <c r="I18">
        <f>IFERROR(VLOOKUP($A18,Results_30d_Deltas!$A$2:$H$5000,6,FALSE),"")</f>
        <v/>
      </c>
      <c r="L18" t="inlineStr">
        <is>
          <t>NO</t>
        </is>
      </c>
      <c r="IK18" t="inlineStr">
        <is>
          <t>ez_manage.py:5927 top()</t>
        </is>
      </c>
      <c r="IL18" t="inlineStr">
        <is>
          <t>v12_quick_engine.py:3767 x3</t>
        </is>
      </c>
    </row>
    <row r="19" ht="10.5" customHeight="1" s="67">
      <c r="A19" t="inlineStr">
        <is>
          <t>WT_PERCENTILE_EXIT_ENABLED</t>
        </is>
      </c>
      <c r="B19" t="inlineStr">
        <is>
          <t>True</t>
        </is>
      </c>
      <c r="G19">
        <f>IFERROR(VLOOKUP($A19&amp;"_"&amp;$B19,Results_Deltas!$A$2:$P$15000,5,FALSE),"")</f>
        <v/>
      </c>
      <c r="H19">
        <f>IFERROR(VLOOKUP($A19,Results_30d_Deltas!$A$2:$H$5000,7,FALSE)-E18,"")</f>
        <v/>
      </c>
      <c r="I19">
        <f>IFERROR(VLOOKUP($A19,Results_30d_Deltas!$A$2:$H$5000,6,FALSE),"")</f>
        <v/>
      </c>
      <c r="L19" t="inlineStr">
        <is>
          <t>YES</t>
        </is>
      </c>
      <c r="IK19" t="inlineStr">
        <is>
          <t>ez_manage.py:5927 top()</t>
        </is>
      </c>
      <c r="IL19" t="inlineStr">
        <is>
          <t>v12_quick_engine.py:3767 x3</t>
        </is>
      </c>
    </row>
    <row r="20" ht="10.5" customHeight="1" s="67">
      <c r="A20" t="inlineStr">
        <is>
          <t>ALL_TF_AGAINST_CLOSE_COOLDOWN_SEC</t>
        </is>
      </c>
      <c r="B20" t="inlineStr">
        <is>
          <t>0</t>
        </is>
      </c>
      <c r="G20">
        <f>IFERROR(VLOOKUP($A20&amp;"_"&amp;$B20,Results_Deltas!$A$2:$P$15000,5,FALSE),"")</f>
        <v/>
      </c>
      <c r="H20">
        <f>IFERROR(VLOOKUP($A20,Results_30d_Deltas!$A$2:$H$5000,7,FALSE)-E19,"")</f>
        <v/>
      </c>
      <c r="I20">
        <f>IFERROR(VLOOKUP($A20,Results_30d_Deltas!$A$2:$H$5000,6,FALSE),"")</f>
        <v/>
      </c>
      <c r="L20" t="inlineStr">
        <is>
          <t>NO</t>
        </is>
      </c>
      <c r="IK20" t="inlineStr">
        <is>
          <t>ez_manage.py:4324 top()</t>
        </is>
      </c>
      <c r="IL20" t="inlineStr">
        <is>
          <t>v12_quick_engine.py:168 x9</t>
        </is>
      </c>
    </row>
    <row r="21" ht="10.5" customHeight="1" s="67">
      <c r="A21" t="inlineStr">
        <is>
          <t>ALL_TF_AGAINST_CLOSE_COOLDOWN_SEC</t>
        </is>
      </c>
      <c r="B21" t="inlineStr">
        <is>
          <t>0.5</t>
        </is>
      </c>
      <c r="G21">
        <f>IFERROR(VLOOKUP($A21&amp;"_"&amp;$B21,Results_Deltas!$A$2:$P$15000,5,FALSE),"")</f>
        <v/>
      </c>
      <c r="H21">
        <f>IFERROR(VLOOKUP($A21,Results_30d_Deltas!$A$2:$H$5000,7,FALSE)-E20,"")</f>
        <v/>
      </c>
      <c r="I21">
        <f>IFERROR(VLOOKUP($A21,Results_30d_Deltas!$A$2:$H$5000,6,FALSE),"")</f>
        <v/>
      </c>
      <c r="L21" t="inlineStr">
        <is>
          <t>NO</t>
        </is>
      </c>
      <c r="IK21" t="inlineStr">
        <is>
          <t>ez_manage.py:4324 top()</t>
        </is>
      </c>
      <c r="IL21" t="inlineStr">
        <is>
          <t>v12_quick_engine.py:168 x9</t>
        </is>
      </c>
    </row>
    <row r="22" ht="10.5" customHeight="1" s="67">
      <c r="A22" t="inlineStr">
        <is>
          <t>ALL_TF_AGAINST_CLOSE_COOLDOWN_SEC</t>
        </is>
      </c>
      <c r="B22" t="inlineStr">
        <is>
          <t>1.0</t>
        </is>
      </c>
      <c r="G22">
        <f>IFERROR(VLOOKUP($A22&amp;"_"&amp;$B22,Results_Deltas!$A$2:$P$15000,5,FALSE),"")</f>
        <v/>
      </c>
      <c r="H22">
        <f>IFERROR(VLOOKUP($A22,Results_30d_Deltas!$A$2:$H$5000,7,FALSE)-E21,"")</f>
        <v/>
      </c>
      <c r="I22">
        <f>IFERROR(VLOOKUP($A22,Results_30d_Deltas!$A$2:$H$5000,6,FALSE),"")</f>
        <v/>
      </c>
      <c r="L22" t="inlineStr">
        <is>
          <t>NO</t>
        </is>
      </c>
      <c r="IK22" t="inlineStr">
        <is>
          <t>ez_manage.py:4324 top()</t>
        </is>
      </c>
      <c r="IL22" t="inlineStr">
        <is>
          <t>v12_quick_engine.py:168 x9</t>
        </is>
      </c>
    </row>
    <row r="23" ht="10.5" customHeight="1" s="67">
      <c r="A23" t="inlineStr">
        <is>
          <t>ALL_TF_AGAINST_CLOSE_COOLDOWN_SEC</t>
        </is>
      </c>
      <c r="B23" t="inlineStr">
        <is>
          <t>2.0</t>
        </is>
      </c>
      <c r="G23">
        <f>IFERROR(VLOOKUP($A23&amp;"_"&amp;$B23,Results_Deltas!$A$2:$P$15000,5,FALSE),"")</f>
        <v/>
      </c>
      <c r="H23">
        <f>IFERROR(VLOOKUP($A23,Results_30d_Deltas!$A$2:$H$5000,7,FALSE)-E22,"")</f>
        <v/>
      </c>
      <c r="I23">
        <f>IFERROR(VLOOKUP($A23,Results_30d_Deltas!$A$2:$H$5000,6,FALSE),"")</f>
        <v/>
      </c>
      <c r="L23" t="inlineStr">
        <is>
          <t>NO</t>
        </is>
      </c>
      <c r="IK23" t="inlineStr">
        <is>
          <t>ez_manage.py:4324 top()</t>
        </is>
      </c>
      <c r="IL23" t="inlineStr">
        <is>
          <t>v12_quick_engine.py:168 x9</t>
        </is>
      </c>
    </row>
    <row r="24" ht="10.5" customHeight="1" s="67">
      <c r="A24" t="inlineStr">
        <is>
          <t>ATR_TRAIL_SWEEP_ENABLED</t>
        </is>
      </c>
      <c r="B24" t="inlineStr">
        <is>
          <t>False</t>
        </is>
      </c>
      <c r="G24">
        <f>IFERROR(VLOOKUP($A24&amp;"_"&amp;$B24,Results_Deltas!$A$2:$P$15000,5,FALSE),"")</f>
        <v/>
      </c>
      <c r="H24">
        <f>IFERROR(VLOOKUP($A24,Results_30d_Deltas!$A$2:$H$5000,7,FALSE)-E23,"")</f>
        <v/>
      </c>
      <c r="I24">
        <f>IFERROR(VLOOKUP($A24,Results_30d_Deltas!$A$2:$H$5000,6,FALSE),"")</f>
        <v/>
      </c>
      <c r="L24" t="inlineStr">
        <is>
          <t>YES</t>
        </is>
      </c>
      <c r="IK24" t="inlineStr">
        <is>
          <t>ez_manage.py:5955 top()</t>
        </is>
      </c>
      <c r="IL24" t="inlineStr">
        <is>
          <t>v12_quick_engine.py:215 x7</t>
        </is>
      </c>
    </row>
    <row r="25" ht="10.5" customHeight="1" s="67">
      <c r="A25" t="inlineStr">
        <is>
          <t>ATR_TRAIL_SWEEP_ENABLED</t>
        </is>
      </c>
      <c r="B25" t="inlineStr">
        <is>
          <t>True</t>
        </is>
      </c>
      <c r="G25">
        <f>IFERROR(VLOOKUP($A25&amp;"_"&amp;$B25,Results_Deltas!$A$2:$P$15000,5,FALSE),"")</f>
        <v/>
      </c>
      <c r="H25">
        <f>IFERROR(VLOOKUP($A25,Results_30d_Deltas!$A$2:$H$5000,7,FALSE)-E24,"")</f>
        <v/>
      </c>
      <c r="I25">
        <f>IFERROR(VLOOKUP($A25,Results_30d_Deltas!$A$2:$H$5000,6,FALSE),"")</f>
        <v/>
      </c>
      <c r="L25" t="inlineStr">
        <is>
          <t>NO</t>
        </is>
      </c>
      <c r="IK25" t="inlineStr">
        <is>
          <t>ez_manage.py:5955 top()</t>
        </is>
      </c>
      <c r="IL25" t="inlineStr">
        <is>
          <t>v12_quick_engine.py:215 x7</t>
        </is>
      </c>
    </row>
    <row r="26" ht="10.5" customHeight="1" s="67">
      <c r="A26" t="inlineStr">
        <is>
          <t>BAND_ARROW_SLOPE_DEADBAND</t>
        </is>
      </c>
      <c r="B26" t="inlineStr">
        <is>
          <t>0</t>
        </is>
      </c>
      <c r="G26">
        <f>IFERROR(VLOOKUP($A26&amp;"_"&amp;$B26,Results_Deltas!$A$2:$P$15000,5,FALSE),"")</f>
        <v/>
      </c>
      <c r="H26">
        <f>IFERROR(VLOOKUP($A26,Results_30d_Deltas!$A$2:$H$5000,7,FALSE)-E25,"")</f>
        <v/>
      </c>
      <c r="I26">
        <f>IFERROR(VLOOKUP($A26,Results_30d_Deltas!$A$2:$H$5000,6,FALSE),"")</f>
        <v/>
      </c>
      <c r="L26" t="inlineStr">
        <is>
          <t>YES</t>
        </is>
      </c>
      <c r="IK26" t="inlineStr">
        <is>
          <t>ez_manage.py:2954 top()</t>
        </is>
      </c>
      <c r="IL26" t="inlineStr">
        <is>
          <t>v12_quick_engine.py:263 x12</t>
        </is>
      </c>
    </row>
    <row r="27" ht="10.5" customHeight="1" s="67">
      <c r="A27" t="inlineStr">
        <is>
          <t>BAND_ARROW_SLOPE_DEADBAND</t>
        </is>
      </c>
      <c r="B27" t="inlineStr">
        <is>
          <t>0.5</t>
        </is>
      </c>
      <c r="G27">
        <f>IFERROR(VLOOKUP($A27&amp;"_"&amp;$B27,Results_Deltas!$A$2:$P$15000,5,FALSE),"")</f>
        <v/>
      </c>
      <c r="H27">
        <f>IFERROR(VLOOKUP($A27,Results_30d_Deltas!$A$2:$H$5000,7,FALSE)-E26,"")</f>
        <v/>
      </c>
      <c r="I27">
        <f>IFERROR(VLOOKUP($A27,Results_30d_Deltas!$A$2:$H$5000,6,FALSE),"")</f>
        <v/>
      </c>
      <c r="L27" t="inlineStr">
        <is>
          <t>NO</t>
        </is>
      </c>
      <c r="IK27" t="inlineStr">
        <is>
          <t>ez_manage.py:2954 top()</t>
        </is>
      </c>
      <c r="IL27" t="inlineStr">
        <is>
          <t>v12_quick_engine.py:263 x12</t>
        </is>
      </c>
    </row>
    <row r="28" ht="10.5" customHeight="1" s="67">
      <c r="A28" t="inlineStr">
        <is>
          <t>BAND_ARROW_SLOPE_DEADBAND</t>
        </is>
      </c>
      <c r="B28" t="inlineStr">
        <is>
          <t>1.0</t>
        </is>
      </c>
      <c r="G28">
        <f>IFERROR(VLOOKUP($A28&amp;"_"&amp;$B28,Results_Deltas!$A$2:$P$15000,5,FALSE),"")</f>
        <v/>
      </c>
      <c r="H28">
        <f>IFERROR(VLOOKUP($A28,Results_30d_Deltas!$A$2:$H$5000,7,FALSE)-E27,"")</f>
        <v/>
      </c>
      <c r="I28">
        <f>IFERROR(VLOOKUP($A28,Results_30d_Deltas!$A$2:$H$5000,6,FALSE),"")</f>
        <v/>
      </c>
      <c r="L28" t="inlineStr">
        <is>
          <t>NO</t>
        </is>
      </c>
      <c r="IK28" t="inlineStr">
        <is>
          <t>ez_manage.py:2954 top()</t>
        </is>
      </c>
      <c r="IL28" t="inlineStr">
        <is>
          <t>v12_quick_engine.py:263 x12</t>
        </is>
      </c>
    </row>
    <row r="29" ht="10.5" customHeight="1" s="67">
      <c r="A29" t="inlineStr">
        <is>
          <t>BAND_ARROW_SLOPE_DEADBAND</t>
        </is>
      </c>
      <c r="B29" t="inlineStr">
        <is>
          <t>2.0</t>
        </is>
      </c>
      <c r="G29">
        <f>IFERROR(VLOOKUP($A29&amp;"_"&amp;$B29,Results_Deltas!$A$2:$P$15000,5,FALSE),"")</f>
        <v/>
      </c>
      <c r="H29">
        <f>IFERROR(VLOOKUP($A29,Results_30d_Deltas!$A$2:$H$5000,7,FALSE)-E28,"")</f>
        <v/>
      </c>
      <c r="I29">
        <f>IFERROR(VLOOKUP($A29,Results_30d_Deltas!$A$2:$H$5000,6,FALSE),"")</f>
        <v/>
      </c>
      <c r="L29" t="inlineStr">
        <is>
          <t>NO</t>
        </is>
      </c>
      <c r="IK29" t="inlineStr">
        <is>
          <t>ez_manage.py:2954 top()</t>
        </is>
      </c>
      <c r="IL29" t="inlineStr">
        <is>
          <t>v12_quick_engine.py:263 x12</t>
        </is>
      </c>
    </row>
    <row r="30" ht="10.5" customHeight="1" s="67">
      <c r="A30" t="inlineStr">
        <is>
          <t>BREAKEVEN_DC_FIELD_MODE</t>
        </is>
      </c>
      <c r="B30" t="inlineStr">
        <is>
          <t>DC4</t>
        </is>
      </c>
      <c r="G30">
        <f>IFERROR(VLOOKUP($A30&amp;"_"&amp;$B30,Results_Deltas!$A$2:$P$15000,5,FALSE),"")</f>
        <v/>
      </c>
      <c r="H30">
        <f>IFERROR(VLOOKUP($A30,Results_30d_Deltas!$A$2:$H$5000,7,FALSE)-E29,"")</f>
        <v/>
      </c>
      <c r="I30">
        <f>IFERROR(VLOOKUP($A30,Results_30d_Deltas!$A$2:$H$5000,6,FALSE),"")</f>
        <v/>
      </c>
      <c r="L30" t="inlineStr">
        <is>
          <t>YES</t>
        </is>
      </c>
      <c r="IK30" t="inlineStr">
        <is>
          <t>ez_manage.py:4394 top()</t>
        </is>
      </c>
      <c r="IL30" t="inlineStr">
        <is>
          <t>v12_quick_engine.py:333 x13</t>
        </is>
      </c>
    </row>
    <row r="31" ht="10.5" customHeight="1" s="67">
      <c r="A31" t="inlineStr">
        <is>
          <t>DC_HOPELESS_EXIT_MIN_AGE_S</t>
        </is>
      </c>
      <c r="B31" t="inlineStr">
        <is>
          <t>0</t>
        </is>
      </c>
      <c r="G31">
        <f>IFERROR(VLOOKUP($A31&amp;"_"&amp;$B31,Results_Deltas!$A$2:$P$15000,5,FALSE),"")</f>
        <v/>
      </c>
      <c r="H31">
        <f>IFERROR(VLOOKUP($A31,Results_30d_Deltas!$A$2:$H$5000,7,FALSE)-E30,"")</f>
        <v/>
      </c>
      <c r="I31">
        <f>IFERROR(VLOOKUP($A31,Results_30d_Deltas!$A$2:$H$5000,6,FALSE),"")</f>
        <v/>
      </c>
      <c r="L31" t="inlineStr">
        <is>
          <t>NO</t>
        </is>
      </c>
      <c r="IK31" t="inlineStr">
        <is>
          <t>ez_manage.py:4573 top()</t>
        </is>
      </c>
      <c r="IL31" t="inlineStr">
        <is>
          <t>v12_quick_engine.py:547 x9</t>
        </is>
      </c>
    </row>
    <row r="32" ht="10.5" customHeight="1" s="67">
      <c r="A32" t="inlineStr">
        <is>
          <t>DC_HOPELESS_EXIT_MIN_AGE_S</t>
        </is>
      </c>
      <c r="B32" t="inlineStr">
        <is>
          <t>0.5</t>
        </is>
      </c>
      <c r="G32">
        <f>IFERROR(VLOOKUP($A32&amp;"_"&amp;$B32,Results_Deltas!$A$2:$P$15000,5,FALSE),"")</f>
        <v/>
      </c>
      <c r="H32">
        <f>IFERROR(VLOOKUP($A32,Results_30d_Deltas!$A$2:$H$5000,7,FALSE)-E31,"")</f>
        <v/>
      </c>
      <c r="I32">
        <f>IFERROR(VLOOKUP($A32,Results_30d_Deltas!$A$2:$H$5000,6,FALSE),"")</f>
        <v/>
      </c>
      <c r="L32" t="inlineStr">
        <is>
          <t>NO</t>
        </is>
      </c>
      <c r="IK32" t="inlineStr">
        <is>
          <t>ez_manage.py:4573 top()</t>
        </is>
      </c>
      <c r="IL32" t="inlineStr">
        <is>
          <t>v12_quick_engine.py:547 x9</t>
        </is>
      </c>
    </row>
    <row r="33" ht="10.5" customHeight="1" s="67">
      <c r="A33" t="inlineStr">
        <is>
          <t>DC_HOPELESS_EXIT_MIN_AGE_S</t>
        </is>
      </c>
      <c r="B33" t="inlineStr">
        <is>
          <t>1.0</t>
        </is>
      </c>
      <c r="G33">
        <f>IFERROR(VLOOKUP($A33&amp;"_"&amp;$B33,Results_Deltas!$A$2:$P$15000,5,FALSE),"")</f>
        <v/>
      </c>
      <c r="H33">
        <f>IFERROR(VLOOKUP($A33,Results_30d_Deltas!$A$2:$H$5000,7,FALSE)-E32,"")</f>
        <v/>
      </c>
      <c r="I33">
        <f>IFERROR(VLOOKUP($A33,Results_30d_Deltas!$A$2:$H$5000,6,FALSE),"")</f>
        <v/>
      </c>
      <c r="L33" t="inlineStr">
        <is>
          <t>NO</t>
        </is>
      </c>
      <c r="IK33" t="inlineStr">
        <is>
          <t>ez_manage.py:4573 top()</t>
        </is>
      </c>
      <c r="IL33" t="inlineStr">
        <is>
          <t>v12_quick_engine.py:547 x9</t>
        </is>
      </c>
    </row>
    <row r="34" ht="10.5" customHeight="1" s="67">
      <c r="A34" t="inlineStr">
        <is>
          <t>DC_HOPELESS_EXIT_MIN_AGE_S</t>
        </is>
      </c>
      <c r="B34" t="inlineStr">
        <is>
          <t>2.0</t>
        </is>
      </c>
      <c r="G34">
        <f>IFERROR(VLOOKUP($A34&amp;"_"&amp;$B34,Results_Deltas!$A$2:$P$15000,5,FALSE),"")</f>
        <v/>
      </c>
      <c r="H34">
        <f>IFERROR(VLOOKUP($A34,Results_30d_Deltas!$A$2:$H$5000,7,FALSE)-E33,"")</f>
        <v/>
      </c>
      <c r="I34">
        <f>IFERROR(VLOOKUP($A34,Results_30d_Deltas!$A$2:$H$5000,6,FALSE),"")</f>
        <v/>
      </c>
      <c r="L34" t="inlineStr">
        <is>
          <t>NO</t>
        </is>
      </c>
      <c r="IK34" t="inlineStr">
        <is>
          <t>ez_manage.py:4573 top()</t>
        </is>
      </c>
      <c r="IL34" t="inlineStr">
        <is>
          <t>v12_quick_engine.py:547 x9</t>
        </is>
      </c>
    </row>
    <row r="35" ht="10.5" customHeight="1" s="67">
      <c r="A35" t="inlineStr">
        <is>
          <t>DYN_STRUCT_TRAIL_ENABLED</t>
        </is>
      </c>
      <c r="B35" t="inlineStr">
        <is>
          <t>False</t>
        </is>
      </c>
      <c r="G35">
        <f>IFERROR(VLOOKUP($A35&amp;"_"&amp;$B35,Results_Deltas!$A$2:$P$15000,5,FALSE),"")</f>
        <v/>
      </c>
      <c r="H35">
        <f>IFERROR(VLOOKUP($A35,Results_30d_Deltas!$A$2:$H$5000,7,FALSE)-E34,"")</f>
        <v/>
      </c>
      <c r="I35">
        <f>IFERROR(VLOOKUP($A35,Results_30d_Deltas!$A$2:$H$5000,6,FALSE),"")</f>
        <v/>
      </c>
      <c r="L35" t="inlineStr">
        <is>
          <t>YES</t>
        </is>
      </c>
      <c r="IK35" t="inlineStr">
        <is>
          <t>ez_manage.py:5979 top()</t>
        </is>
      </c>
      <c r="IL35" t="inlineStr">
        <is>
          <t>v12_quick_engine.py:865 x8</t>
        </is>
      </c>
    </row>
    <row r="36" ht="10.5" customHeight="1" s="67">
      <c r="A36" t="inlineStr">
        <is>
          <t>DYN_STRUCT_TRAIL_ENABLED</t>
        </is>
      </c>
      <c r="B36" t="inlineStr">
        <is>
          <t>True</t>
        </is>
      </c>
      <c r="G36">
        <f>IFERROR(VLOOKUP($A36&amp;"_"&amp;$B36,Results_Deltas!$A$2:$P$15000,5,FALSE),"")</f>
        <v/>
      </c>
      <c r="H36">
        <f>IFERROR(VLOOKUP($A36,Results_30d_Deltas!$A$2:$H$5000,7,FALSE)-E35,"")</f>
        <v/>
      </c>
      <c r="I36">
        <f>IFERROR(VLOOKUP($A36,Results_30d_Deltas!$A$2:$H$5000,6,FALSE),"")</f>
        <v/>
      </c>
      <c r="L36" t="inlineStr">
        <is>
          <t>NO</t>
        </is>
      </c>
      <c r="IK36" t="inlineStr">
        <is>
          <t>ez_manage.py:5979 top()</t>
        </is>
      </c>
      <c r="IL36" t="inlineStr">
        <is>
          <t>v12_quick_engine.py:865 x8</t>
        </is>
      </c>
    </row>
    <row r="37" ht="10.5" customHeight="1" s="67">
      <c r="A37" t="inlineStr">
        <is>
          <t>HLR_TOP_EXIT_ENABLED</t>
        </is>
      </c>
      <c r="B37" t="inlineStr">
        <is>
          <t>False</t>
        </is>
      </c>
      <c r="G37">
        <f>IFERROR(VLOOKUP($A37&amp;"_"&amp;$B37,Results_Deltas!$A$2:$P$15000,5,FALSE),"")</f>
        <v/>
      </c>
      <c r="H37">
        <f>IFERROR(VLOOKUP($A37,Results_30d_Deltas!$A$2:$H$5000,7,FALSE)-E36,"")</f>
        <v/>
      </c>
      <c r="I37">
        <f>IFERROR(VLOOKUP($A37,Results_30d_Deltas!$A$2:$H$5000,6,FALSE),"")</f>
        <v/>
      </c>
      <c r="L37" t="inlineStr">
        <is>
          <t>NO</t>
        </is>
      </c>
      <c r="IK37" t="inlineStr">
        <is>
          <t>ez_manage.py:4858 top()</t>
        </is>
      </c>
      <c r="IL37" t="inlineStr">
        <is>
          <t>v12_quick_engine.py:2031 x5</t>
        </is>
      </c>
    </row>
    <row r="38" ht="10.5" customHeight="1" s="67">
      <c r="A38" t="inlineStr">
        <is>
          <t>HLR_TOP_EXIT_ENABLED</t>
        </is>
      </c>
      <c r="B38" t="inlineStr">
        <is>
          <t>True</t>
        </is>
      </c>
      <c r="G38">
        <f>IFERROR(VLOOKUP($A38&amp;"_"&amp;$B38,Results_Deltas!$A$2:$P$15000,5,FALSE),"")</f>
        <v/>
      </c>
      <c r="H38">
        <f>IFERROR(VLOOKUP($A38,Results_30d_Deltas!$A$2:$H$5000,7,FALSE)-E37,"")</f>
        <v/>
      </c>
      <c r="I38">
        <f>IFERROR(VLOOKUP($A38,Results_30d_Deltas!$A$2:$H$5000,6,FALSE),"")</f>
        <v/>
      </c>
      <c r="L38" t="inlineStr">
        <is>
          <t>YES</t>
        </is>
      </c>
      <c r="IK38" t="inlineStr">
        <is>
          <t>ez_manage.py:4858 top()</t>
        </is>
      </c>
      <c r="IL38" t="inlineStr">
        <is>
          <t>v12_quick_engine.py:2031 x5</t>
        </is>
      </c>
    </row>
    <row r="39" ht="10.5" customHeight="1" s="67">
      <c r="A39" t="inlineStr">
        <is>
          <t>HTF_AGAINST_FORCE_CLOSE_CONFIRM_4H</t>
        </is>
      </c>
      <c r="B39" t="inlineStr">
        <is>
          <t>0</t>
        </is>
      </c>
      <c r="G39">
        <f>IFERROR(VLOOKUP($A39&amp;"_"&amp;$B39,Results_Deltas!$A$2:$P$15000,5,FALSE),"")</f>
        <v/>
      </c>
      <c r="H39">
        <f>IFERROR(VLOOKUP($A39,Results_30d_Deltas!$A$2:$H$5000,7,FALSE)-E38,"")</f>
        <v/>
      </c>
      <c r="I39">
        <f>IFERROR(VLOOKUP($A39,Results_30d_Deltas!$A$2:$H$5000,6,FALSE),"")</f>
        <v/>
      </c>
      <c r="L39" t="inlineStr">
        <is>
          <t>NO</t>
        </is>
      </c>
      <c r="IK39" t="inlineStr">
        <is>
          <t>ez_manage.py:4868 top()</t>
        </is>
      </c>
      <c r="IL39" t="inlineStr">
        <is>
          <t>v12_quick_engine.py:2039 x7</t>
        </is>
      </c>
    </row>
    <row r="40" ht="10.5" customHeight="1" s="67">
      <c r="A40" t="inlineStr">
        <is>
          <t>HTF_AGAINST_FORCE_CLOSE_CONFIRM_4H</t>
        </is>
      </c>
      <c r="B40" t="inlineStr">
        <is>
          <t>0.5</t>
        </is>
      </c>
      <c r="G40">
        <f>IFERROR(VLOOKUP($A40&amp;"_"&amp;$B40,Results_Deltas!$A$2:$P$15000,5,FALSE),"")</f>
        <v/>
      </c>
      <c r="H40">
        <f>IFERROR(VLOOKUP($A40,Results_30d_Deltas!$A$2:$H$5000,7,FALSE)-E39,"")</f>
        <v/>
      </c>
      <c r="I40">
        <f>IFERROR(VLOOKUP($A40,Results_30d_Deltas!$A$2:$H$5000,6,FALSE),"")</f>
        <v/>
      </c>
      <c r="L40" t="inlineStr">
        <is>
          <t>NO</t>
        </is>
      </c>
      <c r="IK40" t="inlineStr">
        <is>
          <t>ez_manage.py:4868 top()</t>
        </is>
      </c>
      <c r="IL40" t="inlineStr">
        <is>
          <t>v12_quick_engine.py:2039 x7</t>
        </is>
      </c>
    </row>
    <row r="41" ht="10.5" customHeight="1" s="67">
      <c r="A41" t="inlineStr">
        <is>
          <t>HTF_AGAINST_FORCE_CLOSE_CONFIRM_4H</t>
        </is>
      </c>
      <c r="B41" t="inlineStr">
        <is>
          <t>1.0</t>
        </is>
      </c>
      <c r="G41">
        <f>IFERROR(VLOOKUP($A41&amp;"_"&amp;$B41,Results_Deltas!$A$2:$P$15000,5,FALSE),"")</f>
        <v/>
      </c>
      <c r="H41">
        <f>IFERROR(VLOOKUP($A41,Results_30d_Deltas!$A$2:$H$5000,7,FALSE)-E40,"")</f>
        <v/>
      </c>
      <c r="I41">
        <f>IFERROR(VLOOKUP($A41,Results_30d_Deltas!$A$2:$H$5000,6,FALSE),"")</f>
        <v/>
      </c>
      <c r="L41" t="inlineStr">
        <is>
          <t>NO</t>
        </is>
      </c>
      <c r="IK41" t="inlineStr">
        <is>
          <t>ez_manage.py:4868 top()</t>
        </is>
      </c>
      <c r="IL41" t="inlineStr">
        <is>
          <t>v12_quick_engine.py:2039 x7</t>
        </is>
      </c>
    </row>
    <row r="42" ht="10.5" customHeight="1" s="67">
      <c r="A42" t="inlineStr">
        <is>
          <t>HTF_AGAINST_FORCE_CLOSE_CONFIRM_4H</t>
        </is>
      </c>
      <c r="B42" t="inlineStr">
        <is>
          <t>2.0</t>
        </is>
      </c>
      <c r="G42">
        <f>IFERROR(VLOOKUP($A42&amp;"_"&amp;$B42,Results_Deltas!$A$2:$P$15000,5,FALSE),"")</f>
        <v/>
      </c>
      <c r="H42">
        <f>IFERROR(VLOOKUP($A42,Results_30d_Deltas!$A$2:$H$5000,7,FALSE)-E41,"")</f>
        <v/>
      </c>
      <c r="I42">
        <f>IFERROR(VLOOKUP($A42,Results_30d_Deltas!$A$2:$H$5000,6,FALSE),"")</f>
        <v/>
      </c>
      <c r="L42" t="inlineStr">
        <is>
          <t>NO</t>
        </is>
      </c>
      <c r="IK42" t="inlineStr">
        <is>
          <t>ez_manage.py:4868 top()</t>
        </is>
      </c>
      <c r="IL42" t="inlineStr">
        <is>
          <t>v12_quick_engine.py:2039 x7</t>
        </is>
      </c>
    </row>
    <row r="43" ht="10.5" customHeight="1" s="67">
      <c r="A43" t="inlineStr">
        <is>
          <t>HTF_AGAINST_FORCE_CLOSE_ENABLED</t>
        </is>
      </c>
      <c r="B43" t="inlineStr">
        <is>
          <t>False</t>
        </is>
      </c>
      <c r="G43">
        <f>IFERROR(VLOOKUP($A43&amp;"_"&amp;$B43,Results_Deltas!$A$2:$P$15000,5,FALSE),"")</f>
        <v/>
      </c>
      <c r="H43">
        <f>IFERROR(VLOOKUP($A43,Results_30d_Deltas!$A$2:$H$5000,7,FALSE)-E42,"")</f>
        <v/>
      </c>
      <c r="I43">
        <f>IFERROR(VLOOKUP($A43,Results_30d_Deltas!$A$2:$H$5000,6,FALSE),"")</f>
        <v/>
      </c>
      <c r="L43" t="inlineStr">
        <is>
          <t>NO</t>
        </is>
      </c>
      <c r="IK43" t="inlineStr">
        <is>
          <t>ez_manage.py:4869 top()</t>
        </is>
      </c>
      <c r="IL43" t="inlineStr">
        <is>
          <t>v12_quick_engine.py:2040 x3</t>
        </is>
      </c>
    </row>
    <row r="44" ht="10.5" customHeight="1" s="67">
      <c r="A44" t="inlineStr">
        <is>
          <t>HTF_AGAINST_FORCE_CLOSE_ENABLED</t>
        </is>
      </c>
      <c r="B44" t="inlineStr">
        <is>
          <t>True</t>
        </is>
      </c>
      <c r="G44">
        <f>IFERROR(VLOOKUP($A44&amp;"_"&amp;$B44,Results_Deltas!$A$2:$P$15000,5,FALSE),"")</f>
        <v/>
      </c>
      <c r="H44">
        <f>IFERROR(VLOOKUP($A44,Results_30d_Deltas!$A$2:$H$5000,7,FALSE)-E43,"")</f>
        <v/>
      </c>
      <c r="I44">
        <f>IFERROR(VLOOKUP($A44,Results_30d_Deltas!$A$2:$H$5000,6,FALSE),"")</f>
        <v/>
      </c>
      <c r="L44" t="inlineStr">
        <is>
          <t>YES</t>
        </is>
      </c>
      <c r="IK44" t="inlineStr">
        <is>
          <t>ez_manage.py:4869 top()</t>
        </is>
      </c>
      <c r="IL44" t="inlineStr">
        <is>
          <t>v12_quick_engine.py:2040 x3</t>
        </is>
      </c>
    </row>
    <row r="45" ht="10.5" customHeight="1" s="67">
      <c r="A45" t="inlineStr">
        <is>
          <t>HTF_EXIT_VETO_ENABLED</t>
        </is>
      </c>
      <c r="B45" t="inlineStr">
        <is>
          <t>False</t>
        </is>
      </c>
      <c r="G45">
        <f>IFERROR(VLOOKUP($A45&amp;"_"&amp;$B45,Results_Deltas!$A$2:$P$15000,5,FALSE),"")</f>
        <v/>
      </c>
      <c r="H45">
        <f>IFERROR(VLOOKUP($A45,Results_30d_Deltas!$A$2:$H$5000,7,FALSE)-E44,"")</f>
        <v/>
      </c>
      <c r="I45">
        <f>IFERROR(VLOOKUP($A45,Results_30d_Deltas!$A$2:$H$5000,6,FALSE),"")</f>
        <v/>
      </c>
      <c r="L45" t="inlineStr">
        <is>
          <t>NO</t>
        </is>
      </c>
      <c r="IK45" t="inlineStr">
        <is>
          <t>ez_manage.py:4873 top()</t>
        </is>
      </c>
      <c r="IL45" t="inlineStr">
        <is>
          <t>v12_quick_engine.py:2049 x2</t>
        </is>
      </c>
    </row>
    <row r="46" ht="10.5" customHeight="1" s="67">
      <c r="A46" t="inlineStr">
        <is>
          <t>HTF_EXIT_VETO_ENABLED</t>
        </is>
      </c>
      <c r="B46" t="inlineStr">
        <is>
          <t>True</t>
        </is>
      </c>
      <c r="G46">
        <f>IFERROR(VLOOKUP($A46&amp;"_"&amp;$B46,Results_Deltas!$A$2:$P$15000,5,FALSE),"")</f>
        <v/>
      </c>
      <c r="H46">
        <f>IFERROR(VLOOKUP($A46,Results_30d_Deltas!$A$2:$H$5000,7,FALSE)-E45,"")</f>
        <v/>
      </c>
      <c r="I46">
        <f>IFERROR(VLOOKUP($A46,Results_30d_Deltas!$A$2:$H$5000,6,FALSE),"")</f>
        <v/>
      </c>
      <c r="L46" t="inlineStr">
        <is>
          <t>YES</t>
        </is>
      </c>
      <c r="IK46" t="inlineStr">
        <is>
          <t>ez_manage.py:4873 top()</t>
        </is>
      </c>
      <c r="IL46" t="inlineStr">
        <is>
          <t>v12_quick_engine.py:2049 x2</t>
        </is>
      </c>
    </row>
    <row r="47" ht="10.5" customHeight="1" s="67">
      <c r="A47" t="inlineStr">
        <is>
          <t>HTF_EXIT_VETO_MAX_LOSS_PCT</t>
        </is>
      </c>
      <c r="B47" t="inlineStr">
        <is>
          <t>0</t>
        </is>
      </c>
      <c r="G47">
        <f>IFERROR(VLOOKUP($A47&amp;"_"&amp;$B47,Results_Deltas!$A$2:$P$15000,5,FALSE),"")</f>
        <v/>
      </c>
      <c r="H47">
        <f>IFERROR(VLOOKUP($A47,Results_30d_Deltas!$A$2:$H$5000,7,FALSE)-E46,"")</f>
        <v/>
      </c>
      <c r="I47">
        <f>IFERROR(VLOOKUP($A47,Results_30d_Deltas!$A$2:$H$5000,6,FALSE),"")</f>
        <v/>
      </c>
      <c r="L47" t="inlineStr">
        <is>
          <t>NO</t>
        </is>
      </c>
      <c r="IK47" t="inlineStr">
        <is>
          <t>ez_manage.py:4874 top()</t>
        </is>
      </c>
      <c r="IL47" t="inlineStr">
        <is>
          <t>v12_quick_engine.py:2050 x5</t>
        </is>
      </c>
    </row>
    <row r="48" ht="10.5" customHeight="1" s="67">
      <c r="A48" t="inlineStr">
        <is>
          <t>HTF_EXIT_VETO_MAX_LOSS_PCT</t>
        </is>
      </c>
      <c r="B48" t="inlineStr">
        <is>
          <t>0.5</t>
        </is>
      </c>
      <c r="G48">
        <f>IFERROR(VLOOKUP($A48&amp;"_"&amp;$B48,Results_Deltas!$A$2:$P$15000,5,FALSE),"")</f>
        <v/>
      </c>
      <c r="H48">
        <f>IFERROR(VLOOKUP($A48,Results_30d_Deltas!$A$2:$H$5000,7,FALSE)-E47,"")</f>
        <v/>
      </c>
      <c r="I48">
        <f>IFERROR(VLOOKUP($A48,Results_30d_Deltas!$A$2:$H$5000,6,FALSE),"")</f>
        <v/>
      </c>
      <c r="L48" t="inlineStr">
        <is>
          <t>NO</t>
        </is>
      </c>
      <c r="IK48" t="inlineStr">
        <is>
          <t>ez_manage.py:4874 top()</t>
        </is>
      </c>
      <c r="IL48" t="inlineStr">
        <is>
          <t>v12_quick_engine.py:2050 x5</t>
        </is>
      </c>
    </row>
    <row r="49" ht="10.5" customHeight="1" s="67">
      <c r="A49" t="inlineStr">
        <is>
          <t>HTF_EXIT_VETO_MAX_LOSS_PCT</t>
        </is>
      </c>
      <c r="B49" t="inlineStr">
        <is>
          <t>1.0</t>
        </is>
      </c>
      <c r="G49">
        <f>IFERROR(VLOOKUP($A49&amp;"_"&amp;$B49,Results_Deltas!$A$2:$P$15000,5,FALSE),"")</f>
        <v/>
      </c>
      <c r="H49">
        <f>IFERROR(VLOOKUP($A49,Results_30d_Deltas!$A$2:$H$5000,7,FALSE)-E48,"")</f>
        <v/>
      </c>
      <c r="I49">
        <f>IFERROR(VLOOKUP($A49,Results_30d_Deltas!$A$2:$H$5000,6,FALSE),"")</f>
        <v/>
      </c>
      <c r="L49" t="inlineStr">
        <is>
          <t>NO</t>
        </is>
      </c>
      <c r="IK49" t="inlineStr">
        <is>
          <t>ez_manage.py:4874 top()</t>
        </is>
      </c>
      <c r="IL49" t="inlineStr">
        <is>
          <t>v12_quick_engine.py:2050 x5</t>
        </is>
      </c>
    </row>
    <row r="50" ht="10.5" customHeight="1" s="67">
      <c r="A50" t="inlineStr">
        <is>
          <t>HTF_EXIT_VETO_MAX_LOSS_PCT</t>
        </is>
      </c>
      <c r="B50" t="inlineStr">
        <is>
          <t>2.0</t>
        </is>
      </c>
      <c r="G50">
        <f>IFERROR(VLOOKUP($A50&amp;"_"&amp;$B50,Results_Deltas!$A$2:$P$15000,5,FALSE),"")</f>
        <v/>
      </c>
      <c r="H50">
        <f>IFERROR(VLOOKUP($A50,Results_30d_Deltas!$A$2:$H$5000,7,FALSE)-E49,"")</f>
        <v/>
      </c>
      <c r="I50">
        <f>IFERROR(VLOOKUP($A50,Results_30d_Deltas!$A$2:$H$5000,6,FALSE),"")</f>
        <v/>
      </c>
      <c r="L50" t="inlineStr">
        <is>
          <t>NO</t>
        </is>
      </c>
      <c r="IK50" t="inlineStr">
        <is>
          <t>ez_manage.py:4874 top()</t>
        </is>
      </c>
      <c r="IL50" t="inlineStr">
        <is>
          <t>v12_quick_engine.py:2050 x5</t>
        </is>
      </c>
    </row>
    <row r="51" ht="10.5" customHeight="1" s="67">
      <c r="A51" t="inlineStr">
        <is>
          <t>HTF_EXIT_VETO_MIN_ALIGNED</t>
        </is>
      </c>
      <c r="B51" t="inlineStr">
        <is>
          <t>0</t>
        </is>
      </c>
      <c r="G51">
        <f>IFERROR(VLOOKUP($A51&amp;"_"&amp;$B51,Results_Deltas!$A$2:$P$15000,5,FALSE),"")</f>
        <v/>
      </c>
      <c r="H51">
        <f>IFERROR(VLOOKUP($A51,Results_30d_Deltas!$A$2:$H$5000,7,FALSE)-E50,"")</f>
        <v/>
      </c>
      <c r="I51">
        <f>IFERROR(VLOOKUP($A51,Results_30d_Deltas!$A$2:$H$5000,6,FALSE),"")</f>
        <v/>
      </c>
      <c r="L51" t="inlineStr">
        <is>
          <t>YES</t>
        </is>
      </c>
      <c r="IK51" t="inlineStr">
        <is>
          <t>ez_manage.py:4875 top()</t>
        </is>
      </c>
      <c r="IL51" t="inlineStr">
        <is>
          <t>v12_quick_engine.py:2051 x3</t>
        </is>
      </c>
    </row>
    <row r="52" ht="10.5" customHeight="1" s="67">
      <c r="A52" t="inlineStr">
        <is>
          <t>HTF_EXIT_VETO_MIN_ALIGNED</t>
        </is>
      </c>
      <c r="B52" t="inlineStr">
        <is>
          <t>0.5</t>
        </is>
      </c>
      <c r="G52">
        <f>IFERROR(VLOOKUP($A52&amp;"_"&amp;$B52,Results_Deltas!$A$2:$P$15000,5,FALSE),"")</f>
        <v/>
      </c>
      <c r="H52">
        <f>IFERROR(VLOOKUP($A52,Results_30d_Deltas!$A$2:$H$5000,7,FALSE)-E51,"")</f>
        <v/>
      </c>
      <c r="I52">
        <f>IFERROR(VLOOKUP($A52,Results_30d_Deltas!$A$2:$H$5000,6,FALSE),"")</f>
        <v/>
      </c>
      <c r="L52" t="inlineStr">
        <is>
          <t>NO</t>
        </is>
      </c>
      <c r="IK52" t="inlineStr">
        <is>
          <t>ez_manage.py:4875 top()</t>
        </is>
      </c>
      <c r="IL52" t="inlineStr">
        <is>
          <t>v12_quick_engine.py:2051 x3</t>
        </is>
      </c>
    </row>
    <row r="53" ht="10.5" customHeight="1" s="67">
      <c r="A53" t="inlineStr">
        <is>
          <t>HTF_EXIT_VETO_MIN_ALIGNED</t>
        </is>
      </c>
      <c r="B53" t="inlineStr">
        <is>
          <t>1.0</t>
        </is>
      </c>
      <c r="G53">
        <f>IFERROR(VLOOKUP($A53&amp;"_"&amp;$B53,Results_Deltas!$A$2:$P$15000,5,FALSE),"")</f>
        <v/>
      </c>
      <c r="H53">
        <f>IFERROR(VLOOKUP($A53,Results_30d_Deltas!$A$2:$H$5000,7,FALSE)-E52,"")</f>
        <v/>
      </c>
      <c r="I53">
        <f>IFERROR(VLOOKUP($A53,Results_30d_Deltas!$A$2:$H$5000,6,FALSE),"")</f>
        <v/>
      </c>
      <c r="L53" t="inlineStr">
        <is>
          <t>NO</t>
        </is>
      </c>
      <c r="IK53" t="inlineStr">
        <is>
          <t>ez_manage.py:4875 top()</t>
        </is>
      </c>
      <c r="IL53" t="inlineStr">
        <is>
          <t>v12_quick_engine.py:2051 x3</t>
        </is>
      </c>
    </row>
    <row r="54" ht="10.5" customHeight="1" s="67">
      <c r="A54" t="inlineStr">
        <is>
          <t>HTF_EXIT_VETO_MIN_ALIGNED</t>
        </is>
      </c>
      <c r="B54" t="inlineStr">
        <is>
          <t>2.0</t>
        </is>
      </c>
      <c r="G54">
        <f>IFERROR(VLOOKUP($A54&amp;"_"&amp;$B54,Results_Deltas!$A$2:$P$15000,5,FALSE),"")</f>
        <v/>
      </c>
      <c r="H54">
        <f>IFERROR(VLOOKUP($A54,Results_30d_Deltas!$A$2:$H$5000,7,FALSE)-E53,"")</f>
        <v/>
      </c>
      <c r="I54">
        <f>IFERROR(VLOOKUP($A54,Results_30d_Deltas!$A$2:$H$5000,6,FALSE),"")</f>
        <v/>
      </c>
      <c r="L54" t="inlineStr">
        <is>
          <t>NO</t>
        </is>
      </c>
      <c r="IK54" t="inlineStr">
        <is>
          <t>ez_manage.py:4875 top()</t>
        </is>
      </c>
      <c r="IL54" t="inlineStr">
        <is>
          <t>v12_quick_engine.py:2051 x3</t>
        </is>
      </c>
    </row>
    <row r="55" ht="10.5" customHeight="1" s="67">
      <c r="A55" t="inlineStr">
        <is>
          <t>LOSS_EXIT_STALE_PRICE_ALLOW_NEAR_BE_ENABLED</t>
        </is>
      </c>
      <c r="B55" t="inlineStr">
        <is>
          <t>False</t>
        </is>
      </c>
      <c r="G55">
        <f>IFERROR(VLOOKUP($A55&amp;"_"&amp;$B55,Results_Deltas!$A$2:$P$15000,5,FALSE),"")</f>
        <v/>
      </c>
      <c r="H55">
        <f>IFERROR(VLOOKUP($A55,Results_30d_Deltas!$A$2:$H$5000,7,FALSE)-E54,"")</f>
        <v/>
      </c>
      <c r="I55">
        <f>IFERROR(VLOOKUP($A55,Results_30d_Deltas!$A$2:$H$5000,6,FALSE),"")</f>
        <v/>
      </c>
      <c r="L55" t="inlineStr">
        <is>
          <t>YES</t>
        </is>
      </c>
      <c r="IK55" t="inlineStr">
        <is>
          <t>ez_manage.py:3455 top()</t>
        </is>
      </c>
      <c r="IL55" t="inlineStr">
        <is>
          <t>v12_quick_engine.py:2169 x4</t>
        </is>
      </c>
    </row>
    <row r="56" ht="10.5" customHeight="1" s="67">
      <c r="A56" t="inlineStr">
        <is>
          <t>LOSS_EXIT_STALE_PRICE_ALLOW_NEAR_BE_ENABLED</t>
        </is>
      </c>
      <c r="B56" t="inlineStr">
        <is>
          <t>True</t>
        </is>
      </c>
      <c r="G56">
        <f>IFERROR(VLOOKUP($A56&amp;"_"&amp;$B56,Results_Deltas!$A$2:$P$15000,5,FALSE),"")</f>
        <v/>
      </c>
      <c r="H56">
        <f>IFERROR(VLOOKUP($A56,Results_30d_Deltas!$A$2:$H$5000,7,FALSE)-E55,"")</f>
        <v/>
      </c>
      <c r="I56">
        <f>IFERROR(VLOOKUP($A56,Results_30d_Deltas!$A$2:$H$5000,6,FALSE),"")</f>
        <v/>
      </c>
      <c r="L56" t="inlineStr">
        <is>
          <t>YES</t>
        </is>
      </c>
      <c r="IK56" t="inlineStr">
        <is>
          <t>ez_manage.py:3455 top()</t>
        </is>
      </c>
      <c r="IL56" t="inlineStr">
        <is>
          <t>v12_quick_engine.py:2169 x4</t>
        </is>
      </c>
    </row>
    <row r="57" ht="10.5" customHeight="1" s="67">
      <c r="A57" t="inlineStr">
        <is>
          <t>LOSS_EXIT_STOP_FUNCTIONS_KILL_ENABLED</t>
        </is>
      </c>
      <c r="B57" t="inlineStr">
        <is>
          <t>False</t>
        </is>
      </c>
      <c r="G57">
        <f>IFERROR(VLOOKUP($A57&amp;"_"&amp;$B57,Results_Deltas!$A$2:$P$15000,5,FALSE),"")</f>
        <v/>
      </c>
      <c r="H57">
        <f>IFERROR(VLOOKUP($A57,Results_30d_Deltas!$A$2:$H$5000,7,FALSE)-E56,"")</f>
        <v/>
      </c>
      <c r="I57">
        <f>IFERROR(VLOOKUP($A57,Results_30d_Deltas!$A$2:$H$5000,6,FALSE),"")</f>
        <v/>
      </c>
      <c r="L57" t="inlineStr">
        <is>
          <t>NO</t>
        </is>
      </c>
      <c r="IK57" t="inlineStr">
        <is>
          <t>ez_manage.py:3456 top()</t>
        </is>
      </c>
      <c r="IL57" t="inlineStr">
        <is>
          <t>v12_quick_engine.py:867 x5</t>
        </is>
      </c>
    </row>
    <row r="58" ht="10.5" customHeight="1" s="67">
      <c r="A58" t="inlineStr">
        <is>
          <t>LOSS_EXIT_STOP_FUNCTIONS_KILL_ENABLED</t>
        </is>
      </c>
      <c r="B58" t="inlineStr">
        <is>
          <t>True</t>
        </is>
      </c>
      <c r="G58">
        <f>IFERROR(VLOOKUP($A58&amp;"_"&amp;$B58,Results_Deltas!$A$2:$P$15000,5,FALSE),"")</f>
        <v/>
      </c>
      <c r="H58">
        <f>IFERROR(VLOOKUP($A58,Results_30d_Deltas!$A$2:$H$5000,7,FALSE)-E57,"")</f>
        <v/>
      </c>
      <c r="I58">
        <f>IFERROR(VLOOKUP($A58,Results_30d_Deltas!$A$2:$H$5000,6,FALSE),"")</f>
        <v/>
      </c>
      <c r="L58" t="inlineStr">
        <is>
          <t>YES</t>
        </is>
      </c>
      <c r="IK58" t="inlineStr">
        <is>
          <t>ez_manage.py:3456 top()</t>
        </is>
      </c>
      <c r="IL58" t="inlineStr">
        <is>
          <t>v12_quick_engine.py:867 x5</t>
        </is>
      </c>
    </row>
    <row r="59" ht="10.5" customHeight="1" s="67">
      <c r="A59" t="inlineStr">
        <is>
          <t>MACD_EXIT_ENABLED</t>
        </is>
      </c>
      <c r="B59" t="inlineStr">
        <is>
          <t>False</t>
        </is>
      </c>
      <c r="G59">
        <f>IFERROR(VLOOKUP($A59&amp;"_"&amp;$B59,Results_Deltas!$A$2:$P$15000,5,FALSE),"")</f>
        <v/>
      </c>
      <c r="H59">
        <f>IFERROR(VLOOKUP($A59,Results_30d_Deltas!$A$2:$H$5000,7,FALSE)-E58,"")</f>
        <v/>
      </c>
      <c r="I59">
        <f>IFERROR(VLOOKUP($A59,Results_30d_Deltas!$A$2:$H$5000,6,FALSE),"")</f>
        <v/>
      </c>
      <c r="L59" t="inlineStr">
        <is>
          <t>NO</t>
        </is>
      </c>
      <c r="IK59" t="inlineStr">
        <is>
          <t>ez_manage.py:3496 top()</t>
        </is>
      </c>
      <c r="IL59" t="inlineStr">
        <is>
          <t>v12_quick_engine.py:2231 x2</t>
        </is>
      </c>
    </row>
    <row r="60" ht="10.5" customHeight="1" s="67">
      <c r="A60" t="inlineStr">
        <is>
          <t>MACD_EXIT_ENABLED</t>
        </is>
      </c>
      <c r="B60" t="inlineStr">
        <is>
          <t>True</t>
        </is>
      </c>
      <c r="G60">
        <f>IFERROR(VLOOKUP($A60&amp;"_"&amp;$B60,Results_Deltas!$A$2:$P$15000,5,FALSE),"")</f>
        <v/>
      </c>
      <c r="H60">
        <f>IFERROR(VLOOKUP($A60,Results_30d_Deltas!$A$2:$H$5000,7,FALSE)-E59,"")</f>
        <v/>
      </c>
      <c r="I60">
        <f>IFERROR(VLOOKUP($A60,Results_30d_Deltas!$A$2:$H$5000,6,FALSE),"")</f>
        <v/>
      </c>
      <c r="L60" t="inlineStr">
        <is>
          <t>YES</t>
        </is>
      </c>
      <c r="IK60" t="inlineStr">
        <is>
          <t>ez_manage.py:3496 top()</t>
        </is>
      </c>
      <c r="IL60" t="inlineStr">
        <is>
          <t>v12_quick_engine.py:2231 x2</t>
        </is>
      </c>
    </row>
    <row r="61" ht="10.5" customHeight="1" s="67">
      <c r="A61" t="inlineStr">
        <is>
          <t>MACD_EXIT_MIN_GAIN</t>
        </is>
      </c>
      <c r="B61" t="inlineStr">
        <is>
          <t>0</t>
        </is>
      </c>
      <c r="G61">
        <f>IFERROR(VLOOKUP($A61&amp;"_"&amp;$B61,Results_Deltas!$A$2:$P$15000,5,FALSE),"")</f>
        <v/>
      </c>
      <c r="H61">
        <f>IFERROR(VLOOKUP($A61,Results_30d_Deltas!$A$2:$H$5000,7,FALSE)-E60,"")</f>
        <v/>
      </c>
      <c r="I61">
        <f>IFERROR(VLOOKUP($A61,Results_30d_Deltas!$A$2:$H$5000,6,FALSE),"")</f>
        <v/>
      </c>
      <c r="L61" t="inlineStr">
        <is>
          <t>NO</t>
        </is>
      </c>
      <c r="IK61" t="inlineStr">
        <is>
          <t>ez_manage.py:3497 top()</t>
        </is>
      </c>
      <c r="IL61" t="inlineStr">
        <is>
          <t>v12_quick_engine.py:2232 x2</t>
        </is>
      </c>
    </row>
    <row r="62" ht="10.5" customHeight="1" s="67">
      <c r="A62" t="inlineStr">
        <is>
          <t>MACD_EXIT_MIN_GAIN</t>
        </is>
      </c>
      <c r="B62" t="inlineStr">
        <is>
          <t>0.5</t>
        </is>
      </c>
      <c r="G62">
        <f>IFERROR(VLOOKUP($A62&amp;"_"&amp;$B62,Results_Deltas!$A$2:$P$15000,5,FALSE),"")</f>
        <v/>
      </c>
      <c r="H62">
        <f>IFERROR(VLOOKUP($A62,Results_30d_Deltas!$A$2:$H$5000,7,FALSE)-E61,"")</f>
        <v/>
      </c>
      <c r="I62">
        <f>IFERROR(VLOOKUP($A62,Results_30d_Deltas!$A$2:$H$5000,6,FALSE),"")</f>
        <v/>
      </c>
      <c r="L62" t="inlineStr">
        <is>
          <t>NO</t>
        </is>
      </c>
      <c r="IK62" t="inlineStr">
        <is>
          <t>ez_manage.py:3497 top()</t>
        </is>
      </c>
      <c r="IL62" t="inlineStr">
        <is>
          <t>v12_quick_engine.py:2232 x2</t>
        </is>
      </c>
    </row>
    <row r="63" ht="10.5" customHeight="1" s="67">
      <c r="A63" t="inlineStr">
        <is>
          <t>MACD_EXIT_MIN_GAIN</t>
        </is>
      </c>
      <c r="B63" t="inlineStr">
        <is>
          <t>1.0</t>
        </is>
      </c>
      <c r="G63">
        <f>IFERROR(VLOOKUP($A63&amp;"_"&amp;$B63,Results_Deltas!$A$2:$P$15000,5,FALSE),"")</f>
        <v/>
      </c>
      <c r="H63">
        <f>IFERROR(VLOOKUP($A63,Results_30d_Deltas!$A$2:$H$5000,7,FALSE)-E62,"")</f>
        <v/>
      </c>
      <c r="I63">
        <f>IFERROR(VLOOKUP($A63,Results_30d_Deltas!$A$2:$H$5000,6,FALSE),"")</f>
        <v/>
      </c>
      <c r="L63" t="inlineStr">
        <is>
          <t>NO</t>
        </is>
      </c>
      <c r="IK63" t="inlineStr">
        <is>
          <t>ez_manage.py:3497 top()</t>
        </is>
      </c>
      <c r="IL63" t="inlineStr">
        <is>
          <t>v12_quick_engine.py:2232 x2</t>
        </is>
      </c>
    </row>
    <row r="64" ht="10.5" customHeight="1" s="67">
      <c r="A64" t="inlineStr">
        <is>
          <t>MACD_EXIT_MIN_GAIN</t>
        </is>
      </c>
      <c r="B64" t="inlineStr">
        <is>
          <t>2.0</t>
        </is>
      </c>
      <c r="G64">
        <f>IFERROR(VLOOKUP($A64&amp;"_"&amp;$B64,Results_Deltas!$A$2:$P$15000,5,FALSE),"")</f>
        <v/>
      </c>
      <c r="H64">
        <f>IFERROR(VLOOKUP($A64,Results_30d_Deltas!$A$2:$H$5000,7,FALSE)-E63,"")</f>
        <v/>
      </c>
      <c r="I64">
        <f>IFERROR(VLOOKUP($A64,Results_30d_Deltas!$A$2:$H$5000,6,FALSE),"")</f>
        <v/>
      </c>
      <c r="L64" t="inlineStr">
        <is>
          <t>NO</t>
        </is>
      </c>
      <c r="IK64" t="inlineStr">
        <is>
          <t>ez_manage.py:3497 top()</t>
        </is>
      </c>
      <c r="IL64" t="inlineStr">
        <is>
          <t>v12_quick_engine.py:2232 x2</t>
        </is>
      </c>
    </row>
    <row r="65" ht="10.5" customHeight="1" s="67">
      <c r="A65" t="inlineStr">
        <is>
          <t>MACD_EXIT_TF</t>
        </is>
      </c>
      <c r="B65" t="inlineStr">
        <is>
          <t>OFF</t>
        </is>
      </c>
      <c r="G65">
        <f>IFERROR(VLOOKUP($A65&amp;"_"&amp;$B65,Results_Deltas!$A$2:$P$15000,5,FALSE),"")</f>
        <v/>
      </c>
      <c r="H65">
        <f>IFERROR(VLOOKUP($A65,Results_30d_Deltas!$A$2:$H$5000,7,FALSE)-E64,"")</f>
        <v/>
      </c>
      <c r="I65">
        <f>IFERROR(VLOOKUP($A65,Results_30d_Deltas!$A$2:$H$5000,6,FALSE),"")</f>
        <v/>
      </c>
      <c r="L65" t="inlineStr">
        <is>
          <t>NO</t>
        </is>
      </c>
      <c r="IK65" t="inlineStr">
        <is>
          <t>ez_manage.py:3498 top()</t>
        </is>
      </c>
      <c r="IL65" t="inlineStr">
        <is>
          <t>v12_quick_engine.py:2233 x2</t>
        </is>
      </c>
    </row>
    <row r="66" ht="10.5" customHeight="1" s="67">
      <c r="A66" t="inlineStr">
        <is>
          <t>MACD_EXIT_TF</t>
        </is>
      </c>
      <c r="B66" t="inlineStr">
        <is>
          <t>D</t>
        </is>
      </c>
      <c r="G66">
        <f>IFERROR(VLOOKUP($A66&amp;"_"&amp;$B66,Results_Deltas!$A$2:$P$15000,5,FALSE),"")</f>
        <v/>
      </c>
      <c r="H66">
        <f>IFERROR(VLOOKUP($A66,Results_30d_Deltas!$A$2:$H$5000,7,FALSE)-E65,"")</f>
        <v/>
      </c>
      <c r="I66">
        <f>IFERROR(VLOOKUP($A66,Results_30d_Deltas!$A$2:$H$5000,6,FALSE),"")</f>
        <v/>
      </c>
      <c r="L66" t="inlineStr">
        <is>
          <t>NO</t>
        </is>
      </c>
      <c r="IK66" t="inlineStr">
        <is>
          <t>ez_manage.py:3498 top()</t>
        </is>
      </c>
      <c r="IL66" t="inlineStr">
        <is>
          <t>v12_quick_engine.py:2233 x2</t>
        </is>
      </c>
    </row>
    <row r="67" ht="10.5" customHeight="1" s="67">
      <c r="A67" t="inlineStr">
        <is>
          <t>MACD_EXIT_TF</t>
        </is>
      </c>
      <c r="B67" t="inlineStr">
        <is>
          <t>4h</t>
        </is>
      </c>
      <c r="G67">
        <f>IFERROR(VLOOKUP($A67&amp;"_"&amp;$B67,Results_Deltas!$A$2:$P$15000,5,FALSE),"")</f>
        <v/>
      </c>
      <c r="H67">
        <f>IFERROR(VLOOKUP($A67,Results_30d_Deltas!$A$2:$H$5000,7,FALSE)-E66,"")</f>
        <v/>
      </c>
      <c r="I67">
        <f>IFERROR(VLOOKUP($A67,Results_30d_Deltas!$A$2:$H$5000,6,FALSE),"")</f>
        <v/>
      </c>
      <c r="L67" t="inlineStr">
        <is>
          <t>NO</t>
        </is>
      </c>
      <c r="IK67" t="inlineStr">
        <is>
          <t>ez_manage.py:3498 top()</t>
        </is>
      </c>
      <c r="IL67" t="inlineStr">
        <is>
          <t>v12_quick_engine.py:2233 x2</t>
        </is>
      </c>
    </row>
    <row r="68" ht="10.5" customHeight="1" s="67">
      <c r="A68" t="inlineStr">
        <is>
          <t>MACD_EXIT_TF</t>
        </is>
      </c>
      <c r="B68" t="inlineStr">
        <is>
          <t>1h</t>
        </is>
      </c>
      <c r="G68">
        <f>IFERROR(VLOOKUP($A68&amp;"_"&amp;$B68,Results_Deltas!$A$2:$P$15000,5,FALSE),"")</f>
        <v/>
      </c>
      <c r="H68">
        <f>IFERROR(VLOOKUP($A68,Results_30d_Deltas!$A$2:$H$5000,7,FALSE)-E67,"")</f>
        <v/>
      </c>
      <c r="I68">
        <f>IFERROR(VLOOKUP($A68,Results_30d_Deltas!$A$2:$H$5000,6,FALSE),"")</f>
        <v/>
      </c>
      <c r="L68" t="inlineStr">
        <is>
          <t>NO</t>
        </is>
      </c>
      <c r="IK68" t="inlineStr">
        <is>
          <t>ez_manage.py:3498 top()</t>
        </is>
      </c>
      <c r="IL68" t="inlineStr">
        <is>
          <t>v12_quick_engine.py:2233 x2</t>
        </is>
      </c>
    </row>
    <row r="69" ht="10.5" customHeight="1" s="67">
      <c r="A69" t="inlineStr">
        <is>
          <t>MACD_EXIT_TF</t>
        </is>
      </c>
      <c r="B69" t="inlineStr">
        <is>
          <t>15m</t>
        </is>
      </c>
      <c r="G69">
        <f>IFERROR(VLOOKUP($A69&amp;"_"&amp;$B69,Results_Deltas!$A$2:$P$15000,5,FALSE),"")</f>
        <v/>
      </c>
      <c r="H69">
        <f>IFERROR(VLOOKUP($A69,Results_30d_Deltas!$A$2:$H$5000,7,FALSE)-E68,"")</f>
        <v/>
      </c>
      <c r="I69">
        <f>IFERROR(VLOOKUP($A69,Results_30d_Deltas!$A$2:$H$5000,6,FALSE),"")</f>
        <v/>
      </c>
      <c r="L69" t="inlineStr">
        <is>
          <t>YES</t>
        </is>
      </c>
      <c r="IK69" t="inlineStr">
        <is>
          <t>ez_manage.py:3498 top()</t>
        </is>
      </c>
      <c r="IL69" t="inlineStr">
        <is>
          <t>v12_quick_engine.py:2233 x2</t>
        </is>
      </c>
    </row>
    <row r="70" ht="10.5" customHeight="1" s="67">
      <c r="A70" t="inlineStr">
        <is>
          <t>MI_DIV_EXIT_ENABLED</t>
        </is>
      </c>
      <c r="B70" t="inlineStr">
        <is>
          <t>False</t>
        </is>
      </c>
      <c r="G70">
        <f>IFERROR(VLOOKUP($A70&amp;"_"&amp;$B70,Results_Deltas!$A$2:$P$15000,5,FALSE),"")</f>
        <v/>
      </c>
      <c r="H70">
        <f>IFERROR(VLOOKUP($A70,Results_30d_Deltas!$A$2:$H$5000,7,FALSE)-E69,"")</f>
        <v/>
      </c>
      <c r="I70">
        <f>IFERROR(VLOOKUP($A70,Results_30d_Deltas!$A$2:$H$5000,6,FALSE),"")</f>
        <v/>
      </c>
      <c r="L70" t="inlineStr">
        <is>
          <t>NO</t>
        </is>
      </c>
      <c r="IK70" t="inlineStr">
        <is>
          <t>ez_manage.py:3560 top()</t>
        </is>
      </c>
      <c r="IL70" t="inlineStr">
        <is>
          <t>v12_quick_engine.py:2329 x8</t>
        </is>
      </c>
    </row>
    <row r="71" ht="10.5" customHeight="1" s="67">
      <c r="A71" t="inlineStr">
        <is>
          <t>MI_DIV_EXIT_ENABLED</t>
        </is>
      </c>
      <c r="B71" t="inlineStr">
        <is>
          <t>True</t>
        </is>
      </c>
      <c r="G71">
        <f>IFERROR(VLOOKUP($A71&amp;"_"&amp;$B71,Results_Deltas!$A$2:$P$15000,5,FALSE),"")</f>
        <v/>
      </c>
      <c r="H71">
        <f>IFERROR(VLOOKUP($A71,Results_30d_Deltas!$A$2:$H$5000,7,FALSE)-E70,"")</f>
        <v/>
      </c>
      <c r="I71">
        <f>IFERROR(VLOOKUP($A71,Results_30d_Deltas!$A$2:$H$5000,6,FALSE),"")</f>
        <v/>
      </c>
      <c r="L71" t="inlineStr">
        <is>
          <t>YES</t>
        </is>
      </c>
      <c r="IK71" t="inlineStr">
        <is>
          <t>ez_manage.py:3560 top()</t>
        </is>
      </c>
      <c r="IL71" t="inlineStr">
        <is>
          <t>v12_quick_engine.py:2329 x8</t>
        </is>
      </c>
    </row>
    <row r="72" ht="10.5" customHeight="1" s="67">
      <c r="A72" t="inlineStr">
        <is>
          <t>MI_ENTRY_ENABLED</t>
        </is>
      </c>
      <c r="B72" t="inlineStr">
        <is>
          <t>False</t>
        </is>
      </c>
      <c r="G72">
        <f>IFERROR(VLOOKUP($A72&amp;"_"&amp;$B72,Results_Deltas!$A$2:$P$15000,5,FALSE),"")</f>
        <v/>
      </c>
      <c r="H72">
        <f>IFERROR(VLOOKUP($A72,Results_30d_Deltas!$A$2:$H$5000,7,FALSE)-E71,"")</f>
        <v/>
      </c>
      <c r="I72">
        <f>IFERROR(VLOOKUP($A72,Results_30d_Deltas!$A$2:$H$5000,6,FALSE),"")</f>
        <v/>
      </c>
      <c r="L72" t="inlineStr">
        <is>
          <t>YES</t>
        </is>
      </c>
      <c r="IK72" t="inlineStr">
        <is>
          <t>ez_manage.py:4996 top()</t>
        </is>
      </c>
      <c r="IL72" t="inlineStr">
        <is>
          <t>v12_quick_engine.py:2331 x16</t>
        </is>
      </c>
    </row>
    <row r="73" ht="10.5" customHeight="1" s="67">
      <c r="A73" t="inlineStr">
        <is>
          <t>MI_ENTRY_ENABLED</t>
        </is>
      </c>
      <c r="B73" t="inlineStr">
        <is>
          <t>True</t>
        </is>
      </c>
      <c r="G73">
        <f>IFERROR(VLOOKUP($A73&amp;"_"&amp;$B73,Results_Deltas!$A$2:$P$15000,5,FALSE),"")</f>
        <v/>
      </c>
      <c r="H73">
        <f>IFERROR(VLOOKUP($A73,Results_30d_Deltas!$A$2:$H$5000,7,FALSE)-E72,"")</f>
        <v/>
      </c>
      <c r="I73">
        <f>IFERROR(VLOOKUP($A73,Results_30d_Deltas!$A$2:$H$5000,6,FALSE),"")</f>
        <v/>
      </c>
      <c r="L73" t="inlineStr">
        <is>
          <t>NO</t>
        </is>
      </c>
      <c r="IK73" t="inlineStr">
        <is>
          <t>ez_manage.py:4996 top()</t>
        </is>
      </c>
      <c r="IL73" t="inlineStr">
        <is>
          <t>v12_quick_engine.py:2331 x16</t>
        </is>
      </c>
    </row>
    <row r="74" ht="10.5" customHeight="1" s="67">
      <c r="A74" t="inlineStr">
        <is>
          <t>MI_ENTRY_EXHAUST_BONUS</t>
        </is>
      </c>
      <c r="B74" t="inlineStr">
        <is>
          <t>4</t>
        </is>
      </c>
      <c r="G74">
        <f>IFERROR(VLOOKUP($A74&amp;"_"&amp;$B74,Results_Deltas!$A$2:$P$15000,5,FALSE),"")</f>
        <v/>
      </c>
      <c r="H74">
        <f>IFERROR(VLOOKUP($A74,Results_30d_Deltas!$A$2:$H$5000,7,FALSE)-E73,"")</f>
        <v/>
      </c>
      <c r="I74">
        <f>IFERROR(VLOOKUP($A74,Results_30d_Deltas!$A$2:$H$5000,6,FALSE),"")</f>
        <v/>
      </c>
      <c r="L74" t="inlineStr">
        <is>
          <t>NO</t>
        </is>
      </c>
      <c r="IK74" t="inlineStr">
        <is>
          <t>ez_manage.py:3561 top()</t>
        </is>
      </c>
      <c r="IL74" t="inlineStr">
        <is>
          <t>v12_quick_engine.py:2333 x8</t>
        </is>
      </c>
    </row>
    <row r="75" ht="10.5" customHeight="1" s="67">
      <c r="A75" t="inlineStr">
        <is>
          <t>MI_ENTRY_EXHAUST_BONUS</t>
        </is>
      </c>
      <c r="B75" t="inlineStr">
        <is>
          <t>6</t>
        </is>
      </c>
      <c r="G75">
        <f>IFERROR(VLOOKUP($A75&amp;"_"&amp;$B75,Results_Deltas!$A$2:$P$15000,5,FALSE),"")</f>
        <v/>
      </c>
      <c r="H75">
        <f>IFERROR(VLOOKUP($A75,Results_30d_Deltas!$A$2:$H$5000,7,FALSE)-E74,"")</f>
        <v/>
      </c>
      <c r="I75">
        <f>IFERROR(VLOOKUP($A75,Results_30d_Deltas!$A$2:$H$5000,6,FALSE),"")</f>
        <v/>
      </c>
      <c r="L75" t="inlineStr">
        <is>
          <t>NO</t>
        </is>
      </c>
      <c r="IK75" t="inlineStr">
        <is>
          <t>ez_manage.py:3561 top()</t>
        </is>
      </c>
      <c r="IL75" t="inlineStr">
        <is>
          <t>v12_quick_engine.py:2333 x8</t>
        </is>
      </c>
    </row>
    <row r="76" ht="10.5" customHeight="1" s="67">
      <c r="A76" t="inlineStr">
        <is>
          <t>MI_ENTRY_EXHAUST_BONUS</t>
        </is>
      </c>
      <c r="B76" t="inlineStr">
        <is>
          <t>8</t>
        </is>
      </c>
      <c r="G76">
        <f>IFERROR(VLOOKUP($A76&amp;"_"&amp;$B76,Results_Deltas!$A$2:$P$15000,5,FALSE),"")</f>
        <v/>
      </c>
      <c r="H76">
        <f>IFERROR(VLOOKUP($A76,Results_30d_Deltas!$A$2:$H$5000,7,FALSE)-E75,"")</f>
        <v/>
      </c>
      <c r="I76">
        <f>IFERROR(VLOOKUP($A76,Results_30d_Deltas!$A$2:$H$5000,6,FALSE),"")</f>
        <v/>
      </c>
      <c r="L76" t="inlineStr">
        <is>
          <t>YES</t>
        </is>
      </c>
      <c r="IK76" t="inlineStr">
        <is>
          <t>ez_manage.py:3561 top()</t>
        </is>
      </c>
      <c r="IL76" t="inlineStr">
        <is>
          <t>v12_quick_engine.py:2333 x8</t>
        </is>
      </c>
    </row>
    <row r="77" ht="10.5" customHeight="1" s="67">
      <c r="A77" t="inlineStr">
        <is>
          <t>MI_ENTRY_EXHAUST_BONUS</t>
        </is>
      </c>
      <c r="B77" t="inlineStr">
        <is>
          <t>10</t>
        </is>
      </c>
      <c r="G77">
        <f>IFERROR(VLOOKUP($A77&amp;"_"&amp;$B77,Results_Deltas!$A$2:$P$15000,5,FALSE),"")</f>
        <v/>
      </c>
      <c r="H77">
        <f>IFERROR(VLOOKUP($A77,Results_30d_Deltas!$A$2:$H$5000,7,FALSE)-E76,"")</f>
        <v/>
      </c>
      <c r="I77">
        <f>IFERROR(VLOOKUP($A77,Results_30d_Deltas!$A$2:$H$5000,6,FALSE),"")</f>
        <v/>
      </c>
      <c r="L77" t="inlineStr">
        <is>
          <t>NO</t>
        </is>
      </c>
      <c r="IK77" t="inlineStr">
        <is>
          <t>ez_manage.py:3561 top()</t>
        </is>
      </c>
      <c r="IL77" t="inlineStr">
        <is>
          <t>v12_quick_engine.py:2333 x8</t>
        </is>
      </c>
    </row>
    <row r="78" ht="10.5" customHeight="1" s="67">
      <c r="A78" t="inlineStr">
        <is>
          <t>MI_ENTRY_EXHAUST_BONUS</t>
        </is>
      </c>
      <c r="B78" t="inlineStr">
        <is>
          <t>12</t>
        </is>
      </c>
      <c r="G78">
        <f>IFERROR(VLOOKUP($A78&amp;"_"&amp;$B78,Results_Deltas!$A$2:$P$15000,5,FALSE),"")</f>
        <v/>
      </c>
      <c r="H78">
        <f>IFERROR(VLOOKUP($A78,Results_30d_Deltas!$A$2:$H$5000,7,FALSE)-E77,"")</f>
        <v/>
      </c>
      <c r="I78">
        <f>IFERROR(VLOOKUP($A78,Results_30d_Deltas!$A$2:$H$5000,6,FALSE),"")</f>
        <v/>
      </c>
      <c r="L78" t="inlineStr">
        <is>
          <t>NO</t>
        </is>
      </c>
      <c r="IK78" t="inlineStr">
        <is>
          <t>ez_manage.py:3561 top()</t>
        </is>
      </c>
      <c r="IL78" t="inlineStr">
        <is>
          <t>v12_quick_engine.py:2333 x8</t>
        </is>
      </c>
    </row>
    <row r="79" ht="10.5" customHeight="1" s="67">
      <c r="A79" t="inlineStr">
        <is>
          <t>MI_ENTRY_STRUCT_BONUS</t>
        </is>
      </c>
      <c r="B79" t="inlineStr">
        <is>
          <t>5</t>
        </is>
      </c>
      <c r="G79">
        <f>IFERROR(VLOOKUP($A79&amp;"_"&amp;$B79,Results_Deltas!$A$2:$P$15000,5,FALSE),"")</f>
        <v/>
      </c>
      <c r="H79">
        <f>IFERROR(VLOOKUP($A79,Results_30d_Deltas!$A$2:$H$5000,7,FALSE)-E78,"")</f>
        <v/>
      </c>
      <c r="I79">
        <f>IFERROR(VLOOKUP($A79,Results_30d_Deltas!$A$2:$H$5000,6,FALSE),"")</f>
        <v/>
      </c>
      <c r="L79" t="inlineStr">
        <is>
          <t>NO</t>
        </is>
      </c>
      <c r="IK79" t="inlineStr">
        <is>
          <t>ez_manage.py:3562 top()</t>
        </is>
      </c>
      <c r="IL79" t="inlineStr">
        <is>
          <t>v12_quick_engine.py:2335 x8</t>
        </is>
      </c>
    </row>
    <row r="80" ht="10.5" customHeight="1" s="67">
      <c r="A80" t="inlineStr">
        <is>
          <t>MI_ENTRY_STRUCT_BONUS</t>
        </is>
      </c>
      <c r="B80" t="inlineStr">
        <is>
          <t>8</t>
        </is>
      </c>
      <c r="G80">
        <f>IFERROR(VLOOKUP($A80&amp;"_"&amp;$B80,Results_Deltas!$A$2:$P$15000,5,FALSE),"")</f>
        <v/>
      </c>
      <c r="H80">
        <f>IFERROR(VLOOKUP($A80,Results_30d_Deltas!$A$2:$H$5000,7,FALSE)-E79,"")</f>
        <v/>
      </c>
      <c r="I80">
        <f>IFERROR(VLOOKUP($A80,Results_30d_Deltas!$A$2:$H$5000,6,FALSE),"")</f>
        <v/>
      </c>
      <c r="L80" t="inlineStr">
        <is>
          <t>NO</t>
        </is>
      </c>
      <c r="IK80" t="inlineStr">
        <is>
          <t>ez_manage.py:3562 top()</t>
        </is>
      </c>
      <c r="IL80" t="inlineStr">
        <is>
          <t>v12_quick_engine.py:2335 x8</t>
        </is>
      </c>
    </row>
    <row r="81" ht="10.5" customHeight="1" s="67">
      <c r="A81" t="inlineStr">
        <is>
          <t>MI_ENTRY_STRUCT_BONUS</t>
        </is>
      </c>
      <c r="B81" t="inlineStr">
        <is>
          <t>10</t>
        </is>
      </c>
      <c r="G81">
        <f>IFERROR(VLOOKUP($A81&amp;"_"&amp;$B81,Results_Deltas!$A$2:$P$15000,5,FALSE),"")</f>
        <v/>
      </c>
      <c r="H81">
        <f>IFERROR(VLOOKUP($A81,Results_30d_Deltas!$A$2:$H$5000,7,FALSE)-E80,"")</f>
        <v/>
      </c>
      <c r="I81">
        <f>IFERROR(VLOOKUP($A81,Results_30d_Deltas!$A$2:$H$5000,6,FALSE),"")</f>
        <v/>
      </c>
      <c r="L81" t="inlineStr">
        <is>
          <t>YES</t>
        </is>
      </c>
      <c r="IK81" t="inlineStr">
        <is>
          <t>ez_manage.py:3562 top()</t>
        </is>
      </c>
      <c r="IL81" t="inlineStr">
        <is>
          <t>v12_quick_engine.py:2335 x8</t>
        </is>
      </c>
    </row>
    <row r="82" ht="10.5" customHeight="1" s="67">
      <c r="A82" t="inlineStr">
        <is>
          <t>MI_ENTRY_STRUCT_BONUS</t>
        </is>
      </c>
      <c r="B82" t="inlineStr">
        <is>
          <t>12</t>
        </is>
      </c>
      <c r="G82">
        <f>IFERROR(VLOOKUP($A82&amp;"_"&amp;$B82,Results_Deltas!$A$2:$P$15000,5,FALSE),"")</f>
        <v/>
      </c>
      <c r="H82">
        <f>IFERROR(VLOOKUP($A82,Results_30d_Deltas!$A$2:$H$5000,7,FALSE)-E81,"")</f>
        <v/>
      </c>
      <c r="I82">
        <f>IFERROR(VLOOKUP($A82,Results_30d_Deltas!$A$2:$H$5000,6,FALSE),"")</f>
        <v/>
      </c>
      <c r="L82" t="inlineStr">
        <is>
          <t>NO</t>
        </is>
      </c>
      <c r="IK82" t="inlineStr">
        <is>
          <t>ez_manage.py:3562 top()</t>
        </is>
      </c>
      <c r="IL82" t="inlineStr">
        <is>
          <t>v12_quick_engine.py:2335 x8</t>
        </is>
      </c>
    </row>
    <row r="83" ht="10.5" customHeight="1" s="67">
      <c r="A83" t="inlineStr">
        <is>
          <t>MI_ENTRY_STRUCT_BONUS</t>
        </is>
      </c>
      <c r="B83" t="inlineStr">
        <is>
          <t>15</t>
        </is>
      </c>
      <c r="G83">
        <f>IFERROR(VLOOKUP($A83&amp;"_"&amp;$B83,Results_Deltas!$A$2:$P$15000,5,FALSE),"")</f>
        <v/>
      </c>
      <c r="H83">
        <f>IFERROR(VLOOKUP($A83,Results_30d_Deltas!$A$2:$H$5000,7,FALSE)-E82,"")</f>
        <v/>
      </c>
      <c r="I83">
        <f>IFERROR(VLOOKUP($A83,Results_30d_Deltas!$A$2:$H$5000,6,FALSE),"")</f>
        <v/>
      </c>
      <c r="L83" t="inlineStr">
        <is>
          <t>NO</t>
        </is>
      </c>
      <c r="IK83" t="inlineStr">
        <is>
          <t>ez_manage.py:3562 top()</t>
        </is>
      </c>
      <c r="IL83" t="inlineStr">
        <is>
          <t>v12_quick_engine.py:2335 x8</t>
        </is>
      </c>
    </row>
    <row r="84" ht="10.5" customHeight="1" s="67">
      <c r="A84" t="inlineStr">
        <is>
          <t>MI_EXHAUST_EXIT_ENABLED</t>
        </is>
      </c>
      <c r="B84" t="inlineStr">
        <is>
          <t>False</t>
        </is>
      </c>
      <c r="G84">
        <f>IFERROR(VLOOKUP($A84&amp;"_"&amp;$B84,Results_Deltas!$A$2:$P$15000,5,FALSE),"")</f>
        <v/>
      </c>
      <c r="H84">
        <f>IFERROR(VLOOKUP($A84,Results_30d_Deltas!$A$2:$H$5000,7,FALSE)-E83,"")</f>
        <v/>
      </c>
      <c r="I84">
        <f>IFERROR(VLOOKUP($A84,Results_30d_Deltas!$A$2:$H$5000,6,FALSE),"")</f>
        <v/>
      </c>
      <c r="L84" t="inlineStr">
        <is>
          <t>NO</t>
        </is>
      </c>
      <c r="IK84" t="inlineStr">
        <is>
          <t>ez_manage.py:3563 top()</t>
        </is>
      </c>
      <c r="IL84" t="inlineStr">
        <is>
          <t>v12_quick_engine.py:2337 x8</t>
        </is>
      </c>
    </row>
    <row r="85" ht="10.5" customHeight="1" s="67">
      <c r="A85" t="inlineStr">
        <is>
          <t>MI_EXHAUST_EXIT_ENABLED</t>
        </is>
      </c>
      <c r="B85" t="inlineStr">
        <is>
          <t>True</t>
        </is>
      </c>
      <c r="G85">
        <f>IFERROR(VLOOKUP($A85&amp;"_"&amp;$B85,Results_Deltas!$A$2:$P$15000,5,FALSE),"")</f>
        <v/>
      </c>
      <c r="H85">
        <f>IFERROR(VLOOKUP($A85,Results_30d_Deltas!$A$2:$H$5000,7,FALSE)-E84,"")</f>
        <v/>
      </c>
      <c r="I85">
        <f>IFERROR(VLOOKUP($A85,Results_30d_Deltas!$A$2:$H$5000,6,FALSE),"")</f>
        <v/>
      </c>
      <c r="L85" t="inlineStr">
        <is>
          <t>YES</t>
        </is>
      </c>
      <c r="IK85" t="inlineStr">
        <is>
          <t>ez_manage.py:3563 top()</t>
        </is>
      </c>
      <c r="IL85" t="inlineStr">
        <is>
          <t>v12_quick_engine.py:2337 x8</t>
        </is>
      </c>
    </row>
    <row r="86" ht="10.5" customHeight="1" s="67">
      <c r="A86" t="inlineStr">
        <is>
          <t>REGIME_RANGING_EXIT_GAIN_MIN</t>
        </is>
      </c>
      <c r="B86" t="inlineStr">
        <is>
          <t>0.075</t>
        </is>
      </c>
      <c r="G86">
        <f>IFERROR(VLOOKUP($A86&amp;"_"&amp;$B86,Results_Deltas!$A$2:$P$15000,5,FALSE),"")</f>
        <v/>
      </c>
      <c r="H86">
        <f>IFERROR(VLOOKUP($A86,Results_30d_Deltas!$A$2:$H$5000,7,FALSE)-E85,"")</f>
        <v/>
      </c>
      <c r="I86">
        <f>IFERROR(VLOOKUP($A86,Results_30d_Deltas!$A$2:$H$5000,6,FALSE),"")</f>
        <v/>
      </c>
      <c r="L86" t="inlineStr">
        <is>
          <t>NO</t>
        </is>
      </c>
      <c r="IK86" t="inlineStr">
        <is>
          <t>ez_manage.py:5346 top()</t>
        </is>
      </c>
      <c r="IL86" t="inlineStr">
        <is>
          <t>v12_quick_engine.py:2938 x6</t>
        </is>
      </c>
    </row>
    <row r="87" ht="10.5" customHeight="1" s="67">
      <c r="A87" t="inlineStr">
        <is>
          <t>REGIME_RANGING_EXIT_GAIN_MIN</t>
        </is>
      </c>
      <c r="B87" t="inlineStr">
        <is>
          <t>0.1125</t>
        </is>
      </c>
      <c r="G87">
        <f>IFERROR(VLOOKUP($A87&amp;"_"&amp;$B87,Results_Deltas!$A$2:$P$15000,5,FALSE),"")</f>
        <v/>
      </c>
      <c r="H87">
        <f>IFERROR(VLOOKUP($A87,Results_30d_Deltas!$A$2:$H$5000,7,FALSE)-E86,"")</f>
        <v/>
      </c>
      <c r="I87">
        <f>IFERROR(VLOOKUP($A87,Results_30d_Deltas!$A$2:$H$5000,6,FALSE),"")</f>
        <v/>
      </c>
      <c r="L87" t="inlineStr">
        <is>
          <t>NO</t>
        </is>
      </c>
      <c r="IK87" t="inlineStr">
        <is>
          <t>ez_manage.py:5346 top()</t>
        </is>
      </c>
      <c r="IL87" t="inlineStr">
        <is>
          <t>v12_quick_engine.py:2938 x6</t>
        </is>
      </c>
    </row>
    <row r="88" ht="10.5" customHeight="1" s="67">
      <c r="A88" t="inlineStr">
        <is>
          <t>REGIME_RANGING_EXIT_GAIN_MIN</t>
        </is>
      </c>
      <c r="B88" t="inlineStr">
        <is>
          <t>0.15</t>
        </is>
      </c>
      <c r="G88">
        <f>IFERROR(VLOOKUP($A88&amp;"_"&amp;$B88,Results_Deltas!$A$2:$P$15000,5,FALSE),"")</f>
        <v/>
      </c>
      <c r="H88">
        <f>IFERROR(VLOOKUP($A88,Results_30d_Deltas!$A$2:$H$5000,7,FALSE)-E87,"")</f>
        <v/>
      </c>
      <c r="I88">
        <f>IFERROR(VLOOKUP($A88,Results_30d_Deltas!$A$2:$H$5000,6,FALSE),"")</f>
        <v/>
      </c>
      <c r="L88" t="inlineStr">
        <is>
          <t>YES</t>
        </is>
      </c>
      <c r="IK88" t="inlineStr">
        <is>
          <t>ez_manage.py:5346 top()</t>
        </is>
      </c>
      <c r="IL88" t="inlineStr">
        <is>
          <t>v12_quick_engine.py:2938 x6</t>
        </is>
      </c>
    </row>
    <row r="89" ht="10.5" customHeight="1" s="67">
      <c r="A89" t="inlineStr">
        <is>
          <t>REGIME_RANGING_EXIT_GAIN_MIN</t>
        </is>
      </c>
      <c r="B89" t="inlineStr">
        <is>
          <t>0.1875</t>
        </is>
      </c>
      <c r="G89">
        <f>IFERROR(VLOOKUP($A89&amp;"_"&amp;$B89,Results_Deltas!$A$2:$P$15000,5,FALSE),"")</f>
        <v/>
      </c>
      <c r="H89">
        <f>IFERROR(VLOOKUP($A89,Results_30d_Deltas!$A$2:$H$5000,7,FALSE)-E88,"")</f>
        <v/>
      </c>
      <c r="I89">
        <f>IFERROR(VLOOKUP($A89,Results_30d_Deltas!$A$2:$H$5000,6,FALSE),"")</f>
        <v/>
      </c>
      <c r="L89" t="inlineStr">
        <is>
          <t>NO</t>
        </is>
      </c>
      <c r="IK89" t="inlineStr">
        <is>
          <t>ez_manage.py:5346 top()</t>
        </is>
      </c>
      <c r="IL89" t="inlineStr">
        <is>
          <t>v12_quick_engine.py:2938 x6</t>
        </is>
      </c>
    </row>
    <row r="90" ht="10.5" customHeight="1" s="67">
      <c r="A90" t="inlineStr">
        <is>
          <t>REGIME_RANGING_EXIT_GAIN_MIN</t>
        </is>
      </c>
      <c r="B90" t="inlineStr">
        <is>
          <t>0.225</t>
        </is>
      </c>
      <c r="G90">
        <f>IFERROR(VLOOKUP($A90&amp;"_"&amp;$B90,Results_Deltas!$A$2:$P$15000,5,FALSE),"")</f>
        <v/>
      </c>
      <c r="H90">
        <f>IFERROR(VLOOKUP($A90,Results_30d_Deltas!$A$2:$H$5000,7,FALSE)-E89,"")</f>
        <v/>
      </c>
      <c r="I90">
        <f>IFERROR(VLOOKUP($A90,Results_30d_Deltas!$A$2:$H$5000,6,FALSE),"")</f>
        <v/>
      </c>
      <c r="L90" t="inlineStr">
        <is>
          <t>NO</t>
        </is>
      </c>
      <c r="IK90" t="inlineStr">
        <is>
          <t>ez_manage.py:5346 top()</t>
        </is>
      </c>
      <c r="IL90" t="inlineStr">
        <is>
          <t>v12_quick_engine.py:2938 x6</t>
        </is>
      </c>
    </row>
    <row r="91" ht="10.5" customHeight="1" s="67">
      <c r="A91" t="inlineStr">
        <is>
          <t>REGIME_RANGING_WT_REDUCE_FRAC_LOW</t>
        </is>
      </c>
      <c r="B91" t="inlineStr">
        <is>
          <t>0.2</t>
        </is>
      </c>
      <c r="G91">
        <f>IFERROR(VLOOKUP($A91&amp;"_"&amp;$B91,Results_Deltas!$A$2:$P$15000,5,FALSE),"")</f>
        <v/>
      </c>
      <c r="H91">
        <f>IFERROR(VLOOKUP($A91,Results_30d_Deltas!$A$2:$H$5000,7,FALSE)-E90,"")</f>
        <v/>
      </c>
      <c r="I91">
        <f>IFERROR(VLOOKUP($A91,Results_30d_Deltas!$A$2:$H$5000,6,FALSE),"")</f>
        <v/>
      </c>
      <c r="L91" t="inlineStr">
        <is>
          <t>NO</t>
        </is>
      </c>
      <c r="IK91" t="inlineStr">
        <is>
          <t>ez_manage.py:5356 top()</t>
        </is>
      </c>
      <c r="IL91" t="inlineStr">
        <is>
          <t>v12_quick_engine.py:2948 x4</t>
        </is>
      </c>
    </row>
    <row r="92" ht="10.5" customHeight="1" s="67">
      <c r="A92" t="inlineStr">
        <is>
          <t>REGIME_RANGING_WT_REDUCE_FRAC_LOW</t>
        </is>
      </c>
      <c r="B92" t="inlineStr">
        <is>
          <t>0.3</t>
        </is>
      </c>
      <c r="G92">
        <f>IFERROR(VLOOKUP($A92&amp;"_"&amp;$B92,Results_Deltas!$A$2:$P$15000,5,FALSE),"")</f>
        <v/>
      </c>
      <c r="H92">
        <f>IFERROR(VLOOKUP($A92,Results_30d_Deltas!$A$2:$H$5000,7,FALSE)-E91,"")</f>
        <v/>
      </c>
      <c r="I92">
        <f>IFERROR(VLOOKUP($A92,Results_30d_Deltas!$A$2:$H$5000,6,FALSE),"")</f>
        <v/>
      </c>
      <c r="L92" t="inlineStr">
        <is>
          <t>NO</t>
        </is>
      </c>
      <c r="IK92" t="inlineStr">
        <is>
          <t>ez_manage.py:5356 top()</t>
        </is>
      </c>
      <c r="IL92" t="inlineStr">
        <is>
          <t>v12_quick_engine.py:2948 x4</t>
        </is>
      </c>
    </row>
    <row r="93" ht="10.5" customHeight="1" s="67">
      <c r="A93" t="inlineStr">
        <is>
          <t>REGIME_RANGING_WT_REDUCE_FRAC_LOW</t>
        </is>
      </c>
      <c r="B93" t="inlineStr">
        <is>
          <t>0.4</t>
        </is>
      </c>
      <c r="G93">
        <f>IFERROR(VLOOKUP($A93&amp;"_"&amp;$B93,Results_Deltas!$A$2:$P$15000,5,FALSE),"")</f>
        <v/>
      </c>
      <c r="H93">
        <f>IFERROR(VLOOKUP($A93,Results_30d_Deltas!$A$2:$H$5000,7,FALSE)-E92,"")</f>
        <v/>
      </c>
      <c r="I93">
        <f>IFERROR(VLOOKUP($A93,Results_30d_Deltas!$A$2:$H$5000,6,FALSE),"")</f>
        <v/>
      </c>
      <c r="L93" t="inlineStr">
        <is>
          <t>YES</t>
        </is>
      </c>
      <c r="IK93" t="inlineStr">
        <is>
          <t>ez_manage.py:5356 top()</t>
        </is>
      </c>
      <c r="IL93" t="inlineStr">
        <is>
          <t>v12_quick_engine.py:2948 x4</t>
        </is>
      </c>
    </row>
    <row r="94" ht="10.5" customHeight="1" s="67">
      <c r="A94" t="inlineStr">
        <is>
          <t>REGIME_RANGING_WT_REDUCE_FRAC_LOW</t>
        </is>
      </c>
      <c r="B94" t="inlineStr">
        <is>
          <t>0.5</t>
        </is>
      </c>
      <c r="G94">
        <f>IFERROR(VLOOKUP($A94&amp;"_"&amp;$B94,Results_Deltas!$A$2:$P$15000,5,FALSE),"")</f>
        <v/>
      </c>
      <c r="H94">
        <f>IFERROR(VLOOKUP($A94,Results_30d_Deltas!$A$2:$H$5000,7,FALSE)-E93,"")</f>
        <v/>
      </c>
      <c r="I94">
        <f>IFERROR(VLOOKUP($A94,Results_30d_Deltas!$A$2:$H$5000,6,FALSE),"")</f>
        <v/>
      </c>
      <c r="L94" t="inlineStr">
        <is>
          <t>NO</t>
        </is>
      </c>
      <c r="IK94" t="inlineStr">
        <is>
          <t>ez_manage.py:5356 top()</t>
        </is>
      </c>
      <c r="IL94" t="inlineStr">
        <is>
          <t>v12_quick_engine.py:2948 x4</t>
        </is>
      </c>
    </row>
    <row r="95" ht="10.5" customHeight="1" s="67">
      <c r="A95" t="inlineStr">
        <is>
          <t>REGIME_RANGING_WT_REDUCE_FRAC_LOW</t>
        </is>
      </c>
      <c r="B95" t="inlineStr">
        <is>
          <t>0.6</t>
        </is>
      </c>
      <c r="G95">
        <f>IFERROR(VLOOKUP($A95&amp;"_"&amp;$B95,Results_Deltas!$A$2:$P$15000,5,FALSE),"")</f>
        <v/>
      </c>
      <c r="H95">
        <f>IFERROR(VLOOKUP($A95,Results_30d_Deltas!$A$2:$H$5000,7,FALSE)-E94,"")</f>
        <v/>
      </c>
      <c r="I95">
        <f>IFERROR(VLOOKUP($A95,Results_30d_Deltas!$A$2:$H$5000,6,FALSE),"")</f>
        <v/>
      </c>
      <c r="L95" t="inlineStr">
        <is>
          <t>NO</t>
        </is>
      </c>
      <c r="IK95" t="inlineStr">
        <is>
          <t>ez_manage.py:5356 top()</t>
        </is>
      </c>
      <c r="IL95" t="inlineStr">
        <is>
          <t>v12_quick_engine.py:2948 x4</t>
        </is>
      </c>
    </row>
    <row r="96" ht="10.5" customHeight="1" s="67">
      <c r="A96" t="inlineStr">
        <is>
          <t>WT_EXHAUST_ENTRY_GATE_ENABLED</t>
        </is>
      </c>
      <c r="B96" t="inlineStr">
        <is>
          <t>False</t>
        </is>
      </c>
      <c r="G96">
        <f>IFERROR(VLOOKUP($A96&amp;"_"&amp;$B96,Results_Deltas!$A$2:$P$15000,5,FALSE),"")</f>
        <v/>
      </c>
      <c r="H96">
        <f>IFERROR(VLOOKUP($A96,Results_30d_Deltas!$A$2:$H$5000,7,FALSE)-E95,"")</f>
        <v/>
      </c>
      <c r="I96">
        <f>IFERROR(VLOOKUP($A96,Results_30d_Deltas!$A$2:$H$5000,6,FALSE),"")</f>
        <v/>
      </c>
      <c r="L96" t="inlineStr">
        <is>
          <t>YES</t>
        </is>
      </c>
      <c r="IK96" t="inlineStr">
        <is>
          <t>ez_manage.py:5914 top()</t>
        </is>
      </c>
      <c r="IL96" t="inlineStr">
        <is>
          <t>v12_quick_engine.py:3750 x2</t>
        </is>
      </c>
    </row>
    <row r="97" ht="10.5" customHeight="1" s="67">
      <c r="A97" t="inlineStr">
        <is>
          <t>WT_EXHAUST_ENTRY_GATE_ENABLED</t>
        </is>
      </c>
      <c r="B97" t="inlineStr">
        <is>
          <t>True</t>
        </is>
      </c>
      <c r="G97">
        <f>IFERROR(VLOOKUP($A97&amp;"_"&amp;$B97,Results_Deltas!$A$2:$P$15000,5,FALSE),"")</f>
        <v/>
      </c>
      <c r="H97">
        <f>IFERROR(VLOOKUP($A97,Results_30d_Deltas!$A$2:$H$5000,7,FALSE)-E96,"")</f>
        <v/>
      </c>
      <c r="I97">
        <f>IFERROR(VLOOKUP($A97,Results_30d_Deltas!$A$2:$H$5000,6,FALSE),"")</f>
        <v/>
      </c>
      <c r="L97" t="inlineStr">
        <is>
          <t>NO</t>
        </is>
      </c>
      <c r="IK97" t="inlineStr">
        <is>
          <t>ez_manage.py:5914 top()</t>
        </is>
      </c>
      <c r="IL97" t="inlineStr">
        <is>
          <t>v12_quick_engine.py:3750 x2</t>
        </is>
      </c>
    </row>
    <row r="98" ht="10.5" customHeight="1" s="67">
      <c r="A98" t="inlineStr">
        <is>
          <t>WT_EXHAUST_EXIT_MIN_GAIN_PCT</t>
        </is>
      </c>
      <c r="B98" t="inlineStr">
        <is>
          <t>0</t>
        </is>
      </c>
      <c r="G98">
        <f>IFERROR(VLOOKUP($A98&amp;"_"&amp;$B98,Results_Deltas!$A$2:$P$15000,5,FALSE),"")</f>
        <v/>
      </c>
      <c r="H98">
        <f>IFERROR(VLOOKUP($A98,Results_30d_Deltas!$A$2:$H$5000,7,FALSE)-E97,"")</f>
        <v/>
      </c>
      <c r="I98">
        <f>IFERROR(VLOOKUP($A98,Results_30d_Deltas!$A$2:$H$5000,6,FALSE),"")</f>
        <v/>
      </c>
      <c r="L98" t="inlineStr">
        <is>
          <t>NO</t>
        </is>
      </c>
      <c r="IK98" t="inlineStr">
        <is>
          <t>ez_manage.py:5916 top()</t>
        </is>
      </c>
      <c r="IL98" t="inlineStr">
        <is>
          <t>v12_quick_engine.py:3752 x3</t>
        </is>
      </c>
    </row>
    <row r="99" ht="10.5" customHeight="1" s="67">
      <c r="A99" t="inlineStr">
        <is>
          <t>WT_EXHAUST_EXIT_MIN_GAIN_PCT</t>
        </is>
      </c>
      <c r="B99" t="inlineStr">
        <is>
          <t>0.5</t>
        </is>
      </c>
      <c r="G99">
        <f>IFERROR(VLOOKUP($A99&amp;"_"&amp;$B99,Results_Deltas!$A$2:$P$15000,5,FALSE),"")</f>
        <v/>
      </c>
      <c r="H99">
        <f>IFERROR(VLOOKUP($A99,Results_30d_Deltas!$A$2:$H$5000,7,FALSE)-E98,"")</f>
        <v/>
      </c>
      <c r="I99">
        <f>IFERROR(VLOOKUP($A99,Results_30d_Deltas!$A$2:$H$5000,6,FALSE),"")</f>
        <v/>
      </c>
      <c r="L99" t="inlineStr">
        <is>
          <t>YES</t>
        </is>
      </c>
      <c r="IK99" t="inlineStr">
        <is>
          <t>ez_manage.py:5916 top()</t>
        </is>
      </c>
      <c r="IL99" t="inlineStr">
        <is>
          <t>v12_quick_engine.py:3752 x3</t>
        </is>
      </c>
    </row>
    <row r="100" ht="10.5" customHeight="1" s="67">
      <c r="A100" t="inlineStr">
        <is>
          <t>WT_EXHAUST_EXIT_MIN_GAIN_PCT</t>
        </is>
      </c>
      <c r="B100" t="inlineStr">
        <is>
          <t>1.0</t>
        </is>
      </c>
      <c r="G100">
        <f>IFERROR(VLOOKUP($A100&amp;"_"&amp;$B100,Results_Deltas!$A$2:$P$15000,5,FALSE),"")</f>
        <v/>
      </c>
      <c r="H100">
        <f>IFERROR(VLOOKUP($A100,Results_30d_Deltas!$A$2:$H$5000,7,FALSE)-E99,"")</f>
        <v/>
      </c>
      <c r="I100">
        <f>IFERROR(VLOOKUP($A100,Results_30d_Deltas!$A$2:$H$5000,6,FALSE),"")</f>
        <v/>
      </c>
      <c r="L100" t="inlineStr">
        <is>
          <t>NO</t>
        </is>
      </c>
      <c r="IK100" t="inlineStr">
        <is>
          <t>ez_manage.py:5916 top()</t>
        </is>
      </c>
      <c r="IL100" t="inlineStr">
        <is>
          <t>v12_quick_engine.py:3752 x3</t>
        </is>
      </c>
    </row>
    <row r="101" ht="10.5" customHeight="1" s="67">
      <c r="A101" t="inlineStr">
        <is>
          <t>WT_EXHAUST_EXIT_MIN_GAIN_PCT</t>
        </is>
      </c>
      <c r="B101" t="inlineStr">
        <is>
          <t>2.0</t>
        </is>
      </c>
      <c r="G101">
        <f>IFERROR(VLOOKUP($A101&amp;"_"&amp;$B101,Results_Deltas!$A$2:$P$15000,5,FALSE),"")</f>
        <v/>
      </c>
      <c r="H101">
        <f>IFERROR(VLOOKUP($A101,Results_30d_Deltas!$A$2:$H$5000,7,FALSE)-E100,"")</f>
        <v/>
      </c>
      <c r="I101">
        <f>IFERROR(VLOOKUP($A101,Results_30d_Deltas!$A$2:$H$5000,6,FALSE),"")</f>
        <v/>
      </c>
      <c r="L101" t="inlineStr">
        <is>
          <t>NO</t>
        </is>
      </c>
      <c r="IK101" t="inlineStr">
        <is>
          <t>ez_manage.py:5916 top()</t>
        </is>
      </c>
      <c r="IL101" t="inlineStr">
        <is>
          <t>v12_quick_engine.py:3752 x3</t>
        </is>
      </c>
    </row>
    <row r="102" ht="10.5" customHeight="1" s="67">
      <c r="A102" t="inlineStr">
        <is>
          <t>WT_EXHAUST_EXIT_REQUIRE_GAIN</t>
        </is>
      </c>
      <c r="B102" t="inlineStr">
        <is>
          <t>0</t>
        </is>
      </c>
      <c r="G102">
        <f>IFERROR(VLOOKUP($A102&amp;"_"&amp;$B102,Results_Deltas!$A$2:$P$15000,5,FALSE),"")</f>
        <v/>
      </c>
      <c r="H102">
        <f>IFERROR(VLOOKUP($A102,Results_30d_Deltas!$A$2:$H$5000,7,FALSE)-E101,"")</f>
        <v/>
      </c>
      <c r="I102">
        <f>IFERROR(VLOOKUP($A102,Results_30d_Deltas!$A$2:$H$5000,6,FALSE),"")</f>
        <v/>
      </c>
      <c r="L102" t="inlineStr">
        <is>
          <t>NO</t>
        </is>
      </c>
      <c r="IK102" t="inlineStr">
        <is>
          <t>ez_manage.py:5917 top()</t>
        </is>
      </c>
      <c r="IL102" t="inlineStr">
        <is>
          <t>v12_quick_engine.py:3753 x3</t>
        </is>
      </c>
    </row>
    <row r="103" ht="10.5" customHeight="1" s="67">
      <c r="A103" t="inlineStr">
        <is>
          <t>WT_EXHAUST_EXIT_REQUIRE_GAIN</t>
        </is>
      </c>
      <c r="B103" t="inlineStr">
        <is>
          <t>0.5</t>
        </is>
      </c>
      <c r="G103">
        <f>IFERROR(VLOOKUP($A103&amp;"_"&amp;$B103,Results_Deltas!$A$2:$P$15000,5,FALSE),"")</f>
        <v/>
      </c>
      <c r="H103">
        <f>IFERROR(VLOOKUP($A103,Results_30d_Deltas!$A$2:$H$5000,7,FALSE)-E102,"")</f>
        <v/>
      </c>
      <c r="I103">
        <f>IFERROR(VLOOKUP($A103,Results_30d_Deltas!$A$2:$H$5000,6,FALSE),"")</f>
        <v/>
      </c>
      <c r="L103" t="inlineStr">
        <is>
          <t>NO</t>
        </is>
      </c>
      <c r="IK103" t="inlineStr">
        <is>
          <t>ez_manage.py:5917 top()</t>
        </is>
      </c>
      <c r="IL103" t="inlineStr">
        <is>
          <t>v12_quick_engine.py:3753 x3</t>
        </is>
      </c>
    </row>
    <row r="104" ht="10.5" customHeight="1" s="67">
      <c r="A104" t="inlineStr">
        <is>
          <t>WT_EXHAUST_EXIT_REQUIRE_GAIN</t>
        </is>
      </c>
      <c r="B104" t="inlineStr">
        <is>
          <t>1.0</t>
        </is>
      </c>
      <c r="G104">
        <f>IFERROR(VLOOKUP($A104&amp;"_"&amp;$B104,Results_Deltas!$A$2:$P$15000,5,FALSE),"")</f>
        <v/>
      </c>
      <c r="H104">
        <f>IFERROR(VLOOKUP($A104,Results_30d_Deltas!$A$2:$H$5000,7,FALSE)-E103,"")</f>
        <v/>
      </c>
      <c r="I104">
        <f>IFERROR(VLOOKUP($A104,Results_30d_Deltas!$A$2:$H$5000,6,FALSE),"")</f>
        <v/>
      </c>
      <c r="L104" t="inlineStr">
        <is>
          <t>NO</t>
        </is>
      </c>
      <c r="IK104" t="inlineStr">
        <is>
          <t>ez_manage.py:5917 top()</t>
        </is>
      </c>
      <c r="IL104" t="inlineStr">
        <is>
          <t>v12_quick_engine.py:3753 x3</t>
        </is>
      </c>
    </row>
    <row r="105" ht="10.5" customHeight="1" s="67">
      <c r="A105" t="inlineStr">
        <is>
          <t>WT_EXHAUST_EXIT_REQUIRE_GAIN</t>
        </is>
      </c>
      <c r="B105" t="inlineStr">
        <is>
          <t>2.0</t>
        </is>
      </c>
      <c r="G105">
        <f>IFERROR(VLOOKUP($A105&amp;"_"&amp;$B105,Results_Deltas!$A$2:$P$15000,5,FALSE),"")</f>
        <v/>
      </c>
      <c r="H105">
        <f>IFERROR(VLOOKUP($A105,Results_30d_Deltas!$A$2:$H$5000,7,FALSE)-E104,"")</f>
        <v/>
      </c>
      <c r="I105">
        <f>IFERROR(VLOOKUP($A105,Results_30d_Deltas!$A$2:$H$5000,6,FALSE),"")</f>
        <v/>
      </c>
      <c r="L105" t="inlineStr">
        <is>
          <t>NO</t>
        </is>
      </c>
      <c r="IK105" t="inlineStr">
        <is>
          <t>ez_manage.py:5917 top()</t>
        </is>
      </c>
      <c r="IL105" t="inlineStr">
        <is>
          <t>v12_quick_engine.py:3753 x3</t>
        </is>
      </c>
    </row>
    <row r="106" ht="10.5" customHeight="1" s="67">
      <c r="A106" t="inlineStr">
        <is>
          <t>WT_PERCENTILE_ENTRY_GATE_ENABLED</t>
        </is>
      </c>
      <c r="B106" t="inlineStr">
        <is>
          <t>False</t>
        </is>
      </c>
      <c r="G106">
        <f>IFERROR(VLOOKUP($A106&amp;"_"&amp;$B106,Results_Deltas!$A$2:$P$15000,5,FALSE),"")</f>
        <v/>
      </c>
      <c r="H106">
        <f>IFERROR(VLOOKUP($A106,Results_30d_Deltas!$A$2:$H$5000,7,FALSE)-E105,"")</f>
        <v/>
      </c>
      <c r="I106">
        <f>IFERROR(VLOOKUP($A106,Results_30d_Deltas!$A$2:$H$5000,6,FALSE),"")</f>
        <v/>
      </c>
      <c r="L106" t="inlineStr">
        <is>
          <t>NO</t>
        </is>
      </c>
      <c r="IK106" t="inlineStr">
        <is>
          <t>ez_manage.py:5924 top()</t>
        </is>
      </c>
      <c r="IL106" t="inlineStr">
        <is>
          <t>v12_quick_engine.py:3764 x2</t>
        </is>
      </c>
    </row>
    <row r="107" ht="10.5" customHeight="1" s="67">
      <c r="A107" t="inlineStr">
        <is>
          <t>WT_PERCENTILE_ENTRY_GATE_ENABLED</t>
        </is>
      </c>
      <c r="B107" t="inlineStr">
        <is>
          <t>True</t>
        </is>
      </c>
      <c r="G107">
        <f>IFERROR(VLOOKUP($A107&amp;"_"&amp;$B107,Results_Deltas!$A$2:$P$15000,5,FALSE),"")</f>
        <v/>
      </c>
      <c r="H107">
        <f>IFERROR(VLOOKUP($A107,Results_30d_Deltas!$A$2:$H$5000,7,FALSE)-E106,"")</f>
        <v/>
      </c>
      <c r="I107">
        <f>IFERROR(VLOOKUP($A107,Results_30d_Deltas!$A$2:$H$5000,6,FALSE),"")</f>
        <v/>
      </c>
      <c r="L107" t="inlineStr">
        <is>
          <t>YES</t>
        </is>
      </c>
      <c r="IK107" t="inlineStr">
        <is>
          <t>ez_manage.py:5924 top()</t>
        </is>
      </c>
      <c r="IL107" t="inlineStr">
        <is>
          <t>v12_quick_engine.py:3764 x2</t>
        </is>
      </c>
    </row>
    <row r="108" ht="10.5" customHeight="1" s="67">
      <c r="A108" t="inlineStr">
        <is>
          <t>WT_PERCENTILE_ENTRY_OB_D</t>
        </is>
      </c>
      <c r="B108" t="inlineStr">
        <is>
          <t>45.0</t>
        </is>
      </c>
      <c r="G108">
        <f>IFERROR(VLOOKUP($A108&amp;"_"&amp;$B108,Results_Deltas!$A$2:$P$15000,5,FALSE),"")</f>
        <v/>
      </c>
      <c r="H108">
        <f>IFERROR(VLOOKUP($A108,Results_30d_Deltas!$A$2:$H$5000,7,FALSE)-E107,"")</f>
        <v/>
      </c>
      <c r="I108">
        <f>IFERROR(VLOOKUP($A108,Results_30d_Deltas!$A$2:$H$5000,6,FALSE),"")</f>
        <v/>
      </c>
      <c r="L108" t="inlineStr">
        <is>
          <t>NO</t>
        </is>
      </c>
      <c r="IK108" t="inlineStr">
        <is>
          <t>ez_manage.py:5925 top()</t>
        </is>
      </c>
      <c r="IL108" t="inlineStr">
        <is>
          <t>v12_quick_engine.py:3765 x2</t>
        </is>
      </c>
    </row>
    <row r="109" ht="10.5" customHeight="1" s="67">
      <c r="A109" t="inlineStr">
        <is>
          <t>WT_PERCENTILE_ENTRY_OB_D</t>
        </is>
      </c>
      <c r="B109" t="inlineStr">
        <is>
          <t>67.5</t>
        </is>
      </c>
      <c r="G109">
        <f>IFERROR(VLOOKUP($A109&amp;"_"&amp;$B109,Results_Deltas!$A$2:$P$15000,5,FALSE),"")</f>
        <v/>
      </c>
      <c r="H109">
        <f>IFERROR(VLOOKUP($A109,Results_30d_Deltas!$A$2:$H$5000,7,FALSE)-E108,"")</f>
        <v/>
      </c>
      <c r="I109">
        <f>IFERROR(VLOOKUP($A109,Results_30d_Deltas!$A$2:$H$5000,6,FALSE),"")</f>
        <v/>
      </c>
      <c r="L109" t="inlineStr">
        <is>
          <t>NO</t>
        </is>
      </c>
      <c r="IK109" t="inlineStr">
        <is>
          <t>ez_manage.py:5925 top()</t>
        </is>
      </c>
      <c r="IL109" t="inlineStr">
        <is>
          <t>v12_quick_engine.py:3765 x2</t>
        </is>
      </c>
    </row>
    <row r="110" ht="10.5" customHeight="1" s="67">
      <c r="A110" t="inlineStr">
        <is>
          <t>WT_PERCENTILE_ENTRY_OB_D</t>
        </is>
      </c>
      <c r="B110" t="inlineStr">
        <is>
          <t>90.0</t>
        </is>
      </c>
      <c r="G110">
        <f>IFERROR(VLOOKUP($A110&amp;"_"&amp;$B110,Results_Deltas!$A$2:$P$15000,5,FALSE),"")</f>
        <v/>
      </c>
      <c r="H110">
        <f>IFERROR(VLOOKUP($A110,Results_30d_Deltas!$A$2:$H$5000,7,FALSE)-E109,"")</f>
        <v/>
      </c>
      <c r="I110">
        <f>IFERROR(VLOOKUP($A110,Results_30d_Deltas!$A$2:$H$5000,6,FALSE),"")</f>
        <v/>
      </c>
      <c r="L110" t="inlineStr">
        <is>
          <t>NO</t>
        </is>
      </c>
      <c r="IK110" t="inlineStr">
        <is>
          <t>ez_manage.py:5925 top()</t>
        </is>
      </c>
      <c r="IL110" t="inlineStr">
        <is>
          <t>v12_quick_engine.py:3765 x2</t>
        </is>
      </c>
    </row>
    <row r="111" ht="10.5" customHeight="1" s="67">
      <c r="A111" t="inlineStr">
        <is>
          <t>WT_PERCENTILE_ENTRY_OB_D</t>
        </is>
      </c>
      <c r="B111" t="inlineStr">
        <is>
          <t>112.5</t>
        </is>
      </c>
      <c r="G111">
        <f>IFERROR(VLOOKUP($A111&amp;"_"&amp;$B111,Results_Deltas!$A$2:$P$15000,5,FALSE),"")</f>
        <v/>
      </c>
      <c r="H111">
        <f>IFERROR(VLOOKUP($A111,Results_30d_Deltas!$A$2:$H$5000,7,FALSE)-E110,"")</f>
        <v/>
      </c>
      <c r="I111">
        <f>IFERROR(VLOOKUP($A111,Results_30d_Deltas!$A$2:$H$5000,6,FALSE),"")</f>
        <v/>
      </c>
      <c r="L111" t="inlineStr">
        <is>
          <t>YES</t>
        </is>
      </c>
      <c r="IK111" t="inlineStr">
        <is>
          <t>ez_manage.py:5925 top()</t>
        </is>
      </c>
      <c r="IL111" t="inlineStr">
        <is>
          <t>v12_quick_engine.py:3765 x2</t>
        </is>
      </c>
    </row>
    <row r="112" ht="10.5" customHeight="1" s="67">
      <c r="A112" t="inlineStr">
        <is>
          <t>WT_PERCENTILE_ENTRY_OB_D</t>
        </is>
      </c>
      <c r="B112" t="inlineStr">
        <is>
          <t>135.0</t>
        </is>
      </c>
      <c r="G112">
        <f>IFERROR(VLOOKUP($A112&amp;"_"&amp;$B112,Results_Deltas!$A$2:$P$15000,5,FALSE),"")</f>
        <v/>
      </c>
      <c r="H112">
        <f>IFERROR(VLOOKUP($A112,Results_30d_Deltas!$A$2:$H$5000,7,FALSE)-E111,"")</f>
        <v/>
      </c>
      <c r="I112">
        <f>IFERROR(VLOOKUP($A112,Results_30d_Deltas!$A$2:$H$5000,6,FALSE),"")</f>
        <v/>
      </c>
      <c r="L112" t="inlineStr">
        <is>
          <t>NO</t>
        </is>
      </c>
      <c r="IK112" t="inlineStr">
        <is>
          <t>ez_manage.py:5925 top()</t>
        </is>
      </c>
      <c r="IL112" t="inlineStr">
        <is>
          <t>v12_quick_engine.py:3765 x2</t>
        </is>
      </c>
    </row>
    <row r="113" ht="10.5" customHeight="1" s="67">
      <c r="A113" t="inlineStr">
        <is>
          <t>WT_PERCENTILE_ENTRY_OS_D</t>
        </is>
      </c>
      <c r="B113" t="inlineStr">
        <is>
          <t>5.0</t>
        </is>
      </c>
      <c r="G113">
        <f>IFERROR(VLOOKUP($A113&amp;"_"&amp;$B113,Results_Deltas!$A$2:$P$15000,5,FALSE),"")</f>
        <v/>
      </c>
      <c r="H113">
        <f>IFERROR(VLOOKUP($A113,Results_30d_Deltas!$A$2:$H$5000,7,FALSE)-E112,"")</f>
        <v/>
      </c>
      <c r="I113">
        <f>IFERROR(VLOOKUP($A113,Results_30d_Deltas!$A$2:$H$5000,6,FALSE),"")</f>
        <v/>
      </c>
      <c r="L113" t="inlineStr">
        <is>
          <t>NO</t>
        </is>
      </c>
      <c r="IK113" t="inlineStr">
        <is>
          <t>ez_manage.py:5926 top()</t>
        </is>
      </c>
      <c r="IL113" t="inlineStr">
        <is>
          <t>v12_quick_engine.py:3766 x2</t>
        </is>
      </c>
    </row>
    <row r="114" ht="10.5" customHeight="1" s="67">
      <c r="A114" t="inlineStr">
        <is>
          <t>WT_PERCENTILE_ENTRY_OS_D</t>
        </is>
      </c>
      <c r="B114" t="inlineStr">
        <is>
          <t>7.5</t>
        </is>
      </c>
      <c r="G114">
        <f>IFERROR(VLOOKUP($A114&amp;"_"&amp;$B114,Results_Deltas!$A$2:$P$15000,5,FALSE),"")</f>
        <v/>
      </c>
      <c r="H114">
        <f>IFERROR(VLOOKUP($A114,Results_30d_Deltas!$A$2:$H$5000,7,FALSE)-E113,"")</f>
        <v/>
      </c>
      <c r="I114">
        <f>IFERROR(VLOOKUP($A114,Results_30d_Deltas!$A$2:$H$5000,6,FALSE),"")</f>
        <v/>
      </c>
      <c r="L114" t="inlineStr">
        <is>
          <t>NO</t>
        </is>
      </c>
      <c r="IK114" t="inlineStr">
        <is>
          <t>ez_manage.py:5926 top()</t>
        </is>
      </c>
      <c r="IL114" t="inlineStr">
        <is>
          <t>v12_quick_engine.py:3766 x2</t>
        </is>
      </c>
    </row>
    <row r="115" ht="10.5" customHeight="1" s="67">
      <c r="A115" t="inlineStr">
        <is>
          <t>WT_PERCENTILE_ENTRY_OS_D</t>
        </is>
      </c>
      <c r="B115" t="inlineStr">
        <is>
          <t>10.0</t>
        </is>
      </c>
      <c r="G115">
        <f>IFERROR(VLOOKUP($A115&amp;"_"&amp;$B115,Results_Deltas!$A$2:$P$15000,5,FALSE),"")</f>
        <v/>
      </c>
      <c r="H115">
        <f>IFERROR(VLOOKUP($A115,Results_30d_Deltas!$A$2:$H$5000,7,FALSE)-E114,"")</f>
        <v/>
      </c>
      <c r="I115">
        <f>IFERROR(VLOOKUP($A115,Results_30d_Deltas!$A$2:$H$5000,6,FALSE),"")</f>
        <v/>
      </c>
      <c r="L115" t="inlineStr">
        <is>
          <t>NO</t>
        </is>
      </c>
      <c r="IK115" t="inlineStr">
        <is>
          <t>ez_manage.py:5926 top()</t>
        </is>
      </c>
      <c r="IL115" t="inlineStr">
        <is>
          <t>v12_quick_engine.py:3766 x2</t>
        </is>
      </c>
    </row>
    <row r="116" ht="10.5" customHeight="1" s="67">
      <c r="A116" t="inlineStr">
        <is>
          <t>WT_PERCENTILE_ENTRY_OS_D</t>
        </is>
      </c>
      <c r="B116" t="inlineStr">
        <is>
          <t>12.5</t>
        </is>
      </c>
      <c r="G116">
        <f>IFERROR(VLOOKUP($A116&amp;"_"&amp;$B116,Results_Deltas!$A$2:$P$15000,5,FALSE),"")</f>
        <v/>
      </c>
      <c r="H116">
        <f>IFERROR(VLOOKUP($A116,Results_30d_Deltas!$A$2:$H$5000,7,FALSE)-E115,"")</f>
        <v/>
      </c>
      <c r="I116">
        <f>IFERROR(VLOOKUP($A116,Results_30d_Deltas!$A$2:$H$5000,6,FALSE),"")</f>
        <v/>
      </c>
      <c r="L116" t="inlineStr">
        <is>
          <t>YES</t>
        </is>
      </c>
      <c r="IK116" t="inlineStr">
        <is>
          <t>ez_manage.py:5926 top()</t>
        </is>
      </c>
      <c r="IL116" t="inlineStr">
        <is>
          <t>v12_quick_engine.py:3766 x2</t>
        </is>
      </c>
    </row>
    <row r="117" ht="10.5" customHeight="1" s="67">
      <c r="A117" t="inlineStr">
        <is>
          <t>WT_PERCENTILE_ENTRY_OS_D</t>
        </is>
      </c>
      <c r="B117" t="inlineStr">
        <is>
          <t>15.0</t>
        </is>
      </c>
      <c r="G117">
        <f>IFERROR(VLOOKUP($A117&amp;"_"&amp;$B117,Results_Deltas!$A$2:$P$15000,5,FALSE),"")</f>
        <v/>
      </c>
      <c r="H117">
        <f>IFERROR(VLOOKUP($A117,Results_30d_Deltas!$A$2:$H$5000,7,FALSE)-E116,"")</f>
        <v/>
      </c>
      <c r="I117">
        <f>IFERROR(VLOOKUP($A117,Results_30d_Deltas!$A$2:$H$5000,6,FALSE),"")</f>
        <v/>
      </c>
      <c r="L117" t="inlineStr">
        <is>
          <t>NO</t>
        </is>
      </c>
      <c r="IK117" t="inlineStr">
        <is>
          <t>ez_manage.py:5926 top()</t>
        </is>
      </c>
      <c r="IL117" t="inlineStr">
        <is>
          <t>v12_quick_engine.py:3766 x2</t>
        </is>
      </c>
    </row>
    <row r="118" ht="10.5" customHeight="1" s="67">
      <c r="A118" t="inlineStr">
        <is>
          <t>WT_PERCENTILE_EXIT_OB_4H</t>
        </is>
      </c>
      <c r="B118" t="inlineStr">
        <is>
          <t>0</t>
        </is>
      </c>
      <c r="G118">
        <f>IFERROR(VLOOKUP($A118&amp;"_"&amp;$B118,Results_Deltas!$A$2:$P$15000,5,FALSE),"")</f>
        <v/>
      </c>
      <c r="H118">
        <f>IFERROR(VLOOKUP($A118,Results_30d_Deltas!$A$2:$H$5000,7,FALSE)-E117,"")</f>
        <v/>
      </c>
      <c r="I118">
        <f>IFERROR(VLOOKUP($A118,Results_30d_Deltas!$A$2:$H$5000,6,FALSE),"")</f>
        <v/>
      </c>
      <c r="L118" t="inlineStr">
        <is>
          <t>NO</t>
        </is>
      </c>
      <c r="IK118" t="inlineStr">
        <is>
          <t>ez_manage.py:5928 top()</t>
        </is>
      </c>
      <c r="IL118" t="inlineStr">
        <is>
          <t>v12_quick_engine.py:3768 x5</t>
        </is>
      </c>
    </row>
    <row r="119" ht="10.5" customHeight="1" s="67">
      <c r="A119" t="inlineStr">
        <is>
          <t>WT_PERCENTILE_EXIT_OB_4H</t>
        </is>
      </c>
      <c r="B119" t="inlineStr">
        <is>
          <t>0.5</t>
        </is>
      </c>
      <c r="G119">
        <f>IFERROR(VLOOKUP($A119&amp;"_"&amp;$B119,Results_Deltas!$A$2:$P$15000,5,FALSE),"")</f>
        <v/>
      </c>
      <c r="H119">
        <f>IFERROR(VLOOKUP($A119,Results_30d_Deltas!$A$2:$H$5000,7,FALSE)-E118,"")</f>
        <v/>
      </c>
      <c r="I119">
        <f>IFERROR(VLOOKUP($A119,Results_30d_Deltas!$A$2:$H$5000,6,FALSE),"")</f>
        <v/>
      </c>
      <c r="L119" t="inlineStr">
        <is>
          <t>NO</t>
        </is>
      </c>
      <c r="IK119" t="inlineStr">
        <is>
          <t>ez_manage.py:5928 top()</t>
        </is>
      </c>
      <c r="IL119" t="inlineStr">
        <is>
          <t>v12_quick_engine.py:3768 x5</t>
        </is>
      </c>
    </row>
    <row r="120" ht="10.5" customHeight="1" s="67">
      <c r="A120" t="inlineStr">
        <is>
          <t>WT_PERCENTILE_EXIT_OB_4H</t>
        </is>
      </c>
      <c r="B120" t="inlineStr">
        <is>
          <t>1.0</t>
        </is>
      </c>
      <c r="G120">
        <f>IFERROR(VLOOKUP($A120&amp;"_"&amp;$B120,Results_Deltas!$A$2:$P$15000,5,FALSE),"")</f>
        <v/>
      </c>
      <c r="H120">
        <f>IFERROR(VLOOKUP($A120,Results_30d_Deltas!$A$2:$H$5000,7,FALSE)-E119,"")</f>
        <v/>
      </c>
      <c r="I120">
        <f>IFERROR(VLOOKUP($A120,Results_30d_Deltas!$A$2:$H$5000,6,FALSE),"")</f>
        <v/>
      </c>
      <c r="L120" t="inlineStr">
        <is>
          <t>NO</t>
        </is>
      </c>
      <c r="IK120" t="inlineStr">
        <is>
          <t>ez_manage.py:5928 top()</t>
        </is>
      </c>
      <c r="IL120" t="inlineStr">
        <is>
          <t>v12_quick_engine.py:3768 x5</t>
        </is>
      </c>
    </row>
    <row r="121" ht="10.5" customHeight="1" s="67">
      <c r="A121" t="inlineStr">
        <is>
          <t>WT_PERCENTILE_EXIT_OB_4H</t>
        </is>
      </c>
      <c r="B121" t="inlineStr">
        <is>
          <t>2.0</t>
        </is>
      </c>
      <c r="G121">
        <f>IFERROR(VLOOKUP($A121&amp;"_"&amp;$B121,Results_Deltas!$A$2:$P$15000,5,FALSE),"")</f>
        <v/>
      </c>
      <c r="H121">
        <f>IFERROR(VLOOKUP($A121,Results_30d_Deltas!$A$2:$H$5000,7,FALSE)-E120,"")</f>
        <v/>
      </c>
      <c r="I121">
        <f>IFERROR(VLOOKUP($A121,Results_30d_Deltas!$A$2:$H$5000,6,FALSE),"")</f>
        <v/>
      </c>
      <c r="L121" t="inlineStr">
        <is>
          <t>NO</t>
        </is>
      </c>
      <c r="IK121" t="inlineStr">
        <is>
          <t>ez_manage.py:5928 top()</t>
        </is>
      </c>
      <c r="IL121" t="inlineStr">
        <is>
          <t>v12_quick_engine.py:3768 x5</t>
        </is>
      </c>
    </row>
    <row r="122" ht="10.5" customHeight="1" s="67">
      <c r="A122" t="inlineStr">
        <is>
          <t>WT_PERCENTILE_EXIT_OB_D</t>
        </is>
      </c>
      <c r="B122" t="inlineStr">
        <is>
          <t>0</t>
        </is>
      </c>
      <c r="G122">
        <f>IFERROR(VLOOKUP($A122&amp;"_"&amp;$B122,Results_Deltas!$A$2:$P$15000,5,FALSE),"")</f>
        <v/>
      </c>
      <c r="H122">
        <f>IFERROR(VLOOKUP($A122,Results_30d_Deltas!$A$2:$H$5000,7,FALSE)-E121,"")</f>
        <v/>
      </c>
      <c r="I122">
        <f>IFERROR(VLOOKUP($A122,Results_30d_Deltas!$A$2:$H$5000,6,FALSE),"")</f>
        <v/>
      </c>
      <c r="L122" t="inlineStr">
        <is>
          <t>NO</t>
        </is>
      </c>
      <c r="IK122" t="inlineStr">
        <is>
          <t>ez_manage.py:5929 top()</t>
        </is>
      </c>
      <c r="IL122" t="inlineStr">
        <is>
          <t>v12_quick_engine.py:3769 x3</t>
        </is>
      </c>
    </row>
    <row r="123" ht="10.5" customHeight="1" s="67">
      <c r="A123" t="inlineStr">
        <is>
          <t>WT_PERCENTILE_EXIT_OB_D</t>
        </is>
      </c>
      <c r="B123" t="inlineStr">
        <is>
          <t>0.5</t>
        </is>
      </c>
      <c r="G123">
        <f>IFERROR(VLOOKUP($A123&amp;"_"&amp;$B123,Results_Deltas!$A$2:$P$15000,5,FALSE),"")</f>
        <v/>
      </c>
      <c r="H123">
        <f>IFERROR(VLOOKUP($A123,Results_30d_Deltas!$A$2:$H$5000,7,FALSE)-E122,"")</f>
        <v/>
      </c>
      <c r="I123">
        <f>IFERROR(VLOOKUP($A123,Results_30d_Deltas!$A$2:$H$5000,6,FALSE),"")</f>
        <v/>
      </c>
      <c r="L123" t="inlineStr">
        <is>
          <t>NO</t>
        </is>
      </c>
      <c r="IK123" t="inlineStr">
        <is>
          <t>ez_manage.py:5929 top()</t>
        </is>
      </c>
      <c r="IL123" t="inlineStr">
        <is>
          <t>v12_quick_engine.py:3769 x3</t>
        </is>
      </c>
    </row>
    <row r="124" ht="10.5" customHeight="1" s="67">
      <c r="A124" t="inlineStr">
        <is>
          <t>WT_PERCENTILE_EXIT_OB_D</t>
        </is>
      </c>
      <c r="B124" t="inlineStr">
        <is>
          <t>1.0</t>
        </is>
      </c>
      <c r="G124">
        <f>IFERROR(VLOOKUP($A124&amp;"_"&amp;$B124,Results_Deltas!$A$2:$P$15000,5,FALSE),"")</f>
        <v/>
      </c>
      <c r="H124">
        <f>IFERROR(VLOOKUP($A124,Results_30d_Deltas!$A$2:$H$5000,7,FALSE)-E123,"")</f>
        <v/>
      </c>
      <c r="I124">
        <f>IFERROR(VLOOKUP($A124,Results_30d_Deltas!$A$2:$H$5000,6,FALSE),"")</f>
        <v/>
      </c>
      <c r="L124" t="inlineStr">
        <is>
          <t>NO</t>
        </is>
      </c>
      <c r="IK124" t="inlineStr">
        <is>
          <t>ez_manage.py:5929 top()</t>
        </is>
      </c>
      <c r="IL124" t="inlineStr">
        <is>
          <t>v12_quick_engine.py:3769 x3</t>
        </is>
      </c>
    </row>
    <row r="125" ht="10.5" customHeight="1" s="67">
      <c r="A125" t="inlineStr">
        <is>
          <t>WT_PERCENTILE_EXIT_OB_D</t>
        </is>
      </c>
      <c r="B125" t="inlineStr">
        <is>
          <t>2.0</t>
        </is>
      </c>
      <c r="G125">
        <f>IFERROR(VLOOKUP($A125&amp;"_"&amp;$B125,Results_Deltas!$A$2:$P$15000,5,FALSE),"")</f>
        <v/>
      </c>
      <c r="H125">
        <f>IFERROR(VLOOKUP($A125,Results_30d_Deltas!$A$2:$H$5000,7,FALSE)-E124,"")</f>
        <v/>
      </c>
      <c r="I125">
        <f>IFERROR(VLOOKUP($A125,Results_30d_Deltas!$A$2:$H$5000,6,FALSE),"")</f>
        <v/>
      </c>
      <c r="L125" t="inlineStr">
        <is>
          <t>NO</t>
        </is>
      </c>
      <c r="IK125" t="inlineStr">
        <is>
          <t>ez_manage.py:5929 top()</t>
        </is>
      </c>
      <c r="IL125" t="inlineStr">
        <is>
          <t>v12_quick_engine.py:3769 x3</t>
        </is>
      </c>
    </row>
    <row r="126" ht="10.5" customHeight="1" s="67">
      <c r="A126" t="inlineStr">
        <is>
          <t>WT_PERCENTILE_EXIT_OS_4H</t>
        </is>
      </c>
      <c r="B126" t="inlineStr">
        <is>
          <t>0</t>
        </is>
      </c>
      <c r="G126">
        <f>IFERROR(VLOOKUP($A126&amp;"_"&amp;$B126,Results_Deltas!$A$2:$P$15000,5,FALSE),"")</f>
        <v/>
      </c>
      <c r="H126">
        <f>IFERROR(VLOOKUP($A126,Results_30d_Deltas!$A$2:$H$5000,7,FALSE)-E125,"")</f>
        <v/>
      </c>
      <c r="I126">
        <f>IFERROR(VLOOKUP($A126,Results_30d_Deltas!$A$2:$H$5000,6,FALSE),"")</f>
        <v/>
      </c>
      <c r="L126" t="inlineStr">
        <is>
          <t>NO</t>
        </is>
      </c>
      <c r="IK126" t="inlineStr">
        <is>
          <t>ez_manage.py:5930 top()</t>
        </is>
      </c>
      <c r="IL126" t="inlineStr">
        <is>
          <t>v12_quick_engine.py:3770 x5</t>
        </is>
      </c>
    </row>
    <row r="127" ht="10.5" customHeight="1" s="67">
      <c r="A127" t="inlineStr">
        <is>
          <t>WT_PERCENTILE_EXIT_OS_4H</t>
        </is>
      </c>
      <c r="B127" t="inlineStr">
        <is>
          <t>0.5</t>
        </is>
      </c>
      <c r="G127">
        <f>IFERROR(VLOOKUP($A127&amp;"_"&amp;$B127,Results_Deltas!$A$2:$P$15000,5,FALSE),"")</f>
        <v/>
      </c>
      <c r="H127">
        <f>IFERROR(VLOOKUP($A127,Results_30d_Deltas!$A$2:$H$5000,7,FALSE)-E126,"")</f>
        <v/>
      </c>
      <c r="I127">
        <f>IFERROR(VLOOKUP($A127,Results_30d_Deltas!$A$2:$H$5000,6,FALSE),"")</f>
        <v/>
      </c>
      <c r="L127" t="inlineStr">
        <is>
          <t>NO</t>
        </is>
      </c>
      <c r="IK127" t="inlineStr">
        <is>
          <t>ez_manage.py:5930 top()</t>
        </is>
      </c>
      <c r="IL127" t="inlineStr">
        <is>
          <t>v12_quick_engine.py:3770 x5</t>
        </is>
      </c>
    </row>
    <row r="128" ht="10.5" customHeight="1" s="67">
      <c r="A128" t="inlineStr">
        <is>
          <t>WT_PERCENTILE_EXIT_OS_4H</t>
        </is>
      </c>
      <c r="B128" t="inlineStr">
        <is>
          <t>1.0</t>
        </is>
      </c>
      <c r="G128">
        <f>IFERROR(VLOOKUP($A128&amp;"_"&amp;$B128,Results_Deltas!$A$2:$P$15000,5,FALSE),"")</f>
        <v/>
      </c>
      <c r="H128">
        <f>IFERROR(VLOOKUP($A128,Results_30d_Deltas!$A$2:$H$5000,7,FALSE)-E127,"")</f>
        <v/>
      </c>
      <c r="I128">
        <f>IFERROR(VLOOKUP($A128,Results_30d_Deltas!$A$2:$H$5000,6,FALSE),"")</f>
        <v/>
      </c>
      <c r="L128" t="inlineStr">
        <is>
          <t>NO</t>
        </is>
      </c>
      <c r="IK128" t="inlineStr">
        <is>
          <t>ez_manage.py:5930 top()</t>
        </is>
      </c>
      <c r="IL128" t="inlineStr">
        <is>
          <t>v12_quick_engine.py:3770 x5</t>
        </is>
      </c>
    </row>
    <row r="129" ht="10.5" customHeight="1" s="67">
      <c r="A129" t="inlineStr">
        <is>
          <t>WT_PERCENTILE_EXIT_OS_4H</t>
        </is>
      </c>
      <c r="B129" t="inlineStr">
        <is>
          <t>2.0</t>
        </is>
      </c>
      <c r="G129">
        <f>IFERROR(VLOOKUP($A129&amp;"_"&amp;$B129,Results_Deltas!$A$2:$P$15000,5,FALSE),"")</f>
        <v/>
      </c>
      <c r="H129">
        <f>IFERROR(VLOOKUP($A129,Results_30d_Deltas!$A$2:$H$5000,7,FALSE)-E128,"")</f>
        <v/>
      </c>
      <c r="I129">
        <f>IFERROR(VLOOKUP($A129,Results_30d_Deltas!$A$2:$H$5000,6,FALSE),"")</f>
        <v/>
      </c>
      <c r="L129" t="inlineStr">
        <is>
          <t>NO</t>
        </is>
      </c>
      <c r="IK129" t="inlineStr">
        <is>
          <t>ez_manage.py:5930 top()</t>
        </is>
      </c>
      <c r="IL129" t="inlineStr">
        <is>
          <t>v12_quick_engine.py:3770 x5</t>
        </is>
      </c>
    </row>
    <row r="130" ht="10.5" customHeight="1" s="67">
      <c r="A130" t="inlineStr">
        <is>
          <t>WT_PERCENTILE_EXIT_OS_D</t>
        </is>
      </c>
      <c r="B130" t="inlineStr">
        <is>
          <t>0</t>
        </is>
      </c>
      <c r="G130">
        <f>IFERROR(VLOOKUP($A130&amp;"_"&amp;$B130,Results_Deltas!$A$2:$P$15000,5,FALSE),"")</f>
        <v/>
      </c>
      <c r="H130">
        <f>IFERROR(VLOOKUP($A130,Results_30d_Deltas!$A$2:$H$5000,7,FALSE)-E129,"")</f>
        <v/>
      </c>
      <c r="I130">
        <f>IFERROR(VLOOKUP($A130,Results_30d_Deltas!$A$2:$H$5000,6,FALSE),"")</f>
        <v/>
      </c>
      <c r="L130" t="inlineStr">
        <is>
          <t>NO</t>
        </is>
      </c>
      <c r="IK130" t="inlineStr">
        <is>
          <t>ez_manage.py:5931 top()</t>
        </is>
      </c>
      <c r="IL130" t="inlineStr">
        <is>
          <t>v12_quick_engine.py:3771 x3</t>
        </is>
      </c>
    </row>
    <row r="131" ht="10.5" customHeight="1" s="67">
      <c r="A131" t="inlineStr">
        <is>
          <t>WT_PERCENTILE_EXIT_OS_D</t>
        </is>
      </c>
      <c r="B131" t="inlineStr">
        <is>
          <t>0.5</t>
        </is>
      </c>
      <c r="G131">
        <f>IFERROR(VLOOKUP($A131&amp;"_"&amp;$B131,Results_Deltas!$A$2:$P$15000,5,FALSE),"")</f>
        <v/>
      </c>
      <c r="H131">
        <f>IFERROR(VLOOKUP($A131,Results_30d_Deltas!$A$2:$H$5000,7,FALSE)-E130,"")</f>
        <v/>
      </c>
      <c r="I131">
        <f>IFERROR(VLOOKUP($A131,Results_30d_Deltas!$A$2:$H$5000,6,FALSE),"")</f>
        <v/>
      </c>
      <c r="L131" t="inlineStr">
        <is>
          <t>YES</t>
        </is>
      </c>
      <c r="IK131" t="inlineStr">
        <is>
          <t>ez_manage.py:5931 top()</t>
        </is>
      </c>
      <c r="IL131" t="inlineStr">
        <is>
          <t>v12_quick_engine.py:3771 x3</t>
        </is>
      </c>
    </row>
    <row r="132" ht="10.5" customHeight="1" s="67">
      <c r="A132" t="inlineStr">
        <is>
          <t>WT_PERCENTILE_EXIT_OS_D</t>
        </is>
      </c>
      <c r="B132" t="inlineStr">
        <is>
          <t>1.0</t>
        </is>
      </c>
      <c r="G132">
        <f>IFERROR(VLOOKUP($A132&amp;"_"&amp;$B132,Results_Deltas!$A$2:$P$15000,5,FALSE),"")</f>
        <v/>
      </c>
      <c r="H132">
        <f>IFERROR(VLOOKUP($A132,Results_30d_Deltas!$A$2:$H$5000,7,FALSE)-E131,"")</f>
        <v/>
      </c>
      <c r="I132">
        <f>IFERROR(VLOOKUP($A132,Results_30d_Deltas!$A$2:$H$5000,6,FALSE),"")</f>
        <v/>
      </c>
      <c r="L132" t="inlineStr">
        <is>
          <t>NO</t>
        </is>
      </c>
      <c r="IK132" t="inlineStr">
        <is>
          <t>ez_manage.py:5931 top()</t>
        </is>
      </c>
      <c r="IL132" t="inlineStr">
        <is>
          <t>v12_quick_engine.py:3771 x3</t>
        </is>
      </c>
    </row>
    <row r="133" ht="10.5" customHeight="1" s="67">
      <c r="A133" t="inlineStr">
        <is>
          <t>WT_PERCENTILE_EXIT_OS_D</t>
        </is>
      </c>
      <c r="B133" t="inlineStr">
        <is>
          <t>2.0</t>
        </is>
      </c>
      <c r="G133">
        <f>IFERROR(VLOOKUP($A133&amp;"_"&amp;$B133,Results_Deltas!$A$2:$P$15000,5,FALSE),"")</f>
        <v/>
      </c>
      <c r="H133">
        <f>IFERROR(VLOOKUP($A133,Results_30d_Deltas!$A$2:$H$5000,7,FALSE)-E132,"")</f>
        <v/>
      </c>
      <c r="I133">
        <f>IFERROR(VLOOKUP($A133,Results_30d_Deltas!$A$2:$H$5000,6,FALSE),"")</f>
        <v/>
      </c>
      <c r="L133" t="inlineStr">
        <is>
          <t>NO</t>
        </is>
      </c>
      <c r="IK133" t="inlineStr">
        <is>
          <t>ez_manage.py:5931 top()</t>
        </is>
      </c>
      <c r="IL133" t="inlineStr">
        <is>
          <t>v12_quick_engine.py:3771 x3</t>
        </is>
      </c>
    </row>
    <row r="134" ht="10.5" customHeight="1" s="67">
      <c r="A134" t="inlineStr">
        <is>
          <t>WT_REDUCE_FRAC_HIGH</t>
        </is>
      </c>
      <c r="B134" t="inlineStr">
        <is>
          <t>0</t>
        </is>
      </c>
      <c r="G134">
        <f>IFERROR(VLOOKUP($A134&amp;"_"&amp;$B134,Results_Deltas!$A$2:$P$15000,5,FALSE),"")</f>
        <v/>
      </c>
      <c r="H134">
        <f>IFERROR(VLOOKUP($A134,Results_30d_Deltas!$A$2:$H$5000,7,FALSE)-E133,"")</f>
        <v/>
      </c>
      <c r="I134">
        <f>IFERROR(VLOOKUP($A134,Results_30d_Deltas!$A$2:$H$5000,6,FALSE),"")</f>
        <v/>
      </c>
      <c r="L134" t="inlineStr">
        <is>
          <t>NO</t>
        </is>
      </c>
      <c r="IK134" t="inlineStr">
        <is>
          <t>ez_manage.py:4307 top()</t>
        </is>
      </c>
      <c r="IL134" t="inlineStr">
        <is>
          <t>v12_quick_engine.py:3772 x2</t>
        </is>
      </c>
    </row>
    <row r="135" ht="10.5" customHeight="1" s="67">
      <c r="A135" t="inlineStr">
        <is>
          <t>WT_REDUCE_FRAC_HIGH</t>
        </is>
      </c>
      <c r="B135" t="inlineStr">
        <is>
          <t>0.5</t>
        </is>
      </c>
      <c r="G135">
        <f>IFERROR(VLOOKUP($A135&amp;"_"&amp;$B135,Results_Deltas!$A$2:$P$15000,5,FALSE),"")</f>
        <v/>
      </c>
      <c r="H135">
        <f>IFERROR(VLOOKUP($A135,Results_30d_Deltas!$A$2:$H$5000,7,FALSE)-E134,"")</f>
        <v/>
      </c>
      <c r="I135">
        <f>IFERROR(VLOOKUP($A135,Results_30d_Deltas!$A$2:$H$5000,6,FALSE),"")</f>
        <v/>
      </c>
      <c r="L135" t="inlineStr">
        <is>
          <t>NO</t>
        </is>
      </c>
      <c r="IK135" t="inlineStr">
        <is>
          <t>ez_manage.py:4307 top()</t>
        </is>
      </c>
      <c r="IL135" t="inlineStr">
        <is>
          <t>v12_quick_engine.py:3772 x2</t>
        </is>
      </c>
    </row>
    <row r="136" ht="10.5" customHeight="1" s="67">
      <c r="A136" t="inlineStr">
        <is>
          <t>WT_REDUCE_FRAC_HIGH</t>
        </is>
      </c>
      <c r="B136" t="inlineStr">
        <is>
          <t>1.0</t>
        </is>
      </c>
      <c r="G136">
        <f>IFERROR(VLOOKUP($A136&amp;"_"&amp;$B136,Results_Deltas!$A$2:$P$15000,5,FALSE),"")</f>
        <v/>
      </c>
      <c r="H136">
        <f>IFERROR(VLOOKUP($A136,Results_30d_Deltas!$A$2:$H$5000,7,FALSE)-E135,"")</f>
        <v/>
      </c>
      <c r="I136">
        <f>IFERROR(VLOOKUP($A136,Results_30d_Deltas!$A$2:$H$5000,6,FALSE),"")</f>
        <v/>
      </c>
      <c r="L136" t="inlineStr">
        <is>
          <t>NO</t>
        </is>
      </c>
      <c r="IK136" t="inlineStr">
        <is>
          <t>ez_manage.py:4307 top()</t>
        </is>
      </c>
      <c r="IL136" t="inlineStr">
        <is>
          <t>v12_quick_engine.py:3772 x2</t>
        </is>
      </c>
    </row>
    <row r="137" ht="10.5" customHeight="1" s="67">
      <c r="A137" t="inlineStr">
        <is>
          <t>WT_REDUCE_FRAC_HIGH</t>
        </is>
      </c>
      <c r="B137" t="inlineStr">
        <is>
          <t>2.0</t>
        </is>
      </c>
      <c r="G137">
        <f>IFERROR(VLOOKUP($A137&amp;"_"&amp;$B137,Results_Deltas!$A$2:$P$15000,5,FALSE),"")</f>
        <v/>
      </c>
      <c r="H137">
        <f>IFERROR(VLOOKUP($A137,Results_30d_Deltas!$A$2:$H$5000,7,FALSE)-E136,"")</f>
        <v/>
      </c>
      <c r="I137">
        <f>IFERROR(VLOOKUP($A137,Results_30d_Deltas!$A$2:$H$5000,6,FALSE),"")</f>
        <v/>
      </c>
      <c r="L137" t="inlineStr">
        <is>
          <t>NO</t>
        </is>
      </c>
      <c r="IK137" t="inlineStr">
        <is>
          <t>ez_manage.py:4307 top()</t>
        </is>
      </c>
      <c r="IL137" t="inlineStr">
        <is>
          <t>v12_quick_engine.py:3772 x2</t>
        </is>
      </c>
    </row>
    <row r="138" ht="10.5" customHeight="1" s="67">
      <c r="A138" t="inlineStr">
        <is>
          <t>WT_REDUCE_FRAC_LOW</t>
        </is>
      </c>
      <c r="B138" t="inlineStr">
        <is>
          <t>0</t>
        </is>
      </c>
      <c r="G138">
        <f>IFERROR(VLOOKUP($A138&amp;"_"&amp;$B138,Results_Deltas!$A$2:$P$15000,5,FALSE),"")</f>
        <v/>
      </c>
      <c r="H138">
        <f>IFERROR(VLOOKUP($A138,Results_30d_Deltas!$A$2:$H$5000,7,FALSE)-E137,"")</f>
        <v/>
      </c>
      <c r="I138">
        <f>IFERROR(VLOOKUP($A138,Results_30d_Deltas!$A$2:$H$5000,6,FALSE),"")</f>
        <v/>
      </c>
      <c r="L138" t="inlineStr">
        <is>
          <t>NO</t>
        </is>
      </c>
      <c r="IK138" t="inlineStr">
        <is>
          <t>ez_manage.py:4308 top()</t>
        </is>
      </c>
      <c r="IL138" t="inlineStr">
        <is>
          <t>v12_quick_engine.py:2948 x10</t>
        </is>
      </c>
    </row>
    <row r="139" ht="10.5" customHeight="1" s="67">
      <c r="A139" t="inlineStr">
        <is>
          <t>WT_REDUCE_FRAC_LOW</t>
        </is>
      </c>
      <c r="B139" t="inlineStr">
        <is>
          <t>0.5</t>
        </is>
      </c>
      <c r="G139">
        <f>IFERROR(VLOOKUP($A139&amp;"_"&amp;$B139,Results_Deltas!$A$2:$P$15000,5,FALSE),"")</f>
        <v/>
      </c>
      <c r="H139">
        <f>IFERROR(VLOOKUP($A139,Results_30d_Deltas!$A$2:$H$5000,7,FALSE)-E138,"")</f>
        <v/>
      </c>
      <c r="I139">
        <f>IFERROR(VLOOKUP($A139,Results_30d_Deltas!$A$2:$H$5000,6,FALSE),"")</f>
        <v/>
      </c>
      <c r="L139" t="inlineStr">
        <is>
          <t>NO</t>
        </is>
      </c>
      <c r="IK139" t="inlineStr">
        <is>
          <t>ez_manage.py:4308 top()</t>
        </is>
      </c>
      <c r="IL139" t="inlineStr">
        <is>
          <t>v12_quick_engine.py:2948 x10</t>
        </is>
      </c>
    </row>
    <row r="140" ht="10.5" customHeight="1" s="67">
      <c r="A140" t="inlineStr">
        <is>
          <t>WT_REDUCE_FRAC_LOW</t>
        </is>
      </c>
      <c r="B140" t="inlineStr">
        <is>
          <t>1.0</t>
        </is>
      </c>
      <c r="G140">
        <f>IFERROR(VLOOKUP($A140&amp;"_"&amp;$B140,Results_Deltas!$A$2:$P$15000,5,FALSE),"")</f>
        <v/>
      </c>
      <c r="H140">
        <f>IFERROR(VLOOKUP($A140,Results_30d_Deltas!$A$2:$H$5000,7,FALSE)-E139,"")</f>
        <v/>
      </c>
      <c r="I140">
        <f>IFERROR(VLOOKUP($A140,Results_30d_Deltas!$A$2:$H$5000,6,FALSE),"")</f>
        <v/>
      </c>
      <c r="L140" t="inlineStr">
        <is>
          <t>NO</t>
        </is>
      </c>
      <c r="IK140" t="inlineStr">
        <is>
          <t>ez_manage.py:4308 top()</t>
        </is>
      </c>
      <c r="IL140" t="inlineStr">
        <is>
          <t>v12_quick_engine.py:2948 x10</t>
        </is>
      </c>
    </row>
    <row r="141" ht="10.5" customHeight="1" s="67">
      <c r="A141" t="inlineStr">
        <is>
          <t>WT_REDUCE_FRAC_LOW</t>
        </is>
      </c>
      <c r="B141" t="inlineStr">
        <is>
          <t>2.0</t>
        </is>
      </c>
      <c r="G141">
        <f>IFERROR(VLOOKUP($A141&amp;"_"&amp;$B141,Results_Deltas!$A$2:$P$15000,5,FALSE),"")</f>
        <v/>
      </c>
      <c r="H141">
        <f>IFERROR(VLOOKUP($A141,Results_30d_Deltas!$A$2:$H$5000,7,FALSE)-E140,"")</f>
        <v/>
      </c>
      <c r="I141">
        <f>IFERROR(VLOOKUP($A141,Results_30d_Deltas!$A$2:$H$5000,6,FALSE),"")</f>
        <v/>
      </c>
      <c r="L141" t="inlineStr">
        <is>
          <t>NO</t>
        </is>
      </c>
      <c r="IK141" t="inlineStr">
        <is>
          <t>ez_manage.py:4308 top()</t>
        </is>
      </c>
      <c r="IL141" t="inlineStr">
        <is>
          <t>v12_quick_engine.py:2948 x10</t>
        </is>
      </c>
    </row>
    <row r="142" ht="10.5" customHeight="1" s="67">
      <c r="A142" t="inlineStr">
        <is>
          <t>WT_REDUCE_FRAC_MED</t>
        </is>
      </c>
      <c r="B142" t="inlineStr">
        <is>
          <t>0</t>
        </is>
      </c>
      <c r="G142">
        <f>IFERROR(VLOOKUP($A142&amp;"_"&amp;$B142,Results_Deltas!$A$2:$P$15000,5,FALSE),"")</f>
        <v/>
      </c>
      <c r="H142">
        <f>IFERROR(VLOOKUP($A142,Results_30d_Deltas!$A$2:$H$5000,7,FALSE)-E141,"")</f>
        <v/>
      </c>
      <c r="I142">
        <f>IFERROR(VLOOKUP($A142,Results_30d_Deltas!$A$2:$H$5000,6,FALSE),"")</f>
        <v/>
      </c>
      <c r="L142" t="inlineStr">
        <is>
          <t>NO</t>
        </is>
      </c>
      <c r="IK142" t="inlineStr">
        <is>
          <t>ez_manage.py:4309 top()</t>
        </is>
      </c>
      <c r="IL142" t="inlineStr">
        <is>
          <t>v12_quick_engine.py:2949 x14</t>
        </is>
      </c>
    </row>
    <row r="143" ht="10.5" customHeight="1" s="67">
      <c r="A143" t="inlineStr">
        <is>
          <t>WT_REDUCE_FRAC_MED</t>
        </is>
      </c>
      <c r="B143" t="inlineStr">
        <is>
          <t>0.5</t>
        </is>
      </c>
      <c r="G143">
        <f>IFERROR(VLOOKUP($A143&amp;"_"&amp;$B143,Results_Deltas!$A$2:$P$15000,5,FALSE),"")</f>
        <v/>
      </c>
      <c r="H143">
        <f>IFERROR(VLOOKUP($A143,Results_30d_Deltas!$A$2:$H$5000,7,FALSE)-E142,"")</f>
        <v/>
      </c>
      <c r="I143">
        <f>IFERROR(VLOOKUP($A143,Results_30d_Deltas!$A$2:$H$5000,6,FALSE),"")</f>
        <v/>
      </c>
      <c r="L143" t="inlineStr">
        <is>
          <t>YES</t>
        </is>
      </c>
      <c r="IK143" t="inlineStr">
        <is>
          <t>ez_manage.py:4309 top()</t>
        </is>
      </c>
      <c r="IL143" t="inlineStr">
        <is>
          <t>v12_quick_engine.py:2949 x14</t>
        </is>
      </c>
    </row>
    <row r="144" ht="10.5" customHeight="1" s="67">
      <c r="A144" t="inlineStr">
        <is>
          <t>WT_REDUCE_FRAC_MED</t>
        </is>
      </c>
      <c r="B144" t="inlineStr">
        <is>
          <t>1.0</t>
        </is>
      </c>
      <c r="G144">
        <f>IFERROR(VLOOKUP($A144&amp;"_"&amp;$B144,Results_Deltas!$A$2:$P$15000,5,FALSE),"")</f>
        <v/>
      </c>
      <c r="H144">
        <f>IFERROR(VLOOKUP($A144,Results_30d_Deltas!$A$2:$H$5000,7,FALSE)-E143,"")</f>
        <v/>
      </c>
      <c r="I144">
        <f>IFERROR(VLOOKUP($A144,Results_30d_Deltas!$A$2:$H$5000,6,FALSE),"")</f>
        <v/>
      </c>
      <c r="L144" t="inlineStr">
        <is>
          <t>NO</t>
        </is>
      </c>
      <c r="IK144" t="inlineStr">
        <is>
          <t>ez_manage.py:4309 top()</t>
        </is>
      </c>
      <c r="IL144" t="inlineStr">
        <is>
          <t>v12_quick_engine.py:2949 x14</t>
        </is>
      </c>
    </row>
    <row r="145" ht="10.5" customHeight="1" s="67">
      <c r="A145" t="inlineStr">
        <is>
          <t>WT_REDUCE_FRAC_MED</t>
        </is>
      </c>
      <c r="B145" t="inlineStr">
        <is>
          <t>2.0</t>
        </is>
      </c>
      <c r="G145">
        <f>IFERROR(VLOOKUP($A145&amp;"_"&amp;$B145,Results_Deltas!$A$2:$P$15000,5,FALSE),"")</f>
        <v/>
      </c>
      <c r="H145">
        <f>IFERROR(VLOOKUP($A145,Results_30d_Deltas!$A$2:$H$5000,7,FALSE)-E144,"")</f>
        <v/>
      </c>
      <c r="I145">
        <f>IFERROR(VLOOKUP($A145,Results_30d_Deltas!$A$2:$H$5000,6,FALSE),"")</f>
        <v/>
      </c>
      <c r="L145" t="inlineStr">
        <is>
          <t>NO</t>
        </is>
      </c>
      <c r="IK145" t="inlineStr">
        <is>
          <t>ez_manage.py:4309 top()</t>
        </is>
      </c>
      <c r="IL145" t="inlineStr">
        <is>
          <t>v12_quick_engine.py:2949 x14</t>
        </is>
      </c>
    </row>
    <row r="146" ht="15.75" customHeight="1" s="67">
      <c r="A146" t="inlineStr">
        <is>
          <t>ADX_RANGING_THRESHOLD</t>
        </is>
      </c>
      <c r="B146" t="inlineStr">
        <is>
          <t>20</t>
        </is>
      </c>
      <c r="D146" t="inlineStr">
        <is>
          <t>ENTRY, GLOBAL_CHECK, STOCKS_EXIT</t>
        </is>
      </c>
      <c r="G146">
        <f>IFERROR(VLOOKUP($A146&amp;"_"&amp;$B146,Results_Deltas!$A$2:$P$15000,5,FALSE),"")</f>
        <v/>
      </c>
      <c r="H146" t="inlineStr">
        <is>
          <t>Blanket (page end)</t>
        </is>
      </c>
      <c r="L146" t="inlineStr">
        <is>
          <t>NO</t>
        </is>
      </c>
    </row>
    <row r="147" ht="15.75" customHeight="1" s="67">
      <c r="A147" t="inlineStr">
        <is>
          <t>ADX_RANGING_THRESHOLD</t>
        </is>
      </c>
      <c r="B147" t="inlineStr">
        <is>
          <t>25</t>
        </is>
      </c>
      <c r="D147" t="inlineStr">
        <is>
          <t>ENTRY, GLOBAL_CHECK, STOCKS_EXIT</t>
        </is>
      </c>
      <c r="G147">
        <f>IFERROR(VLOOKUP($A147&amp;"_"&amp;$B147,Results_Deltas!$A$2:$P$15000,5,FALSE),"")</f>
        <v/>
      </c>
      <c r="H147" t="inlineStr">
        <is>
          <t>Blanket (page end)</t>
        </is>
      </c>
      <c r="L147" t="inlineStr">
        <is>
          <t>NO</t>
        </is>
      </c>
    </row>
    <row r="148" ht="15.75" customHeight="1" s="67">
      <c r="A148" t="inlineStr">
        <is>
          <t>ADX_RANGING_THRESHOLD</t>
        </is>
      </c>
      <c r="B148" t="inlineStr">
        <is>
          <t>15</t>
        </is>
      </c>
      <c r="D148" t="inlineStr">
        <is>
          <t>ENTRY, GLOBAL_CHECK, STOCKS_EXIT</t>
        </is>
      </c>
      <c r="G148">
        <f>IFERROR(VLOOKUP($A148&amp;"_"&amp;$B148,Results_Deltas!$A$2:$P$15000,5,FALSE),"")</f>
        <v/>
      </c>
      <c r="H148" t="inlineStr">
        <is>
          <t>Blanket (page end)</t>
        </is>
      </c>
      <c r="L148" t="inlineStr">
        <is>
          <t>YES</t>
        </is>
      </c>
    </row>
    <row r="149" ht="15.75" customHeight="1" s="67">
      <c r="A149" t="inlineStr">
        <is>
          <t>ADX_RANGING_THRESHOLD</t>
        </is>
      </c>
      <c r="B149" t="inlineStr">
        <is>
          <t>10</t>
        </is>
      </c>
      <c r="D149" t="inlineStr">
        <is>
          <t>ENTRY, GLOBAL_CHECK, STOCKS_EXIT</t>
        </is>
      </c>
      <c r="G149">
        <f>IFERROR(VLOOKUP($A149&amp;"_"&amp;$B149,Results_Deltas!$A$2:$P$15000,5,FALSE),"")</f>
        <v/>
      </c>
      <c r="H149" t="inlineStr">
        <is>
          <t>Blanket (page end)</t>
        </is>
      </c>
      <c r="L149" t="inlineStr">
        <is>
          <t>NO</t>
        </is>
      </c>
    </row>
    <row r="150" ht="15.75" customHeight="1" s="67">
      <c r="A150" t="inlineStr">
        <is>
          <t>BANDAID_OFF_LOSER_RECOVER_PCT</t>
        </is>
      </c>
      <c r="B150" t="inlineStr">
        <is>
          <t>0</t>
        </is>
      </c>
      <c r="D150" t="inlineStr">
        <is>
          <t>AUGMENT, ENTRY, EXIT, GLOBAL_CHECK, REDUCE, STOCKS_EXIT</t>
        </is>
      </c>
      <c r="G150">
        <f>IFERROR(VLOOKUP($A150&amp;"_"&amp;$B150,Results_Deltas!$A$2:$P$15000,5,FALSE),"")</f>
        <v/>
      </c>
      <c r="H150" t="inlineStr">
        <is>
          <t>Blanket (page end)</t>
        </is>
      </c>
      <c r="L150" t="inlineStr">
        <is>
          <t>NO</t>
        </is>
      </c>
    </row>
    <row r="151" ht="15.75" customHeight="1" s="67">
      <c r="A151" t="inlineStr">
        <is>
          <t>BANDAID_OFF_LOSER_RECOVER_PCT</t>
        </is>
      </c>
      <c r="B151" t="inlineStr">
        <is>
          <t>2.0</t>
        </is>
      </c>
      <c r="D151" t="inlineStr">
        <is>
          <t>AUGMENT, ENTRY, EXIT, GLOBAL_CHECK, REDUCE, STOCKS_EXIT</t>
        </is>
      </c>
      <c r="G151">
        <f>IFERROR(VLOOKUP($A151&amp;"_"&amp;$B151,Results_Deltas!$A$2:$P$15000,5,FALSE),"")</f>
        <v/>
      </c>
      <c r="H151" t="inlineStr">
        <is>
          <t>Blanket (page end)</t>
        </is>
      </c>
      <c r="L151" t="inlineStr">
        <is>
          <t>NO</t>
        </is>
      </c>
    </row>
    <row r="152" ht="15.75" customHeight="1" s="67">
      <c r="A152" t="inlineStr">
        <is>
          <t>BANDAID_OFF_LOSER_RECOVER_PCT</t>
        </is>
      </c>
      <c r="B152" t="inlineStr">
        <is>
          <t>1.0</t>
        </is>
      </c>
      <c r="D152" t="inlineStr">
        <is>
          <t>AUGMENT, ENTRY, EXIT, GLOBAL_CHECK, REDUCE, STOCKS_EXIT</t>
        </is>
      </c>
      <c r="G152">
        <f>IFERROR(VLOOKUP($A152&amp;"_"&amp;$B152,Results_Deltas!$A$2:$P$15000,5,FALSE),"")</f>
        <v/>
      </c>
      <c r="H152" t="inlineStr">
        <is>
          <t>Blanket (page end)</t>
        </is>
      </c>
      <c r="L152" t="inlineStr">
        <is>
          <t>NO</t>
        </is>
      </c>
    </row>
    <row r="153" ht="15.75" customHeight="1" s="67">
      <c r="A153" t="inlineStr">
        <is>
          <t>BANDAID_OFF_LOSER_RECOVER_PCT</t>
        </is>
      </c>
      <c r="B153" t="inlineStr">
        <is>
          <t>0.5</t>
        </is>
      </c>
      <c r="D153" t="inlineStr">
        <is>
          <t>AUGMENT, ENTRY, EXIT, GLOBAL_CHECK, REDUCE, STOCKS_EXIT</t>
        </is>
      </c>
      <c r="G153">
        <f>IFERROR(VLOOKUP($A153&amp;"_"&amp;$B153,Results_Deltas!$A$2:$P$15000,5,FALSE),"")</f>
        <v/>
      </c>
      <c r="H153" t="inlineStr">
        <is>
          <t>Blanket (page end)</t>
        </is>
      </c>
      <c r="L153" t="inlineStr">
        <is>
          <t>NO</t>
        </is>
      </c>
    </row>
    <row r="154" ht="15.75" customHeight="1" s="67">
      <c r="A154" t="inlineStr">
        <is>
          <t>BAND_ARROW_ENABLED</t>
        </is>
      </c>
      <c r="B154" t="inlineStr">
        <is>
          <t>False</t>
        </is>
      </c>
      <c r="D154" t="inlineStr">
        <is>
          <t>GLOBAL_CHECK, STOCKS_EXIT</t>
        </is>
      </c>
      <c r="G154">
        <f>IFERROR(VLOOKUP($A154&amp;"_"&amp;$B154,Results_Deltas!$A$2:$P$15000,5,FALSE),"")</f>
        <v/>
      </c>
      <c r="H154" t="inlineStr">
        <is>
          <t>Blanket (page end)</t>
        </is>
      </c>
      <c r="L154" t="inlineStr">
        <is>
          <t>NO</t>
        </is>
      </c>
    </row>
    <row r="155" ht="15.75" customHeight="1" s="67">
      <c r="A155" t="inlineStr">
        <is>
          <t>BAND_ARROW_ENABLED</t>
        </is>
      </c>
      <c r="B155" t="inlineStr">
        <is>
          <t>True</t>
        </is>
      </c>
      <c r="D155" t="inlineStr">
        <is>
          <t>GLOBAL_CHECK, STOCKS_EXIT</t>
        </is>
      </c>
      <c r="G155">
        <f>IFERROR(VLOOKUP($A155&amp;"_"&amp;$B155,Results_Deltas!$A$2:$P$15000,5,FALSE),"")</f>
        <v/>
      </c>
      <c r="H155" t="inlineStr">
        <is>
          <t>Blanket (page end)</t>
        </is>
      </c>
      <c r="L155" t="inlineStr">
        <is>
          <t>NO</t>
        </is>
      </c>
    </row>
    <row r="156" ht="15.75" customHeight="1" s="67">
      <c r="A156" t="inlineStr">
        <is>
          <t>COOLDOWN_LOCKS_FILTER_TF</t>
        </is>
      </c>
      <c r="B156" t="inlineStr">
        <is>
          <t>OFF</t>
        </is>
      </c>
      <c r="D156" t="inlineStr">
        <is>
          <t>GLOBAL_CHECK</t>
        </is>
      </c>
      <c r="G156">
        <f>IFERROR(VLOOKUP($A156&amp;"_"&amp;$B156,Results_Deltas!$A$2:$P$15000,5,FALSE),"")</f>
        <v/>
      </c>
      <c r="H156" t="inlineStr">
        <is>
          <t>Blanket (page end)</t>
        </is>
      </c>
      <c r="L156" t="inlineStr">
        <is>
          <t>NO</t>
        </is>
      </c>
    </row>
    <row r="157" ht="15.75" customHeight="1" s="67">
      <c r="A157" t="inlineStr">
        <is>
          <t>COOLDOWN_LOCKS_FILTER_TF</t>
        </is>
      </c>
      <c r="B157" t="inlineStr">
        <is>
          <t>D</t>
        </is>
      </c>
      <c r="D157" t="inlineStr">
        <is>
          <t>GLOBAL_CHECK</t>
        </is>
      </c>
      <c r="G157">
        <f>IFERROR(VLOOKUP($A157&amp;"_"&amp;$B157,Results_Deltas!$A$2:$P$15000,5,FALSE),"")</f>
        <v/>
      </c>
      <c r="H157" t="inlineStr">
        <is>
          <t>Blanket (page end)</t>
        </is>
      </c>
      <c r="L157" t="inlineStr">
        <is>
          <t>NO</t>
        </is>
      </c>
    </row>
    <row r="158" ht="15.75" customHeight="1" s="67">
      <c r="A158" t="inlineStr">
        <is>
          <t>COOLDOWN_LOCKS_FILTER_TF</t>
        </is>
      </c>
      <c r="B158" t="inlineStr">
        <is>
          <t>4h</t>
        </is>
      </c>
      <c r="D158" t="inlineStr">
        <is>
          <t>GLOBAL_CHECK</t>
        </is>
      </c>
      <c r="G158">
        <f>IFERROR(VLOOKUP($A158&amp;"_"&amp;$B158,Results_Deltas!$A$2:$P$15000,5,FALSE),"")</f>
        <v/>
      </c>
      <c r="H158" t="inlineStr">
        <is>
          <t>Blanket (page end)</t>
        </is>
      </c>
      <c r="L158" t="inlineStr">
        <is>
          <t>NO</t>
        </is>
      </c>
    </row>
    <row r="159" ht="15.75" customHeight="1" s="67">
      <c r="A159" t="inlineStr">
        <is>
          <t>COOLDOWN_LOCKS_FILTER_TF</t>
        </is>
      </c>
      <c r="B159" t="inlineStr">
        <is>
          <t>1h</t>
        </is>
      </c>
      <c r="D159" t="inlineStr">
        <is>
          <t>GLOBAL_CHECK</t>
        </is>
      </c>
      <c r="G159">
        <f>IFERROR(VLOOKUP($A159&amp;"_"&amp;$B159,Results_Deltas!$A$2:$P$15000,5,FALSE),"")</f>
        <v/>
      </c>
      <c r="H159" t="inlineStr">
        <is>
          <t>Blanket (page end)</t>
        </is>
      </c>
      <c r="L159" t="inlineStr">
        <is>
          <t>NO</t>
        </is>
      </c>
    </row>
    <row r="160" ht="15.75" customHeight="1" s="67">
      <c r="A160" t="inlineStr">
        <is>
          <t>COOLDOWN_LOCKS_FILTER_TF</t>
        </is>
      </c>
      <c r="B160" t="inlineStr">
        <is>
          <t>15m</t>
        </is>
      </c>
      <c r="D160" t="inlineStr">
        <is>
          <t>GLOBAL_CHECK</t>
        </is>
      </c>
      <c r="G160">
        <f>IFERROR(VLOOKUP($A160&amp;"_"&amp;$B160,Results_Deltas!$A$2:$P$15000,5,FALSE),"")</f>
        <v/>
      </c>
      <c r="H160" t="inlineStr">
        <is>
          <t>Blanket (page end)</t>
        </is>
      </c>
      <c r="L160" t="inlineStr">
        <is>
          <t>YES</t>
        </is>
      </c>
    </row>
    <row r="161" ht="15.75" customHeight="1" s="67">
      <c r="A161" t="inlineStr">
        <is>
          <t>CRYPTO_SPIKE_FADE_THRESHOLD_PCT</t>
        </is>
      </c>
      <c r="B161" t="inlineStr">
        <is>
          <t>10</t>
        </is>
      </c>
      <c r="D161" t="inlineStr">
        <is>
          <t>GLOBAL_CHECK, STOCKS_EXIT</t>
        </is>
      </c>
      <c r="G161">
        <f>IFERROR(VLOOKUP($A161&amp;"_"&amp;$B161,Results_Deltas!$A$2:$P$15000,5,FALSE),"")</f>
        <v/>
      </c>
      <c r="H161" t="inlineStr">
        <is>
          <t>Blanket (page end)</t>
        </is>
      </c>
      <c r="L161" t="inlineStr">
        <is>
          <t>YES</t>
        </is>
      </c>
    </row>
    <row r="162" ht="15.75" customHeight="1" s="67">
      <c r="A162" t="inlineStr">
        <is>
          <t>CRYPTO_SPIKE_FADE_THRESHOLD_PCT</t>
        </is>
      </c>
      <c r="B162" t="inlineStr">
        <is>
          <t>12.5</t>
        </is>
      </c>
      <c r="D162" t="inlineStr">
        <is>
          <t>GLOBAL_CHECK, STOCKS_EXIT</t>
        </is>
      </c>
      <c r="G162">
        <f>IFERROR(VLOOKUP($A162&amp;"_"&amp;$B162,Results_Deltas!$A$2:$P$15000,5,FALSE),"")</f>
        <v/>
      </c>
      <c r="H162" t="inlineStr">
        <is>
          <t>Blanket (page end)</t>
        </is>
      </c>
      <c r="L162" t="inlineStr">
        <is>
          <t>NO</t>
        </is>
      </c>
    </row>
    <row r="163" ht="15.75" customHeight="1" s="67">
      <c r="A163" t="inlineStr">
        <is>
          <t>CRYPTO_SPIKE_FADE_THRESHOLD_PCT</t>
        </is>
      </c>
      <c r="B163" t="inlineStr">
        <is>
          <t>7.5</t>
        </is>
      </c>
      <c r="D163" t="inlineStr">
        <is>
          <t>GLOBAL_CHECK, STOCKS_EXIT</t>
        </is>
      </c>
      <c r="G163">
        <f>IFERROR(VLOOKUP($A163&amp;"_"&amp;$B163,Results_Deltas!$A$2:$P$15000,5,FALSE),"")</f>
        <v/>
      </c>
      <c r="H163" t="inlineStr">
        <is>
          <t>Blanket (page end)</t>
        </is>
      </c>
      <c r="L163" t="inlineStr">
        <is>
          <t>NO</t>
        </is>
      </c>
    </row>
    <row r="164" ht="15.75" customHeight="1" s="67">
      <c r="A164" t="inlineStr">
        <is>
          <t>CRYPTO_SPIKE_FADE_THRESHOLD_PCT</t>
        </is>
      </c>
      <c r="B164" t="inlineStr">
        <is>
          <t>5</t>
        </is>
      </c>
      <c r="D164" t="inlineStr">
        <is>
          <t>GLOBAL_CHECK, STOCKS_EXIT</t>
        </is>
      </c>
      <c r="G164">
        <f>IFERROR(VLOOKUP($A164&amp;"_"&amp;$B164,Results_Deltas!$A$2:$P$15000,5,FALSE),"")</f>
        <v/>
      </c>
      <c r="H164" t="inlineStr">
        <is>
          <t>Blanket (page end)</t>
        </is>
      </c>
      <c r="L164" t="inlineStr">
        <is>
          <t>NO</t>
        </is>
      </c>
    </row>
    <row r="165" ht="15.75" customHeight="1" s="67">
      <c r="A165" t="inlineStr">
        <is>
          <t>DC_MOMENT_STRONG_THRESHOLD</t>
        </is>
      </c>
      <c r="B165" t="inlineStr">
        <is>
          <t>40</t>
        </is>
      </c>
      <c r="D165" t="inlineStr">
        <is>
          <t>ENTRY, GLOBAL_CHECK, STOCKS_EXIT</t>
        </is>
      </c>
      <c r="G165">
        <f>IFERROR(VLOOKUP($A165&amp;"_"&amp;$B165,Results_Deltas!$A$2:$P$15000,5,FALSE),"")</f>
        <v/>
      </c>
      <c r="H165" t="inlineStr">
        <is>
          <t>Blanket (page end)</t>
        </is>
      </c>
      <c r="L165" t="inlineStr">
        <is>
          <t>YES</t>
        </is>
      </c>
    </row>
    <row r="166" ht="15.75" customHeight="1" s="67">
      <c r="A166" t="inlineStr">
        <is>
          <t>DC_MOMENT_STRONG_THRESHOLD</t>
        </is>
      </c>
      <c r="B166" t="inlineStr">
        <is>
          <t>50</t>
        </is>
      </c>
      <c r="D166" t="inlineStr">
        <is>
          <t>ENTRY, GLOBAL_CHECK, STOCKS_EXIT</t>
        </is>
      </c>
      <c r="G166">
        <f>IFERROR(VLOOKUP($A166&amp;"_"&amp;$B166,Results_Deltas!$A$2:$P$15000,5,FALSE),"")</f>
        <v/>
      </c>
      <c r="H166" t="inlineStr">
        <is>
          <t>Blanket (page end)</t>
        </is>
      </c>
      <c r="L166" t="inlineStr">
        <is>
          <t>NO</t>
        </is>
      </c>
    </row>
    <row r="167" ht="15.75" customHeight="1" s="67">
      <c r="A167" t="inlineStr">
        <is>
          <t>DC_MOMENT_STRONG_THRESHOLD</t>
        </is>
      </c>
      <c r="B167" t="inlineStr">
        <is>
          <t>30</t>
        </is>
      </c>
      <c r="D167" t="inlineStr">
        <is>
          <t>ENTRY, GLOBAL_CHECK, STOCKS_EXIT</t>
        </is>
      </c>
      <c r="G167">
        <f>IFERROR(VLOOKUP($A167&amp;"_"&amp;$B167,Results_Deltas!$A$2:$P$15000,5,FALSE),"")</f>
        <v/>
      </c>
      <c r="H167" t="inlineStr">
        <is>
          <t>Blanket (page end)</t>
        </is>
      </c>
      <c r="L167" t="inlineStr">
        <is>
          <t>NO</t>
        </is>
      </c>
    </row>
    <row r="168" ht="15.75" customHeight="1" s="67">
      <c r="A168" t="inlineStr">
        <is>
          <t>DC_MOMENT_STRONG_THRESHOLD</t>
        </is>
      </c>
      <c r="B168" t="inlineStr">
        <is>
          <t>20</t>
        </is>
      </c>
      <c r="D168" t="inlineStr">
        <is>
          <t>ENTRY, GLOBAL_CHECK, STOCKS_EXIT</t>
        </is>
      </c>
      <c r="G168">
        <f>IFERROR(VLOOKUP($A168&amp;"_"&amp;$B168,Results_Deltas!$A$2:$P$15000,5,FALSE),"")</f>
        <v/>
      </c>
      <c r="H168" t="inlineStr">
        <is>
          <t>Blanket (page end)</t>
        </is>
      </c>
      <c r="L168" t="inlineStr">
        <is>
          <t>NO</t>
        </is>
      </c>
    </row>
    <row r="169" ht="15.75" customHeight="1" s="67">
      <c r="A169" t="inlineStr">
        <is>
          <t>DELTA_HTF_GATE</t>
        </is>
      </c>
      <c r="B169" t="inlineStr">
        <is>
          <t>4h</t>
        </is>
      </c>
      <c r="D169" t="inlineStr">
        <is>
          <t>ENTRY, GLOBAL_CHECK, STOCKS_EXIT</t>
        </is>
      </c>
      <c r="G169">
        <f>IFERROR(VLOOKUP($A169&amp;"_"&amp;$B169,Results_Deltas!$A$2:$P$15000,5,FALSE),"")</f>
        <v/>
      </c>
      <c r="H169" t="inlineStr">
        <is>
          <t>Blanket (page end)</t>
        </is>
      </c>
      <c r="L169" t="inlineStr">
        <is>
          <t>NO</t>
        </is>
      </c>
    </row>
    <row r="170" ht="15.75" customHeight="1" s="67">
      <c r="A170" t="inlineStr">
        <is>
          <t>DELTA_HTF_GATE</t>
        </is>
      </c>
      <c r="B170" t="inlineStr">
        <is>
          <t>4h_ALT</t>
        </is>
      </c>
      <c r="D170" t="inlineStr">
        <is>
          <t>ENTRY, GLOBAL_CHECK, STOCKS_EXIT</t>
        </is>
      </c>
      <c r="G170">
        <f>IFERROR(VLOOKUP($A170&amp;"_"&amp;$B170,Results_Deltas!$A$2:$P$15000,5,FALSE),"")</f>
        <v/>
      </c>
      <c r="H170" t="inlineStr">
        <is>
          <t>Blanket (page end)</t>
        </is>
      </c>
      <c r="L170" t="inlineStr">
        <is>
          <t>NO</t>
        </is>
      </c>
    </row>
    <row r="171" ht="15.75" customHeight="1" s="67">
      <c r="A171" t="inlineStr">
        <is>
          <t>DELTA_REENTRY_FILTER_ENABLED</t>
        </is>
      </c>
      <c r="B171" t="inlineStr">
        <is>
          <t>False</t>
        </is>
      </c>
      <c r="D171" t="inlineStr">
        <is>
          <t>ENTRY, GLOBAL_CHECK, STOCKS_EXIT</t>
        </is>
      </c>
      <c r="G171">
        <f>IFERROR(VLOOKUP($A171&amp;"_"&amp;$B171,Results_Deltas!$A$2:$P$15000,5,FALSE),"")</f>
        <v/>
      </c>
      <c r="H171" t="inlineStr">
        <is>
          <t>Blanket (page end)</t>
        </is>
      </c>
      <c r="L171" t="inlineStr">
        <is>
          <t>YES</t>
        </is>
      </c>
    </row>
    <row r="172" ht="15.75" customHeight="1" s="67">
      <c r="A172" t="inlineStr">
        <is>
          <t>DELTA_REENTRY_FILTER_ENABLED</t>
        </is>
      </c>
      <c r="B172" t="inlineStr">
        <is>
          <t>True</t>
        </is>
      </c>
      <c r="D172" t="inlineStr">
        <is>
          <t>ENTRY, GLOBAL_CHECK, STOCKS_EXIT</t>
        </is>
      </c>
      <c r="G172">
        <f>IFERROR(VLOOKUP($A172&amp;"_"&amp;$B172,Results_Deltas!$A$2:$P$15000,5,FALSE),"")</f>
        <v/>
      </c>
      <c r="H172" t="inlineStr">
        <is>
          <t>Blanket (page end)</t>
        </is>
      </c>
      <c r="L172" t="inlineStr">
        <is>
          <t>NO</t>
        </is>
      </c>
    </row>
    <row r="173" ht="15.75" customHeight="1" s="67">
      <c r="A173" t="inlineStr">
        <is>
          <t>DUP_GUARD_FILTER_TF</t>
        </is>
      </c>
      <c r="B173" t="inlineStr">
        <is>
          <t>OFF</t>
        </is>
      </c>
      <c r="D173" t="inlineStr">
        <is>
          <t>GLOBAL_CHECK</t>
        </is>
      </c>
      <c r="G173">
        <f>IFERROR(VLOOKUP($A173&amp;"_"&amp;$B173,Results_Deltas!$A$2:$P$15000,5,FALSE),"")</f>
        <v/>
      </c>
      <c r="H173" t="inlineStr">
        <is>
          <t>Blanket (page end)</t>
        </is>
      </c>
      <c r="L173" t="inlineStr">
        <is>
          <t>NO</t>
        </is>
      </c>
    </row>
    <row r="174" ht="15.75" customHeight="1" s="67">
      <c r="A174" t="inlineStr">
        <is>
          <t>DUP_GUARD_FILTER_TF</t>
        </is>
      </c>
      <c r="B174" t="inlineStr">
        <is>
          <t>D</t>
        </is>
      </c>
      <c r="D174" t="inlineStr">
        <is>
          <t>GLOBAL_CHECK</t>
        </is>
      </c>
      <c r="G174">
        <f>IFERROR(VLOOKUP($A174&amp;"_"&amp;$B174,Results_Deltas!$A$2:$P$15000,5,FALSE),"")</f>
        <v/>
      </c>
      <c r="H174" t="inlineStr">
        <is>
          <t>Blanket (page end)</t>
        </is>
      </c>
      <c r="L174" t="inlineStr">
        <is>
          <t>NO</t>
        </is>
      </c>
    </row>
    <row r="175" ht="15.75" customHeight="1" s="67">
      <c r="A175" t="inlineStr">
        <is>
          <t>DUP_GUARD_FILTER_TF</t>
        </is>
      </c>
      <c r="B175" t="inlineStr">
        <is>
          <t>4h</t>
        </is>
      </c>
      <c r="D175" t="inlineStr">
        <is>
          <t>GLOBAL_CHECK</t>
        </is>
      </c>
      <c r="G175">
        <f>IFERROR(VLOOKUP($A175&amp;"_"&amp;$B175,Results_Deltas!$A$2:$P$15000,5,FALSE),"")</f>
        <v/>
      </c>
      <c r="H175" t="inlineStr">
        <is>
          <t>Blanket (page end)</t>
        </is>
      </c>
      <c r="L175" t="inlineStr">
        <is>
          <t>NO</t>
        </is>
      </c>
    </row>
    <row r="176" ht="15.75" customHeight="1" s="67">
      <c r="A176" t="inlineStr">
        <is>
          <t>DUP_GUARD_FILTER_TF</t>
        </is>
      </c>
      <c r="B176" t="inlineStr">
        <is>
          <t>1h</t>
        </is>
      </c>
      <c r="D176" t="inlineStr">
        <is>
          <t>GLOBAL_CHECK</t>
        </is>
      </c>
      <c r="G176">
        <f>IFERROR(VLOOKUP($A176&amp;"_"&amp;$B176,Results_Deltas!$A$2:$P$15000,5,FALSE),"")</f>
        <v/>
      </c>
      <c r="H176" t="inlineStr">
        <is>
          <t>Blanket (page end)</t>
        </is>
      </c>
      <c r="L176" t="inlineStr">
        <is>
          <t>NO</t>
        </is>
      </c>
    </row>
    <row r="177" ht="15.75" customHeight="1" s="67">
      <c r="A177" t="inlineStr">
        <is>
          <t>DUP_GUARD_FILTER_TF</t>
        </is>
      </c>
      <c r="B177" t="inlineStr">
        <is>
          <t>15m</t>
        </is>
      </c>
      <c r="D177" t="inlineStr">
        <is>
          <t>GLOBAL_CHECK</t>
        </is>
      </c>
      <c r="G177">
        <f>IFERROR(VLOOKUP($A177&amp;"_"&amp;$B177,Results_Deltas!$A$2:$P$15000,5,FALSE),"")</f>
        <v/>
      </c>
      <c r="H177" t="inlineStr">
        <is>
          <t>Blanket (page end)</t>
        </is>
      </c>
      <c r="L177" t="inlineStr">
        <is>
          <t>YES</t>
        </is>
      </c>
    </row>
    <row r="178" ht="15.75" customHeight="1" s="67">
      <c r="A178" t="inlineStr">
        <is>
          <t>EMA_9_21_FILTER_MIN_TFS</t>
        </is>
      </c>
      <c r="B178" t="inlineStr">
        <is>
          <t>0</t>
        </is>
      </c>
      <c r="D178" t="inlineStr">
        <is>
          <t>GLOBAL_CHECK</t>
        </is>
      </c>
      <c r="G178">
        <f>IFERROR(VLOOKUP($A178&amp;"_"&amp;$B178,Results_Deltas!$A$2:$P$15000,5,FALSE),"")</f>
        <v/>
      </c>
      <c r="H178" t="inlineStr">
        <is>
          <t>Blanket (page end)</t>
        </is>
      </c>
      <c r="L178" t="inlineStr">
        <is>
          <t>NO</t>
        </is>
      </c>
    </row>
    <row r="179" ht="15.75" customHeight="1" s="67">
      <c r="A179" t="inlineStr">
        <is>
          <t>EMA_9_21_FILTER_MIN_TFS</t>
        </is>
      </c>
      <c r="B179" t="inlineStr">
        <is>
          <t>2</t>
        </is>
      </c>
      <c r="D179" t="inlineStr">
        <is>
          <t>GLOBAL_CHECK</t>
        </is>
      </c>
      <c r="G179">
        <f>IFERROR(VLOOKUP($A179&amp;"_"&amp;$B179,Results_Deltas!$A$2:$P$15000,5,FALSE),"")</f>
        <v/>
      </c>
      <c r="H179" t="inlineStr">
        <is>
          <t>Blanket (page end)</t>
        </is>
      </c>
      <c r="L179" t="inlineStr">
        <is>
          <t>NO</t>
        </is>
      </c>
    </row>
    <row r="180" ht="15.75" customHeight="1" s="67">
      <c r="A180" t="inlineStr">
        <is>
          <t>EMA_9_21_FILTER_MIN_TFS</t>
        </is>
      </c>
      <c r="B180" t="inlineStr">
        <is>
          <t>1</t>
        </is>
      </c>
      <c r="D180" t="inlineStr">
        <is>
          <t>GLOBAL_CHECK</t>
        </is>
      </c>
      <c r="G180">
        <f>IFERROR(VLOOKUP($A180&amp;"_"&amp;$B180,Results_Deltas!$A$2:$P$15000,5,FALSE),"")</f>
        <v/>
      </c>
      <c r="H180" t="inlineStr">
        <is>
          <t>Blanket (page end)</t>
        </is>
      </c>
      <c r="L180" t="inlineStr">
        <is>
          <t>NO</t>
        </is>
      </c>
    </row>
    <row r="181" ht="15.75" customHeight="1" s="67">
      <c r="A181" t="inlineStr">
        <is>
          <t>EMA_BLANKET_FILTER_ENABLED</t>
        </is>
      </c>
      <c r="B181" t="inlineStr">
        <is>
          <t>False</t>
        </is>
      </c>
      <c r="D181" t="inlineStr">
        <is>
          <t>GLOBAL_CHECK</t>
        </is>
      </c>
      <c r="G181">
        <f>IFERROR(VLOOKUP($A181&amp;"_"&amp;$B181,Results_Deltas!$A$2:$P$15000,5,FALSE),"")</f>
        <v/>
      </c>
      <c r="H181" t="inlineStr">
        <is>
          <t>Blanket (page end)</t>
        </is>
      </c>
      <c r="L181" t="inlineStr">
        <is>
          <t>NO</t>
        </is>
      </c>
    </row>
    <row r="182" ht="15.75" customHeight="1" s="67">
      <c r="A182" t="inlineStr">
        <is>
          <t>EMA_BLANKET_FILTER_ENABLED</t>
        </is>
      </c>
      <c r="B182" t="inlineStr">
        <is>
          <t>True</t>
        </is>
      </c>
      <c r="D182" t="inlineStr">
        <is>
          <t>GLOBAL_CHECK</t>
        </is>
      </c>
      <c r="G182">
        <f>IFERROR(VLOOKUP($A182&amp;"_"&amp;$B182,Results_Deltas!$A$2:$P$15000,5,FALSE),"")</f>
        <v/>
      </c>
      <c r="H182" t="inlineStr">
        <is>
          <t>Blanket (page end)</t>
        </is>
      </c>
      <c r="L182" t="inlineStr">
        <is>
          <t>YES</t>
        </is>
      </c>
    </row>
    <row r="183" ht="15.75" customHeight="1" s="67">
      <c r="A183" t="inlineStr">
        <is>
          <t>EMA_BLANKET_FILTER_MIN_TFS</t>
        </is>
      </c>
      <c r="B183" t="inlineStr">
        <is>
          <t>0</t>
        </is>
      </c>
      <c r="D183" t="inlineStr">
        <is>
          <t>GLOBAL_CHECK</t>
        </is>
      </c>
      <c r="G183">
        <f>IFERROR(VLOOKUP($A183&amp;"_"&amp;$B183,Results_Deltas!$A$2:$P$15000,5,FALSE),"")</f>
        <v/>
      </c>
      <c r="H183" t="inlineStr">
        <is>
          <t>Blanket (page end)</t>
        </is>
      </c>
      <c r="L183" t="inlineStr">
        <is>
          <t>NO</t>
        </is>
      </c>
    </row>
    <row r="184" ht="15.75" customHeight="1" s="67">
      <c r="A184" t="inlineStr">
        <is>
          <t>EMA_BLANKET_FILTER_MIN_TFS</t>
        </is>
      </c>
      <c r="B184" t="inlineStr">
        <is>
          <t>2</t>
        </is>
      </c>
      <c r="D184" t="inlineStr">
        <is>
          <t>GLOBAL_CHECK</t>
        </is>
      </c>
      <c r="G184">
        <f>IFERROR(VLOOKUP($A184&amp;"_"&amp;$B184,Results_Deltas!$A$2:$P$15000,5,FALSE),"")</f>
        <v/>
      </c>
      <c r="H184" t="inlineStr">
        <is>
          <t>Blanket (page end)</t>
        </is>
      </c>
      <c r="L184" t="inlineStr">
        <is>
          <t>NO</t>
        </is>
      </c>
    </row>
    <row r="185" ht="15.75" customHeight="1" s="67">
      <c r="A185" t="inlineStr">
        <is>
          <t>EMA_BLANKET_FILTER_MIN_TFS</t>
        </is>
      </c>
      <c r="B185" t="inlineStr">
        <is>
          <t>1</t>
        </is>
      </c>
      <c r="D185" t="inlineStr">
        <is>
          <t>GLOBAL_CHECK</t>
        </is>
      </c>
      <c r="G185">
        <f>IFERROR(VLOOKUP($A185&amp;"_"&amp;$B185,Results_Deltas!$A$2:$P$15000,5,FALSE),"")</f>
        <v/>
      </c>
      <c r="H185" t="inlineStr">
        <is>
          <t>Blanket (page end)</t>
        </is>
      </c>
      <c r="L185" t="inlineStr">
        <is>
          <t>NO</t>
        </is>
      </c>
    </row>
    <row r="186" ht="15.75" customHeight="1" s="67">
      <c r="A186" t="inlineStr">
        <is>
          <t>EXECUTE_NOW_SINGLE_GATE_ENFORCE</t>
        </is>
      </c>
      <c r="B186" t="inlineStr">
        <is>
          <t>0.0</t>
        </is>
      </c>
      <c r="D186" t="inlineStr">
        <is>
          <t>ENTRY, GLOBAL_CHECK, STOCKS_EXIT</t>
        </is>
      </c>
      <c r="G186">
        <f>IFERROR(VLOOKUP($A186&amp;"_"&amp;$B186,Results_Deltas!$A$2:$P$15000,5,FALSE),"")</f>
        <v/>
      </c>
      <c r="H186" t="inlineStr">
        <is>
          <t>Blanket (page end)</t>
        </is>
      </c>
      <c r="L186" t="inlineStr">
        <is>
          <t>NO</t>
        </is>
      </c>
    </row>
    <row r="187" ht="15.75" customHeight="1" s="67">
      <c r="A187" t="inlineStr">
        <is>
          <t>EXECUTE_NOW_SINGLE_GATE_ENFORCE</t>
        </is>
      </c>
      <c r="B187" t="inlineStr">
        <is>
          <t>0.0_ALT</t>
        </is>
      </c>
      <c r="D187" t="inlineStr">
        <is>
          <t>ENTRY, GLOBAL_CHECK, STOCKS_EXIT</t>
        </is>
      </c>
      <c r="G187">
        <f>IFERROR(VLOOKUP($A187&amp;"_"&amp;$B187,Results_Deltas!$A$2:$P$15000,5,FALSE),"")</f>
        <v/>
      </c>
      <c r="H187" t="inlineStr">
        <is>
          <t>Blanket (page end)</t>
        </is>
      </c>
      <c r="L187" t="inlineStr">
        <is>
          <t>NO</t>
        </is>
      </c>
    </row>
    <row r="188" ht="15.75" customHeight="1" s="67">
      <c r="A188" t="inlineStr">
        <is>
          <t>EZ_MANAGE_THROTTLER_RATE</t>
        </is>
      </c>
      <c r="B188" t="inlineStr">
        <is>
          <t>0.0</t>
        </is>
      </c>
      <c r="D188" t="inlineStr">
        <is>
          <t>GLOBAL_CHECK, STOCKS_EXIT</t>
        </is>
      </c>
      <c r="G188">
        <f>IFERROR(VLOOKUP($A188&amp;"_"&amp;$B188,Results_Deltas!$A$2:$P$15000,5,FALSE),"")</f>
        <v/>
      </c>
      <c r="H188" t="inlineStr">
        <is>
          <t>Blanket (page end)</t>
        </is>
      </c>
      <c r="L188" t="inlineStr">
        <is>
          <t>NO</t>
        </is>
      </c>
    </row>
    <row r="189" ht="15.75" customHeight="1" s="67">
      <c r="A189" t="inlineStr">
        <is>
          <t>EZ_MANAGE_THROTTLER_RATE</t>
        </is>
      </c>
      <c r="B189" t="inlineStr">
        <is>
          <t>0.0_ALT</t>
        </is>
      </c>
      <c r="D189" t="inlineStr">
        <is>
          <t>GLOBAL_CHECK, STOCKS_EXIT</t>
        </is>
      </c>
      <c r="G189">
        <f>IFERROR(VLOOKUP($A189&amp;"_"&amp;$B189,Results_Deltas!$A$2:$P$15000,5,FALSE),"")</f>
        <v/>
      </c>
      <c r="H189" t="inlineStr">
        <is>
          <t>Blanket (page end)</t>
        </is>
      </c>
      <c r="L189" t="inlineStr">
        <is>
          <t>NO</t>
        </is>
      </c>
    </row>
    <row r="190" ht="15.75" customHeight="1" s="67">
      <c r="A190" t="inlineStr">
        <is>
          <t>FG_FEAR_THRESHOLD</t>
        </is>
      </c>
      <c r="B190" t="inlineStr">
        <is>
          <t>25</t>
        </is>
      </c>
      <c r="D190" t="inlineStr">
        <is>
          <t>GLOBAL_CHECK, STOCKS_EXIT</t>
        </is>
      </c>
      <c r="G190">
        <f>IFERROR(VLOOKUP($A190&amp;"_"&amp;$B190,Results_Deltas!$A$2:$P$15000,5,FALSE),"")</f>
        <v/>
      </c>
      <c r="H190" t="inlineStr">
        <is>
          <t>Blanket (page end)</t>
        </is>
      </c>
      <c r="L190" t="inlineStr">
        <is>
          <t>YES</t>
        </is>
      </c>
    </row>
    <row r="191" ht="15.75" customHeight="1" s="67">
      <c r="A191" t="inlineStr">
        <is>
          <t>FG_FEAR_THRESHOLD</t>
        </is>
      </c>
      <c r="B191" t="inlineStr">
        <is>
          <t>31.25</t>
        </is>
      </c>
      <c r="D191" t="inlineStr">
        <is>
          <t>GLOBAL_CHECK, STOCKS_EXIT</t>
        </is>
      </c>
      <c r="G191">
        <f>IFERROR(VLOOKUP($A191&amp;"_"&amp;$B191,Results_Deltas!$A$2:$P$15000,5,FALSE),"")</f>
        <v/>
      </c>
      <c r="H191" t="inlineStr">
        <is>
          <t>Blanket (page end)</t>
        </is>
      </c>
      <c r="L191" t="inlineStr">
        <is>
          <t>NO</t>
        </is>
      </c>
    </row>
    <row r="192" ht="15.75" customHeight="1" s="67">
      <c r="A192" t="inlineStr">
        <is>
          <t>FG_FEAR_THRESHOLD</t>
        </is>
      </c>
      <c r="B192" t="inlineStr">
        <is>
          <t>18.75</t>
        </is>
      </c>
      <c r="D192" t="inlineStr">
        <is>
          <t>GLOBAL_CHECK, STOCKS_EXIT</t>
        </is>
      </c>
      <c r="G192">
        <f>IFERROR(VLOOKUP($A192&amp;"_"&amp;$B192,Results_Deltas!$A$2:$P$15000,5,FALSE),"")</f>
        <v/>
      </c>
      <c r="H192" t="inlineStr">
        <is>
          <t>Blanket (page end)</t>
        </is>
      </c>
      <c r="L192" t="inlineStr">
        <is>
          <t>NO</t>
        </is>
      </c>
    </row>
    <row r="193" ht="15.75" customHeight="1" s="67">
      <c r="A193" t="inlineStr">
        <is>
          <t>FG_FEAR_THRESHOLD</t>
        </is>
      </c>
      <c r="B193" t="inlineStr">
        <is>
          <t>12.5</t>
        </is>
      </c>
      <c r="D193" t="inlineStr">
        <is>
          <t>GLOBAL_CHECK, STOCKS_EXIT</t>
        </is>
      </c>
      <c r="G193">
        <f>IFERROR(VLOOKUP($A193&amp;"_"&amp;$B193,Results_Deltas!$A$2:$P$15000,5,FALSE),"")</f>
        <v/>
      </c>
      <c r="H193" t="inlineStr">
        <is>
          <t>Blanket (page end)</t>
        </is>
      </c>
      <c r="L193" t="inlineStr">
        <is>
          <t>NO</t>
        </is>
      </c>
    </row>
    <row r="194" ht="15.75" customHeight="1" s="67">
      <c r="A194" t="inlineStr">
        <is>
          <t>FG_GREED_THRESHOLD</t>
        </is>
      </c>
      <c r="B194" t="inlineStr">
        <is>
          <t>75</t>
        </is>
      </c>
      <c r="D194" t="inlineStr">
        <is>
          <t>GLOBAL_CHECK, STOCKS_EXIT</t>
        </is>
      </c>
      <c r="G194">
        <f>IFERROR(VLOOKUP($A194&amp;"_"&amp;$B194,Results_Deltas!$A$2:$P$15000,5,FALSE),"")</f>
        <v/>
      </c>
      <c r="H194" t="inlineStr">
        <is>
          <t>Blanket (page end)</t>
        </is>
      </c>
      <c r="L194" t="inlineStr">
        <is>
          <t>YES</t>
        </is>
      </c>
    </row>
    <row r="195" ht="15.75" customHeight="1" s="67">
      <c r="A195" t="inlineStr">
        <is>
          <t>FG_GREED_THRESHOLD</t>
        </is>
      </c>
      <c r="B195" t="inlineStr">
        <is>
          <t>93.75</t>
        </is>
      </c>
      <c r="D195" t="inlineStr">
        <is>
          <t>GLOBAL_CHECK, STOCKS_EXIT</t>
        </is>
      </c>
      <c r="G195">
        <f>IFERROR(VLOOKUP($A195&amp;"_"&amp;$B195,Results_Deltas!$A$2:$P$15000,5,FALSE),"")</f>
        <v/>
      </c>
      <c r="H195" t="inlineStr">
        <is>
          <t>Blanket (page end)</t>
        </is>
      </c>
      <c r="L195" t="inlineStr">
        <is>
          <t>NO</t>
        </is>
      </c>
    </row>
    <row r="196" ht="15.75" customHeight="1" s="67">
      <c r="A196" t="inlineStr">
        <is>
          <t>FG_GREED_THRESHOLD</t>
        </is>
      </c>
      <c r="B196" t="inlineStr">
        <is>
          <t>56.25</t>
        </is>
      </c>
      <c r="D196" t="inlineStr">
        <is>
          <t>GLOBAL_CHECK, STOCKS_EXIT</t>
        </is>
      </c>
      <c r="G196">
        <f>IFERROR(VLOOKUP($A196&amp;"_"&amp;$B196,Results_Deltas!$A$2:$P$15000,5,FALSE),"")</f>
        <v/>
      </c>
      <c r="H196" t="inlineStr">
        <is>
          <t>Blanket (page end)</t>
        </is>
      </c>
      <c r="L196" t="inlineStr">
        <is>
          <t>NO</t>
        </is>
      </c>
    </row>
    <row r="197" ht="15.75" customHeight="1" s="67">
      <c r="A197" t="inlineStr">
        <is>
          <t>FG_GREED_THRESHOLD</t>
        </is>
      </c>
      <c r="B197" t="inlineStr">
        <is>
          <t>37.5</t>
        </is>
      </c>
      <c r="D197" t="inlineStr">
        <is>
          <t>GLOBAL_CHECK, STOCKS_EXIT</t>
        </is>
      </c>
      <c r="G197">
        <f>IFERROR(VLOOKUP($A197&amp;"_"&amp;$B197,Results_Deltas!$A$2:$P$15000,5,FALSE),"")</f>
        <v/>
      </c>
      <c r="H197" t="inlineStr">
        <is>
          <t>Blanket (page end)</t>
        </is>
      </c>
      <c r="L197" t="inlineStr">
        <is>
          <t>NO</t>
        </is>
      </c>
    </row>
    <row r="198" ht="15.75" customHeight="1" s="67">
      <c r="A198" t="inlineStr">
        <is>
          <t>FUNDING_GATE_FILTER_TF</t>
        </is>
      </c>
      <c r="B198" t="inlineStr">
        <is>
          <t>OFF</t>
        </is>
      </c>
      <c r="D198" t="inlineStr">
        <is>
          <t>GLOBAL_CHECK</t>
        </is>
      </c>
      <c r="G198">
        <f>IFERROR(VLOOKUP($A198&amp;"_"&amp;$B198,Results_Deltas!$A$2:$P$15000,5,FALSE),"")</f>
        <v/>
      </c>
      <c r="H198" t="inlineStr">
        <is>
          <t>Blanket (page end)</t>
        </is>
      </c>
      <c r="L198" t="inlineStr">
        <is>
          <t>NO</t>
        </is>
      </c>
    </row>
    <row r="199" ht="15.75" customHeight="1" s="67">
      <c r="A199" t="inlineStr">
        <is>
          <t>FUNDING_GATE_FILTER_TF</t>
        </is>
      </c>
      <c r="B199" t="inlineStr">
        <is>
          <t>D</t>
        </is>
      </c>
      <c r="D199" t="inlineStr">
        <is>
          <t>GLOBAL_CHECK</t>
        </is>
      </c>
      <c r="G199">
        <f>IFERROR(VLOOKUP($A199&amp;"_"&amp;$B199,Results_Deltas!$A$2:$P$15000,5,FALSE),"")</f>
        <v/>
      </c>
      <c r="H199" t="inlineStr">
        <is>
          <t>Blanket (page end)</t>
        </is>
      </c>
      <c r="L199" t="inlineStr">
        <is>
          <t>NO</t>
        </is>
      </c>
    </row>
    <row r="200" ht="15.75" customHeight="1" s="67">
      <c r="A200" t="inlineStr">
        <is>
          <t>FUNDING_GATE_FILTER_TF</t>
        </is>
      </c>
      <c r="B200" t="inlineStr">
        <is>
          <t>4h</t>
        </is>
      </c>
      <c r="D200" t="inlineStr">
        <is>
          <t>GLOBAL_CHECK</t>
        </is>
      </c>
      <c r="G200">
        <f>IFERROR(VLOOKUP($A200&amp;"_"&amp;$B200,Results_Deltas!$A$2:$P$15000,5,FALSE),"")</f>
        <v/>
      </c>
      <c r="H200" t="inlineStr">
        <is>
          <t>Blanket (page end)</t>
        </is>
      </c>
      <c r="L200" t="inlineStr">
        <is>
          <t>NO</t>
        </is>
      </c>
    </row>
    <row r="201" ht="15.75" customHeight="1" s="67">
      <c r="A201" t="inlineStr">
        <is>
          <t>FUNDING_GATE_FILTER_TF</t>
        </is>
      </c>
      <c r="B201" t="inlineStr">
        <is>
          <t>1h</t>
        </is>
      </c>
      <c r="D201" t="inlineStr">
        <is>
          <t>GLOBAL_CHECK</t>
        </is>
      </c>
      <c r="G201">
        <f>IFERROR(VLOOKUP($A201&amp;"_"&amp;$B201,Results_Deltas!$A$2:$P$15000,5,FALSE),"")</f>
        <v/>
      </c>
      <c r="H201" t="inlineStr">
        <is>
          <t>Blanket (page end)</t>
        </is>
      </c>
      <c r="L201" t="inlineStr">
        <is>
          <t>NO</t>
        </is>
      </c>
    </row>
    <row r="202" ht="15.75" customHeight="1" s="67">
      <c r="A202" t="inlineStr">
        <is>
          <t>FUNDING_GATE_FILTER_TF</t>
        </is>
      </c>
      <c r="B202" t="inlineStr">
        <is>
          <t>15m</t>
        </is>
      </c>
      <c r="D202" t="inlineStr">
        <is>
          <t>GLOBAL_CHECK</t>
        </is>
      </c>
      <c r="G202">
        <f>IFERROR(VLOOKUP($A202&amp;"_"&amp;$B202,Results_Deltas!$A$2:$P$15000,5,FALSE),"")</f>
        <v/>
      </c>
      <c r="H202" t="inlineStr">
        <is>
          <t>Blanket (page end)</t>
        </is>
      </c>
      <c r="L202" t="inlineStr">
        <is>
          <t>YES</t>
        </is>
      </c>
    </row>
    <row r="203" ht="15.75" customHeight="1" s="67">
      <c r="A203" t="inlineStr">
        <is>
          <t>FUNDING_GATE_LONG_MAX</t>
        </is>
      </c>
      <c r="B203" t="inlineStr">
        <is>
          <t>0.0</t>
        </is>
      </c>
      <c r="D203" t="inlineStr">
        <is>
          <t>ENTRY, GLOBAL_CHECK, STOCKS_EXIT</t>
        </is>
      </c>
      <c r="G203">
        <f>IFERROR(VLOOKUP($A203&amp;"_"&amp;$B203,Results_Deltas!$A$2:$P$15000,5,FALSE),"")</f>
        <v/>
      </c>
      <c r="H203" t="inlineStr">
        <is>
          <t>Blanket (page end)</t>
        </is>
      </c>
      <c r="L203" t="inlineStr">
        <is>
          <t>NO</t>
        </is>
      </c>
    </row>
    <row r="204" ht="15.75" customHeight="1" s="67">
      <c r="A204" t="inlineStr">
        <is>
          <t>FUNDING_GATE_LONG_MAX</t>
        </is>
      </c>
      <c r="B204" t="inlineStr">
        <is>
          <t>0.0_ALT</t>
        </is>
      </c>
      <c r="D204" t="inlineStr">
        <is>
          <t>ENTRY, GLOBAL_CHECK, STOCKS_EXIT</t>
        </is>
      </c>
      <c r="G204">
        <f>IFERROR(VLOOKUP($A204&amp;"_"&amp;$B204,Results_Deltas!$A$2:$P$15000,5,FALSE),"")</f>
        <v/>
      </c>
      <c r="H204" t="inlineStr">
        <is>
          <t>Blanket (page end)</t>
        </is>
      </c>
      <c r="L204" t="inlineStr">
        <is>
          <t>NO</t>
        </is>
      </c>
    </row>
    <row r="205" ht="15.75" customHeight="1" s="67">
      <c r="A205" t="inlineStr">
        <is>
          <t>FUNDING_GATE_MTF_REQUIRED</t>
        </is>
      </c>
      <c r="B205" t="inlineStr">
        <is>
          <t>0.0</t>
        </is>
      </c>
      <c r="D205" t="inlineStr">
        <is>
          <t>ENTRY, GLOBAL_CHECK, STOCKS_EXIT</t>
        </is>
      </c>
      <c r="G205">
        <f>IFERROR(VLOOKUP($A205&amp;"_"&amp;$B205,Results_Deltas!$A$2:$P$15000,5,FALSE),"")</f>
        <v/>
      </c>
      <c r="H205" t="inlineStr">
        <is>
          <t>Blanket (page end)</t>
        </is>
      </c>
      <c r="L205" t="inlineStr">
        <is>
          <t>NO</t>
        </is>
      </c>
    </row>
    <row r="206" ht="15.75" customHeight="1" s="67">
      <c r="A206" t="inlineStr">
        <is>
          <t>FUNDING_GATE_MTF_REQUIRED</t>
        </is>
      </c>
      <c r="B206" t="inlineStr">
        <is>
          <t>0.0_ALT</t>
        </is>
      </c>
      <c r="D206" t="inlineStr">
        <is>
          <t>ENTRY, GLOBAL_CHECK, STOCKS_EXIT</t>
        </is>
      </c>
      <c r="G206">
        <f>IFERROR(VLOOKUP($A206&amp;"_"&amp;$B206,Results_Deltas!$A$2:$P$15000,5,FALSE),"")</f>
        <v/>
      </c>
      <c r="H206" t="inlineStr">
        <is>
          <t>Blanket (page end)</t>
        </is>
      </c>
      <c r="L206" t="inlineStr">
        <is>
          <t>NO</t>
        </is>
      </c>
    </row>
    <row r="207" ht="15.75" customHeight="1" s="67">
      <c r="A207" t="inlineStr">
        <is>
          <t>FUNDING_GATE_SHORT_MIN</t>
        </is>
      </c>
      <c r="B207" t="inlineStr">
        <is>
          <t>0.0</t>
        </is>
      </c>
      <c r="D207" t="inlineStr">
        <is>
          <t>ENTRY, GLOBAL_CHECK, STOCKS_EXIT</t>
        </is>
      </c>
      <c r="G207">
        <f>IFERROR(VLOOKUP($A207&amp;"_"&amp;$B207,Results_Deltas!$A$2:$P$15000,5,FALSE),"")</f>
        <v/>
      </c>
      <c r="H207" t="inlineStr">
        <is>
          <t>Blanket (page end)</t>
        </is>
      </c>
      <c r="L207" t="inlineStr">
        <is>
          <t>NO</t>
        </is>
      </c>
    </row>
    <row r="208" ht="15.75" customHeight="1" s="67">
      <c r="A208" t="inlineStr">
        <is>
          <t>FUNDING_GATE_SHORT_MIN</t>
        </is>
      </c>
      <c r="B208" t="inlineStr">
        <is>
          <t>0.0_ALT</t>
        </is>
      </c>
      <c r="D208" t="inlineStr">
        <is>
          <t>ENTRY, GLOBAL_CHECK, STOCKS_EXIT</t>
        </is>
      </c>
      <c r="G208">
        <f>IFERROR(VLOOKUP($A208&amp;"_"&amp;$B208,Results_Deltas!$A$2:$P$15000,5,FALSE),"")</f>
        <v/>
      </c>
      <c r="H208" t="inlineStr">
        <is>
          <t>Blanket (page end)</t>
        </is>
      </c>
      <c r="L208" t="inlineStr">
        <is>
          <t>NO</t>
        </is>
      </c>
    </row>
    <row r="209" ht="15.75" customHeight="1" s="67">
      <c r="A209" t="inlineStr">
        <is>
          <t>GOLDEN_RULE_BASE_USD</t>
        </is>
      </c>
      <c r="B209" t="inlineStr">
        <is>
          <t>0.0</t>
        </is>
      </c>
      <c r="D209" t="inlineStr">
        <is>
          <t>GLOBAL_CHECK, STOCKS_EXIT</t>
        </is>
      </c>
      <c r="G209">
        <f>IFERROR(VLOOKUP($A209&amp;"_"&amp;$B209,Results_Deltas!$A$2:$P$15000,5,FALSE),"")</f>
        <v/>
      </c>
      <c r="H209" t="inlineStr">
        <is>
          <t>Blanket (page end)</t>
        </is>
      </c>
      <c r="L209" t="inlineStr">
        <is>
          <t>NO</t>
        </is>
      </c>
    </row>
    <row r="210" ht="15.75" customHeight="1" s="67">
      <c r="A210" t="inlineStr">
        <is>
          <t>GOLDEN_RULE_BASE_USD</t>
        </is>
      </c>
      <c r="B210" t="inlineStr">
        <is>
          <t>0.0_ALT</t>
        </is>
      </c>
      <c r="D210" t="inlineStr">
        <is>
          <t>GLOBAL_CHECK, STOCKS_EXIT</t>
        </is>
      </c>
      <c r="G210">
        <f>IFERROR(VLOOKUP($A210&amp;"_"&amp;$B210,Results_Deltas!$A$2:$P$15000,5,FALSE),"")</f>
        <v/>
      </c>
      <c r="H210" t="inlineStr">
        <is>
          <t>Blanket (page end)</t>
        </is>
      </c>
      <c r="L210" t="inlineStr">
        <is>
          <t>NO</t>
        </is>
      </c>
    </row>
    <row r="211" ht="15.75" customHeight="1" s="67">
      <c r="A211" t="inlineStr">
        <is>
          <t>GR_FILTER_ALL_ENTRIES</t>
        </is>
      </c>
      <c r="B211" t="inlineStr">
        <is>
          <t>0.0</t>
        </is>
      </c>
      <c r="D211" t="inlineStr">
        <is>
          <t>GLOBAL_CHECK, STOCKS_EXIT</t>
        </is>
      </c>
      <c r="G211">
        <f>IFERROR(VLOOKUP($A211&amp;"_"&amp;$B211,Results_Deltas!$A$2:$P$15000,5,FALSE),"")</f>
        <v/>
      </c>
      <c r="H211" t="inlineStr">
        <is>
          <t>Blanket (page end)</t>
        </is>
      </c>
      <c r="L211" t="inlineStr">
        <is>
          <t>NO</t>
        </is>
      </c>
    </row>
    <row r="212" ht="15.75" customHeight="1" s="67">
      <c r="A212" t="inlineStr">
        <is>
          <t>GR_FILTER_ALL_ENTRIES</t>
        </is>
      </c>
      <c r="B212" t="inlineStr">
        <is>
          <t>0.0_ALT</t>
        </is>
      </c>
      <c r="D212" t="inlineStr">
        <is>
          <t>GLOBAL_CHECK, STOCKS_EXIT</t>
        </is>
      </c>
      <c r="G212">
        <f>IFERROR(VLOOKUP($A212&amp;"_"&amp;$B212,Results_Deltas!$A$2:$P$15000,5,FALSE),"")</f>
        <v/>
      </c>
      <c r="H212" t="inlineStr">
        <is>
          <t>Blanket (page end)</t>
        </is>
      </c>
      <c r="L212" t="inlineStr">
        <is>
          <t>NO</t>
        </is>
      </c>
    </row>
    <row r="213" ht="15.75" customHeight="1" s="67">
      <c r="A213" t="inlineStr">
        <is>
          <t>GR_FILTER_VEC_ENABLED</t>
        </is>
      </c>
      <c r="B213" t="inlineStr">
        <is>
          <t>False</t>
        </is>
      </c>
      <c r="D213" t="inlineStr">
        <is>
          <t>GLOBAL_CHECK</t>
        </is>
      </c>
      <c r="G213">
        <f>IFERROR(VLOOKUP($A213&amp;"_"&amp;$B213,Results_Deltas!$A$2:$P$15000,5,FALSE),"")</f>
        <v/>
      </c>
      <c r="H213" t="inlineStr">
        <is>
          <t>Blanket (page end)</t>
        </is>
      </c>
      <c r="L213" t="inlineStr">
        <is>
          <t>NO</t>
        </is>
      </c>
    </row>
    <row r="214" ht="15.75" customHeight="1" s="67">
      <c r="A214" t="inlineStr">
        <is>
          <t>GR_FILTER_VEC_ENABLED</t>
        </is>
      </c>
      <c r="B214" t="inlineStr">
        <is>
          <t>True</t>
        </is>
      </c>
      <c r="D214" t="inlineStr">
        <is>
          <t>GLOBAL_CHECK</t>
        </is>
      </c>
      <c r="G214">
        <f>IFERROR(VLOOKUP($A214&amp;"_"&amp;$B214,Results_Deltas!$A$2:$P$15000,5,FALSE),"")</f>
        <v/>
      </c>
      <c r="H214" t="inlineStr">
        <is>
          <t>Blanket (page end)</t>
        </is>
      </c>
      <c r="L214" t="inlineStr">
        <is>
          <t>NO</t>
        </is>
      </c>
    </row>
    <row r="215" ht="15.75" customHeight="1" s="67">
      <c r="A215" t="inlineStr">
        <is>
          <t>GR_FILTER_VEC_MIN_TFS</t>
        </is>
      </c>
      <c r="B215" t="inlineStr">
        <is>
          <t>0</t>
        </is>
      </c>
      <c r="D215" t="inlineStr">
        <is>
          <t>GLOBAL_CHECK</t>
        </is>
      </c>
      <c r="G215">
        <f>IFERROR(VLOOKUP($A215&amp;"_"&amp;$B215,Results_Deltas!$A$2:$P$15000,5,FALSE),"")</f>
        <v/>
      </c>
      <c r="H215" t="inlineStr">
        <is>
          <t>Blanket (page end)</t>
        </is>
      </c>
      <c r="L215" t="inlineStr">
        <is>
          <t>NO</t>
        </is>
      </c>
    </row>
    <row r="216" ht="15.75" customHeight="1" s="67">
      <c r="A216" t="inlineStr">
        <is>
          <t>GR_FILTER_VEC_MIN_TFS</t>
        </is>
      </c>
      <c r="B216" t="inlineStr">
        <is>
          <t>2</t>
        </is>
      </c>
      <c r="D216" t="inlineStr">
        <is>
          <t>GLOBAL_CHECK</t>
        </is>
      </c>
      <c r="G216">
        <f>IFERROR(VLOOKUP($A216&amp;"_"&amp;$B216,Results_Deltas!$A$2:$P$15000,5,FALSE),"")</f>
        <v/>
      </c>
      <c r="H216" t="inlineStr">
        <is>
          <t>Blanket (page end)</t>
        </is>
      </c>
      <c r="L216" t="inlineStr">
        <is>
          <t>YES</t>
        </is>
      </c>
    </row>
    <row r="217" ht="15.75" customHeight="1" s="67">
      <c r="A217" t="inlineStr">
        <is>
          <t>GR_FILTER_VEC_MIN_TFS</t>
        </is>
      </c>
      <c r="B217" t="inlineStr">
        <is>
          <t>1</t>
        </is>
      </c>
      <c r="D217" t="inlineStr">
        <is>
          <t>GLOBAL_CHECK</t>
        </is>
      </c>
      <c r="G217">
        <f>IFERROR(VLOOKUP($A217&amp;"_"&amp;$B217,Results_Deltas!$A$2:$P$15000,5,FALSE),"")</f>
        <v/>
      </c>
      <c r="H217" t="inlineStr">
        <is>
          <t>Blanket (page end)</t>
        </is>
      </c>
      <c r="L217" t="inlineStr">
        <is>
          <t>NO</t>
        </is>
      </c>
    </row>
    <row r="218" ht="15.75" customHeight="1" s="67">
      <c r="A218" t="inlineStr">
        <is>
          <t>HA_WICK_QUALITY_ENABLED</t>
        </is>
      </c>
      <c r="B218" t="inlineStr">
        <is>
          <t>False</t>
        </is>
      </c>
      <c r="D218" t="inlineStr">
        <is>
          <t>ENTRY, GLOBAL_CHECK, STOCKS_EXIT</t>
        </is>
      </c>
      <c r="G218">
        <f>IFERROR(VLOOKUP($A218&amp;"_"&amp;$B218,Results_Deltas!$A$2:$P$15000,5,FALSE),"")</f>
        <v/>
      </c>
      <c r="H218" t="inlineStr">
        <is>
          <t>Blanket (page end)</t>
        </is>
      </c>
      <c r="L218" t="inlineStr">
        <is>
          <t>NO</t>
        </is>
      </c>
    </row>
    <row r="219" ht="15.75" customHeight="1" s="67">
      <c r="A219" t="inlineStr">
        <is>
          <t>HA_WICK_QUALITY_ENABLED</t>
        </is>
      </c>
      <c r="B219" t="inlineStr">
        <is>
          <t>True</t>
        </is>
      </c>
      <c r="D219" t="inlineStr">
        <is>
          <t>ENTRY, GLOBAL_CHECK, STOCKS_EXIT</t>
        </is>
      </c>
      <c r="G219">
        <f>IFERROR(VLOOKUP($A219&amp;"_"&amp;$B219,Results_Deltas!$A$2:$P$15000,5,FALSE),"")</f>
        <v/>
      </c>
      <c r="H219" t="inlineStr">
        <is>
          <t>Blanket (page end)</t>
        </is>
      </c>
      <c r="L219" t="inlineStr">
        <is>
          <t>YES</t>
        </is>
      </c>
    </row>
    <row r="220" ht="15.75" customHeight="1" s="67">
      <c r="A220" t="inlineStr">
        <is>
          <t>HA_WICK_QUALITY_SCORE</t>
        </is>
      </c>
      <c r="B220" t="inlineStr">
        <is>
          <t>15</t>
        </is>
      </c>
      <c r="D220" t="inlineStr">
        <is>
          <t>ENTRY, GLOBAL_CHECK, STOCKS_EXIT</t>
        </is>
      </c>
      <c r="G220">
        <f>IFERROR(VLOOKUP($A220&amp;"_"&amp;$B220,Results_Deltas!$A$2:$P$15000,5,FALSE),"")</f>
        <v/>
      </c>
      <c r="H220" t="inlineStr">
        <is>
          <t>Blanket (page end)</t>
        </is>
      </c>
      <c r="L220" t="inlineStr">
        <is>
          <t>NO</t>
        </is>
      </c>
    </row>
    <row r="221" ht="15.75" customHeight="1" s="67">
      <c r="A221" t="inlineStr">
        <is>
          <t>HA_WICK_QUALITY_SCORE</t>
        </is>
      </c>
      <c r="B221" t="inlineStr">
        <is>
          <t>15_ALT</t>
        </is>
      </c>
      <c r="D221" t="inlineStr">
        <is>
          <t>ENTRY, GLOBAL_CHECK, STOCKS_EXIT</t>
        </is>
      </c>
      <c r="G221">
        <f>IFERROR(VLOOKUP($A221&amp;"_"&amp;$B221,Results_Deltas!$A$2:$P$15000,5,FALSE),"")</f>
        <v/>
      </c>
      <c r="H221" t="inlineStr">
        <is>
          <t>Blanket (page end)</t>
        </is>
      </c>
      <c r="L221" t="inlineStr">
        <is>
          <t>YES</t>
        </is>
      </c>
    </row>
    <row r="222" ht="15.75" customHeight="1" s="67">
      <c r="A222" t="inlineStr">
        <is>
          <t>HA_WICK_QUALITY_TF</t>
        </is>
      </c>
      <c r="B222" t="inlineStr">
        <is>
          <t>OFF</t>
        </is>
      </c>
      <c r="D222" t="inlineStr">
        <is>
          <t>ENTRY, GLOBAL_CHECK, STOCKS_EXIT</t>
        </is>
      </c>
      <c r="G222">
        <f>IFERROR(VLOOKUP($A222&amp;"_"&amp;$B222,Results_Deltas!$A$2:$P$15000,5,FALSE),"")</f>
        <v/>
      </c>
      <c r="H222" t="inlineStr">
        <is>
          <t>Blanket (page end)</t>
        </is>
      </c>
      <c r="L222" t="inlineStr">
        <is>
          <t>NO</t>
        </is>
      </c>
    </row>
    <row r="223" ht="15.75" customHeight="1" s="67">
      <c r="A223" t="inlineStr">
        <is>
          <t>HA_WICK_QUALITY_TF</t>
        </is>
      </c>
      <c r="B223" t="inlineStr">
        <is>
          <t>D</t>
        </is>
      </c>
      <c r="D223" t="inlineStr">
        <is>
          <t>ENTRY, GLOBAL_CHECK, STOCKS_EXIT</t>
        </is>
      </c>
      <c r="G223">
        <f>IFERROR(VLOOKUP($A223&amp;"_"&amp;$B223,Results_Deltas!$A$2:$P$15000,5,FALSE),"")</f>
        <v/>
      </c>
      <c r="H223" t="inlineStr">
        <is>
          <t>Blanket (page end)</t>
        </is>
      </c>
      <c r="L223" t="inlineStr">
        <is>
          <t>NO</t>
        </is>
      </c>
    </row>
    <row r="224" ht="15.75" customHeight="1" s="67">
      <c r="A224" t="inlineStr">
        <is>
          <t>HA_WICK_QUALITY_TF</t>
        </is>
      </c>
      <c r="B224" t="inlineStr">
        <is>
          <t>4h</t>
        </is>
      </c>
      <c r="D224" t="inlineStr">
        <is>
          <t>ENTRY, GLOBAL_CHECK, STOCKS_EXIT</t>
        </is>
      </c>
      <c r="G224">
        <f>IFERROR(VLOOKUP($A224&amp;"_"&amp;$B224,Results_Deltas!$A$2:$P$15000,5,FALSE),"")</f>
        <v/>
      </c>
      <c r="H224" t="inlineStr">
        <is>
          <t>Blanket (page end)</t>
        </is>
      </c>
      <c r="L224" t="inlineStr">
        <is>
          <t>NO</t>
        </is>
      </c>
    </row>
    <row r="225" ht="15.75" customHeight="1" s="67">
      <c r="A225" t="inlineStr">
        <is>
          <t>HA_WICK_QUALITY_TF</t>
        </is>
      </c>
      <c r="B225" t="inlineStr">
        <is>
          <t>1h</t>
        </is>
      </c>
      <c r="D225" t="inlineStr">
        <is>
          <t>ENTRY, GLOBAL_CHECK, STOCKS_EXIT</t>
        </is>
      </c>
      <c r="G225">
        <f>IFERROR(VLOOKUP($A225&amp;"_"&amp;$B225,Results_Deltas!$A$2:$P$15000,5,FALSE),"")</f>
        <v/>
      </c>
      <c r="H225" t="inlineStr">
        <is>
          <t>Blanket (page end)</t>
        </is>
      </c>
      <c r="L225" t="inlineStr">
        <is>
          <t>NO</t>
        </is>
      </c>
    </row>
    <row r="226" ht="15.75" customHeight="1" s="67">
      <c r="A226" t="inlineStr">
        <is>
          <t>HA_WICK_QUALITY_TF</t>
        </is>
      </c>
      <c r="B226" t="inlineStr">
        <is>
          <t>15m</t>
        </is>
      </c>
      <c r="D226" t="inlineStr">
        <is>
          <t>ENTRY, GLOBAL_CHECK, STOCKS_EXIT</t>
        </is>
      </c>
      <c r="G226">
        <f>IFERROR(VLOOKUP($A226&amp;"_"&amp;$B226,Results_Deltas!$A$2:$P$15000,5,FALSE),"")</f>
        <v/>
      </c>
      <c r="H226" t="inlineStr">
        <is>
          <t>Blanket (page end)</t>
        </is>
      </c>
      <c r="L226" t="inlineStr">
        <is>
          <t>YES</t>
        </is>
      </c>
    </row>
    <row r="227" ht="15.75" customHeight="1" s="67">
      <c r="A227" t="inlineStr">
        <is>
          <t>HLR_SMA_BAND_PCT</t>
        </is>
      </c>
      <c r="B227" t="inlineStr">
        <is>
          <t>0</t>
        </is>
      </c>
      <c r="D227" t="inlineStr">
        <is>
          <t>ENTRY, GLOBAL_CHECK, STOCKS_EXIT</t>
        </is>
      </c>
      <c r="G227">
        <f>IFERROR(VLOOKUP($A227&amp;"_"&amp;$B227,Results_Deltas!$A$2:$P$15000,5,FALSE),"")</f>
        <v/>
      </c>
      <c r="H227" t="inlineStr">
        <is>
          <t>Blanket (page end)</t>
        </is>
      </c>
      <c r="L227" t="inlineStr">
        <is>
          <t>NO</t>
        </is>
      </c>
    </row>
    <row r="228" ht="15.75" customHeight="1" s="67">
      <c r="A228" t="inlineStr">
        <is>
          <t>HLR_SMA_BAND_PCT</t>
        </is>
      </c>
      <c r="B228" t="inlineStr">
        <is>
          <t>2.0</t>
        </is>
      </c>
      <c r="D228" t="inlineStr">
        <is>
          <t>ENTRY, GLOBAL_CHECK, STOCKS_EXIT</t>
        </is>
      </c>
      <c r="G228">
        <f>IFERROR(VLOOKUP($A228&amp;"_"&amp;$B228,Results_Deltas!$A$2:$P$15000,5,FALSE),"")</f>
        <v/>
      </c>
      <c r="H228" t="inlineStr">
        <is>
          <t>Blanket (page end)</t>
        </is>
      </c>
      <c r="L228" t="inlineStr">
        <is>
          <t>NO</t>
        </is>
      </c>
    </row>
    <row r="229" ht="15.75" customHeight="1" s="67">
      <c r="A229" t="inlineStr">
        <is>
          <t>HLR_SMA_BAND_PCT</t>
        </is>
      </c>
      <c r="B229" t="inlineStr">
        <is>
          <t>1.0</t>
        </is>
      </c>
      <c r="D229" t="inlineStr">
        <is>
          <t>ENTRY, GLOBAL_CHECK, STOCKS_EXIT</t>
        </is>
      </c>
      <c r="G229">
        <f>IFERROR(VLOOKUP($A229&amp;"_"&amp;$B229,Results_Deltas!$A$2:$P$15000,5,FALSE),"")</f>
        <v/>
      </c>
      <c r="H229" t="inlineStr">
        <is>
          <t>Blanket (page end)</t>
        </is>
      </c>
      <c r="L229" t="inlineStr">
        <is>
          <t>NO</t>
        </is>
      </c>
    </row>
    <row r="230" ht="15.75" customHeight="1" s="67">
      <c r="A230" t="inlineStr">
        <is>
          <t>HLR_SMA_BAND_PCT</t>
        </is>
      </c>
      <c r="B230" t="inlineStr">
        <is>
          <t>0.5</t>
        </is>
      </c>
      <c r="D230" t="inlineStr">
        <is>
          <t>ENTRY, GLOBAL_CHECK, STOCKS_EXIT</t>
        </is>
      </c>
      <c r="G230">
        <f>IFERROR(VLOOKUP($A230&amp;"_"&amp;$B230,Results_Deltas!$A$2:$P$15000,5,FALSE),"")</f>
        <v/>
      </c>
      <c r="H230" t="inlineStr">
        <is>
          <t>Blanket (page end)</t>
        </is>
      </c>
      <c r="L230" t="inlineStr">
        <is>
          <t>NO</t>
        </is>
      </c>
    </row>
    <row r="231" ht="15.75" customHeight="1" s="67">
      <c r="A231" t="inlineStr">
        <is>
          <t>HLR_TOP_MIN_TFS</t>
        </is>
      </c>
      <c r="B231" t="inlineStr">
        <is>
          <t>0</t>
        </is>
      </c>
      <c r="D231" t="inlineStr">
        <is>
          <t>GLOBAL_CHECK, REENTRY, STOCKS_EXIT</t>
        </is>
      </c>
      <c r="G231">
        <f>IFERROR(VLOOKUP($A231&amp;"_"&amp;$B231,Results_Deltas!$A$2:$P$15000,5,FALSE),"")</f>
        <v/>
      </c>
      <c r="H231" t="inlineStr">
        <is>
          <t>Blanket (page end)</t>
        </is>
      </c>
      <c r="L231" t="inlineStr">
        <is>
          <t>NO</t>
        </is>
      </c>
    </row>
    <row r="232" ht="15.75" customHeight="1" s="67">
      <c r="A232" t="inlineStr">
        <is>
          <t>HLR_TOP_MIN_TFS</t>
        </is>
      </c>
      <c r="B232" t="inlineStr">
        <is>
          <t>2</t>
        </is>
      </c>
      <c r="D232" t="inlineStr">
        <is>
          <t>GLOBAL_CHECK, REENTRY, STOCKS_EXIT</t>
        </is>
      </c>
      <c r="G232">
        <f>IFERROR(VLOOKUP($A232&amp;"_"&amp;$B232,Results_Deltas!$A$2:$P$15000,5,FALSE),"")</f>
        <v/>
      </c>
      <c r="H232" t="inlineStr">
        <is>
          <t>Blanket (page end)</t>
        </is>
      </c>
      <c r="L232" t="inlineStr">
        <is>
          <t>NO</t>
        </is>
      </c>
    </row>
    <row r="233" ht="15.75" customHeight="1" s="67">
      <c r="A233" t="inlineStr">
        <is>
          <t>HLR_TOP_MIN_TFS</t>
        </is>
      </c>
      <c r="B233" t="inlineStr">
        <is>
          <t>1</t>
        </is>
      </c>
      <c r="D233" t="inlineStr">
        <is>
          <t>GLOBAL_CHECK, REENTRY, STOCKS_EXIT</t>
        </is>
      </c>
      <c r="G233">
        <f>IFERROR(VLOOKUP($A233&amp;"_"&amp;$B233,Results_Deltas!$A$2:$P$15000,5,FALSE),"")</f>
        <v/>
      </c>
      <c r="H233" t="inlineStr">
        <is>
          <t>Blanket (page end)</t>
        </is>
      </c>
      <c r="L233" t="inlineStr">
        <is>
          <t>YES</t>
        </is>
      </c>
    </row>
    <row r="234" ht="15.75" customHeight="1" s="67">
      <c r="A234" t="inlineStr">
        <is>
          <t>HTF4_CONF</t>
        </is>
      </c>
      <c r="B234" t="inlineStr">
        <is>
          <t>False</t>
        </is>
      </c>
      <c r="D234" t="inlineStr">
        <is>
          <t>GLOBAL_CHECK, STOCKS_EXIT</t>
        </is>
      </c>
      <c r="G234">
        <f>IFERROR(VLOOKUP($A234&amp;"_"&amp;$B234,Results_Deltas!$A$2:$P$15000,5,FALSE),"")</f>
        <v/>
      </c>
      <c r="H234" t="inlineStr">
        <is>
          <t>Blanket (page end)</t>
        </is>
      </c>
      <c r="L234" t="inlineStr">
        <is>
          <t>NO</t>
        </is>
      </c>
    </row>
    <row r="235" ht="15.75" customHeight="1" s="67">
      <c r="A235" t="inlineStr">
        <is>
          <t>HTF4_CONF</t>
        </is>
      </c>
      <c r="B235" t="inlineStr">
        <is>
          <t>False_ALT</t>
        </is>
      </c>
      <c r="D235" t="inlineStr">
        <is>
          <t>GLOBAL_CHECK, STOCKS_EXIT</t>
        </is>
      </c>
      <c r="G235">
        <f>IFERROR(VLOOKUP($A235&amp;"_"&amp;$B235,Results_Deltas!$A$2:$P$15000,5,FALSE),"")</f>
        <v/>
      </c>
      <c r="H235" t="inlineStr">
        <is>
          <t>Blanket (page end)</t>
        </is>
      </c>
      <c r="L235" t="inlineStr">
        <is>
          <t>NO</t>
        </is>
      </c>
    </row>
    <row r="236" ht="15.75" customHeight="1" s="67">
      <c r="A236" t="inlineStr">
        <is>
          <t>HTF_DIRECTION_GATE_ENABLED</t>
        </is>
      </c>
      <c r="B236" t="inlineStr">
        <is>
          <t>False</t>
        </is>
      </c>
      <c r="D236" t="inlineStr">
        <is>
          <t>ENTRY, GLOBAL_CHECK, STOCKS_EXIT</t>
        </is>
      </c>
      <c r="G236">
        <f>IFERROR(VLOOKUP($A236&amp;"_"&amp;$B236,Results_Deltas!$A$2:$P$15000,5,FALSE),"")</f>
        <v/>
      </c>
      <c r="H236" t="inlineStr">
        <is>
          <t>Blanket (page end)</t>
        </is>
      </c>
      <c r="L236" t="inlineStr">
        <is>
          <t>NO</t>
        </is>
      </c>
    </row>
    <row r="237" ht="15.75" customHeight="1" s="67">
      <c r="A237" t="inlineStr">
        <is>
          <t>HTF_DIRECTION_GATE_ENABLED</t>
        </is>
      </c>
      <c r="B237" t="inlineStr">
        <is>
          <t>True</t>
        </is>
      </c>
      <c r="D237" t="inlineStr">
        <is>
          <t>ENTRY, GLOBAL_CHECK, STOCKS_EXIT</t>
        </is>
      </c>
      <c r="G237">
        <f>IFERROR(VLOOKUP($A237&amp;"_"&amp;$B237,Results_Deltas!$A$2:$P$15000,5,FALSE),"")</f>
        <v/>
      </c>
      <c r="H237" t="inlineStr">
        <is>
          <t>Blanket (page end)</t>
        </is>
      </c>
      <c r="L237" t="inlineStr">
        <is>
          <t>YES</t>
        </is>
      </c>
    </row>
    <row r="238" ht="15.75" customHeight="1" s="67">
      <c r="A238" t="inlineStr">
        <is>
          <t>HTF_GATE_BYPASS_RZ</t>
        </is>
      </c>
      <c r="B238" t="inlineStr">
        <is>
          <t>0.0</t>
        </is>
      </c>
      <c r="D238" t="inlineStr">
        <is>
          <t>ENTRY, GLOBAL_CHECK, STOCKS_EXIT</t>
        </is>
      </c>
      <c r="G238">
        <f>IFERROR(VLOOKUP($A238&amp;"_"&amp;$B238,Results_Deltas!$A$2:$P$15000,5,FALSE),"")</f>
        <v/>
      </c>
      <c r="H238" t="inlineStr">
        <is>
          <t>Blanket (page end)</t>
        </is>
      </c>
      <c r="L238" t="inlineStr">
        <is>
          <t>NO</t>
        </is>
      </c>
    </row>
    <row r="239" ht="15.75" customHeight="1" s="67">
      <c r="A239" t="inlineStr">
        <is>
          <t>HTF_GATE_BYPASS_RZ</t>
        </is>
      </c>
      <c r="B239" t="inlineStr">
        <is>
          <t>0.0_ALT</t>
        </is>
      </c>
      <c r="D239" t="inlineStr">
        <is>
          <t>ENTRY, GLOBAL_CHECK, STOCKS_EXIT</t>
        </is>
      </c>
      <c r="G239">
        <f>IFERROR(VLOOKUP($A239&amp;"_"&amp;$B239,Results_Deltas!$A$2:$P$15000,5,FALSE),"")</f>
        <v/>
      </c>
      <c r="H239" t="inlineStr">
        <is>
          <t>Blanket (page end)</t>
        </is>
      </c>
      <c r="L239" t="inlineStr">
        <is>
          <t>NO</t>
        </is>
      </c>
    </row>
    <row r="240" ht="15.75" customHeight="1" s="67">
      <c r="A240" t="inlineStr">
        <is>
          <t>HTF_GATE_D_MANDATORY</t>
        </is>
      </c>
      <c r="B240" t="inlineStr">
        <is>
          <t>0.0</t>
        </is>
      </c>
      <c r="D240" t="inlineStr">
        <is>
          <t>ENTRY, GLOBAL_CHECK, STOCKS_EXIT</t>
        </is>
      </c>
      <c r="G240">
        <f>IFERROR(VLOOKUP($A240&amp;"_"&amp;$B240,Results_Deltas!$A$2:$P$15000,5,FALSE),"")</f>
        <v/>
      </c>
      <c r="H240" t="inlineStr">
        <is>
          <t>Blanket (page end)</t>
        </is>
      </c>
      <c r="L240" t="inlineStr">
        <is>
          <t>NO</t>
        </is>
      </c>
    </row>
    <row r="241" ht="15.75" customHeight="1" s="67">
      <c r="A241" t="inlineStr">
        <is>
          <t>HTF_GATE_D_MANDATORY</t>
        </is>
      </c>
      <c r="B241" t="inlineStr">
        <is>
          <t>0.0_ALT</t>
        </is>
      </c>
      <c r="D241" t="inlineStr">
        <is>
          <t>ENTRY, GLOBAL_CHECK, STOCKS_EXIT</t>
        </is>
      </c>
      <c r="G241">
        <f>IFERROR(VLOOKUP($A241&amp;"_"&amp;$B241,Results_Deltas!$A$2:$P$15000,5,FALSE),"")</f>
        <v/>
      </c>
      <c r="H241" t="inlineStr">
        <is>
          <t>Blanket (page end)</t>
        </is>
      </c>
      <c r="L241" t="inlineStr">
        <is>
          <t>NO</t>
        </is>
      </c>
    </row>
    <row r="242" ht="15.75" customHeight="1" s="67">
      <c r="A242" t="inlineStr">
        <is>
          <t>HTF_GATE_MIN_CONFIRMATIONS</t>
        </is>
      </c>
      <c r="B242" t="inlineStr">
        <is>
          <t>0.0</t>
        </is>
      </c>
      <c r="D242" t="inlineStr">
        <is>
          <t>ENTRY, GLOBAL_CHECK, STOCKS_EXIT</t>
        </is>
      </c>
      <c r="G242">
        <f>IFERROR(VLOOKUP($A242&amp;"_"&amp;$B242,Results_Deltas!$A$2:$P$15000,5,FALSE),"")</f>
        <v/>
      </c>
      <c r="H242" t="inlineStr">
        <is>
          <t>Blanket (page end)</t>
        </is>
      </c>
      <c r="L242" t="inlineStr">
        <is>
          <t>NO</t>
        </is>
      </c>
    </row>
    <row r="243" ht="15.75" customHeight="1" s="67">
      <c r="A243" t="inlineStr">
        <is>
          <t>HTF_GATE_MIN_CONFIRMATIONS</t>
        </is>
      </c>
      <c r="B243" t="inlineStr">
        <is>
          <t>0.0_ALT</t>
        </is>
      </c>
      <c r="D243" t="inlineStr">
        <is>
          <t>ENTRY, GLOBAL_CHECK, STOCKS_EXIT</t>
        </is>
      </c>
      <c r="G243">
        <f>IFERROR(VLOOKUP($A243&amp;"_"&amp;$B243,Results_Deltas!$A$2:$P$15000,5,FALSE),"")</f>
        <v/>
      </c>
      <c r="H243" t="inlineStr">
        <is>
          <t>Blanket (page end)</t>
        </is>
      </c>
      <c r="L243" t="inlineStr">
        <is>
          <t>NO</t>
        </is>
      </c>
    </row>
    <row r="244" ht="15.75" customHeight="1" s="67">
      <c r="A244" t="inlineStr">
        <is>
          <t>HTF_TREND_VETO_BYPASS_ENABLED</t>
        </is>
      </c>
      <c r="B244" t="inlineStr">
        <is>
          <t>False</t>
        </is>
      </c>
      <c r="D244" t="inlineStr">
        <is>
          <t>GLOBAL_CHECK, STOCKS_EXIT</t>
        </is>
      </c>
      <c r="G244">
        <f>IFERROR(VLOOKUP($A244&amp;"_"&amp;$B244,Results_Deltas!$A$2:$P$15000,5,FALSE),"")</f>
        <v/>
      </c>
      <c r="H244" t="inlineStr">
        <is>
          <t>Blanket (page end)</t>
        </is>
      </c>
      <c r="L244" t="inlineStr">
        <is>
          <t>NO</t>
        </is>
      </c>
    </row>
    <row r="245" ht="15.75" customHeight="1" s="67">
      <c r="A245" t="inlineStr">
        <is>
          <t>HTF_TREND_VETO_BYPASS_ENABLED</t>
        </is>
      </c>
      <c r="B245" t="inlineStr">
        <is>
          <t>True</t>
        </is>
      </c>
      <c r="D245" t="inlineStr">
        <is>
          <t>GLOBAL_CHECK, STOCKS_EXIT</t>
        </is>
      </c>
      <c r="G245">
        <f>IFERROR(VLOOKUP($A245&amp;"_"&amp;$B245,Results_Deltas!$A$2:$P$15000,5,FALSE),"")</f>
        <v/>
      </c>
      <c r="H245" t="inlineStr">
        <is>
          <t>Blanket (page end)</t>
        </is>
      </c>
      <c r="L245" t="inlineStr">
        <is>
          <t>NO</t>
        </is>
      </c>
    </row>
    <row r="246" ht="15.75" customHeight="1" s="67">
      <c r="A246" t="inlineStr">
        <is>
          <t>HTF_TREND_VETO_BYPASS_REASONS</t>
        </is>
      </c>
      <c r="B246" t="inlineStr">
        <is>
          <t>0.0</t>
        </is>
      </c>
      <c r="D246" t="inlineStr">
        <is>
          <t>GLOBAL_CHECK, STOCKS_EXIT</t>
        </is>
      </c>
      <c r="G246">
        <f>IFERROR(VLOOKUP($A246&amp;"_"&amp;$B246,Results_Deltas!$A$2:$P$15000,5,FALSE),"")</f>
        <v/>
      </c>
      <c r="H246" t="inlineStr">
        <is>
          <t>Blanket (page end)</t>
        </is>
      </c>
      <c r="L246" t="inlineStr">
        <is>
          <t>YES</t>
        </is>
      </c>
    </row>
    <row r="247" ht="15.75" customHeight="1" s="67">
      <c r="A247" t="inlineStr">
        <is>
          <t>HTF_TREND_VETO_BYPASS_REASONS</t>
        </is>
      </c>
      <c r="B247" t="inlineStr">
        <is>
          <t>0.0_ALT</t>
        </is>
      </c>
      <c r="D247" t="inlineStr">
        <is>
          <t>GLOBAL_CHECK, STOCKS_EXIT</t>
        </is>
      </c>
      <c r="G247">
        <f>IFERROR(VLOOKUP($A247&amp;"_"&amp;$B247,Results_Deltas!$A$2:$P$15000,5,FALSE),"")</f>
        <v/>
      </c>
      <c r="H247" t="inlineStr">
        <is>
          <t>Blanket (page end)</t>
        </is>
      </c>
      <c r="L247" t="inlineStr">
        <is>
          <t>NO</t>
        </is>
      </c>
    </row>
    <row r="248" ht="15.75" customHeight="1" s="67">
      <c r="A248" t="inlineStr">
        <is>
          <t>LEADERBOARD_FILTER</t>
        </is>
      </c>
      <c r="B248" t="inlineStr">
        <is>
          <t>False</t>
        </is>
      </c>
      <c r="D248" t="inlineStr">
        <is>
          <t>AUGMENT, ENTRY, EXIT, GLOBAL_CHECK, REDUCE, STOCKS_EXIT</t>
        </is>
      </c>
      <c r="G248">
        <f>IFERROR(VLOOKUP($A248&amp;"_"&amp;$B248,Results_Deltas!$A$2:$P$15000,5,FALSE),"")</f>
        <v/>
      </c>
      <c r="H248" t="inlineStr">
        <is>
          <t>Blanket (page end)</t>
        </is>
      </c>
      <c r="L248" t="inlineStr">
        <is>
          <t>NO</t>
        </is>
      </c>
    </row>
    <row r="249" ht="15.75" customHeight="1" s="67">
      <c r="A249" t="inlineStr">
        <is>
          <t>LEADERBOARD_FILTER</t>
        </is>
      </c>
      <c r="B249" t="inlineStr">
        <is>
          <t>False_ALT</t>
        </is>
      </c>
      <c r="D249" t="inlineStr">
        <is>
          <t>AUGMENT, ENTRY, EXIT, GLOBAL_CHECK, REDUCE, STOCKS_EXIT</t>
        </is>
      </c>
      <c r="G249">
        <f>IFERROR(VLOOKUP($A249&amp;"_"&amp;$B249,Results_Deltas!$A$2:$P$15000,5,FALSE),"")</f>
        <v/>
      </c>
      <c r="H249" t="inlineStr">
        <is>
          <t>Blanket (page end)</t>
        </is>
      </c>
      <c r="L249" t="inlineStr">
        <is>
          <t>NO</t>
        </is>
      </c>
    </row>
    <row r="250" ht="15.75" customHeight="1" s="67">
      <c r="A250" t="inlineStr">
        <is>
          <t>LH_HL_FILTER_ENABLED</t>
        </is>
      </c>
      <c r="B250" t="inlineStr">
        <is>
          <t>False</t>
        </is>
      </c>
      <c r="D250" t="inlineStr">
        <is>
          <t>ENTRY, GLOBAL_CHECK, STOCKS_EXIT</t>
        </is>
      </c>
      <c r="G250">
        <f>IFERROR(VLOOKUP($A250&amp;"_"&amp;$B250,Results_Deltas!$A$2:$P$15000,5,FALSE),"")</f>
        <v/>
      </c>
      <c r="H250" t="inlineStr">
        <is>
          <t>Blanket (page end)</t>
        </is>
      </c>
      <c r="L250" t="inlineStr">
        <is>
          <t>NO</t>
        </is>
      </c>
    </row>
    <row r="251" ht="15.75" customHeight="1" s="67">
      <c r="A251" t="inlineStr">
        <is>
          <t>LH_HL_FILTER_ENABLED</t>
        </is>
      </c>
      <c r="B251" t="inlineStr">
        <is>
          <t>True</t>
        </is>
      </c>
      <c r="D251" t="inlineStr">
        <is>
          <t>ENTRY, GLOBAL_CHECK, STOCKS_EXIT</t>
        </is>
      </c>
      <c r="G251">
        <f>IFERROR(VLOOKUP($A251&amp;"_"&amp;$B251,Results_Deltas!$A$2:$P$15000,5,FALSE),"")</f>
        <v/>
      </c>
      <c r="H251" t="inlineStr">
        <is>
          <t>Blanket (page end)</t>
        </is>
      </c>
      <c r="L251" t="inlineStr">
        <is>
          <t>YES</t>
        </is>
      </c>
    </row>
    <row r="252" ht="15.75" customHeight="1" s="67">
      <c r="A252" t="inlineStr">
        <is>
          <t>LH_HL_FILTER_MODE</t>
        </is>
      </c>
      <c r="B252" t="inlineStr">
        <is>
          <t>STRICT_2BAR</t>
        </is>
      </c>
      <c r="D252" t="inlineStr">
        <is>
          <t>ENTRY, GLOBAL_CHECK, STOCKS_EXIT</t>
        </is>
      </c>
      <c r="G252">
        <f>IFERROR(VLOOKUP($A252&amp;"_"&amp;$B252,Results_Deltas!$A$2:$P$15000,5,FALSE),"")</f>
        <v/>
      </c>
      <c r="H252" t="inlineStr">
        <is>
          <t>Blanket (page end)</t>
        </is>
      </c>
      <c r="L252" t="inlineStr">
        <is>
          <t>NO</t>
        </is>
      </c>
    </row>
    <row r="253" ht="15.75" customHeight="1" s="67">
      <c r="A253" t="inlineStr">
        <is>
          <t>LH_HL_FILTER_MODE</t>
        </is>
      </c>
      <c r="B253" t="inlineStr">
        <is>
          <t>STRICT_2BAR_ALT</t>
        </is>
      </c>
      <c r="D253" t="inlineStr">
        <is>
          <t>ENTRY, GLOBAL_CHECK, STOCKS_EXIT</t>
        </is>
      </c>
      <c r="G253">
        <f>IFERROR(VLOOKUP($A253&amp;"_"&amp;$B253,Results_Deltas!$A$2:$P$15000,5,FALSE),"")</f>
        <v/>
      </c>
      <c r="H253" t="inlineStr">
        <is>
          <t>Blanket (page end)</t>
        </is>
      </c>
      <c r="L253" t="inlineStr">
        <is>
          <t>YES</t>
        </is>
      </c>
    </row>
    <row r="254" ht="15.75" customHeight="1" s="67">
      <c r="A254" t="inlineStr">
        <is>
          <t>LH_HL_FILTER_REQUIRE_BOTH</t>
        </is>
      </c>
      <c r="B254" t="inlineStr">
        <is>
          <t>False</t>
        </is>
      </c>
      <c r="D254" t="inlineStr">
        <is>
          <t>ENTRY, GLOBAL_CHECK, STOCKS_EXIT</t>
        </is>
      </c>
      <c r="G254">
        <f>IFERROR(VLOOKUP($A254&amp;"_"&amp;$B254,Results_Deltas!$A$2:$P$15000,5,FALSE),"")</f>
        <v/>
      </c>
      <c r="H254" t="inlineStr">
        <is>
          <t>Blanket (page end)</t>
        </is>
      </c>
      <c r="L254" t="inlineStr">
        <is>
          <t>NO</t>
        </is>
      </c>
    </row>
    <row r="255" ht="15.75" customHeight="1" s="67">
      <c r="A255" t="inlineStr">
        <is>
          <t>LH_HL_FILTER_REQUIRE_BOTH</t>
        </is>
      </c>
      <c r="B255" t="inlineStr">
        <is>
          <t>False_ALT</t>
        </is>
      </c>
      <c r="D255" t="inlineStr">
        <is>
          <t>ENTRY, GLOBAL_CHECK, STOCKS_EXIT</t>
        </is>
      </c>
      <c r="G255">
        <f>IFERROR(VLOOKUP($A255&amp;"_"&amp;$B255,Results_Deltas!$A$2:$P$15000,5,FALSE),"")</f>
        <v/>
      </c>
      <c r="H255" t="inlineStr">
        <is>
          <t>Blanket (page end)</t>
        </is>
      </c>
      <c r="L255" t="inlineStr">
        <is>
          <t>YES</t>
        </is>
      </c>
    </row>
    <row r="256" ht="15.75" customHeight="1" s="67">
      <c r="A256" t="inlineStr">
        <is>
          <t>LIVE_VEC_EMERGENCY_BRAKE_ENABLED</t>
        </is>
      </c>
      <c r="B256" t="inlineStr">
        <is>
          <t>False</t>
        </is>
      </c>
      <c r="D256" t="inlineStr">
        <is>
          <t>GLOBAL_CHECK, STOCKS_EXIT</t>
        </is>
      </c>
      <c r="G256">
        <f>IFERROR(VLOOKUP($A256&amp;"_"&amp;$B256,Results_Deltas!$A$2:$P$15000,5,FALSE),"")</f>
        <v/>
      </c>
      <c r="H256" t="inlineStr">
        <is>
          <t>Blanket (page end)</t>
        </is>
      </c>
      <c r="L256" t="inlineStr">
        <is>
          <t>NO</t>
        </is>
      </c>
    </row>
    <row r="257" ht="15.75" customHeight="1" s="67">
      <c r="A257" t="inlineStr">
        <is>
          <t>LIVE_VEC_EMERGENCY_BRAKE_ENABLED</t>
        </is>
      </c>
      <c r="B257" t="inlineStr">
        <is>
          <t>True</t>
        </is>
      </c>
      <c r="D257" t="inlineStr">
        <is>
          <t>GLOBAL_CHECK, STOCKS_EXIT</t>
        </is>
      </c>
      <c r="G257">
        <f>IFERROR(VLOOKUP($A257&amp;"_"&amp;$B257,Results_Deltas!$A$2:$P$15000,5,FALSE),"")</f>
        <v/>
      </c>
      <c r="H257" t="inlineStr">
        <is>
          <t>Blanket (page end)</t>
        </is>
      </c>
      <c r="L257" t="inlineStr">
        <is>
          <t>YES</t>
        </is>
      </c>
    </row>
    <row r="258" ht="15.75" customHeight="1" s="67">
      <c r="A258" t="inlineStr">
        <is>
          <t>LR_BAND_LADDER_STOCH_EXTREME</t>
        </is>
      </c>
      <c r="B258" t="inlineStr">
        <is>
          <t>30.0</t>
        </is>
      </c>
      <c r="D258" t="inlineStr">
        <is>
          <t>GLOBAL_CHECK, STOCKS_EXIT</t>
        </is>
      </c>
      <c r="G258">
        <f>IFERROR(VLOOKUP($A258&amp;"_"&amp;$B258,Results_Deltas!$A$2:$P$15000,5,FALSE),"")</f>
        <v/>
      </c>
      <c r="H258" t="inlineStr">
        <is>
          <t>Blanket (page end)</t>
        </is>
      </c>
      <c r="L258" t="inlineStr">
        <is>
          <t>NO</t>
        </is>
      </c>
    </row>
    <row r="259" ht="15.75" customHeight="1" s="67">
      <c r="A259" t="inlineStr">
        <is>
          <t>LR_BAND_LADDER_STOCH_EXTREME</t>
        </is>
      </c>
      <c r="B259" t="inlineStr">
        <is>
          <t>30.0_ALT</t>
        </is>
      </c>
      <c r="D259" t="inlineStr">
        <is>
          <t>GLOBAL_CHECK, STOCKS_EXIT</t>
        </is>
      </c>
      <c r="G259">
        <f>IFERROR(VLOOKUP($A259&amp;"_"&amp;$B259,Results_Deltas!$A$2:$P$15000,5,FALSE),"")</f>
        <v/>
      </c>
      <c r="H259" t="inlineStr">
        <is>
          <t>Blanket (page end)</t>
        </is>
      </c>
      <c r="L259" t="inlineStr">
        <is>
          <t>YES</t>
        </is>
      </c>
    </row>
    <row r="260" ht="15.75" customHeight="1" s="67">
      <c r="A260" t="inlineStr">
        <is>
          <t>LR_BAND_LADDER_TF_BOTTOM</t>
        </is>
      </c>
      <c r="B260" t="inlineStr">
        <is>
          <t>0</t>
        </is>
      </c>
      <c r="D260" t="inlineStr">
        <is>
          <t>GLOBAL_CHECK, STOCKS_EXIT</t>
        </is>
      </c>
      <c r="G260">
        <f>IFERROR(VLOOKUP($A260&amp;"_"&amp;$B260,Results_Deltas!$A$2:$P$15000,5,FALSE),"")</f>
        <v/>
      </c>
      <c r="H260" t="inlineStr">
        <is>
          <t>Blanket (page end)</t>
        </is>
      </c>
      <c r="L260" t="inlineStr">
        <is>
          <t>NO</t>
        </is>
      </c>
    </row>
    <row r="261" ht="15.75" customHeight="1" s="67">
      <c r="A261" t="inlineStr">
        <is>
          <t>LR_BAND_LADDER_TF_BOTTOM</t>
        </is>
      </c>
      <c r="B261" t="inlineStr">
        <is>
          <t>1</t>
        </is>
      </c>
      <c r="D261" t="inlineStr">
        <is>
          <t>GLOBAL_CHECK, STOCKS_EXIT</t>
        </is>
      </c>
      <c r="G261">
        <f>IFERROR(VLOOKUP($A261&amp;"_"&amp;$B261,Results_Deltas!$A$2:$P$15000,5,FALSE),"")</f>
        <v/>
      </c>
      <c r="H261" t="inlineStr">
        <is>
          <t>Blanket (page end)</t>
        </is>
      </c>
      <c r="L261" t="inlineStr">
        <is>
          <t>NO</t>
        </is>
      </c>
    </row>
    <row r="262" ht="15.75" customHeight="1" s="67">
      <c r="A262" t="inlineStr">
        <is>
          <t>LR_BAND_LADDER_TF_TOP</t>
        </is>
      </c>
      <c r="B262" t="inlineStr">
        <is>
          <t>0</t>
        </is>
      </c>
      <c r="D262" t="inlineStr">
        <is>
          <t>GLOBAL_CHECK, STOCKS_EXIT</t>
        </is>
      </c>
      <c r="G262">
        <f>IFERROR(VLOOKUP($A262&amp;"_"&amp;$B262,Results_Deltas!$A$2:$P$15000,5,FALSE),"")</f>
        <v/>
      </c>
      <c r="H262" t="inlineStr">
        <is>
          <t>Blanket (page end)</t>
        </is>
      </c>
      <c r="L262" t="inlineStr">
        <is>
          <t>NO</t>
        </is>
      </c>
    </row>
    <row r="263" ht="15.75" customHeight="1" s="67">
      <c r="A263" t="inlineStr">
        <is>
          <t>LR_BAND_LADDER_TF_TOP</t>
        </is>
      </c>
      <c r="B263" t="inlineStr">
        <is>
          <t>1</t>
        </is>
      </c>
      <c r="D263" t="inlineStr">
        <is>
          <t>GLOBAL_CHECK, STOCKS_EXIT</t>
        </is>
      </c>
      <c r="G263">
        <f>IFERROR(VLOOKUP($A263&amp;"_"&amp;$B263,Results_Deltas!$A$2:$P$15000,5,FALSE),"")</f>
        <v/>
      </c>
      <c r="H263" t="inlineStr">
        <is>
          <t>Blanket (page end)</t>
        </is>
      </c>
      <c r="L263" t="inlineStr">
        <is>
          <t>NO</t>
        </is>
      </c>
    </row>
    <row r="264" ht="15.75" customHeight="1" s="67">
      <c r="A264" t="inlineStr">
        <is>
          <t>MANDATORY_REENTRY_WT_FILTER_MIN_TFS</t>
        </is>
      </c>
      <c r="B264" t="inlineStr">
        <is>
          <t>1</t>
        </is>
      </c>
      <c r="D264" t="inlineStr">
        <is>
          <t>GLOBAL_CHECK, STOCKS_EXIT</t>
        </is>
      </c>
      <c r="G264">
        <f>IFERROR(VLOOKUP($A264&amp;"_"&amp;$B264,Results_Deltas!$A$2:$P$15000,5,FALSE),"")</f>
        <v/>
      </c>
      <c r="H264" t="inlineStr">
        <is>
          <t>Blanket (page end)</t>
        </is>
      </c>
      <c r="L264" t="inlineStr">
        <is>
          <t>NO</t>
        </is>
      </c>
    </row>
    <row r="265" ht="15.75" customHeight="1" s="67">
      <c r="A265" t="inlineStr">
        <is>
          <t>MANDATORY_REENTRY_WT_FILTER_MIN_TFS</t>
        </is>
      </c>
      <c r="B265" t="inlineStr">
        <is>
          <t>3</t>
        </is>
      </c>
      <c r="D265" t="inlineStr">
        <is>
          <t>GLOBAL_CHECK, STOCKS_EXIT</t>
        </is>
      </c>
      <c r="G265">
        <f>IFERROR(VLOOKUP($A265&amp;"_"&amp;$B265,Results_Deltas!$A$2:$P$15000,5,FALSE),"")</f>
        <v/>
      </c>
      <c r="H265" t="inlineStr">
        <is>
          <t>Blanket (page end)</t>
        </is>
      </c>
      <c r="L265" t="inlineStr">
        <is>
          <t>YES</t>
        </is>
      </c>
    </row>
    <row r="266" ht="15.75" customHeight="1" s="67">
      <c r="A266" t="inlineStr">
        <is>
          <t>MANDATORY_REENTRY_WT_FILTER_MIN_TFS</t>
        </is>
      </c>
      <c r="B266" t="inlineStr">
        <is>
          <t>2</t>
        </is>
      </c>
      <c r="D266" t="inlineStr">
        <is>
          <t>GLOBAL_CHECK, STOCKS_EXIT</t>
        </is>
      </c>
      <c r="G266">
        <f>IFERROR(VLOOKUP($A266&amp;"_"&amp;$B266,Results_Deltas!$A$2:$P$15000,5,FALSE),"")</f>
        <v/>
      </c>
      <c r="H266" t="inlineStr">
        <is>
          <t>Blanket (page end)</t>
        </is>
      </c>
      <c r="L266" t="inlineStr">
        <is>
          <t>NO</t>
        </is>
      </c>
    </row>
    <row r="267" ht="15.75" customHeight="1" s="67">
      <c r="A267" t="inlineStr">
        <is>
          <t>MANDATORY_REENTRY_WT_FILTER_MIN_VELOCITY</t>
        </is>
      </c>
      <c r="B267" t="inlineStr">
        <is>
          <t>0.0</t>
        </is>
      </c>
      <c r="D267" t="inlineStr">
        <is>
          <t>GLOBAL_CHECK, STOCKS_EXIT</t>
        </is>
      </c>
      <c r="G267">
        <f>IFERROR(VLOOKUP($A267&amp;"_"&amp;$B267,Results_Deltas!$A$2:$P$15000,5,FALSE),"")</f>
        <v/>
      </c>
      <c r="H267" t="inlineStr">
        <is>
          <t>Blanket (page end)</t>
        </is>
      </c>
      <c r="L267" t="inlineStr">
        <is>
          <t>NO</t>
        </is>
      </c>
    </row>
    <row r="268" ht="15.75" customHeight="1" s="67">
      <c r="A268" t="inlineStr">
        <is>
          <t>MANDATORY_REENTRY_WT_FILTER_MIN_VELOCITY</t>
        </is>
      </c>
      <c r="B268" t="inlineStr">
        <is>
          <t>0.0_ALT</t>
        </is>
      </c>
      <c r="D268" t="inlineStr">
        <is>
          <t>GLOBAL_CHECK, STOCKS_EXIT</t>
        </is>
      </c>
      <c r="G268">
        <f>IFERROR(VLOOKUP($A268&amp;"_"&amp;$B268,Results_Deltas!$A$2:$P$15000,5,FALSE),"")</f>
        <v/>
      </c>
      <c r="H268" t="inlineStr">
        <is>
          <t>Blanket (page end)</t>
        </is>
      </c>
      <c r="L268" t="inlineStr">
        <is>
          <t>YES</t>
        </is>
      </c>
    </row>
    <row r="269" ht="15.75" customHeight="1" s="67">
      <c r="A269" t="inlineStr">
        <is>
          <t>MANDATORY_REENTRY_WT_FILTER_REQUIRE_FLIP</t>
        </is>
      </c>
      <c r="B269" t="inlineStr">
        <is>
          <t>False</t>
        </is>
      </c>
      <c r="D269" t="inlineStr">
        <is>
          <t>GLOBAL_CHECK, STOCKS_EXIT</t>
        </is>
      </c>
      <c r="G269">
        <f>IFERROR(VLOOKUP($A269&amp;"_"&amp;$B269,Results_Deltas!$A$2:$P$15000,5,FALSE),"")</f>
        <v/>
      </c>
      <c r="H269" t="inlineStr">
        <is>
          <t>Blanket (page end)</t>
        </is>
      </c>
      <c r="L269" t="inlineStr">
        <is>
          <t>NO</t>
        </is>
      </c>
    </row>
    <row r="270" ht="15.75" customHeight="1" s="67">
      <c r="A270" t="inlineStr">
        <is>
          <t>MANDATORY_REENTRY_WT_FILTER_REQUIRE_FLIP</t>
        </is>
      </c>
      <c r="B270" t="inlineStr">
        <is>
          <t>False_ALT</t>
        </is>
      </c>
      <c r="D270" t="inlineStr">
        <is>
          <t>GLOBAL_CHECK, STOCKS_EXIT</t>
        </is>
      </c>
      <c r="G270">
        <f>IFERROR(VLOOKUP($A270&amp;"_"&amp;$B270,Results_Deltas!$A$2:$P$15000,5,FALSE),"")</f>
        <v/>
      </c>
      <c r="H270" t="inlineStr">
        <is>
          <t>Blanket (page end)</t>
        </is>
      </c>
      <c r="L270" t="inlineStr">
        <is>
          <t>YES</t>
        </is>
      </c>
    </row>
    <row r="271" ht="15.75" customHeight="1" s="67">
      <c r="A271" t="inlineStr">
        <is>
          <t>MANDATORY_REENTRY_WT_FILTER_VELOCITY_RATIO</t>
        </is>
      </c>
      <c r="B271" t="inlineStr">
        <is>
          <t>0.90</t>
        </is>
      </c>
      <c r="D271" t="inlineStr">
        <is>
          <t>GLOBAL_CHECK, STOCKS_EXIT</t>
        </is>
      </c>
      <c r="G271">
        <f>IFERROR(VLOOKUP($A271&amp;"_"&amp;$B271,Results_Deltas!$A$2:$P$15000,5,FALSE),"")</f>
        <v/>
      </c>
      <c r="H271" t="inlineStr">
        <is>
          <t>Blanket (page end)</t>
        </is>
      </c>
      <c r="L271" t="inlineStr">
        <is>
          <t>NO</t>
        </is>
      </c>
    </row>
    <row r="272" ht="15.75" customHeight="1" s="67">
      <c r="A272" t="inlineStr">
        <is>
          <t>MANDATORY_REENTRY_WT_FILTER_VELOCITY_RATIO</t>
        </is>
      </c>
      <c r="B272" t="inlineStr">
        <is>
          <t>0.90_ALT</t>
        </is>
      </c>
      <c r="D272" t="inlineStr">
        <is>
          <t>GLOBAL_CHECK, STOCKS_EXIT</t>
        </is>
      </c>
      <c r="G272">
        <f>IFERROR(VLOOKUP($A272&amp;"_"&amp;$B272,Results_Deltas!$A$2:$P$15000,5,FALSE),"")</f>
        <v/>
      </c>
      <c r="H272" t="inlineStr">
        <is>
          <t>Blanket (page end)</t>
        </is>
      </c>
      <c r="L272" t="inlineStr">
        <is>
          <t>YES</t>
        </is>
      </c>
    </row>
    <row r="273" ht="15.75" customHeight="1" s="67">
      <c r="A273" t="inlineStr">
        <is>
          <t>MARKET_QUALITY_SCORE_ENABLED</t>
        </is>
      </c>
      <c r="B273" t="inlineStr">
        <is>
          <t>False</t>
        </is>
      </c>
      <c r="D273" t="inlineStr">
        <is>
          <t>ENTRY, GLOBAL_CHECK, STOCKS_EXIT</t>
        </is>
      </c>
      <c r="G273">
        <f>IFERROR(VLOOKUP($A273&amp;"_"&amp;$B273,Results_Deltas!$A$2:$P$15000,5,FALSE),"")</f>
        <v/>
      </c>
      <c r="H273" t="inlineStr">
        <is>
          <t>Blanket (page end)</t>
        </is>
      </c>
      <c r="L273" t="inlineStr">
        <is>
          <t>NO</t>
        </is>
      </c>
    </row>
    <row r="274" ht="15.75" customHeight="1" s="67">
      <c r="A274" t="inlineStr">
        <is>
          <t>MARKET_QUALITY_SCORE_ENABLED</t>
        </is>
      </c>
      <c r="B274" t="inlineStr">
        <is>
          <t>True</t>
        </is>
      </c>
      <c r="D274" t="inlineStr">
        <is>
          <t>ENTRY, GLOBAL_CHECK, STOCKS_EXIT</t>
        </is>
      </c>
      <c r="G274">
        <f>IFERROR(VLOOKUP($A274&amp;"_"&amp;$B274,Results_Deltas!$A$2:$P$15000,5,FALSE),"")</f>
        <v/>
      </c>
      <c r="H274" t="inlineStr">
        <is>
          <t>Blanket (page end)</t>
        </is>
      </c>
      <c r="L274" t="inlineStr">
        <is>
          <t>YES</t>
        </is>
      </c>
    </row>
    <row r="275" ht="15.75" customHeight="1" s="67">
      <c r="A275" t="inlineStr">
        <is>
          <t>MI_TF_AGREE_MIN</t>
        </is>
      </c>
      <c r="B275" t="inlineStr">
        <is>
          <t>0.0</t>
        </is>
      </c>
      <c r="D275" t="inlineStr">
        <is>
          <t>ENTRY, GLOBAL_CHECK, STOCKS_EXIT</t>
        </is>
      </c>
      <c r="G275">
        <f>IFERROR(VLOOKUP($A275&amp;"_"&amp;$B275,Results_Deltas!$A$2:$P$15000,5,FALSE),"")</f>
        <v/>
      </c>
      <c r="H275" t="inlineStr">
        <is>
          <t>Blanket (page end)</t>
        </is>
      </c>
      <c r="L275" t="inlineStr">
        <is>
          <t>NO</t>
        </is>
      </c>
    </row>
    <row r="276" ht="15.75" customHeight="1" s="67">
      <c r="A276" t="inlineStr">
        <is>
          <t>MI_TF_AGREE_MIN</t>
        </is>
      </c>
      <c r="B276" t="inlineStr">
        <is>
          <t>0.0_ALT</t>
        </is>
      </c>
      <c r="D276" t="inlineStr">
        <is>
          <t>ENTRY, GLOBAL_CHECK, STOCKS_EXIT</t>
        </is>
      </c>
      <c r="G276">
        <f>IFERROR(VLOOKUP($A276&amp;"_"&amp;$B276,Results_Deltas!$A$2:$P$15000,5,FALSE),"")</f>
        <v/>
      </c>
      <c r="H276" t="inlineStr">
        <is>
          <t>Blanket (page end)</t>
        </is>
      </c>
      <c r="L276" t="inlineStr">
        <is>
          <t>NO</t>
        </is>
      </c>
    </row>
    <row r="277" ht="15.75" customHeight="1" s="67">
      <c r="A277" t="inlineStr">
        <is>
          <t>MOVER_THRESHOLD</t>
        </is>
      </c>
      <c r="B277" t="inlineStr">
        <is>
          <t>5</t>
        </is>
      </c>
      <c r="D277" t="inlineStr">
        <is>
          <t>ENTRY, GLOBAL_CHECK, STOCKS_EXIT</t>
        </is>
      </c>
      <c r="G277">
        <f>IFERROR(VLOOKUP($A277&amp;"_"&amp;$B277,Results_Deltas!$A$2:$P$15000,5,FALSE),"")</f>
        <v/>
      </c>
      <c r="H277" t="inlineStr">
        <is>
          <t>Blanket (page end)</t>
        </is>
      </c>
      <c r="L277" t="inlineStr">
        <is>
          <t>NO</t>
        </is>
      </c>
    </row>
    <row r="278" ht="15.75" customHeight="1" s="67">
      <c r="A278" t="inlineStr">
        <is>
          <t>MOVER_THRESHOLD</t>
        </is>
      </c>
      <c r="B278" t="inlineStr">
        <is>
          <t>6.25</t>
        </is>
      </c>
      <c r="D278" t="inlineStr">
        <is>
          <t>ENTRY, GLOBAL_CHECK, STOCKS_EXIT</t>
        </is>
      </c>
      <c r="G278">
        <f>IFERROR(VLOOKUP($A278&amp;"_"&amp;$B278,Results_Deltas!$A$2:$P$15000,5,FALSE),"")</f>
        <v/>
      </c>
      <c r="H278" t="inlineStr">
        <is>
          <t>Blanket (page end)</t>
        </is>
      </c>
      <c r="L278" t="inlineStr">
        <is>
          <t>YES</t>
        </is>
      </c>
    </row>
    <row r="279" ht="15.75" customHeight="1" s="67">
      <c r="A279" t="inlineStr">
        <is>
          <t>MOVER_THRESHOLD</t>
        </is>
      </c>
      <c r="B279" t="inlineStr">
        <is>
          <t>3.75</t>
        </is>
      </c>
      <c r="D279" t="inlineStr">
        <is>
          <t>ENTRY, GLOBAL_CHECK, STOCKS_EXIT</t>
        </is>
      </c>
      <c r="G279">
        <f>IFERROR(VLOOKUP($A279&amp;"_"&amp;$B279,Results_Deltas!$A$2:$P$15000,5,FALSE),"")</f>
        <v/>
      </c>
      <c r="H279" t="inlineStr">
        <is>
          <t>Blanket (page end)</t>
        </is>
      </c>
      <c r="L279" t="inlineStr">
        <is>
          <t>NO</t>
        </is>
      </c>
    </row>
    <row r="280" ht="15.75" customHeight="1" s="67">
      <c r="A280" t="inlineStr">
        <is>
          <t>MOVER_THRESHOLD</t>
        </is>
      </c>
      <c r="B280" t="inlineStr">
        <is>
          <t>2.5</t>
        </is>
      </c>
      <c r="D280" t="inlineStr">
        <is>
          <t>ENTRY, GLOBAL_CHECK, STOCKS_EXIT</t>
        </is>
      </c>
      <c r="G280">
        <f>IFERROR(VLOOKUP($A280&amp;"_"&amp;$B280,Results_Deltas!$A$2:$P$15000,5,FALSE),"")</f>
        <v/>
      </c>
      <c r="H280" t="inlineStr">
        <is>
          <t>Blanket (page end)</t>
        </is>
      </c>
      <c r="L280" t="inlineStr">
        <is>
          <t>NO</t>
        </is>
      </c>
    </row>
    <row r="281" ht="15.75" customHeight="1" s="67">
      <c r="A281" t="inlineStr">
        <is>
          <t>MTF_FILTER_STRONG_BUY_QUICK_BYPASS</t>
        </is>
      </c>
      <c r="B281" t="inlineStr">
        <is>
          <t>0.0</t>
        </is>
      </c>
      <c r="D281" t="inlineStr">
        <is>
          <t>GLOBAL_CHECK, STOCKS_EXIT</t>
        </is>
      </c>
      <c r="G281">
        <f>IFERROR(VLOOKUP($A281&amp;"_"&amp;$B281,Results_Deltas!$A$2:$P$15000,5,FALSE),"")</f>
        <v/>
      </c>
      <c r="H281" t="inlineStr">
        <is>
          <t>Blanket (page end)</t>
        </is>
      </c>
      <c r="L281" t="inlineStr">
        <is>
          <t>NO</t>
        </is>
      </c>
    </row>
    <row r="282" ht="15.75" customHeight="1" s="67">
      <c r="A282" t="inlineStr">
        <is>
          <t>MTF_FILTER_STRONG_BUY_QUICK_BYPASS</t>
        </is>
      </c>
      <c r="B282" t="inlineStr">
        <is>
          <t>0.0_ALT</t>
        </is>
      </c>
      <c r="D282" t="inlineStr">
        <is>
          <t>GLOBAL_CHECK, STOCKS_EXIT</t>
        </is>
      </c>
      <c r="G282">
        <f>IFERROR(VLOOKUP($A282&amp;"_"&amp;$B282,Results_Deltas!$A$2:$P$15000,5,FALSE),"")</f>
        <v/>
      </c>
      <c r="H282" t="inlineStr">
        <is>
          <t>Blanket (page end)</t>
        </is>
      </c>
      <c r="L282" t="inlineStr">
        <is>
          <t>NO</t>
        </is>
      </c>
    </row>
    <row r="283" ht="15.75" customHeight="1" s="67">
      <c r="A283" t="inlineStr">
        <is>
          <t>MTF_GR_MIN_IND</t>
        </is>
      </c>
      <c r="B283" t="inlineStr">
        <is>
          <t>5</t>
        </is>
      </c>
      <c r="D283" t="inlineStr">
        <is>
          <t>GLOBAL_CHECK, STOCKS_EXIT</t>
        </is>
      </c>
      <c r="G283">
        <f>IFERROR(VLOOKUP($A283&amp;"_"&amp;$B283,Results_Deltas!$A$2:$P$15000,5,FALSE),"")</f>
        <v/>
      </c>
      <c r="H283" t="inlineStr">
        <is>
          <t>Blanket (page end)</t>
        </is>
      </c>
      <c r="L283" t="inlineStr">
        <is>
          <t>NO</t>
        </is>
      </c>
    </row>
    <row r="284" ht="15.75" customHeight="1" s="67">
      <c r="A284" t="inlineStr">
        <is>
          <t>MTF_GR_MIN_IND</t>
        </is>
      </c>
      <c r="B284" t="inlineStr">
        <is>
          <t>5_ALT</t>
        </is>
      </c>
      <c r="D284" t="inlineStr">
        <is>
          <t>GLOBAL_CHECK, STOCKS_EXIT</t>
        </is>
      </c>
      <c r="G284">
        <f>IFERROR(VLOOKUP($A284&amp;"_"&amp;$B284,Results_Deltas!$A$2:$P$15000,5,FALSE),"")</f>
        <v/>
      </c>
      <c r="H284" t="inlineStr">
        <is>
          <t>Blanket (page end)</t>
        </is>
      </c>
      <c r="L284" t="inlineStr">
        <is>
          <t>NO</t>
        </is>
      </c>
    </row>
    <row r="285" ht="15.75" customHeight="1" s="67">
      <c r="A285" t="inlineStr">
        <is>
          <t>MTS_BOTTOM_BONUS_THRESHOLD</t>
        </is>
      </c>
      <c r="B285" t="inlineStr">
        <is>
          <t>25</t>
        </is>
      </c>
      <c r="D285" t="inlineStr">
        <is>
          <t>ENTRY, GLOBAL_CHECK, STOCKS_EXIT</t>
        </is>
      </c>
      <c r="G285">
        <f>IFERROR(VLOOKUP($A285&amp;"_"&amp;$B285,Results_Deltas!$A$2:$P$15000,5,FALSE),"")</f>
        <v/>
      </c>
      <c r="H285" t="inlineStr">
        <is>
          <t>Blanket (page end)</t>
        </is>
      </c>
      <c r="L285" t="inlineStr">
        <is>
          <t>NO</t>
        </is>
      </c>
    </row>
    <row r="286" ht="15.75" customHeight="1" s="67">
      <c r="A286" t="inlineStr">
        <is>
          <t>MTS_BOTTOM_BONUS_THRESHOLD</t>
        </is>
      </c>
      <c r="B286" t="inlineStr">
        <is>
          <t>31.25</t>
        </is>
      </c>
      <c r="D286" t="inlineStr">
        <is>
          <t>ENTRY, GLOBAL_CHECK, STOCKS_EXIT</t>
        </is>
      </c>
      <c r="G286">
        <f>IFERROR(VLOOKUP($A286&amp;"_"&amp;$B286,Results_Deltas!$A$2:$P$15000,5,FALSE),"")</f>
        <v/>
      </c>
      <c r="H286" t="inlineStr">
        <is>
          <t>Blanket (page end)</t>
        </is>
      </c>
      <c r="L286" t="inlineStr">
        <is>
          <t>YES</t>
        </is>
      </c>
    </row>
    <row r="287" ht="15.75" customHeight="1" s="67">
      <c r="A287" t="inlineStr">
        <is>
          <t>MTS_BOTTOM_BONUS_THRESHOLD</t>
        </is>
      </c>
      <c r="B287" t="inlineStr">
        <is>
          <t>18.75</t>
        </is>
      </c>
      <c r="D287" t="inlineStr">
        <is>
          <t>ENTRY, GLOBAL_CHECK, STOCKS_EXIT</t>
        </is>
      </c>
      <c r="G287">
        <f>IFERROR(VLOOKUP($A287&amp;"_"&amp;$B287,Results_Deltas!$A$2:$P$15000,5,FALSE),"")</f>
        <v/>
      </c>
      <c r="H287" t="inlineStr">
        <is>
          <t>Blanket (page end)</t>
        </is>
      </c>
      <c r="L287" t="inlineStr">
        <is>
          <t>NO</t>
        </is>
      </c>
    </row>
    <row r="288" ht="15.75" customHeight="1" s="67">
      <c r="A288" t="inlineStr">
        <is>
          <t>MTS_BOTTOM_BONUS_THRESHOLD</t>
        </is>
      </c>
      <c r="B288" t="inlineStr">
        <is>
          <t>12.5</t>
        </is>
      </c>
      <c r="D288" t="inlineStr">
        <is>
          <t>ENTRY, GLOBAL_CHECK, STOCKS_EXIT</t>
        </is>
      </c>
      <c r="G288">
        <f>IFERROR(VLOOKUP($A288&amp;"_"&amp;$B288,Results_Deltas!$A$2:$P$15000,5,FALSE),"")</f>
        <v/>
      </c>
      <c r="H288" t="inlineStr">
        <is>
          <t>Blanket (page end)</t>
        </is>
      </c>
      <c r="L288" t="inlineStr">
        <is>
          <t>NO</t>
        </is>
      </c>
    </row>
    <row r="289" ht="15.75" customHeight="1" s="67">
      <c r="A289" t="inlineStr">
        <is>
          <t>MTS_BOTTOM_STRONG_THRESHOLD</t>
        </is>
      </c>
      <c r="B289" t="inlineStr">
        <is>
          <t>40</t>
        </is>
      </c>
      <c r="D289" t="inlineStr">
        <is>
          <t>ENTRY, GLOBAL_CHECK, STOCKS_EXIT</t>
        </is>
      </c>
      <c r="G289">
        <f>IFERROR(VLOOKUP($A289&amp;"_"&amp;$B289,Results_Deltas!$A$2:$P$15000,5,FALSE),"")</f>
        <v/>
      </c>
      <c r="H289" t="inlineStr">
        <is>
          <t>Blanket (page end)</t>
        </is>
      </c>
      <c r="L289" t="inlineStr">
        <is>
          <t>NO</t>
        </is>
      </c>
    </row>
    <row r="290" ht="15.75" customHeight="1" s="67">
      <c r="A290" t="inlineStr">
        <is>
          <t>MTS_BOTTOM_STRONG_THRESHOLD</t>
        </is>
      </c>
      <c r="B290" t="inlineStr">
        <is>
          <t>50</t>
        </is>
      </c>
      <c r="D290" t="inlineStr">
        <is>
          <t>ENTRY, GLOBAL_CHECK, STOCKS_EXIT</t>
        </is>
      </c>
      <c r="G290">
        <f>IFERROR(VLOOKUP($A290&amp;"_"&amp;$B290,Results_Deltas!$A$2:$P$15000,5,FALSE),"")</f>
        <v/>
      </c>
      <c r="H290" t="inlineStr">
        <is>
          <t>Blanket (page end)</t>
        </is>
      </c>
      <c r="L290" t="inlineStr">
        <is>
          <t>YES</t>
        </is>
      </c>
    </row>
    <row r="291" ht="15.75" customHeight="1" s="67">
      <c r="A291" t="inlineStr">
        <is>
          <t>MTS_BOTTOM_STRONG_THRESHOLD</t>
        </is>
      </c>
      <c r="B291" t="inlineStr">
        <is>
          <t>30</t>
        </is>
      </c>
      <c r="D291" t="inlineStr">
        <is>
          <t>ENTRY, GLOBAL_CHECK, STOCKS_EXIT</t>
        </is>
      </c>
      <c r="G291">
        <f>IFERROR(VLOOKUP($A291&amp;"_"&amp;$B291,Results_Deltas!$A$2:$P$15000,5,FALSE),"")</f>
        <v/>
      </c>
      <c r="H291" t="inlineStr">
        <is>
          <t>Blanket (page end)</t>
        </is>
      </c>
      <c r="L291" t="inlineStr">
        <is>
          <t>NO</t>
        </is>
      </c>
    </row>
    <row r="292" ht="15.75" customHeight="1" s="67">
      <c r="A292" t="inlineStr">
        <is>
          <t>MTS_BOTTOM_STRONG_THRESHOLD</t>
        </is>
      </c>
      <c r="B292" t="inlineStr">
        <is>
          <t>20</t>
        </is>
      </c>
      <c r="D292" t="inlineStr">
        <is>
          <t>ENTRY, GLOBAL_CHECK, STOCKS_EXIT</t>
        </is>
      </c>
      <c r="G292">
        <f>IFERROR(VLOOKUP($A292&amp;"_"&amp;$B292,Results_Deltas!$A$2:$P$15000,5,FALSE),"")</f>
        <v/>
      </c>
      <c r="H292" t="inlineStr">
        <is>
          <t>Blanket (page end)</t>
        </is>
      </c>
      <c r="L292" t="inlineStr">
        <is>
          <t>NO</t>
        </is>
      </c>
    </row>
    <row r="293" ht="15.75" customHeight="1" s="67">
      <c r="A293" t="inlineStr">
        <is>
          <t>MTS_GATE_ENABLED</t>
        </is>
      </c>
      <c r="B293" t="inlineStr">
        <is>
          <t>False</t>
        </is>
      </c>
      <c r="D293" t="inlineStr">
        <is>
          <t>ENTRY, GLOBAL_CHECK, STOCKS_EXIT</t>
        </is>
      </c>
      <c r="G293">
        <f>IFERROR(VLOOKUP($A293&amp;"_"&amp;$B293,Results_Deltas!$A$2:$P$15000,5,FALSE),"")</f>
        <v/>
      </c>
      <c r="H293" t="inlineStr">
        <is>
          <t>Blanket (page end)</t>
        </is>
      </c>
      <c r="L293" t="inlineStr">
        <is>
          <t>NO</t>
        </is>
      </c>
    </row>
    <row r="294" ht="15.75" customHeight="1" s="67">
      <c r="A294" t="inlineStr">
        <is>
          <t>MTS_GATE_ENABLED</t>
        </is>
      </c>
      <c r="B294" t="inlineStr">
        <is>
          <t>True</t>
        </is>
      </c>
      <c r="D294" t="inlineStr">
        <is>
          <t>ENTRY, GLOBAL_CHECK, STOCKS_EXIT</t>
        </is>
      </c>
      <c r="G294">
        <f>IFERROR(VLOOKUP($A294&amp;"_"&amp;$B294,Results_Deltas!$A$2:$P$15000,5,FALSE),"")</f>
        <v/>
      </c>
      <c r="H294" t="inlineStr">
        <is>
          <t>Blanket (page end)</t>
        </is>
      </c>
      <c r="L294" t="inlineStr">
        <is>
          <t>NO</t>
        </is>
      </c>
    </row>
    <row r="295" ht="15.75" customHeight="1" s="67">
      <c r="A295" t="inlineStr">
        <is>
          <t>NEWBORN_LOSS_KILL_GAIN_THRESHOLD_PCT</t>
        </is>
      </c>
      <c r="B295" t="inlineStr">
        <is>
          <t>0</t>
        </is>
      </c>
      <c r="D295" t="inlineStr">
        <is>
          <t>AUGMENT, EXIT, GLOBAL_CHECK, REDUCE, STOCKS_EXIT</t>
        </is>
      </c>
      <c r="G295">
        <f>IFERROR(VLOOKUP($A295&amp;"_"&amp;$B295,Results_Deltas!$A$2:$P$15000,5,FALSE),"")</f>
        <v/>
      </c>
      <c r="H295" t="inlineStr">
        <is>
          <t>Blanket (page end)</t>
        </is>
      </c>
      <c r="L295" t="inlineStr">
        <is>
          <t>YES</t>
        </is>
      </c>
    </row>
    <row r="296" ht="15.75" customHeight="1" s="67">
      <c r="A296" t="inlineStr">
        <is>
          <t>NEWBORN_LOSS_KILL_GAIN_THRESHOLD_PCT</t>
        </is>
      </c>
      <c r="B296" t="inlineStr">
        <is>
          <t>2.0</t>
        </is>
      </c>
      <c r="D296" t="inlineStr">
        <is>
          <t>AUGMENT, EXIT, GLOBAL_CHECK, REDUCE, STOCKS_EXIT</t>
        </is>
      </c>
      <c r="G296">
        <f>IFERROR(VLOOKUP($A296&amp;"_"&amp;$B296,Results_Deltas!$A$2:$P$15000,5,FALSE),"")</f>
        <v/>
      </c>
      <c r="H296" t="inlineStr">
        <is>
          <t>Blanket (page end)</t>
        </is>
      </c>
      <c r="L296" t="inlineStr">
        <is>
          <t>YES</t>
        </is>
      </c>
    </row>
    <row r="297" ht="15.75" customHeight="1" s="67">
      <c r="A297" t="inlineStr">
        <is>
          <t>NEWBORN_LOSS_KILL_GAIN_THRESHOLD_PCT</t>
        </is>
      </c>
      <c r="B297" t="inlineStr">
        <is>
          <t>1.0</t>
        </is>
      </c>
      <c r="D297" t="inlineStr">
        <is>
          <t>AUGMENT, EXIT, GLOBAL_CHECK, REDUCE, STOCKS_EXIT</t>
        </is>
      </c>
      <c r="G297">
        <f>IFERROR(VLOOKUP($A297&amp;"_"&amp;$B297,Results_Deltas!$A$2:$P$15000,5,FALSE),"")</f>
        <v/>
      </c>
      <c r="H297" t="inlineStr">
        <is>
          <t>Blanket (page end)</t>
        </is>
      </c>
      <c r="L297" t="inlineStr">
        <is>
          <t>NO</t>
        </is>
      </c>
    </row>
    <row r="298" ht="15.75" customHeight="1" s="67">
      <c r="A298" t="inlineStr">
        <is>
          <t>NEWBORN_LOSS_KILL_GAIN_THRESHOLD_PCT</t>
        </is>
      </c>
      <c r="B298" t="inlineStr">
        <is>
          <t>0.5</t>
        </is>
      </c>
      <c r="D298" t="inlineStr">
        <is>
          <t>AUGMENT, EXIT, GLOBAL_CHECK, REDUCE, STOCKS_EXIT</t>
        </is>
      </c>
      <c r="G298">
        <f>IFERROR(VLOOKUP($A298&amp;"_"&amp;$B298,Results_Deltas!$A$2:$P$15000,5,FALSE),"")</f>
        <v/>
      </c>
      <c r="H298" t="inlineStr">
        <is>
          <t>Blanket (page end)</t>
        </is>
      </c>
      <c r="L298" t="inlineStr">
        <is>
          <t>NO</t>
        </is>
      </c>
    </row>
    <row r="299" ht="15.75" customHeight="1" s="67">
      <c r="A299" t="inlineStr">
        <is>
          <t>NEWBORN_LOSS_KILL_REQUIRE_VEL_AGAINST</t>
        </is>
      </c>
      <c r="B299" t="inlineStr">
        <is>
          <t>0.0</t>
        </is>
      </c>
      <c r="D299" t="inlineStr">
        <is>
          <t>AUGMENT, EXIT, GLOBAL_CHECK, REDUCE, STOCKS_EXIT</t>
        </is>
      </c>
      <c r="G299">
        <f>IFERROR(VLOOKUP($A299&amp;"_"&amp;$B299,Results_Deltas!$A$2:$P$15000,5,FALSE),"")</f>
        <v/>
      </c>
      <c r="H299" t="inlineStr">
        <is>
          <t>Blanket (page end)</t>
        </is>
      </c>
      <c r="L299" t="inlineStr">
        <is>
          <t>NO</t>
        </is>
      </c>
    </row>
    <row r="300" ht="15.75" customHeight="1" s="67">
      <c r="A300" t="inlineStr">
        <is>
          <t>NEWBORN_LOSS_KILL_REQUIRE_VEL_AGAINST</t>
        </is>
      </c>
      <c r="B300" t="inlineStr">
        <is>
          <t>0.0_ALT</t>
        </is>
      </c>
      <c r="D300" t="inlineStr">
        <is>
          <t>AUGMENT, EXIT, GLOBAL_CHECK, REDUCE, STOCKS_EXIT</t>
        </is>
      </c>
      <c r="G300">
        <f>IFERROR(VLOOKUP($A300&amp;"_"&amp;$B300,Results_Deltas!$A$2:$P$15000,5,FALSE),"")</f>
        <v/>
      </c>
      <c r="H300" t="inlineStr">
        <is>
          <t>Blanket (page end)</t>
        </is>
      </c>
      <c r="L300" t="inlineStr">
        <is>
          <t>NO</t>
        </is>
      </c>
    </row>
    <row r="301" ht="15.75" customHeight="1" s="67">
      <c r="A301" t="inlineStr">
        <is>
          <t>NEW_POSITION_MAX_LOSS_THRESHOLD</t>
        </is>
      </c>
      <c r="B301" t="inlineStr">
        <is>
          <t>0</t>
        </is>
      </c>
      <c r="D301" t="inlineStr">
        <is>
          <t>AUGMENT, EXIT, GLOBAL_CHECK, REDUCE, STOCKS_EXIT</t>
        </is>
      </c>
      <c r="G301">
        <f>IFERROR(VLOOKUP($A301&amp;"_"&amp;$B301,Results_Deltas!$A$2:$P$15000,5,FALSE),"")</f>
        <v/>
      </c>
      <c r="H301" t="inlineStr">
        <is>
          <t>Blanket (page end)</t>
        </is>
      </c>
      <c r="L301" t="inlineStr">
        <is>
          <t>NO</t>
        </is>
      </c>
    </row>
    <row r="302" ht="15.75" customHeight="1" s="67">
      <c r="A302" t="inlineStr">
        <is>
          <t>NEW_POSITION_MAX_LOSS_THRESHOLD</t>
        </is>
      </c>
      <c r="B302" t="inlineStr">
        <is>
          <t>2.0</t>
        </is>
      </c>
      <c r="D302" t="inlineStr">
        <is>
          <t>AUGMENT, EXIT, GLOBAL_CHECK, REDUCE, STOCKS_EXIT</t>
        </is>
      </c>
      <c r="G302">
        <f>IFERROR(VLOOKUP($A302&amp;"_"&amp;$B302,Results_Deltas!$A$2:$P$15000,5,FALSE),"")</f>
        <v/>
      </c>
      <c r="H302" t="inlineStr">
        <is>
          <t>Blanket (page end)</t>
        </is>
      </c>
      <c r="L302" t="inlineStr">
        <is>
          <t>NO</t>
        </is>
      </c>
    </row>
    <row r="303" ht="15.75" customHeight="1" s="67">
      <c r="A303" t="inlineStr">
        <is>
          <t>NEW_POSITION_MAX_LOSS_THRESHOLD</t>
        </is>
      </c>
      <c r="B303" t="inlineStr">
        <is>
          <t>1.0</t>
        </is>
      </c>
      <c r="D303" t="inlineStr">
        <is>
          <t>AUGMENT, EXIT, GLOBAL_CHECK, REDUCE, STOCKS_EXIT</t>
        </is>
      </c>
      <c r="G303">
        <f>IFERROR(VLOOKUP($A303&amp;"_"&amp;$B303,Results_Deltas!$A$2:$P$15000,5,FALSE),"")</f>
        <v/>
      </c>
      <c r="H303" t="inlineStr">
        <is>
          <t>Blanket (page end)</t>
        </is>
      </c>
      <c r="L303" t="inlineStr">
        <is>
          <t>NO</t>
        </is>
      </c>
    </row>
    <row r="304" ht="15.75" customHeight="1" s="67">
      <c r="A304" t="inlineStr">
        <is>
          <t>NEW_POSITION_MAX_LOSS_THRESHOLD</t>
        </is>
      </c>
      <c r="B304" t="inlineStr">
        <is>
          <t>0.5</t>
        </is>
      </c>
      <c r="D304" t="inlineStr">
        <is>
          <t>AUGMENT, EXIT, GLOBAL_CHECK, REDUCE, STOCKS_EXIT</t>
        </is>
      </c>
      <c r="G304">
        <f>IFERROR(VLOOKUP($A304&amp;"_"&amp;$B304,Results_Deltas!$A$2:$P$15000,5,FALSE),"")</f>
        <v/>
      </c>
      <c r="H304" t="inlineStr">
        <is>
          <t>Blanket (page end)</t>
        </is>
      </c>
      <c r="L304" t="inlineStr">
        <is>
          <t>NO</t>
        </is>
      </c>
    </row>
    <row r="305" ht="15.75" customHeight="1" s="67">
      <c r="A305" t="inlineStr">
        <is>
          <t>OI_CONFIRM_ENABLED</t>
        </is>
      </c>
      <c r="B305" t="inlineStr">
        <is>
          <t>False</t>
        </is>
      </c>
      <c r="D305" t="inlineStr">
        <is>
          <t>ENTRY, GLOBAL_CHECK, STOCKS_EXIT</t>
        </is>
      </c>
      <c r="G305">
        <f>IFERROR(VLOOKUP($A305&amp;"_"&amp;$B305,Results_Deltas!$A$2:$P$15000,5,FALSE),"")</f>
        <v/>
      </c>
      <c r="H305" t="inlineStr">
        <is>
          <t>Blanket (page end)</t>
        </is>
      </c>
      <c r="L305" t="inlineStr">
        <is>
          <t>NO</t>
        </is>
      </c>
    </row>
    <row r="306" ht="15.75" customHeight="1" s="67">
      <c r="A306" t="inlineStr">
        <is>
          <t>OI_CONFIRM_ENABLED</t>
        </is>
      </c>
      <c r="B306" t="inlineStr">
        <is>
          <t>True</t>
        </is>
      </c>
      <c r="D306" t="inlineStr">
        <is>
          <t>ENTRY, GLOBAL_CHECK, STOCKS_EXIT</t>
        </is>
      </c>
      <c r="G306">
        <f>IFERROR(VLOOKUP($A306&amp;"_"&amp;$B306,Results_Deltas!$A$2:$P$15000,5,FALSE),"")</f>
        <v/>
      </c>
      <c r="H306" t="inlineStr">
        <is>
          <t>Blanket (page end)</t>
        </is>
      </c>
      <c r="L306" t="inlineStr">
        <is>
          <t>NO</t>
        </is>
      </c>
    </row>
    <row r="307" ht="15.75" customHeight="1" s="67">
      <c r="A307" t="inlineStr">
        <is>
          <t>OI_CONFIRM_MIN_CHANGE_PCT</t>
        </is>
      </c>
      <c r="B307" t="inlineStr">
        <is>
          <t>0</t>
        </is>
      </c>
      <c r="D307" t="inlineStr">
        <is>
          <t>ENTRY, GLOBAL_CHECK, STOCKS_EXIT</t>
        </is>
      </c>
      <c r="G307">
        <f>IFERROR(VLOOKUP($A307&amp;"_"&amp;$B307,Results_Deltas!$A$2:$P$15000,5,FALSE),"")</f>
        <v/>
      </c>
      <c r="H307" t="inlineStr">
        <is>
          <t>Blanket (page end)</t>
        </is>
      </c>
      <c r="L307" t="inlineStr">
        <is>
          <t>YES</t>
        </is>
      </c>
    </row>
    <row r="308" ht="15.75" customHeight="1" s="67">
      <c r="A308" t="inlineStr">
        <is>
          <t>OI_CONFIRM_MIN_CHANGE_PCT</t>
        </is>
      </c>
      <c r="B308" t="inlineStr">
        <is>
          <t>2.0</t>
        </is>
      </c>
      <c r="D308" t="inlineStr">
        <is>
          <t>ENTRY, GLOBAL_CHECK, STOCKS_EXIT</t>
        </is>
      </c>
      <c r="G308">
        <f>IFERROR(VLOOKUP($A308&amp;"_"&amp;$B308,Results_Deltas!$A$2:$P$15000,5,FALSE),"")</f>
        <v/>
      </c>
      <c r="H308" t="inlineStr">
        <is>
          <t>Blanket (page end)</t>
        </is>
      </c>
      <c r="L308" t="inlineStr">
        <is>
          <t>NO</t>
        </is>
      </c>
    </row>
    <row r="309" ht="15.75" customHeight="1" s="67">
      <c r="A309" t="inlineStr">
        <is>
          <t>OI_CONFIRM_MIN_CHANGE_PCT</t>
        </is>
      </c>
      <c r="B309" t="inlineStr">
        <is>
          <t>1.0</t>
        </is>
      </c>
      <c r="D309" t="inlineStr">
        <is>
          <t>ENTRY, GLOBAL_CHECK, STOCKS_EXIT</t>
        </is>
      </c>
      <c r="G309">
        <f>IFERROR(VLOOKUP($A309&amp;"_"&amp;$B309,Results_Deltas!$A$2:$P$15000,5,FALSE),"")</f>
        <v/>
      </c>
      <c r="H309" t="inlineStr">
        <is>
          <t>Blanket (page end)</t>
        </is>
      </c>
      <c r="L309" t="inlineStr">
        <is>
          <t>NO</t>
        </is>
      </c>
    </row>
    <row r="310" ht="15.75" customHeight="1" s="67">
      <c r="A310" t="inlineStr">
        <is>
          <t>OI_CONFIRM_MIN_CHANGE_PCT</t>
        </is>
      </c>
      <c r="B310" t="inlineStr">
        <is>
          <t>0.5</t>
        </is>
      </c>
      <c r="D310" t="inlineStr">
        <is>
          <t>ENTRY, GLOBAL_CHECK, STOCKS_EXIT</t>
        </is>
      </c>
      <c r="G310">
        <f>IFERROR(VLOOKUP($A310&amp;"_"&amp;$B310,Results_Deltas!$A$2:$P$15000,5,FALSE),"")</f>
        <v/>
      </c>
      <c r="H310" t="inlineStr">
        <is>
          <t>Blanket (page end)</t>
        </is>
      </c>
      <c r="L310" t="inlineStr">
        <is>
          <t>NO</t>
        </is>
      </c>
    </row>
    <row r="311" ht="15.75" customHeight="1" s="67">
      <c r="A311" t="inlineStr">
        <is>
          <t>OI_CONFIRM_MIN_PRICE_PCT</t>
        </is>
      </c>
      <c r="B311" t="inlineStr">
        <is>
          <t>0</t>
        </is>
      </c>
      <c r="D311" t="inlineStr">
        <is>
          <t>ENTRY, GLOBAL_CHECK, STOCKS_EXIT</t>
        </is>
      </c>
      <c r="G311">
        <f>IFERROR(VLOOKUP($A311&amp;"_"&amp;$B311,Results_Deltas!$A$2:$P$15000,5,FALSE),"")</f>
        <v/>
      </c>
      <c r="H311" t="inlineStr">
        <is>
          <t>Blanket (page end)</t>
        </is>
      </c>
      <c r="L311" t="inlineStr">
        <is>
          <t>YES</t>
        </is>
      </c>
    </row>
    <row r="312" ht="15.75" customHeight="1" s="67">
      <c r="A312" t="inlineStr">
        <is>
          <t>OI_CONFIRM_MIN_PRICE_PCT</t>
        </is>
      </c>
      <c r="B312" t="inlineStr">
        <is>
          <t>2.0</t>
        </is>
      </c>
      <c r="D312" t="inlineStr">
        <is>
          <t>ENTRY, GLOBAL_CHECK, STOCKS_EXIT</t>
        </is>
      </c>
      <c r="G312">
        <f>IFERROR(VLOOKUP($A312&amp;"_"&amp;$B312,Results_Deltas!$A$2:$P$15000,5,FALSE),"")</f>
        <v/>
      </c>
      <c r="H312" t="inlineStr">
        <is>
          <t>Blanket (page end)</t>
        </is>
      </c>
      <c r="L312" t="inlineStr">
        <is>
          <t>NO</t>
        </is>
      </c>
    </row>
    <row r="313" ht="15.75" customHeight="1" s="67">
      <c r="A313" t="inlineStr">
        <is>
          <t>OI_CONFIRM_MIN_PRICE_PCT</t>
        </is>
      </c>
      <c r="B313" t="inlineStr">
        <is>
          <t>1.0</t>
        </is>
      </c>
      <c r="D313" t="inlineStr">
        <is>
          <t>ENTRY, GLOBAL_CHECK, STOCKS_EXIT</t>
        </is>
      </c>
      <c r="G313">
        <f>IFERROR(VLOOKUP($A313&amp;"_"&amp;$B313,Results_Deltas!$A$2:$P$15000,5,FALSE),"")</f>
        <v/>
      </c>
      <c r="H313" t="inlineStr">
        <is>
          <t>Blanket (page end)</t>
        </is>
      </c>
      <c r="L313" t="inlineStr">
        <is>
          <t>NO</t>
        </is>
      </c>
    </row>
    <row r="314" ht="15.75" customHeight="1" s="67">
      <c r="A314" t="inlineStr">
        <is>
          <t>OI_CONFIRM_MIN_PRICE_PCT</t>
        </is>
      </c>
      <c r="B314" t="inlineStr">
        <is>
          <t>0.5</t>
        </is>
      </c>
      <c r="D314" t="inlineStr">
        <is>
          <t>ENTRY, GLOBAL_CHECK, STOCKS_EXIT</t>
        </is>
      </c>
      <c r="G314">
        <f>IFERROR(VLOOKUP($A314&amp;"_"&amp;$B314,Results_Deltas!$A$2:$P$15000,5,FALSE),"")</f>
        <v/>
      </c>
      <c r="H314" t="inlineStr">
        <is>
          <t>Blanket (page end)</t>
        </is>
      </c>
      <c r="L314" t="inlineStr">
        <is>
          <t>NO</t>
        </is>
      </c>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ht="10.5" customHeight="1" s="67">
      <c r="A3" t="inlineStr">
        <is>
          <t>UNIVERSAL_NOLOSS_GATE</t>
        </is>
      </c>
      <c r="B3" t="inlineStr">
        <is>
          <t>False</t>
        </is>
      </c>
      <c r="G3">
        <f>IFERROR(VLOOKUP($A3&amp;"="&amp;$B3,Results_Deltas!$A$2:$P$15000,5,FALSE),"")</f>
        <v/>
      </c>
      <c r="H3">
        <f>IFERROR(VLOOKUP($A3,Results_30d_Deltas!$A$2:$H$5000,7,FALSE)-E3,"")</f>
        <v/>
      </c>
      <c r="I3">
        <f>IFERROR(VLOOKUP($A3,Results_30d_Deltas!$A$2:$H$5000,6,FALSE),"")</f>
        <v/>
      </c>
      <c r="L3" t="inlineStr">
        <is>
          <t>YES</t>
        </is>
      </c>
      <c r="IK3" t="inlineStr">
        <is>
          <t>ez_manage.py:4233 top()</t>
        </is>
      </c>
      <c r="IL3" t="inlineStr">
        <is>
          <t>v12_quick_engine.py:837 x18</t>
        </is>
      </c>
    </row>
    <row r="4" ht="10.5" customHeight="1" s="67">
      <c r="A4" t="inlineStr">
        <is>
          <t>UNIVERSAL_NOLOSS_GATE</t>
        </is>
      </c>
      <c r="B4" t="inlineStr">
        <is>
          <t>True</t>
        </is>
      </c>
      <c r="G4">
        <f>IFERROR(VLOOKUP($A4&amp;"_"&amp;$B4,Results_Deltas!$A$2:$P$15000,5,FALSE),"")</f>
        <v/>
      </c>
      <c r="H4">
        <f>IFERROR(VLOOKUP($A4,Results_30d_Deltas!$A$2:$H$5000,7,FALSE)-E3,"")</f>
        <v/>
      </c>
      <c r="I4">
        <f>IFERROR(VLOOKUP($A4,Results_30d_Deltas!$A$2:$H$5000,6,FALSE),"")</f>
        <v/>
      </c>
      <c r="L4" t="inlineStr">
        <is>
          <t>NO</t>
        </is>
      </c>
      <c r="IK4" t="inlineStr">
        <is>
          <t>ez_manage.py:4233 top()</t>
        </is>
      </c>
      <c r="IL4" t="inlineStr">
        <is>
          <t>v12_quick_engine.py:837 x18</t>
        </is>
      </c>
    </row>
    <row r="5" ht="10.5" customHeight="1" s="67">
      <c r="A5" t="inlineStr">
        <is>
          <t>COUNTER_TREND_ADD_BLOCK_ENABLED</t>
        </is>
      </c>
      <c r="B5" t="inlineStr">
        <is>
          <t>False</t>
        </is>
      </c>
      <c r="G5">
        <f>IFERROR(VLOOKUP($A5&amp;"_"&amp;$B5,Results_Deltas!$A$2:$P$15000,5,FALSE),"")</f>
        <v/>
      </c>
      <c r="H5">
        <f>IFERROR(VLOOKUP($A5,Results_30d_Deltas!$A$2:$H$5000,7,FALSE)-E4,"")</f>
        <v/>
      </c>
      <c r="I5">
        <f>IFERROR(VLOOKUP($A5,Results_30d_Deltas!$A$2:$H$5000,6,FALSE),"")</f>
        <v/>
      </c>
      <c r="L5" t="inlineStr">
        <is>
          <t>NO</t>
        </is>
      </c>
      <c r="IK5" t="inlineStr">
        <is>
          <t>ez_manage.py:3055 top()</t>
        </is>
      </c>
      <c r="IL5" t="inlineStr">
        <is>
          <t>v12_quick_engine.py:1469 x2</t>
        </is>
      </c>
    </row>
    <row r="6" ht="10.5" customHeight="1" s="67">
      <c r="A6" t="inlineStr">
        <is>
          <t>COUNTER_TREND_ADD_BLOCK_ENABLED</t>
        </is>
      </c>
      <c r="B6" t="inlineStr">
        <is>
          <t>True</t>
        </is>
      </c>
      <c r="G6">
        <f>IFERROR(VLOOKUP($A6&amp;"_"&amp;$B6,Results_Deltas!$A$2:$P$15000,5,FALSE),"")</f>
        <v/>
      </c>
      <c r="H6">
        <f>IFERROR(VLOOKUP($A6,Results_30d_Deltas!$A$2:$H$5000,7,FALSE)-E5,"")</f>
        <v/>
      </c>
      <c r="I6">
        <f>IFERROR(VLOOKUP($A6,Results_30d_Deltas!$A$2:$H$5000,6,FALSE),"")</f>
        <v/>
      </c>
      <c r="L6" t="inlineStr">
        <is>
          <t>YES</t>
        </is>
      </c>
      <c r="IK6" t="inlineStr">
        <is>
          <t>ez_manage.py:3055 top()</t>
        </is>
      </c>
      <c r="IL6" t="inlineStr">
        <is>
          <t>v12_quick_engine.py:1469 x2</t>
        </is>
      </c>
    </row>
    <row r="7" ht="10.5" customHeight="1" s="67">
      <c r="A7" t="inlineStr">
        <is>
          <t>RECENT_REDUCTION_GUARD_ENABLED</t>
        </is>
      </c>
      <c r="B7" t="inlineStr">
        <is>
          <t>False</t>
        </is>
      </c>
      <c r="G7">
        <f>IFERROR(VLOOKUP($A7&amp;"_"&amp;$B7,Results_Deltas!$A$2:$P$15000,5,FALSE),"")</f>
        <v/>
      </c>
      <c r="H7">
        <f>IFERROR(VLOOKUP($A7,Results_30d_Deltas!$A$2:$H$5000,7,FALSE)-E6,"")</f>
        <v/>
      </c>
      <c r="I7">
        <f>IFERROR(VLOOKUP($A7,Results_30d_Deltas!$A$2:$H$5000,6,FALSE),"")</f>
        <v/>
      </c>
      <c r="L7" t="inlineStr">
        <is>
          <t>NO</t>
        </is>
      </c>
      <c r="IK7" t="inlineStr">
        <is>
          <t>ez_manage.py:5264 top()</t>
        </is>
      </c>
      <c r="IL7" t="inlineStr">
        <is>
          <t>v12_quick_engine.py:2806 x1</t>
        </is>
      </c>
    </row>
    <row r="8" ht="10.5" customHeight="1" s="67">
      <c r="A8" t="inlineStr">
        <is>
          <t>RECENT_REDUCTION_GUARD_ENABLED</t>
        </is>
      </c>
      <c r="B8" t="inlineStr">
        <is>
          <t>True</t>
        </is>
      </c>
      <c r="G8">
        <f>IFERROR(VLOOKUP($A8&amp;"_"&amp;$B8,Results_Deltas!$A$2:$P$15000,5,FALSE),"")</f>
        <v/>
      </c>
      <c r="H8">
        <f>IFERROR(VLOOKUP($A8,Results_30d_Deltas!$A$2:$H$5000,7,FALSE)-E7,"")</f>
        <v/>
      </c>
      <c r="I8">
        <f>IFERROR(VLOOKUP($A8,Results_30d_Deltas!$A$2:$H$5000,6,FALSE),"")</f>
        <v/>
      </c>
      <c r="L8" t="inlineStr">
        <is>
          <t>YES</t>
        </is>
      </c>
      <c r="IK8" t="inlineStr">
        <is>
          <t>ez_manage.py:5264 top()</t>
        </is>
      </c>
      <c r="IL8" t="inlineStr">
        <is>
          <t>v12_quick_engine.py:2806 x1</t>
        </is>
      </c>
    </row>
    <row r="9" ht="10.5" customHeight="1" s="67">
      <c r="A9" t="inlineStr">
        <is>
          <t>ABSOLUTE_OPEN_LOCK_SEC</t>
        </is>
      </c>
      <c r="G9">
        <f>IFERROR(VLOOKUP($A9&amp;"_"&amp;$B9,Results_Deltas!$A$2:$P$15000,5,FALSE),"")</f>
        <v/>
      </c>
      <c r="H9">
        <f>IFERROR(VLOOKUP($A9,Results_30d_Deltas!$A$2:$H$5000,7,FALSE)-E8,"")</f>
        <v/>
      </c>
      <c r="I9">
        <f>IFERROR(VLOOKUP($A9,Results_30d_Deltas!$A$2:$H$5000,6,FALSE),"")</f>
        <v/>
      </c>
      <c r="L9" t="inlineStr">
        <is>
          <t>YES</t>
        </is>
      </c>
      <c r="IK9" t="inlineStr">
        <is>
          <t>config only</t>
        </is>
      </c>
      <c r="IL9" t="inlineStr">
        <is>
          <t>not declared</t>
        </is>
      </c>
    </row>
    <row r="10" ht="10.5" customHeight="1" s="67">
      <c r="A10" t="inlineStr">
        <is>
          <t>BALANCE_FLOOR_USD</t>
        </is>
      </c>
      <c r="G10">
        <f>IFERROR(VLOOKUP($A10&amp;"_"&amp;$B10,Results_Deltas!$A$2:$P$15000,5,FALSE),"")</f>
        <v/>
      </c>
      <c r="H10">
        <f>IFERROR(VLOOKUP($A10,Results_30d_Deltas!$A$2:$H$5000,7,FALSE)-E9,"")</f>
        <v/>
      </c>
      <c r="I10">
        <f>IFERROR(VLOOKUP($A10,Results_30d_Deltas!$A$2:$H$5000,6,FALSE),"")</f>
        <v/>
      </c>
      <c r="L10" t="inlineStr">
        <is>
          <t>YES</t>
        </is>
      </c>
      <c r="IK10" t="inlineStr">
        <is>
          <t>config only</t>
        </is>
      </c>
      <c r="IL10" t="inlineStr">
        <is>
          <t>not declared</t>
        </is>
      </c>
    </row>
    <row r="11" ht="10.5" customHeight="1" s="67">
      <c r="A11" t="inlineStr">
        <is>
          <t>BLACKLIST_SYMBOLS</t>
        </is>
      </c>
      <c r="B11" t="inlineStr">
        <is>
          <t>()</t>
        </is>
      </c>
      <c r="G11">
        <f>IFERROR(VLOOKUP($A11&amp;"_"&amp;$B11,Results_Deltas!$A$2:$P$15000,5,FALSE),"")</f>
        <v/>
      </c>
      <c r="H11">
        <f>IFERROR(VLOOKUP($A11,Results_30d_Deltas!$A$2:$H$5000,7,FALSE)-E10,"")</f>
        <v/>
      </c>
      <c r="I11">
        <f>IFERROR(VLOOKUP($A11,Results_30d_Deltas!$A$2:$H$5000,6,FALSE),"")</f>
        <v/>
      </c>
      <c r="L11" t="inlineStr">
        <is>
          <t>NO</t>
        </is>
      </c>
      <c r="IK11" t="inlineStr">
        <is>
          <t>ez_manage.py:4377 top()</t>
        </is>
      </c>
      <c r="IL11" t="inlineStr">
        <is>
          <t>v12_quick_engine.py:3798 x5</t>
        </is>
      </c>
    </row>
    <row r="12" ht="10.5" customHeight="1" s="67">
      <c r="A12" t="inlineStr">
        <is>
          <t>CIRCUIT_BREAKER_THRESHOLD_PCT</t>
        </is>
      </c>
      <c r="G12">
        <f>IFERROR(VLOOKUP($A12&amp;"_"&amp;$B12,Results_Deltas!$A$2:$P$15000,5,FALSE),"")</f>
        <v/>
      </c>
      <c r="H12">
        <f>IFERROR(VLOOKUP($A12,Results_30d_Deltas!$A$2:$H$5000,7,FALSE)-E11,"")</f>
        <v/>
      </c>
      <c r="I12">
        <f>IFERROR(VLOOKUP($A12,Results_30d_Deltas!$A$2:$H$5000,6,FALSE),"")</f>
        <v/>
      </c>
      <c r="L12" t="inlineStr">
        <is>
          <t>YES</t>
        </is>
      </c>
      <c r="IK12" t="inlineStr">
        <is>
          <t>config only</t>
        </is>
      </c>
      <c r="IL12" t="inlineStr">
        <is>
          <t>not declared</t>
        </is>
      </c>
    </row>
    <row r="13" ht="10.5" customHeight="1" s="67">
      <c r="A13" t="inlineStr">
        <is>
          <t>COUNTER_TREND_SMA200_BYPASS_ENABLED</t>
        </is>
      </c>
      <c r="B13" t="inlineStr">
        <is>
          <t>False</t>
        </is>
      </c>
      <c r="G13">
        <f>IFERROR(VLOOKUP($A13&amp;"_"&amp;$B13,Results_Deltas!$A$2:$P$15000,5,FALSE),"")</f>
        <v/>
      </c>
      <c r="H13">
        <f>IFERROR(VLOOKUP($A13,Results_30d_Deltas!$A$2:$H$5000,7,FALSE)-E12,"")</f>
        <v/>
      </c>
      <c r="I13">
        <f>IFERROR(VLOOKUP($A13,Results_30d_Deltas!$A$2:$H$5000,6,FALSE),"")</f>
        <v/>
      </c>
      <c r="L13" t="inlineStr">
        <is>
          <t>NO</t>
        </is>
      </c>
      <c r="IK13" t="inlineStr">
        <is>
          <t>ez_manage.py:3056 top()</t>
        </is>
      </c>
      <c r="IL13" t="inlineStr">
        <is>
          <t>v12_quick_engine.py:1470 x6</t>
        </is>
      </c>
    </row>
    <row r="14" ht="10.5" customHeight="1" s="67">
      <c r="A14" t="inlineStr">
        <is>
          <t>COUNTER_TREND_SMA200_BYPASS_ENABLED</t>
        </is>
      </c>
      <c r="B14" t="inlineStr">
        <is>
          <t>True</t>
        </is>
      </c>
      <c r="G14">
        <f>IFERROR(VLOOKUP($A14&amp;"_"&amp;$B14,Results_Deltas!$A$2:$P$15000,5,FALSE),"")</f>
        <v/>
      </c>
      <c r="H14">
        <f>IFERROR(VLOOKUP($A14,Results_30d_Deltas!$A$2:$H$5000,7,FALSE)-E13,"")</f>
        <v/>
      </c>
      <c r="I14">
        <f>IFERROR(VLOOKUP($A14,Results_30d_Deltas!$A$2:$H$5000,6,FALSE),"")</f>
        <v/>
      </c>
      <c r="L14" t="inlineStr">
        <is>
          <t>YES</t>
        </is>
      </c>
      <c r="IK14" t="inlineStr">
        <is>
          <t>ez_manage.py:3056 top()</t>
        </is>
      </c>
      <c r="IL14" t="inlineStr">
        <is>
          <t>v12_quick_engine.py:1470 x6</t>
        </is>
      </c>
    </row>
    <row r="15" ht="10.5" customHeight="1" s="67">
      <c r="A15" t="inlineStr">
        <is>
          <t>EXECUTE_NOW_MAX_MARK_AGE_S</t>
        </is>
      </c>
      <c r="B15" t="inlineStr">
        <is>
          <t>30.0</t>
        </is>
      </c>
      <c r="G15">
        <f>IFERROR(VLOOKUP($A15&amp;"_"&amp;$B15,Results_Deltas!$A$2:$P$15000,5,FALSE),"")</f>
        <v/>
      </c>
      <c r="H15">
        <f>IFERROR(VLOOKUP($A15,Results_30d_Deltas!$A$2:$H$5000,7,FALSE)-E14,"")</f>
        <v/>
      </c>
      <c r="I15">
        <f>IFERROR(VLOOKUP($A15,Results_30d_Deltas!$A$2:$H$5000,6,FALSE),"")</f>
        <v/>
      </c>
      <c r="L15" t="inlineStr">
        <is>
          <t>NO</t>
        </is>
      </c>
      <c r="IK15" t="inlineStr">
        <is>
          <t>ez_manage.py:4656 top()</t>
        </is>
      </c>
      <c r="IL15" t="inlineStr">
        <is>
          <t>v12_quick_engine.py:3868 x1</t>
        </is>
      </c>
    </row>
    <row r="16" ht="10.5" customHeight="1" s="67">
      <c r="A16" t="inlineStr">
        <is>
          <t>EXECUTE_NOW_MAX_MARK_AGE_S</t>
        </is>
      </c>
      <c r="B16" t="inlineStr">
        <is>
          <t>45.0</t>
        </is>
      </c>
      <c r="G16">
        <f>IFERROR(VLOOKUP($A16&amp;"_"&amp;$B16,Results_Deltas!$A$2:$P$15000,5,FALSE),"")</f>
        <v/>
      </c>
      <c r="H16">
        <f>IFERROR(VLOOKUP($A16,Results_30d_Deltas!$A$2:$H$5000,7,FALSE)-E15,"")</f>
        <v/>
      </c>
      <c r="I16">
        <f>IFERROR(VLOOKUP($A16,Results_30d_Deltas!$A$2:$H$5000,6,FALSE),"")</f>
        <v/>
      </c>
      <c r="L16" t="inlineStr">
        <is>
          <t>NO</t>
        </is>
      </c>
      <c r="IK16" t="inlineStr">
        <is>
          <t>ez_manage.py:4656 top()</t>
        </is>
      </c>
      <c r="IL16" t="inlineStr">
        <is>
          <t>v12_quick_engine.py:3868 x1</t>
        </is>
      </c>
    </row>
    <row r="17" ht="10.5" customHeight="1" s="67">
      <c r="A17" t="inlineStr">
        <is>
          <t>EXECUTE_NOW_MAX_MARK_AGE_S</t>
        </is>
      </c>
      <c r="B17" t="inlineStr">
        <is>
          <t>60.0</t>
        </is>
      </c>
      <c r="G17">
        <f>IFERROR(VLOOKUP($A17&amp;"_"&amp;$B17,Results_Deltas!$A$2:$P$15000,5,FALSE),"")</f>
        <v/>
      </c>
      <c r="H17">
        <f>IFERROR(VLOOKUP($A17,Results_30d_Deltas!$A$2:$H$5000,7,FALSE)-E16,"")</f>
        <v/>
      </c>
      <c r="I17">
        <f>IFERROR(VLOOKUP($A17,Results_30d_Deltas!$A$2:$H$5000,6,FALSE),"")</f>
        <v/>
      </c>
      <c r="L17" t="inlineStr">
        <is>
          <t>YES</t>
        </is>
      </c>
      <c r="IK17" t="inlineStr">
        <is>
          <t>ez_manage.py:4656 top()</t>
        </is>
      </c>
      <c r="IL17" t="inlineStr">
        <is>
          <t>v12_quick_engine.py:3868 x1</t>
        </is>
      </c>
    </row>
    <row r="18" ht="10.5" customHeight="1" s="67">
      <c r="A18" t="inlineStr">
        <is>
          <t>EXECUTE_NOW_MAX_MARK_AGE_S</t>
        </is>
      </c>
      <c r="B18" t="inlineStr">
        <is>
          <t>75.0</t>
        </is>
      </c>
      <c r="G18">
        <f>IFERROR(VLOOKUP($A18&amp;"_"&amp;$B18,Results_Deltas!$A$2:$P$15000,5,FALSE),"")</f>
        <v/>
      </c>
      <c r="H18">
        <f>IFERROR(VLOOKUP($A18,Results_30d_Deltas!$A$2:$H$5000,7,FALSE)-E17,"")</f>
        <v/>
      </c>
      <c r="I18">
        <f>IFERROR(VLOOKUP($A18,Results_30d_Deltas!$A$2:$H$5000,6,FALSE),"")</f>
        <v/>
      </c>
      <c r="L18" t="inlineStr">
        <is>
          <t>NO</t>
        </is>
      </c>
      <c r="IK18" t="inlineStr">
        <is>
          <t>ez_manage.py:4656 top()</t>
        </is>
      </c>
      <c r="IL18" t="inlineStr">
        <is>
          <t>v12_quick_engine.py:3868 x1</t>
        </is>
      </c>
    </row>
    <row r="19" ht="10.5" customHeight="1" s="67">
      <c r="A19" t="inlineStr">
        <is>
          <t>EXECUTE_NOW_MAX_MARK_AGE_S</t>
        </is>
      </c>
      <c r="B19" t="inlineStr">
        <is>
          <t>90.0</t>
        </is>
      </c>
      <c r="G19">
        <f>IFERROR(VLOOKUP($A19&amp;"_"&amp;$B19,Results_Deltas!$A$2:$P$15000,5,FALSE),"")</f>
        <v/>
      </c>
      <c r="H19">
        <f>IFERROR(VLOOKUP($A19,Results_30d_Deltas!$A$2:$H$5000,7,FALSE)-E18,"")</f>
        <v/>
      </c>
      <c r="I19">
        <f>IFERROR(VLOOKUP($A19,Results_30d_Deltas!$A$2:$H$5000,6,FALSE),"")</f>
        <v/>
      </c>
      <c r="L19" t="inlineStr">
        <is>
          <t>NO</t>
        </is>
      </c>
      <c r="IK19" t="inlineStr">
        <is>
          <t>ez_manage.py:4656 top()</t>
        </is>
      </c>
      <c r="IL19" t="inlineStr">
        <is>
          <t>v12_quick_engine.py:3868 x1</t>
        </is>
      </c>
    </row>
    <row r="20" ht="10.5" customHeight="1" s="67">
      <c r="A20" t="inlineStr">
        <is>
          <t>HARD_AUGMENT_LOCK_SEC</t>
        </is>
      </c>
      <c r="G20">
        <f>IFERROR(VLOOKUP($A20&amp;"_"&amp;$B20,Results_Deltas!$A$2:$P$15000,5,FALSE),"")</f>
        <v/>
      </c>
      <c r="H20">
        <f>IFERROR(VLOOKUP($A20,Results_30d_Deltas!$A$2:$H$5000,7,FALSE)-E19,"")</f>
        <v/>
      </c>
      <c r="I20">
        <f>IFERROR(VLOOKUP($A20,Results_30d_Deltas!$A$2:$H$5000,6,FALSE),"")</f>
        <v/>
      </c>
      <c r="L20" t="inlineStr">
        <is>
          <t>YES</t>
        </is>
      </c>
      <c r="IK20" t="inlineStr">
        <is>
          <t>config only</t>
        </is>
      </c>
      <c r="IL20" t="inlineStr">
        <is>
          <t>not declared</t>
        </is>
      </c>
    </row>
    <row r="21" ht="10.5" customHeight="1" s="67">
      <c r="A21" t="inlineStr">
        <is>
          <t>HARD_REDUCE_LOCK_SEC</t>
        </is>
      </c>
      <c r="G21">
        <f>IFERROR(VLOOKUP($A21&amp;"_"&amp;$B21,Results_Deltas!$A$2:$P$15000,5,FALSE),"")</f>
        <v/>
      </c>
      <c r="H21">
        <f>IFERROR(VLOOKUP($A21,Results_30d_Deltas!$A$2:$H$5000,7,FALSE)-E20,"")</f>
        <v/>
      </c>
      <c r="I21">
        <f>IFERROR(VLOOKUP($A21,Results_30d_Deltas!$A$2:$H$5000,6,FALSE),"")</f>
        <v/>
      </c>
      <c r="L21" t="inlineStr">
        <is>
          <t>YES</t>
        </is>
      </c>
      <c r="IK21" t="inlineStr">
        <is>
          <t>config only</t>
        </is>
      </c>
      <c r="IL21" t="inlineStr">
        <is>
          <t>not declared</t>
        </is>
      </c>
    </row>
    <row r="22" ht="10.5" customHeight="1" s="67">
      <c r="A22" t="inlineStr">
        <is>
          <t>OPEN_RATE_BREAKER_ENABLED</t>
        </is>
      </c>
      <c r="B22" t="inlineStr">
        <is>
          <t>False</t>
        </is>
      </c>
      <c r="G22">
        <f>IFERROR(VLOOKUP($A22&amp;"_"&amp;$B22,Results_Deltas!$A$2:$P$15000,5,FALSE),"")</f>
        <v/>
      </c>
      <c r="H22">
        <f>IFERROR(VLOOKUP($A22,Results_30d_Deltas!$A$2:$H$5000,7,FALSE)-E21,"")</f>
        <v/>
      </c>
      <c r="I22">
        <f>IFERROR(VLOOKUP($A22,Results_30d_Deltas!$A$2:$H$5000,6,FALSE),"")</f>
        <v/>
      </c>
      <c r="L22" t="inlineStr">
        <is>
          <t>NO</t>
        </is>
      </c>
      <c r="IK22" t="inlineStr">
        <is>
          <t>ez_manage.py:5141 top()</t>
        </is>
      </c>
      <c r="IL22" t="inlineStr">
        <is>
          <t>v12_quick_engine.py:2538 x1</t>
        </is>
      </c>
    </row>
    <row r="23" ht="10.5" customHeight="1" s="67">
      <c r="A23" t="inlineStr">
        <is>
          <t>OPEN_RATE_BREAKER_ENABLED</t>
        </is>
      </c>
      <c r="B23" t="inlineStr">
        <is>
          <t>True</t>
        </is>
      </c>
      <c r="G23">
        <f>IFERROR(VLOOKUP($A23&amp;"_"&amp;$B23,Results_Deltas!$A$2:$P$15000,5,FALSE),"")</f>
        <v/>
      </c>
      <c r="H23">
        <f>IFERROR(VLOOKUP($A23,Results_30d_Deltas!$A$2:$H$5000,7,FALSE)-E22,"")</f>
        <v/>
      </c>
      <c r="I23">
        <f>IFERROR(VLOOKUP($A23,Results_30d_Deltas!$A$2:$H$5000,6,FALSE),"")</f>
        <v/>
      </c>
      <c r="L23" t="inlineStr">
        <is>
          <t>YES</t>
        </is>
      </c>
      <c r="IK23" t="inlineStr">
        <is>
          <t>ez_manage.py:5141 top()</t>
        </is>
      </c>
      <c r="IL23" t="inlineStr">
        <is>
          <t>v12_quick_engine.py:2538 x1</t>
        </is>
      </c>
    </row>
    <row r="24" ht="10.5" customHeight="1" s="67">
      <c r="A24" t="inlineStr">
        <is>
          <t>OPEN_RATE_MAX</t>
        </is>
      </c>
      <c r="B24" t="inlineStr">
        <is>
          <t>15</t>
        </is>
      </c>
      <c r="G24">
        <f>IFERROR(VLOOKUP($A24&amp;"_"&amp;$B24,Results_Deltas!$A$2:$P$15000,5,FALSE),"")</f>
        <v/>
      </c>
      <c r="H24">
        <f>IFERROR(VLOOKUP($A24,Results_30d_Deltas!$A$2:$H$5000,7,FALSE)-E23,"")</f>
        <v/>
      </c>
      <c r="I24">
        <f>IFERROR(VLOOKUP($A24,Results_30d_Deltas!$A$2:$H$5000,6,FALSE),"")</f>
        <v/>
      </c>
      <c r="L24" t="inlineStr">
        <is>
          <t>NO</t>
        </is>
      </c>
      <c r="IK24" t="inlineStr">
        <is>
          <t>ez_manage.py:5142 top()</t>
        </is>
      </c>
      <c r="IL24" t="inlineStr">
        <is>
          <t>v12_quick_engine.py:2539 x1</t>
        </is>
      </c>
    </row>
    <row r="25" ht="10.5" customHeight="1" s="67">
      <c r="A25" t="inlineStr">
        <is>
          <t>OPEN_RATE_MAX</t>
        </is>
      </c>
      <c r="B25" t="inlineStr">
        <is>
          <t>22</t>
        </is>
      </c>
      <c r="G25">
        <f>IFERROR(VLOOKUP($A25&amp;"_"&amp;$B25,Results_Deltas!$A$2:$P$15000,5,FALSE),"")</f>
        <v/>
      </c>
      <c r="H25">
        <f>IFERROR(VLOOKUP($A25,Results_30d_Deltas!$A$2:$H$5000,7,FALSE)-E24,"")</f>
        <v/>
      </c>
      <c r="I25">
        <f>IFERROR(VLOOKUP($A25,Results_30d_Deltas!$A$2:$H$5000,6,FALSE),"")</f>
        <v/>
      </c>
      <c r="L25" t="inlineStr">
        <is>
          <t>NO</t>
        </is>
      </c>
      <c r="IK25" t="inlineStr">
        <is>
          <t>ez_manage.py:5142 top()</t>
        </is>
      </c>
      <c r="IL25" t="inlineStr">
        <is>
          <t>v12_quick_engine.py:2539 x1</t>
        </is>
      </c>
    </row>
    <row r="26" ht="10.5" customHeight="1" s="67">
      <c r="A26" t="inlineStr">
        <is>
          <t>OPEN_RATE_MAX</t>
        </is>
      </c>
      <c r="B26" t="inlineStr">
        <is>
          <t>30</t>
        </is>
      </c>
      <c r="G26">
        <f>IFERROR(VLOOKUP($A26&amp;"_"&amp;$B26,Results_Deltas!$A$2:$P$15000,5,FALSE),"")</f>
        <v/>
      </c>
      <c r="H26">
        <f>IFERROR(VLOOKUP($A26,Results_30d_Deltas!$A$2:$H$5000,7,FALSE)-E25,"")</f>
        <v/>
      </c>
      <c r="I26">
        <f>IFERROR(VLOOKUP($A26,Results_30d_Deltas!$A$2:$H$5000,6,FALSE),"")</f>
        <v/>
      </c>
      <c r="L26" t="inlineStr">
        <is>
          <t>YES</t>
        </is>
      </c>
      <c r="IK26" t="inlineStr">
        <is>
          <t>ez_manage.py:5142 top()</t>
        </is>
      </c>
      <c r="IL26" t="inlineStr">
        <is>
          <t>v12_quick_engine.py:2539 x1</t>
        </is>
      </c>
    </row>
    <row r="27" ht="10.5" customHeight="1" s="67">
      <c r="A27" t="inlineStr">
        <is>
          <t>OPEN_RATE_MAX</t>
        </is>
      </c>
      <c r="B27" t="inlineStr">
        <is>
          <t>38</t>
        </is>
      </c>
      <c r="G27">
        <f>IFERROR(VLOOKUP($A27&amp;"_"&amp;$B27,Results_Deltas!$A$2:$P$15000,5,FALSE),"")</f>
        <v/>
      </c>
      <c r="H27">
        <f>IFERROR(VLOOKUP($A27,Results_30d_Deltas!$A$2:$H$5000,7,FALSE)-E26,"")</f>
        <v/>
      </c>
      <c r="I27">
        <f>IFERROR(VLOOKUP($A27,Results_30d_Deltas!$A$2:$H$5000,6,FALSE),"")</f>
        <v/>
      </c>
      <c r="L27" t="inlineStr">
        <is>
          <t>NO</t>
        </is>
      </c>
      <c r="IK27" t="inlineStr">
        <is>
          <t>ez_manage.py:5142 top()</t>
        </is>
      </c>
      <c r="IL27" t="inlineStr">
        <is>
          <t>v12_quick_engine.py:2539 x1</t>
        </is>
      </c>
    </row>
    <row r="28" ht="10.5" customHeight="1" s="67">
      <c r="A28" t="inlineStr">
        <is>
          <t>OPEN_RATE_MAX</t>
        </is>
      </c>
      <c r="B28" t="inlineStr">
        <is>
          <t>45</t>
        </is>
      </c>
      <c r="G28">
        <f>IFERROR(VLOOKUP($A28&amp;"_"&amp;$B28,Results_Deltas!$A$2:$P$15000,5,FALSE),"")</f>
        <v/>
      </c>
      <c r="H28">
        <f>IFERROR(VLOOKUP($A28,Results_30d_Deltas!$A$2:$H$5000,7,FALSE)-E27,"")</f>
        <v/>
      </c>
      <c r="I28">
        <f>IFERROR(VLOOKUP($A28,Results_30d_Deltas!$A$2:$H$5000,6,FALSE),"")</f>
        <v/>
      </c>
      <c r="L28" t="inlineStr">
        <is>
          <t>NO</t>
        </is>
      </c>
      <c r="IK28" t="inlineStr">
        <is>
          <t>ez_manage.py:5142 top()</t>
        </is>
      </c>
      <c r="IL28" t="inlineStr">
        <is>
          <t>v12_quick_engine.py:2539 x1</t>
        </is>
      </c>
    </row>
    <row r="29" ht="10.5" customHeight="1" s="67">
      <c r="A29" t="inlineStr">
        <is>
          <t>RECENT_REDUCTION_GUARD_WINDOW_S</t>
        </is>
      </c>
      <c r="B29" t="inlineStr">
        <is>
          <t>450.0</t>
        </is>
      </c>
      <c r="G29">
        <f>IFERROR(VLOOKUP($A29&amp;"_"&amp;$B29,Results_Deltas!$A$2:$P$15000,5,FALSE),"")</f>
        <v/>
      </c>
      <c r="H29">
        <f>IFERROR(VLOOKUP($A29,Results_30d_Deltas!$A$2:$H$5000,7,FALSE)-E28,"")</f>
        <v/>
      </c>
      <c r="I29">
        <f>IFERROR(VLOOKUP($A29,Results_30d_Deltas!$A$2:$H$5000,6,FALSE),"")</f>
        <v/>
      </c>
      <c r="L29" t="inlineStr">
        <is>
          <t>NO</t>
        </is>
      </c>
      <c r="IK29" t="inlineStr">
        <is>
          <t>ez_manage.py:5266 top()</t>
        </is>
      </c>
      <c r="IL29" t="inlineStr">
        <is>
          <t>v12_quick_engine.py:4016 x1</t>
        </is>
      </c>
    </row>
    <row r="30" ht="10.5" customHeight="1" s="67">
      <c r="A30" t="inlineStr">
        <is>
          <t>RECENT_REDUCTION_GUARD_WINDOW_S</t>
        </is>
      </c>
      <c r="B30" t="inlineStr">
        <is>
          <t>675.0</t>
        </is>
      </c>
      <c r="G30">
        <f>IFERROR(VLOOKUP($A30&amp;"_"&amp;$B30,Results_Deltas!$A$2:$P$15000,5,FALSE),"")</f>
        <v/>
      </c>
      <c r="H30">
        <f>IFERROR(VLOOKUP($A30,Results_30d_Deltas!$A$2:$H$5000,7,FALSE)-E29,"")</f>
        <v/>
      </c>
      <c r="I30">
        <f>IFERROR(VLOOKUP($A30,Results_30d_Deltas!$A$2:$H$5000,6,FALSE),"")</f>
        <v/>
      </c>
      <c r="L30" t="inlineStr">
        <is>
          <t>NO</t>
        </is>
      </c>
      <c r="IK30" t="inlineStr">
        <is>
          <t>ez_manage.py:5266 top()</t>
        </is>
      </c>
      <c r="IL30" t="inlineStr">
        <is>
          <t>v12_quick_engine.py:4016 x1</t>
        </is>
      </c>
    </row>
    <row r="31" ht="10.5" customHeight="1" s="67">
      <c r="A31" t="inlineStr">
        <is>
          <t>RECENT_REDUCTION_GUARD_WINDOW_S</t>
        </is>
      </c>
      <c r="B31" t="inlineStr">
        <is>
          <t>900.0</t>
        </is>
      </c>
      <c r="G31">
        <f>IFERROR(VLOOKUP($A31&amp;"_"&amp;$B31,Results_Deltas!$A$2:$P$15000,5,FALSE),"")</f>
        <v/>
      </c>
      <c r="H31">
        <f>IFERROR(VLOOKUP($A31,Results_30d_Deltas!$A$2:$H$5000,7,FALSE)-E30,"")</f>
        <v/>
      </c>
      <c r="I31">
        <f>IFERROR(VLOOKUP($A31,Results_30d_Deltas!$A$2:$H$5000,6,FALSE),"")</f>
        <v/>
      </c>
      <c r="L31" t="inlineStr">
        <is>
          <t>YES</t>
        </is>
      </c>
      <c r="IK31" t="inlineStr">
        <is>
          <t>ez_manage.py:5266 top()</t>
        </is>
      </c>
      <c r="IL31" t="inlineStr">
        <is>
          <t>v12_quick_engine.py:4016 x1</t>
        </is>
      </c>
    </row>
    <row r="32" ht="10.5" customHeight="1" s="67">
      <c r="A32" t="inlineStr">
        <is>
          <t>RECENT_REDUCTION_GUARD_WINDOW_S</t>
        </is>
      </c>
      <c r="B32" t="inlineStr">
        <is>
          <t>1125.0</t>
        </is>
      </c>
      <c r="G32">
        <f>IFERROR(VLOOKUP($A32&amp;"_"&amp;$B32,Results_Deltas!$A$2:$P$15000,5,FALSE),"")</f>
        <v/>
      </c>
      <c r="H32">
        <f>IFERROR(VLOOKUP($A32,Results_30d_Deltas!$A$2:$H$5000,7,FALSE)-E31,"")</f>
        <v/>
      </c>
      <c r="I32">
        <f>IFERROR(VLOOKUP($A32,Results_30d_Deltas!$A$2:$H$5000,6,FALSE),"")</f>
        <v/>
      </c>
      <c r="L32" t="inlineStr">
        <is>
          <t>NO</t>
        </is>
      </c>
      <c r="IK32" t="inlineStr">
        <is>
          <t>ez_manage.py:5266 top()</t>
        </is>
      </c>
      <c r="IL32" t="inlineStr">
        <is>
          <t>v12_quick_engine.py:4016 x1</t>
        </is>
      </c>
    </row>
    <row r="33" ht="10.5" customHeight="1" s="67">
      <c r="A33" t="inlineStr">
        <is>
          <t>RECENT_REDUCTION_GUARD_WINDOW_S</t>
        </is>
      </c>
      <c r="B33" t="inlineStr">
        <is>
          <t>1350.0</t>
        </is>
      </c>
      <c r="G33">
        <f>IFERROR(VLOOKUP($A33&amp;"_"&amp;$B33,Results_Deltas!$A$2:$P$15000,5,FALSE),"")</f>
        <v/>
      </c>
      <c r="H33">
        <f>IFERROR(VLOOKUP($A33,Results_30d_Deltas!$A$2:$H$5000,7,FALSE)-E32,"")</f>
        <v/>
      </c>
      <c r="I33">
        <f>IFERROR(VLOOKUP($A33,Results_30d_Deltas!$A$2:$H$5000,6,FALSE),"")</f>
        <v/>
      </c>
      <c r="L33" t="inlineStr">
        <is>
          <t>NO</t>
        </is>
      </c>
      <c r="IK33" t="inlineStr">
        <is>
          <t>ez_manage.py:5266 top()</t>
        </is>
      </c>
      <c r="IL33" t="inlineStr">
        <is>
          <t>v12_quick_engine.py:4016 x1</t>
        </is>
      </c>
    </row>
    <row r="34" ht="10.5" customHeight="1" s="67">
      <c r="A34" t="inlineStr">
        <is>
          <t>STALE_HOLD_ENABLED</t>
        </is>
      </c>
      <c r="G34">
        <f>IFERROR(VLOOKUP($A34&amp;"_"&amp;$B34,Results_Deltas!$A$2:$P$15000,5,FALSE),"")</f>
        <v/>
      </c>
      <c r="H34">
        <f>IFERROR(VLOOKUP($A34,Results_30d_Deltas!$A$2:$H$5000,7,FALSE)-E33,"")</f>
        <v/>
      </c>
      <c r="I34">
        <f>IFERROR(VLOOKUP($A34,Results_30d_Deltas!$A$2:$H$5000,6,FALSE),"")</f>
        <v/>
      </c>
      <c r="L34" t="inlineStr">
        <is>
          <t>YES</t>
        </is>
      </c>
      <c r="IK34" t="inlineStr">
        <is>
          <t>config only</t>
        </is>
      </c>
      <c r="IL34" t="inlineStr">
        <is>
          <t>not declared</t>
        </is>
      </c>
    </row>
    <row r="35" ht="10.5" customHeight="1" s="67">
      <c r="A35" t="inlineStr">
        <is>
          <t>TRADES_PER_SYM_PER_DAY_MAX</t>
        </is>
      </c>
      <c r="B35" t="inlineStr">
        <is>
          <t>4</t>
        </is>
      </c>
      <c r="G35">
        <f>IFERROR(VLOOKUP($A35&amp;"_"&amp;$B35,Results_Deltas!$A$2:$P$15000,5,FALSE),"")</f>
        <v/>
      </c>
      <c r="H35">
        <f>IFERROR(VLOOKUP($A35,Results_30d_Deltas!$A$2:$H$5000,7,FALSE)-E34,"")</f>
        <v/>
      </c>
      <c r="I35">
        <f>IFERROR(VLOOKUP($A35,Results_30d_Deltas!$A$2:$H$5000,6,FALSE),"")</f>
        <v/>
      </c>
      <c r="L35" t="inlineStr">
        <is>
          <t>NO</t>
        </is>
      </c>
      <c r="IK35" t="inlineStr">
        <is>
          <t>ez_manage.py:4116 top()</t>
        </is>
      </c>
      <c r="IL35" t="inlineStr">
        <is>
          <t>v12_quick_engine.py:3383 x1</t>
        </is>
      </c>
    </row>
    <row r="36" ht="10.5" customHeight="1" s="67">
      <c r="A36" t="inlineStr">
        <is>
          <t>TRADES_PER_SYM_PER_DAY_MAX</t>
        </is>
      </c>
      <c r="B36" t="inlineStr">
        <is>
          <t>6</t>
        </is>
      </c>
      <c r="G36">
        <f>IFERROR(VLOOKUP($A36&amp;"_"&amp;$B36,Results_Deltas!$A$2:$P$15000,5,FALSE),"")</f>
        <v/>
      </c>
      <c r="H36">
        <f>IFERROR(VLOOKUP($A36,Results_30d_Deltas!$A$2:$H$5000,7,FALSE)-E35,"")</f>
        <v/>
      </c>
      <c r="I36">
        <f>IFERROR(VLOOKUP($A36,Results_30d_Deltas!$A$2:$H$5000,6,FALSE),"")</f>
        <v/>
      </c>
      <c r="L36" t="inlineStr">
        <is>
          <t>NO</t>
        </is>
      </c>
      <c r="IK36" t="inlineStr">
        <is>
          <t>ez_manage.py:4116 top()</t>
        </is>
      </c>
      <c r="IL36" t="inlineStr">
        <is>
          <t>v12_quick_engine.py:3383 x1</t>
        </is>
      </c>
    </row>
    <row r="37" ht="10.5" customHeight="1" s="67">
      <c r="A37" t="inlineStr">
        <is>
          <t>TRADES_PER_SYM_PER_DAY_MAX</t>
        </is>
      </c>
      <c r="B37" t="inlineStr">
        <is>
          <t>8</t>
        </is>
      </c>
      <c r="G37">
        <f>IFERROR(VLOOKUP($A37&amp;"_"&amp;$B37,Results_Deltas!$A$2:$P$15000,5,FALSE),"")</f>
        <v/>
      </c>
      <c r="H37">
        <f>IFERROR(VLOOKUP($A37,Results_30d_Deltas!$A$2:$H$5000,7,FALSE)-E36,"")</f>
        <v/>
      </c>
      <c r="I37">
        <f>IFERROR(VLOOKUP($A37,Results_30d_Deltas!$A$2:$H$5000,6,FALSE),"")</f>
        <v/>
      </c>
      <c r="L37" t="inlineStr">
        <is>
          <t>YES</t>
        </is>
      </c>
      <c r="IK37" t="inlineStr">
        <is>
          <t>ez_manage.py:4116 top()</t>
        </is>
      </c>
      <c r="IL37" t="inlineStr">
        <is>
          <t>v12_quick_engine.py:3383 x1</t>
        </is>
      </c>
    </row>
    <row r="38" ht="10.5" customHeight="1" s="67">
      <c r="A38" t="inlineStr">
        <is>
          <t>TRADES_PER_SYM_PER_DAY_MAX</t>
        </is>
      </c>
      <c r="B38" t="inlineStr">
        <is>
          <t>10</t>
        </is>
      </c>
      <c r="G38">
        <f>IFERROR(VLOOKUP($A38&amp;"_"&amp;$B38,Results_Deltas!$A$2:$P$15000,5,FALSE),"")</f>
        <v/>
      </c>
      <c r="H38">
        <f>IFERROR(VLOOKUP($A38,Results_30d_Deltas!$A$2:$H$5000,7,FALSE)-E37,"")</f>
        <v/>
      </c>
      <c r="I38">
        <f>IFERROR(VLOOKUP($A38,Results_30d_Deltas!$A$2:$H$5000,6,FALSE),"")</f>
        <v/>
      </c>
      <c r="L38" t="inlineStr">
        <is>
          <t>NO</t>
        </is>
      </c>
      <c r="IK38" t="inlineStr">
        <is>
          <t>ez_manage.py:4116 top()</t>
        </is>
      </c>
      <c r="IL38" t="inlineStr">
        <is>
          <t>v12_quick_engine.py:3383 x1</t>
        </is>
      </c>
    </row>
    <row r="39" ht="10.5" customHeight="1" s="67">
      <c r="A39" t="inlineStr">
        <is>
          <t>TRADES_PER_SYM_PER_DAY_MAX</t>
        </is>
      </c>
      <c r="B39" t="inlineStr">
        <is>
          <t>12</t>
        </is>
      </c>
      <c r="G39">
        <f>IFERROR(VLOOKUP($A39&amp;"_"&amp;$B39,Results_Deltas!$A$2:$P$15000,5,FALSE),"")</f>
        <v/>
      </c>
      <c r="H39">
        <f>IFERROR(VLOOKUP($A39,Results_30d_Deltas!$A$2:$H$5000,7,FALSE)-E38,"")</f>
        <v/>
      </c>
      <c r="I39">
        <f>IFERROR(VLOOKUP($A39,Results_30d_Deltas!$A$2:$H$5000,6,FALSE),"")</f>
        <v/>
      </c>
      <c r="L39" t="inlineStr">
        <is>
          <t>NO</t>
        </is>
      </c>
      <c r="IK39" t="inlineStr">
        <is>
          <t>ez_manage.py:4116 top()</t>
        </is>
      </c>
      <c r="IL39" t="inlineStr">
        <is>
          <t>v12_quick_engine.py:3383 x1</t>
        </is>
      </c>
    </row>
    <row r="40" ht="10.5" customHeight="1" s="67">
      <c r="A40" t="inlineStr">
        <is>
          <t>UNIVERSAL_NOLOSS_BYPASS_REASONS</t>
        </is>
      </c>
      <c r="G40">
        <f>IFERROR(VLOOKUP($A40&amp;"_"&amp;$B40,Results_Deltas!$A$2:$P$15000,5,FALSE),"")</f>
        <v/>
      </c>
      <c r="H40">
        <f>IFERROR(VLOOKUP($A40,Results_30d_Deltas!$A$2:$H$5000,7,FALSE)-E39,"")</f>
        <v/>
      </c>
      <c r="I40">
        <f>IFERROR(VLOOKUP($A40,Results_30d_Deltas!$A$2:$H$5000,6,FALSE),"")</f>
        <v/>
      </c>
      <c r="L40" t="inlineStr">
        <is>
          <t>YES</t>
        </is>
      </c>
      <c r="IK40" t="inlineStr">
        <is>
          <t>config only</t>
        </is>
      </c>
      <c r="IL40" t="inlineStr">
        <is>
          <t>not declared</t>
        </is>
      </c>
    </row>
    <row r="41" ht="15.75" customHeight="1" s="67">
      <c r="A41" t="inlineStr">
        <is>
          <t>GAP_PER_SYMBOL_AVG_THRESH_PCT</t>
        </is>
      </c>
      <c r="B41" t="inlineStr">
        <is>
          <t>0.10</t>
        </is>
      </c>
      <c r="G41">
        <f>IFERROR(VLOOKUP($A41&amp;"_"&amp;$B41,Results_Deltas!$A$2:$P$15000,5,FALSE),"")</f>
        <v/>
      </c>
      <c r="H41">
        <f>IFERROR(VLOOKUP($A41,Results_30d_Deltas!$A$2:$H$5000,7,FALSE)-E40,"")</f>
        <v/>
      </c>
      <c r="L41" t="inlineStr">
        <is>
          <t>NO</t>
        </is>
      </c>
    </row>
    <row r="42" ht="15.75" customHeight="1" s="67">
      <c r="A42" t="inlineStr">
        <is>
          <t>GAP_PER_SYMBOL_AVG_THRESH_PCT</t>
        </is>
      </c>
      <c r="B42" t="inlineStr">
        <is>
          <t>0.30</t>
        </is>
      </c>
      <c r="G42">
        <f>IFERROR(VLOOKUP($A42&amp;"_"&amp;$B42,Results_Deltas!$A$2:$P$15000,5,FALSE),"")</f>
        <v/>
      </c>
      <c r="H42">
        <f>IFERROR(VLOOKUP($A42,Results_30d_Deltas!$A$2:$H$5000,7,FALSE)-E41,"")</f>
        <v/>
      </c>
      <c r="L42" t="inlineStr">
        <is>
          <t>NO</t>
        </is>
      </c>
    </row>
    <row r="43" ht="15.75" customHeight="1" s="67">
      <c r="A43" t="inlineStr">
        <is>
          <t>GAP_PER_SYMBOL_AVG_THRESH_PCT</t>
        </is>
      </c>
      <c r="B43" t="inlineStr">
        <is>
          <t>0.50</t>
        </is>
      </c>
      <c r="G43">
        <f>IFERROR(VLOOKUP($A43&amp;"_"&amp;$B43,Results_Deltas!$A$2:$P$15000,5,FALSE),"")</f>
        <v/>
      </c>
      <c r="H43">
        <f>IFERROR(VLOOKUP($A43,Results_30d_Deltas!$A$2:$H$5000,7,FALSE)-E42,"")</f>
        <v/>
      </c>
      <c r="L43" t="inlineStr">
        <is>
          <t>NO</t>
        </is>
      </c>
    </row>
    <row r="44" ht="15.75" customHeight="1" s="67">
      <c r="A44" t="inlineStr">
        <is>
          <t>ADX_RANGING_THRESHOLD</t>
        </is>
      </c>
      <c r="B44" t="inlineStr">
        <is>
          <t>20</t>
        </is>
      </c>
      <c r="D44" t="inlineStr">
        <is>
          <t>ENTRY, GLOBAL_CHECK, STOCKS_EXIT</t>
        </is>
      </c>
      <c r="G44">
        <f>IFERROR(VLOOKUP($A44&amp;"_"&amp;$B44,Results_Deltas!$A$2:$P$15000,5,FALSE),"")</f>
        <v/>
      </c>
      <c r="H44" t="inlineStr">
        <is>
          <t>Blanket (page end)</t>
        </is>
      </c>
      <c r="L44" t="inlineStr">
        <is>
          <t>NO</t>
        </is>
      </c>
    </row>
    <row r="45" ht="15.75" customHeight="1" s="67">
      <c r="A45" t="inlineStr">
        <is>
          <t>ADX_RANGING_THRESHOLD</t>
        </is>
      </c>
      <c r="B45" t="inlineStr">
        <is>
          <t>25</t>
        </is>
      </c>
      <c r="D45" t="inlineStr">
        <is>
          <t>ENTRY, GLOBAL_CHECK, STOCKS_EXIT</t>
        </is>
      </c>
      <c r="G45">
        <f>IFERROR(VLOOKUP($A45&amp;"_"&amp;$B45,Results_Deltas!$A$2:$P$15000,5,FALSE),"")</f>
        <v/>
      </c>
      <c r="H45" t="inlineStr">
        <is>
          <t>Blanket (page end)</t>
        </is>
      </c>
      <c r="L45" t="inlineStr">
        <is>
          <t>NO</t>
        </is>
      </c>
    </row>
    <row r="46" ht="15.75" customHeight="1" s="67">
      <c r="A46" t="inlineStr">
        <is>
          <t>ADX_RANGING_THRESHOLD</t>
        </is>
      </c>
      <c r="B46" t="inlineStr">
        <is>
          <t>15</t>
        </is>
      </c>
      <c r="D46" t="inlineStr">
        <is>
          <t>ENTRY, GLOBAL_CHECK, STOCKS_EXIT</t>
        </is>
      </c>
      <c r="G46">
        <f>IFERROR(VLOOKUP($A46&amp;"_"&amp;$B46,Results_Deltas!$A$2:$P$15000,5,FALSE),"")</f>
        <v/>
      </c>
      <c r="H46" t="inlineStr">
        <is>
          <t>Blanket (page end)</t>
        </is>
      </c>
      <c r="L46" t="inlineStr">
        <is>
          <t>YES</t>
        </is>
      </c>
    </row>
    <row r="47" ht="15.75" customHeight="1" s="67">
      <c r="A47" t="inlineStr">
        <is>
          <t>ADX_RANGING_THRESHOLD</t>
        </is>
      </c>
      <c r="B47" t="inlineStr">
        <is>
          <t>10</t>
        </is>
      </c>
      <c r="D47" t="inlineStr">
        <is>
          <t>ENTRY, GLOBAL_CHECK, STOCKS_EXIT</t>
        </is>
      </c>
      <c r="G47">
        <f>IFERROR(VLOOKUP($A47&amp;"_"&amp;$B47,Results_Deltas!$A$2:$P$15000,5,FALSE),"")</f>
        <v/>
      </c>
      <c r="H47" t="inlineStr">
        <is>
          <t>Blanket (page end)</t>
        </is>
      </c>
      <c r="L47" t="inlineStr">
        <is>
          <t>NO</t>
        </is>
      </c>
    </row>
    <row r="48" ht="15.75" customHeight="1" s="67">
      <c r="A48" t="inlineStr">
        <is>
          <t>BANDAID_OFF_LOSER_RECOVER_PCT</t>
        </is>
      </c>
      <c r="B48" t="inlineStr">
        <is>
          <t>0</t>
        </is>
      </c>
      <c r="D48" t="inlineStr">
        <is>
          <t>AUGMENT, ENTRY, EXIT, GLOBAL_CHECK, REDUCE, STOCKS_EXIT</t>
        </is>
      </c>
      <c r="G48">
        <f>IFERROR(VLOOKUP($A48&amp;"_"&amp;$B48,Results_Deltas!$A$2:$P$15000,5,FALSE),"")</f>
        <v/>
      </c>
      <c r="H48" t="inlineStr">
        <is>
          <t>Blanket (page end)</t>
        </is>
      </c>
      <c r="L48" t="inlineStr">
        <is>
          <t>NO</t>
        </is>
      </c>
    </row>
    <row r="49" ht="15.75" customHeight="1" s="67">
      <c r="A49" t="inlineStr">
        <is>
          <t>BANDAID_OFF_LOSER_RECOVER_PCT</t>
        </is>
      </c>
      <c r="B49" t="inlineStr">
        <is>
          <t>2.0</t>
        </is>
      </c>
      <c r="D49" t="inlineStr">
        <is>
          <t>AUGMENT, ENTRY, EXIT, GLOBAL_CHECK, REDUCE, STOCKS_EXIT</t>
        </is>
      </c>
      <c r="G49">
        <f>IFERROR(VLOOKUP($A49&amp;"_"&amp;$B49,Results_Deltas!$A$2:$P$15000,5,FALSE),"")</f>
        <v/>
      </c>
      <c r="H49" t="inlineStr">
        <is>
          <t>Blanket (page end)</t>
        </is>
      </c>
      <c r="L49" t="inlineStr">
        <is>
          <t>NO</t>
        </is>
      </c>
    </row>
    <row r="50" ht="15.75" customHeight="1" s="67">
      <c r="A50" t="inlineStr">
        <is>
          <t>BANDAID_OFF_LOSER_RECOVER_PCT</t>
        </is>
      </c>
      <c r="B50" t="inlineStr">
        <is>
          <t>1.0</t>
        </is>
      </c>
      <c r="D50" t="inlineStr">
        <is>
          <t>AUGMENT, ENTRY, EXIT, GLOBAL_CHECK, REDUCE, STOCKS_EXIT</t>
        </is>
      </c>
      <c r="G50">
        <f>IFERROR(VLOOKUP($A50&amp;"_"&amp;$B50,Results_Deltas!$A$2:$P$15000,5,FALSE),"")</f>
        <v/>
      </c>
      <c r="H50" t="inlineStr">
        <is>
          <t>Blanket (page end)</t>
        </is>
      </c>
      <c r="L50" t="inlineStr">
        <is>
          <t>NO</t>
        </is>
      </c>
    </row>
    <row r="51" ht="15.75" customHeight="1" s="67">
      <c r="A51" t="inlineStr">
        <is>
          <t>BANDAID_OFF_LOSER_RECOVER_PCT</t>
        </is>
      </c>
      <c r="B51" t="inlineStr">
        <is>
          <t>0.5</t>
        </is>
      </c>
      <c r="D51" t="inlineStr">
        <is>
          <t>AUGMENT, ENTRY, EXIT, GLOBAL_CHECK, REDUCE, STOCKS_EXIT</t>
        </is>
      </c>
      <c r="G51">
        <f>IFERROR(VLOOKUP($A51&amp;"_"&amp;$B51,Results_Deltas!$A$2:$P$15000,5,FALSE),"")</f>
        <v/>
      </c>
      <c r="H51" t="inlineStr">
        <is>
          <t>Blanket (page end)</t>
        </is>
      </c>
      <c r="L51" t="inlineStr">
        <is>
          <t>YES</t>
        </is>
      </c>
    </row>
    <row r="52" ht="15.75" customHeight="1" s="67">
      <c r="A52" t="inlineStr">
        <is>
          <t>BAND_ARROW_ENABLED</t>
        </is>
      </c>
      <c r="B52" t="inlineStr">
        <is>
          <t>False</t>
        </is>
      </c>
      <c r="D52" t="inlineStr">
        <is>
          <t>GLOBAL_CHECK, STOCKS_EXIT</t>
        </is>
      </c>
      <c r="G52">
        <f>IFERROR(VLOOKUP($A52&amp;"_"&amp;$B52,Results_Deltas!$A$2:$P$15000,5,FALSE),"")</f>
        <v/>
      </c>
      <c r="H52" t="inlineStr">
        <is>
          <t>Blanket (page end)</t>
        </is>
      </c>
      <c r="L52" t="inlineStr">
        <is>
          <t>NO</t>
        </is>
      </c>
    </row>
    <row r="53" ht="15.75" customHeight="1" s="67">
      <c r="A53" t="inlineStr">
        <is>
          <t>BAND_ARROW_ENABLED</t>
        </is>
      </c>
      <c r="B53" t="inlineStr">
        <is>
          <t>True</t>
        </is>
      </c>
      <c r="D53" t="inlineStr">
        <is>
          <t>GLOBAL_CHECK, STOCKS_EXIT</t>
        </is>
      </c>
      <c r="G53">
        <f>IFERROR(VLOOKUP($A53&amp;"_"&amp;$B53,Results_Deltas!$A$2:$P$15000,5,FALSE),"")</f>
        <v/>
      </c>
      <c r="H53" t="inlineStr">
        <is>
          <t>Blanket (page end)</t>
        </is>
      </c>
      <c r="L53" t="inlineStr">
        <is>
          <t>NO</t>
        </is>
      </c>
    </row>
    <row r="54" ht="15.75" customHeight="1" s="67">
      <c r="A54" t="inlineStr">
        <is>
          <t>COOLDOWN_LOCKS_FILTER_TF</t>
        </is>
      </c>
      <c r="B54" t="inlineStr">
        <is>
          <t>OFF</t>
        </is>
      </c>
      <c r="D54" t="inlineStr">
        <is>
          <t>GLOBAL_CHECK</t>
        </is>
      </c>
      <c r="G54">
        <f>IFERROR(VLOOKUP($A54&amp;"_"&amp;$B54,Results_Deltas!$A$2:$P$15000,5,FALSE),"")</f>
        <v/>
      </c>
      <c r="H54" t="inlineStr">
        <is>
          <t>Blanket (page end)</t>
        </is>
      </c>
      <c r="L54" t="inlineStr">
        <is>
          <t>NO</t>
        </is>
      </c>
    </row>
    <row r="55" ht="15.75" customHeight="1" s="67">
      <c r="A55" t="inlineStr">
        <is>
          <t>COOLDOWN_LOCKS_FILTER_TF</t>
        </is>
      </c>
      <c r="B55" t="inlineStr">
        <is>
          <t>D</t>
        </is>
      </c>
      <c r="D55" t="inlineStr">
        <is>
          <t>GLOBAL_CHECK</t>
        </is>
      </c>
      <c r="G55">
        <f>IFERROR(VLOOKUP($A55&amp;"_"&amp;$B55,Results_Deltas!$A$2:$P$15000,5,FALSE),"")</f>
        <v/>
      </c>
      <c r="H55" t="inlineStr">
        <is>
          <t>Blanket (page end)</t>
        </is>
      </c>
      <c r="L55" t="inlineStr">
        <is>
          <t>NO</t>
        </is>
      </c>
    </row>
    <row r="56" ht="15.75" customHeight="1" s="67">
      <c r="A56" t="inlineStr">
        <is>
          <t>COOLDOWN_LOCKS_FILTER_TF</t>
        </is>
      </c>
      <c r="B56" t="inlineStr">
        <is>
          <t>4h</t>
        </is>
      </c>
      <c r="D56" t="inlineStr">
        <is>
          <t>GLOBAL_CHECK</t>
        </is>
      </c>
      <c r="G56">
        <f>IFERROR(VLOOKUP($A56&amp;"_"&amp;$B56,Results_Deltas!$A$2:$P$15000,5,FALSE),"")</f>
        <v/>
      </c>
      <c r="H56" t="inlineStr">
        <is>
          <t>Blanket (page end)</t>
        </is>
      </c>
      <c r="L56" t="inlineStr">
        <is>
          <t>NO</t>
        </is>
      </c>
    </row>
    <row r="57" ht="15.75" customHeight="1" s="67">
      <c r="A57" t="inlineStr">
        <is>
          <t>COOLDOWN_LOCKS_FILTER_TF</t>
        </is>
      </c>
      <c r="B57" t="inlineStr">
        <is>
          <t>1h</t>
        </is>
      </c>
      <c r="D57" t="inlineStr">
        <is>
          <t>GLOBAL_CHECK</t>
        </is>
      </c>
      <c r="G57">
        <f>IFERROR(VLOOKUP($A57&amp;"_"&amp;$B57,Results_Deltas!$A$2:$P$15000,5,FALSE),"")</f>
        <v/>
      </c>
      <c r="H57" t="inlineStr">
        <is>
          <t>Blanket (page end)</t>
        </is>
      </c>
      <c r="L57" t="inlineStr">
        <is>
          <t>NO</t>
        </is>
      </c>
    </row>
    <row r="58" ht="15.75" customHeight="1" s="67">
      <c r="A58" t="inlineStr">
        <is>
          <t>COOLDOWN_LOCKS_FILTER_TF</t>
        </is>
      </c>
      <c r="B58" t="inlineStr">
        <is>
          <t>15m</t>
        </is>
      </c>
      <c r="D58" t="inlineStr">
        <is>
          <t>GLOBAL_CHECK</t>
        </is>
      </c>
      <c r="G58">
        <f>IFERROR(VLOOKUP($A58&amp;"_"&amp;$B58,Results_Deltas!$A$2:$P$15000,5,FALSE),"")</f>
        <v/>
      </c>
      <c r="H58" t="inlineStr">
        <is>
          <t>Blanket (page end)</t>
        </is>
      </c>
      <c r="L58" t="inlineStr">
        <is>
          <t>NO</t>
        </is>
      </c>
    </row>
    <row r="59" ht="15.75" customHeight="1" s="67">
      <c r="A59" t="inlineStr">
        <is>
          <t>CRYPTO_SPIKE_FADE_THRESHOLD_PCT</t>
        </is>
      </c>
      <c r="B59" t="inlineStr">
        <is>
          <t>10</t>
        </is>
      </c>
      <c r="D59" t="inlineStr">
        <is>
          <t>GLOBAL_CHECK, STOCKS_EXIT</t>
        </is>
      </c>
      <c r="G59">
        <f>IFERROR(VLOOKUP($A59&amp;"_"&amp;$B59,Results_Deltas!$A$2:$P$15000,5,FALSE),"")</f>
        <v/>
      </c>
      <c r="H59" t="inlineStr">
        <is>
          <t>Blanket (page end)</t>
        </is>
      </c>
      <c r="L59" t="inlineStr">
        <is>
          <t>NO</t>
        </is>
      </c>
    </row>
    <row r="60" ht="15.75" customHeight="1" s="67">
      <c r="A60" t="inlineStr">
        <is>
          <t>CRYPTO_SPIKE_FADE_THRESHOLD_PCT</t>
        </is>
      </c>
      <c r="B60" t="inlineStr">
        <is>
          <t>12.5</t>
        </is>
      </c>
      <c r="D60" t="inlineStr">
        <is>
          <t>GLOBAL_CHECK, STOCKS_EXIT</t>
        </is>
      </c>
      <c r="G60">
        <f>IFERROR(VLOOKUP($A60&amp;"_"&amp;$B60,Results_Deltas!$A$2:$P$15000,5,FALSE),"")</f>
        <v/>
      </c>
      <c r="H60" t="inlineStr">
        <is>
          <t>Blanket (page end)</t>
        </is>
      </c>
      <c r="L60" t="inlineStr">
        <is>
          <t>NO</t>
        </is>
      </c>
    </row>
    <row r="61" ht="15.75" customHeight="1" s="67">
      <c r="A61" t="inlineStr">
        <is>
          <t>CRYPTO_SPIKE_FADE_THRESHOLD_PCT</t>
        </is>
      </c>
      <c r="B61" t="inlineStr">
        <is>
          <t>7.5</t>
        </is>
      </c>
      <c r="D61" t="inlineStr">
        <is>
          <t>GLOBAL_CHECK, STOCKS_EXIT</t>
        </is>
      </c>
      <c r="G61">
        <f>IFERROR(VLOOKUP($A61&amp;"_"&amp;$B61,Results_Deltas!$A$2:$P$15000,5,FALSE),"")</f>
        <v/>
      </c>
      <c r="H61" t="inlineStr">
        <is>
          <t>Blanket (page end)</t>
        </is>
      </c>
      <c r="L61" t="inlineStr">
        <is>
          <t>NO</t>
        </is>
      </c>
    </row>
    <row r="62" ht="15.75" customHeight="1" s="67">
      <c r="A62" t="inlineStr">
        <is>
          <t>CRYPTO_SPIKE_FADE_THRESHOLD_PCT</t>
        </is>
      </c>
      <c r="B62" t="inlineStr">
        <is>
          <t>5</t>
        </is>
      </c>
      <c r="D62" t="inlineStr">
        <is>
          <t>GLOBAL_CHECK, STOCKS_EXIT</t>
        </is>
      </c>
      <c r="G62">
        <f>IFERROR(VLOOKUP($A62&amp;"_"&amp;$B62,Results_Deltas!$A$2:$P$15000,5,FALSE),"")</f>
        <v/>
      </c>
      <c r="H62" t="inlineStr">
        <is>
          <t>Blanket (page end)</t>
        </is>
      </c>
      <c r="L62" t="inlineStr">
        <is>
          <t>YES</t>
        </is>
      </c>
    </row>
    <row r="63" ht="15.75" customHeight="1" s="67">
      <c r="A63" t="inlineStr">
        <is>
          <t>DC_MOMENT_STRONG_THRESHOLD</t>
        </is>
      </c>
      <c r="B63" t="inlineStr">
        <is>
          <t>40</t>
        </is>
      </c>
      <c r="D63" t="inlineStr">
        <is>
          <t>ENTRY, GLOBAL_CHECK, STOCKS_EXIT</t>
        </is>
      </c>
      <c r="G63">
        <f>IFERROR(VLOOKUP($A63&amp;"_"&amp;$B63,Results_Deltas!$A$2:$P$15000,5,FALSE),"")</f>
        <v/>
      </c>
      <c r="H63" t="inlineStr">
        <is>
          <t>Blanket (page end)</t>
        </is>
      </c>
      <c r="L63" t="inlineStr">
        <is>
          <t>YES</t>
        </is>
      </c>
    </row>
    <row r="64" ht="15.75" customHeight="1" s="67">
      <c r="A64" t="inlineStr">
        <is>
          <t>DC_MOMENT_STRONG_THRESHOLD</t>
        </is>
      </c>
      <c r="B64" t="inlineStr">
        <is>
          <t>50</t>
        </is>
      </c>
      <c r="D64" t="inlineStr">
        <is>
          <t>ENTRY, GLOBAL_CHECK, STOCKS_EXIT</t>
        </is>
      </c>
      <c r="G64">
        <f>IFERROR(VLOOKUP($A64&amp;"_"&amp;$B64,Results_Deltas!$A$2:$P$15000,5,FALSE),"")</f>
        <v/>
      </c>
      <c r="H64" t="inlineStr">
        <is>
          <t>Blanket (page end)</t>
        </is>
      </c>
      <c r="L64" t="inlineStr">
        <is>
          <t>NO</t>
        </is>
      </c>
    </row>
    <row r="65" ht="15.75" customHeight="1" s="67">
      <c r="A65" t="inlineStr">
        <is>
          <t>DC_MOMENT_STRONG_THRESHOLD</t>
        </is>
      </c>
      <c r="B65" t="inlineStr">
        <is>
          <t>30</t>
        </is>
      </c>
      <c r="D65" t="inlineStr">
        <is>
          <t>ENTRY, GLOBAL_CHECK, STOCKS_EXIT</t>
        </is>
      </c>
      <c r="G65">
        <f>IFERROR(VLOOKUP($A65&amp;"_"&amp;$B65,Results_Deltas!$A$2:$P$15000,5,FALSE),"")</f>
        <v/>
      </c>
      <c r="H65" t="inlineStr">
        <is>
          <t>Blanket (page end)</t>
        </is>
      </c>
      <c r="L65" t="inlineStr">
        <is>
          <t>NO</t>
        </is>
      </c>
    </row>
    <row r="66" ht="15.75" customHeight="1" s="67">
      <c r="A66" t="inlineStr">
        <is>
          <t>DC_MOMENT_STRONG_THRESHOLD</t>
        </is>
      </c>
      <c r="B66" t="inlineStr">
        <is>
          <t>20</t>
        </is>
      </c>
      <c r="D66" t="inlineStr">
        <is>
          <t>ENTRY, GLOBAL_CHECK, STOCKS_EXIT</t>
        </is>
      </c>
      <c r="G66">
        <f>IFERROR(VLOOKUP($A66&amp;"_"&amp;$B66,Results_Deltas!$A$2:$P$15000,5,FALSE),"")</f>
        <v/>
      </c>
      <c r="H66" t="inlineStr">
        <is>
          <t>Blanket (page end)</t>
        </is>
      </c>
      <c r="L66" t="inlineStr">
        <is>
          <t>NO</t>
        </is>
      </c>
    </row>
    <row r="67" ht="15.75" customHeight="1" s="67">
      <c r="A67" t="inlineStr">
        <is>
          <t>DELTA_HTF_GATE</t>
        </is>
      </c>
      <c r="B67" t="inlineStr">
        <is>
          <t>4h</t>
        </is>
      </c>
      <c r="D67" t="inlineStr">
        <is>
          <t>ENTRY, GLOBAL_CHECK, STOCKS_EXIT</t>
        </is>
      </c>
      <c r="G67">
        <f>IFERROR(VLOOKUP($A67&amp;"_"&amp;$B67,Results_Deltas!$A$2:$P$15000,5,FALSE),"")</f>
        <v/>
      </c>
      <c r="H67" t="inlineStr">
        <is>
          <t>Blanket (page end)</t>
        </is>
      </c>
      <c r="L67" t="inlineStr">
        <is>
          <t>YES</t>
        </is>
      </c>
    </row>
    <row r="68" ht="15.75" customHeight="1" s="67">
      <c r="A68" t="inlineStr">
        <is>
          <t>DELTA_HTF_GATE</t>
        </is>
      </c>
      <c r="B68" t="inlineStr">
        <is>
          <t>4h_ALT</t>
        </is>
      </c>
      <c r="D68" t="inlineStr">
        <is>
          <t>ENTRY, GLOBAL_CHECK, STOCKS_EXIT</t>
        </is>
      </c>
      <c r="G68">
        <f>IFERROR(VLOOKUP($A68&amp;"_"&amp;$B68,Results_Deltas!$A$2:$P$15000,5,FALSE),"")</f>
        <v/>
      </c>
      <c r="H68" t="inlineStr">
        <is>
          <t>Blanket (page end)</t>
        </is>
      </c>
      <c r="L68" t="inlineStr">
        <is>
          <t>NO</t>
        </is>
      </c>
    </row>
    <row r="69" ht="15.75" customHeight="1" s="67">
      <c r="A69" t="inlineStr">
        <is>
          <t>DELTA_REENTRY_FILTER_ENABLED</t>
        </is>
      </c>
      <c r="B69" t="inlineStr">
        <is>
          <t>False</t>
        </is>
      </c>
      <c r="D69" t="inlineStr">
        <is>
          <t>ENTRY, GLOBAL_CHECK, STOCKS_EXIT</t>
        </is>
      </c>
      <c r="G69">
        <f>IFERROR(VLOOKUP($A69&amp;"_"&amp;$B69,Results_Deltas!$A$2:$P$15000,5,FALSE),"")</f>
        <v/>
      </c>
      <c r="H69" t="inlineStr">
        <is>
          <t>Blanket (page end)</t>
        </is>
      </c>
      <c r="L69" t="inlineStr">
        <is>
          <t>NO</t>
        </is>
      </c>
    </row>
    <row r="70" ht="15.75" customHeight="1" s="67">
      <c r="A70" t="inlineStr">
        <is>
          <t>DELTA_REENTRY_FILTER_ENABLED</t>
        </is>
      </c>
      <c r="B70" t="inlineStr">
        <is>
          <t>True</t>
        </is>
      </c>
      <c r="D70" t="inlineStr">
        <is>
          <t>ENTRY, GLOBAL_CHECK, STOCKS_EXIT</t>
        </is>
      </c>
      <c r="G70">
        <f>IFERROR(VLOOKUP($A70&amp;"_"&amp;$B70,Results_Deltas!$A$2:$P$15000,5,FALSE),"")</f>
        <v/>
      </c>
      <c r="H70" t="inlineStr">
        <is>
          <t>Blanket (page end)</t>
        </is>
      </c>
      <c r="L70" t="inlineStr">
        <is>
          <t>NO</t>
        </is>
      </c>
    </row>
    <row r="71" ht="15.75" customHeight="1" s="67">
      <c r="A71" t="inlineStr">
        <is>
          <t>DUP_GUARD_FILTER_TF</t>
        </is>
      </c>
      <c r="B71" t="inlineStr">
        <is>
          <t>OFF</t>
        </is>
      </c>
      <c r="D71" t="inlineStr">
        <is>
          <t>GLOBAL_CHECK</t>
        </is>
      </c>
      <c r="G71">
        <f>IFERROR(VLOOKUP($A71&amp;"_"&amp;$B71,Results_Deltas!$A$2:$P$15000,5,FALSE),"")</f>
        <v/>
      </c>
      <c r="H71" t="inlineStr">
        <is>
          <t>Blanket (page end)</t>
        </is>
      </c>
      <c r="L71" t="inlineStr">
        <is>
          <t>NO</t>
        </is>
      </c>
    </row>
    <row r="72" ht="15.75" customHeight="1" s="67">
      <c r="A72" t="inlineStr">
        <is>
          <t>DUP_GUARD_FILTER_TF</t>
        </is>
      </c>
      <c r="B72" t="inlineStr">
        <is>
          <t>D</t>
        </is>
      </c>
      <c r="D72" t="inlineStr">
        <is>
          <t>GLOBAL_CHECK</t>
        </is>
      </c>
      <c r="G72">
        <f>IFERROR(VLOOKUP($A72&amp;"_"&amp;$B72,Results_Deltas!$A$2:$P$15000,5,FALSE),"")</f>
        <v/>
      </c>
      <c r="H72" t="inlineStr">
        <is>
          <t>Blanket (page end)</t>
        </is>
      </c>
      <c r="L72" t="inlineStr">
        <is>
          <t>NO</t>
        </is>
      </c>
    </row>
    <row r="73" ht="15.75" customHeight="1" s="67">
      <c r="A73" t="inlineStr">
        <is>
          <t>DUP_GUARD_FILTER_TF</t>
        </is>
      </c>
      <c r="B73" t="inlineStr">
        <is>
          <t>4h</t>
        </is>
      </c>
      <c r="D73" t="inlineStr">
        <is>
          <t>GLOBAL_CHECK</t>
        </is>
      </c>
      <c r="G73">
        <f>IFERROR(VLOOKUP($A73&amp;"_"&amp;$B73,Results_Deltas!$A$2:$P$15000,5,FALSE),"")</f>
        <v/>
      </c>
      <c r="H73" t="inlineStr">
        <is>
          <t>Blanket (page end)</t>
        </is>
      </c>
      <c r="L73" t="inlineStr">
        <is>
          <t>YES</t>
        </is>
      </c>
    </row>
    <row r="74" ht="15.75" customHeight="1" s="67">
      <c r="A74" t="inlineStr">
        <is>
          <t>DUP_GUARD_FILTER_TF</t>
        </is>
      </c>
      <c r="B74" t="inlineStr">
        <is>
          <t>1h</t>
        </is>
      </c>
      <c r="D74" t="inlineStr">
        <is>
          <t>GLOBAL_CHECK</t>
        </is>
      </c>
      <c r="G74">
        <f>IFERROR(VLOOKUP($A74&amp;"_"&amp;$B74,Results_Deltas!$A$2:$P$15000,5,FALSE),"")</f>
        <v/>
      </c>
      <c r="H74" t="inlineStr">
        <is>
          <t>Blanket (page end)</t>
        </is>
      </c>
      <c r="L74" t="inlineStr">
        <is>
          <t>NO</t>
        </is>
      </c>
    </row>
    <row r="75" ht="15.75" customHeight="1" s="67">
      <c r="A75" t="inlineStr">
        <is>
          <t>DUP_GUARD_FILTER_TF</t>
        </is>
      </c>
      <c r="B75" t="inlineStr">
        <is>
          <t>15m</t>
        </is>
      </c>
      <c r="D75" t="inlineStr">
        <is>
          <t>GLOBAL_CHECK</t>
        </is>
      </c>
      <c r="G75">
        <f>IFERROR(VLOOKUP($A75&amp;"_"&amp;$B75,Results_Deltas!$A$2:$P$15000,5,FALSE),"")</f>
        <v/>
      </c>
      <c r="H75" t="inlineStr">
        <is>
          <t>Blanket (page end)</t>
        </is>
      </c>
      <c r="L75" t="inlineStr">
        <is>
          <t>NO</t>
        </is>
      </c>
    </row>
    <row r="76" ht="15.75" customHeight="1" s="67">
      <c r="A76" t="inlineStr">
        <is>
          <t>EMA_9_21_FILTER_MIN_TFS</t>
        </is>
      </c>
      <c r="B76" t="inlineStr">
        <is>
          <t>0</t>
        </is>
      </c>
      <c r="D76" t="inlineStr">
        <is>
          <t>GLOBAL_CHECK</t>
        </is>
      </c>
      <c r="G76">
        <f>IFERROR(VLOOKUP($A76&amp;"_"&amp;$B76,Results_Deltas!$A$2:$P$15000,5,FALSE),"")</f>
        <v/>
      </c>
      <c r="H76" t="inlineStr">
        <is>
          <t>Blanket (page end)</t>
        </is>
      </c>
      <c r="L76" t="inlineStr">
        <is>
          <t>NO</t>
        </is>
      </c>
    </row>
    <row r="77" ht="15.75" customHeight="1" s="67">
      <c r="A77" t="inlineStr">
        <is>
          <t>EMA_9_21_FILTER_MIN_TFS</t>
        </is>
      </c>
      <c r="B77" t="inlineStr">
        <is>
          <t>2</t>
        </is>
      </c>
      <c r="D77" t="inlineStr">
        <is>
          <t>GLOBAL_CHECK</t>
        </is>
      </c>
      <c r="G77">
        <f>IFERROR(VLOOKUP($A77&amp;"_"&amp;$B77,Results_Deltas!$A$2:$P$15000,5,FALSE),"")</f>
        <v/>
      </c>
      <c r="H77" t="inlineStr">
        <is>
          <t>Blanket (page end)</t>
        </is>
      </c>
      <c r="L77" t="inlineStr">
        <is>
          <t>NO</t>
        </is>
      </c>
    </row>
    <row r="78" ht="15.75" customHeight="1" s="67">
      <c r="A78" t="inlineStr">
        <is>
          <t>EMA_9_21_FILTER_MIN_TFS</t>
        </is>
      </c>
      <c r="B78" t="inlineStr">
        <is>
          <t>1</t>
        </is>
      </c>
      <c r="D78" t="inlineStr">
        <is>
          <t>GLOBAL_CHECK</t>
        </is>
      </c>
      <c r="G78">
        <f>IFERROR(VLOOKUP($A78&amp;"_"&amp;$B78,Results_Deltas!$A$2:$P$15000,5,FALSE),"")</f>
        <v/>
      </c>
      <c r="H78" t="inlineStr">
        <is>
          <t>Blanket (page end)</t>
        </is>
      </c>
      <c r="L78" t="inlineStr">
        <is>
          <t>NO</t>
        </is>
      </c>
    </row>
    <row r="79" ht="15.75" customHeight="1" s="67">
      <c r="A79" t="inlineStr">
        <is>
          <t>EMA_BLANKET_FILTER_ENABLED</t>
        </is>
      </c>
      <c r="B79" t="inlineStr">
        <is>
          <t>False</t>
        </is>
      </c>
      <c r="D79" t="inlineStr">
        <is>
          <t>GLOBAL_CHECK</t>
        </is>
      </c>
      <c r="G79">
        <f>IFERROR(VLOOKUP($A79&amp;"_"&amp;$B79,Results_Deltas!$A$2:$P$15000,5,FALSE),"")</f>
        <v/>
      </c>
      <c r="H79" t="inlineStr">
        <is>
          <t>Blanket (page end)</t>
        </is>
      </c>
      <c r="L79" t="inlineStr">
        <is>
          <t>YES</t>
        </is>
      </c>
    </row>
    <row r="80" ht="15.75" customHeight="1" s="67">
      <c r="A80" t="inlineStr">
        <is>
          <t>EMA_BLANKET_FILTER_ENABLED</t>
        </is>
      </c>
      <c r="B80" t="inlineStr">
        <is>
          <t>True</t>
        </is>
      </c>
      <c r="D80" t="inlineStr">
        <is>
          <t>GLOBAL_CHECK</t>
        </is>
      </c>
      <c r="G80">
        <f>IFERROR(VLOOKUP($A80&amp;"_"&amp;$B80,Results_Deltas!$A$2:$P$15000,5,FALSE),"")</f>
        <v/>
      </c>
      <c r="H80" t="inlineStr">
        <is>
          <t>Blanket (page end)</t>
        </is>
      </c>
      <c r="L80" t="inlineStr">
        <is>
          <t>NO</t>
        </is>
      </c>
    </row>
    <row r="81" ht="15.75" customHeight="1" s="67">
      <c r="A81" t="inlineStr">
        <is>
          <t>EMA_BLANKET_FILTER_MIN_TFS</t>
        </is>
      </c>
      <c r="B81" t="inlineStr">
        <is>
          <t>0</t>
        </is>
      </c>
      <c r="D81" t="inlineStr">
        <is>
          <t>GLOBAL_CHECK</t>
        </is>
      </c>
      <c r="G81">
        <f>IFERROR(VLOOKUP($A81&amp;"_"&amp;$B81,Results_Deltas!$A$2:$P$15000,5,FALSE),"")</f>
        <v/>
      </c>
      <c r="H81" t="inlineStr">
        <is>
          <t>Blanket (page end)</t>
        </is>
      </c>
      <c r="L81" t="inlineStr">
        <is>
          <t>NO</t>
        </is>
      </c>
    </row>
    <row r="82" ht="15.75" customHeight="1" s="67">
      <c r="A82" t="inlineStr">
        <is>
          <t>EMA_BLANKET_FILTER_MIN_TFS</t>
        </is>
      </c>
      <c r="B82" t="inlineStr">
        <is>
          <t>2</t>
        </is>
      </c>
      <c r="D82" t="inlineStr">
        <is>
          <t>GLOBAL_CHECK</t>
        </is>
      </c>
      <c r="G82">
        <f>IFERROR(VLOOKUP($A82&amp;"_"&amp;$B82,Results_Deltas!$A$2:$P$15000,5,FALSE),"")</f>
        <v/>
      </c>
      <c r="H82" t="inlineStr">
        <is>
          <t>Blanket (page end)</t>
        </is>
      </c>
      <c r="L82" t="inlineStr">
        <is>
          <t>NO</t>
        </is>
      </c>
    </row>
    <row r="83" ht="15.75" customHeight="1" s="67">
      <c r="A83" t="inlineStr">
        <is>
          <t>EMA_BLANKET_FILTER_MIN_TFS</t>
        </is>
      </c>
      <c r="B83" t="inlineStr">
        <is>
          <t>1</t>
        </is>
      </c>
      <c r="D83" t="inlineStr">
        <is>
          <t>GLOBAL_CHECK</t>
        </is>
      </c>
      <c r="G83">
        <f>IFERROR(VLOOKUP($A83&amp;"_"&amp;$B83,Results_Deltas!$A$2:$P$15000,5,FALSE),"")</f>
        <v/>
      </c>
      <c r="H83" t="inlineStr">
        <is>
          <t>Blanket (page end)</t>
        </is>
      </c>
      <c r="L83" t="inlineStr">
        <is>
          <t>NO</t>
        </is>
      </c>
    </row>
    <row r="84" ht="15.75" customHeight="1" s="67">
      <c r="A84" t="inlineStr">
        <is>
          <t>EXECUTE_NOW_SINGLE_GATE_ENFORCE</t>
        </is>
      </c>
      <c r="B84" t="inlineStr">
        <is>
          <t>0.0</t>
        </is>
      </c>
      <c r="D84" t="inlineStr">
        <is>
          <t>ENTRY, GLOBAL_CHECK, STOCKS_EXIT</t>
        </is>
      </c>
      <c r="G84">
        <f>IFERROR(VLOOKUP($A84&amp;"_"&amp;$B84,Results_Deltas!$A$2:$P$15000,5,FALSE),"")</f>
        <v/>
      </c>
      <c r="H84" t="inlineStr">
        <is>
          <t>Blanket (page end)</t>
        </is>
      </c>
      <c r="L84" t="inlineStr">
        <is>
          <t>YES</t>
        </is>
      </c>
    </row>
    <row r="85" ht="15.75" customHeight="1" s="67">
      <c r="A85" t="inlineStr">
        <is>
          <t>EXECUTE_NOW_SINGLE_GATE_ENFORCE</t>
        </is>
      </c>
      <c r="B85" t="inlineStr">
        <is>
          <t>0.0_ALT</t>
        </is>
      </c>
      <c r="D85" t="inlineStr">
        <is>
          <t>ENTRY, GLOBAL_CHECK, STOCKS_EXIT</t>
        </is>
      </c>
      <c r="G85">
        <f>IFERROR(VLOOKUP($A85&amp;"_"&amp;$B85,Results_Deltas!$A$2:$P$15000,5,FALSE),"")</f>
        <v/>
      </c>
      <c r="H85" t="inlineStr">
        <is>
          <t>Blanket (page end)</t>
        </is>
      </c>
      <c r="L85" t="inlineStr">
        <is>
          <t>NO</t>
        </is>
      </c>
    </row>
    <row r="86" ht="15.75" customHeight="1" s="67">
      <c r="A86" t="inlineStr">
        <is>
          <t>EZ_MANAGE_THROTTLER_RATE</t>
        </is>
      </c>
      <c r="B86" t="inlineStr">
        <is>
          <t>0.0</t>
        </is>
      </c>
      <c r="D86" t="inlineStr">
        <is>
          <t>GLOBAL_CHECK, STOCKS_EXIT</t>
        </is>
      </c>
      <c r="G86">
        <f>IFERROR(VLOOKUP($A86&amp;"_"&amp;$B86,Results_Deltas!$A$2:$P$15000,5,FALSE),"")</f>
        <v/>
      </c>
      <c r="H86" t="inlineStr">
        <is>
          <t>Blanket (page end)</t>
        </is>
      </c>
      <c r="L86" t="inlineStr">
        <is>
          <t>NO</t>
        </is>
      </c>
    </row>
    <row r="87" ht="15.75" customHeight="1" s="67">
      <c r="A87" t="inlineStr">
        <is>
          <t>EZ_MANAGE_THROTTLER_RATE</t>
        </is>
      </c>
      <c r="B87" t="inlineStr">
        <is>
          <t>0.0_ALT</t>
        </is>
      </c>
      <c r="D87" t="inlineStr">
        <is>
          <t>GLOBAL_CHECK, STOCKS_EXIT</t>
        </is>
      </c>
      <c r="G87">
        <f>IFERROR(VLOOKUP($A87&amp;"_"&amp;$B87,Results_Deltas!$A$2:$P$15000,5,FALSE),"")</f>
        <v/>
      </c>
      <c r="H87" t="inlineStr">
        <is>
          <t>Blanket (page end)</t>
        </is>
      </c>
      <c r="L87" t="inlineStr">
        <is>
          <t>NO</t>
        </is>
      </c>
    </row>
    <row r="88" ht="15.75" customHeight="1" s="67">
      <c r="A88" t="inlineStr">
        <is>
          <t>FG_FEAR_THRESHOLD</t>
        </is>
      </c>
      <c r="B88" t="inlineStr">
        <is>
          <t>25</t>
        </is>
      </c>
      <c r="D88" t="inlineStr">
        <is>
          <t>GLOBAL_CHECK, STOCKS_EXIT</t>
        </is>
      </c>
      <c r="G88">
        <f>IFERROR(VLOOKUP($A88&amp;"_"&amp;$B88,Results_Deltas!$A$2:$P$15000,5,FALSE),"")</f>
        <v/>
      </c>
      <c r="H88" t="inlineStr">
        <is>
          <t>Blanket (page end)</t>
        </is>
      </c>
      <c r="L88" t="inlineStr">
        <is>
          <t>NO</t>
        </is>
      </c>
    </row>
    <row r="89" ht="15.75" customHeight="1" s="67">
      <c r="A89" t="inlineStr">
        <is>
          <t>FG_FEAR_THRESHOLD</t>
        </is>
      </c>
      <c r="B89" t="inlineStr">
        <is>
          <t>31.25</t>
        </is>
      </c>
      <c r="D89" t="inlineStr">
        <is>
          <t>GLOBAL_CHECK, STOCKS_EXIT</t>
        </is>
      </c>
      <c r="G89">
        <f>IFERROR(VLOOKUP($A89&amp;"_"&amp;$B89,Results_Deltas!$A$2:$P$15000,5,FALSE),"")</f>
        <v/>
      </c>
      <c r="H89" t="inlineStr">
        <is>
          <t>Blanket (page end)</t>
        </is>
      </c>
      <c r="L89" t="inlineStr">
        <is>
          <t>NO</t>
        </is>
      </c>
    </row>
    <row r="90" ht="15.75" customHeight="1" s="67">
      <c r="A90" t="inlineStr">
        <is>
          <t>FG_FEAR_THRESHOLD</t>
        </is>
      </c>
      <c r="B90" t="inlineStr">
        <is>
          <t>18.75</t>
        </is>
      </c>
      <c r="D90" t="inlineStr">
        <is>
          <t>GLOBAL_CHECK, STOCKS_EXIT</t>
        </is>
      </c>
      <c r="G90">
        <f>IFERROR(VLOOKUP($A90&amp;"_"&amp;$B90,Results_Deltas!$A$2:$P$15000,5,FALSE),"")</f>
        <v/>
      </c>
      <c r="H90" t="inlineStr">
        <is>
          <t>Blanket (page end)</t>
        </is>
      </c>
      <c r="L90" t="inlineStr">
        <is>
          <t>NO</t>
        </is>
      </c>
    </row>
    <row r="91" ht="15.75" customHeight="1" s="67">
      <c r="A91" t="inlineStr">
        <is>
          <t>FG_FEAR_THRESHOLD</t>
        </is>
      </c>
      <c r="B91" t="inlineStr">
        <is>
          <t>12.5</t>
        </is>
      </c>
      <c r="D91" t="inlineStr">
        <is>
          <t>GLOBAL_CHECK, STOCKS_EXIT</t>
        </is>
      </c>
      <c r="G91">
        <f>IFERROR(VLOOKUP($A91&amp;"_"&amp;$B91,Results_Deltas!$A$2:$P$15000,5,FALSE),"")</f>
        <v/>
      </c>
      <c r="H91" t="inlineStr">
        <is>
          <t>Blanket (page end)</t>
        </is>
      </c>
      <c r="L91" t="inlineStr">
        <is>
          <t>NO</t>
        </is>
      </c>
    </row>
    <row r="92" ht="15.75" customHeight="1" s="67">
      <c r="A92" t="inlineStr">
        <is>
          <t>FG_GREED_THRESHOLD</t>
        </is>
      </c>
      <c r="B92" t="inlineStr">
        <is>
          <t>75</t>
        </is>
      </c>
      <c r="D92" t="inlineStr">
        <is>
          <t>GLOBAL_CHECK, STOCKS_EXIT</t>
        </is>
      </c>
      <c r="G92">
        <f>IFERROR(VLOOKUP($A92&amp;"_"&amp;$B92,Results_Deltas!$A$2:$P$15000,5,FALSE),"")</f>
        <v/>
      </c>
      <c r="H92" t="inlineStr">
        <is>
          <t>Blanket (page end)</t>
        </is>
      </c>
      <c r="L92" t="inlineStr">
        <is>
          <t>YES</t>
        </is>
      </c>
    </row>
    <row r="93" ht="15.75" customHeight="1" s="67">
      <c r="A93" t="inlineStr">
        <is>
          <t>FG_GREED_THRESHOLD</t>
        </is>
      </c>
      <c r="B93" t="inlineStr">
        <is>
          <t>93.75</t>
        </is>
      </c>
      <c r="D93" t="inlineStr">
        <is>
          <t>GLOBAL_CHECK, STOCKS_EXIT</t>
        </is>
      </c>
      <c r="G93">
        <f>IFERROR(VLOOKUP($A93&amp;"_"&amp;$B93,Results_Deltas!$A$2:$P$15000,5,FALSE),"")</f>
        <v/>
      </c>
      <c r="H93" t="inlineStr">
        <is>
          <t>Blanket (page end)</t>
        </is>
      </c>
      <c r="L93" t="inlineStr">
        <is>
          <t>NO</t>
        </is>
      </c>
    </row>
    <row r="94" ht="15.75" customHeight="1" s="67">
      <c r="A94" t="inlineStr">
        <is>
          <t>FG_GREED_THRESHOLD</t>
        </is>
      </c>
      <c r="B94" t="inlineStr">
        <is>
          <t>56.25</t>
        </is>
      </c>
      <c r="D94" t="inlineStr">
        <is>
          <t>GLOBAL_CHECK, STOCKS_EXIT</t>
        </is>
      </c>
      <c r="G94">
        <f>IFERROR(VLOOKUP($A94&amp;"_"&amp;$B94,Results_Deltas!$A$2:$P$15000,5,FALSE),"")</f>
        <v/>
      </c>
      <c r="H94" t="inlineStr">
        <is>
          <t>Blanket (page end)</t>
        </is>
      </c>
      <c r="L94" t="inlineStr">
        <is>
          <t>NO</t>
        </is>
      </c>
    </row>
    <row r="95" ht="15.75" customHeight="1" s="67">
      <c r="A95" t="inlineStr">
        <is>
          <t>FG_GREED_THRESHOLD</t>
        </is>
      </c>
      <c r="B95" t="inlineStr">
        <is>
          <t>37.5</t>
        </is>
      </c>
      <c r="D95" t="inlineStr">
        <is>
          <t>GLOBAL_CHECK, STOCKS_EXIT</t>
        </is>
      </c>
      <c r="G95">
        <f>IFERROR(VLOOKUP($A95&amp;"_"&amp;$B95,Results_Deltas!$A$2:$P$15000,5,FALSE),"")</f>
        <v/>
      </c>
      <c r="H95" t="inlineStr">
        <is>
          <t>Blanket (page end)</t>
        </is>
      </c>
      <c r="L95" t="inlineStr">
        <is>
          <t>NO</t>
        </is>
      </c>
    </row>
    <row r="96" ht="15.75" customHeight="1" s="67">
      <c r="A96" t="inlineStr">
        <is>
          <t>FUNDING_GATE_FILTER_TF</t>
        </is>
      </c>
      <c r="B96" t="inlineStr">
        <is>
          <t>OFF</t>
        </is>
      </c>
      <c r="D96" t="inlineStr">
        <is>
          <t>GLOBAL_CHECK</t>
        </is>
      </c>
      <c r="G96">
        <f>IFERROR(VLOOKUP($A96&amp;"_"&amp;$B96,Results_Deltas!$A$2:$P$15000,5,FALSE),"")</f>
        <v/>
      </c>
      <c r="H96" t="inlineStr">
        <is>
          <t>Blanket (page end)</t>
        </is>
      </c>
      <c r="L96" t="inlineStr">
        <is>
          <t>YES</t>
        </is>
      </c>
    </row>
    <row r="97" ht="15.75" customHeight="1" s="67">
      <c r="A97" t="inlineStr">
        <is>
          <t>FUNDING_GATE_FILTER_TF</t>
        </is>
      </c>
      <c r="B97" t="inlineStr">
        <is>
          <t>D</t>
        </is>
      </c>
      <c r="D97" t="inlineStr">
        <is>
          <t>GLOBAL_CHECK</t>
        </is>
      </c>
      <c r="G97">
        <f>IFERROR(VLOOKUP($A97&amp;"_"&amp;$B97,Results_Deltas!$A$2:$P$15000,5,FALSE),"")</f>
        <v/>
      </c>
      <c r="H97" t="inlineStr">
        <is>
          <t>Blanket (page end)</t>
        </is>
      </c>
      <c r="L97" t="inlineStr">
        <is>
          <t>NO</t>
        </is>
      </c>
    </row>
    <row r="98" ht="15.75" customHeight="1" s="67">
      <c r="A98" t="inlineStr">
        <is>
          <t>FUNDING_GATE_FILTER_TF</t>
        </is>
      </c>
      <c r="B98" t="inlineStr">
        <is>
          <t>4h</t>
        </is>
      </c>
      <c r="D98" t="inlineStr">
        <is>
          <t>GLOBAL_CHECK</t>
        </is>
      </c>
      <c r="G98">
        <f>IFERROR(VLOOKUP($A98&amp;"_"&amp;$B98,Results_Deltas!$A$2:$P$15000,5,FALSE),"")</f>
        <v/>
      </c>
      <c r="H98" t="inlineStr">
        <is>
          <t>Blanket (page end)</t>
        </is>
      </c>
      <c r="L98" t="inlineStr">
        <is>
          <t>NO</t>
        </is>
      </c>
    </row>
    <row r="99" ht="15.75" customHeight="1" s="67">
      <c r="A99" t="inlineStr">
        <is>
          <t>FUNDING_GATE_FILTER_TF</t>
        </is>
      </c>
      <c r="B99" t="inlineStr">
        <is>
          <t>1h</t>
        </is>
      </c>
      <c r="D99" t="inlineStr">
        <is>
          <t>GLOBAL_CHECK</t>
        </is>
      </c>
      <c r="G99">
        <f>IFERROR(VLOOKUP($A99&amp;"_"&amp;$B99,Results_Deltas!$A$2:$P$15000,5,FALSE),"")</f>
        <v/>
      </c>
      <c r="H99" t="inlineStr">
        <is>
          <t>Blanket (page end)</t>
        </is>
      </c>
      <c r="L99" t="inlineStr">
        <is>
          <t>NO</t>
        </is>
      </c>
    </row>
    <row r="100" ht="15.75" customHeight="1" s="67">
      <c r="A100" t="inlineStr">
        <is>
          <t>FUNDING_GATE_FILTER_TF</t>
        </is>
      </c>
      <c r="B100" t="inlineStr">
        <is>
          <t>15m</t>
        </is>
      </c>
      <c r="D100" t="inlineStr">
        <is>
          <t>GLOBAL_CHECK</t>
        </is>
      </c>
      <c r="G100">
        <f>IFERROR(VLOOKUP($A100&amp;"_"&amp;$B100,Results_Deltas!$A$2:$P$15000,5,FALSE),"")</f>
        <v/>
      </c>
      <c r="H100" t="inlineStr">
        <is>
          <t>Blanket (page end)</t>
        </is>
      </c>
      <c r="L100" t="inlineStr">
        <is>
          <t>NO</t>
        </is>
      </c>
    </row>
    <row r="101" ht="15.75" customHeight="1" s="67">
      <c r="A101" t="inlineStr">
        <is>
          <t>FUNDING_GATE_LONG_MAX</t>
        </is>
      </c>
      <c r="B101" t="inlineStr">
        <is>
          <t>0.0</t>
        </is>
      </c>
      <c r="D101" t="inlineStr">
        <is>
          <t>ENTRY, GLOBAL_CHECK, STOCKS_EXIT</t>
        </is>
      </c>
      <c r="G101">
        <f>IFERROR(VLOOKUP($A101&amp;"_"&amp;$B101,Results_Deltas!$A$2:$P$15000,5,FALSE),"")</f>
        <v/>
      </c>
      <c r="H101" t="inlineStr">
        <is>
          <t>Blanket (page end)</t>
        </is>
      </c>
      <c r="L101" t="inlineStr">
        <is>
          <t>NO</t>
        </is>
      </c>
    </row>
    <row r="102" ht="15.75" customHeight="1" s="67">
      <c r="A102" t="inlineStr">
        <is>
          <t>FUNDING_GATE_LONG_MAX</t>
        </is>
      </c>
      <c r="B102" t="inlineStr">
        <is>
          <t>0.0_ALT</t>
        </is>
      </c>
      <c r="D102" t="inlineStr">
        <is>
          <t>ENTRY, GLOBAL_CHECK, STOCKS_EXIT</t>
        </is>
      </c>
      <c r="G102">
        <f>IFERROR(VLOOKUP($A102&amp;"_"&amp;$B102,Results_Deltas!$A$2:$P$15000,5,FALSE),"")</f>
        <v/>
      </c>
      <c r="H102" t="inlineStr">
        <is>
          <t>Blanket (page end)</t>
        </is>
      </c>
      <c r="L102" t="inlineStr">
        <is>
          <t>NO</t>
        </is>
      </c>
    </row>
    <row r="103" ht="15.75" customHeight="1" s="67">
      <c r="A103" t="inlineStr">
        <is>
          <t>FUNDING_GATE_MTF_REQUIRED</t>
        </is>
      </c>
      <c r="B103" t="inlineStr">
        <is>
          <t>0.0</t>
        </is>
      </c>
      <c r="D103" t="inlineStr">
        <is>
          <t>ENTRY, GLOBAL_CHECK, STOCKS_EXIT</t>
        </is>
      </c>
      <c r="G103">
        <f>IFERROR(VLOOKUP($A103&amp;"_"&amp;$B103,Results_Deltas!$A$2:$P$15000,5,FALSE),"")</f>
        <v/>
      </c>
      <c r="H103" t="inlineStr">
        <is>
          <t>Blanket (page end)</t>
        </is>
      </c>
      <c r="L103" t="inlineStr">
        <is>
          <t>NO</t>
        </is>
      </c>
    </row>
    <row r="104" ht="15.75" customHeight="1" s="67">
      <c r="A104" t="inlineStr">
        <is>
          <t>FUNDING_GATE_MTF_REQUIRED</t>
        </is>
      </c>
      <c r="B104" t="inlineStr">
        <is>
          <t>0.0_ALT</t>
        </is>
      </c>
      <c r="D104" t="inlineStr">
        <is>
          <t>ENTRY, GLOBAL_CHECK, STOCKS_EXIT</t>
        </is>
      </c>
      <c r="G104">
        <f>IFERROR(VLOOKUP($A104&amp;"_"&amp;$B104,Results_Deltas!$A$2:$P$15000,5,FALSE),"")</f>
        <v/>
      </c>
      <c r="H104" t="inlineStr">
        <is>
          <t>Blanket (page end)</t>
        </is>
      </c>
      <c r="L104" t="inlineStr">
        <is>
          <t>YES</t>
        </is>
      </c>
    </row>
    <row r="105" ht="15.75" customHeight="1" s="67">
      <c r="A105" t="inlineStr">
        <is>
          <t>FUNDING_GATE_SHORT_MIN</t>
        </is>
      </c>
      <c r="B105" t="inlineStr">
        <is>
          <t>0.0</t>
        </is>
      </c>
      <c r="D105" t="inlineStr">
        <is>
          <t>ENTRY, GLOBAL_CHECK, STOCKS_EXIT</t>
        </is>
      </c>
      <c r="G105">
        <f>IFERROR(VLOOKUP($A105&amp;"_"&amp;$B105,Results_Deltas!$A$2:$P$15000,5,FALSE),"")</f>
        <v/>
      </c>
      <c r="H105" t="inlineStr">
        <is>
          <t>Blanket (page end)</t>
        </is>
      </c>
      <c r="L105" t="inlineStr">
        <is>
          <t>NO</t>
        </is>
      </c>
    </row>
    <row r="106" ht="15.75" customHeight="1" s="67">
      <c r="A106" t="inlineStr">
        <is>
          <t>FUNDING_GATE_SHORT_MIN</t>
        </is>
      </c>
      <c r="B106" t="inlineStr">
        <is>
          <t>0.0_ALT</t>
        </is>
      </c>
      <c r="D106" t="inlineStr">
        <is>
          <t>ENTRY, GLOBAL_CHECK, STOCKS_EXIT</t>
        </is>
      </c>
      <c r="G106">
        <f>IFERROR(VLOOKUP($A106&amp;"_"&amp;$B106,Results_Deltas!$A$2:$P$15000,5,FALSE),"")</f>
        <v/>
      </c>
      <c r="H106" t="inlineStr">
        <is>
          <t>Blanket (page end)</t>
        </is>
      </c>
      <c r="L106" t="inlineStr">
        <is>
          <t>NO</t>
        </is>
      </c>
    </row>
    <row r="107" ht="15.75" customHeight="1" s="67">
      <c r="A107" t="inlineStr">
        <is>
          <t>GOLDEN_RULE_BASE_USD</t>
        </is>
      </c>
      <c r="B107" t="inlineStr">
        <is>
          <t>0.0</t>
        </is>
      </c>
      <c r="D107" t="inlineStr">
        <is>
          <t>GLOBAL_CHECK, STOCKS_EXIT</t>
        </is>
      </c>
      <c r="G107">
        <f>IFERROR(VLOOKUP($A107&amp;"_"&amp;$B107,Results_Deltas!$A$2:$P$15000,5,FALSE),"")</f>
        <v/>
      </c>
      <c r="H107" t="inlineStr">
        <is>
          <t>Blanket (page end)</t>
        </is>
      </c>
      <c r="L107" t="inlineStr">
        <is>
          <t>NO</t>
        </is>
      </c>
    </row>
    <row r="108" ht="15.75" customHeight="1" s="67">
      <c r="A108" t="inlineStr">
        <is>
          <t>GOLDEN_RULE_BASE_USD</t>
        </is>
      </c>
      <c r="B108" t="inlineStr">
        <is>
          <t>0.0_ALT</t>
        </is>
      </c>
      <c r="D108" t="inlineStr">
        <is>
          <t>GLOBAL_CHECK, STOCKS_EXIT</t>
        </is>
      </c>
      <c r="G108">
        <f>IFERROR(VLOOKUP($A108&amp;"_"&amp;$B108,Results_Deltas!$A$2:$P$15000,5,FALSE),"")</f>
        <v/>
      </c>
      <c r="H108" t="inlineStr">
        <is>
          <t>Blanket (page end)</t>
        </is>
      </c>
      <c r="L108" t="inlineStr">
        <is>
          <t>NO</t>
        </is>
      </c>
    </row>
    <row r="109" ht="15.75" customHeight="1" s="67">
      <c r="A109" t="inlineStr">
        <is>
          <t>GR_FILTER_ALL_ENTRIES</t>
        </is>
      </c>
      <c r="B109" t="inlineStr">
        <is>
          <t>0.0</t>
        </is>
      </c>
      <c r="D109" t="inlineStr">
        <is>
          <t>GLOBAL_CHECK, STOCKS_EXIT</t>
        </is>
      </c>
      <c r="G109">
        <f>IFERROR(VLOOKUP($A109&amp;"_"&amp;$B109,Results_Deltas!$A$2:$P$15000,5,FALSE),"")</f>
        <v/>
      </c>
      <c r="H109" t="inlineStr">
        <is>
          <t>Blanket (page end)</t>
        </is>
      </c>
      <c r="L109" t="inlineStr">
        <is>
          <t>NO</t>
        </is>
      </c>
    </row>
    <row r="110" ht="15.75" customHeight="1" s="67">
      <c r="A110" t="inlineStr">
        <is>
          <t>GR_FILTER_ALL_ENTRIES</t>
        </is>
      </c>
      <c r="B110" t="inlineStr">
        <is>
          <t>0.0_ALT</t>
        </is>
      </c>
      <c r="D110" t="inlineStr">
        <is>
          <t>GLOBAL_CHECK, STOCKS_EXIT</t>
        </is>
      </c>
      <c r="G110">
        <f>IFERROR(VLOOKUP($A110&amp;"_"&amp;$B110,Results_Deltas!$A$2:$P$15000,5,FALSE),"")</f>
        <v/>
      </c>
      <c r="H110" t="inlineStr">
        <is>
          <t>Blanket (page end)</t>
        </is>
      </c>
      <c r="L110" t="inlineStr">
        <is>
          <t>NO</t>
        </is>
      </c>
    </row>
    <row r="111" ht="15.75" customHeight="1" s="67">
      <c r="A111" t="inlineStr">
        <is>
          <t>GR_FILTER_VEC_ENABLED</t>
        </is>
      </c>
      <c r="B111" t="inlineStr">
        <is>
          <t>False</t>
        </is>
      </c>
      <c r="D111" t="inlineStr">
        <is>
          <t>GLOBAL_CHECK</t>
        </is>
      </c>
      <c r="G111">
        <f>IFERROR(VLOOKUP($A111&amp;"_"&amp;$B111,Results_Deltas!$A$2:$P$15000,5,FALSE),"")</f>
        <v/>
      </c>
      <c r="H111" t="inlineStr">
        <is>
          <t>Blanket (page end)</t>
        </is>
      </c>
      <c r="L111" t="inlineStr">
        <is>
          <t>NO</t>
        </is>
      </c>
    </row>
    <row r="112" ht="15.75" customHeight="1" s="67">
      <c r="A112" t="inlineStr">
        <is>
          <t>GR_FILTER_VEC_ENABLED</t>
        </is>
      </c>
      <c r="B112" t="inlineStr">
        <is>
          <t>True</t>
        </is>
      </c>
      <c r="D112" t="inlineStr">
        <is>
          <t>GLOBAL_CHECK</t>
        </is>
      </c>
      <c r="G112">
        <f>IFERROR(VLOOKUP($A112&amp;"_"&amp;$B112,Results_Deltas!$A$2:$P$15000,5,FALSE),"")</f>
        <v/>
      </c>
      <c r="H112" t="inlineStr">
        <is>
          <t>Blanket (page end)</t>
        </is>
      </c>
      <c r="L112" t="inlineStr">
        <is>
          <t>NO</t>
        </is>
      </c>
    </row>
    <row r="113" ht="15.75" customHeight="1" s="67">
      <c r="A113" t="inlineStr">
        <is>
          <t>GR_FILTER_VEC_MIN_TFS</t>
        </is>
      </c>
      <c r="B113" t="inlineStr">
        <is>
          <t>0</t>
        </is>
      </c>
      <c r="D113" t="inlineStr">
        <is>
          <t>GLOBAL_CHECK</t>
        </is>
      </c>
      <c r="G113">
        <f>IFERROR(VLOOKUP($A113&amp;"_"&amp;$B113,Results_Deltas!$A$2:$P$15000,5,FALSE),"")</f>
        <v/>
      </c>
      <c r="H113" t="inlineStr">
        <is>
          <t>Blanket (page end)</t>
        </is>
      </c>
      <c r="L113" t="inlineStr">
        <is>
          <t>NO</t>
        </is>
      </c>
    </row>
    <row r="114" ht="15.75" customHeight="1" s="67">
      <c r="A114" t="inlineStr">
        <is>
          <t>GR_FILTER_VEC_MIN_TFS</t>
        </is>
      </c>
      <c r="B114" t="inlineStr">
        <is>
          <t>2</t>
        </is>
      </c>
      <c r="D114" t="inlineStr">
        <is>
          <t>GLOBAL_CHECK</t>
        </is>
      </c>
      <c r="G114">
        <f>IFERROR(VLOOKUP($A114&amp;"_"&amp;$B114,Results_Deltas!$A$2:$P$15000,5,FALSE),"")</f>
        <v/>
      </c>
      <c r="H114" t="inlineStr">
        <is>
          <t>Blanket (page end)</t>
        </is>
      </c>
      <c r="L114" t="inlineStr">
        <is>
          <t>NO</t>
        </is>
      </c>
    </row>
    <row r="115" ht="15.75" customHeight="1" s="67">
      <c r="A115" t="inlineStr">
        <is>
          <t>GR_FILTER_VEC_MIN_TFS</t>
        </is>
      </c>
      <c r="B115" t="inlineStr">
        <is>
          <t>1</t>
        </is>
      </c>
      <c r="D115" t="inlineStr">
        <is>
          <t>GLOBAL_CHECK</t>
        </is>
      </c>
      <c r="G115">
        <f>IFERROR(VLOOKUP($A115&amp;"_"&amp;$B115,Results_Deltas!$A$2:$P$15000,5,FALSE),"")</f>
        <v/>
      </c>
      <c r="H115" t="inlineStr">
        <is>
          <t>Blanket (page end)</t>
        </is>
      </c>
      <c r="L115" t="inlineStr">
        <is>
          <t>YES</t>
        </is>
      </c>
    </row>
    <row r="116" ht="15.75" customHeight="1" s="67">
      <c r="A116" t="inlineStr">
        <is>
          <t>HA_WICK_QUALITY_ENABLED</t>
        </is>
      </c>
      <c r="B116" t="inlineStr">
        <is>
          <t>False</t>
        </is>
      </c>
      <c r="D116" t="inlineStr">
        <is>
          <t>ENTRY, GLOBAL_CHECK, STOCKS_EXIT</t>
        </is>
      </c>
      <c r="G116">
        <f>IFERROR(VLOOKUP($A116&amp;"_"&amp;$B116,Results_Deltas!$A$2:$P$15000,5,FALSE),"")</f>
        <v/>
      </c>
      <c r="H116" t="inlineStr">
        <is>
          <t>Blanket (page end)</t>
        </is>
      </c>
      <c r="L116" t="inlineStr">
        <is>
          <t>NO</t>
        </is>
      </c>
    </row>
    <row r="117" ht="15.75" customHeight="1" s="67">
      <c r="A117" t="inlineStr">
        <is>
          <t>HA_WICK_QUALITY_ENABLED</t>
        </is>
      </c>
      <c r="B117" t="inlineStr">
        <is>
          <t>True</t>
        </is>
      </c>
      <c r="D117" t="inlineStr">
        <is>
          <t>ENTRY, GLOBAL_CHECK, STOCKS_EXIT</t>
        </is>
      </c>
      <c r="G117">
        <f>IFERROR(VLOOKUP($A117&amp;"_"&amp;$B117,Results_Deltas!$A$2:$P$15000,5,FALSE),"")</f>
        <v/>
      </c>
      <c r="H117" t="inlineStr">
        <is>
          <t>Blanket (page end)</t>
        </is>
      </c>
      <c r="L117" t="inlineStr">
        <is>
          <t>NO</t>
        </is>
      </c>
    </row>
    <row r="118" ht="15.75" customHeight="1" s="67">
      <c r="A118" t="inlineStr">
        <is>
          <t>HA_WICK_QUALITY_SCORE</t>
        </is>
      </c>
      <c r="B118" t="inlineStr">
        <is>
          <t>15</t>
        </is>
      </c>
      <c r="D118" t="inlineStr">
        <is>
          <t>ENTRY, GLOBAL_CHECK, STOCKS_EXIT</t>
        </is>
      </c>
      <c r="G118">
        <f>IFERROR(VLOOKUP($A118&amp;"_"&amp;$B118,Results_Deltas!$A$2:$P$15000,5,FALSE),"")</f>
        <v/>
      </c>
      <c r="H118" t="inlineStr">
        <is>
          <t>Blanket (page end)</t>
        </is>
      </c>
      <c r="L118" t="inlineStr">
        <is>
          <t>YES</t>
        </is>
      </c>
    </row>
    <row r="119" ht="15.75" customHeight="1" s="67">
      <c r="A119" t="inlineStr">
        <is>
          <t>HA_WICK_QUALITY_SCORE</t>
        </is>
      </c>
      <c r="B119" t="inlineStr">
        <is>
          <t>15_ALT</t>
        </is>
      </c>
      <c r="D119" t="inlineStr">
        <is>
          <t>ENTRY, GLOBAL_CHECK, STOCKS_EXIT</t>
        </is>
      </c>
      <c r="G119">
        <f>IFERROR(VLOOKUP($A119&amp;"_"&amp;$B119,Results_Deltas!$A$2:$P$15000,5,FALSE),"")</f>
        <v/>
      </c>
      <c r="H119" t="inlineStr">
        <is>
          <t>Blanket (page end)</t>
        </is>
      </c>
      <c r="L119" t="inlineStr">
        <is>
          <t>NO</t>
        </is>
      </c>
    </row>
    <row r="120" ht="15.75" customHeight="1" s="67">
      <c r="A120" t="inlineStr">
        <is>
          <t>HA_WICK_QUALITY_TF</t>
        </is>
      </c>
      <c r="B120" t="inlineStr">
        <is>
          <t>OFF</t>
        </is>
      </c>
      <c r="D120" t="inlineStr">
        <is>
          <t>ENTRY, GLOBAL_CHECK, STOCKS_EXIT</t>
        </is>
      </c>
      <c r="G120">
        <f>IFERROR(VLOOKUP($A120&amp;"_"&amp;$B120,Results_Deltas!$A$2:$P$15000,5,FALSE),"")</f>
        <v/>
      </c>
      <c r="H120" t="inlineStr">
        <is>
          <t>Blanket (page end)</t>
        </is>
      </c>
      <c r="L120" t="inlineStr">
        <is>
          <t>YES</t>
        </is>
      </c>
    </row>
    <row r="121" ht="15.75" customHeight="1" s="67">
      <c r="A121" t="inlineStr">
        <is>
          <t>HA_WICK_QUALITY_TF</t>
        </is>
      </c>
      <c r="B121" t="inlineStr">
        <is>
          <t>D</t>
        </is>
      </c>
      <c r="D121" t="inlineStr">
        <is>
          <t>ENTRY, GLOBAL_CHECK, STOCKS_EXIT</t>
        </is>
      </c>
      <c r="G121">
        <f>IFERROR(VLOOKUP($A121&amp;"_"&amp;$B121,Results_Deltas!$A$2:$P$15000,5,FALSE),"")</f>
        <v/>
      </c>
      <c r="H121" t="inlineStr">
        <is>
          <t>Blanket (page end)</t>
        </is>
      </c>
      <c r="L121" t="inlineStr">
        <is>
          <t>NO</t>
        </is>
      </c>
    </row>
    <row r="122" ht="15.75" customHeight="1" s="67">
      <c r="A122" t="inlineStr">
        <is>
          <t>HA_WICK_QUALITY_TF</t>
        </is>
      </c>
      <c r="B122" t="inlineStr">
        <is>
          <t>4h</t>
        </is>
      </c>
      <c r="D122" t="inlineStr">
        <is>
          <t>ENTRY, GLOBAL_CHECK, STOCKS_EXIT</t>
        </is>
      </c>
      <c r="G122">
        <f>IFERROR(VLOOKUP($A122&amp;"_"&amp;$B122,Results_Deltas!$A$2:$P$15000,5,FALSE),"")</f>
        <v/>
      </c>
      <c r="H122" t="inlineStr">
        <is>
          <t>Blanket (page end)</t>
        </is>
      </c>
      <c r="L122" t="inlineStr">
        <is>
          <t>YES</t>
        </is>
      </c>
    </row>
    <row r="123" ht="15.75" customHeight="1" s="67">
      <c r="A123" t="inlineStr">
        <is>
          <t>HA_WICK_QUALITY_TF</t>
        </is>
      </c>
      <c r="B123" t="inlineStr">
        <is>
          <t>1h</t>
        </is>
      </c>
      <c r="D123" t="inlineStr">
        <is>
          <t>ENTRY, GLOBAL_CHECK, STOCKS_EXIT</t>
        </is>
      </c>
      <c r="G123">
        <f>IFERROR(VLOOKUP($A123&amp;"_"&amp;$B123,Results_Deltas!$A$2:$P$15000,5,FALSE),"")</f>
        <v/>
      </c>
      <c r="H123" t="inlineStr">
        <is>
          <t>Blanket (page end)</t>
        </is>
      </c>
      <c r="L123" t="inlineStr">
        <is>
          <t>NO</t>
        </is>
      </c>
    </row>
    <row r="124" ht="15.75" customHeight="1" s="67">
      <c r="A124" t="inlineStr">
        <is>
          <t>HA_WICK_QUALITY_TF</t>
        </is>
      </c>
      <c r="B124" t="inlineStr">
        <is>
          <t>15m</t>
        </is>
      </c>
      <c r="D124" t="inlineStr">
        <is>
          <t>ENTRY, GLOBAL_CHECK, STOCKS_EXIT</t>
        </is>
      </c>
      <c r="G124">
        <f>IFERROR(VLOOKUP($A124&amp;"_"&amp;$B124,Results_Deltas!$A$2:$P$15000,5,FALSE),"")</f>
        <v/>
      </c>
      <c r="H124" t="inlineStr">
        <is>
          <t>Blanket (page end)</t>
        </is>
      </c>
      <c r="L124" t="inlineStr">
        <is>
          <t>NO</t>
        </is>
      </c>
    </row>
    <row r="125" ht="15.75" customHeight="1" s="67">
      <c r="A125" t="inlineStr">
        <is>
          <t>HLR_SMA_BAND_PCT</t>
        </is>
      </c>
      <c r="B125" t="inlineStr">
        <is>
          <t>0</t>
        </is>
      </c>
      <c r="D125" t="inlineStr">
        <is>
          <t>ENTRY, GLOBAL_CHECK, STOCKS_EXIT</t>
        </is>
      </c>
      <c r="G125">
        <f>IFERROR(VLOOKUP($A125&amp;"_"&amp;$B125,Results_Deltas!$A$2:$P$15000,5,FALSE),"")</f>
        <v/>
      </c>
      <c r="H125" t="inlineStr">
        <is>
          <t>Blanket (page end)</t>
        </is>
      </c>
      <c r="L125" t="inlineStr">
        <is>
          <t>NO</t>
        </is>
      </c>
    </row>
    <row r="126" ht="15.75" customHeight="1" s="67">
      <c r="A126" t="inlineStr">
        <is>
          <t>HLR_SMA_BAND_PCT</t>
        </is>
      </c>
      <c r="B126" t="inlineStr">
        <is>
          <t>2.0</t>
        </is>
      </c>
      <c r="D126" t="inlineStr">
        <is>
          <t>ENTRY, GLOBAL_CHECK, STOCKS_EXIT</t>
        </is>
      </c>
      <c r="G126">
        <f>IFERROR(VLOOKUP($A126&amp;"_"&amp;$B126,Results_Deltas!$A$2:$P$15000,5,FALSE),"")</f>
        <v/>
      </c>
      <c r="H126" t="inlineStr">
        <is>
          <t>Blanket (page end)</t>
        </is>
      </c>
      <c r="L126" t="inlineStr">
        <is>
          <t>NO</t>
        </is>
      </c>
    </row>
    <row r="127" ht="15.75" customHeight="1" s="67">
      <c r="A127" t="inlineStr">
        <is>
          <t>HLR_SMA_BAND_PCT</t>
        </is>
      </c>
      <c r="B127" t="inlineStr">
        <is>
          <t>1.0</t>
        </is>
      </c>
      <c r="D127" t="inlineStr">
        <is>
          <t>ENTRY, GLOBAL_CHECK, STOCKS_EXIT</t>
        </is>
      </c>
      <c r="G127">
        <f>IFERROR(VLOOKUP($A127&amp;"_"&amp;$B127,Results_Deltas!$A$2:$P$15000,5,FALSE),"")</f>
        <v/>
      </c>
      <c r="H127" t="inlineStr">
        <is>
          <t>Blanket (page end)</t>
        </is>
      </c>
      <c r="L127" t="inlineStr">
        <is>
          <t>YES</t>
        </is>
      </c>
    </row>
    <row r="128" ht="15.75" customHeight="1" s="67">
      <c r="A128" t="inlineStr">
        <is>
          <t>HLR_SMA_BAND_PCT</t>
        </is>
      </c>
      <c r="B128" t="inlineStr">
        <is>
          <t>0.5</t>
        </is>
      </c>
      <c r="D128" t="inlineStr">
        <is>
          <t>ENTRY, GLOBAL_CHECK, STOCKS_EXIT</t>
        </is>
      </c>
      <c r="G128">
        <f>IFERROR(VLOOKUP($A128&amp;"_"&amp;$B128,Results_Deltas!$A$2:$P$15000,5,FALSE),"")</f>
        <v/>
      </c>
      <c r="H128" t="inlineStr">
        <is>
          <t>Blanket (page end)</t>
        </is>
      </c>
      <c r="L128" t="inlineStr">
        <is>
          <t>NO</t>
        </is>
      </c>
    </row>
    <row r="129" ht="15.75" customHeight="1" s="67">
      <c r="A129" t="inlineStr">
        <is>
          <t>HLR_TOP_MIN_TFS</t>
        </is>
      </c>
      <c r="B129" t="inlineStr">
        <is>
          <t>0</t>
        </is>
      </c>
      <c r="D129" t="inlineStr">
        <is>
          <t>GLOBAL_CHECK, REENTRY, STOCKS_EXIT</t>
        </is>
      </c>
      <c r="G129">
        <f>IFERROR(VLOOKUP($A129&amp;"_"&amp;$B129,Results_Deltas!$A$2:$P$15000,5,FALSE),"")</f>
        <v/>
      </c>
      <c r="H129" t="inlineStr">
        <is>
          <t>Blanket (page end)</t>
        </is>
      </c>
      <c r="L129" t="inlineStr">
        <is>
          <t>NO</t>
        </is>
      </c>
    </row>
    <row r="130" ht="15.75" customHeight="1" s="67">
      <c r="A130" t="inlineStr">
        <is>
          <t>HLR_TOP_MIN_TFS</t>
        </is>
      </c>
      <c r="B130" t="inlineStr">
        <is>
          <t>2</t>
        </is>
      </c>
      <c r="D130" t="inlineStr">
        <is>
          <t>GLOBAL_CHECK, REENTRY, STOCKS_EXIT</t>
        </is>
      </c>
      <c r="G130">
        <f>IFERROR(VLOOKUP($A130&amp;"_"&amp;$B130,Results_Deltas!$A$2:$P$15000,5,FALSE),"")</f>
        <v/>
      </c>
      <c r="H130" t="inlineStr">
        <is>
          <t>Blanket (page end)</t>
        </is>
      </c>
      <c r="L130" t="inlineStr">
        <is>
          <t>NO</t>
        </is>
      </c>
    </row>
    <row r="131" ht="15.75" customHeight="1" s="67">
      <c r="A131" t="inlineStr">
        <is>
          <t>HLR_TOP_MIN_TFS</t>
        </is>
      </c>
      <c r="B131" t="inlineStr">
        <is>
          <t>1</t>
        </is>
      </c>
      <c r="D131" t="inlineStr">
        <is>
          <t>GLOBAL_CHECK, REENTRY, STOCKS_EXIT</t>
        </is>
      </c>
      <c r="G131">
        <f>IFERROR(VLOOKUP($A131&amp;"_"&amp;$B131,Results_Deltas!$A$2:$P$15000,5,FALSE),"")</f>
        <v/>
      </c>
      <c r="H131" t="inlineStr">
        <is>
          <t>Blanket (page end)</t>
        </is>
      </c>
      <c r="L131" t="inlineStr">
        <is>
          <t>NO</t>
        </is>
      </c>
    </row>
    <row r="132" ht="15.75" customHeight="1" s="67">
      <c r="A132" t="inlineStr">
        <is>
          <t>HTF4_CONF</t>
        </is>
      </c>
      <c r="B132" t="inlineStr">
        <is>
          <t>False</t>
        </is>
      </c>
      <c r="D132" t="inlineStr">
        <is>
          <t>GLOBAL_CHECK, STOCKS_EXIT</t>
        </is>
      </c>
      <c r="G132">
        <f>IFERROR(VLOOKUP($A132&amp;"_"&amp;$B132,Results_Deltas!$A$2:$P$15000,5,FALSE),"")</f>
        <v/>
      </c>
      <c r="H132" t="inlineStr">
        <is>
          <t>Blanket (page end)</t>
        </is>
      </c>
      <c r="L132" t="inlineStr">
        <is>
          <t>NO</t>
        </is>
      </c>
    </row>
    <row r="133" ht="15.75" customHeight="1" s="67">
      <c r="A133" t="inlineStr">
        <is>
          <t>HTF4_CONF</t>
        </is>
      </c>
      <c r="B133" t="inlineStr">
        <is>
          <t>False_ALT</t>
        </is>
      </c>
      <c r="D133" t="inlineStr">
        <is>
          <t>GLOBAL_CHECK, STOCKS_EXIT</t>
        </is>
      </c>
      <c r="G133">
        <f>IFERROR(VLOOKUP($A133&amp;"_"&amp;$B133,Results_Deltas!$A$2:$P$15000,5,FALSE),"")</f>
        <v/>
      </c>
      <c r="H133" t="inlineStr">
        <is>
          <t>Blanket (page end)</t>
        </is>
      </c>
      <c r="L133" t="inlineStr">
        <is>
          <t>NO</t>
        </is>
      </c>
    </row>
    <row r="134" ht="15.75" customHeight="1" s="67">
      <c r="A134" t="inlineStr">
        <is>
          <t>HTF_DIRECTION_GATE_ENABLED</t>
        </is>
      </c>
      <c r="B134" t="inlineStr">
        <is>
          <t>False</t>
        </is>
      </c>
      <c r="D134" t="inlineStr">
        <is>
          <t>ENTRY, GLOBAL_CHECK, STOCKS_EXIT</t>
        </is>
      </c>
      <c r="G134">
        <f>IFERROR(VLOOKUP($A134&amp;"_"&amp;$B134,Results_Deltas!$A$2:$P$15000,5,FALSE),"")</f>
        <v/>
      </c>
      <c r="H134" t="inlineStr">
        <is>
          <t>Blanket (page end)</t>
        </is>
      </c>
      <c r="L134" t="inlineStr">
        <is>
          <t>YES</t>
        </is>
      </c>
    </row>
    <row r="135" ht="15.75" customHeight="1" s="67">
      <c r="A135" t="inlineStr">
        <is>
          <t>HTF_DIRECTION_GATE_ENABLED</t>
        </is>
      </c>
      <c r="B135" t="inlineStr">
        <is>
          <t>True</t>
        </is>
      </c>
      <c r="D135" t="inlineStr">
        <is>
          <t>ENTRY, GLOBAL_CHECK, STOCKS_EXIT</t>
        </is>
      </c>
      <c r="G135">
        <f>IFERROR(VLOOKUP($A135&amp;"_"&amp;$B135,Results_Deltas!$A$2:$P$15000,5,FALSE),"")</f>
        <v/>
      </c>
      <c r="H135" t="inlineStr">
        <is>
          <t>Blanket (page end)</t>
        </is>
      </c>
      <c r="L135" t="inlineStr">
        <is>
          <t>NO</t>
        </is>
      </c>
    </row>
    <row r="136" ht="15.75" customHeight="1" s="67">
      <c r="A136" t="inlineStr">
        <is>
          <t>HTF_GATE_BYPASS_RZ</t>
        </is>
      </c>
      <c r="B136" t="inlineStr">
        <is>
          <t>0.0</t>
        </is>
      </c>
      <c r="D136" t="inlineStr">
        <is>
          <t>ENTRY, GLOBAL_CHECK, STOCKS_EXIT</t>
        </is>
      </c>
      <c r="G136">
        <f>IFERROR(VLOOKUP($A136&amp;"_"&amp;$B136,Results_Deltas!$A$2:$P$15000,5,FALSE),"")</f>
        <v/>
      </c>
      <c r="H136" t="inlineStr">
        <is>
          <t>Blanket (page end)</t>
        </is>
      </c>
      <c r="L136" t="inlineStr">
        <is>
          <t>NO</t>
        </is>
      </c>
    </row>
    <row r="137" ht="15.75" customHeight="1" s="67">
      <c r="A137" t="inlineStr">
        <is>
          <t>HTF_GATE_BYPASS_RZ</t>
        </is>
      </c>
      <c r="B137" t="inlineStr">
        <is>
          <t>0.0_ALT</t>
        </is>
      </c>
      <c r="D137" t="inlineStr">
        <is>
          <t>ENTRY, GLOBAL_CHECK, STOCKS_EXIT</t>
        </is>
      </c>
      <c r="G137">
        <f>IFERROR(VLOOKUP($A137&amp;"_"&amp;$B137,Results_Deltas!$A$2:$P$15000,5,FALSE),"")</f>
        <v/>
      </c>
      <c r="H137" t="inlineStr">
        <is>
          <t>Blanket (page end)</t>
        </is>
      </c>
      <c r="L137" t="inlineStr">
        <is>
          <t>NO</t>
        </is>
      </c>
    </row>
    <row r="138" ht="15.75" customHeight="1" s="67">
      <c r="A138" t="inlineStr">
        <is>
          <t>HTF_GATE_D_MANDATORY</t>
        </is>
      </c>
      <c r="B138" t="inlineStr">
        <is>
          <t>0.0</t>
        </is>
      </c>
      <c r="D138" t="inlineStr">
        <is>
          <t>ENTRY, GLOBAL_CHECK, STOCKS_EXIT</t>
        </is>
      </c>
      <c r="G138">
        <f>IFERROR(VLOOKUP($A138&amp;"_"&amp;$B138,Results_Deltas!$A$2:$P$15000,5,FALSE),"")</f>
        <v/>
      </c>
      <c r="H138" t="inlineStr">
        <is>
          <t>Blanket (page end)</t>
        </is>
      </c>
      <c r="L138" t="inlineStr">
        <is>
          <t>YES</t>
        </is>
      </c>
    </row>
    <row r="139" ht="15.75" customHeight="1" s="67">
      <c r="A139" t="inlineStr">
        <is>
          <t>HTF_GATE_D_MANDATORY</t>
        </is>
      </c>
      <c r="B139" t="inlineStr">
        <is>
          <t>0.0_ALT</t>
        </is>
      </c>
      <c r="D139" t="inlineStr">
        <is>
          <t>ENTRY, GLOBAL_CHECK, STOCKS_EXIT</t>
        </is>
      </c>
      <c r="G139">
        <f>IFERROR(VLOOKUP($A139&amp;"_"&amp;$B139,Results_Deltas!$A$2:$P$15000,5,FALSE),"")</f>
        <v/>
      </c>
      <c r="H139" t="inlineStr">
        <is>
          <t>Blanket (page end)</t>
        </is>
      </c>
      <c r="L139" t="inlineStr">
        <is>
          <t>NO</t>
        </is>
      </c>
    </row>
    <row r="140" ht="15.75" customHeight="1" s="67">
      <c r="A140" t="inlineStr">
        <is>
          <t>HTF_GATE_MIN_CONFIRMATIONS</t>
        </is>
      </c>
      <c r="B140" t="inlineStr">
        <is>
          <t>0.0</t>
        </is>
      </c>
      <c r="D140" t="inlineStr">
        <is>
          <t>ENTRY, GLOBAL_CHECK, STOCKS_EXIT</t>
        </is>
      </c>
      <c r="G140">
        <f>IFERROR(VLOOKUP($A140&amp;"_"&amp;$B140,Results_Deltas!$A$2:$P$15000,5,FALSE),"")</f>
        <v/>
      </c>
      <c r="H140" t="inlineStr">
        <is>
          <t>Blanket (page end)</t>
        </is>
      </c>
      <c r="L140" t="inlineStr">
        <is>
          <t>NO</t>
        </is>
      </c>
    </row>
    <row r="141" ht="15.75" customHeight="1" s="67">
      <c r="A141" t="inlineStr">
        <is>
          <t>HTF_GATE_MIN_CONFIRMATIONS</t>
        </is>
      </c>
      <c r="B141" t="inlineStr">
        <is>
          <t>0.0_ALT</t>
        </is>
      </c>
      <c r="D141" t="inlineStr">
        <is>
          <t>ENTRY, GLOBAL_CHECK, STOCKS_EXIT</t>
        </is>
      </c>
      <c r="G141">
        <f>IFERROR(VLOOKUP($A141&amp;"_"&amp;$B141,Results_Deltas!$A$2:$P$15000,5,FALSE),"")</f>
        <v/>
      </c>
      <c r="H141" t="inlineStr">
        <is>
          <t>Blanket (page end)</t>
        </is>
      </c>
      <c r="L141" t="inlineStr">
        <is>
          <t>NO</t>
        </is>
      </c>
    </row>
    <row r="142" ht="15.75" customHeight="1" s="67">
      <c r="A142" t="inlineStr">
        <is>
          <t>HTF_TREND_VETO_BYPASS_ENABLED</t>
        </is>
      </c>
      <c r="B142" t="inlineStr">
        <is>
          <t>False</t>
        </is>
      </c>
      <c r="D142" t="inlineStr">
        <is>
          <t>GLOBAL_CHECK, STOCKS_EXIT</t>
        </is>
      </c>
      <c r="G142">
        <f>IFERROR(VLOOKUP($A142&amp;"_"&amp;$B142,Results_Deltas!$A$2:$P$15000,5,FALSE),"")</f>
        <v/>
      </c>
      <c r="H142" t="inlineStr">
        <is>
          <t>Blanket (page end)</t>
        </is>
      </c>
      <c r="L142" t="inlineStr">
        <is>
          <t>NO</t>
        </is>
      </c>
    </row>
    <row r="143" ht="15.75" customHeight="1" s="67">
      <c r="A143" t="inlineStr">
        <is>
          <t>HTF_TREND_VETO_BYPASS_ENABLED</t>
        </is>
      </c>
      <c r="B143" t="inlineStr">
        <is>
          <t>True</t>
        </is>
      </c>
      <c r="D143" t="inlineStr">
        <is>
          <t>GLOBAL_CHECK, STOCKS_EXIT</t>
        </is>
      </c>
      <c r="G143">
        <f>IFERROR(VLOOKUP($A143&amp;"_"&amp;$B143,Results_Deltas!$A$2:$P$15000,5,FALSE),"")</f>
        <v/>
      </c>
      <c r="H143" t="inlineStr">
        <is>
          <t>Blanket (page end)</t>
        </is>
      </c>
      <c r="L143" t="inlineStr">
        <is>
          <t>NO</t>
        </is>
      </c>
    </row>
    <row r="144" ht="15.75" customHeight="1" s="67">
      <c r="A144" t="inlineStr">
        <is>
          <t>HTF_TREND_VETO_BYPASS_REASONS</t>
        </is>
      </c>
      <c r="B144" t="inlineStr">
        <is>
          <t>0.0</t>
        </is>
      </c>
      <c r="D144" t="inlineStr">
        <is>
          <t>GLOBAL_CHECK, STOCKS_EXIT</t>
        </is>
      </c>
      <c r="G144">
        <f>IFERROR(VLOOKUP($A144&amp;"_"&amp;$B144,Results_Deltas!$A$2:$P$15000,5,FALSE),"")</f>
        <v/>
      </c>
      <c r="H144" t="inlineStr">
        <is>
          <t>Blanket (page end)</t>
        </is>
      </c>
      <c r="L144" t="inlineStr">
        <is>
          <t>NO</t>
        </is>
      </c>
    </row>
    <row r="145" ht="15.75" customHeight="1" s="67">
      <c r="A145" t="inlineStr">
        <is>
          <t>HTF_TREND_VETO_BYPASS_REASONS</t>
        </is>
      </c>
      <c r="B145" t="inlineStr">
        <is>
          <t>0.0_ALT</t>
        </is>
      </c>
      <c r="D145" t="inlineStr">
        <is>
          <t>GLOBAL_CHECK, STOCKS_EXIT</t>
        </is>
      </c>
      <c r="G145">
        <f>IFERROR(VLOOKUP($A145&amp;"_"&amp;$B145,Results_Deltas!$A$2:$P$15000,5,FALSE),"")</f>
        <v/>
      </c>
      <c r="H145" t="inlineStr">
        <is>
          <t>Blanket (page end)</t>
        </is>
      </c>
      <c r="L145" t="inlineStr">
        <is>
          <t>NO</t>
        </is>
      </c>
    </row>
    <row r="146" ht="15.75" customHeight="1" s="67">
      <c r="A146" t="inlineStr">
        <is>
          <t>LEADERBOARD_FILTER</t>
        </is>
      </c>
      <c r="B146" t="inlineStr">
        <is>
          <t>False</t>
        </is>
      </c>
      <c r="D146" t="inlineStr">
        <is>
          <t>AUGMENT, ENTRY, EXIT, GLOBAL_CHECK, REDUCE, STOCKS_EXIT</t>
        </is>
      </c>
      <c r="G146">
        <f>IFERROR(VLOOKUP($A146&amp;"_"&amp;$B146,Results_Deltas!$A$2:$P$15000,5,FALSE),"")</f>
        <v/>
      </c>
      <c r="H146" t="inlineStr">
        <is>
          <t>Blanket (page end)</t>
        </is>
      </c>
      <c r="L146" t="inlineStr">
        <is>
          <t>NO</t>
        </is>
      </c>
    </row>
    <row r="147" ht="15.75" customHeight="1" s="67">
      <c r="A147" t="inlineStr">
        <is>
          <t>LEADERBOARD_FILTER</t>
        </is>
      </c>
      <c r="B147" t="inlineStr">
        <is>
          <t>False_ALT</t>
        </is>
      </c>
      <c r="D147" t="inlineStr">
        <is>
          <t>AUGMENT, ENTRY, EXIT, GLOBAL_CHECK, REDUCE, STOCKS_EXIT</t>
        </is>
      </c>
      <c r="G147">
        <f>IFERROR(VLOOKUP($A147&amp;"_"&amp;$B147,Results_Deltas!$A$2:$P$15000,5,FALSE),"")</f>
        <v/>
      </c>
      <c r="H147" t="inlineStr">
        <is>
          <t>Blanket (page end)</t>
        </is>
      </c>
      <c r="L147" t="inlineStr">
        <is>
          <t>YES</t>
        </is>
      </c>
    </row>
    <row r="148" ht="15.75" customHeight="1" s="67">
      <c r="A148" t="inlineStr">
        <is>
          <t>LH_HL_FILTER_ENABLED</t>
        </is>
      </c>
      <c r="B148" t="inlineStr">
        <is>
          <t>False</t>
        </is>
      </c>
      <c r="D148" t="inlineStr">
        <is>
          <t>ENTRY, GLOBAL_CHECK, STOCKS_EXIT</t>
        </is>
      </c>
      <c r="G148">
        <f>IFERROR(VLOOKUP($A148&amp;"_"&amp;$B148,Results_Deltas!$A$2:$P$15000,5,FALSE),"")</f>
        <v/>
      </c>
      <c r="H148" t="inlineStr">
        <is>
          <t>Blanket (page end)</t>
        </is>
      </c>
      <c r="L148" t="inlineStr">
        <is>
          <t>NO</t>
        </is>
      </c>
    </row>
    <row r="149" ht="15.75" customHeight="1" s="67">
      <c r="A149" t="inlineStr">
        <is>
          <t>LH_HL_FILTER_ENABLED</t>
        </is>
      </c>
      <c r="B149" t="inlineStr">
        <is>
          <t>True</t>
        </is>
      </c>
      <c r="D149" t="inlineStr">
        <is>
          <t>ENTRY, GLOBAL_CHECK, STOCKS_EXIT</t>
        </is>
      </c>
      <c r="G149">
        <f>IFERROR(VLOOKUP($A149&amp;"_"&amp;$B149,Results_Deltas!$A$2:$P$15000,5,FALSE),"")</f>
        <v/>
      </c>
      <c r="H149" t="inlineStr">
        <is>
          <t>Blanket (page end)</t>
        </is>
      </c>
      <c r="L149" t="inlineStr">
        <is>
          <t>NO</t>
        </is>
      </c>
    </row>
    <row r="150" ht="15.75" customHeight="1" s="67">
      <c r="A150" t="inlineStr">
        <is>
          <t>LH_HL_FILTER_MODE</t>
        </is>
      </c>
      <c r="B150" t="inlineStr">
        <is>
          <t>STRICT_2BAR</t>
        </is>
      </c>
      <c r="D150" t="inlineStr">
        <is>
          <t>ENTRY, GLOBAL_CHECK, STOCKS_EXIT</t>
        </is>
      </c>
      <c r="G150">
        <f>IFERROR(VLOOKUP($A150&amp;"_"&amp;$B150,Results_Deltas!$A$2:$P$15000,5,FALSE),"")</f>
        <v/>
      </c>
      <c r="H150" t="inlineStr">
        <is>
          <t>Blanket (page end)</t>
        </is>
      </c>
      <c r="L150" t="inlineStr">
        <is>
          <t>NO</t>
        </is>
      </c>
    </row>
    <row r="151" ht="15.75" customHeight="1" s="67">
      <c r="A151" t="inlineStr">
        <is>
          <t>LH_HL_FILTER_MODE</t>
        </is>
      </c>
      <c r="B151" t="inlineStr">
        <is>
          <t>STRICT_2BAR_ALT</t>
        </is>
      </c>
      <c r="D151" t="inlineStr">
        <is>
          <t>ENTRY, GLOBAL_CHECK, STOCKS_EXIT</t>
        </is>
      </c>
      <c r="G151">
        <f>IFERROR(VLOOKUP($A151&amp;"_"&amp;$B151,Results_Deltas!$A$2:$P$15000,5,FALSE),"")</f>
        <v/>
      </c>
      <c r="H151" t="inlineStr">
        <is>
          <t>Blanket (page end)</t>
        </is>
      </c>
      <c r="L151" t="inlineStr">
        <is>
          <t>NO</t>
        </is>
      </c>
    </row>
    <row r="152" ht="15.75" customHeight="1" s="67">
      <c r="A152" t="inlineStr">
        <is>
          <t>LH_HL_FILTER_REQUIRE_BOTH</t>
        </is>
      </c>
      <c r="B152" t="inlineStr">
        <is>
          <t>False</t>
        </is>
      </c>
      <c r="D152" t="inlineStr">
        <is>
          <t>ENTRY, GLOBAL_CHECK, STOCKS_EXIT</t>
        </is>
      </c>
      <c r="G152">
        <f>IFERROR(VLOOKUP($A152&amp;"_"&amp;$B152,Results_Deltas!$A$2:$P$15000,5,FALSE),"")</f>
        <v/>
      </c>
      <c r="H152" t="inlineStr">
        <is>
          <t>Blanket (page end)</t>
        </is>
      </c>
      <c r="L152" t="inlineStr">
        <is>
          <t>YES</t>
        </is>
      </c>
    </row>
    <row r="153" ht="15.75" customHeight="1" s="67">
      <c r="A153" t="inlineStr">
        <is>
          <t>LH_HL_FILTER_REQUIRE_BOTH</t>
        </is>
      </c>
      <c r="B153" t="inlineStr">
        <is>
          <t>False_ALT</t>
        </is>
      </c>
      <c r="D153" t="inlineStr">
        <is>
          <t>ENTRY, GLOBAL_CHECK, STOCKS_EXIT</t>
        </is>
      </c>
      <c r="G153">
        <f>IFERROR(VLOOKUP($A153&amp;"_"&amp;$B153,Results_Deltas!$A$2:$P$15000,5,FALSE),"")</f>
        <v/>
      </c>
      <c r="H153" t="inlineStr">
        <is>
          <t>Blanket (page end)</t>
        </is>
      </c>
      <c r="L153" t="inlineStr">
        <is>
          <t>NO</t>
        </is>
      </c>
    </row>
    <row r="154" ht="15.75" customHeight="1" s="67">
      <c r="A154" t="inlineStr">
        <is>
          <t>LIVE_VEC_EMERGENCY_BRAKE_ENABLED</t>
        </is>
      </c>
      <c r="B154" t="inlineStr">
        <is>
          <t>False</t>
        </is>
      </c>
      <c r="D154" t="inlineStr">
        <is>
          <t>GLOBAL_CHECK, STOCKS_EXIT</t>
        </is>
      </c>
      <c r="G154">
        <f>IFERROR(VLOOKUP($A154&amp;"_"&amp;$B154,Results_Deltas!$A$2:$P$15000,5,FALSE),"")</f>
        <v/>
      </c>
      <c r="H154" t="inlineStr">
        <is>
          <t>Blanket (page end)</t>
        </is>
      </c>
      <c r="L154" t="inlineStr">
        <is>
          <t>YES</t>
        </is>
      </c>
    </row>
    <row r="155" ht="15.75" customHeight="1" s="67">
      <c r="A155" t="inlineStr">
        <is>
          <t>LIVE_VEC_EMERGENCY_BRAKE_ENABLED</t>
        </is>
      </c>
      <c r="B155" t="inlineStr">
        <is>
          <t>True</t>
        </is>
      </c>
      <c r="D155" t="inlineStr">
        <is>
          <t>GLOBAL_CHECK, STOCKS_EXIT</t>
        </is>
      </c>
      <c r="G155">
        <f>IFERROR(VLOOKUP($A155&amp;"_"&amp;$B155,Results_Deltas!$A$2:$P$15000,5,FALSE),"")</f>
        <v/>
      </c>
      <c r="H155" t="inlineStr">
        <is>
          <t>Blanket (page end)</t>
        </is>
      </c>
      <c r="L155" t="inlineStr">
        <is>
          <t>NO</t>
        </is>
      </c>
    </row>
    <row r="156" ht="15.75" customHeight="1" s="67">
      <c r="A156" t="inlineStr">
        <is>
          <t>LR_BAND_LADDER_STOCH_EXTREME</t>
        </is>
      </c>
      <c r="B156" t="inlineStr">
        <is>
          <t>30.0</t>
        </is>
      </c>
      <c r="D156" t="inlineStr">
        <is>
          <t>GLOBAL_CHECK, STOCKS_EXIT</t>
        </is>
      </c>
      <c r="G156">
        <f>IFERROR(VLOOKUP($A156&amp;"_"&amp;$B156,Results_Deltas!$A$2:$P$15000,5,FALSE),"")</f>
        <v/>
      </c>
      <c r="H156" t="inlineStr">
        <is>
          <t>Blanket (page end)</t>
        </is>
      </c>
      <c r="L156" t="inlineStr">
        <is>
          <t>YES</t>
        </is>
      </c>
    </row>
    <row r="157" ht="15.75" customHeight="1" s="67">
      <c r="A157" t="inlineStr">
        <is>
          <t>LR_BAND_LADDER_STOCH_EXTREME</t>
        </is>
      </c>
      <c r="B157" t="inlineStr">
        <is>
          <t>30.0_ALT</t>
        </is>
      </c>
      <c r="D157" t="inlineStr">
        <is>
          <t>GLOBAL_CHECK, STOCKS_EXIT</t>
        </is>
      </c>
      <c r="G157">
        <f>IFERROR(VLOOKUP($A157&amp;"_"&amp;$B157,Results_Deltas!$A$2:$P$15000,5,FALSE),"")</f>
        <v/>
      </c>
      <c r="H157" t="inlineStr">
        <is>
          <t>Blanket (page end)</t>
        </is>
      </c>
      <c r="L157" t="inlineStr">
        <is>
          <t>NO</t>
        </is>
      </c>
    </row>
    <row r="158" ht="15.75" customHeight="1" s="67">
      <c r="A158" t="inlineStr">
        <is>
          <t>LR_BAND_LADDER_TF_BOTTOM</t>
        </is>
      </c>
      <c r="B158" t="inlineStr">
        <is>
          <t>0</t>
        </is>
      </c>
      <c r="D158" t="inlineStr">
        <is>
          <t>GLOBAL_CHECK, STOCKS_EXIT</t>
        </is>
      </c>
      <c r="G158">
        <f>IFERROR(VLOOKUP($A158&amp;"_"&amp;$B158,Results_Deltas!$A$2:$P$15000,5,FALSE),"")</f>
        <v/>
      </c>
      <c r="H158" t="inlineStr">
        <is>
          <t>Blanket (page end)</t>
        </is>
      </c>
      <c r="L158" t="inlineStr">
        <is>
          <t>YES</t>
        </is>
      </c>
    </row>
    <row r="159" ht="15.75" customHeight="1" s="67">
      <c r="A159" t="inlineStr">
        <is>
          <t>LR_BAND_LADDER_TF_BOTTOM</t>
        </is>
      </c>
      <c r="B159" t="inlineStr">
        <is>
          <t>1</t>
        </is>
      </c>
      <c r="D159" t="inlineStr">
        <is>
          <t>GLOBAL_CHECK, STOCKS_EXIT</t>
        </is>
      </c>
      <c r="G159">
        <f>IFERROR(VLOOKUP($A159&amp;"_"&amp;$B159,Results_Deltas!$A$2:$P$15000,5,FALSE),"")</f>
        <v/>
      </c>
      <c r="H159" t="inlineStr">
        <is>
          <t>Blanket (page end)</t>
        </is>
      </c>
      <c r="L159" t="inlineStr">
        <is>
          <t>NO</t>
        </is>
      </c>
    </row>
    <row r="160" ht="15.75" customHeight="1" s="67">
      <c r="A160" t="inlineStr">
        <is>
          <t>LR_BAND_LADDER_TF_TOP</t>
        </is>
      </c>
      <c r="B160" t="inlineStr">
        <is>
          <t>0</t>
        </is>
      </c>
      <c r="D160" t="inlineStr">
        <is>
          <t>GLOBAL_CHECK, STOCKS_EXIT</t>
        </is>
      </c>
      <c r="G160">
        <f>IFERROR(VLOOKUP($A160&amp;"_"&amp;$B160,Results_Deltas!$A$2:$P$15000,5,FALSE),"")</f>
        <v/>
      </c>
      <c r="H160" t="inlineStr">
        <is>
          <t>Blanket (page end)</t>
        </is>
      </c>
      <c r="L160" t="inlineStr">
        <is>
          <t>YES</t>
        </is>
      </c>
    </row>
    <row r="161" ht="15.75" customHeight="1" s="67">
      <c r="A161" t="inlineStr">
        <is>
          <t>LR_BAND_LADDER_TF_TOP</t>
        </is>
      </c>
      <c r="B161" t="inlineStr">
        <is>
          <t>1</t>
        </is>
      </c>
      <c r="D161" t="inlineStr">
        <is>
          <t>GLOBAL_CHECK, STOCKS_EXIT</t>
        </is>
      </c>
      <c r="G161">
        <f>IFERROR(VLOOKUP($A161&amp;"_"&amp;$B161,Results_Deltas!$A$2:$P$15000,5,FALSE),"")</f>
        <v/>
      </c>
      <c r="H161" t="inlineStr">
        <is>
          <t>Blanket (page end)</t>
        </is>
      </c>
      <c r="L161" t="inlineStr">
        <is>
          <t>NO</t>
        </is>
      </c>
    </row>
    <row r="162" ht="15.75" customHeight="1" s="67">
      <c r="A162" t="inlineStr">
        <is>
          <t>MANDATORY_REENTRY_WT_FILTER_MIN_TFS</t>
        </is>
      </c>
      <c r="B162" t="inlineStr">
        <is>
          <t>1</t>
        </is>
      </c>
      <c r="D162" t="inlineStr">
        <is>
          <t>GLOBAL_CHECK, STOCKS_EXIT</t>
        </is>
      </c>
      <c r="G162">
        <f>IFERROR(VLOOKUP($A162&amp;"_"&amp;$B162,Results_Deltas!$A$2:$P$15000,5,FALSE),"")</f>
        <v/>
      </c>
      <c r="H162" t="inlineStr">
        <is>
          <t>Blanket (page end)</t>
        </is>
      </c>
      <c r="L162" t="inlineStr">
        <is>
          <t>NO</t>
        </is>
      </c>
    </row>
    <row r="163" ht="15.75" customHeight="1" s="67">
      <c r="A163" t="inlineStr">
        <is>
          <t>MANDATORY_REENTRY_WT_FILTER_MIN_TFS</t>
        </is>
      </c>
      <c r="B163" t="inlineStr">
        <is>
          <t>3</t>
        </is>
      </c>
      <c r="D163" t="inlineStr">
        <is>
          <t>GLOBAL_CHECK, STOCKS_EXIT</t>
        </is>
      </c>
      <c r="G163">
        <f>IFERROR(VLOOKUP($A163&amp;"_"&amp;$B163,Results_Deltas!$A$2:$P$15000,5,FALSE),"")</f>
        <v/>
      </c>
      <c r="H163" t="inlineStr">
        <is>
          <t>Blanket (page end)</t>
        </is>
      </c>
      <c r="L163" t="inlineStr">
        <is>
          <t>NO</t>
        </is>
      </c>
    </row>
    <row r="164" ht="15.75" customHeight="1" s="67">
      <c r="A164" t="inlineStr">
        <is>
          <t>MANDATORY_REENTRY_WT_FILTER_MIN_TFS</t>
        </is>
      </c>
      <c r="B164" t="inlineStr">
        <is>
          <t>2</t>
        </is>
      </c>
      <c r="D164" t="inlineStr">
        <is>
          <t>GLOBAL_CHECK, STOCKS_EXIT</t>
        </is>
      </c>
      <c r="G164">
        <f>IFERROR(VLOOKUP($A164&amp;"_"&amp;$B164,Results_Deltas!$A$2:$P$15000,5,FALSE),"")</f>
        <v/>
      </c>
      <c r="H164" t="inlineStr">
        <is>
          <t>Blanket (page end)</t>
        </is>
      </c>
      <c r="L164" t="inlineStr">
        <is>
          <t>NO</t>
        </is>
      </c>
    </row>
    <row r="165" ht="15.75" customHeight="1" s="67">
      <c r="A165" t="inlineStr">
        <is>
          <t>MANDATORY_REENTRY_WT_FILTER_MIN_VELOCITY</t>
        </is>
      </c>
      <c r="B165" t="inlineStr">
        <is>
          <t>0.0</t>
        </is>
      </c>
      <c r="D165" t="inlineStr">
        <is>
          <t>GLOBAL_CHECK, STOCKS_EXIT</t>
        </is>
      </c>
      <c r="G165">
        <f>IFERROR(VLOOKUP($A165&amp;"_"&amp;$B165,Results_Deltas!$A$2:$P$15000,5,FALSE),"")</f>
        <v/>
      </c>
      <c r="H165" t="inlineStr">
        <is>
          <t>Blanket (page end)</t>
        </is>
      </c>
      <c r="L165" t="inlineStr">
        <is>
          <t>NO</t>
        </is>
      </c>
    </row>
    <row r="166" ht="15.75" customHeight="1" s="67">
      <c r="A166" t="inlineStr">
        <is>
          <t>MANDATORY_REENTRY_WT_FILTER_MIN_VELOCITY</t>
        </is>
      </c>
      <c r="B166" t="inlineStr">
        <is>
          <t>0.0_ALT</t>
        </is>
      </c>
      <c r="D166" t="inlineStr">
        <is>
          <t>GLOBAL_CHECK, STOCKS_EXIT</t>
        </is>
      </c>
      <c r="G166">
        <f>IFERROR(VLOOKUP($A166&amp;"_"&amp;$B166,Results_Deltas!$A$2:$P$15000,5,FALSE),"")</f>
        <v/>
      </c>
      <c r="H166" t="inlineStr">
        <is>
          <t>Blanket (page end)</t>
        </is>
      </c>
      <c r="L166" t="inlineStr">
        <is>
          <t>YES</t>
        </is>
      </c>
    </row>
    <row r="167" ht="15.75" customHeight="1" s="67">
      <c r="A167" t="inlineStr">
        <is>
          <t>MANDATORY_REENTRY_WT_FILTER_REQUIRE_FLIP</t>
        </is>
      </c>
      <c r="B167" t="inlineStr">
        <is>
          <t>False</t>
        </is>
      </c>
      <c r="D167" t="inlineStr">
        <is>
          <t>GLOBAL_CHECK, STOCKS_EXIT</t>
        </is>
      </c>
      <c r="G167">
        <f>IFERROR(VLOOKUP($A167&amp;"_"&amp;$B167,Results_Deltas!$A$2:$P$15000,5,FALSE),"")</f>
        <v/>
      </c>
      <c r="H167" t="inlineStr">
        <is>
          <t>Blanket (page end)</t>
        </is>
      </c>
      <c r="L167" t="inlineStr">
        <is>
          <t>NO</t>
        </is>
      </c>
    </row>
    <row r="168" ht="15.75" customHeight="1" s="67">
      <c r="A168" t="inlineStr">
        <is>
          <t>MANDATORY_REENTRY_WT_FILTER_REQUIRE_FLIP</t>
        </is>
      </c>
      <c r="B168" t="inlineStr">
        <is>
          <t>False_ALT</t>
        </is>
      </c>
      <c r="D168" t="inlineStr">
        <is>
          <t>GLOBAL_CHECK, STOCKS_EXIT</t>
        </is>
      </c>
      <c r="G168">
        <f>IFERROR(VLOOKUP($A168&amp;"_"&amp;$B168,Results_Deltas!$A$2:$P$15000,5,FALSE),"")</f>
        <v/>
      </c>
      <c r="H168" t="inlineStr">
        <is>
          <t>Blanket (page end)</t>
        </is>
      </c>
      <c r="L168" t="inlineStr">
        <is>
          <t>NO</t>
        </is>
      </c>
    </row>
    <row r="169" ht="15.75" customHeight="1" s="67">
      <c r="A169" t="inlineStr">
        <is>
          <t>MANDATORY_REENTRY_WT_FILTER_VELOCITY_RATIO</t>
        </is>
      </c>
      <c r="B169" t="inlineStr">
        <is>
          <t>0.90</t>
        </is>
      </c>
      <c r="D169" t="inlineStr">
        <is>
          <t>GLOBAL_CHECK, STOCKS_EXIT</t>
        </is>
      </c>
      <c r="G169">
        <f>IFERROR(VLOOKUP($A169&amp;"_"&amp;$B169,Results_Deltas!$A$2:$P$15000,5,FALSE),"")</f>
        <v/>
      </c>
      <c r="H169" t="inlineStr">
        <is>
          <t>Blanket (page end)</t>
        </is>
      </c>
      <c r="L169" t="inlineStr">
        <is>
          <t>YES</t>
        </is>
      </c>
    </row>
    <row r="170" ht="15.75" customHeight="1" s="67">
      <c r="A170" t="inlineStr">
        <is>
          <t>MANDATORY_REENTRY_WT_FILTER_VELOCITY_RATIO</t>
        </is>
      </c>
      <c r="B170" t="inlineStr">
        <is>
          <t>0.90_ALT</t>
        </is>
      </c>
      <c r="D170" t="inlineStr">
        <is>
          <t>GLOBAL_CHECK, STOCKS_EXIT</t>
        </is>
      </c>
      <c r="G170">
        <f>IFERROR(VLOOKUP($A170&amp;"_"&amp;$B170,Results_Deltas!$A$2:$P$15000,5,FALSE),"")</f>
        <v/>
      </c>
      <c r="H170" t="inlineStr">
        <is>
          <t>Blanket (page end)</t>
        </is>
      </c>
      <c r="L170" t="inlineStr">
        <is>
          <t>NO</t>
        </is>
      </c>
    </row>
    <row r="171" ht="15.75" customHeight="1" s="67">
      <c r="A171" t="inlineStr">
        <is>
          <t>MARKET_QUALITY_SCORE_ENABLED</t>
        </is>
      </c>
      <c r="B171" t="inlineStr">
        <is>
          <t>False</t>
        </is>
      </c>
      <c r="D171" t="inlineStr">
        <is>
          <t>ENTRY, GLOBAL_CHECK, STOCKS_EXIT</t>
        </is>
      </c>
      <c r="G171">
        <f>IFERROR(VLOOKUP($A171&amp;"_"&amp;$B171,Results_Deltas!$A$2:$P$15000,5,FALSE),"")</f>
        <v/>
      </c>
      <c r="H171" t="inlineStr">
        <is>
          <t>Blanket (page end)</t>
        </is>
      </c>
      <c r="L171" t="inlineStr">
        <is>
          <t>YES</t>
        </is>
      </c>
    </row>
    <row r="172" ht="15.75" customHeight="1" s="67">
      <c r="A172" t="inlineStr">
        <is>
          <t>MARKET_QUALITY_SCORE_ENABLED</t>
        </is>
      </c>
      <c r="B172" t="inlineStr">
        <is>
          <t>True</t>
        </is>
      </c>
      <c r="D172" t="inlineStr">
        <is>
          <t>ENTRY, GLOBAL_CHECK, STOCKS_EXIT</t>
        </is>
      </c>
      <c r="G172">
        <f>IFERROR(VLOOKUP($A172&amp;"_"&amp;$B172,Results_Deltas!$A$2:$P$15000,5,FALSE),"")</f>
        <v/>
      </c>
      <c r="H172" t="inlineStr">
        <is>
          <t>Blanket (page end)</t>
        </is>
      </c>
      <c r="L172" t="inlineStr">
        <is>
          <t>NO</t>
        </is>
      </c>
    </row>
    <row r="173" ht="15.75" customHeight="1" s="67">
      <c r="A173" t="inlineStr">
        <is>
          <t>MI_TF_AGREE_MIN</t>
        </is>
      </c>
      <c r="B173" t="inlineStr">
        <is>
          <t>0.0</t>
        </is>
      </c>
      <c r="D173" t="inlineStr">
        <is>
          <t>ENTRY, GLOBAL_CHECK, STOCKS_EXIT</t>
        </is>
      </c>
      <c r="G173">
        <f>IFERROR(VLOOKUP($A173&amp;"_"&amp;$B173,Results_Deltas!$A$2:$P$15000,5,FALSE),"")</f>
        <v/>
      </c>
      <c r="H173" t="inlineStr">
        <is>
          <t>Blanket (page end)</t>
        </is>
      </c>
      <c r="L173" t="inlineStr">
        <is>
          <t>YES</t>
        </is>
      </c>
    </row>
    <row r="174" ht="15.75" customHeight="1" s="67">
      <c r="A174" t="inlineStr">
        <is>
          <t>MI_TF_AGREE_MIN</t>
        </is>
      </c>
      <c r="B174" t="inlineStr">
        <is>
          <t>0.0_ALT</t>
        </is>
      </c>
      <c r="D174" t="inlineStr">
        <is>
          <t>ENTRY, GLOBAL_CHECK, STOCKS_EXIT</t>
        </is>
      </c>
      <c r="G174">
        <f>IFERROR(VLOOKUP($A174&amp;"_"&amp;$B174,Results_Deltas!$A$2:$P$15000,5,FALSE),"")</f>
        <v/>
      </c>
      <c r="H174" t="inlineStr">
        <is>
          <t>Blanket (page end)</t>
        </is>
      </c>
      <c r="L174" t="inlineStr">
        <is>
          <t>NO</t>
        </is>
      </c>
    </row>
    <row r="175" ht="15.75" customHeight="1" s="67">
      <c r="A175" t="inlineStr">
        <is>
          <t>MOVER_THRESHOLD</t>
        </is>
      </c>
      <c r="B175" t="inlineStr">
        <is>
          <t>5</t>
        </is>
      </c>
      <c r="D175" t="inlineStr">
        <is>
          <t>ENTRY, GLOBAL_CHECK, STOCKS_EXIT</t>
        </is>
      </c>
      <c r="G175">
        <f>IFERROR(VLOOKUP($A175&amp;"_"&amp;$B175,Results_Deltas!$A$2:$P$15000,5,FALSE),"")</f>
        <v/>
      </c>
      <c r="H175" t="inlineStr">
        <is>
          <t>Blanket (page end)</t>
        </is>
      </c>
      <c r="L175" t="inlineStr">
        <is>
          <t>YES</t>
        </is>
      </c>
    </row>
    <row r="176" ht="15.75" customHeight="1" s="67">
      <c r="A176" t="inlineStr">
        <is>
          <t>MOVER_THRESHOLD</t>
        </is>
      </c>
      <c r="B176" t="inlineStr">
        <is>
          <t>6.25</t>
        </is>
      </c>
      <c r="D176" t="inlineStr">
        <is>
          <t>ENTRY, GLOBAL_CHECK, STOCKS_EXIT</t>
        </is>
      </c>
      <c r="G176">
        <f>IFERROR(VLOOKUP($A176&amp;"_"&amp;$B176,Results_Deltas!$A$2:$P$15000,5,FALSE),"")</f>
        <v/>
      </c>
      <c r="H176" t="inlineStr">
        <is>
          <t>Blanket (page end)</t>
        </is>
      </c>
      <c r="L176" t="inlineStr">
        <is>
          <t>NO</t>
        </is>
      </c>
    </row>
    <row r="177" ht="15.75" customHeight="1" s="67">
      <c r="A177" t="inlineStr">
        <is>
          <t>MOVER_THRESHOLD</t>
        </is>
      </c>
      <c r="B177" t="inlineStr">
        <is>
          <t>3.75</t>
        </is>
      </c>
      <c r="D177" t="inlineStr">
        <is>
          <t>ENTRY, GLOBAL_CHECK, STOCKS_EXIT</t>
        </is>
      </c>
      <c r="G177">
        <f>IFERROR(VLOOKUP($A177&amp;"_"&amp;$B177,Results_Deltas!$A$2:$P$15000,5,FALSE),"")</f>
        <v/>
      </c>
      <c r="H177" t="inlineStr">
        <is>
          <t>Blanket (page end)</t>
        </is>
      </c>
      <c r="L177" t="inlineStr">
        <is>
          <t>NO</t>
        </is>
      </c>
    </row>
    <row r="178" ht="15.75" customHeight="1" s="67">
      <c r="A178" t="inlineStr">
        <is>
          <t>MOVER_THRESHOLD</t>
        </is>
      </c>
      <c r="B178" t="inlineStr">
        <is>
          <t>2.5</t>
        </is>
      </c>
      <c r="D178" t="inlineStr">
        <is>
          <t>ENTRY, GLOBAL_CHECK, STOCKS_EXIT</t>
        </is>
      </c>
      <c r="G178">
        <f>IFERROR(VLOOKUP($A178&amp;"_"&amp;$B178,Results_Deltas!$A$2:$P$15000,5,FALSE),"")</f>
        <v/>
      </c>
      <c r="H178" t="inlineStr">
        <is>
          <t>Blanket (page end)</t>
        </is>
      </c>
      <c r="L178" t="inlineStr">
        <is>
          <t>NO</t>
        </is>
      </c>
    </row>
    <row r="179" ht="15.75" customHeight="1" s="67">
      <c r="A179" t="inlineStr">
        <is>
          <t>MTF_FILTER_STRONG_BUY_QUICK_BYPASS</t>
        </is>
      </c>
      <c r="B179" t="inlineStr">
        <is>
          <t>0.0</t>
        </is>
      </c>
      <c r="D179" t="inlineStr">
        <is>
          <t>GLOBAL_CHECK, STOCKS_EXIT</t>
        </is>
      </c>
      <c r="G179">
        <f>IFERROR(VLOOKUP($A179&amp;"_"&amp;$B179,Results_Deltas!$A$2:$P$15000,5,FALSE),"")</f>
        <v/>
      </c>
      <c r="H179" t="inlineStr">
        <is>
          <t>Blanket (page end)</t>
        </is>
      </c>
      <c r="L179" t="inlineStr">
        <is>
          <t>YES</t>
        </is>
      </c>
    </row>
    <row r="180" ht="15.75" customHeight="1" s="67">
      <c r="A180" t="inlineStr">
        <is>
          <t>MTF_FILTER_STRONG_BUY_QUICK_BYPASS</t>
        </is>
      </c>
      <c r="B180" t="inlineStr">
        <is>
          <t>0.0_ALT</t>
        </is>
      </c>
      <c r="D180" t="inlineStr">
        <is>
          <t>GLOBAL_CHECK, STOCKS_EXIT</t>
        </is>
      </c>
      <c r="G180">
        <f>IFERROR(VLOOKUP($A180&amp;"_"&amp;$B180,Results_Deltas!$A$2:$P$15000,5,FALSE),"")</f>
        <v/>
      </c>
      <c r="H180" t="inlineStr">
        <is>
          <t>Blanket (page end)</t>
        </is>
      </c>
      <c r="L180" t="inlineStr">
        <is>
          <t>NO</t>
        </is>
      </c>
    </row>
    <row r="181" ht="15.75" customHeight="1" s="67">
      <c r="A181" t="inlineStr">
        <is>
          <t>MTF_GR_MIN_IND</t>
        </is>
      </c>
      <c r="B181" t="inlineStr">
        <is>
          <t>5</t>
        </is>
      </c>
      <c r="D181" t="inlineStr">
        <is>
          <t>GLOBAL_CHECK, STOCKS_EXIT</t>
        </is>
      </c>
      <c r="G181">
        <f>IFERROR(VLOOKUP($A181&amp;"_"&amp;$B181,Results_Deltas!$A$2:$P$15000,5,FALSE),"")</f>
        <v/>
      </c>
      <c r="H181" t="inlineStr">
        <is>
          <t>Blanket (page end)</t>
        </is>
      </c>
      <c r="L181" t="inlineStr">
        <is>
          <t>NO</t>
        </is>
      </c>
    </row>
    <row r="182" ht="15.75" customHeight="1" s="67">
      <c r="A182" t="inlineStr">
        <is>
          <t>MTF_GR_MIN_IND</t>
        </is>
      </c>
      <c r="B182" t="inlineStr">
        <is>
          <t>5_ALT</t>
        </is>
      </c>
      <c r="D182" t="inlineStr">
        <is>
          <t>GLOBAL_CHECK, STOCKS_EXIT</t>
        </is>
      </c>
      <c r="G182">
        <f>IFERROR(VLOOKUP($A182&amp;"_"&amp;$B182,Results_Deltas!$A$2:$P$15000,5,FALSE),"")</f>
        <v/>
      </c>
      <c r="H182" t="inlineStr">
        <is>
          <t>Blanket (page end)</t>
        </is>
      </c>
      <c r="L182" t="inlineStr">
        <is>
          <t>NO</t>
        </is>
      </c>
    </row>
    <row r="183" ht="15.75" customHeight="1" s="67">
      <c r="A183" t="inlineStr">
        <is>
          <t>MTS_BOTTOM_BONUS_THRESHOLD</t>
        </is>
      </c>
      <c r="B183" t="inlineStr">
        <is>
          <t>25</t>
        </is>
      </c>
      <c r="D183" t="inlineStr">
        <is>
          <t>ENTRY, GLOBAL_CHECK, STOCKS_EXIT</t>
        </is>
      </c>
      <c r="G183">
        <f>IFERROR(VLOOKUP($A183&amp;"_"&amp;$B183,Results_Deltas!$A$2:$P$15000,5,FALSE),"")</f>
        <v/>
      </c>
      <c r="H183" t="inlineStr">
        <is>
          <t>Blanket (page end)</t>
        </is>
      </c>
      <c r="L183" t="inlineStr">
        <is>
          <t>NO</t>
        </is>
      </c>
    </row>
    <row r="184" ht="15.75" customHeight="1" s="67">
      <c r="A184" t="inlineStr">
        <is>
          <t>MTS_BOTTOM_BONUS_THRESHOLD</t>
        </is>
      </c>
      <c r="B184" t="inlineStr">
        <is>
          <t>31.25</t>
        </is>
      </c>
      <c r="D184" t="inlineStr">
        <is>
          <t>ENTRY, GLOBAL_CHECK, STOCKS_EXIT</t>
        </is>
      </c>
      <c r="G184">
        <f>IFERROR(VLOOKUP($A184&amp;"_"&amp;$B184,Results_Deltas!$A$2:$P$15000,5,FALSE),"")</f>
        <v/>
      </c>
      <c r="H184" t="inlineStr">
        <is>
          <t>Blanket (page end)</t>
        </is>
      </c>
      <c r="L184" t="inlineStr">
        <is>
          <t>NO</t>
        </is>
      </c>
    </row>
    <row r="185" ht="15.75" customHeight="1" s="67">
      <c r="A185" t="inlineStr">
        <is>
          <t>MTS_BOTTOM_BONUS_THRESHOLD</t>
        </is>
      </c>
      <c r="B185" t="inlineStr">
        <is>
          <t>18.75</t>
        </is>
      </c>
      <c r="D185" t="inlineStr">
        <is>
          <t>ENTRY, GLOBAL_CHECK, STOCKS_EXIT</t>
        </is>
      </c>
      <c r="G185">
        <f>IFERROR(VLOOKUP($A185&amp;"_"&amp;$B185,Results_Deltas!$A$2:$P$15000,5,FALSE),"")</f>
        <v/>
      </c>
      <c r="H185" t="inlineStr">
        <is>
          <t>Blanket (page end)</t>
        </is>
      </c>
      <c r="L185" t="inlineStr">
        <is>
          <t>NO</t>
        </is>
      </c>
    </row>
    <row r="186" ht="15.75" customHeight="1" s="67">
      <c r="A186" t="inlineStr">
        <is>
          <t>MTS_BOTTOM_BONUS_THRESHOLD</t>
        </is>
      </c>
      <c r="B186" t="inlineStr">
        <is>
          <t>12.5</t>
        </is>
      </c>
      <c r="D186" t="inlineStr">
        <is>
          <t>ENTRY, GLOBAL_CHECK, STOCKS_EXIT</t>
        </is>
      </c>
      <c r="G186">
        <f>IFERROR(VLOOKUP($A186&amp;"_"&amp;$B186,Results_Deltas!$A$2:$P$15000,5,FALSE),"")</f>
        <v/>
      </c>
      <c r="H186" t="inlineStr">
        <is>
          <t>Blanket (page end)</t>
        </is>
      </c>
      <c r="L186" t="inlineStr">
        <is>
          <t>NO</t>
        </is>
      </c>
    </row>
    <row r="187" ht="15.75" customHeight="1" s="67">
      <c r="A187" t="inlineStr">
        <is>
          <t>MTS_BOTTOM_STRONG_THRESHOLD</t>
        </is>
      </c>
      <c r="B187" t="inlineStr">
        <is>
          <t>40</t>
        </is>
      </c>
      <c r="D187" t="inlineStr">
        <is>
          <t>ENTRY, GLOBAL_CHECK, STOCKS_EXIT</t>
        </is>
      </c>
      <c r="G187">
        <f>IFERROR(VLOOKUP($A187&amp;"_"&amp;$B187,Results_Deltas!$A$2:$P$15000,5,FALSE),"")</f>
        <v/>
      </c>
      <c r="H187" t="inlineStr">
        <is>
          <t>Blanket (page end)</t>
        </is>
      </c>
      <c r="L187" t="inlineStr">
        <is>
          <t>YES</t>
        </is>
      </c>
    </row>
    <row r="188" ht="15.75" customHeight="1" s="67">
      <c r="A188" t="inlineStr">
        <is>
          <t>MTS_BOTTOM_STRONG_THRESHOLD</t>
        </is>
      </c>
      <c r="B188" t="inlineStr">
        <is>
          <t>50</t>
        </is>
      </c>
      <c r="D188" t="inlineStr">
        <is>
          <t>ENTRY, GLOBAL_CHECK, STOCKS_EXIT</t>
        </is>
      </c>
      <c r="G188">
        <f>IFERROR(VLOOKUP($A188&amp;"_"&amp;$B188,Results_Deltas!$A$2:$P$15000,5,FALSE),"")</f>
        <v/>
      </c>
      <c r="H188" t="inlineStr">
        <is>
          <t>Blanket (page end)</t>
        </is>
      </c>
      <c r="L188" t="inlineStr">
        <is>
          <t>NO</t>
        </is>
      </c>
    </row>
    <row r="189" ht="15.75" customHeight="1" s="67">
      <c r="A189" t="inlineStr">
        <is>
          <t>MTS_BOTTOM_STRONG_THRESHOLD</t>
        </is>
      </c>
      <c r="B189" t="inlineStr">
        <is>
          <t>30</t>
        </is>
      </c>
      <c r="D189" t="inlineStr">
        <is>
          <t>ENTRY, GLOBAL_CHECK, STOCKS_EXIT</t>
        </is>
      </c>
      <c r="G189">
        <f>IFERROR(VLOOKUP($A189&amp;"_"&amp;$B189,Results_Deltas!$A$2:$P$15000,5,FALSE),"")</f>
        <v/>
      </c>
      <c r="H189" t="inlineStr">
        <is>
          <t>Blanket (page end)</t>
        </is>
      </c>
      <c r="L189" t="inlineStr">
        <is>
          <t>NO</t>
        </is>
      </c>
    </row>
    <row r="190" ht="15.75" customHeight="1" s="67">
      <c r="A190" t="inlineStr">
        <is>
          <t>MTS_BOTTOM_STRONG_THRESHOLD</t>
        </is>
      </c>
      <c r="B190" t="inlineStr">
        <is>
          <t>20</t>
        </is>
      </c>
      <c r="D190" t="inlineStr">
        <is>
          <t>ENTRY, GLOBAL_CHECK, STOCKS_EXIT</t>
        </is>
      </c>
      <c r="G190">
        <f>IFERROR(VLOOKUP($A190&amp;"_"&amp;$B190,Results_Deltas!$A$2:$P$15000,5,FALSE),"")</f>
        <v/>
      </c>
      <c r="H190" t="inlineStr">
        <is>
          <t>Blanket (page end)</t>
        </is>
      </c>
      <c r="L190" t="inlineStr">
        <is>
          <t>NO</t>
        </is>
      </c>
    </row>
    <row r="191" ht="15.75" customHeight="1" s="67">
      <c r="A191" t="inlineStr">
        <is>
          <t>MTS_GATE_ENABLED</t>
        </is>
      </c>
      <c r="B191" t="inlineStr">
        <is>
          <t>False</t>
        </is>
      </c>
      <c r="D191" t="inlineStr">
        <is>
          <t>ENTRY, GLOBAL_CHECK, STOCKS_EXIT</t>
        </is>
      </c>
      <c r="G191">
        <f>IFERROR(VLOOKUP($A191&amp;"_"&amp;$B191,Results_Deltas!$A$2:$P$15000,5,FALSE),"")</f>
        <v/>
      </c>
      <c r="H191" t="inlineStr">
        <is>
          <t>Blanket (page end)</t>
        </is>
      </c>
      <c r="L191" t="inlineStr">
        <is>
          <t>YES</t>
        </is>
      </c>
    </row>
    <row r="192" ht="15.75" customHeight="1" s="67">
      <c r="A192" t="inlineStr">
        <is>
          <t>MTS_GATE_ENABLED</t>
        </is>
      </c>
      <c r="B192" t="inlineStr">
        <is>
          <t>True</t>
        </is>
      </c>
      <c r="D192" t="inlineStr">
        <is>
          <t>ENTRY, GLOBAL_CHECK, STOCKS_EXIT</t>
        </is>
      </c>
      <c r="G192">
        <f>IFERROR(VLOOKUP($A192&amp;"_"&amp;$B192,Results_Deltas!$A$2:$P$15000,5,FALSE),"")</f>
        <v/>
      </c>
      <c r="H192" t="inlineStr">
        <is>
          <t>Blanket (page end)</t>
        </is>
      </c>
      <c r="L192" t="inlineStr">
        <is>
          <t>NO</t>
        </is>
      </c>
    </row>
    <row r="193" ht="15.75" customHeight="1" s="67">
      <c r="A193" t="inlineStr">
        <is>
          <t>NEWBORN_LOSS_KILL_GAIN_THRESHOLD_PCT</t>
        </is>
      </c>
      <c r="B193" t="inlineStr">
        <is>
          <t>0</t>
        </is>
      </c>
      <c r="D193" t="inlineStr">
        <is>
          <t>AUGMENT, EXIT, GLOBAL_CHECK, REDUCE, STOCKS_EXIT</t>
        </is>
      </c>
      <c r="G193">
        <f>IFERROR(VLOOKUP($A193&amp;"_"&amp;$B193,Results_Deltas!$A$2:$P$15000,5,FALSE),"")</f>
        <v/>
      </c>
      <c r="H193" t="inlineStr">
        <is>
          <t>Blanket (page end)</t>
        </is>
      </c>
      <c r="L193" t="inlineStr">
        <is>
          <t>NO</t>
        </is>
      </c>
    </row>
    <row r="194" ht="15.75" customHeight="1" s="67">
      <c r="A194" t="inlineStr">
        <is>
          <t>NEWBORN_LOSS_KILL_GAIN_THRESHOLD_PCT</t>
        </is>
      </c>
      <c r="B194" t="inlineStr">
        <is>
          <t>2.0</t>
        </is>
      </c>
      <c r="D194" t="inlineStr">
        <is>
          <t>AUGMENT, EXIT, GLOBAL_CHECK, REDUCE, STOCKS_EXIT</t>
        </is>
      </c>
      <c r="G194">
        <f>IFERROR(VLOOKUP($A194&amp;"_"&amp;$B194,Results_Deltas!$A$2:$P$15000,5,FALSE),"")</f>
        <v/>
      </c>
      <c r="H194" t="inlineStr">
        <is>
          <t>Blanket (page end)</t>
        </is>
      </c>
      <c r="L194" t="inlineStr">
        <is>
          <t>NO</t>
        </is>
      </c>
    </row>
    <row r="195" ht="15.75" customHeight="1" s="67">
      <c r="A195" t="inlineStr">
        <is>
          <t>NEWBORN_LOSS_KILL_GAIN_THRESHOLD_PCT</t>
        </is>
      </c>
      <c r="B195" t="inlineStr">
        <is>
          <t>1.0</t>
        </is>
      </c>
      <c r="D195" t="inlineStr">
        <is>
          <t>AUGMENT, EXIT, GLOBAL_CHECK, REDUCE, STOCKS_EXIT</t>
        </is>
      </c>
      <c r="G195">
        <f>IFERROR(VLOOKUP($A195&amp;"_"&amp;$B195,Results_Deltas!$A$2:$P$15000,5,FALSE),"")</f>
        <v/>
      </c>
      <c r="H195" t="inlineStr">
        <is>
          <t>Blanket (page end)</t>
        </is>
      </c>
      <c r="L195" t="inlineStr">
        <is>
          <t>NO</t>
        </is>
      </c>
    </row>
    <row r="196" ht="15.75" customHeight="1" s="67">
      <c r="A196" t="inlineStr">
        <is>
          <t>NEWBORN_LOSS_KILL_GAIN_THRESHOLD_PCT</t>
        </is>
      </c>
      <c r="B196" t="inlineStr">
        <is>
          <t>0.5</t>
        </is>
      </c>
      <c r="D196" t="inlineStr">
        <is>
          <t>AUGMENT, EXIT, GLOBAL_CHECK, REDUCE, STOCKS_EXIT</t>
        </is>
      </c>
      <c r="G196">
        <f>IFERROR(VLOOKUP($A196&amp;"_"&amp;$B196,Results_Deltas!$A$2:$P$15000,5,FALSE),"")</f>
        <v/>
      </c>
      <c r="H196" t="inlineStr">
        <is>
          <t>Blanket (page end)</t>
        </is>
      </c>
      <c r="L196" t="inlineStr">
        <is>
          <t>YES</t>
        </is>
      </c>
    </row>
    <row r="197" ht="15.75" customHeight="1" s="67">
      <c r="A197" t="inlineStr">
        <is>
          <t>NEWBORN_LOSS_KILL_REQUIRE_VEL_AGAINST</t>
        </is>
      </c>
      <c r="B197" t="inlineStr">
        <is>
          <t>0.0</t>
        </is>
      </c>
      <c r="D197" t="inlineStr">
        <is>
          <t>AUGMENT, EXIT, GLOBAL_CHECK, REDUCE, STOCKS_EXIT</t>
        </is>
      </c>
      <c r="G197">
        <f>IFERROR(VLOOKUP($A197&amp;"_"&amp;$B197,Results_Deltas!$A$2:$P$15000,5,FALSE),"")</f>
        <v/>
      </c>
      <c r="H197" t="inlineStr">
        <is>
          <t>Blanket (page end)</t>
        </is>
      </c>
      <c r="L197" t="inlineStr">
        <is>
          <t>YES</t>
        </is>
      </c>
    </row>
    <row r="198" ht="15.75" customHeight="1" s="67">
      <c r="A198" t="inlineStr">
        <is>
          <t>NEWBORN_LOSS_KILL_REQUIRE_VEL_AGAINST</t>
        </is>
      </c>
      <c r="B198" t="inlineStr">
        <is>
          <t>0.0_ALT</t>
        </is>
      </c>
      <c r="D198" t="inlineStr">
        <is>
          <t>AUGMENT, EXIT, GLOBAL_CHECK, REDUCE, STOCKS_EXIT</t>
        </is>
      </c>
      <c r="G198">
        <f>IFERROR(VLOOKUP($A198&amp;"_"&amp;$B198,Results_Deltas!$A$2:$P$15000,5,FALSE),"")</f>
        <v/>
      </c>
      <c r="H198" t="inlineStr">
        <is>
          <t>Blanket (page end)</t>
        </is>
      </c>
      <c r="L198" t="inlineStr">
        <is>
          <t>NO</t>
        </is>
      </c>
    </row>
    <row r="199" ht="15.75" customHeight="1" s="67">
      <c r="A199" t="inlineStr">
        <is>
          <t>NEW_POSITION_MAX_LOSS_THRESHOLD</t>
        </is>
      </c>
      <c r="B199" t="inlineStr">
        <is>
          <t>0</t>
        </is>
      </c>
      <c r="D199" t="inlineStr">
        <is>
          <t>AUGMENT, EXIT, GLOBAL_CHECK, REDUCE, STOCKS_EXIT</t>
        </is>
      </c>
      <c r="G199">
        <f>IFERROR(VLOOKUP($A199&amp;"_"&amp;$B199,Results_Deltas!$A$2:$P$15000,5,FALSE),"")</f>
        <v/>
      </c>
      <c r="H199" t="inlineStr">
        <is>
          <t>Blanket (page end)</t>
        </is>
      </c>
      <c r="L199" t="inlineStr">
        <is>
          <t>NO</t>
        </is>
      </c>
    </row>
    <row r="200" ht="15.75" customHeight="1" s="67">
      <c r="A200" t="inlineStr">
        <is>
          <t>NEW_POSITION_MAX_LOSS_THRESHOLD</t>
        </is>
      </c>
      <c r="B200" t="inlineStr">
        <is>
          <t>2.0</t>
        </is>
      </c>
      <c r="D200" t="inlineStr">
        <is>
          <t>AUGMENT, EXIT, GLOBAL_CHECK, REDUCE, STOCKS_EXIT</t>
        </is>
      </c>
      <c r="G200">
        <f>IFERROR(VLOOKUP($A200&amp;"_"&amp;$B200,Results_Deltas!$A$2:$P$15000,5,FALSE),"")</f>
        <v/>
      </c>
      <c r="H200" t="inlineStr">
        <is>
          <t>Blanket (page end)</t>
        </is>
      </c>
      <c r="L200" t="inlineStr">
        <is>
          <t>NO</t>
        </is>
      </c>
    </row>
    <row r="201" ht="15.75" customHeight="1" s="67">
      <c r="A201" t="inlineStr">
        <is>
          <t>NEW_POSITION_MAX_LOSS_THRESHOLD</t>
        </is>
      </c>
      <c r="B201" t="inlineStr">
        <is>
          <t>1.0</t>
        </is>
      </c>
      <c r="D201" t="inlineStr">
        <is>
          <t>AUGMENT, EXIT, GLOBAL_CHECK, REDUCE, STOCKS_EXIT</t>
        </is>
      </c>
      <c r="G201">
        <f>IFERROR(VLOOKUP($A201&amp;"_"&amp;$B201,Results_Deltas!$A$2:$P$15000,5,FALSE),"")</f>
        <v/>
      </c>
      <c r="H201" t="inlineStr">
        <is>
          <t>Blanket (page end)</t>
        </is>
      </c>
      <c r="L201" t="inlineStr">
        <is>
          <t>NO</t>
        </is>
      </c>
    </row>
    <row r="202" ht="15.75" customHeight="1" s="67">
      <c r="A202" t="inlineStr">
        <is>
          <t>NEW_POSITION_MAX_LOSS_THRESHOLD</t>
        </is>
      </c>
      <c r="B202" t="inlineStr">
        <is>
          <t>0.5</t>
        </is>
      </c>
      <c r="D202" t="inlineStr">
        <is>
          <t>AUGMENT, EXIT, GLOBAL_CHECK, REDUCE, STOCKS_EXIT</t>
        </is>
      </c>
      <c r="G202">
        <f>IFERROR(VLOOKUP($A202&amp;"_"&amp;$B202,Results_Deltas!$A$2:$P$15000,5,FALSE),"")</f>
        <v/>
      </c>
      <c r="H202" t="inlineStr">
        <is>
          <t>Blanket (page end)</t>
        </is>
      </c>
      <c r="L202" t="inlineStr">
        <is>
          <t>NO</t>
        </is>
      </c>
    </row>
    <row r="203" ht="15.75" customHeight="1" s="67">
      <c r="A203" t="inlineStr">
        <is>
          <t>OI_CONFIRM_ENABLED</t>
        </is>
      </c>
      <c r="B203" t="inlineStr">
        <is>
          <t>False</t>
        </is>
      </c>
      <c r="D203" t="inlineStr">
        <is>
          <t>ENTRY, GLOBAL_CHECK, STOCKS_EXIT</t>
        </is>
      </c>
      <c r="G203">
        <f>IFERROR(VLOOKUP($A203&amp;"_"&amp;$B203,Results_Deltas!$A$2:$P$15000,5,FALSE),"")</f>
        <v/>
      </c>
      <c r="H203" t="inlineStr">
        <is>
          <t>Blanket (page end)</t>
        </is>
      </c>
      <c r="L203" t="inlineStr">
        <is>
          <t>NO</t>
        </is>
      </c>
    </row>
    <row r="204" ht="15.75" customHeight="1" s="67">
      <c r="A204" t="inlineStr">
        <is>
          <t>OI_CONFIRM_ENABLED</t>
        </is>
      </c>
      <c r="B204" t="inlineStr">
        <is>
          <t>True</t>
        </is>
      </c>
      <c r="D204" t="inlineStr">
        <is>
          <t>ENTRY, GLOBAL_CHECK, STOCKS_EXIT</t>
        </is>
      </c>
      <c r="G204">
        <f>IFERROR(VLOOKUP($A204&amp;"_"&amp;$B204,Results_Deltas!$A$2:$P$15000,5,FALSE),"")</f>
        <v/>
      </c>
      <c r="H204" t="inlineStr">
        <is>
          <t>Blanket (page end)</t>
        </is>
      </c>
      <c r="L204" t="inlineStr">
        <is>
          <t>NO</t>
        </is>
      </c>
    </row>
    <row r="205" ht="15.75" customHeight="1" s="67">
      <c r="A205" t="inlineStr">
        <is>
          <t>OI_CONFIRM_MIN_CHANGE_PCT</t>
        </is>
      </c>
      <c r="B205" t="inlineStr">
        <is>
          <t>0</t>
        </is>
      </c>
      <c r="D205" t="inlineStr">
        <is>
          <t>ENTRY, GLOBAL_CHECK, STOCKS_EXIT</t>
        </is>
      </c>
      <c r="G205">
        <f>IFERROR(VLOOKUP($A205&amp;"_"&amp;$B205,Results_Deltas!$A$2:$P$15000,5,FALSE),"")</f>
        <v/>
      </c>
      <c r="H205" t="inlineStr">
        <is>
          <t>Blanket (page end)</t>
        </is>
      </c>
      <c r="L205" t="inlineStr">
        <is>
          <t>NO</t>
        </is>
      </c>
    </row>
    <row r="206" ht="15.75" customHeight="1" s="67">
      <c r="A206" t="inlineStr">
        <is>
          <t>OI_CONFIRM_MIN_CHANGE_PCT</t>
        </is>
      </c>
      <c r="B206" t="inlineStr">
        <is>
          <t>2.0</t>
        </is>
      </c>
      <c r="D206" t="inlineStr">
        <is>
          <t>ENTRY, GLOBAL_CHECK, STOCKS_EXIT</t>
        </is>
      </c>
      <c r="G206">
        <f>IFERROR(VLOOKUP($A206&amp;"_"&amp;$B206,Results_Deltas!$A$2:$P$15000,5,FALSE),"")</f>
        <v/>
      </c>
      <c r="H206" t="inlineStr">
        <is>
          <t>Blanket (page end)</t>
        </is>
      </c>
      <c r="L206" t="inlineStr">
        <is>
          <t>NO</t>
        </is>
      </c>
    </row>
    <row r="207" ht="15.75" customHeight="1" s="67">
      <c r="A207" t="inlineStr">
        <is>
          <t>OI_CONFIRM_MIN_CHANGE_PCT</t>
        </is>
      </c>
      <c r="B207" t="inlineStr">
        <is>
          <t>1.0</t>
        </is>
      </c>
      <c r="D207" t="inlineStr">
        <is>
          <t>ENTRY, GLOBAL_CHECK, STOCKS_EXIT</t>
        </is>
      </c>
      <c r="G207">
        <f>IFERROR(VLOOKUP($A207&amp;"_"&amp;$B207,Results_Deltas!$A$2:$P$15000,5,FALSE),"")</f>
        <v/>
      </c>
      <c r="H207" t="inlineStr">
        <is>
          <t>Blanket (page end)</t>
        </is>
      </c>
      <c r="L207" t="inlineStr">
        <is>
          <t>NO</t>
        </is>
      </c>
    </row>
    <row r="208" ht="15.75" customHeight="1" s="67">
      <c r="A208" t="inlineStr">
        <is>
          <t>OI_CONFIRM_MIN_CHANGE_PCT</t>
        </is>
      </c>
      <c r="B208" t="inlineStr">
        <is>
          <t>0.5</t>
        </is>
      </c>
      <c r="D208" t="inlineStr">
        <is>
          <t>ENTRY, GLOBAL_CHECK, STOCKS_EXIT</t>
        </is>
      </c>
      <c r="G208">
        <f>IFERROR(VLOOKUP($A208&amp;"_"&amp;$B208,Results_Deltas!$A$2:$P$15000,5,FALSE),"")</f>
        <v/>
      </c>
      <c r="H208" t="inlineStr">
        <is>
          <t>Blanket (page end)</t>
        </is>
      </c>
      <c r="L208" t="inlineStr">
        <is>
          <t>YES</t>
        </is>
      </c>
    </row>
    <row r="209" ht="15.75" customHeight="1" s="67">
      <c r="A209" t="inlineStr">
        <is>
          <t>OI_CONFIRM_MIN_PRICE_PCT</t>
        </is>
      </c>
      <c r="B209" t="inlineStr">
        <is>
          <t>0</t>
        </is>
      </c>
      <c r="D209" t="inlineStr">
        <is>
          <t>ENTRY, GLOBAL_CHECK, STOCKS_EXIT</t>
        </is>
      </c>
      <c r="G209">
        <f>IFERROR(VLOOKUP($A209&amp;"_"&amp;$B209,Results_Deltas!$A$2:$P$15000,5,FALSE),"")</f>
        <v/>
      </c>
      <c r="H209" t="inlineStr">
        <is>
          <t>Blanket (page end)</t>
        </is>
      </c>
      <c r="L209" t="inlineStr">
        <is>
          <t>NO</t>
        </is>
      </c>
    </row>
    <row r="210" ht="15.75" customHeight="1" s="67">
      <c r="A210" t="inlineStr">
        <is>
          <t>OI_CONFIRM_MIN_PRICE_PCT</t>
        </is>
      </c>
      <c r="B210" t="inlineStr">
        <is>
          <t>2.0</t>
        </is>
      </c>
      <c r="D210" t="inlineStr">
        <is>
          <t>ENTRY, GLOBAL_CHECK, STOCKS_EXIT</t>
        </is>
      </c>
      <c r="G210">
        <f>IFERROR(VLOOKUP($A210&amp;"_"&amp;$B210,Results_Deltas!$A$2:$P$15000,5,FALSE),"")</f>
        <v/>
      </c>
      <c r="H210" t="inlineStr">
        <is>
          <t>Blanket (page end)</t>
        </is>
      </c>
      <c r="L210" t="inlineStr">
        <is>
          <t>NO</t>
        </is>
      </c>
    </row>
    <row r="211" ht="15.75" customHeight="1" s="67">
      <c r="A211" t="inlineStr">
        <is>
          <t>OI_CONFIRM_MIN_PRICE_PCT</t>
        </is>
      </c>
      <c r="B211" t="inlineStr">
        <is>
          <t>1.0</t>
        </is>
      </c>
      <c r="D211" t="inlineStr">
        <is>
          <t>ENTRY, GLOBAL_CHECK, STOCKS_EXIT</t>
        </is>
      </c>
      <c r="G211">
        <f>IFERROR(VLOOKUP($A211&amp;"_"&amp;$B211,Results_Deltas!$A$2:$P$15000,5,FALSE),"")</f>
        <v/>
      </c>
      <c r="H211" t="inlineStr">
        <is>
          <t>Blanket (page end)</t>
        </is>
      </c>
      <c r="L211" t="inlineStr">
        <is>
          <t>NO</t>
        </is>
      </c>
    </row>
    <row r="212" ht="15.75" customHeight="1" s="67">
      <c r="A212" t="inlineStr">
        <is>
          <t>OI_CONFIRM_MIN_PRICE_PCT</t>
        </is>
      </c>
      <c r="B212" t="inlineStr">
        <is>
          <t>0.5</t>
        </is>
      </c>
      <c r="D212" t="inlineStr">
        <is>
          <t>ENTRY, GLOBAL_CHECK, STOCKS_EXIT</t>
        </is>
      </c>
      <c r="G212">
        <f>IFERROR(VLOOKUP($A212&amp;"_"&amp;$B212,Results_Deltas!$A$2:$P$15000,5,FALSE),"")</f>
        <v/>
      </c>
      <c r="H212" t="inlineStr">
        <is>
          <t>Blanket (page end)</t>
        </is>
      </c>
      <c r="L212" t="inlineStr">
        <is>
          <t>YES</t>
        </is>
      </c>
    </row>
    <row r="213" ht="15.75" customHeight="1" s="67">
      <c r="A213" t="inlineStr">
        <is>
          <t>UNIVERSAL_NOLOSS_GATE</t>
        </is>
      </c>
      <c r="B213" t="inlineStr">
        <is>
          <t>False</t>
        </is>
      </c>
      <c r="G213">
        <f>IFERROR(VLOOKUP($A213&amp;"_"&amp;$B213,Results_Deltas!$A$2:$P$15000,5,FALSE),"")</f>
        <v/>
      </c>
      <c r="H213">
        <f>IFERROR(VLOOKUP($A214,Results_30d_Deltas!$A$2:$H$5000,7,FALSE)-E3,"")</f>
        <v/>
      </c>
      <c r="I213">
        <f>IFERROR(VLOOKUP($A214,Results_30d_Deltas!$A$2:$H$5000,6,FALSE),"")</f>
        <v/>
      </c>
      <c r="L213" t="inlineStr">
        <is>
          <t>YES</t>
        </is>
      </c>
      <c r="IK213" t="inlineStr">
        <is>
          <t>ez_manage.py:4233 top()</t>
        </is>
      </c>
      <c r="IL213" t="inlineStr">
        <is>
          <t>v12_quick_engine.py:837 x18</t>
        </is>
      </c>
    </row>
    <row r="214">
      <c r="A214" t="inlineStr">
        <is>
          <t>ULTIMATE_DC_4H_STOP_ENABLED</t>
        </is>
      </c>
      <c r="B214" t="inlineStr">
        <is>
          <t>True</t>
        </is>
      </c>
      <c r="D214" t="inlineStr">
        <is>
          <t>GLOBAL, CRYPTO_EXIT, STOCKS_EXIT</t>
        </is>
      </c>
      <c r="H214" t="inlineStr">
        <is>
          <t>ABSOLUTE HARD_STOP (2026-09-19)</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 width="12" customWidth="1" style="67" min="3" max="3"/>
    <col width="12" customWidth="1" style="67" min="4" max="4"/>
    <col width="36" customWidth="1" style="67" min="5" max="5"/>
    <col width="8" customWidth="1" style="67" min="6" max="6"/>
    <col width="12" customWidth="1" style="67" min="7" max="7"/>
    <col width="28" customWidth="1" style="67" min="8" max="8"/>
  </cols>
  <sheetData>
    <row r="1">
      <c r="A1" s="71" t="inlineStr">
        <is>
          <t>Switch</t>
        </is>
      </c>
      <c r="B1" s="71" t="inlineStr">
        <is>
          <t>Description</t>
        </is>
      </c>
      <c r="C1" s="71" t="inlineStr">
        <is>
          <t>Default</t>
        </is>
      </c>
      <c r="D1" s="71" t="inlineStr">
        <is>
          <t>Override</t>
        </is>
      </c>
      <c r="E1" s="71" t="inlineStr">
        <is>
          <t>Provenance</t>
        </is>
      </c>
      <c r="F1" s="71" t="inlineStr">
        <is>
          <t>P</t>
        </is>
      </c>
      <c r="G1" s="71" t="inlineStr">
        <is>
          <t>Vectorizable</t>
        </is>
      </c>
      <c r="H1" s="71" t="inlineStr">
        <is>
          <t>Tested in v12 on every v15_pilot run</t>
        </is>
      </c>
    </row>
    <row r="2">
      <c r="A2" s="72" t="inlineStr">
        <is>
          <t>LIVE_ENTRY_ENGINE_ENABLED</t>
        </is>
      </c>
      <c r="B2" s="72" t="inlineStr">
        <is>
          <t>P1 master boost</t>
        </is>
      </c>
      <c r="C2" s="73" t="inlineStr">
        <is>
          <t>True</t>
        </is>
      </c>
      <c r="D2" s="73" t="inlineStr">
        <is>
          <t>True</t>
        </is>
      </c>
      <c r="E2" s="72" t="inlineStr">
        <is>
          <t>P1..P9 live-extra, v12 on every v15_pilot</t>
        </is>
      </c>
      <c r="F2" s="73" t="inlineStr">
        <is>
          <t>EN</t>
        </is>
      </c>
      <c r="G2" s="73" t="inlineStr">
        <is>
          <t>no</t>
        </is>
      </c>
      <c r="H2" s="73" t="inlineStr">
        <is>
          <t>forward live vs vector hourly</t>
        </is>
      </c>
    </row>
    <row r="3">
      <c r="A3" s="72" t="inlineStr">
        <is>
          <t>LIVE_ENTRY_ENGINE_WT_ENABLED</t>
        </is>
      </c>
      <c r="B3" s="72" t="inlineStr">
        <is>
          <t>P1 WT boost</t>
        </is>
      </c>
      <c r="C3" s="73" t="inlineStr">
        <is>
          <t>True</t>
        </is>
      </c>
      <c r="D3" s="73" t="inlineStr">
        <is>
          <t>True</t>
        </is>
      </c>
      <c r="E3" s="72" t="inlineStr">
        <is>
          <t>P1..P9 live-extra, v12 on every v15_pilot</t>
        </is>
      </c>
      <c r="F3" s="73" t="inlineStr">
        <is>
          <t>EN</t>
        </is>
      </c>
      <c r="G3" s="73" t="inlineStr">
        <is>
          <t>no</t>
        </is>
      </c>
      <c r="H3" s="73" t="inlineStr">
        <is>
          <t>forward live vs vector hourly</t>
        </is>
      </c>
    </row>
    <row r="4">
      <c r="A4" s="72" t="inlineStr">
        <is>
          <t>LIVE_ENTRY_ENGINE_STOCH_ENABLED</t>
        </is>
      </c>
      <c r="B4" s="72" t="inlineStr">
        <is>
          <t>P1 Stoch boost</t>
        </is>
      </c>
      <c r="C4" s="73" t="inlineStr">
        <is>
          <t>True</t>
        </is>
      </c>
      <c r="D4" s="73" t="inlineStr">
        <is>
          <t>True</t>
        </is>
      </c>
      <c r="E4" s="72" t="inlineStr">
        <is>
          <t>P1..P9 live-extra, v12 on every v15_pilot</t>
        </is>
      </c>
      <c r="F4" s="73" t="inlineStr">
        <is>
          <t>EN</t>
        </is>
      </c>
      <c r="G4" s="73" t="inlineStr">
        <is>
          <t>no</t>
        </is>
      </c>
      <c r="H4" s="73" t="inlineStr">
        <is>
          <t>forward live vs vector hourly</t>
        </is>
      </c>
    </row>
    <row r="5">
      <c r="A5" s="72" t="inlineStr">
        <is>
          <t>LIVE_ENTRY_ENGINE_DC_ENABLED</t>
        </is>
      </c>
      <c r="B5" s="72" t="inlineStr">
        <is>
          <t>P1 DC boost</t>
        </is>
      </c>
      <c r="C5" s="73" t="inlineStr">
        <is>
          <t>True</t>
        </is>
      </c>
      <c r="D5" s="73" t="inlineStr">
        <is>
          <t>True</t>
        </is>
      </c>
      <c r="E5" s="72" t="inlineStr">
        <is>
          <t>P1..P9 live-extra, v12 on every v15_pilot</t>
        </is>
      </c>
      <c r="F5" s="73" t="inlineStr">
        <is>
          <t>EN</t>
        </is>
      </c>
      <c r="G5" s="73" t="inlineStr">
        <is>
          <t>no</t>
        </is>
      </c>
      <c r="H5" s="73" t="inlineStr">
        <is>
          <t>forward live vs vector hourly</t>
        </is>
      </c>
    </row>
    <row r="6">
      <c r="A6" s="72" t="inlineStr">
        <is>
          <t>LIVE_ENTRY_ENGINE_HTF_ENABLED</t>
        </is>
      </c>
      <c r="B6" s="72" t="inlineStr">
        <is>
          <t>P1 HTF boost</t>
        </is>
      </c>
      <c r="C6" s="73" t="inlineStr">
        <is>
          <t>True</t>
        </is>
      </c>
      <c r="D6" s="73" t="inlineStr">
        <is>
          <t>True</t>
        </is>
      </c>
      <c r="E6" s="72" t="inlineStr">
        <is>
          <t>P1..P9 live-extra, v12 on every v15_pilot</t>
        </is>
      </c>
      <c r="F6" s="73" t="inlineStr">
        <is>
          <t>EN</t>
        </is>
      </c>
      <c r="G6" s="73" t="inlineStr">
        <is>
          <t>no</t>
        </is>
      </c>
      <c r="H6" s="73" t="inlineStr">
        <is>
          <t>forward live vs vector hourly</t>
        </is>
      </c>
    </row>
    <row r="7">
      <c r="A7" s="72" t="inlineStr">
        <is>
          <t>LIVE_ENTRY_ENGINE_STDEV_MACRO_ENABLED</t>
        </is>
      </c>
      <c r="B7" s="72" t="inlineStr">
        <is>
          <t>P1 StdevMacro boost</t>
        </is>
      </c>
      <c r="C7" s="73" t="inlineStr">
        <is>
          <t>True</t>
        </is>
      </c>
      <c r="D7" s="73" t="inlineStr">
        <is>
          <t>True</t>
        </is>
      </c>
      <c r="E7" s="72" t="inlineStr">
        <is>
          <t>P1..P9 live-extra, v12 on every v15_pilot</t>
        </is>
      </c>
      <c r="F7" s="73" t="inlineStr">
        <is>
          <t>EN</t>
        </is>
      </c>
      <c r="G7" s="73" t="inlineStr">
        <is>
          <t>no</t>
        </is>
      </c>
      <c r="H7" s="73" t="inlineStr">
        <is>
          <t>forward live vs vector hourly</t>
        </is>
      </c>
    </row>
    <row r="8">
      <c r="A8" s="72" t="inlineStr">
        <is>
          <t>ABLATION_DISABLE_DC_BREACH_REDUCE</t>
        </is>
      </c>
      <c r="B8" s="72" t="inlineStr">
        <is>
          <t>P2 key-level DC crash hedge</t>
        </is>
      </c>
      <c r="C8" s="73" t="inlineStr">
        <is>
          <t>False</t>
        </is>
      </c>
      <c r="D8" s="73" t="inlineStr">
        <is>
          <t>False</t>
        </is>
      </c>
      <c r="E8" s="72" t="inlineStr">
        <is>
          <t>P1..P9 live-extra, v12 on every v15_pilot</t>
        </is>
      </c>
      <c r="F8" s="73" t="inlineStr">
        <is>
          <t>RE</t>
        </is>
      </c>
      <c r="G8" s="73" t="inlineStr">
        <is>
          <t>no</t>
        </is>
      </c>
      <c r="H8" s="73" t="inlineStr">
        <is>
          <t>forward live vs vector hourly</t>
        </is>
      </c>
    </row>
    <row r="9">
      <c r="A9" s="72" t="inlineStr">
        <is>
          <t>ABLATION_DISABLE_HEDGE</t>
        </is>
      </c>
      <c r="B9" s="72" t="inlineStr">
        <is>
          <t>P2/P5 hedge</t>
        </is>
      </c>
      <c r="C9" s="73" t="inlineStr">
        <is>
          <t>False</t>
        </is>
      </c>
      <c r="D9" s="73" t="inlineStr">
        <is>
          <t>False</t>
        </is>
      </c>
      <c r="E9" s="72" t="inlineStr">
        <is>
          <t>P1..P9 live-extra, v12 on every v15_pilot</t>
        </is>
      </c>
      <c r="F9" s="73" t="inlineStr">
        <is>
          <t>HE</t>
        </is>
      </c>
      <c r="G9" s="73" t="inlineStr">
        <is>
          <t>no</t>
        </is>
      </c>
      <c r="H9" s="73" t="inlineStr">
        <is>
          <t>forward live vs vector hourly</t>
        </is>
      </c>
    </row>
    <row r="10">
      <c r="A10" s="72" t="inlineStr">
        <is>
          <t>ABLATION_DISABLE_AGGRESSIVE_HEDGE</t>
        </is>
      </c>
      <c r="B10" s="72" t="inlineStr">
        <is>
          <t>P2 hedge aggressive</t>
        </is>
      </c>
      <c r="C10" s="73" t="inlineStr">
        <is>
          <t>False</t>
        </is>
      </c>
      <c r="D10" s="73" t="inlineStr">
        <is>
          <t>False</t>
        </is>
      </c>
      <c r="E10" s="72" t="inlineStr">
        <is>
          <t>P1..P9 live-extra, v12 on every v15_pilot</t>
        </is>
      </c>
      <c r="F10" s="73" t="inlineStr">
        <is>
          <t>HE</t>
        </is>
      </c>
      <c r="G10" s="73" t="inlineStr">
        <is>
          <t>no</t>
        </is>
      </c>
      <c r="H10" s="73" t="inlineStr">
        <is>
          <t>forward live vs vector hourly</t>
        </is>
      </c>
    </row>
    <row r="11">
      <c r="A11" s="72" t="inlineStr">
        <is>
          <t>REENTRY_B02_BC156_BOTTOM_ENABLED</t>
        </is>
      </c>
      <c r="B11" s="72" t="inlineStr">
        <is>
          <t>P4 bounce B02</t>
        </is>
      </c>
      <c r="C11" s="73" t="inlineStr">
        <is>
          <t>True</t>
        </is>
      </c>
      <c r="D11" s="73" t="inlineStr">
        <is>
          <t>True</t>
        </is>
      </c>
      <c r="E11" s="72" t="inlineStr">
        <is>
          <t>P1..P9 live-extra, v12 on every v15_pilot</t>
        </is>
      </c>
      <c r="F11" s="73" t="inlineStr">
        <is>
          <t>EN</t>
        </is>
      </c>
      <c r="G11" s="73" t="inlineStr">
        <is>
          <t>no</t>
        </is>
      </c>
      <c r="H11" s="73" t="inlineStr">
        <is>
          <t>forward live vs vector hourly</t>
        </is>
      </c>
    </row>
    <row r="12">
      <c r="A12" s="72" t="inlineStr">
        <is>
          <t>ABLATION_DISABLE_AUGMENTATION</t>
        </is>
      </c>
      <c r="B12" s="72" t="inlineStr">
        <is>
          <t>P4 bounce augmentation</t>
        </is>
      </c>
      <c r="C12" s="73" t="inlineStr">
        <is>
          <t>False</t>
        </is>
      </c>
      <c r="D12" s="73" t="inlineStr">
        <is>
          <t>False</t>
        </is>
      </c>
      <c r="E12" s="72" t="inlineStr">
        <is>
          <t>P1..P9 live-extra, v12 on every v15_pilot</t>
        </is>
      </c>
      <c r="F12" s="73" t="inlineStr">
        <is>
          <t>AU</t>
        </is>
      </c>
      <c r="G12" s="73" t="inlineStr">
        <is>
          <t>no</t>
        </is>
      </c>
      <c r="H12" s="73" t="inlineStr">
        <is>
          <t>forward live vs vector hourly</t>
        </is>
      </c>
    </row>
    <row r="13">
      <c r="A13" s="72" t="inlineStr">
        <is>
          <t>ABLATION_DISABLE_RATIO_REBALANCE</t>
        </is>
      </c>
      <c r="B13" s="72" t="inlineStr">
        <is>
          <t>P5 ratio rebalance</t>
        </is>
      </c>
      <c r="C13" s="73" t="inlineStr">
        <is>
          <t>False</t>
        </is>
      </c>
      <c r="D13" s="73" t="inlineStr">
        <is>
          <t>False</t>
        </is>
      </c>
      <c r="E13" s="72" t="inlineStr">
        <is>
          <t>P1..P9 live-extra, v12 on every v15_pilot</t>
        </is>
      </c>
      <c r="F13" s="73" t="inlineStr">
        <is>
          <t>RE</t>
        </is>
      </c>
      <c r="G13" s="73" t="inlineStr">
        <is>
          <t>no</t>
        </is>
      </c>
      <c r="H13" s="73" t="inlineStr">
        <is>
          <t>forward live vs vector hourly</t>
        </is>
      </c>
    </row>
    <row r="14">
      <c r="A14" s="72" t="inlineStr">
        <is>
          <t>ABLATION_DISABLE_QUICK_ENTRY</t>
        </is>
      </c>
      <c r="B14" s="72" t="inlineStr">
        <is>
          <t>P6 quick entry fast path</t>
        </is>
      </c>
      <c r="C14" s="73" t="inlineStr">
        <is>
          <t>False</t>
        </is>
      </c>
      <c r="D14" s="73" t="inlineStr">
        <is>
          <t>False</t>
        </is>
      </c>
      <c r="E14" s="72" t="inlineStr">
        <is>
          <t>P1..P9 live-extra, v12 on every v15_pilot</t>
        </is>
      </c>
      <c r="F14" s="73" t="inlineStr">
        <is>
          <t>EN</t>
        </is>
      </c>
      <c r="G14" s="73" t="inlineStr">
        <is>
          <t>yes</t>
        </is>
      </c>
      <c r="H14" s="73" t="inlineStr">
        <is>
          <t>yes</t>
        </is>
      </c>
    </row>
    <row r="15">
      <c r="A15" s="72" t="inlineStr">
        <is>
          <t>ABLATION_DISABLE_QUICK_EXIT</t>
        </is>
      </c>
      <c r="B15" s="72" t="inlineStr">
        <is>
          <t>P6 quick exit fast path</t>
        </is>
      </c>
      <c r="C15" s="73" t="inlineStr">
        <is>
          <t>False</t>
        </is>
      </c>
      <c r="D15" s="73" t="inlineStr">
        <is>
          <t>False</t>
        </is>
      </c>
      <c r="E15" s="72" t="inlineStr">
        <is>
          <t>P1..P9 live-extra, v12 on every v15_pilot</t>
        </is>
      </c>
      <c r="F15" s="73" t="inlineStr">
        <is>
          <t>EX</t>
        </is>
      </c>
      <c r="G15" s="73" t="inlineStr">
        <is>
          <t>yes</t>
        </is>
      </c>
      <c r="H15" s="73" t="inlineStr">
        <is>
          <t>yes</t>
        </is>
      </c>
    </row>
    <row r="16">
      <c r="A16" s="72" t="inlineStr">
        <is>
          <t>ABLATION_DISABLE_REENTRY_ENFORCE</t>
        </is>
      </c>
      <c r="B16" s="72" t="inlineStr">
        <is>
          <t>P6 reentry enforce</t>
        </is>
      </c>
      <c r="C16" s="73" t="inlineStr">
        <is>
          <t>False</t>
        </is>
      </c>
      <c r="D16" s="73" t="inlineStr">
        <is>
          <t>False</t>
        </is>
      </c>
      <c r="E16" s="72" t="inlineStr">
        <is>
          <t>P1..P9 live-extra, v12 on every v15_pilot</t>
        </is>
      </c>
      <c r="F16" s="73" t="inlineStr">
        <is>
          <t>EN</t>
        </is>
      </c>
      <c r="G16" s="73" t="inlineStr">
        <is>
          <t>yes</t>
        </is>
      </c>
      <c r="H16" s="73" t="inlineStr">
        <is>
          <t>yes</t>
        </is>
      </c>
    </row>
    <row r="17">
      <c r="A17" s="72" t="inlineStr">
        <is>
          <t>ABLATION_DISABLE_SPIKE_FADE_EXIT</t>
        </is>
      </c>
      <c r="B17" s="72" t="inlineStr">
        <is>
          <t>P7 spike fade 1m</t>
        </is>
      </c>
      <c r="C17" s="73" t="inlineStr">
        <is>
          <t>False</t>
        </is>
      </c>
      <c r="D17" s="73" t="inlineStr">
        <is>
          <t>False</t>
        </is>
      </c>
      <c r="E17" s="72" t="inlineStr">
        <is>
          <t>P1..P9 live-extra, v12 on every v15_pilot</t>
        </is>
      </c>
      <c r="F17" s="73" t="inlineStr">
        <is>
          <t>EX</t>
        </is>
      </c>
      <c r="G17" s="73" t="inlineStr">
        <is>
          <t>no</t>
        </is>
      </c>
      <c r="H17" s="73" t="inlineStr">
        <is>
          <t>forward live vs vector hourly</t>
        </is>
      </c>
    </row>
    <row r="18">
      <c r="A18" s="72" t="inlineStr">
        <is>
          <t>ABLATION_DISABLE_SCALP_GUARD</t>
        </is>
      </c>
      <c r="B18" s="72" t="inlineStr">
        <is>
          <t>P7 scalp guard</t>
        </is>
      </c>
      <c r="C18" s="73" t="inlineStr">
        <is>
          <t>False</t>
        </is>
      </c>
      <c r="D18" s="73" t="inlineStr">
        <is>
          <t>False</t>
        </is>
      </c>
      <c r="E18" s="72" t="inlineStr">
        <is>
          <t>P1..P9 live-extra, v12 on every v15_pilot</t>
        </is>
      </c>
      <c r="F18" s="73" t="inlineStr">
        <is>
          <t>GU</t>
        </is>
      </c>
      <c r="G18" s="73" t="inlineStr">
        <is>
          <t>no</t>
        </is>
      </c>
      <c r="H18" s="73" t="inlineStr">
        <is>
          <t>forward live vs vector hourly</t>
        </is>
      </c>
    </row>
    <row r="19">
      <c r="A19" s="72" t="inlineStr">
        <is>
          <t>ABLATION_DISABLE_HIGH_GAIN_AUGMENT</t>
        </is>
      </c>
      <c r="B19" s="72" t="inlineStr">
        <is>
          <t>P7 high gain augment</t>
        </is>
      </c>
      <c r="C19" s="73" t="inlineStr">
        <is>
          <t>False</t>
        </is>
      </c>
      <c r="D19" s="73" t="inlineStr">
        <is>
          <t>False</t>
        </is>
      </c>
      <c r="E19" s="72" t="inlineStr">
        <is>
          <t>P1..P9 live-extra, v12 on every v15_pilot</t>
        </is>
      </c>
      <c r="F19" s="73" t="inlineStr">
        <is>
          <t>AU</t>
        </is>
      </c>
      <c r="G19" s="73" t="inlineStr">
        <is>
          <t>no</t>
        </is>
      </c>
      <c r="H19" s="73" t="inlineStr">
        <is>
          <t>forward live vs vector hourly</t>
        </is>
      </c>
    </row>
    <row r="20">
      <c r="A20" s="72" t="inlineStr">
        <is>
          <t>ABLATION_DISABLE_PERIODIC_REENTRY</t>
        </is>
      </c>
      <c r="B20" s="72" t="inlineStr">
        <is>
          <t>P7 periodic reentry</t>
        </is>
      </c>
      <c r="C20" s="73" t="inlineStr">
        <is>
          <t>False</t>
        </is>
      </c>
      <c r="D20" s="73" t="inlineStr">
        <is>
          <t>False</t>
        </is>
      </c>
      <c r="E20" s="72" t="inlineStr">
        <is>
          <t>P1..P9 live-extra, v12 on every v15_pilot</t>
        </is>
      </c>
      <c r="F20" s="73" t="inlineStr">
        <is>
          <t>RE</t>
        </is>
      </c>
      <c r="G20" s="73" t="inlineStr">
        <is>
          <t>no</t>
        </is>
      </c>
      <c r="H20" s="73" t="inlineStr">
        <is>
          <t>forward live vs vector hourly</t>
        </is>
      </c>
    </row>
    <row r="21">
      <c r="A21" s="72" t="inlineStr">
        <is>
          <t>ABLATION_DISABLE_ENTRY_LEADERBOARD</t>
        </is>
      </c>
      <c r="B21" s="72" t="inlineStr">
        <is>
          <t>P8 adaptive regime (live-only)</t>
        </is>
      </c>
      <c r="C21" s="73" t="inlineStr">
        <is>
          <t>False</t>
        </is>
      </c>
      <c r="D21" s="73" t="inlineStr">
        <is>
          <t>False</t>
        </is>
      </c>
      <c r="E21" s="72" t="inlineStr">
        <is>
          <t>P1..P9 live-extra, v12 on every v15_pilot</t>
        </is>
      </c>
      <c r="F21" s="73" t="inlineStr">
        <is>
          <t>LE</t>
        </is>
      </c>
      <c r="G21" s="73" t="inlineStr">
        <is>
          <t>no</t>
        </is>
      </c>
      <c r="H21" s="73" t="inlineStr">
        <is>
          <t>forward live vs vector hourly</t>
        </is>
      </c>
    </row>
    <row r="22">
      <c r="A22" s="72" t="inlineStr">
        <is>
          <t>LIVE_ENTRY_ENGINE_FILTER_TF</t>
        </is>
      </c>
      <c r="B22" s="72" t="inlineStr">
        <is>
          <t>P9 filter TF</t>
        </is>
      </c>
      <c r="C22" s="73" t="inlineStr">
        <is>
          <t>15m</t>
        </is>
      </c>
      <c r="D22" s="73" t="inlineStr">
        <is>
          <t>15m</t>
        </is>
      </c>
      <c r="E22" s="72" t="inlineStr">
        <is>
          <t>P1..P9 live-extra, v12 on every v15_pilot</t>
        </is>
      </c>
      <c r="F22" s="73" t="inlineStr">
        <is>
          <t>TF</t>
        </is>
      </c>
      <c r="G22" s="73" t="inlineStr">
        <is>
          <t>yes</t>
        </is>
      </c>
      <c r="H22" s="73" t="inlineStr">
        <is>
          <t>yes</t>
        </is>
      </c>
    </row>
    <row r="23">
      <c r="A23" s="72" t="inlineStr">
        <is>
          <t>AUGMENTATION_COOLDOWN_MINUTES</t>
        </is>
      </c>
      <c r="B23" s="72" t="inlineStr">
        <is>
          <t>5m on stocks (was 60m/0) fix</t>
        </is>
      </c>
      <c r="C23" s="73" t="inlineStr">
        <is>
          <t>5</t>
        </is>
      </c>
      <c r="D23" s="73" t="inlineStr">
        <is>
          <t>5</t>
        </is>
      </c>
      <c r="E23" s="72" t="inlineStr">
        <is>
          <t>P1..P9 live-extra, v12 on every v15_pilot</t>
        </is>
      </c>
      <c r="F23" s="73" t="inlineStr">
        <is>
          <t>MI</t>
        </is>
      </c>
      <c r="G23" s="73" t="inlineStr">
        <is>
          <t>yes</t>
        </is>
      </c>
      <c r="H23" s="73" t="inlineStr">
        <is>
          <t>yes</t>
        </is>
      </c>
    </row>
    <row r="24">
      <c r="A24" s="72" t="inlineStr">
        <is>
          <t>AUGMENTATION_COOLDOWN_SECONDS</t>
        </is>
      </c>
      <c r="B24" s="72" t="inlineStr">
        <is>
          <t>5m on stocks (300s)</t>
        </is>
      </c>
      <c r="C24" s="73" t="inlineStr">
        <is>
          <t>300</t>
        </is>
      </c>
      <c r="D24" s="73" t="inlineStr">
        <is>
          <t>300</t>
        </is>
      </c>
      <c r="E24" s="72" t="inlineStr">
        <is>
          <t>P1..P9 live-extra, v12 on every v15_pilot</t>
        </is>
      </c>
      <c r="F24" s="73" t="inlineStr">
        <is>
          <t>SE</t>
        </is>
      </c>
      <c r="G24" s="73" t="inlineStr">
        <is>
          <t>yes</t>
        </is>
      </c>
      <c r="H24" s="73" t="inlineStr">
        <is>
          <t>yes</t>
        </is>
      </c>
    </row>
    <row r="25">
      <c r="A25" s="72" t="inlineStr">
        <is>
          <t>BASE_TF</t>
        </is>
      </c>
      <c r="B25" s="72" t="inlineStr">
        <is>
          <t>P3 micro 3m/5m vs 15m</t>
        </is>
      </c>
      <c r="C25" s="73" t="inlineStr">
        <is>
          <t>3m/5m</t>
        </is>
      </c>
      <c r="D25" s="73" t="inlineStr">
        <is>
          <t>3m/5m</t>
        </is>
      </c>
      <c r="E25" s="72" t="inlineStr">
        <is>
          <t>P1..P9 live-extra, v12 on every v15_pilot</t>
        </is>
      </c>
      <c r="F25" s="73" t="inlineStr">
        <is>
          <t>TF</t>
        </is>
      </c>
      <c r="G25" s="73" t="inlineStr">
        <is>
          <t>partial</t>
        </is>
      </c>
      <c r="H25" s="73" t="inlineStr">
        <is>
          <t>yes</t>
        </is>
      </c>
    </row>
    <row r="26">
      <c r="A26" s="72" t="inlineStr">
        <is>
          <t>WT_DC_STOCH_TF</t>
        </is>
      </c>
      <c r="B26" s="72" t="inlineStr">
        <is>
          <t>P3 WT DC stoch TF</t>
        </is>
      </c>
      <c r="C26" s="73" t="inlineStr">
        <is>
          <t>5m/15m</t>
        </is>
      </c>
      <c r="D26" s="73" t="inlineStr">
        <is>
          <t>5m/15m</t>
        </is>
      </c>
      <c r="E26" s="72" t="inlineStr">
        <is>
          <t>P1..P9 live-extra, v12 on every v15_pilot</t>
        </is>
      </c>
      <c r="F26" s="73" t="inlineStr">
        <is>
          <t>TF</t>
        </is>
      </c>
      <c r="G26" s="73" t="inlineStr">
        <is>
          <t>partial</t>
        </is>
      </c>
      <c r="H26" s="73"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2026-09-22T15:20:47Z</dcterms:modified>
</cp:coreProperties>
</file>