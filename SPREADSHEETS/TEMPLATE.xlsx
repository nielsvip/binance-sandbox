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
      <name val="Arial"/>
      <b val="1"/>
      <color rgb="0000610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xf numFmtId="0" fontId="28"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M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55" t="n"/>
      <c r="DY3" s="55" t="n"/>
      <c r="DZ3" s="55" t="n"/>
      <c r="EA3" s="55" t="n"/>
      <c r="EB3" s="55"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55" t="n"/>
      <c r="HJ3" s="55" t="n"/>
      <c r="HK3" s="55" t="n"/>
      <c r="HL3" s="55" t="n"/>
      <c r="HM3" s="55" t="n"/>
      <c r="HN3" s="8" t="n"/>
      <c r="HO3" s="8" t="n"/>
      <c r="HP3" s="8" t="n"/>
      <c r="HQ3" s="8" t="n"/>
      <c r="HR3" s="8" t="n"/>
      <c r="HS3" s="8" t="n"/>
      <c r="HT3" s="8" t="n"/>
      <c r="HU3" s="8" t="n"/>
      <c r="HV3" s="8" t="n"/>
      <c r="HW3" s="8" t="n"/>
      <c r="HX3" s="55" t="n"/>
      <c r="HY3" s="55" t="n"/>
      <c r="HZ3" s="55" t="n"/>
      <c r="IA3" s="55" t="n"/>
      <c r="IB3" s="55" t="n"/>
      <c r="IC3" s="55" t="n"/>
      <c r="ID3" s="55" t="n"/>
      <c r="IE3" s="55" t="n"/>
      <c r="IF3" s="55" t="n"/>
      <c r="IG3" s="55" t="n"/>
      <c r="IH3" s="55" t="n"/>
      <c r="II3" s="55" t="n"/>
      <c r="IK3" s="9" t="inlineStr">
        <is>
          <t>ez_manage.py:6076 top()</t>
        </is>
      </c>
      <c r="IL3" s="9" t="inlineStr">
        <is>
          <t>v12_quick_engine.py:4288 x7</t>
        </is>
      </c>
    </row>
    <row r="4" ht="11" customHeight="1">
      <c r="A4" s="10" t="inlineStr">
        <is>
          <t>WT_15M_BOUNCE_OPEN_ENABLED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55" t="n"/>
      <c r="DY4" s="55" t="n"/>
      <c r="DZ4" s="55" t="n"/>
      <c r="EA4" s="55" t="n"/>
      <c r="EB4" s="55"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55" t="n"/>
      <c r="HJ4" s="55" t="n"/>
      <c r="HK4" s="55" t="n"/>
      <c r="HL4" s="55" t="n"/>
      <c r="HM4" s="55" t="n"/>
      <c r="HN4" s="8" t="n"/>
      <c r="HO4" s="8" t="n"/>
      <c r="HP4" s="8" t="n"/>
      <c r="HQ4" s="8" t="n"/>
      <c r="HR4" s="8" t="n"/>
      <c r="HS4" s="8" t="n"/>
      <c r="HT4" s="8" t="n"/>
      <c r="HU4" s="8" t="n"/>
      <c r="HV4" s="8" t="n"/>
      <c r="HW4" s="8" t="n"/>
      <c r="HX4" s="55" t="n"/>
      <c r="HY4" s="55" t="n"/>
      <c r="HZ4" s="55" t="n"/>
      <c r="IA4" s="55" t="n"/>
      <c r="IB4" s="55" t="n"/>
      <c r="IC4" s="55" t="n"/>
      <c r="ID4" s="55" t="n"/>
      <c r="IE4" s="55" t="n"/>
      <c r="IF4" s="55" t="n"/>
      <c r="IG4" s="55" t="n"/>
      <c r="IH4" s="55" t="n"/>
      <c r="II4" s="55" t="n"/>
      <c r="IK4" s="9" t="inlineStr">
        <is>
          <t>ez_manage.py:6076 top()</t>
        </is>
      </c>
      <c r="IL4" s="9" t="inlineStr">
        <is>
          <t>v12_quick_engine.py:4288 x7</t>
        </is>
      </c>
    </row>
    <row r="5" ht="11" customHeight="1">
      <c r="A5" s="10" t="inlineStr">
        <is>
          <t>BB_SQUEEZE_ENTRY_ENABLED</t>
        </is>
      </c>
      <c r="B5" s="11" t="inlineStr">
        <is>
          <t>True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55" t="n"/>
      <c r="FJ5" s="55" t="n"/>
      <c r="FK5" s="55" t="n"/>
      <c r="FL5" s="55" t="n"/>
      <c r="FM5" s="55"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ez_manage.py:4371 top()</t>
        </is>
      </c>
      <c r="IL5" s="9" t="inlineStr">
        <is>
          <t>v12_quick_engine.py:889 x9</t>
        </is>
      </c>
    </row>
    <row r="6" ht="11" customHeight="1">
      <c r="A6" s="10" t="inlineStr">
        <is>
          <t>BB_PULLBACK_GATE_TF</t>
        </is>
      </c>
      <c r="B6" s="11" t="inlineStr">
        <is>
          <t>OFF</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55" t="n"/>
      <c r="X6" s="55" t="n"/>
      <c r="Y6" s="55" t="n"/>
      <c r="Z6" s="55" t="n"/>
      <c r="AA6" s="55"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ez_manage.py:4361 top()</t>
        </is>
      </c>
      <c r="IL6" s="9" t="inlineStr">
        <is>
          <t>v12_quick_engine.py:288 x12</t>
        </is>
      </c>
    </row>
    <row r="7" ht="11" customHeight="1">
      <c r="A7" s="10" t="inlineStr">
        <is>
          <t>BB_PULLBACK_GATE_TF</t>
        </is>
      </c>
      <c r="B7" s="11" t="inlineStr">
        <is>
          <t>D</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55" t="n"/>
      <c r="X7" s="55" t="n"/>
      <c r="Y7" s="55" t="n"/>
      <c r="Z7" s="55" t="n"/>
      <c r="AA7" s="55"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ez_manage.py:4361 top()</t>
        </is>
      </c>
      <c r="IL7" s="9" t="inlineStr">
        <is>
          <t>v12_quick_engine.py:288 x12</t>
        </is>
      </c>
    </row>
    <row r="8" ht="11" customHeight="1">
      <c r="A8" s="10" t="inlineStr">
        <is>
          <t>BB_PULLBACK_GATE_TF</t>
        </is>
      </c>
      <c r="B8" s="11" t="inlineStr">
        <is>
          <t>4h</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55" t="n"/>
      <c r="X8" s="55" t="n"/>
      <c r="Y8" s="55" t="n"/>
      <c r="Z8" s="55" t="n"/>
      <c r="AA8" s="55"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ez_manage.py:4361 top()</t>
        </is>
      </c>
      <c r="IL8" s="9" t="inlineStr">
        <is>
          <t>v12_quick_engine.py:288 x12</t>
        </is>
      </c>
    </row>
    <row r="9" ht="11" customHeight="1">
      <c r="A9" s="10" t="inlineStr">
        <is>
          <t>BB_PULLBACK_GATE_TF</t>
        </is>
      </c>
      <c r="B9" s="11" t="inlineStr">
        <is>
          <t>1h</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55" t="n"/>
      <c r="X9" s="55" t="n"/>
      <c r="Y9" s="55" t="n"/>
      <c r="Z9" s="55" t="n"/>
      <c r="AA9" s="55"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ez_manage.py:4361 top()</t>
        </is>
      </c>
      <c r="IL9" s="9" t="inlineStr">
        <is>
          <t>v12_quick_engine.py:288 x12</t>
        </is>
      </c>
    </row>
    <row r="10" ht="11" customHeight="1">
      <c r="A10" s="6" t="inlineStr">
        <is>
          <t>BB_PULLBACK_GATE_TF</t>
        </is>
      </c>
      <c r="B10" s="7" t="inlineStr">
        <is>
          <t>15m</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55" t="n"/>
      <c r="X10" s="55" t="n"/>
      <c r="Y10" s="55" t="n"/>
      <c r="Z10" s="55" t="n"/>
      <c r="AA10" s="55"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ez_manage.py:4361 top()</t>
        </is>
      </c>
      <c r="IL10" s="9" t="inlineStr">
        <is>
          <t>v12_quick_engine.py:288 x12</t>
        </is>
      </c>
    </row>
    <row r="11" ht="11" customHeight="1">
      <c r="A11" s="6" t="inlineStr">
        <is>
          <t>DELTA_GATE_BB_SQUEEZE</t>
        </is>
      </c>
      <c r="B11" s="7" t="inlineStr">
        <is>
          <t>True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ez_manage.py:4603 top()</t>
        </is>
      </c>
      <c r="IL11" s="9" t="inlineStr">
        <is>
          <t>v12_quick_engine.py:969 x9</t>
        </is>
      </c>
    </row>
    <row r="12" ht="11" customHeight="1">
      <c r="A12" s="10" t="inlineStr">
        <is>
          <t>BB_SQUEEZE_WIDTH_PERCENTILE</t>
        </is>
      </c>
      <c r="B12" s="11" t="inlineStr">
        <is>
          <t>0.1</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ez_manage.py:4375 top()</t>
        </is>
      </c>
      <c r="IL12" s="9" t="inlineStr">
        <is>
          <t>v12_quick_engine.py:1285 x7</t>
        </is>
      </c>
    </row>
    <row r="13" ht="11" customHeight="1">
      <c r="A13" s="10" t="inlineStr">
        <is>
          <t>BB_SQUEEZE_WIDTH_PERCENTILE</t>
        </is>
      </c>
      <c r="B13" s="11" t="inlineStr">
        <is>
          <t>0.15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ez_manage.py:4375 top()</t>
        </is>
      </c>
      <c r="IL13" s="9" t="inlineStr">
        <is>
          <t>v12_quick_engine.py:1285 x7</t>
        </is>
      </c>
    </row>
    <row r="14" ht="11" customHeight="1">
      <c r="A14" s="6" t="inlineStr">
        <is>
          <t>BB_SQUEEZE_WIDTH_PERCENTILE</t>
        </is>
      </c>
      <c r="B14" s="7" t="inlineStr">
        <is>
          <t>0.2</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ez_manage.py:4375 top()</t>
        </is>
      </c>
      <c r="IL14" s="9" t="inlineStr">
        <is>
          <t>v12_quick_engine.py:1285 x7</t>
        </is>
      </c>
    </row>
    <row r="15" ht="11" customHeight="1">
      <c r="A15" s="10" t="inlineStr">
        <is>
          <t>BB_SQUEEZE_WIDTH_PERCENTILE</t>
        </is>
      </c>
      <c r="B15" s="11" t="inlineStr">
        <is>
          <t>0.25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ez_manage.py:4375 top()</t>
        </is>
      </c>
      <c r="IL15" s="9" t="inlineStr">
        <is>
          <t>v12_quick_engine.py:1285 x7</t>
        </is>
      </c>
    </row>
    <row r="16" ht="11" customHeight="1">
      <c r="A16" s="10" t="inlineStr">
        <is>
          <t>BB_SQUEEZE_WIDTH_PERCENTILE</t>
        </is>
      </c>
      <c r="B16" s="11" t="inlineStr">
        <is>
          <t>0.3</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ez_manage.py:4375 top()</t>
        </is>
      </c>
      <c r="IL16" s="9" t="inlineStr">
        <is>
          <t>v12_quick_engine.py:1285 x7</t>
        </is>
      </c>
    </row>
    <row r="17" ht="11" customHeight="1">
      <c r="A17" s="10" t="inlineStr">
        <is>
          <t>WT_DIV_EXIT_ENABLED</t>
        </is>
      </c>
      <c r="B17" s="11" t="inlineStr">
        <is>
          <t>False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55" t="n"/>
      <c r="HY17" s="55" t="n"/>
      <c r="HZ17" s="55" t="n"/>
      <c r="IA17" s="55" t="n"/>
      <c r="IB17" s="55" t="n"/>
      <c r="IC17" s="55" t="n"/>
      <c r="ID17" s="55" t="n"/>
      <c r="IE17" s="55" t="n"/>
      <c r="IF17" s="55" t="n"/>
      <c r="IG17" s="55" t="n"/>
      <c r="IH17" s="55" t="n"/>
      <c r="II17" s="55" t="n"/>
      <c r="IK17" s="9" t="inlineStr">
        <is>
          <t>ez_manage.py:6086 top()</t>
        </is>
      </c>
      <c r="IL17" s="9" t="inlineStr">
        <is>
          <t>v12_quick_engine.py:4292 x3</t>
        </is>
      </c>
    </row>
    <row r="18" ht="11" customHeight="1">
      <c r="A18" s="6" t="inlineStr">
        <is>
          <t>WT_DIV_EXIT_ENABLED</t>
        </is>
      </c>
      <c r="B18" s="64" t="b">
        <v>0</v>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ez_manage.py:6086 top()</t>
        </is>
      </c>
      <c r="IL18" s="9" t="inlineStr">
        <is>
          <t>v12_quick_engine.py:4292 x3</t>
        </is>
      </c>
    </row>
    <row r="19" ht="11" customHeight="1">
      <c r="A19" s="10" t="inlineStr">
        <is>
          <t>WT_MOMENTUM_EXIT_THRESHOLD</t>
        </is>
      </c>
      <c r="B19" s="11" t="inlineStr">
        <is>
          <t>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55" t="n"/>
      <c r="BV19" s="55" t="n"/>
      <c r="BW19" s="55" t="n"/>
      <c r="BX19" s="55" t="n"/>
      <c r="BY19" s="55"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55" t="n"/>
      <c r="DT19" s="55" t="n"/>
      <c r="DU19" s="55" t="n"/>
      <c r="DV19" s="55" t="n"/>
      <c r="DW19" s="55"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ez_manage.py:6087 top()</t>
        </is>
      </c>
      <c r="IL19" s="9" t="inlineStr">
        <is>
          <t>v12_quick_engine.py:4293 x3</t>
        </is>
      </c>
    </row>
    <row r="20" ht="11" customHeight="1">
      <c r="A20" s="6" t="inlineStr">
        <is>
          <t>WT_MOMENTUM_EXIT_THRESHOLD</t>
        </is>
      </c>
      <c r="B20" s="7" t="inlineStr">
        <is>
          <t>1</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55" t="n"/>
      <c r="BV20" s="55" t="n"/>
      <c r="BW20" s="55" t="n"/>
      <c r="BX20" s="55" t="n"/>
      <c r="BY20" s="55"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55" t="n"/>
      <c r="DN20" s="8" t="n"/>
      <c r="DO20" s="8" t="n"/>
      <c r="DP20" s="8" t="n"/>
      <c r="DQ20" s="8" t="n"/>
      <c r="DR20" s="8" t="n"/>
      <c r="DS20" s="55" t="n"/>
      <c r="DT20" s="55" t="n"/>
      <c r="DU20" s="55" t="n"/>
      <c r="DV20" s="55" t="n"/>
      <c r="DW20" s="55"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ez_manage.py:6087 top()</t>
        </is>
      </c>
      <c r="IL20" s="9" t="inlineStr">
        <is>
          <t>v12_quick_engine.py:4293 x3</t>
        </is>
      </c>
    </row>
    <row r="21" ht="11" customHeight="1">
      <c r="A21" s="10" t="inlineStr">
        <is>
          <t>WT_MOMENTUM_EXIT_THRESHOLD</t>
        </is>
      </c>
      <c r="B21" s="11" t="inlineStr">
        <is>
          <t>2</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55" t="n"/>
      <c r="BV21" s="55" t="n"/>
      <c r="BW21" s="55" t="n"/>
      <c r="BX21" s="55" t="n"/>
      <c r="BY21" s="55"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55" t="n"/>
      <c r="DN21" s="8" t="n"/>
      <c r="DO21" s="8" t="n"/>
      <c r="DP21" s="8" t="n"/>
      <c r="DQ21" s="8" t="n"/>
      <c r="DR21" s="8" t="n"/>
      <c r="DS21" s="55" t="n"/>
      <c r="DT21" s="55" t="n"/>
      <c r="DU21" s="55" t="n"/>
      <c r="DV21" s="55" t="n"/>
      <c r="DW21" s="55"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ez_manage.py:6087 top()</t>
        </is>
      </c>
      <c r="IL21" s="9" t="inlineStr">
        <is>
          <t>v12_quick_engine.py:4293 x3</t>
        </is>
      </c>
    </row>
    <row r="22" ht="11" customHeight="1">
      <c r="A22" s="10" t="inlineStr">
        <is>
          <t>WT_ACCEL_EXIT_ENABLED</t>
        </is>
      </c>
      <c r="B22" s="11"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ez_manage.py:6083 top()</t>
        </is>
      </c>
      <c r="IL22" s="9" t="inlineStr">
        <is>
          <t>v12_quick_engine.py:4290 x3</t>
        </is>
      </c>
    </row>
    <row r="23" ht="11" customHeight="1">
      <c r="A23" s="6" t="inlineStr">
        <is>
          <t>WT_ACCEL_EXIT_ENABLED</t>
        </is>
      </c>
      <c r="B23" s="64" t="b">
        <v>0</v>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ez_manage.py:6083 top()</t>
        </is>
      </c>
      <c r="IL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G25" s="62" t="inlineStr">
        <is>
          <t>Rec</t>
        </is>
      </c>
      <c r="H25" s="62" t="inlineStr">
        <is>
          <t>Tested As</t>
        </is>
      </c>
      <c r="I25" s="62" t="inlineStr">
        <is>
          <t>Notes</t>
        </is>
      </c>
    </row>
    <row r="26">
      <c r="A26" s="63" t="inlineStr">
        <is>
          <t>ADX_RANGING_THRESHOLD</t>
        </is>
      </c>
      <c r="B26" s="56" t="inlineStr">
        <is>
          <t>20</t>
        </is>
      </c>
      <c r="C26" s="56" t="n"/>
      <c r="D26" s="56" t="inlineStr">
        <is>
          <t>ENTRY, GLOBAL_CHECK, STOCKS_EXIT</t>
        </is>
      </c>
      <c r="E26" s="56">
        <f>IF(G26="",E25,IF(G26&gt;0,E25+G26,E25))</f>
        <v/>
      </c>
      <c r="G26" s="56">
        <f>IFERROR(VLOOKUP($A26&amp;"="&amp;$B26,Results_Deltas!$A$2:$P$15000,5,FALSE),"")</f>
        <v/>
      </c>
      <c r="H26" s="56" t="inlineStr">
        <is>
          <t>Blanket (page end)</t>
        </is>
      </c>
    </row>
    <row r="27">
      <c r="A27" s="63" t="inlineStr">
        <is>
          <t>ADX_RANGING_THRESHOLD</t>
        </is>
      </c>
      <c r="B27" s="56" t="inlineStr">
        <is>
          <t>25</t>
        </is>
      </c>
      <c r="C27" s="56" t="n"/>
      <c r="D27" s="56" t="inlineStr">
        <is>
          <t>ENTRY, GLOBAL_CHECK, STOCKS_EXIT</t>
        </is>
      </c>
      <c r="E27" s="56">
        <f>IF(G27="",E26,IF(G27&gt;0,E26+G27,E26))</f>
        <v/>
      </c>
      <c r="G27" s="56">
        <f>IFERROR(VLOOKUP($A27&amp;"="&amp;$B27,Results_Deltas!$A$2:$P$15000,5,FALSE),"")</f>
        <v/>
      </c>
      <c r="H27" s="56" t="inlineStr">
        <is>
          <t>Blanket (page end)</t>
        </is>
      </c>
    </row>
    <row r="28">
      <c r="A28" s="63" t="inlineStr">
        <is>
          <t>ADX_RANGING_THRESHOLD</t>
        </is>
      </c>
      <c r="B28" s="56" t="inlineStr">
        <is>
          <t>15</t>
        </is>
      </c>
      <c r="C28" s="56" t="n"/>
      <c r="D28" s="56" t="inlineStr">
        <is>
          <t>ENTRY, GLOBAL_CHECK, STOCKS_EXIT</t>
        </is>
      </c>
      <c r="E28" s="56">
        <f>IF(G28="",E27,IF(G28&gt;0,E27+G28,E27))</f>
        <v/>
      </c>
      <c r="G28" s="56">
        <f>IFERROR(VLOOKUP($A28&amp;"="&amp;$B28,Results_Deltas!$A$2:$P$15000,5,FALSE),"")</f>
        <v/>
      </c>
      <c r="H28" s="56" t="inlineStr">
        <is>
          <t>Blanket (page end)</t>
        </is>
      </c>
    </row>
    <row r="29">
      <c r="A29" s="63" t="inlineStr">
        <is>
          <t>ADX_RANGING_THRESHOLD</t>
        </is>
      </c>
      <c r="B29" s="56" t="inlineStr">
        <is>
          <t>10</t>
        </is>
      </c>
      <c r="C29" s="56" t="n"/>
      <c r="D29" s="56" t="inlineStr">
        <is>
          <t>ENTRY, GLOBAL_CHECK, STOCKS_EXIT</t>
        </is>
      </c>
      <c r="E29" s="56">
        <f>IF(G29="",E28,IF(G29&gt;0,E28+G29,E28))</f>
        <v/>
      </c>
      <c r="G29" s="56">
        <f>IFERROR(VLOOKUP($A29&amp;"="&amp;$B29,Results_Deltas!$A$2:$P$15000,5,FALSE),"")</f>
        <v/>
      </c>
      <c r="H29" s="56" t="inlineStr">
        <is>
          <t>Blanket (page end)</t>
        </is>
      </c>
    </row>
    <row r="30">
      <c r="A30" s="63" t="inlineStr">
        <is>
          <t>BANDAID_OFF_LOSER_RECOVER_PCT</t>
        </is>
      </c>
      <c r="B30" s="56" t="inlineStr">
        <is>
          <t>0</t>
        </is>
      </c>
      <c r="C30" s="56" t="n"/>
      <c r="D30" s="56" t="inlineStr">
        <is>
          <t>AUGMENT, ENTRY, EXIT, GLOBAL_CHECK, REDUCE, STOCKS_EXIT</t>
        </is>
      </c>
      <c r="E30" s="56">
        <f>IF(G30="",E29,IF(G30&gt;0,E29+G30,E29))</f>
        <v/>
      </c>
      <c r="G30" s="56">
        <f>IFERROR(VLOOKUP($A30&amp;"="&amp;$B30,Results_Deltas!$A$2:$P$15000,5,FALSE),"")</f>
        <v/>
      </c>
      <c r="H30" s="56" t="inlineStr">
        <is>
          <t>Blanket (page end)</t>
        </is>
      </c>
    </row>
    <row r="31">
      <c r="A31" s="63" t="inlineStr">
        <is>
          <t>BANDAID_OFF_LOSER_RECOVER_PCT</t>
        </is>
      </c>
      <c r="B31" s="56" t="inlineStr">
        <is>
          <t>2.0</t>
        </is>
      </c>
      <c r="C31" s="56" t="n"/>
      <c r="D31" s="56" t="inlineStr">
        <is>
          <t>AUGMENT, ENTRY, EXIT, GLOBAL_CHECK, REDUCE, STOCKS_EXIT</t>
        </is>
      </c>
      <c r="E31" s="56">
        <f>IF(G31="",E30,IF(G31&gt;0,E30+G31,E30))</f>
        <v/>
      </c>
      <c r="G31" s="56">
        <f>IFERROR(VLOOKUP($A31&amp;"="&amp;$B31,Results_Deltas!$A$2:$P$15000,5,FALSE),"")</f>
        <v/>
      </c>
      <c r="H31" s="56" t="inlineStr">
        <is>
          <t>Blanket (page end)</t>
        </is>
      </c>
    </row>
    <row r="32">
      <c r="A32" s="63" t="inlineStr">
        <is>
          <t>BANDAID_OFF_LOSER_RECOVER_PCT</t>
        </is>
      </c>
      <c r="B32" s="56" t="inlineStr">
        <is>
          <t>1.0</t>
        </is>
      </c>
      <c r="C32" s="56" t="n"/>
      <c r="D32" s="56" t="inlineStr">
        <is>
          <t>AUGMENT, ENTRY, EXIT, GLOBAL_CHECK, REDUCE, STOCKS_EXIT</t>
        </is>
      </c>
      <c r="E32" s="56">
        <f>IF(G32="",E31,IF(G32&gt;0,E31+G32,E31))</f>
        <v/>
      </c>
      <c r="G32" s="56">
        <f>IFERROR(VLOOKUP($A32&amp;"="&amp;$B32,Results_Deltas!$A$2:$P$15000,5,FALSE),"")</f>
        <v/>
      </c>
      <c r="H32" s="56" t="inlineStr">
        <is>
          <t>Blanket (page end)</t>
        </is>
      </c>
    </row>
    <row r="33">
      <c r="A33" s="63" t="inlineStr">
        <is>
          <t>BANDAID_OFF_LOSER_RECOVER_PCT</t>
        </is>
      </c>
      <c r="B33" s="56" t="inlineStr">
        <is>
          <t>0.5</t>
        </is>
      </c>
      <c r="C33" s="56" t="n"/>
      <c r="D33" s="56" t="inlineStr">
        <is>
          <t>AUGMENT, ENTRY, EXIT, GLOBAL_CHECK, REDUCE, STOCKS_EXIT</t>
        </is>
      </c>
      <c r="E33" s="56">
        <f>IF(G33="",E32,IF(G33&gt;0,E32+G33,E32))</f>
        <v/>
      </c>
      <c r="G33" s="56">
        <f>IFERROR(VLOOKUP($A33&amp;"="&amp;$B33,Results_Deltas!$A$2:$P$15000,5,FALSE),"")</f>
        <v/>
      </c>
      <c r="H33" s="56" t="inlineStr">
        <is>
          <t>Blanket (page end)</t>
        </is>
      </c>
    </row>
    <row r="34">
      <c r="A34" s="63" t="inlineStr">
        <is>
          <t>BAND_ARROW_ENABLED</t>
        </is>
      </c>
      <c r="B34" s="56" t="inlineStr">
        <is>
          <t>False</t>
        </is>
      </c>
      <c r="C34" s="56" t="n"/>
      <c r="D34" s="56" t="inlineStr">
        <is>
          <t>GLOBAL_CHECK, STOCKS_EXIT</t>
        </is>
      </c>
      <c r="E34" s="56">
        <f>IF(G34="",E33,IF(G34&gt;0,E33+G34,E33))</f>
        <v/>
      </c>
      <c r="G34" s="56">
        <f>IFERROR(VLOOKUP($A34&amp;"="&amp;$B34,Results_Deltas!$A$2:$P$15000,5,FALSE),"")</f>
        <v/>
      </c>
      <c r="H34" s="56" t="inlineStr">
        <is>
          <t>Blanket (page end)</t>
        </is>
      </c>
    </row>
    <row r="35">
      <c r="A35" s="63" t="inlineStr">
        <is>
          <t>BAND_ARROW_ENABLED</t>
        </is>
      </c>
      <c r="B35" s="56" t="inlineStr">
        <is>
          <t>True</t>
        </is>
      </c>
      <c r="C35" s="56" t="n"/>
      <c r="D35" s="56" t="inlineStr">
        <is>
          <t>GLOBAL_CHECK, STOCKS_EXIT</t>
        </is>
      </c>
      <c r="E35" s="56">
        <f>IF(G35="",E34,IF(G35&gt;0,E34+G35,E34))</f>
        <v/>
      </c>
      <c r="G35" s="56">
        <f>IFERROR(VLOOKUP($A35&amp;"="&amp;$B35,Results_Deltas!$A$2:$P$15000,5,FALSE),"")</f>
        <v/>
      </c>
      <c r="H35" s="56" t="inlineStr">
        <is>
          <t>Blanket (page end)</t>
        </is>
      </c>
    </row>
    <row r="36">
      <c r="A36" s="63" t="inlineStr">
        <is>
          <t>BTC_ACCEL_RAMP_REQUIRE_POSITIVE</t>
        </is>
      </c>
      <c r="B36" s="56" t="inlineStr">
        <is>
          <t>0.0</t>
        </is>
      </c>
      <c r="C36" s="56" t="n"/>
      <c r="D36" s="56" t="inlineStr">
        <is>
          <t>UNIVERSAL (ex-BTC) — ENTRY/EXIT/REENTRY</t>
        </is>
      </c>
      <c r="E36" s="56">
        <f>IF(G36="",E35,IF(G36&gt;0,E35+G36,E35))</f>
        <v/>
      </c>
      <c r="G36" s="56">
        <f>IFERROR(VLOOKUP($A36&amp;"="&amp;$B36,Results_Deltas!$A$2:$P$15000,5,FALSE),"")</f>
        <v/>
      </c>
      <c r="H36" s="56" t="inlineStr">
        <is>
          <t>Blanket (page end)</t>
        </is>
      </c>
    </row>
    <row r="37">
      <c r="A37" s="63" t="inlineStr">
        <is>
          <t>BTC_ACCEL_RAMP_REQUIRE_POSITIVE</t>
        </is>
      </c>
      <c r="B37" s="56" t="inlineStr">
        <is>
          <t>0.0_ALT</t>
        </is>
      </c>
      <c r="C37" s="56" t="n"/>
      <c r="D37" s="56" t="inlineStr">
        <is>
          <t>UNIVERSAL (ex-BTC) — ENTRY/EXIT/REENTRY</t>
        </is>
      </c>
      <c r="E37" s="56">
        <f>IF(G37="",E36,IF(G37&gt;0,E36+G37,E36))</f>
        <v/>
      </c>
      <c r="G37" s="56">
        <f>IFERROR(VLOOKUP($A37&amp;"="&amp;$B37,Results_Deltas!$A$2:$P$15000,5,FALSE),"")</f>
        <v/>
      </c>
      <c r="H37" s="56" t="inlineStr">
        <is>
          <t>Blanket (page end)</t>
        </is>
      </c>
    </row>
    <row r="38">
      <c r="A38" s="63" t="inlineStr">
        <is>
          <t>BTC_HARD_BLOCK_OTHER_ACCOUNTS</t>
        </is>
      </c>
      <c r="B38" s="56" t="inlineStr">
        <is>
          <t>0.0</t>
        </is>
      </c>
      <c r="C38" s="56" t="n"/>
      <c r="D38" s="56" t="inlineStr">
        <is>
          <t>UNIVERSAL (ex-BTC) — ENTRY/EXIT/REENTRY</t>
        </is>
      </c>
      <c r="E38" s="56">
        <f>IF(G38="",E37,IF(G38&gt;0,E37+G38,E37))</f>
        <v/>
      </c>
      <c r="G38" s="56">
        <f>IFERROR(VLOOKUP($A38&amp;"="&amp;$B38,Results_Deltas!$A$2:$P$15000,5,FALSE),"")</f>
        <v/>
      </c>
      <c r="H38" s="56" t="inlineStr">
        <is>
          <t>Blanket (page end)</t>
        </is>
      </c>
    </row>
    <row r="39">
      <c r="A39" s="63" t="inlineStr">
        <is>
          <t>BTC_HARD_BLOCK_OTHER_ACCOUNTS</t>
        </is>
      </c>
      <c r="B39" s="56" t="inlineStr">
        <is>
          <t>0.0_ALT</t>
        </is>
      </c>
      <c r="C39" s="56" t="n"/>
      <c r="D39" s="56" t="inlineStr">
        <is>
          <t>UNIVERSAL (ex-BTC) — ENTRY/EXIT/REENTRY</t>
        </is>
      </c>
      <c r="E39" s="56">
        <f>IF(G39="",E38,IF(G39&gt;0,E38+G39,E38))</f>
        <v/>
      </c>
      <c r="G39" s="56">
        <f>IFERROR(VLOOKUP($A39&amp;"="&amp;$B39,Results_Deltas!$A$2:$P$15000,5,FALSE),"")</f>
        <v/>
      </c>
      <c r="H39" s="56" t="inlineStr">
        <is>
          <t>Blanket (page end)</t>
        </is>
      </c>
    </row>
    <row r="40">
      <c r="A40" s="63" t="inlineStr">
        <is>
          <t>BTC_ROUND_BANDS_EACH_SIDE</t>
        </is>
      </c>
      <c r="B40" s="56" t="inlineStr">
        <is>
          <t>0.0</t>
        </is>
      </c>
      <c r="C40" s="56" t="n"/>
      <c r="D40" s="56" t="inlineStr">
        <is>
          <t>UNIVERSAL (ex-BTC) — ENTRY/EXIT/REENTRY</t>
        </is>
      </c>
      <c r="E40" s="56">
        <f>IF(G40="",E39,IF(G40&gt;0,E39+G40,E39))</f>
        <v/>
      </c>
      <c r="G40" s="56">
        <f>IFERROR(VLOOKUP($A40&amp;"="&amp;$B40,Results_Deltas!$A$2:$P$15000,5,FALSE),"")</f>
        <v/>
      </c>
      <c r="H40" s="56" t="inlineStr">
        <is>
          <t>Blanket (page end)</t>
        </is>
      </c>
    </row>
    <row r="41">
      <c r="A41" s="63" t="inlineStr">
        <is>
          <t>BTC_ROUND_BANDS_EACH_SIDE</t>
        </is>
      </c>
      <c r="B41" s="56" t="inlineStr">
        <is>
          <t>0.0_ALT</t>
        </is>
      </c>
      <c r="C41" s="56" t="n"/>
      <c r="D41" s="56" t="inlineStr">
        <is>
          <t>UNIVERSAL (ex-BTC) — ENTRY/EXIT/REENTRY</t>
        </is>
      </c>
      <c r="E41" s="56">
        <f>IF(G41="",E40,IF(G41&gt;0,E40+G41,E40))</f>
        <v/>
      </c>
      <c r="G41" s="56">
        <f>IFERROR(VLOOKUP($A41&amp;"="&amp;$B41,Results_Deltas!$A$2:$P$15000,5,FALSE),"")</f>
        <v/>
      </c>
      <c r="H41" s="56" t="inlineStr">
        <is>
          <t>Blanket (page end)</t>
        </is>
      </c>
    </row>
    <row r="42">
      <c r="A42" s="63" t="inlineStr">
        <is>
          <t>COOLDOWN_LOCKS_FILTER_TF</t>
        </is>
      </c>
      <c r="B42" s="56" t="inlineStr">
        <is>
          <t>OFF</t>
        </is>
      </c>
      <c r="C42" s="56" t="n"/>
      <c r="D42" s="56" t="inlineStr">
        <is>
          <t>GLOBAL_CHECK</t>
        </is>
      </c>
      <c r="E42" s="56">
        <f>IF(G42="",E41,IF(G42&gt;0,E41+G42,E41))</f>
        <v/>
      </c>
      <c r="G42" s="56">
        <f>IFERROR(VLOOKUP($A42&amp;"="&amp;$B42,Results_Deltas!$A$2:$P$15000,5,FALSE),"")</f>
        <v/>
      </c>
      <c r="H42" s="56" t="inlineStr">
        <is>
          <t>Blanket (page end)</t>
        </is>
      </c>
    </row>
    <row r="43">
      <c r="A43" s="63" t="inlineStr">
        <is>
          <t>COOLDOWN_LOCKS_FILTER_TF</t>
        </is>
      </c>
      <c r="B43" s="56" t="inlineStr">
        <is>
          <t>D</t>
        </is>
      </c>
      <c r="C43" s="56" t="n"/>
      <c r="D43" s="56" t="inlineStr">
        <is>
          <t>GLOBAL_CHECK</t>
        </is>
      </c>
      <c r="E43" s="56">
        <f>IF(G43="",E42,IF(G43&gt;0,E42+G43,E42))</f>
        <v/>
      </c>
      <c r="G43" s="56">
        <f>IFERROR(VLOOKUP($A43&amp;"="&amp;$B43,Results_Deltas!$A$2:$P$15000,5,FALSE),"")</f>
        <v/>
      </c>
      <c r="H43" s="56" t="inlineStr">
        <is>
          <t>Blanket (page end)</t>
        </is>
      </c>
    </row>
    <row r="44">
      <c r="A44" s="63" t="inlineStr">
        <is>
          <t>COOLDOWN_LOCKS_FILTER_TF</t>
        </is>
      </c>
      <c r="B44" s="56" t="inlineStr">
        <is>
          <t>4h</t>
        </is>
      </c>
      <c r="C44" s="56" t="n"/>
      <c r="D44" s="56" t="inlineStr">
        <is>
          <t>GLOBAL_CHECK</t>
        </is>
      </c>
      <c r="E44" s="56">
        <f>IF(G44="",E43,IF(G44&gt;0,E43+G44,E43))</f>
        <v/>
      </c>
      <c r="G44" s="56">
        <f>IFERROR(VLOOKUP($A44&amp;"="&amp;$B44,Results_Deltas!$A$2:$P$15000,5,FALSE),"")</f>
        <v/>
      </c>
      <c r="H44" s="56" t="inlineStr">
        <is>
          <t>Blanket (page end)</t>
        </is>
      </c>
    </row>
    <row r="45">
      <c r="A45" s="63" t="inlineStr">
        <is>
          <t>COOLDOWN_LOCKS_FILTER_TF</t>
        </is>
      </c>
      <c r="B45" s="56" t="inlineStr">
        <is>
          <t>1h</t>
        </is>
      </c>
      <c r="C45" s="56" t="n"/>
      <c r="D45" s="56" t="inlineStr">
        <is>
          <t>GLOBAL_CHECK</t>
        </is>
      </c>
      <c r="E45" s="56">
        <f>IF(G45="",E44,IF(G45&gt;0,E44+G45,E44))</f>
        <v/>
      </c>
      <c r="G45" s="56">
        <f>IFERROR(VLOOKUP($A45&amp;"="&amp;$B45,Results_Deltas!$A$2:$P$15000,5,FALSE),"")</f>
        <v/>
      </c>
      <c r="H45" s="56" t="inlineStr">
        <is>
          <t>Blanket (page end)</t>
        </is>
      </c>
    </row>
    <row r="46">
      <c r="A46" s="63" t="inlineStr">
        <is>
          <t>COOLDOWN_LOCKS_FILTER_TF</t>
        </is>
      </c>
      <c r="B46" s="56" t="inlineStr">
        <is>
          <t>15m</t>
        </is>
      </c>
      <c r="C46" s="56" t="n"/>
      <c r="D46" s="56" t="inlineStr">
        <is>
          <t>GLOBAL_CHECK</t>
        </is>
      </c>
      <c r="E46" s="56">
        <f>IF(G46="",E45,IF(G46&gt;0,E45+G46,E45))</f>
        <v/>
      </c>
      <c r="G46" s="56">
        <f>IFERROR(VLOOKUP($A46&amp;"="&amp;$B46,Results_Deltas!$A$2:$P$15000,5,FALSE),"")</f>
        <v/>
      </c>
      <c r="H46" s="56" t="inlineStr">
        <is>
          <t>Blanket (page end)</t>
        </is>
      </c>
    </row>
    <row r="47">
      <c r="A47" s="63" t="inlineStr">
        <is>
          <t>CRYPTO_SPIKE_FADE_THRESHOLD_PCT</t>
        </is>
      </c>
      <c r="B47" s="56" t="inlineStr">
        <is>
          <t>10</t>
        </is>
      </c>
      <c r="C47" s="56" t="n"/>
      <c r="D47" s="56" t="inlineStr">
        <is>
          <t>GLOBAL_CHECK, STOCKS_EXIT</t>
        </is>
      </c>
      <c r="E47" s="56">
        <f>IF(G47="",E46,IF(G47&gt;0,E46+G47,E46))</f>
        <v/>
      </c>
      <c r="G47" s="56">
        <f>IFERROR(VLOOKUP($A47&amp;"="&amp;$B47,Results_Deltas!$A$2:$P$15000,5,FALSE),"")</f>
        <v/>
      </c>
      <c r="H47" s="56" t="inlineStr">
        <is>
          <t>Blanket (page end)</t>
        </is>
      </c>
    </row>
    <row r="48">
      <c r="A48" s="63" t="inlineStr">
        <is>
          <t>CRYPTO_SPIKE_FADE_THRESHOLD_PCT</t>
        </is>
      </c>
      <c r="B48" s="56" t="inlineStr">
        <is>
          <t>12.5</t>
        </is>
      </c>
      <c r="C48" s="56" t="n"/>
      <c r="D48" s="56" t="inlineStr">
        <is>
          <t>GLOBAL_CHECK, STOCKS_EXIT</t>
        </is>
      </c>
      <c r="E48" s="56">
        <f>IF(G48="",E47,IF(G48&gt;0,E47+G48,E47))</f>
        <v/>
      </c>
      <c r="G48" s="56">
        <f>IFERROR(VLOOKUP($A48&amp;"="&amp;$B48,Results_Deltas!$A$2:$P$15000,5,FALSE),"")</f>
        <v/>
      </c>
      <c r="H48" s="56" t="inlineStr">
        <is>
          <t>Blanket (page end)</t>
        </is>
      </c>
    </row>
    <row r="49">
      <c r="A49" s="63" t="inlineStr">
        <is>
          <t>CRYPTO_SPIKE_FADE_THRESHOLD_PCT</t>
        </is>
      </c>
      <c r="B49" s="56" t="inlineStr">
        <is>
          <t>7.5</t>
        </is>
      </c>
      <c r="C49" s="56" t="n"/>
      <c r="D49" s="56" t="inlineStr">
        <is>
          <t>GLOBAL_CHECK, STOCKS_EXIT</t>
        </is>
      </c>
      <c r="E49" s="56">
        <f>IF(G49="",E48,IF(G49&gt;0,E48+G49,E48))</f>
        <v/>
      </c>
      <c r="G49" s="56">
        <f>IFERROR(VLOOKUP($A49&amp;"="&amp;$B49,Results_Deltas!$A$2:$P$15000,5,FALSE),"")</f>
        <v/>
      </c>
      <c r="H49" s="56" t="inlineStr">
        <is>
          <t>Blanket (page end)</t>
        </is>
      </c>
    </row>
    <row r="50">
      <c r="A50" s="63" t="inlineStr">
        <is>
          <t>CRYPTO_SPIKE_FADE_THRESHOLD_PCT</t>
        </is>
      </c>
      <c r="B50" s="56" t="inlineStr">
        <is>
          <t>5</t>
        </is>
      </c>
      <c r="C50" s="56" t="n"/>
      <c r="D50" s="56" t="inlineStr">
        <is>
          <t>GLOBAL_CHECK, STOCKS_EXIT</t>
        </is>
      </c>
      <c r="E50" s="56">
        <f>IF(G50="",E49,IF(G50&gt;0,E49+G50,E49))</f>
        <v/>
      </c>
      <c r="G50" s="56">
        <f>IFERROR(VLOOKUP($A50&amp;"="&amp;$B50,Results_Deltas!$A$2:$P$15000,5,FALSE),"")</f>
        <v/>
      </c>
      <c r="H50" s="56" t="inlineStr">
        <is>
          <t>Blanket (page end)</t>
        </is>
      </c>
    </row>
    <row r="51">
      <c r="A51" s="63" t="inlineStr">
        <is>
          <t>DC_MOMENT_STRONG_THRESHOLD</t>
        </is>
      </c>
      <c r="B51" s="56" t="inlineStr">
        <is>
          <t>40</t>
        </is>
      </c>
      <c r="C51" s="56" t="n"/>
      <c r="D51" s="56" t="inlineStr">
        <is>
          <t>ENTRY, GLOBAL_CHECK, STOCKS_EXIT</t>
        </is>
      </c>
      <c r="E51" s="56">
        <f>IF(G51="",E50,IF(G51&gt;0,E50+G51,E50))</f>
        <v/>
      </c>
      <c r="G51" s="56">
        <f>IFERROR(VLOOKUP($A51&amp;"="&amp;$B51,Results_Deltas!$A$2:$P$15000,5,FALSE),"")</f>
        <v/>
      </c>
      <c r="H51" s="56" t="inlineStr">
        <is>
          <t>Blanket (page end)</t>
        </is>
      </c>
    </row>
    <row r="52">
      <c r="A52" s="63" t="inlineStr">
        <is>
          <t>DC_MOMENT_STRONG_THRESHOLD</t>
        </is>
      </c>
      <c r="B52" s="56" t="inlineStr">
        <is>
          <t>50</t>
        </is>
      </c>
      <c r="C52" s="56" t="n"/>
      <c r="D52" s="56" t="inlineStr">
        <is>
          <t>ENTRY, GLOBAL_CHECK, STOCKS_EXIT</t>
        </is>
      </c>
      <c r="E52" s="56">
        <f>IF(G52="",E51,IF(G52&gt;0,E51+G52,E51))</f>
        <v/>
      </c>
      <c r="G52" s="56">
        <f>IFERROR(VLOOKUP($A52&amp;"="&amp;$B52,Results_Deltas!$A$2:$P$15000,5,FALSE),"")</f>
        <v/>
      </c>
      <c r="H52" s="56" t="inlineStr">
        <is>
          <t>Blanket (page end)</t>
        </is>
      </c>
    </row>
    <row r="53">
      <c r="A53" s="63" t="inlineStr">
        <is>
          <t>DC_MOMENT_STRONG_THRESHOLD</t>
        </is>
      </c>
      <c r="B53" s="56" t="inlineStr">
        <is>
          <t>30</t>
        </is>
      </c>
      <c r="C53" s="56" t="n"/>
      <c r="D53" s="56" t="inlineStr">
        <is>
          <t>ENTRY, GLOBAL_CHECK, STOCKS_EXIT</t>
        </is>
      </c>
      <c r="E53" s="56">
        <f>IF(G53="",E52,IF(G53&gt;0,E52+G53,E52))</f>
        <v/>
      </c>
      <c r="G53" s="56">
        <f>IFERROR(VLOOKUP($A53&amp;"="&amp;$B53,Results_Deltas!$A$2:$P$15000,5,FALSE),"")</f>
        <v/>
      </c>
      <c r="H53" s="56" t="inlineStr">
        <is>
          <t>Blanket (page end)</t>
        </is>
      </c>
    </row>
    <row r="54">
      <c r="A54" s="63" t="inlineStr">
        <is>
          <t>DC_MOMENT_STRONG_THRESHOLD</t>
        </is>
      </c>
      <c r="B54" s="56" t="inlineStr">
        <is>
          <t>20</t>
        </is>
      </c>
      <c r="C54" s="56" t="n"/>
      <c r="D54" s="56" t="inlineStr">
        <is>
          <t>ENTRY, GLOBAL_CHECK, STOCKS_EXIT</t>
        </is>
      </c>
      <c r="E54" s="56">
        <f>IF(G54="",E53,IF(G54&gt;0,E53+G54,E53))</f>
        <v/>
      </c>
      <c r="G54" s="56">
        <f>IFERROR(VLOOKUP($A54&amp;"="&amp;$B54,Results_Deltas!$A$2:$P$15000,5,FALSE),"")</f>
        <v/>
      </c>
      <c r="H54" s="56" t="inlineStr">
        <is>
          <t>Blanket (page end)</t>
        </is>
      </c>
    </row>
    <row r="55">
      <c r="A55" s="63" t="inlineStr">
        <is>
          <t>DELTA_HTF_GATE</t>
        </is>
      </c>
      <c r="B55" s="56" t="inlineStr">
        <is>
          <t>4h</t>
        </is>
      </c>
      <c r="C55" s="56" t="n"/>
      <c r="D55" s="56" t="inlineStr">
        <is>
          <t>ENTRY, GLOBAL_CHECK, STOCKS_EXIT</t>
        </is>
      </c>
      <c r="E55" s="56">
        <f>IF(G55="",E54,IF(G55&gt;0,E54+G55,E54))</f>
        <v/>
      </c>
      <c r="G55" s="56">
        <f>IFERROR(VLOOKUP($A55&amp;"="&amp;$B55,Results_Deltas!$A$2:$P$15000,5,FALSE),"")</f>
        <v/>
      </c>
      <c r="H55" s="56" t="inlineStr">
        <is>
          <t>Blanket (page end)</t>
        </is>
      </c>
    </row>
    <row r="56">
      <c r="A56" s="63" t="inlineStr">
        <is>
          <t>DELTA_HTF_GATE</t>
        </is>
      </c>
      <c r="B56" s="56" t="inlineStr">
        <is>
          <t>4h_ALT</t>
        </is>
      </c>
      <c r="C56" s="56" t="n"/>
      <c r="D56" s="56" t="inlineStr">
        <is>
          <t>ENTRY, GLOBAL_CHECK, STOCKS_EXIT</t>
        </is>
      </c>
      <c r="E56" s="56">
        <f>IF(G56="",E55,IF(G56&gt;0,E55+G56,E55))</f>
        <v/>
      </c>
      <c r="G56" s="56">
        <f>IFERROR(VLOOKUP($A56&amp;"="&amp;$B56,Results_Deltas!$A$2:$P$15000,5,FALSE),"")</f>
        <v/>
      </c>
      <c r="H56" s="56" t="inlineStr">
        <is>
          <t>Blanket (page end)</t>
        </is>
      </c>
    </row>
    <row r="57">
      <c r="A57" s="63" t="inlineStr">
        <is>
          <t>DELTA_REENTRY_FILTER_ENABLED</t>
        </is>
      </c>
      <c r="B57" s="56" t="inlineStr">
        <is>
          <t>False</t>
        </is>
      </c>
      <c r="C57" s="56" t="n"/>
      <c r="D57" s="56" t="inlineStr">
        <is>
          <t>ENTRY, GLOBAL_CHECK, STOCKS_EXIT</t>
        </is>
      </c>
      <c r="E57" s="56">
        <f>IF(G57="",E56,IF(G57&gt;0,E56+G57,E56))</f>
        <v/>
      </c>
      <c r="G57" s="56">
        <f>IFERROR(VLOOKUP($A57&amp;"="&amp;$B57,Results_Deltas!$A$2:$P$15000,5,FALSE),"")</f>
        <v/>
      </c>
      <c r="H57" s="56" t="inlineStr">
        <is>
          <t>Blanket (page end)</t>
        </is>
      </c>
    </row>
    <row r="58">
      <c r="A58" s="63" t="inlineStr">
        <is>
          <t>DELTA_REENTRY_FILTER_ENABLED</t>
        </is>
      </c>
      <c r="B58" s="56" t="inlineStr">
        <is>
          <t>True</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DUP_GUARD_FILTER_TF</t>
        </is>
      </c>
      <c r="B59" s="56" t="inlineStr">
        <is>
          <t>OFF</t>
        </is>
      </c>
      <c r="C59" s="56" t="n"/>
      <c r="D59" s="56" t="inlineStr">
        <is>
          <t>GLOBAL_CHECK</t>
        </is>
      </c>
      <c r="E59" s="56">
        <f>IF(G59="",E58,IF(G59&gt;0,E58+G59,E58))</f>
        <v/>
      </c>
      <c r="G59" s="56">
        <f>IFERROR(VLOOKUP($A59&amp;"="&amp;$B59,Results_Deltas!$A$2:$P$15000,5,FALSE),"")</f>
        <v/>
      </c>
      <c r="H59" s="56" t="inlineStr">
        <is>
          <t>Blanket (page end)</t>
        </is>
      </c>
    </row>
    <row r="60">
      <c r="A60" s="63" t="inlineStr">
        <is>
          <t>DUP_GUARD_FILTER_TF</t>
        </is>
      </c>
      <c r="B60" s="56" t="inlineStr">
        <is>
          <t>D</t>
        </is>
      </c>
      <c r="C60" s="56" t="n"/>
      <c r="D60" s="56" t="inlineStr">
        <is>
          <t>GLOBAL_CHECK</t>
        </is>
      </c>
      <c r="E60" s="56">
        <f>IF(G60="",E59,IF(G60&gt;0,E59+G60,E59))</f>
        <v/>
      </c>
      <c r="G60" s="56">
        <f>IFERROR(VLOOKUP($A60&amp;"="&amp;$B60,Results_Deltas!$A$2:$P$15000,5,FALSE),"")</f>
        <v/>
      </c>
      <c r="H60" s="56" t="inlineStr">
        <is>
          <t>Blanket (page end)</t>
        </is>
      </c>
    </row>
    <row r="61">
      <c r="A61" s="63" t="inlineStr">
        <is>
          <t>DUP_GUARD_FILTER_TF</t>
        </is>
      </c>
      <c r="B61" s="56" t="inlineStr">
        <is>
          <t>4h</t>
        </is>
      </c>
      <c r="C61" s="56" t="n"/>
      <c r="D61" s="56" t="inlineStr">
        <is>
          <t>GLOBAL_CHECK</t>
        </is>
      </c>
      <c r="E61" s="56">
        <f>IF(G61="",E60,IF(G61&gt;0,E60+G61,E60))</f>
        <v/>
      </c>
      <c r="G61" s="56">
        <f>IFERROR(VLOOKUP($A61&amp;"="&amp;$B61,Results_Deltas!$A$2:$P$15000,5,FALSE),"")</f>
        <v/>
      </c>
      <c r="H61" s="56" t="inlineStr">
        <is>
          <t>Blanket (page end)</t>
        </is>
      </c>
    </row>
    <row r="62">
      <c r="A62" s="63" t="inlineStr">
        <is>
          <t>DUP_GUARD_FILTER_TF</t>
        </is>
      </c>
      <c r="B62" s="56" t="inlineStr">
        <is>
          <t>1h</t>
        </is>
      </c>
      <c r="C62" s="56" t="n"/>
      <c r="D62" s="56" t="inlineStr">
        <is>
          <t>GLOBAL_CHECK</t>
        </is>
      </c>
      <c r="E62" s="56">
        <f>IF(G62="",E61,IF(G62&gt;0,E61+G62,E61))</f>
        <v/>
      </c>
      <c r="G62" s="56">
        <f>IFERROR(VLOOKUP($A62&amp;"="&amp;$B62,Results_Deltas!$A$2:$P$15000,5,FALSE),"")</f>
        <v/>
      </c>
      <c r="H62" s="56" t="inlineStr">
        <is>
          <t>Blanket (page end)</t>
        </is>
      </c>
    </row>
    <row r="63">
      <c r="A63" s="63" t="inlineStr">
        <is>
          <t>DUP_GUARD_FILTER_TF</t>
        </is>
      </c>
      <c r="B63" s="56" t="inlineStr">
        <is>
          <t>15m</t>
        </is>
      </c>
      <c r="C63" s="56" t="n"/>
      <c r="D63" s="56" t="inlineStr">
        <is>
          <t>GLOBAL_CHECK</t>
        </is>
      </c>
      <c r="E63" s="56">
        <f>IF(G63="",E62,IF(G63&gt;0,E62+G63,E62))</f>
        <v/>
      </c>
      <c r="G63" s="56">
        <f>IFERROR(VLOOKUP($A63&amp;"="&amp;$B63,Results_Deltas!$A$2:$P$15000,5,FALSE),"")</f>
        <v/>
      </c>
      <c r="H63" s="56" t="inlineStr">
        <is>
          <t>Blanket (page end)</t>
        </is>
      </c>
    </row>
    <row r="64">
      <c r="A64" s="63" t="inlineStr">
        <is>
          <t>EMA_9_21_FILTER_MIN_TFS</t>
        </is>
      </c>
      <c r="B64" s="56" t="inlineStr">
        <is>
          <t>0</t>
        </is>
      </c>
      <c r="C64" s="56" t="n"/>
      <c r="D64" s="56" t="inlineStr">
        <is>
          <t>GLOBAL_CHECK</t>
        </is>
      </c>
      <c r="E64" s="56">
        <f>IF(G64="",E63,IF(G64&gt;0,E63+G64,E63))</f>
        <v/>
      </c>
      <c r="G64" s="56">
        <f>IFERROR(VLOOKUP($A64&amp;"="&amp;$B64,Results_Deltas!$A$2:$P$15000,5,FALSE),"")</f>
        <v/>
      </c>
      <c r="H64" s="56" t="inlineStr">
        <is>
          <t>Blanket (page end)</t>
        </is>
      </c>
    </row>
    <row r="65">
      <c r="A65" s="63" t="inlineStr">
        <is>
          <t>EMA_9_21_FILTER_MIN_TFS</t>
        </is>
      </c>
      <c r="B65" s="56" t="inlineStr">
        <is>
          <t>2</t>
        </is>
      </c>
      <c r="C65" s="56" t="n"/>
      <c r="D65" s="56" t="inlineStr">
        <is>
          <t>GLOBAL_CHECK</t>
        </is>
      </c>
      <c r="E65" s="56">
        <f>IF(G65="",E64,IF(G65&gt;0,E64+G65,E64))</f>
        <v/>
      </c>
      <c r="G65" s="56">
        <f>IFERROR(VLOOKUP($A65&amp;"="&amp;$B65,Results_Deltas!$A$2:$P$15000,5,FALSE),"")</f>
        <v/>
      </c>
      <c r="H65" s="56" t="inlineStr">
        <is>
          <t>Blanket (page end)</t>
        </is>
      </c>
    </row>
    <row r="66">
      <c r="A66" s="63" t="inlineStr">
        <is>
          <t>EMA_9_21_FILTER_MIN_TFS</t>
        </is>
      </c>
      <c r="B66" s="56" t="inlineStr">
        <is>
          <t>1</t>
        </is>
      </c>
      <c r="C66" s="56" t="n"/>
      <c r="D66" s="56" t="inlineStr">
        <is>
          <t>GLOBAL_CHECK</t>
        </is>
      </c>
      <c r="E66" s="56">
        <f>IF(G66="",E65,IF(G66&gt;0,E65+G66,E65))</f>
        <v/>
      </c>
      <c r="G66" s="56">
        <f>IFERROR(VLOOKUP($A66&amp;"="&amp;$B66,Results_Deltas!$A$2:$P$15000,5,FALSE),"")</f>
        <v/>
      </c>
      <c r="H66" s="56" t="inlineStr">
        <is>
          <t>Blanket (page end)</t>
        </is>
      </c>
    </row>
    <row r="67">
      <c r="A67" s="63" t="inlineStr">
        <is>
          <t>EMA_BLANKET_FILTER_ENABLED</t>
        </is>
      </c>
      <c r="B67" s="56" t="inlineStr">
        <is>
          <t>False</t>
        </is>
      </c>
      <c r="C67" s="56" t="n"/>
      <c r="D67" s="56" t="inlineStr">
        <is>
          <t>GLOBAL_CHECK</t>
        </is>
      </c>
      <c r="E67" s="56">
        <f>IF(G67="",E66,IF(G67&gt;0,E66+G67,E66))</f>
        <v/>
      </c>
      <c r="G67" s="56">
        <f>IFERROR(VLOOKUP($A67&amp;"="&amp;$B67,Results_Deltas!$A$2:$P$15000,5,FALSE),"")</f>
        <v/>
      </c>
      <c r="H67" s="56" t="inlineStr">
        <is>
          <t>Blanket (page end)</t>
        </is>
      </c>
    </row>
    <row r="68">
      <c r="A68" s="63" t="inlineStr">
        <is>
          <t>EMA_BLANKET_FILTER_ENABLED</t>
        </is>
      </c>
      <c r="B68" s="56" t="inlineStr">
        <is>
          <t>True</t>
        </is>
      </c>
      <c r="C68" s="56" t="n"/>
      <c r="D68" s="56" t="inlineStr">
        <is>
          <t>GLOBAL_CHECK</t>
        </is>
      </c>
      <c r="E68" s="56">
        <f>IF(G68="",E67,IF(G68&gt;0,E67+G68,E67))</f>
        <v/>
      </c>
      <c r="G68" s="56">
        <f>IFERROR(VLOOKUP($A68&amp;"="&amp;$B68,Results_Deltas!$A$2:$P$15000,5,FALSE),"")</f>
        <v/>
      </c>
      <c r="H68" s="56" t="inlineStr">
        <is>
          <t>Blanket (page end)</t>
        </is>
      </c>
    </row>
    <row r="69">
      <c r="A69" s="63" t="inlineStr">
        <is>
          <t>EMA_BLANKET_FILTER_MIN_TFS</t>
        </is>
      </c>
      <c r="B69" s="56" t="inlineStr">
        <is>
          <t>0</t>
        </is>
      </c>
      <c r="C69" s="56" t="n"/>
      <c r="D69" s="56" t="inlineStr">
        <is>
          <t>GLOBAL_CHECK</t>
        </is>
      </c>
      <c r="E69" s="56">
        <f>IF(G69="",E68,IF(G69&gt;0,E68+G69,E68))</f>
        <v/>
      </c>
      <c r="G69" s="56">
        <f>IFERROR(VLOOKUP($A69&amp;"="&amp;$B69,Results_Deltas!$A$2:$P$15000,5,FALSE),"")</f>
        <v/>
      </c>
      <c r="H69" s="56" t="inlineStr">
        <is>
          <t>Blanket (page end)</t>
        </is>
      </c>
    </row>
    <row r="70">
      <c r="A70" s="63" t="inlineStr">
        <is>
          <t>EMA_BLANKET_FILTER_MIN_TFS</t>
        </is>
      </c>
      <c r="B70" s="56" t="inlineStr">
        <is>
          <t>2</t>
        </is>
      </c>
      <c r="C70" s="56" t="n"/>
      <c r="D70" s="56" t="inlineStr">
        <is>
          <t>GLOBAL_CHECK</t>
        </is>
      </c>
      <c r="E70" s="56">
        <f>IF(G70="",E69,IF(G70&gt;0,E69+G70,E69))</f>
        <v/>
      </c>
      <c r="G70" s="56">
        <f>IFERROR(VLOOKUP($A70&amp;"="&amp;$B70,Results_Deltas!$A$2:$P$15000,5,FALSE),"")</f>
        <v/>
      </c>
      <c r="H70" s="56" t="inlineStr">
        <is>
          <t>Blanket (page end)</t>
        </is>
      </c>
    </row>
    <row r="71">
      <c r="A71" s="63" t="inlineStr">
        <is>
          <t>EMA_BLANKET_FILTER_MIN_TFS</t>
        </is>
      </c>
      <c r="B71" s="56" t="inlineStr">
        <is>
          <t>1</t>
        </is>
      </c>
      <c r="C71" s="56" t="n"/>
      <c r="D71" s="56" t="inlineStr">
        <is>
          <t>GLOBAL_CHECK</t>
        </is>
      </c>
      <c r="E71" s="56">
        <f>IF(G71="",E70,IF(G71&gt;0,E70+G71,E70))</f>
        <v/>
      </c>
      <c r="G71" s="56">
        <f>IFERROR(VLOOKUP($A71&amp;"="&amp;$B71,Results_Deltas!$A$2:$P$15000,5,FALSE),"")</f>
        <v/>
      </c>
      <c r="H71" s="56" t="inlineStr">
        <is>
          <t>Blanket (page end)</t>
        </is>
      </c>
    </row>
    <row r="72">
      <c r="A72" s="63" t="inlineStr">
        <is>
          <t>EXECUTE_NOW_SINGLE_GATE_ENFORCE</t>
        </is>
      </c>
      <c r="B72" s="56" t="inlineStr">
        <is>
          <t>0.0</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EXECUTE_NOW_SINGLE_GATE_ENFORCE</t>
        </is>
      </c>
      <c r="B73" s="56" t="inlineStr">
        <is>
          <t>0.0_ALT</t>
        </is>
      </c>
      <c r="C73" s="56" t="n"/>
      <c r="D73" s="56" t="inlineStr">
        <is>
          <t>ENTRY, GLOBAL_CHECK, STOCKS_EXIT</t>
        </is>
      </c>
      <c r="E73" s="56">
        <f>IF(G73="",E72,IF(G73&gt;0,E72+G73,E72))</f>
        <v/>
      </c>
      <c r="G73" s="56">
        <f>IFERROR(VLOOKUP($A73&amp;"="&amp;$B73,Results_Deltas!$A$2:$P$15000,5,FALSE),"")</f>
        <v/>
      </c>
      <c r="H73" s="56" t="inlineStr">
        <is>
          <t>Blanket (page end)</t>
        </is>
      </c>
    </row>
    <row r="74">
      <c r="A74" s="63" t="inlineStr">
        <is>
          <t>EZ_MANAGE_THROTTLER_RATE</t>
        </is>
      </c>
      <c r="B74" s="56" t="inlineStr">
        <is>
          <t>0.0</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EZ_MANAGE_THROTTLER_RATE</t>
        </is>
      </c>
      <c r="B75" s="56" t="inlineStr">
        <is>
          <t>0.0_ALT</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FG_FEAR_THRESHOLD</t>
        </is>
      </c>
      <c r="B76" s="56" t="inlineStr">
        <is>
          <t>25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FG_FEAR_THRESHOLD</t>
        </is>
      </c>
      <c r="B77" s="56" t="inlineStr">
        <is>
          <t>31.25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FG_FEAR_THRESHOLD</t>
        </is>
      </c>
      <c r="B78" s="56" t="inlineStr">
        <is>
          <t>18.75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FG_FEAR_THRESHOLD</t>
        </is>
      </c>
      <c r="B79" s="56" t="inlineStr">
        <is>
          <t>12.5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FG_GREED_THRESHOLD</t>
        </is>
      </c>
      <c r="B80" s="56" t="inlineStr">
        <is>
          <t>75</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FG_GREED_THRESHOLD</t>
        </is>
      </c>
      <c r="B81" s="56" t="inlineStr">
        <is>
          <t>93.75</t>
        </is>
      </c>
      <c r="C81" s="56" t="n"/>
      <c r="D81" s="56" t="inlineStr">
        <is>
          <t>GLOBAL_CHECK, STOCKS_EXIT</t>
        </is>
      </c>
      <c r="E81" s="56">
        <f>IF(G81="",E80,IF(G81&gt;0,E80+G81,E80))</f>
        <v/>
      </c>
      <c r="G81" s="56">
        <f>IFERROR(VLOOKUP($A81&amp;"="&amp;$B81,Results_Deltas!$A$2:$P$15000,5,FALSE),"")</f>
        <v/>
      </c>
      <c r="H81" s="56" t="inlineStr">
        <is>
          <t>Blanket (page end)</t>
        </is>
      </c>
    </row>
    <row r="82">
      <c r="A82" s="63" t="inlineStr">
        <is>
          <t>FG_GREED_THRESHOLD</t>
        </is>
      </c>
      <c r="B82" s="56" t="inlineStr">
        <is>
          <t>56.25</t>
        </is>
      </c>
      <c r="C82" s="56" t="n"/>
      <c r="D82" s="56" t="inlineStr">
        <is>
          <t>GLOBAL_CHECK, STOCKS_EXIT</t>
        </is>
      </c>
      <c r="E82" s="56">
        <f>IF(G82="",E81,IF(G82&gt;0,E81+G82,E81))</f>
        <v/>
      </c>
      <c r="G82" s="56">
        <f>IFERROR(VLOOKUP($A82&amp;"="&amp;$B82,Results_Deltas!$A$2:$P$15000,5,FALSE),"")</f>
        <v/>
      </c>
      <c r="H82" s="56" t="inlineStr">
        <is>
          <t>Blanket (page end)</t>
        </is>
      </c>
    </row>
    <row r="83">
      <c r="A83" s="63" t="inlineStr">
        <is>
          <t>FG_GREED_THRESHOLD</t>
        </is>
      </c>
      <c r="B83" s="56" t="inlineStr">
        <is>
          <t>37.5</t>
        </is>
      </c>
      <c r="C83" s="56" t="n"/>
      <c r="D83" s="56" t="inlineStr">
        <is>
          <t>GLOBAL_CHECK, STOCKS_EXIT</t>
        </is>
      </c>
      <c r="E83" s="56">
        <f>IF(G83="",E82,IF(G83&gt;0,E82+G83,E82))</f>
        <v/>
      </c>
      <c r="G83" s="56">
        <f>IFERROR(VLOOKUP($A83&amp;"="&amp;$B83,Results_Deltas!$A$2:$P$15000,5,FALSE),"")</f>
        <v/>
      </c>
      <c r="H83" s="56" t="inlineStr">
        <is>
          <t>Blanket (page end)</t>
        </is>
      </c>
    </row>
    <row r="84">
      <c r="A84" s="63" t="inlineStr">
        <is>
          <t>FUNDING_GATE_FILTER_TF</t>
        </is>
      </c>
      <c r="B84" s="56" t="inlineStr">
        <is>
          <t>OFF</t>
        </is>
      </c>
      <c r="C84" s="56" t="n"/>
      <c r="D84" s="56" t="inlineStr">
        <is>
          <t>GLOBAL_CHECK</t>
        </is>
      </c>
      <c r="E84" s="56">
        <f>IF(G84="",E83,IF(G84&gt;0,E83+G84,E83))</f>
        <v/>
      </c>
      <c r="G84" s="56">
        <f>IFERROR(VLOOKUP($A84&amp;"="&amp;$B84,Results_Deltas!$A$2:$P$15000,5,FALSE),"")</f>
        <v/>
      </c>
      <c r="H84" s="56" t="inlineStr">
        <is>
          <t>Blanket (page end)</t>
        </is>
      </c>
    </row>
    <row r="85">
      <c r="A85" s="63" t="inlineStr">
        <is>
          <t>FUNDING_GATE_FILTER_TF</t>
        </is>
      </c>
      <c r="B85" s="56" t="inlineStr">
        <is>
          <t>D</t>
        </is>
      </c>
      <c r="C85" s="56" t="n"/>
      <c r="D85" s="56" t="inlineStr">
        <is>
          <t>GLOBAL_CHECK</t>
        </is>
      </c>
      <c r="E85" s="56">
        <f>IF(G85="",E84,IF(G85&gt;0,E84+G85,E84))</f>
        <v/>
      </c>
      <c r="G85" s="56">
        <f>IFERROR(VLOOKUP($A85&amp;"="&amp;$B85,Results_Deltas!$A$2:$P$15000,5,FALSE),"")</f>
        <v/>
      </c>
      <c r="H85" s="56" t="inlineStr">
        <is>
          <t>Blanket (page end)</t>
        </is>
      </c>
    </row>
    <row r="86">
      <c r="A86" s="63" t="inlineStr">
        <is>
          <t>FUNDING_GATE_FILTER_TF</t>
        </is>
      </c>
      <c r="B86" s="56" t="inlineStr">
        <is>
          <t>4h</t>
        </is>
      </c>
      <c r="C86" s="56" t="n"/>
      <c r="D86" s="56" t="inlineStr">
        <is>
          <t>GLOBAL_CHECK</t>
        </is>
      </c>
      <c r="E86" s="56">
        <f>IF(G86="",E85,IF(G86&gt;0,E85+G86,E85))</f>
        <v/>
      </c>
      <c r="G86" s="56">
        <f>IFERROR(VLOOKUP($A86&amp;"="&amp;$B86,Results_Deltas!$A$2:$P$15000,5,FALSE),"")</f>
        <v/>
      </c>
      <c r="H86" s="56" t="inlineStr">
        <is>
          <t>Blanket (page end)</t>
        </is>
      </c>
    </row>
    <row r="87">
      <c r="A87" s="63" t="inlineStr">
        <is>
          <t>FUNDING_GATE_FILTER_TF</t>
        </is>
      </c>
      <c r="B87" s="56" t="inlineStr">
        <is>
          <t>1h</t>
        </is>
      </c>
      <c r="C87" s="56" t="n"/>
      <c r="D87" s="56" t="inlineStr">
        <is>
          <t>GLOBAL_CHECK</t>
        </is>
      </c>
      <c r="E87" s="56">
        <f>IF(G87="",E86,IF(G87&gt;0,E86+G87,E86))</f>
        <v/>
      </c>
      <c r="G87" s="56">
        <f>IFERROR(VLOOKUP($A87&amp;"="&amp;$B87,Results_Deltas!$A$2:$P$15000,5,FALSE),"")</f>
        <v/>
      </c>
      <c r="H87" s="56" t="inlineStr">
        <is>
          <t>Blanket (page end)</t>
        </is>
      </c>
    </row>
    <row r="88">
      <c r="A88" s="63" t="inlineStr">
        <is>
          <t>FUNDING_GATE_FILTER_TF</t>
        </is>
      </c>
      <c r="B88" s="56" t="inlineStr">
        <is>
          <t>15m</t>
        </is>
      </c>
      <c r="C88" s="56" t="n"/>
      <c r="D88" s="56" t="inlineStr">
        <is>
          <t>GLOBAL_CHECK</t>
        </is>
      </c>
      <c r="E88" s="56">
        <f>IF(G88="",E87,IF(G88&gt;0,E87+G88,E87))</f>
        <v/>
      </c>
      <c r="G88" s="56">
        <f>IFERROR(VLOOKUP($A88&amp;"="&amp;$B88,Results_Deltas!$A$2:$P$15000,5,FALSE),"")</f>
        <v/>
      </c>
      <c r="H88" s="56" t="inlineStr">
        <is>
          <t>Blanket (page end)</t>
        </is>
      </c>
    </row>
    <row r="89">
      <c r="A89" s="63" t="inlineStr">
        <is>
          <t>FUNDING_GATE_LONG_MAX</t>
        </is>
      </c>
      <c r="B89" s="56" t="inlineStr">
        <is>
          <t>0.0</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FUNDING_GATE_LONG_MAX</t>
        </is>
      </c>
      <c r="B90" s="56" t="inlineStr">
        <is>
          <t>0.0_ALT</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FUNDING_GATE_MTF_REQUIRED</t>
        </is>
      </c>
      <c r="B91" s="56" t="inlineStr">
        <is>
          <t>0.0</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FUNDING_GATE_MTF_REQUIRED</t>
        </is>
      </c>
      <c r="B92" s="56" t="inlineStr">
        <is>
          <t>0.0_ALT</t>
        </is>
      </c>
      <c r="C92" s="56" t="n"/>
      <c r="D92" s="56" t="inlineStr">
        <is>
          <t>ENTRY, GLOBAL_CHECK, STOCKS_EXIT</t>
        </is>
      </c>
      <c r="E92" s="56">
        <f>IF(G92="",E91,IF(G92&gt;0,E91+G92,E91))</f>
        <v/>
      </c>
      <c r="G92" s="56">
        <f>IFERROR(VLOOKUP($A92&amp;"="&amp;$B92,Results_Deltas!$A$2:$P$15000,5,FALSE),"")</f>
        <v/>
      </c>
      <c r="H92" s="56" t="inlineStr">
        <is>
          <t>Blanket (page end)</t>
        </is>
      </c>
    </row>
    <row r="93">
      <c r="A93" s="63" t="inlineStr">
        <is>
          <t>FUNDING_GATE_SHORT_MIN</t>
        </is>
      </c>
      <c r="B93" s="56" t="inlineStr">
        <is>
          <t>0.0</t>
        </is>
      </c>
      <c r="C93" s="56" t="n"/>
      <c r="D93" s="56" t="inlineStr">
        <is>
          <t>ENTRY, GLOBAL_CHECK, STOCKS_EXIT</t>
        </is>
      </c>
      <c r="E93" s="56">
        <f>IF(G93="",E92,IF(G93&gt;0,E92+G93,E92))</f>
        <v/>
      </c>
      <c r="G93" s="56">
        <f>IFERROR(VLOOKUP($A93&amp;"="&amp;$B93,Results_Deltas!$A$2:$P$15000,5,FALSE),"")</f>
        <v/>
      </c>
      <c r="H93" s="56" t="inlineStr">
        <is>
          <t>Blanket (page end)</t>
        </is>
      </c>
    </row>
    <row r="94">
      <c r="A94" s="63" t="inlineStr">
        <is>
          <t>FUNDING_GATE_SHORT_MIN</t>
        </is>
      </c>
      <c r="B94" s="56" t="inlineStr">
        <is>
          <t>0.0_ALT</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GOLDEN_RULE_BASE_USD</t>
        </is>
      </c>
      <c r="B95" s="56" t="inlineStr">
        <is>
          <t>0.0</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GOLDEN_RULE_BASE_USD</t>
        </is>
      </c>
      <c r="B96" s="56" t="inlineStr">
        <is>
          <t>0.0_ALT</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GR_FILTER_ALL_ENTRIES</t>
        </is>
      </c>
      <c r="B97" s="56" t="inlineStr">
        <is>
          <t>0.0</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GR_FILTER_ALL_ENTRIES</t>
        </is>
      </c>
      <c r="B98" s="56" t="inlineStr">
        <is>
          <t>0.0_ALT</t>
        </is>
      </c>
      <c r="C98" s="56" t="n"/>
      <c r="D98" s="56" t="inlineStr">
        <is>
          <t>GLOBAL_CHECK, STOCKS_EXIT</t>
        </is>
      </c>
      <c r="E98" s="56">
        <f>IF(G98="",E97,IF(G98&gt;0,E97+G98,E97))</f>
        <v/>
      </c>
      <c r="G98" s="56">
        <f>IFERROR(VLOOKUP($A98&amp;"="&amp;$B98,Results_Deltas!$A$2:$P$15000,5,FALSE),"")</f>
        <v/>
      </c>
      <c r="H98" s="56" t="inlineStr">
        <is>
          <t>Blanket (page end)</t>
        </is>
      </c>
    </row>
    <row r="99">
      <c r="A99" s="63" t="inlineStr">
        <is>
          <t>GR_FILTER_VEC_ENABLED</t>
        </is>
      </c>
      <c r="B99" s="56" t="inlineStr">
        <is>
          <t>False</t>
        </is>
      </c>
      <c r="C99" s="56" t="n"/>
      <c r="D99" s="56" t="inlineStr">
        <is>
          <t>GLOBAL_CHECK</t>
        </is>
      </c>
      <c r="E99" s="56">
        <f>IF(G99="",E98,IF(G99&gt;0,E98+G99,E98))</f>
        <v/>
      </c>
      <c r="G99" s="56">
        <f>IFERROR(VLOOKUP($A99&amp;"="&amp;$B99,Results_Deltas!$A$2:$P$15000,5,FALSE),"")</f>
        <v/>
      </c>
      <c r="H99" s="56" t="inlineStr">
        <is>
          <t>Blanket (page end)</t>
        </is>
      </c>
    </row>
    <row r="100">
      <c r="A100" s="63" t="inlineStr">
        <is>
          <t>GR_FILTER_VEC_ENABLED</t>
        </is>
      </c>
      <c r="B100" s="56" t="inlineStr">
        <is>
          <t>True</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GR_FILTER_VEC_MIN_TFS</t>
        </is>
      </c>
      <c r="B101" s="56" t="inlineStr">
        <is>
          <t>0</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GR_FILTER_VEC_MIN_TFS</t>
        </is>
      </c>
      <c r="B102" s="56" t="inlineStr">
        <is>
          <t>2</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GR_FILTER_VEC_MIN_TFS</t>
        </is>
      </c>
      <c r="B103" s="56" t="inlineStr">
        <is>
          <t>1</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HA_WICK_QUALITY_ENABLED</t>
        </is>
      </c>
      <c r="B104" s="56" t="inlineStr">
        <is>
          <t>False</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HA_WICK_QUALITY_ENABLED</t>
        </is>
      </c>
      <c r="B105" s="56" t="inlineStr">
        <is>
          <t>True</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HA_WICK_QUALITY_SCORE</t>
        </is>
      </c>
      <c r="B106" s="56" t="inlineStr">
        <is>
          <t>15</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HA_WICK_QUALITY_SCORE</t>
        </is>
      </c>
      <c r="B107" s="56" t="inlineStr">
        <is>
          <t>15_ALT</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HA_WICK_QUALITY_TF</t>
        </is>
      </c>
      <c r="B108" s="56" t="inlineStr">
        <is>
          <t>OFF</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HA_WICK_QUALITY_TF</t>
        </is>
      </c>
      <c r="B109" s="56" t="inlineStr">
        <is>
          <t>D</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HA_WICK_QUALITY_TF</t>
        </is>
      </c>
      <c r="B110" s="56" t="inlineStr">
        <is>
          <t>4h</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HA_WICK_QUALITY_TF</t>
        </is>
      </c>
      <c r="B111" s="56" t="inlineStr">
        <is>
          <t>1h</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HA_WICK_QUALITY_TF</t>
        </is>
      </c>
      <c r="B112" s="56" t="inlineStr">
        <is>
          <t>15m</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HLR_SMA_BAND_PCT</t>
        </is>
      </c>
      <c r="B113" s="56" t="inlineStr">
        <is>
          <t>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HLR_SMA_BAND_PCT</t>
        </is>
      </c>
      <c r="B114" s="56" t="inlineStr">
        <is>
          <t>2.0</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HLR_SMA_BAND_PCT</t>
        </is>
      </c>
      <c r="B115" s="56" t="inlineStr">
        <is>
          <t>1.0</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HLR_SMA_BAND_PCT</t>
        </is>
      </c>
      <c r="B116" s="56" t="inlineStr">
        <is>
          <t>0.5</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HLR_TOP_MIN_TFS</t>
        </is>
      </c>
      <c r="B117" s="56" t="inlineStr">
        <is>
          <t>0</t>
        </is>
      </c>
      <c r="C117" s="56" t="n"/>
      <c r="D117" s="56" t="inlineStr">
        <is>
          <t>GLOBAL_CHECK, REENTRY, STOCKS_EXIT</t>
        </is>
      </c>
      <c r="E117" s="56">
        <f>IF(G117="",E116,IF(G117&gt;0,E116+G117,E116))</f>
        <v/>
      </c>
      <c r="G117" s="56">
        <f>IFERROR(VLOOKUP($A117&amp;"="&amp;$B117,Results_Deltas!$A$2:$P$15000,5,FALSE),"")</f>
        <v/>
      </c>
      <c r="H117" s="56" t="inlineStr">
        <is>
          <t>Blanket (page end)</t>
        </is>
      </c>
    </row>
    <row r="118">
      <c r="A118" s="63" t="inlineStr">
        <is>
          <t>HLR_TOP_MIN_TFS</t>
        </is>
      </c>
      <c r="B118" s="56" t="inlineStr">
        <is>
          <t>2</t>
        </is>
      </c>
      <c r="C118" s="56" t="n"/>
      <c r="D118" s="56" t="inlineStr">
        <is>
          <t>GLOBAL_CHECK, REENTRY, STOCKS_EXIT</t>
        </is>
      </c>
      <c r="E118" s="56">
        <f>IF(G118="",E117,IF(G118&gt;0,E117+G118,E117))</f>
        <v/>
      </c>
      <c r="G118" s="56">
        <f>IFERROR(VLOOKUP($A118&amp;"="&amp;$B118,Results_Deltas!$A$2:$P$15000,5,FALSE),"")</f>
        <v/>
      </c>
      <c r="H118" s="56" t="inlineStr">
        <is>
          <t>Blanket (page end)</t>
        </is>
      </c>
    </row>
    <row r="119">
      <c r="A119" s="63" t="inlineStr">
        <is>
          <t>HLR_TOP_MIN_TFS</t>
        </is>
      </c>
      <c r="B119" s="56" t="inlineStr">
        <is>
          <t>1</t>
        </is>
      </c>
      <c r="C119" s="56" t="n"/>
      <c r="D119" s="56" t="inlineStr">
        <is>
          <t>GLOBAL_CHECK, REENTRY, STOCKS_EXIT</t>
        </is>
      </c>
      <c r="E119" s="56">
        <f>IF(G119="",E118,IF(G119&gt;0,E118+G119,E118))</f>
        <v/>
      </c>
      <c r="G119" s="56">
        <f>IFERROR(VLOOKUP($A119&amp;"="&amp;$B119,Results_Deltas!$A$2:$P$15000,5,FALSE),"")</f>
        <v/>
      </c>
      <c r="H119" s="56" t="inlineStr">
        <is>
          <t>Blanket (page end)</t>
        </is>
      </c>
    </row>
    <row r="120">
      <c r="A120" s="63" t="inlineStr">
        <is>
          <t>HTF4_CONF</t>
        </is>
      </c>
      <c r="B120" s="56" t="inlineStr">
        <is>
          <t>False</t>
        </is>
      </c>
      <c r="C120" s="56" t="n"/>
      <c r="D120" s="56" t="inlineStr">
        <is>
          <t>GLOBAL_CHECK, STOCKS_EXIT</t>
        </is>
      </c>
      <c r="E120" s="56">
        <f>IF(G120="",E119,IF(G120&gt;0,E119+G120,E119))</f>
        <v/>
      </c>
      <c r="G120" s="56">
        <f>IFERROR(VLOOKUP($A120&amp;"="&amp;$B120,Results_Deltas!$A$2:$P$15000,5,FALSE),"")</f>
        <v/>
      </c>
      <c r="H120" s="56" t="inlineStr">
        <is>
          <t>Blanket (page end)</t>
        </is>
      </c>
    </row>
    <row r="121">
      <c r="A121" s="63" t="inlineStr">
        <is>
          <t>HTF4_CONF</t>
        </is>
      </c>
      <c r="B121" s="56" t="inlineStr">
        <is>
          <t>False_ALT</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HTF_DIRECTION_GATE_ENABLED</t>
        </is>
      </c>
      <c r="B122" s="56" t="inlineStr">
        <is>
          <t>False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HTF_DIRECTION_GATE_ENABLED</t>
        </is>
      </c>
      <c r="B123" s="56" t="inlineStr">
        <is>
          <t>True</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HTF_GATE_BYPASS_RZ</t>
        </is>
      </c>
      <c r="B124" s="56" t="inlineStr">
        <is>
          <t>0.0</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HTF_GATE_BYPASS_RZ</t>
        </is>
      </c>
      <c r="B125" s="56" t="inlineStr">
        <is>
          <t>0.0_ALT</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HTF_GATE_D_MANDATORY</t>
        </is>
      </c>
      <c r="B126" s="56" t="inlineStr">
        <is>
          <t>0.0</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HTF_GATE_D_MANDATORY</t>
        </is>
      </c>
      <c r="B127" s="56" t="inlineStr">
        <is>
          <t>0.0_ALT</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HTF_GATE_MIN_CONFIRMATIONS</t>
        </is>
      </c>
      <c r="B128" s="56" t="inlineStr">
        <is>
          <t>0.0</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HTF_GATE_MIN_CONFIRMATIONS</t>
        </is>
      </c>
      <c r="B129" s="56" t="inlineStr">
        <is>
          <t>0.0_ALT</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HTF_TREND_VETO_BYPASS_ENABLED</t>
        </is>
      </c>
      <c r="B130" s="56" t="inlineStr">
        <is>
          <t>False</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HTF_TREND_VETO_BYPASS_ENABLED</t>
        </is>
      </c>
      <c r="B131" s="56" t="inlineStr">
        <is>
          <t>True</t>
        </is>
      </c>
      <c r="C131" s="56" t="n"/>
      <c r="D131" s="56" t="inlineStr">
        <is>
          <t>GLOBAL_CHECK, STOCKS_EXIT</t>
        </is>
      </c>
      <c r="E131" s="56">
        <f>IF(G131="",E130,IF(G131&gt;0,E130+G131,E130))</f>
        <v/>
      </c>
      <c r="G131" s="56">
        <f>IFERROR(VLOOKUP($A131&amp;"="&amp;$B131,Results_Deltas!$A$2:$P$15000,5,FALSE),"")</f>
        <v/>
      </c>
      <c r="H131" s="56" t="inlineStr">
        <is>
          <t>Blanket (page end)</t>
        </is>
      </c>
    </row>
    <row r="132">
      <c r="A132" s="63" t="inlineStr">
        <is>
          <t>HTF_TREND_VETO_BYPASS_REASONS</t>
        </is>
      </c>
      <c r="B132" s="56" t="inlineStr">
        <is>
          <t>0.0</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HTF_TREND_VETO_BYPASS_REASONS</t>
        </is>
      </c>
      <c r="B133" s="56" t="inlineStr">
        <is>
          <t>0.0_ALT</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LEADERBOARD_FILTER</t>
        </is>
      </c>
      <c r="B134" s="56" t="inlineStr">
        <is>
          <t>False</t>
        </is>
      </c>
      <c r="C134" s="56" t="n"/>
      <c r="D134" s="56" t="inlineStr">
        <is>
          <t>AUGMENT, ENTRY, EXIT, GLOBAL_CHECK, REDUCE, STOCKS_EXIT</t>
        </is>
      </c>
      <c r="E134" s="56">
        <f>IF(G134="",E133,IF(G134&gt;0,E133+G134,E133))</f>
        <v/>
      </c>
      <c r="G134" s="56">
        <f>IFERROR(VLOOKUP($A134&amp;"="&amp;$B134,Results_Deltas!$A$2:$P$15000,5,FALSE),"")</f>
        <v/>
      </c>
      <c r="H134" s="56" t="inlineStr">
        <is>
          <t>Blanket (page end)</t>
        </is>
      </c>
    </row>
    <row r="135">
      <c r="A135" s="63" t="inlineStr">
        <is>
          <t>LEADERBOARD_FILTER</t>
        </is>
      </c>
      <c r="B135" s="56" t="inlineStr">
        <is>
          <t>False_ALT</t>
        </is>
      </c>
      <c r="C135" s="56" t="n"/>
      <c r="D135" s="56" t="inlineStr">
        <is>
          <t>AUGMENT, ENTRY, EXIT, GLOBAL_CHECK, REDUCE, STOCKS_EXIT</t>
        </is>
      </c>
      <c r="E135" s="56">
        <f>IF(G135="",E134,IF(G135&gt;0,E134+G135,E134))</f>
        <v/>
      </c>
      <c r="G135" s="56">
        <f>IFERROR(VLOOKUP($A135&amp;"="&amp;$B135,Results_Deltas!$A$2:$P$15000,5,FALSE),"")</f>
        <v/>
      </c>
      <c r="H135" s="56" t="inlineStr">
        <is>
          <t>Blanket (page end)</t>
        </is>
      </c>
    </row>
    <row r="136">
      <c r="A136" s="63" t="inlineStr">
        <is>
          <t>LH_HL_FILTER_ENABLED</t>
        </is>
      </c>
      <c r="B136" s="56" t="inlineStr">
        <is>
          <t>False</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LH_HL_FILTER_ENABLED</t>
        </is>
      </c>
      <c r="B137" s="56" t="inlineStr">
        <is>
          <t>True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LH_HL_FILTER_MODE</t>
        </is>
      </c>
      <c r="B138" s="56" t="inlineStr">
        <is>
          <t>STRICT_2BAR</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LH_HL_FILTER_MODE</t>
        </is>
      </c>
      <c r="B139" s="56" t="inlineStr">
        <is>
          <t>STRICT_2BAR_ALT</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LH_HL_FILTER_REQUIRE_BOTH</t>
        </is>
      </c>
      <c r="B140" s="56" t="inlineStr">
        <is>
          <t>False</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LH_HL_FILTER_REQUIRE_BOTH</t>
        </is>
      </c>
      <c r="B141" s="56" t="inlineStr">
        <is>
          <t>False_ALT</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LIVE_VEC_EMERGENCY_BRAKE_ENABLED</t>
        </is>
      </c>
      <c r="B142" s="56" t="inlineStr">
        <is>
          <t>False</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LIVE_VEC_EMERGENCY_BRAKE_ENABLED</t>
        </is>
      </c>
      <c r="B143" s="56" t="inlineStr">
        <is>
          <t>True</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LR_BAND_LADDER_STOCH_EXTREME</t>
        </is>
      </c>
      <c r="B144" s="56" t="inlineStr">
        <is>
          <t>30.0</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LR_BAND_LADDER_STOCH_EXTREME</t>
        </is>
      </c>
      <c r="B145" s="56" t="inlineStr">
        <is>
          <t>30.0_ALT</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LR_BAND_LADDER_TF_BOTTOM</t>
        </is>
      </c>
      <c r="B146" s="56" t="inlineStr">
        <is>
          <t>0</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LR_BAND_LADDER_TF_BOTTOM</t>
        </is>
      </c>
      <c r="B147" s="56" t="inlineStr">
        <is>
          <t>1</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LR_BAND_LADDER_TF_TOP</t>
        </is>
      </c>
      <c r="B148" s="56" t="inlineStr">
        <is>
          <t>0</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LR_BAND_LADDER_TF_TOP</t>
        </is>
      </c>
      <c r="B149" s="56" t="inlineStr">
        <is>
          <t>1</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MANDATORY_REENTRY_WT_FILTER_MIN_TFS</t>
        </is>
      </c>
      <c r="B150" s="56" t="inlineStr">
        <is>
          <t>1</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MANDATORY_REENTRY_WT_FILTER_MIN_TFS</t>
        </is>
      </c>
      <c r="B151" s="56" t="inlineStr">
        <is>
          <t>3</t>
        </is>
      </c>
      <c r="C151" s="56" t="n"/>
      <c r="D151" s="56" t="inlineStr">
        <is>
          <t>GLOBAL_CHECK, STOCKS_EXIT</t>
        </is>
      </c>
      <c r="E151" s="56">
        <f>IF(G151="",E150,IF(G151&gt;0,E150+G151,E150))</f>
        <v/>
      </c>
      <c r="G151" s="56">
        <f>IFERROR(VLOOKUP($A151&amp;"="&amp;$B151,Results_Deltas!$A$2:$P$15000,5,FALSE),"")</f>
        <v/>
      </c>
      <c r="H151" s="56" t="inlineStr">
        <is>
          <t>Blanket (page end)</t>
        </is>
      </c>
    </row>
    <row r="152">
      <c r="A152" s="63" t="inlineStr">
        <is>
          <t>MANDATORY_REENTRY_WT_FILTER_MIN_TFS</t>
        </is>
      </c>
      <c r="B152" s="56" t="inlineStr">
        <is>
          <t>2</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MANDATORY_REENTRY_WT_FILTER_MIN_VELOCITY</t>
        </is>
      </c>
      <c r="B153" s="56" t="inlineStr">
        <is>
          <t>0.0</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MANDATORY_REENTRY_WT_FILTER_MIN_VELOCITY</t>
        </is>
      </c>
      <c r="B154" s="56" t="inlineStr">
        <is>
          <t>0.0_ALT</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MANDATORY_REENTRY_WT_FILTER_REQUIRE_FLIP</t>
        </is>
      </c>
      <c r="B155" s="56" t="inlineStr">
        <is>
          <t>False</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MANDATORY_REENTRY_WT_FILTER_REQUIRE_FLIP</t>
        </is>
      </c>
      <c r="B156" s="56" t="inlineStr">
        <is>
          <t>False_ALT</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MANDATORY_REENTRY_WT_FILTER_VELOCITY_RATIO</t>
        </is>
      </c>
      <c r="B157" s="56" t="inlineStr">
        <is>
          <t>0.90</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MANDATORY_REENTRY_WT_FILTER_VELOCITY_RATIO</t>
        </is>
      </c>
      <c r="B158" s="56" t="inlineStr">
        <is>
          <t>0.90_ALT</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MARKET_QUALITY_SCORE_ENABLED</t>
        </is>
      </c>
      <c r="B159" s="56" t="inlineStr">
        <is>
          <t>False</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MARKET_QUALITY_SCORE_ENABLED</t>
        </is>
      </c>
      <c r="B160" s="56" t="inlineStr">
        <is>
          <t>True</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MI_TF_AGREE_MIN</t>
        </is>
      </c>
      <c r="B161" s="56" t="inlineStr">
        <is>
          <t>0.0</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MI_TF_AGREE_MIN</t>
        </is>
      </c>
      <c r="B162" s="56" t="inlineStr">
        <is>
          <t>0.0_ALT</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MOVER_THRESHOLD</t>
        </is>
      </c>
      <c r="B163" s="56" t="inlineStr">
        <is>
          <t>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MOVER_THRESHOLD</t>
        </is>
      </c>
      <c r="B164" s="56" t="inlineStr">
        <is>
          <t>6.25</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MOVER_THRESHOLD</t>
        </is>
      </c>
      <c r="B165" s="56" t="inlineStr">
        <is>
          <t>3.75</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MOVER_THRESHOLD</t>
        </is>
      </c>
      <c r="B166" s="56" t="inlineStr">
        <is>
          <t>2.5</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MTF_FILTER_STRONG_BUY_QUICK_BYPASS</t>
        </is>
      </c>
      <c r="B167" s="56" t="inlineStr">
        <is>
          <t>0.0</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MTF_FILTER_STRONG_BUY_QUICK_BYPASS</t>
        </is>
      </c>
      <c r="B168" s="56" t="inlineStr">
        <is>
          <t>0.0_ALT</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MTF_GR_MIN_IND</t>
        </is>
      </c>
      <c r="B169" s="56" t="inlineStr">
        <is>
          <t>5</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MTF_GR_MIN_IND</t>
        </is>
      </c>
      <c r="B170" s="56" t="inlineStr">
        <is>
          <t>5_ALT</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MTS_BOTTOM_BONUS_THRESHOLD</t>
        </is>
      </c>
      <c r="B171" s="56" t="inlineStr">
        <is>
          <t>25</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MTS_BOTTOM_BONUS_THRESHOLD</t>
        </is>
      </c>
      <c r="B172" s="56" t="inlineStr">
        <is>
          <t>31.25</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MTS_BOTTOM_BONUS_THRESHOLD</t>
        </is>
      </c>
      <c r="B173" s="56" t="inlineStr">
        <is>
          <t>18.75</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MTS_BOTTOM_BONUS_THRESHOLD</t>
        </is>
      </c>
      <c r="B174" s="56" t="inlineStr">
        <is>
          <t>12.5</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MTS_BOTTOM_STRONG_THRESHOLD</t>
        </is>
      </c>
      <c r="B175" s="56" t="inlineStr">
        <is>
          <t>40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MTS_BOTTOM_STRONG_THRESHOLD</t>
        </is>
      </c>
      <c r="B176" s="56" t="inlineStr">
        <is>
          <t>50</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MTS_BOTTOM_STRONG_THRESHOLD</t>
        </is>
      </c>
      <c r="B177" s="56" t="inlineStr">
        <is>
          <t>30</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MTS_BOTTOM_STRONG_THRESHOLD</t>
        </is>
      </c>
      <c r="B178" s="56" t="inlineStr">
        <is>
          <t>20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MTS_GATE_ENABLED</t>
        </is>
      </c>
      <c r="B179" s="56" t="inlineStr">
        <is>
          <t>False</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MTS_GATE_ENABLED</t>
        </is>
      </c>
      <c r="B180" s="56" t="inlineStr">
        <is>
          <t>True</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NEWBORN_LOSS_KILL_GAIN_THRESHOLD_PCT</t>
        </is>
      </c>
      <c r="B181" s="56" t="inlineStr">
        <is>
          <t>0</t>
        </is>
      </c>
      <c r="C181" s="56" t="n"/>
      <c r="D181" s="56" t="inlineStr">
        <is>
          <t>AUGMENT, EXIT, GLOBAL_CHECK, REDUCE, STOCKS_EXIT</t>
        </is>
      </c>
      <c r="E181" s="56">
        <f>IF(G181="",E180,IF(G181&gt;0,E180+G181,E180))</f>
        <v/>
      </c>
      <c r="G181" s="56">
        <f>IFERROR(VLOOKUP($A181&amp;"="&amp;$B181,Results_Deltas!$A$2:$P$15000,5,FALSE),"")</f>
        <v/>
      </c>
      <c r="H181" s="56" t="inlineStr">
        <is>
          <t>Blanket (page end)</t>
        </is>
      </c>
    </row>
    <row r="182">
      <c r="A182" s="63" t="inlineStr">
        <is>
          <t>NEWBORN_LOSS_KILL_GAIN_THRESHOLD_PCT</t>
        </is>
      </c>
      <c r="B182" s="56" t="inlineStr">
        <is>
          <t>2.0</t>
        </is>
      </c>
      <c r="C182" s="56" t="n"/>
      <c r="D182" s="56" t="inlineStr">
        <is>
          <t>AUGMENT, EXIT, GLOBAL_CHECK, REDUCE, STOCKS_EXIT</t>
        </is>
      </c>
      <c r="E182" s="56">
        <f>IF(G182="",E181,IF(G182&gt;0,E181+G182,E181))</f>
        <v/>
      </c>
      <c r="G182" s="56">
        <f>IFERROR(VLOOKUP($A182&amp;"="&amp;$B182,Results_Deltas!$A$2:$P$15000,5,FALSE),"")</f>
        <v/>
      </c>
      <c r="H182" s="56" t="inlineStr">
        <is>
          <t>Blanket (page end)</t>
        </is>
      </c>
    </row>
    <row r="183">
      <c r="A183" s="63" t="inlineStr">
        <is>
          <t>NEWBORN_LOSS_KILL_GAIN_THRESHOLD_PCT</t>
        </is>
      </c>
      <c r="B183" s="56" t="inlineStr">
        <is>
          <t>1.0</t>
        </is>
      </c>
      <c r="C183" s="56" t="n"/>
      <c r="D183" s="56" t="inlineStr">
        <is>
          <t>AUGMENT, EXIT, GLOBAL_CHECK, REDUCE, STOCKS_EXIT</t>
        </is>
      </c>
      <c r="E183" s="56">
        <f>IF(G183="",E182,IF(G183&gt;0,E182+G183,E182))</f>
        <v/>
      </c>
      <c r="G183" s="56">
        <f>IFERROR(VLOOKUP($A183&amp;"="&amp;$B183,Results_Deltas!$A$2:$P$15000,5,FALSE),"")</f>
        <v/>
      </c>
      <c r="H183" s="56" t="inlineStr">
        <is>
          <t>Blanket (page end)</t>
        </is>
      </c>
    </row>
    <row r="184">
      <c r="A184" s="63" t="inlineStr">
        <is>
          <t>NEWBORN_LOSS_KILL_GAIN_THRESHOLD_PCT</t>
        </is>
      </c>
      <c r="B184" s="56" t="inlineStr">
        <is>
          <t>0.5</t>
        </is>
      </c>
      <c r="C184" s="56" t="n"/>
      <c r="D184" s="56" t="inlineStr">
        <is>
          <t>AUGMENT, EXIT, GLOBAL_CHECK, REDUCE, STOCKS_EXIT</t>
        </is>
      </c>
      <c r="E184" s="56">
        <f>IF(G184="",E183,IF(G184&gt;0,E183+G184,E183))</f>
        <v/>
      </c>
      <c r="G184" s="56">
        <f>IFERROR(VLOOKUP($A184&amp;"="&amp;$B184,Results_Deltas!$A$2:$P$15000,5,FALSE),"")</f>
        <v/>
      </c>
      <c r="H184" s="56" t="inlineStr">
        <is>
          <t>Blanket (page end)</t>
        </is>
      </c>
    </row>
    <row r="185">
      <c r="A185" s="63" t="inlineStr">
        <is>
          <t>NEWBORN_LOSS_KILL_REQUIRE_VEL_AGAINST</t>
        </is>
      </c>
      <c r="B185" s="56" t="inlineStr">
        <is>
          <t>0.0</t>
        </is>
      </c>
      <c r="C185" s="56" t="n"/>
      <c r="D185" s="56" t="inlineStr">
        <is>
          <t>AUGMENT, EXIT, GLOBAL_CHECK, REDUCE, STOCKS_EXIT</t>
        </is>
      </c>
      <c r="E185" s="56">
        <f>IF(G185="",E184,IF(G185&gt;0,E184+G185,E184))</f>
        <v/>
      </c>
      <c r="G185" s="56">
        <f>IFERROR(VLOOKUP($A185&amp;"="&amp;$B185,Results_Deltas!$A$2:$P$15000,5,FALSE),"")</f>
        <v/>
      </c>
      <c r="H185" s="56" t="inlineStr">
        <is>
          <t>Blanket (page end)</t>
        </is>
      </c>
    </row>
    <row r="186">
      <c r="A186" s="63" t="inlineStr">
        <is>
          <t>NEWBORN_LOSS_KILL_REQUIRE_VEL_AGAINST</t>
        </is>
      </c>
      <c r="B186" s="56" t="inlineStr">
        <is>
          <t>0.0_ALT</t>
        </is>
      </c>
      <c r="C186" s="56" t="n"/>
      <c r="D186" s="56" t="inlineStr">
        <is>
          <t>AUGMENT, EXIT, GLOBAL_CHECK, REDUCE, STOCKS_EXIT</t>
        </is>
      </c>
      <c r="E186" s="56">
        <f>IF(G186="",E185,IF(G186&gt;0,E185+G186,E185))</f>
        <v/>
      </c>
      <c r="G186" s="56">
        <f>IFERROR(VLOOKUP($A186&amp;"="&amp;$B186,Results_Deltas!$A$2:$P$15000,5,FALSE),"")</f>
        <v/>
      </c>
      <c r="H186" s="56" t="inlineStr">
        <is>
          <t>Blanket (page end)</t>
        </is>
      </c>
    </row>
    <row r="187">
      <c r="A187" s="63" t="inlineStr">
        <is>
          <t>NEW_POSITION_MAX_LOSS_THRESHOLD</t>
        </is>
      </c>
      <c r="B187" s="56" t="inlineStr">
        <is>
          <t>0</t>
        </is>
      </c>
      <c r="C187" s="56" t="n"/>
      <c r="D187" s="56" t="inlineStr">
        <is>
          <t>AUGMENT, EXIT, GLOBAL_CHECK, REDUCE, STOCKS_EXIT</t>
        </is>
      </c>
      <c r="E187" s="56">
        <f>IF(G187="",E186,IF(G187&gt;0,E186+G187,E186))</f>
        <v/>
      </c>
      <c r="G187" s="56">
        <f>IFERROR(VLOOKUP($A187&amp;"="&amp;$B187,Results_Deltas!$A$2:$P$15000,5,FALSE),"")</f>
        <v/>
      </c>
      <c r="H187" s="56" t="inlineStr">
        <is>
          <t>Blanket (page end)</t>
        </is>
      </c>
    </row>
    <row r="188">
      <c r="A188" s="63" t="inlineStr">
        <is>
          <t>NEW_POSITION_MAX_LOSS_THRESHOLD</t>
        </is>
      </c>
      <c r="B188" s="56" t="inlineStr">
        <is>
          <t>2.0</t>
        </is>
      </c>
      <c r="C188" s="56" t="n"/>
      <c r="D188" s="56" t="inlineStr">
        <is>
          <t>AUGMENT, EXIT, GLOBAL_CHECK, REDUCE, STOCKS_EXIT</t>
        </is>
      </c>
      <c r="E188" s="56">
        <f>IF(G188="",E187,IF(G188&gt;0,E187+G188,E187))</f>
        <v/>
      </c>
      <c r="G188" s="56">
        <f>IFERROR(VLOOKUP($A188&amp;"="&amp;$B188,Results_Deltas!$A$2:$P$15000,5,FALSE),"")</f>
        <v/>
      </c>
      <c r="H188" s="56" t="inlineStr">
        <is>
          <t>Blanket (page end)</t>
        </is>
      </c>
    </row>
    <row r="189">
      <c r="A189" s="63" t="inlineStr">
        <is>
          <t>NEW_POSITION_MAX_LOSS_THRESHOLD</t>
        </is>
      </c>
      <c r="B189" s="56" t="inlineStr">
        <is>
          <t>1.0</t>
        </is>
      </c>
      <c r="C189" s="56" t="n"/>
      <c r="D189" s="56" t="inlineStr">
        <is>
          <t>AUGMENT, EXIT, GLOBAL_CHECK, REDUCE, STOCKS_EXIT</t>
        </is>
      </c>
      <c r="E189" s="56">
        <f>IF(G189="",E188,IF(G189&gt;0,E188+G189,E188))</f>
        <v/>
      </c>
      <c r="G189" s="56">
        <f>IFERROR(VLOOKUP($A189&amp;"="&amp;$B189,Results_Deltas!$A$2:$P$15000,5,FALSE),"")</f>
        <v/>
      </c>
      <c r="H189" s="56" t="inlineStr">
        <is>
          <t>Blanket (page end)</t>
        </is>
      </c>
    </row>
    <row r="190">
      <c r="A190" s="63" t="inlineStr">
        <is>
          <t>NEW_POSITION_MAX_LOSS_THRESHOLD</t>
        </is>
      </c>
      <c r="B190" s="56" t="inlineStr">
        <is>
          <t>0.5</t>
        </is>
      </c>
      <c r="C190" s="56" t="n"/>
      <c r="D190" s="56" t="inlineStr">
        <is>
          <t>AUGMENT, EXIT, GLOBAL_CHECK, REDUCE, STOCKS_EXIT</t>
        </is>
      </c>
      <c r="E190" s="56">
        <f>IF(G190="",E189,IF(G190&gt;0,E189+G190,E189))</f>
        <v/>
      </c>
      <c r="G190" s="56">
        <f>IFERROR(VLOOKUP($A190&amp;"="&amp;$B190,Results_Deltas!$A$2:$P$15000,5,FALSE),"")</f>
        <v/>
      </c>
      <c r="H190" s="56" t="inlineStr">
        <is>
          <t>Blanket (page end)</t>
        </is>
      </c>
    </row>
    <row r="191">
      <c r="A191" s="63" t="inlineStr">
        <is>
          <t>OI_CONFIRM_ENABLED</t>
        </is>
      </c>
      <c r="B191" s="56" t="inlineStr">
        <is>
          <t>False</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OI_CONFIRM_ENABLED</t>
        </is>
      </c>
      <c r="B192" s="56" t="inlineStr">
        <is>
          <t>True</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OI_CONFIRM_MIN_CHANGE_PCT</t>
        </is>
      </c>
      <c r="B193" s="56" t="inlineStr">
        <is>
          <t>0</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OI_CONFIRM_MIN_CHANGE_PCT</t>
        </is>
      </c>
      <c r="B194" s="56" t="inlineStr">
        <is>
          <t>2.0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OI_CONFIRM_MIN_CHANGE_PCT</t>
        </is>
      </c>
      <c r="B195" s="56" t="inlineStr">
        <is>
          <t>1.0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OI_CONFIRM_MIN_CHANGE_PCT</t>
        </is>
      </c>
      <c r="B196" s="56" t="inlineStr">
        <is>
          <t>0.5</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OI_CONFIRM_MIN_PRICE_PCT</t>
        </is>
      </c>
      <c r="B197" s="56" t="inlineStr">
        <is>
          <t>0</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OI_CONFIRM_MIN_PRICE_PCT</t>
        </is>
      </c>
      <c r="B198" s="56" t="inlineStr">
        <is>
          <t>2.0</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OI_CONFIRM_MIN_PRICE_PCT</t>
        </is>
      </c>
      <c r="B199" s="56" t="inlineStr">
        <is>
          <t>1.0</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OI_CONFIRM_MIN_PRICE_PCT</t>
        </is>
      </c>
      <c r="B200" s="56" t="inlineStr">
        <is>
          <t>0.5</t>
        </is>
      </c>
      <c r="C200" s="56" t="n"/>
      <c r="D200" s="56" t="inlineStr">
        <is>
          <t>ENTRY, GLOBAL_CHECK, STOCKS_EXIT</t>
        </is>
      </c>
      <c r="E200" s="56">
        <f>IF(G200="",E199,IF(G200&gt;0,E199+G200,E199))</f>
        <v/>
      </c>
      <c r="G200" s="56">
        <f>IFERROR(VLOOKUP($A200&amp;"="&amp;$B200,Results_Deltas!$A$2:$P$15000,5,FALSE),"")</f>
        <v/>
      </c>
      <c r="H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s="65"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row>
    <row r="3">
      <c r="A3" t="inlineStr">
        <is>
          <t>STDEV_SLOPE_SIZING_ENABLED</t>
        </is>
      </c>
      <c r="B3" t="b">
        <v>1</v>
      </c>
      <c r="D3" t="inlineStr">
        <is>
          <t>STDEV_LADDER</t>
        </is>
      </c>
      <c r="E3">
        <f>MAX('ENTRY_REVERSAL_BOUNCE'!E:E)</f>
        <v/>
      </c>
      <c r="G3">
        <f>IFERROR(VLOOKUP($A3&amp;"="&amp;$B3,Results_Deltas!$A$2:$P$15000,5,FALSE),"")</f>
        <v/>
      </c>
      <c r="H3">
        <f>IFERROR(VLOOKUP($A3,Results_30d_Deltas!$A$2:$H$5000,7,FALSE)-E3,"")</f>
        <v/>
      </c>
      <c r="I3">
        <f>IFERROR(VLOOKUP($A3,Results_30d_Deltas!$A$2:$H$5000,6,FALSE),"")</f>
        <v/>
      </c>
      <c r="L3">
        <f>IF(B3=C3,"YES","NO")</f>
        <v/>
      </c>
    </row>
    <row r="4">
      <c r="A4" t="inlineStr">
        <is>
          <t>STDEV_BAND_MULTIPLIER</t>
        </is>
      </c>
      <c r="B4" t="n">
        <v>2.5</v>
      </c>
      <c r="D4" t="inlineStr">
        <is>
          <t>STDEV_LADDER</t>
        </is>
      </c>
      <c r="E4">
        <f>IF(G4="",E3,IF(G4&gt;0,E3+G4,E3))</f>
        <v/>
      </c>
      <c r="G4">
        <f>IFERROR(VLOOKUP($A4&amp;"="&amp;$B4,Results_Deltas!$A$2:$P$15000,5,FALSE),"")</f>
        <v/>
      </c>
      <c r="H4">
        <f>IFERROR(VLOOKUP($A3,Results_30d_Deltas!$A$2:$H$5000,7,FALSE)-E3,"")</f>
        <v/>
      </c>
      <c r="I4">
        <f>IFERROR(VLOOKUP($A3,Results_30d_Deltas!$A$2:$H$5000,6,FALSE),"")</f>
        <v/>
      </c>
      <c r="L4">
        <f>IF(B3=C3,"YES","NO")</f>
        <v/>
      </c>
    </row>
    <row r="5">
      <c r="A5" t="inlineStr">
        <is>
          <t>STDEV_SLOPE_SIZING_D_MAX</t>
        </is>
      </c>
      <c r="B5" t="n">
        <v>10</v>
      </c>
      <c r="D5" t="inlineStr">
        <is>
          <t>STDEV_LADDER</t>
        </is>
      </c>
      <c r="E5">
        <f>IF(G5="",E4,IF(G5&gt;0,E4+G5,E4))</f>
        <v/>
      </c>
      <c r="G5">
        <f>IFERROR(VLOOKUP($A5&amp;"="&amp;$B5,Results_Deltas!$A$2:$P$15000,5,FALSE),"")</f>
        <v/>
      </c>
      <c r="H5">
        <f>IFERROR(VLOOKUP($A3,Results_30d_Deltas!$A$2:$H$5000,7,FALSE)-E3,"")</f>
        <v/>
      </c>
      <c r="I5">
        <f>IFERROR(VLOOKUP($A3,Results_30d_Deltas!$A$2:$H$5000,6,FALSE),"")</f>
        <v/>
      </c>
      <c r="L5">
        <f>IF(B3=C3,"YES","NO")</f>
        <v/>
      </c>
    </row>
    <row r="6">
      <c r="A6" t="inlineStr">
        <is>
          <t>STDEV_SLOPE_SIZING_4H_MAX</t>
        </is>
      </c>
      <c r="B6" t="n">
        <v>4</v>
      </c>
      <c r="D6" t="inlineStr">
        <is>
          <t>STDEV_LADDER</t>
        </is>
      </c>
      <c r="E6">
        <f>IF(G6="",E5,IF(G6&gt;0,E5+G6,E5))</f>
        <v/>
      </c>
      <c r="G6">
        <f>IFERROR(VLOOKUP($A6&amp;"="&amp;$B6,Results_Deltas!$A$2:$P$15000,5,FALSE),"")</f>
        <v/>
      </c>
      <c r="H6">
        <f>IFERROR(VLOOKUP($A3,Results_30d_Deltas!$A$2:$H$5000,7,FALSE)-E3,"")</f>
        <v/>
      </c>
      <c r="I6">
        <f>IFERROR(VLOOKUP($A3,Results_30d_Deltas!$A$2:$H$5000,6,FALSE),"")</f>
        <v/>
      </c>
      <c r="L6">
        <f>IF(B3=C3,"YES","NO")</f>
        <v/>
      </c>
    </row>
    <row r="7">
      <c r="A7" t="inlineStr">
        <is>
          <t>STDEV_SLOPE_SIZING_1H_MAX</t>
        </is>
      </c>
      <c r="B7" t="n">
        <v>2</v>
      </c>
      <c r="D7" t="inlineStr">
        <is>
          <t>STDEV_LADDER</t>
        </is>
      </c>
      <c r="E7">
        <f>IF(G7="",E6,IF(G7&gt;0,E6+G7,E6))</f>
        <v/>
      </c>
      <c r="G7">
        <f>IFERROR(VLOOKUP($A7&amp;"="&amp;$B7,Results_Deltas!$A$2:$P$15000,5,FALSE),"")</f>
        <v/>
      </c>
      <c r="H7">
        <f>IFERROR(VLOOKUP($A3,Results_30d_Deltas!$A$2:$H$5000,7,FALSE)-E3,"")</f>
        <v/>
      </c>
      <c r="I7">
        <f>IFERROR(VLOOKUP($A3,Results_30d_Deltas!$A$2:$H$5000,6,FALSE),"")</f>
        <v/>
      </c>
      <c r="L7">
        <f>IF(B3=C3,"YES","NO")</f>
        <v/>
      </c>
    </row>
    <row r="8">
      <c r="A8" t="inlineStr">
        <is>
          <t>STDEV_SLOPE_SIZING_15M_MAX</t>
        </is>
      </c>
      <c r="B8" t="n">
        <v>1.5</v>
      </c>
      <c r="D8" t="inlineStr">
        <is>
          <t>STDEV_LADDER</t>
        </is>
      </c>
      <c r="E8">
        <f>IF(G8="",E7,IF(G8&gt;0,E7+G8,E7))</f>
        <v/>
      </c>
      <c r="G8">
        <f>IFERROR(VLOOKUP($A8&amp;"="&amp;$B8,Results_Deltas!$A$2:$P$15000,5,FALSE),"")</f>
        <v/>
      </c>
      <c r="H8">
        <f>IFERROR(VLOOKUP($A3,Results_30d_Deltas!$A$2:$H$5000,7,FALSE)-E3,"")</f>
        <v/>
      </c>
      <c r="I8">
        <f>IFERROR(VLOOKUP($A3,Results_30d_Deltas!$A$2:$H$5000,6,FALSE),"")</f>
        <v/>
      </c>
      <c r="L8">
        <f>IF(B3=C3,"YES","NO")</f>
        <v/>
      </c>
    </row>
    <row r="9">
      <c r="A9" t="inlineStr">
        <is>
          <t>STDEV_SLOPE_LOOKBACK_D</t>
        </is>
      </c>
      <c r="B9" t="n">
        <v>180</v>
      </c>
      <c r="D9" t="inlineStr">
        <is>
          <t>STDEV_LADDER</t>
        </is>
      </c>
      <c r="E9">
        <f>IF(G9="",E8,IF(G9&gt;0,E8+G9,E8))</f>
        <v/>
      </c>
      <c r="G9">
        <f>IFERROR(VLOOKUP($A9&amp;"="&amp;$B9,Results_Deltas!$A$2:$P$15000,5,FALSE),"")</f>
        <v/>
      </c>
      <c r="H9">
        <f>IFERROR(VLOOKUP($A3,Results_30d_Deltas!$A$2:$H$5000,7,FALSE)-E3,"")</f>
        <v/>
      </c>
      <c r="I9">
        <f>IFERROR(VLOOKUP($A3,Results_30d_Deltas!$A$2:$H$5000,6,FALSE),"")</f>
        <v/>
      </c>
      <c r="L9">
        <f>IF(B3=C3,"YES","NO")</f>
        <v/>
      </c>
    </row>
    <row r="10">
      <c r="A10" t="inlineStr">
        <is>
          <t>STDEV_SLOPE_LOOKBACK_4H</t>
        </is>
      </c>
      <c r="B10" t="n">
        <v>180</v>
      </c>
      <c r="D10" t="inlineStr">
        <is>
          <t>STDEV_LADDER</t>
        </is>
      </c>
      <c r="E10">
        <f>IF(G10="",E9,IF(G10&gt;0,E9+G10,E9))</f>
        <v/>
      </c>
      <c r="G10">
        <f>IFERROR(VLOOKUP($A10&amp;"="&amp;$B10,Results_Deltas!$A$2:$P$15000,5,FALSE),"")</f>
        <v/>
      </c>
      <c r="H10">
        <f>IFERROR(VLOOKUP($A3,Results_30d_Deltas!$A$2:$H$5000,7,FALSE)-E3,"")</f>
        <v/>
      </c>
      <c r="I10">
        <f>IFERROR(VLOOKUP($A3,Results_30d_Deltas!$A$2:$H$5000,6,FALSE),"")</f>
        <v/>
      </c>
      <c r="L10">
        <f>IF(B3=C3,"YES","NO")</f>
        <v/>
      </c>
    </row>
    <row r="11">
      <c r="A11" t="inlineStr">
        <is>
          <t>STDEV_SLOPE_LOOKBACK_1H</t>
        </is>
      </c>
      <c r="B11" t="n">
        <v>168</v>
      </c>
      <c r="D11" t="inlineStr">
        <is>
          <t>STDEV_LADDER</t>
        </is>
      </c>
      <c r="E11">
        <f>IF(G11="",E10,IF(G11&gt;0,E10+G11,E10))</f>
        <v/>
      </c>
      <c r="G11">
        <f>IFERROR(VLOOKUP($A11&amp;"="&amp;$B11,Results_Deltas!$A$2:$P$15000,5,FALSE),"")</f>
        <v/>
      </c>
      <c r="H11">
        <f>IFERROR(VLOOKUP($A3,Results_30d_Deltas!$A$2:$H$5000,7,FALSE)-E3,"")</f>
        <v/>
      </c>
      <c r="I11">
        <f>IFERROR(VLOOKUP($A3,Results_30d_Deltas!$A$2:$H$5000,6,FALSE),"")</f>
        <v/>
      </c>
      <c r="L11">
        <f>IF(B3=C3,"YES","NO")</f>
        <v/>
      </c>
    </row>
    <row r="12">
      <c r="A12" t="inlineStr">
        <is>
          <t>STDEV_SLOPE_LOOKBACK_15M</t>
        </is>
      </c>
      <c r="B12" t="n">
        <v>96</v>
      </c>
      <c r="D12" t="inlineStr">
        <is>
          <t>STDEV_LADDER</t>
        </is>
      </c>
      <c r="E12">
        <f>IF(G12="",E11,IF(G12&gt;0,E11+G12,E11))</f>
        <v/>
      </c>
      <c r="G12">
        <f>IFERROR(VLOOKUP($A12&amp;"="&amp;$B12,Results_Deltas!$A$2:$P$15000,5,FALSE),"")</f>
        <v/>
      </c>
      <c r="H12">
        <f>IFERROR(VLOOKUP($A3,Results_30d_Deltas!$A$2:$H$5000,7,FALSE)-E3,"")</f>
        <v/>
      </c>
      <c r="I12">
        <f>IFERROR(VLOOKUP($A3,Results_30d_Deltas!$A$2:$H$5000,6,FALSE),"")</f>
        <v/>
      </c>
      <c r="L12">
        <f>IF(B3=C3,"YES","NO")</f>
        <v/>
      </c>
    </row>
    <row r="13">
      <c r="A13" t="inlineStr">
        <is>
          <t>BAND_SLOPE_SIZING_V2_ENABLED</t>
        </is>
      </c>
      <c r="B13" t="b">
        <v>1</v>
      </c>
      <c r="D13" t="inlineStr">
        <is>
          <t>STDEV_LADDER</t>
        </is>
      </c>
      <c r="E13">
        <f>IF(G13="",E12,IF(G13&gt;0,E12+G13,E12))</f>
        <v/>
      </c>
      <c r="G13">
        <f>IFERROR(VLOOKUP($A13&amp;"="&amp;$B13,Results_Deltas!$A$2:$P$15000,5,FALSE),"")</f>
        <v/>
      </c>
      <c r="H13">
        <f>IFERROR(VLOOKUP($A3,Results_30d_Deltas!$A$2:$H$5000,7,FALSE)-E3,"")</f>
        <v/>
      </c>
      <c r="I13">
        <f>IFERROR(VLOOKUP($A3,Results_30d_Deltas!$A$2:$H$5000,6,FALSE),"")</f>
        <v/>
      </c>
      <c r="L13">
        <f>IF(B3=C3,"YES","NO")</f>
        <v/>
      </c>
    </row>
    <row r="14">
      <c r="A14" t="inlineStr">
        <is>
          <t>BAND_SLOPE_SIZING_V2_TF</t>
        </is>
      </c>
      <c r="B14" t="inlineStr">
        <is>
          <t>D</t>
        </is>
      </c>
      <c r="D14" t="inlineStr">
        <is>
          <t>STDEV_LADDER</t>
        </is>
      </c>
      <c r="E14">
        <f>IF(G14="",E13,IF(G14&gt;0,E13+G14,E13))</f>
        <v/>
      </c>
      <c r="G14">
        <f>IFERROR(VLOOKUP($A14&amp;"="&amp;$B14,Results_Deltas!$A$2:$P$15000,5,FALSE),"")</f>
        <v/>
      </c>
      <c r="H14">
        <f>IFERROR(VLOOKUP($A3,Results_30d_Deltas!$A$2:$H$5000,7,FALSE)-E3,"")</f>
        <v/>
      </c>
      <c r="I14">
        <f>IFERROR(VLOOKUP($A3,Results_30d_Deltas!$A$2:$H$5000,6,FALSE),"")</f>
        <v/>
      </c>
      <c r="L14">
        <f>IF(B3=C3,"YES","NO")</f>
        <v/>
      </c>
    </row>
    <row r="15">
      <c r="A15" t="inlineStr">
        <is>
          <t>BAND_SLOPE_SIZING_V2_DEPTH_GAIN</t>
        </is>
      </c>
      <c r="B15" t="n">
        <v>1</v>
      </c>
      <c r="D15" t="inlineStr">
        <is>
          <t>STDEV_LADDER</t>
        </is>
      </c>
      <c r="E15">
        <f>IF(G15="",E14,IF(G15&gt;0,E14+G15,E14))</f>
        <v/>
      </c>
      <c r="G15">
        <f>IFERROR(VLOOKUP($A15&amp;"="&amp;$B15,Results_Deltas!$A$2:$P$15000,5,FALSE),"")</f>
        <v/>
      </c>
      <c r="H15">
        <f>IFERROR(VLOOKUP($A3,Results_30d_Deltas!$A$2:$H$5000,7,FALSE)-E3,"")</f>
        <v/>
      </c>
      <c r="I15">
        <f>IFERROR(VLOOKUP($A3,Results_30d_Deltas!$A$2:$H$5000,6,FALSE),"")</f>
        <v/>
      </c>
      <c r="L15">
        <f>IF(B3=C3,"YES","NO")</f>
        <v/>
      </c>
    </row>
    <row r="16">
      <c r="A16" t="inlineStr">
        <is>
          <t>BAND_SLOPE_SIZING_V2_MIN</t>
        </is>
      </c>
      <c r="B16" t="n">
        <v>0.5</v>
      </c>
      <c r="D16" t="inlineStr">
        <is>
          <t>STDEV_LADDER</t>
        </is>
      </c>
      <c r="E16">
        <f>IF(G16="",E15,IF(G16&gt;0,E15+G16,E15))</f>
        <v/>
      </c>
      <c r="G16">
        <f>IFERROR(VLOOKUP($A16&amp;"="&amp;$B16,Results_Deltas!$A$2:$P$15000,5,FALSE),"")</f>
        <v/>
      </c>
      <c r="H16">
        <f>IFERROR(VLOOKUP($A3,Results_30d_Deltas!$A$2:$H$5000,7,FALSE)-E3,"")</f>
        <v/>
      </c>
      <c r="I16">
        <f>IFERROR(VLOOKUP($A3,Results_30d_Deltas!$A$2:$H$5000,6,FALSE),"")</f>
        <v/>
      </c>
      <c r="L16">
        <f>IF(B3=C3,"YES","NO")</f>
        <v/>
      </c>
    </row>
    <row r="17">
      <c r="A17" t="inlineStr">
        <is>
          <t>BAND_SLOPE_SIZING_V2_MAX</t>
        </is>
      </c>
      <c r="B17" t="n">
        <v>2.5</v>
      </c>
      <c r="D17" t="inlineStr">
        <is>
          <t>STDEV_LADDER</t>
        </is>
      </c>
      <c r="E17">
        <f>IF(G17="",E16,IF(G17&gt;0,E16+G17,E16))</f>
        <v/>
      </c>
      <c r="G17">
        <f>IFERROR(VLOOKUP($A17&amp;"="&amp;$B17,Results_Deltas!$A$2:$P$15000,5,FALSE),"")</f>
        <v/>
      </c>
      <c r="H17">
        <f>IFERROR(VLOOKUP($A3,Results_30d_Deltas!$A$2:$H$5000,7,FALSE)-E3,"")</f>
        <v/>
      </c>
      <c r="I17">
        <f>IFERROR(VLOOKUP($A3,Results_30d_Deltas!$A$2:$H$5000,6,FALSE),"")</f>
        <v/>
      </c>
      <c r="L17">
        <f>IF(B3=C3,"YES","NO")</f>
        <v/>
      </c>
    </row>
    <row r="18">
      <c r="A18" t="inlineStr">
        <is>
          <t>STDEV_SLOPE_SIZING_MODE</t>
        </is>
      </c>
      <c r="B18" t="inlineStr">
        <is>
          <t>slope_to_top</t>
        </is>
      </c>
      <c r="D18" t="inlineStr">
        <is>
          <t>STDEV_LADDER</t>
        </is>
      </c>
      <c r="E18">
        <f>IF(G18="",E17,IF(G18&gt;0,E17+G18,E17))</f>
        <v/>
      </c>
      <c r="G18">
        <f>IFERROR(VLOOKUP($A18&amp;"="&amp;$B18,Results_Deltas!$A$2:$P$15000,5,FALSE),"")</f>
        <v/>
      </c>
      <c r="H18">
        <f>IFERROR(VLOOKUP($A3,Results_30d_Deltas!$A$2:$H$5000,7,FALSE)-E3,"")</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M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DC_BREAKOUT_TF</t>
        </is>
      </c>
      <c r="B3" s="11" t="inlineStr">
        <is>
          <t>OFF</t>
        </is>
      </c>
      <c r="E3">
        <f>MAX('STDEV_SLOPE_SIZING'!E:E)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55" t="n"/>
      <c r="CZ3" s="55" t="n"/>
      <c r="DA3" s="55" t="n"/>
      <c r="DB3" s="55" t="n"/>
      <c r="DC3" s="55"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ez_manage.py:3078 top()</t>
        </is>
      </c>
      <c r="IL3" s="9" t="inlineStr">
        <is>
          <t>v12_quick_engine.py:1518 x5</t>
        </is>
      </c>
    </row>
    <row r="4" ht="11" customHeight="1">
      <c r="A4" s="10" t="inlineStr">
        <is>
          <t>DC_BREAKOUT_TF</t>
        </is>
      </c>
      <c r="B4" s="11" t="inlineStr">
        <is>
          <t>D</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55" t="n"/>
      <c r="CZ4" s="55" t="n"/>
      <c r="DA4" s="55" t="n"/>
      <c r="DB4" s="55" t="n"/>
      <c r="DC4" s="55"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ez_manage.py:3078 top()</t>
        </is>
      </c>
      <c r="IL4" s="9" t="inlineStr">
        <is>
          <t>v12_quick_engine.py:1518 x5</t>
        </is>
      </c>
    </row>
    <row r="5" ht="11" customHeight="1">
      <c r="A5" s="10" t="inlineStr">
        <is>
          <t>DC_BREAKOUT_TF</t>
        </is>
      </c>
      <c r="B5" s="11" t="inlineStr">
        <is>
          <t>4h</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55" t="n"/>
      <c r="CZ5" s="55" t="n"/>
      <c r="DA5" s="55" t="n"/>
      <c r="DB5" s="55" t="n"/>
      <c r="DC5" s="55"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ez_manage.py:3078 top()</t>
        </is>
      </c>
      <c r="IL5" s="9" t="inlineStr">
        <is>
          <t>v12_quick_engine.py:1518 x5</t>
        </is>
      </c>
    </row>
    <row r="6" ht="11" customHeight="1">
      <c r="A6" s="10" t="inlineStr">
        <is>
          <t>DC_BREAKOUT_TF</t>
        </is>
      </c>
      <c r="B6" s="11" t="inlineStr">
        <is>
          <t>1h</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55" t="n"/>
      <c r="CZ6" s="55" t="n"/>
      <c r="DA6" s="55" t="n"/>
      <c r="DB6" s="55" t="n"/>
      <c r="DC6" s="55"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ez_manage.py:3078 top()</t>
        </is>
      </c>
      <c r="IL6" s="9" t="inlineStr">
        <is>
          <t>v12_quick_engine.py:1518 x5</t>
        </is>
      </c>
    </row>
    <row r="7" ht="11" customHeight="1">
      <c r="A7" s="6" t="inlineStr">
        <is>
          <t>DC_BREAKOUT_TF</t>
        </is>
      </c>
      <c r="B7" s="7" t="inlineStr">
        <is>
          <t>15m</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55" t="n"/>
      <c r="AR7" s="55" t="n"/>
      <c r="AS7" s="55" t="n"/>
      <c r="AT7" s="55" t="n"/>
      <c r="AU7" s="55" t="n"/>
      <c r="AV7" s="8" t="n"/>
      <c r="AW7" s="8" t="n"/>
      <c r="AX7" s="8" t="n"/>
      <c r="AY7" s="8" t="n"/>
      <c r="AZ7" s="8" t="n"/>
      <c r="BA7" s="8" t="n"/>
      <c r="BB7" s="8" t="n"/>
      <c r="BC7" s="8" t="n"/>
      <c r="BD7" s="8" t="n"/>
      <c r="BE7" s="8" t="n"/>
      <c r="BF7" s="8" t="n"/>
      <c r="BG7" s="8" t="n"/>
      <c r="BH7" s="8" t="n"/>
      <c r="BI7" s="8" t="n"/>
      <c r="BJ7" s="8" t="n"/>
      <c r="BK7" s="8" t="n"/>
      <c r="BL7" s="8" t="n"/>
      <c r="BM7" s="8" t="n"/>
      <c r="BN7" s="8" t="n"/>
      <c r="BO7" s="8" t="n"/>
      <c r="BP7" s="55" t="n"/>
      <c r="BQ7" s="55" t="n"/>
      <c r="BR7" s="55" t="n"/>
      <c r="BS7" s="55" t="n"/>
      <c r="BT7" s="55"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55" t="n"/>
      <c r="CZ7" s="55" t="n"/>
      <c r="DA7" s="55" t="n"/>
      <c r="DB7" s="55" t="n"/>
      <c r="DC7" s="55"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55" t="n"/>
      <c r="GA7" s="55" t="n"/>
      <c r="GB7" s="55" t="n"/>
      <c r="GC7" s="55" t="n"/>
      <c r="GD7" s="55"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ez_manage.py:3078 top()</t>
        </is>
      </c>
      <c r="IL7" s="9" t="inlineStr">
        <is>
          <t>v12_quick_engine.py:1518 x5</t>
        </is>
      </c>
    </row>
    <row r="8" ht="11" customHeight="1">
      <c r="A8" s="10" t="inlineStr">
        <is>
          <t>DC_BREAKOUT_SCORE</t>
        </is>
      </c>
      <c r="B8" s="11" t="inlineStr">
        <is>
          <t>10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55" t="n"/>
      <c r="AR8" s="55" t="n"/>
      <c r="AS8" s="55" t="n"/>
      <c r="AT8" s="55" t="n"/>
      <c r="AU8" s="55" t="n"/>
      <c r="AV8" s="8" t="n"/>
      <c r="AW8" s="8" t="n"/>
      <c r="AX8" s="8" t="n"/>
      <c r="AY8" s="8" t="n"/>
      <c r="AZ8" s="8" t="n"/>
      <c r="BA8" s="8" t="n"/>
      <c r="BB8" s="8" t="n"/>
      <c r="BC8" s="8" t="n"/>
      <c r="BD8" s="8" t="n"/>
      <c r="BE8" s="8" t="n"/>
      <c r="BF8" s="8" t="n"/>
      <c r="BG8" s="8" t="n"/>
      <c r="BH8" s="8" t="n"/>
      <c r="BI8" s="8" t="n"/>
      <c r="BJ8" s="8" t="n"/>
      <c r="BK8" s="8" t="n"/>
      <c r="BL8" s="8" t="n"/>
      <c r="BM8" s="8" t="n"/>
      <c r="BN8" s="8" t="n"/>
      <c r="BO8" s="8" t="n"/>
      <c r="BP8" s="55" t="n"/>
      <c r="BQ8" s="55" t="n"/>
      <c r="BR8" s="55" t="n"/>
      <c r="BS8" s="55" t="n"/>
      <c r="BT8" s="55"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55" t="n"/>
      <c r="CZ8" s="55" t="n"/>
      <c r="DA8" s="55" t="n"/>
      <c r="DB8" s="55" t="n"/>
      <c r="DC8" s="55"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55" t="n"/>
      <c r="GA8" s="55" t="n"/>
      <c r="GB8" s="55" t="n"/>
      <c r="GC8" s="55" t="n"/>
      <c r="GD8" s="55"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ez_manage.py:3077 top()</t>
        </is>
      </c>
      <c r="IL8" s="9" t="inlineStr">
        <is>
          <t>v12_quick_engine.py:1517 x18</t>
        </is>
      </c>
    </row>
    <row r="9" ht="11" customHeight="1">
      <c r="A9" s="10" t="inlineStr">
        <is>
          <t>DC_BREAKOUT_SCORE</t>
        </is>
      </c>
      <c r="B9" s="11" t="inlineStr">
        <is>
          <t>15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55" t="n"/>
      <c r="AR9" s="55" t="n"/>
      <c r="AS9" s="55" t="n"/>
      <c r="AT9" s="55" t="n"/>
      <c r="AU9" s="55" t="n"/>
      <c r="AV9" s="8" t="n"/>
      <c r="AW9" s="8" t="n"/>
      <c r="AX9" s="8" t="n"/>
      <c r="AY9" s="8" t="n"/>
      <c r="AZ9" s="8" t="n"/>
      <c r="BA9" s="8" t="n"/>
      <c r="BB9" s="8" t="n"/>
      <c r="BC9" s="8" t="n"/>
      <c r="BD9" s="8" t="n"/>
      <c r="BE9" s="8" t="n"/>
      <c r="BF9" s="8" t="n"/>
      <c r="BG9" s="8" t="n"/>
      <c r="BH9" s="8" t="n"/>
      <c r="BI9" s="8" t="n"/>
      <c r="BJ9" s="8" t="n"/>
      <c r="BK9" s="8" t="n"/>
      <c r="BL9" s="8" t="n"/>
      <c r="BM9" s="8" t="n"/>
      <c r="BN9" s="8" t="n"/>
      <c r="BO9" s="8" t="n"/>
      <c r="BP9" s="55" t="n"/>
      <c r="BQ9" s="55" t="n"/>
      <c r="BR9" s="55" t="n"/>
      <c r="BS9" s="55" t="n"/>
      <c r="BT9" s="55"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55" t="n"/>
      <c r="CZ9" s="55" t="n"/>
      <c r="DA9" s="55" t="n"/>
      <c r="DB9" s="55" t="n"/>
      <c r="DC9" s="55"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55" t="n"/>
      <c r="GA9" s="55" t="n"/>
      <c r="GB9" s="55" t="n"/>
      <c r="GC9" s="55" t="n"/>
      <c r="GD9" s="55"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ez_manage.py:3077 top()</t>
        </is>
      </c>
      <c r="IL9" s="9" t="inlineStr">
        <is>
          <t>v12_quick_engine.py:1517 x18</t>
        </is>
      </c>
    </row>
    <row r="10" ht="11" customHeight="1">
      <c r="A10" s="6" t="inlineStr">
        <is>
          <t>DC_BREAKOUT_SCORE</t>
        </is>
      </c>
      <c r="B10" s="7"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55" t="n"/>
      <c r="AR10" s="55" t="n"/>
      <c r="AS10" s="55" t="n"/>
      <c r="AT10" s="55" t="n"/>
      <c r="AU10" s="55"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55" t="n"/>
      <c r="BQ10" s="55" t="n"/>
      <c r="BR10" s="55" t="n"/>
      <c r="BS10" s="55" t="n"/>
      <c r="BT10" s="55"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55" t="n"/>
      <c r="CZ10" s="55" t="n"/>
      <c r="DA10" s="55" t="n"/>
      <c r="DB10" s="55" t="n"/>
      <c r="DC10" s="55"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55" t="n"/>
      <c r="GA10" s="55" t="n"/>
      <c r="GB10" s="55" t="n"/>
      <c r="GC10" s="55" t="n"/>
      <c r="GD10" s="55"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ez_manage.py:3077 top()</t>
        </is>
      </c>
      <c r="IL10" s="9" t="inlineStr">
        <is>
          <t>v12_quick_engine.py:1517 x18</t>
        </is>
      </c>
    </row>
    <row r="11" ht="11" customHeight="1">
      <c r="A11" s="10" t="inlineStr">
        <is>
          <t>DC_BREAKOUT_SCORE</t>
        </is>
      </c>
      <c r="B11" s="11" t="inlineStr">
        <is>
          <t>25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55" t="n"/>
      <c r="AR11" s="55" t="n"/>
      <c r="AS11" s="55" t="n"/>
      <c r="AT11" s="55" t="n"/>
      <c r="AU11" s="55"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55" t="n"/>
      <c r="BQ11" s="55" t="n"/>
      <c r="BR11" s="55" t="n"/>
      <c r="BS11" s="55" t="n"/>
      <c r="BT11" s="55"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55" t="n"/>
      <c r="CZ11" s="55" t="n"/>
      <c r="DA11" s="55" t="n"/>
      <c r="DB11" s="55" t="n"/>
      <c r="DC11" s="55"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55" t="n"/>
      <c r="GA11" s="55" t="n"/>
      <c r="GB11" s="55" t="n"/>
      <c r="GC11" s="55" t="n"/>
      <c r="GD11" s="55"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ez_manage.py:3077 top()</t>
        </is>
      </c>
      <c r="IL11" s="9" t="inlineStr">
        <is>
          <t>v12_quick_engine.py:1517 x18</t>
        </is>
      </c>
    </row>
    <row r="12" ht="11" customHeight="1">
      <c r="A12" s="10" t="inlineStr">
        <is>
          <t>DC_BREAKOUT_SCORE</t>
        </is>
      </c>
      <c r="B12" s="11" t="inlineStr">
        <is>
          <t>30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ez_manage.py:3077 top()</t>
        </is>
      </c>
      <c r="IL12" s="9" t="inlineStr">
        <is>
          <t>v12_quick_engine.py:1517 x18</t>
        </is>
      </c>
    </row>
    <row r="13" ht="11" customHeight="1">
      <c r="A13" s="10" t="inlineStr">
        <is>
          <t>BB_BREAKOUT_SCORE</t>
        </is>
      </c>
      <c r="B13" s="11" t="inlineStr">
        <is>
          <t>10</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ez_manage.py:2963 top()</t>
        </is>
      </c>
      <c r="IL13" s="9" t="inlineStr">
        <is>
          <t>v12_quick_engine.py:1255 x6</t>
        </is>
      </c>
    </row>
    <row r="14" ht="11" customHeight="1">
      <c r="A14" s="10" t="inlineStr">
        <is>
          <t>BB_BREAKOUT_SCORE</t>
        </is>
      </c>
      <c r="B14" s="11" t="inlineStr">
        <is>
          <t>15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ez_manage.py:2963 top()</t>
        </is>
      </c>
      <c r="IL14" s="9" t="inlineStr">
        <is>
          <t>v12_quick_engine.py:1255 x6</t>
        </is>
      </c>
    </row>
    <row r="15" ht="11" customHeight="1">
      <c r="A15" s="6" t="inlineStr">
        <is>
          <t>BB_BREAKOUT_SCORE</t>
        </is>
      </c>
      <c r="B15" s="7" t="inlineStr">
        <is>
          <t>20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ez_manage.py:2963 top()</t>
        </is>
      </c>
      <c r="IL15" s="9" t="inlineStr">
        <is>
          <t>v12_quick_engine.py:1255 x6</t>
        </is>
      </c>
    </row>
    <row r="16" ht="11" customHeight="1">
      <c r="A16" s="10" t="inlineStr">
        <is>
          <t>BB_BREAKOUT_SCORE</t>
        </is>
      </c>
      <c r="B16" s="11" t="inlineStr">
        <is>
          <t>25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55" t="n"/>
      <c r="AR16" s="55" t="n"/>
      <c r="AS16" s="55" t="n"/>
      <c r="AT16" s="55" t="n"/>
      <c r="AU16" s="55"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55" t="n"/>
      <c r="BQ16" s="55" t="n"/>
      <c r="BR16" s="55" t="n"/>
      <c r="BS16" s="55" t="n"/>
      <c r="BT16" s="55"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55" t="n"/>
      <c r="CZ16" s="55" t="n"/>
      <c r="DA16" s="55" t="n"/>
      <c r="DB16" s="55" t="n"/>
      <c r="DC16" s="55"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55" t="n"/>
      <c r="GA16" s="55" t="n"/>
      <c r="GB16" s="55" t="n"/>
      <c r="GC16" s="55" t="n"/>
      <c r="GD16" s="55"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ez_manage.py:2963 top()</t>
        </is>
      </c>
      <c r="IL16" s="9" t="inlineStr">
        <is>
          <t>v12_quick_engine.py:1255 x6</t>
        </is>
      </c>
    </row>
    <row r="17" ht="11" customHeight="1">
      <c r="A17" s="10" t="inlineStr">
        <is>
          <t>BB_BREAKOUT_SCORE</t>
        </is>
      </c>
      <c r="B17" s="11" t="inlineStr">
        <is>
          <t>30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55" t="n"/>
      <c r="AR17" s="55" t="n"/>
      <c r="AS17" s="55" t="n"/>
      <c r="AT17" s="55" t="n"/>
      <c r="AU17" s="55"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55" t="n"/>
      <c r="BQ17" s="55" t="n"/>
      <c r="BR17" s="55" t="n"/>
      <c r="BS17" s="55" t="n"/>
      <c r="BT17" s="55"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55" t="n"/>
      <c r="CZ17" s="55" t="n"/>
      <c r="DA17" s="55" t="n"/>
      <c r="DB17" s="55" t="n"/>
      <c r="DC17" s="55"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55" t="n"/>
      <c r="GA17" s="55" t="n"/>
      <c r="GB17" s="55" t="n"/>
      <c r="GC17" s="55" t="n"/>
      <c r="GD17" s="55"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ez_manage.py:2963 top()</t>
        </is>
      </c>
      <c r="IL17" s="9" t="inlineStr">
        <is>
          <t>v12_quick_engine.py:1255 x6</t>
        </is>
      </c>
    </row>
    <row r="18" ht="11" customHeight="1">
      <c r="A18" s="6" t="inlineStr">
        <is>
          <t>STDEV_BREAKOUT_ENABLED</t>
        </is>
      </c>
      <c r="B18" s="7" t="inlineStr">
        <is>
          <t>False</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ez_manage.py:4039 top()</t>
        </is>
      </c>
      <c r="IL18" s="9" t="inlineStr">
        <is>
          <t>v12_quick_engine.py:3275 x6</t>
        </is>
      </c>
    </row>
    <row r="19" ht="11" customHeight="1">
      <c r="A19" s="10" t="inlineStr">
        <is>
          <t>STDEV_BREAKOUT_ENABLED</t>
        </is>
      </c>
      <c r="B19" s="11" t="inlineStr">
        <is>
          <t>True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55" t="n"/>
      <c r="HY19" s="55" t="n"/>
      <c r="HZ19" s="55" t="n"/>
      <c r="IA19" s="55" t="n"/>
      <c r="IB19" s="55" t="n"/>
      <c r="IC19" s="55" t="n"/>
      <c r="ID19" s="55" t="n"/>
      <c r="IE19" s="55" t="n"/>
      <c r="IF19" s="55" t="n"/>
      <c r="IG19" s="55" t="n"/>
      <c r="IH19" s="55" t="n"/>
      <c r="II19" s="55" t="n"/>
      <c r="IK19" s="9" t="inlineStr">
        <is>
          <t>ez_manage.py:4039 top()</t>
        </is>
      </c>
      <c r="IL19" s="9" t="inlineStr">
        <is>
          <t>v12_quick_engine.py:3275 x6</t>
        </is>
      </c>
    </row>
    <row r="20" ht="11" customHeight="1">
      <c r="A20" s="6" t="inlineStr">
        <is>
          <t>BTC_BREAKOUT_ENTRY_ENABLED</t>
        </is>
      </c>
      <c r="B20" s="7" t="inlineStr">
        <is>
          <t>False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55" t="n"/>
      <c r="FJ20" s="55" t="n"/>
      <c r="FK20" s="55" t="n"/>
      <c r="FL20" s="55" t="n"/>
      <c r="FM20" s="55"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55" t="n"/>
      <c r="HY20" s="55" t="n"/>
      <c r="HZ20" s="55" t="n"/>
      <c r="IA20" s="55" t="n"/>
      <c r="IB20" s="55" t="n"/>
      <c r="IC20" s="55" t="n"/>
      <c r="ID20" s="55" t="n"/>
      <c r="IE20" s="55" t="n"/>
      <c r="IF20" s="55" t="n"/>
      <c r="IG20" s="55" t="n"/>
      <c r="IH20" s="55" t="n"/>
      <c r="II20" s="55" t="n"/>
      <c r="IK20" s="9" t="inlineStr">
        <is>
          <t>ez_manage.py:4432 top()</t>
        </is>
      </c>
      <c r="IL20" s="9" t="inlineStr">
        <is>
          <t>v12_quick_engine.py:393 x8</t>
        </is>
      </c>
    </row>
    <row r="21" ht="11" customHeight="1">
      <c r="A21" s="10" t="inlineStr">
        <is>
          <t>BTC_BREAKOUT_ENTRY_ENABLED</t>
        </is>
      </c>
      <c r="B21" s="11" t="inlineStr">
        <is>
          <t>True</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55" t="n"/>
      <c r="FJ21" s="55" t="n"/>
      <c r="FK21" s="55" t="n"/>
      <c r="FL21" s="55" t="n"/>
      <c r="FM21" s="55"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55" t="n"/>
      <c r="HY21" s="55" t="n"/>
      <c r="HZ21" s="55" t="n"/>
      <c r="IA21" s="55" t="n"/>
      <c r="IB21" s="55" t="n"/>
      <c r="IC21" s="55" t="n"/>
      <c r="ID21" s="55" t="n"/>
      <c r="IE21" s="55" t="n"/>
      <c r="IF21" s="55" t="n"/>
      <c r="IG21" s="55" t="n"/>
      <c r="IH21" s="55" t="n"/>
      <c r="II21" s="55" t="n"/>
      <c r="IK21" s="9" t="inlineStr">
        <is>
          <t>ez_manage.py:4432 top()</t>
        </is>
      </c>
      <c r="IL21" s="9" t="inlineStr">
        <is>
          <t>v12_quick_engine.py:393 x8</t>
        </is>
      </c>
    </row>
    <row r="22" ht="11" customHeight="1">
      <c r="A22" s="6" t="inlineStr">
        <is>
          <t>RZ_BREAKOUT_ENTRY_ENABLED</t>
        </is>
      </c>
      <c r="B22" s="7"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55" t="n"/>
      <c r="FJ22" s="55" t="n"/>
      <c r="FK22" s="55" t="n"/>
      <c r="FL22" s="55" t="n"/>
      <c r="FM22" s="55"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ez_manage.py:5398 top()</t>
        </is>
      </c>
      <c r="IL22" s="9" t="inlineStr">
        <is>
          <t>v12_quick_engine.py:3021 x3</t>
        </is>
      </c>
    </row>
    <row r="23" ht="11" customHeight="1">
      <c r="A23" s="10" t="inlineStr">
        <is>
          <t>RZ_BREAKOUT_ENTRY_ENABLED</t>
        </is>
      </c>
      <c r="B23" s="11" t="inlineStr">
        <is>
          <t>True</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55" t="n"/>
      <c r="AR23" s="55" t="n"/>
      <c r="AS23" s="55" t="n"/>
      <c r="AT23" s="55" t="n"/>
      <c r="AU23" s="55"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55" t="n"/>
      <c r="BQ23" s="55" t="n"/>
      <c r="BR23" s="55" t="n"/>
      <c r="BS23" s="55" t="n"/>
      <c r="BT23" s="55"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55" t="n"/>
      <c r="CZ23" s="55" t="n"/>
      <c r="DA23" s="55" t="n"/>
      <c r="DB23" s="55" t="n"/>
      <c r="DC23" s="55"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55" t="n"/>
      <c r="FJ23" s="55" t="n"/>
      <c r="FK23" s="55" t="n"/>
      <c r="FL23" s="55" t="n"/>
      <c r="FM23" s="55" t="n"/>
      <c r="FN23" s="8" t="n"/>
      <c r="FO23" s="8" t="n"/>
      <c r="FP23" s="8" t="n"/>
      <c r="FQ23" s="8" t="n"/>
      <c r="FR23" s="8" t="n"/>
      <c r="FS23" s="8" t="n"/>
      <c r="FT23" s="8" t="n"/>
      <c r="FU23" s="8" t="n"/>
      <c r="FV23" s="8" t="n"/>
      <c r="FW23" s="8" t="n"/>
      <c r="FX23" s="8" t="n"/>
      <c r="FY23" s="8" t="n"/>
      <c r="FZ23" s="55" t="n"/>
      <c r="GA23" s="55" t="n"/>
      <c r="GB23" s="55" t="n"/>
      <c r="GC23" s="55" t="n"/>
      <c r="GD23" s="55"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ez_manage.py:5398 top()</t>
        </is>
      </c>
      <c r="IL23" s="9" t="inlineStr">
        <is>
          <t>v12_quick_engine.py:3021 x3</t>
        </is>
      </c>
    </row>
    <row r="24" ht="11" customHeight="1">
      <c r="A24" s="10" t="inlineStr">
        <is>
          <t>ATR_ADAPTIVE_SIZING_TARGET_PCT</t>
        </is>
      </c>
      <c r="B24" s="11" t="inlineStr">
        <is>
          <t>1.0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ez_manage.py:4327 top()</t>
        </is>
      </c>
      <c r="IL24" s="9" t="inlineStr">
        <is>
          <t>v12_quick_engine.py:1209 x7</t>
        </is>
      </c>
    </row>
    <row r="25" ht="11" customHeight="1">
      <c r="A25" s="10" t="inlineStr">
        <is>
          <t>ATR_ADAPTIVE_SIZING_TARGET_PCT</t>
        </is>
      </c>
      <c r="B25" s="11" t="inlineStr">
        <is>
          <t>1.5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ez_manage.py:4327 top()</t>
        </is>
      </c>
      <c r="IL25" s="9" t="inlineStr">
        <is>
          <t>v12_quick_engine.py:1209 x7</t>
        </is>
      </c>
    </row>
    <row r="26" ht="11" customHeight="1">
      <c r="A26" s="6" t="inlineStr">
        <is>
          <t>ATR_ADAPTIVE_SIZING_TARGET_PCT</t>
        </is>
      </c>
      <c r="B26" s="64" t="n">
        <v>1.5</v>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ez_manage.py:4327 top()</t>
        </is>
      </c>
      <c r="IL26" s="9" t="inlineStr">
        <is>
          <t>v12_quick_engine.py:1209 x7</t>
        </is>
      </c>
    </row>
    <row r="27" ht="11" customHeight="1">
      <c r="A27" s="10" t="inlineStr">
        <is>
          <t>ATR_ADAPTIVE_SIZING_TARGET_PCT</t>
        </is>
      </c>
      <c r="B27" s="11" t="inlineStr">
        <is>
          <t>2.5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ez_manage.py:4327 top()</t>
        </is>
      </c>
      <c r="IL27" s="9" t="inlineStr">
        <is>
          <t>v12_quick_engine.py:1209 x7</t>
        </is>
      </c>
    </row>
    <row r="28" ht="11" customHeight="1">
      <c r="A28" s="10" t="inlineStr">
        <is>
          <t>ATR_ADAPTIVE_SIZING_TARGET_PCT</t>
        </is>
      </c>
      <c r="B28" s="11" t="inlineStr">
        <is>
          <t>3.0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ez_manage.py:4327 top()</t>
        </is>
      </c>
      <c r="IL28" s="9" t="inlineStr">
        <is>
          <t>v12_quick_engine.py:1209 x7</t>
        </is>
      </c>
    </row>
    <row r="29" ht="11" customHeight="1">
      <c r="A29" s="10" t="inlineStr">
        <is>
          <t>ATR_ADAPTIVE_STOP_MULT</t>
        </is>
      </c>
      <c r="B29" s="11" t="inlineStr">
        <is>
          <t>1.0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55" t="n"/>
      <c r="ED29" s="55" t="n"/>
      <c r="EE29" s="55" t="n"/>
      <c r="EF29" s="55" t="n"/>
      <c r="EG29" s="55"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ez_manage.py:4329 top()</t>
        </is>
      </c>
      <c r="IL29" s="9" t="inlineStr">
        <is>
          <t>v12_quick_engine.py:1211 x6</t>
        </is>
      </c>
    </row>
    <row r="30" ht="11" customHeight="1">
      <c r="A30" s="10" t="inlineStr">
        <is>
          <t>ATR_ADAPTIVE_STOP_MULT</t>
        </is>
      </c>
      <c r="B30" s="11" t="inlineStr">
        <is>
          <t>1.5</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55" t="n"/>
      <c r="ED30" s="55" t="n"/>
      <c r="EE30" s="55" t="n"/>
      <c r="EF30" s="55" t="n"/>
      <c r="EG30" s="55"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ez_manage.py:4329 top()</t>
        </is>
      </c>
      <c r="IL30" s="9" t="inlineStr">
        <is>
          <t>v12_quick_engine.py:1211 x6</t>
        </is>
      </c>
    </row>
    <row r="31" ht="11" customHeight="1">
      <c r="A31" s="6" t="inlineStr">
        <is>
          <t>ATR_ADAPTIVE_STOP_MULT</t>
        </is>
      </c>
      <c r="B31" s="7" t="inlineStr">
        <is>
          <t>2.0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55" t="n"/>
      <c r="ED31" s="55" t="n"/>
      <c r="EE31" s="55" t="n"/>
      <c r="EF31" s="55" t="n"/>
      <c r="EG31" s="55"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ez_manage.py:4329 top()</t>
        </is>
      </c>
      <c r="IL31" s="9" t="inlineStr">
        <is>
          <t>v12_quick_engine.py:1211 x6</t>
        </is>
      </c>
    </row>
    <row r="32" ht="11" customHeight="1">
      <c r="A32" s="10" t="inlineStr">
        <is>
          <t>ATR_ADAPTIVE_STOP_MULT</t>
        </is>
      </c>
      <c r="B32" s="11" t="inlineStr">
        <is>
          <t>2.5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55" t="n"/>
      <c r="ED32" s="55" t="n"/>
      <c r="EE32" s="55" t="n"/>
      <c r="EF32" s="55" t="n"/>
      <c r="EG32" s="55"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ez_manage.py:4329 top()</t>
        </is>
      </c>
      <c r="IL32" s="9" t="inlineStr">
        <is>
          <t>v12_quick_engine.py:1211 x6</t>
        </is>
      </c>
    </row>
    <row r="33" ht="11" customHeight="1">
      <c r="A33" s="10" t="inlineStr">
        <is>
          <t>ATR_ADAPTIVE_STOP_MULT</t>
        </is>
      </c>
      <c r="B33" s="11" t="inlineStr">
        <is>
          <t>3.0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55" t="n"/>
      <c r="ED33" s="55" t="n"/>
      <c r="EE33" s="55" t="n"/>
      <c r="EF33" s="55" t="n"/>
      <c r="EG33" s="55"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ez_manage.py:4329 top()</t>
        </is>
      </c>
      <c r="IL33" s="9" t="inlineStr">
        <is>
          <t>v12_quick_engine.py:1211 x6</t>
        </is>
      </c>
    </row>
    <row r="34" ht="11" customHeight="1">
      <c r="A34" s="10" t="inlineStr">
        <is>
          <t>ATR_LONG_WINDOW</t>
        </is>
      </c>
      <c r="B34" s="11" t="inlineStr">
        <is>
          <t>50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ez_manage.py:4330 top()</t>
        </is>
      </c>
      <c r="IL34" s="9" t="inlineStr">
        <is>
          <t>v12_quick_engine.py:199 x5</t>
        </is>
      </c>
    </row>
    <row r="35" ht="11" customHeight="1">
      <c r="A35" s="10" t="inlineStr">
        <is>
          <t>ATR_LONG_WINDOW</t>
        </is>
      </c>
      <c r="B35" s="11" t="inlineStr">
        <is>
          <t>75</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ez_manage.py:4330 top()</t>
        </is>
      </c>
      <c r="IL35" s="9" t="inlineStr">
        <is>
          <t>v12_quick_engine.py:199 x5</t>
        </is>
      </c>
    </row>
    <row r="36" ht="11" customHeight="1">
      <c r="A36" s="6" t="inlineStr">
        <is>
          <t>ATR_LONG_WINDOW</t>
        </is>
      </c>
      <c r="B36" s="7" t="inlineStr">
        <is>
          <t>100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ez_manage.py:4330 top()</t>
        </is>
      </c>
      <c r="IL36" s="9" t="inlineStr">
        <is>
          <t>v12_quick_engine.py:199 x5</t>
        </is>
      </c>
    </row>
    <row r="37" ht="11" customHeight="1">
      <c r="A37" s="10" t="inlineStr">
        <is>
          <t>ATR_LONG_WINDOW</t>
        </is>
      </c>
      <c r="B37" s="11" t="inlineStr">
        <is>
          <t>125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ez_manage.py:4330 top()</t>
        </is>
      </c>
      <c r="IL37" s="9" t="inlineStr">
        <is>
          <t>v12_quick_engine.py:199 x5</t>
        </is>
      </c>
    </row>
    <row r="38" ht="11" customHeight="1">
      <c r="A38" s="10" t="inlineStr">
        <is>
          <t>ATR_LONG_WINDOW</t>
        </is>
      </c>
      <c r="B38" s="11" t="inlineStr">
        <is>
          <t>150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ez_manage.py:4330 top()</t>
        </is>
      </c>
      <c r="IL38" s="9" t="inlineStr">
        <is>
          <t>v12_quick_engine.py:199 x5</t>
        </is>
      </c>
    </row>
    <row r="39" ht="11" customHeight="1">
      <c r="A39" s="10" t="inlineStr">
        <is>
          <t>BTC_RZ_WT_DC_MULTIFACTOR</t>
        </is>
      </c>
      <c r="B39" s="11" t="inlineStr">
        <is>
          <t>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ez_manage.py:5965 top()</t>
        </is>
      </c>
      <c r="IL39" s="9" t="inlineStr">
        <is>
          <t>v12_quick_engine.py:450 x8</t>
        </is>
      </c>
    </row>
    <row r="40" ht="11" customHeight="1">
      <c r="A40" s="10" t="inlineStr">
        <is>
          <t>BTC_RZ_WT_DC_MULTIFACTOR</t>
        </is>
      </c>
      <c r="B40" s="11" t="inlineStr">
        <is>
          <t>0.5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ez_manage.py:5965 top()</t>
        </is>
      </c>
      <c r="IL40" s="9" t="inlineStr">
        <is>
          <t>v12_quick_engine.py:450 x8</t>
        </is>
      </c>
    </row>
    <row r="41" ht="11" customHeight="1">
      <c r="A41" s="10" t="inlineStr">
        <is>
          <t>BTC_RZ_WT_DC_MULTIFACTOR</t>
        </is>
      </c>
      <c r="B41" s="11" t="inlineStr">
        <is>
          <t>1.0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ez_manage.py:5965 top()</t>
        </is>
      </c>
      <c r="IL41" s="9" t="inlineStr">
        <is>
          <t>v12_quick_engine.py:450 x8</t>
        </is>
      </c>
    </row>
    <row r="42" ht="11" customHeight="1">
      <c r="A42" s="10" t="inlineStr">
        <is>
          <t>BTC_RZ_WT_DC_MULTIFACTOR</t>
        </is>
      </c>
      <c r="B42" s="11" t="inlineStr">
        <is>
          <t>2.0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ez_manage.py:5965 top()</t>
        </is>
      </c>
      <c r="IL42" s="9" t="inlineStr">
        <is>
          <t>v12_quick_engine.py:450 x8</t>
        </is>
      </c>
    </row>
    <row r="43" ht="11" customHeight="1">
      <c r="A43" s="10" t="inlineStr">
        <is>
          <t>BTC_TECH_EXIT_WT_MIN_TFS</t>
        </is>
      </c>
      <c r="B43" s="11" t="inlineStr">
        <is>
          <t>0</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ez_manage.py:4517 top()</t>
        </is>
      </c>
      <c r="IL43" s="9" t="inlineStr">
        <is>
          <t>v12_quick_engine.py:457 x8</t>
        </is>
      </c>
    </row>
    <row r="44" ht="11" customHeight="1">
      <c r="A44" s="10" t="inlineStr">
        <is>
          <t>BTC_TECH_EXIT_WT_MIN_TFS</t>
        </is>
      </c>
      <c r="B44" s="11" t="inlineStr">
        <is>
          <t>0.5</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ez_manage.py:4517 top()</t>
        </is>
      </c>
      <c r="IL44" s="9" t="inlineStr">
        <is>
          <t>v12_quick_engine.py:457 x8</t>
        </is>
      </c>
    </row>
    <row r="45" ht="11" customHeight="1">
      <c r="A45" s="10" t="inlineStr">
        <is>
          <t>BTC_TECH_EXIT_WT_MIN_TFS</t>
        </is>
      </c>
      <c r="B45" s="11" t="inlineStr">
        <is>
          <t>1.0</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ez_manage.py:4517 top()</t>
        </is>
      </c>
      <c r="IL45" s="9" t="inlineStr">
        <is>
          <t>v12_quick_engine.py:457 x8</t>
        </is>
      </c>
    </row>
    <row r="46" ht="11" customHeight="1">
      <c r="A46" s="10" t="inlineStr">
        <is>
          <t>BTC_TECH_EXIT_WT_MIN_TFS</t>
        </is>
      </c>
      <c r="B46" s="11" t="inlineStr">
        <is>
          <t>2.0</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ez_manage.py:4517 top()</t>
        </is>
      </c>
      <c r="IL46" s="9" t="inlineStr">
        <is>
          <t>v12_quick_engine.py:457 x8</t>
        </is>
      </c>
    </row>
    <row r="47" ht="11" customHeight="1">
      <c r="A47" s="10" t="inlineStr">
        <is>
          <t>ENTRY_PRIMARY_TF</t>
        </is>
      </c>
      <c r="B47" s="11" t="inlineStr">
        <is>
          <t>OFF</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55" t="n"/>
      <c r="FJ47" s="55" t="n"/>
      <c r="FK47" s="55" t="n"/>
      <c r="FL47" s="55" t="n"/>
      <c r="FM47" s="55"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ez_manage.py:3216 top()</t>
        </is>
      </c>
      <c r="IL47" s="9" t="inlineStr">
        <is>
          <t>v12_quick_engine.py:1728 x4</t>
        </is>
      </c>
    </row>
    <row r="48" ht="11" customHeight="1">
      <c r="A48" s="10" t="inlineStr">
        <is>
          <t>ENTRY_PRIMARY_TF</t>
        </is>
      </c>
      <c r="B48" s="11" t="inlineStr">
        <is>
          <t>D</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55" t="n"/>
      <c r="FJ48" s="55" t="n"/>
      <c r="FK48" s="55" t="n"/>
      <c r="FL48" s="55" t="n"/>
      <c r="FM48" s="55"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ez_manage.py:3216 top()</t>
        </is>
      </c>
      <c r="IL48" s="9" t="inlineStr">
        <is>
          <t>v12_quick_engine.py:1728 x4</t>
        </is>
      </c>
    </row>
    <row r="49" ht="11" customHeight="1">
      <c r="A49" s="6" t="inlineStr">
        <is>
          <t>ENTRY_PRIMARY_TF</t>
        </is>
      </c>
      <c r="B49" s="7" t="inlineStr">
        <is>
          <t>4h</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55" t="n"/>
      <c r="FJ49" s="55" t="n"/>
      <c r="FK49" s="55" t="n"/>
      <c r="FL49" s="55" t="n"/>
      <c r="FM49" s="55"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ez_manage.py:3216 top()</t>
        </is>
      </c>
      <c r="IL49" s="9" t="inlineStr">
        <is>
          <t>v12_quick_engine.py:1728 x4</t>
        </is>
      </c>
    </row>
    <row r="50" ht="11" customHeight="1">
      <c r="A50" s="10" t="inlineStr">
        <is>
          <t>ENTRY_PRIMARY_TF</t>
        </is>
      </c>
      <c r="B50" s="11" t="inlineStr">
        <is>
          <t>1h</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55" t="n"/>
      <c r="FJ50" s="55" t="n"/>
      <c r="FK50" s="55" t="n"/>
      <c r="FL50" s="55" t="n"/>
      <c r="FM50" s="55"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ez_manage.py:3216 top()</t>
        </is>
      </c>
      <c r="IL50" s="9" t="inlineStr">
        <is>
          <t>v12_quick_engine.py:1728 x4</t>
        </is>
      </c>
    </row>
    <row r="51" ht="11" customHeight="1">
      <c r="A51" s="10" t="inlineStr">
        <is>
          <t>ENTRY_PRIMARY_TF</t>
        </is>
      </c>
      <c r="B51" s="11" t="inlineStr">
        <is>
          <t>15m</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55" t="n"/>
      <c r="FJ51" s="55" t="n"/>
      <c r="FK51" s="55" t="n"/>
      <c r="FL51" s="55" t="n"/>
      <c r="FM51" s="55"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ez_manage.py:3216 top()</t>
        </is>
      </c>
      <c r="IL51" s="9" t="inlineStr">
        <is>
          <t>v12_quick_engine.py:1728 x4</t>
        </is>
      </c>
    </row>
    <row r="52" ht="11" customHeight="1">
      <c r="A52" s="10" t="inlineStr">
        <is>
          <t>ENTRY_SCORE_THRESHOLD</t>
        </is>
      </c>
      <c r="B52" s="11" t="inlineStr">
        <is>
          <t>9.0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55" t="n"/>
      <c r="FJ52" s="55" t="n"/>
      <c r="FK52" s="55" t="n"/>
      <c r="FL52" s="55" t="n"/>
      <c r="FM52" s="55"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ez_manage.py:4644 top()</t>
        </is>
      </c>
      <c r="IL52" s="9" t="inlineStr">
        <is>
          <t>v12_quick_engine.py:3394 x9</t>
        </is>
      </c>
    </row>
    <row r="53" ht="11" customHeight="1">
      <c r="A53" s="10" t="inlineStr">
        <is>
          <t>ENTRY_SCORE_THRESHOLD</t>
        </is>
      </c>
      <c r="B53" s="11" t="inlineStr">
        <is>
          <t>13.5</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55" t="n"/>
      <c r="FJ53" s="55" t="n"/>
      <c r="FK53" s="55" t="n"/>
      <c r="FL53" s="55" t="n"/>
      <c r="FM53" s="55"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ez_manage.py:4644 top()</t>
        </is>
      </c>
      <c r="IL53" s="9" t="inlineStr">
        <is>
          <t>v12_quick_engine.py:3394 x9</t>
        </is>
      </c>
    </row>
    <row r="54" ht="11" customHeight="1">
      <c r="A54" s="6" t="inlineStr">
        <is>
          <t>ENTRY_SCORE_THRESHOLD</t>
        </is>
      </c>
      <c r="B54" s="7" t="inlineStr">
        <is>
          <t>18.0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55" t="n"/>
      <c r="FJ54" s="55" t="n"/>
      <c r="FK54" s="55" t="n"/>
      <c r="FL54" s="55" t="n"/>
      <c r="FM54" s="55"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ez_manage.py:4644 top()</t>
        </is>
      </c>
      <c r="IL54" s="9" t="inlineStr">
        <is>
          <t>v12_quick_engine.py:3394 x9</t>
        </is>
      </c>
    </row>
    <row r="55" ht="11" customHeight="1">
      <c r="A55" s="10" t="inlineStr">
        <is>
          <t>ENTRY_SCORE_THRESHOLD</t>
        </is>
      </c>
      <c r="B55" s="11" t="inlineStr">
        <is>
          <t>22.5</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55" t="n"/>
      <c r="FJ55" s="55" t="n"/>
      <c r="FK55" s="55" t="n"/>
      <c r="FL55" s="55" t="n"/>
      <c r="FM55" s="55"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ez_manage.py:4644 top()</t>
        </is>
      </c>
      <c r="IL55" s="9" t="inlineStr">
        <is>
          <t>v12_quick_engine.py:3394 x9</t>
        </is>
      </c>
    </row>
    <row r="56" ht="11" customHeight="1">
      <c r="A56" s="10" t="inlineStr">
        <is>
          <t>ENTRY_SCORE_THRESHOLD</t>
        </is>
      </c>
      <c r="B56" s="11" t="inlineStr">
        <is>
          <t>27.0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55" t="n"/>
      <c r="FJ56" s="55" t="n"/>
      <c r="FK56" s="55" t="n"/>
      <c r="FL56" s="55" t="n"/>
      <c r="FM56" s="55"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ez_manage.py:4644 top()</t>
        </is>
      </c>
      <c r="IL56" s="9" t="inlineStr">
        <is>
          <t>v12_quick_engine.py:3394 x9</t>
        </is>
      </c>
    </row>
    <row r="57" ht="11" customHeight="1">
      <c r="A57" s="10" t="inlineStr">
        <is>
          <t>EXIT_SCORER_DC_EXTREME</t>
        </is>
      </c>
      <c r="B57" s="11" t="inlineStr">
        <is>
          <t>0.2</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55" t="n"/>
      <c r="BV57" s="55" t="n"/>
      <c r="BW57" s="55" t="n"/>
      <c r="BX57" s="55" t="n"/>
      <c r="BY57" s="55"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ez_manage.py:3252 top()</t>
        </is>
      </c>
      <c r="IL57" s="9" t="inlineStr">
        <is>
          <t>v12_quick_engine.py:1781 x6</t>
        </is>
      </c>
    </row>
    <row r="58" ht="11" customHeight="1">
      <c r="A58" s="10" t="inlineStr">
        <is>
          <t>EXIT_SCORER_DC_EXTREME</t>
        </is>
      </c>
      <c r="B58" s="11" t="inlineStr">
        <is>
          <t>0.3</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55" t="n"/>
      <c r="BV58" s="55" t="n"/>
      <c r="BW58" s="55" t="n"/>
      <c r="BX58" s="55" t="n"/>
      <c r="BY58" s="55"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ez_manage.py:3252 top()</t>
        </is>
      </c>
      <c r="IL58" s="9" t="inlineStr">
        <is>
          <t>v12_quick_engine.py:1781 x6</t>
        </is>
      </c>
    </row>
    <row r="59" ht="11" customHeight="1">
      <c r="A59" s="6" t="inlineStr">
        <is>
          <t>EXIT_SCORER_DC_EXTREME</t>
        </is>
      </c>
      <c r="B59" s="64" t="n">
        <v>0.8</v>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55" t="n"/>
      <c r="BV59" s="55" t="n"/>
      <c r="BW59" s="55" t="n"/>
      <c r="BX59" s="55" t="n"/>
      <c r="BY59" s="55"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ez_manage.py:3252 top()</t>
        </is>
      </c>
      <c r="IL59" s="9" t="inlineStr">
        <is>
          <t>v12_quick_engine.py:1781 x6</t>
        </is>
      </c>
    </row>
    <row r="60" ht="11" customHeight="1">
      <c r="A60" s="10" t="inlineStr">
        <is>
          <t>EXIT_SCORER_DC_EXTREME</t>
        </is>
      </c>
      <c r="B60" s="11" t="inlineStr">
        <is>
          <t>0.5</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55" t="n"/>
      <c r="BV60" s="55" t="n"/>
      <c r="BW60" s="55" t="n"/>
      <c r="BX60" s="55" t="n"/>
      <c r="BY60" s="55"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ez_manage.py:3252 top()</t>
        </is>
      </c>
      <c r="IL60" s="9" t="inlineStr">
        <is>
          <t>v12_quick_engine.py:1781 x6</t>
        </is>
      </c>
    </row>
    <row r="61" ht="11" customHeight="1">
      <c r="A61" s="10" t="inlineStr">
        <is>
          <t>EXIT_SCORER_DC_EXTREME</t>
        </is>
      </c>
      <c r="B61" s="11" t="inlineStr">
        <is>
          <t>0.6</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55" t="n"/>
      <c r="BV61" s="55" t="n"/>
      <c r="BW61" s="55" t="n"/>
      <c r="BX61" s="55" t="n"/>
      <c r="BY61" s="55"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ez_manage.py:3252 top()</t>
        </is>
      </c>
      <c r="IL61" s="9" t="inlineStr">
        <is>
          <t>v12_quick_engine.py:1781 x6</t>
        </is>
      </c>
    </row>
    <row r="62" ht="11" customHeight="1">
      <c r="A62" s="10" t="inlineStr">
        <is>
          <t>E_1_EXIT_DELTA_THR</t>
        </is>
      </c>
      <c r="B62" s="11" t="inlineStr">
        <is>
          <t>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55" t="n"/>
      <c r="CA62" s="55" t="n"/>
      <c r="CB62" s="55" t="n"/>
      <c r="CC62" s="55" t="n"/>
      <c r="CD62" s="55"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ez_manage.py:4698 top()</t>
        </is>
      </c>
      <c r="IL62" s="9" t="inlineStr">
        <is>
          <t>v12_quick_engine.py:1817 x9</t>
        </is>
      </c>
    </row>
    <row r="63" ht="11" customHeight="1">
      <c r="A63" s="10" t="inlineStr">
        <is>
          <t>E_1_EXIT_DELTA_THR</t>
        </is>
      </c>
      <c r="B63" s="11" t="inlineStr">
        <is>
          <t>0.5</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55" t="n"/>
      <c r="CA63" s="55" t="n"/>
      <c r="CB63" s="55" t="n"/>
      <c r="CC63" s="55" t="n"/>
      <c r="CD63" s="55"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ez_manage.py:4698 top()</t>
        </is>
      </c>
      <c r="IL63" s="9" t="inlineStr">
        <is>
          <t>v12_quick_engine.py:1817 x9</t>
        </is>
      </c>
    </row>
    <row r="64" ht="11" customHeight="1">
      <c r="A64" s="10" t="inlineStr">
        <is>
          <t>E_1_EXIT_DELTA_THR</t>
        </is>
      </c>
      <c r="B64" s="11" t="inlineStr">
        <is>
          <t>1.0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55" t="n"/>
      <c r="CA64" s="55" t="n"/>
      <c r="CB64" s="55" t="n"/>
      <c r="CC64" s="55" t="n"/>
      <c r="CD64" s="55"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ez_manage.py:4698 top()</t>
        </is>
      </c>
      <c r="IL64" s="9" t="inlineStr">
        <is>
          <t>v12_quick_engine.py:1817 x9</t>
        </is>
      </c>
    </row>
    <row r="65" ht="11" customHeight="1">
      <c r="A65" s="10" t="inlineStr">
        <is>
          <t>E_1_EXIT_DELTA_THR</t>
        </is>
      </c>
      <c r="B65" s="11" t="inlineStr">
        <is>
          <t>2.0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55" t="n"/>
      <c r="CA65" s="55" t="n"/>
      <c r="CB65" s="55" t="n"/>
      <c r="CC65" s="55" t="n"/>
      <c r="CD65" s="55"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ez_manage.py:4698 top()</t>
        </is>
      </c>
      <c r="IL65" s="9" t="inlineStr">
        <is>
          <t>v12_quick_engine.py:1817 x9</t>
        </is>
      </c>
    </row>
    <row r="66" ht="11" customHeight="1">
      <c r="A66" s="6" t="inlineStr">
        <is>
          <t>HAIKU_ENTRY_GATE_ENABLED</t>
        </is>
      </c>
      <c r="B66" s="7" t="inlineStr">
        <is>
          <t>False</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55" t="n"/>
      <c r="FC66" s="55" t="n"/>
      <c r="FD66" s="55" t="n"/>
      <c r="FE66" s="55" t="n"/>
      <c r="FF66" s="55" t="n"/>
      <c r="FG66" s="8" t="n"/>
      <c r="FH66" s="8" t="n"/>
      <c r="FI66" s="55" t="n"/>
      <c r="FJ66" s="55" t="n"/>
      <c r="FK66" s="55" t="n"/>
      <c r="FL66" s="55" t="n"/>
      <c r="FM66" s="55"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55" t="n"/>
      <c r="HY66" s="55" t="n"/>
      <c r="HZ66" s="55" t="n"/>
      <c r="IA66" s="55" t="n"/>
      <c r="IB66" s="55" t="n"/>
      <c r="IC66" s="55" t="n"/>
      <c r="ID66" s="55" t="n"/>
      <c r="IE66" s="55" t="n"/>
      <c r="IF66" s="55" t="n"/>
      <c r="IG66" s="55" t="n"/>
      <c r="IH66" s="55" t="n"/>
      <c r="II66" s="55" t="n"/>
      <c r="IK66" s="9" t="inlineStr">
        <is>
          <t>ez_manage.py:6007 top()</t>
        </is>
      </c>
      <c r="IL66" s="9" t="inlineStr">
        <is>
          <t>v12_quick_engine.py:4265 x2</t>
        </is>
      </c>
    </row>
    <row r="67" ht="11" customHeight="1">
      <c r="A67" s="10" t="inlineStr">
        <is>
          <t>HAIKU_ENTRY_GATE_ENABLED</t>
        </is>
      </c>
      <c r="B67" s="11" t="inlineStr">
        <is>
          <t>True</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55" t="n"/>
      <c r="FC67" s="55" t="n"/>
      <c r="FD67" s="55" t="n"/>
      <c r="FE67" s="55" t="n"/>
      <c r="FF67" s="55" t="n"/>
      <c r="FG67" s="8" t="n"/>
      <c r="FH67" s="8" t="n"/>
      <c r="FI67" s="55" t="n"/>
      <c r="FJ67" s="55" t="n"/>
      <c r="FK67" s="55" t="n"/>
      <c r="FL67" s="55" t="n"/>
      <c r="FM67" s="55"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55" t="n"/>
      <c r="HY67" s="55" t="n"/>
      <c r="HZ67" s="55" t="n"/>
      <c r="IA67" s="55" t="n"/>
      <c r="IB67" s="55" t="n"/>
      <c r="IC67" s="55" t="n"/>
      <c r="ID67" s="55" t="n"/>
      <c r="IE67" s="55" t="n"/>
      <c r="IF67" s="55" t="n"/>
      <c r="IG67" s="55" t="n"/>
      <c r="IH67" s="55" t="n"/>
      <c r="II67" s="55" t="n"/>
      <c r="IK67" s="9" t="inlineStr">
        <is>
          <t>ez_manage.py:6007 top()</t>
        </is>
      </c>
      <c r="IL67" s="9" t="inlineStr">
        <is>
          <t>v12_quick_engine.py:4265 x2</t>
        </is>
      </c>
    </row>
    <row r="68" ht="11" customHeight="1">
      <c r="A68" s="10" t="inlineStr">
        <is>
          <t>HTF_GATE_SIGNALS_SMA200D</t>
        </is>
      </c>
      <c r="B68" s="11" t="inlineStr">
        <is>
          <t>False</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55" t="n"/>
      <c r="EN68" s="55" t="n"/>
      <c r="EO68" s="55" t="n"/>
      <c r="EP68" s="55" t="n"/>
      <c r="EQ68" s="55"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55" t="n"/>
      <c r="FO68" s="55" t="n"/>
      <c r="FP68" s="55" t="n"/>
      <c r="FQ68" s="55" t="n"/>
      <c r="FR68" s="55"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ez_manage.py:4881 top()</t>
        </is>
      </c>
      <c r="IL68" s="9" t="inlineStr">
        <is>
          <t>v12_quick_engine.py:2057 x7</t>
        </is>
      </c>
    </row>
    <row r="69" ht="11" customHeight="1">
      <c r="A69" s="6" t="inlineStr">
        <is>
          <t>HTF_GATE_SIGNALS_SMA200D</t>
        </is>
      </c>
      <c r="B69" s="7" t="inlineStr">
        <is>
          <t>True</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55" t="n"/>
      <c r="EN69" s="55" t="n"/>
      <c r="EO69" s="55" t="n"/>
      <c r="EP69" s="55" t="n"/>
      <c r="EQ69" s="55"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55" t="n"/>
      <c r="FO69" s="55" t="n"/>
      <c r="FP69" s="55" t="n"/>
      <c r="FQ69" s="55" t="n"/>
      <c r="FR69" s="55"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ez_manage.py:4881 top()</t>
        </is>
      </c>
      <c r="IL69" s="9" t="inlineStr">
        <is>
          <t>v12_quick_engine.py:2057 x7</t>
        </is>
      </c>
    </row>
    <row r="70" ht="11" customHeight="1">
      <c r="A70" s="10" t="inlineStr">
        <is>
          <t>INTRADAY_SESSION_FORCE_EXIT_UTC</t>
        </is>
      </c>
      <c r="B70" s="11" t="inlineStr">
        <is>
          <t>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ez_manage.py:6014 top()</t>
        </is>
      </c>
      <c r="IL70" s="9" t="inlineStr">
        <is>
          <t>v12_quick_engine.py:4267 x4</t>
        </is>
      </c>
    </row>
    <row r="71" ht="11" customHeight="1">
      <c r="A71" s="10" t="inlineStr">
        <is>
          <t>INTRADAY_SESSION_FORCE_EXIT_UTC</t>
        </is>
      </c>
      <c r="B71" s="11" t="inlineStr">
        <is>
          <t>0.5</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ez_manage.py:6014 top()</t>
        </is>
      </c>
      <c r="IL71" s="9" t="inlineStr">
        <is>
          <t>v12_quick_engine.py:4267 x4</t>
        </is>
      </c>
    </row>
    <row r="72" ht="11" customHeight="1">
      <c r="A72" s="10" t="inlineStr">
        <is>
          <t>INTRADAY_SESSION_FORCE_EXIT_UTC</t>
        </is>
      </c>
      <c r="B72" s="11" t="inlineStr">
        <is>
          <t>1.0</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ez_manage.py:6014 top()</t>
        </is>
      </c>
      <c r="IL72" s="9" t="inlineStr">
        <is>
          <t>v12_quick_engine.py:4267 x4</t>
        </is>
      </c>
    </row>
    <row r="73" ht="11" customHeight="1">
      <c r="A73" s="10" t="inlineStr">
        <is>
          <t>INTRADAY_SESSION_FORCE_EXIT_UTC</t>
        </is>
      </c>
      <c r="B73" s="11" t="inlineStr">
        <is>
          <t>2.0</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ez_manage.py:6014 top()</t>
        </is>
      </c>
      <c r="IL73" s="9" t="inlineStr">
        <is>
          <t>v12_quick_engine.py:4267 x4</t>
        </is>
      </c>
    </row>
    <row r="74" ht="11" customHeight="1">
      <c r="A74" s="6" t="inlineStr">
        <is>
          <t>MACD_ZERO_CROSS_ENABLED</t>
        </is>
      </c>
      <c r="B74" s="7" t="inlineStr">
        <is>
          <t>False</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55" t="n"/>
      <c r="HY74" s="55" t="n"/>
      <c r="HZ74" s="55" t="n"/>
      <c r="IA74" s="55" t="n"/>
      <c r="IB74" s="55" t="n"/>
      <c r="IC74" s="55" t="n"/>
      <c r="ID74" s="55" t="n"/>
      <c r="IE74" s="55" t="n"/>
      <c r="IF74" s="55" t="n"/>
      <c r="IG74" s="55" t="n"/>
      <c r="IH74" s="55" t="n"/>
      <c r="II74" s="55" t="n"/>
      <c r="IK74" s="9" t="inlineStr">
        <is>
          <t>ez_manage.py:3499 top()</t>
        </is>
      </c>
      <c r="IL74" s="9" t="inlineStr">
        <is>
          <t>v12_quick_engine.py:2234 x2</t>
        </is>
      </c>
    </row>
    <row r="75" ht="11" customHeight="1">
      <c r="A75" s="10" t="inlineStr">
        <is>
          <t>MACD_ZERO_CROSS_ENABLED</t>
        </is>
      </c>
      <c r="B75" s="11" t="inlineStr">
        <is>
          <t>True</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55" t="n"/>
      <c r="HY75" s="55" t="n"/>
      <c r="HZ75" s="55" t="n"/>
      <c r="IA75" s="55" t="n"/>
      <c r="IB75" s="55" t="n"/>
      <c r="IC75" s="55" t="n"/>
      <c r="ID75" s="55" t="n"/>
      <c r="IE75" s="55" t="n"/>
      <c r="IF75" s="55" t="n"/>
      <c r="IG75" s="55" t="n"/>
      <c r="IH75" s="55" t="n"/>
      <c r="II75" s="55" t="n"/>
      <c r="IK75" s="9" t="inlineStr">
        <is>
          <t>ez_manage.py:3499 top()</t>
        </is>
      </c>
      <c r="IL75" s="9" t="inlineStr">
        <is>
          <t>v12_quick_engine.py:2234 x2</t>
        </is>
      </c>
    </row>
    <row r="76" ht="11" customHeight="1">
      <c r="A76" s="10" t="inlineStr">
        <is>
          <t>MACD_ZERO_CROSS_SCORE</t>
        </is>
      </c>
      <c r="B76" s="11" t="inlineStr">
        <is>
          <t>8</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ez_manage.py:3500 top()</t>
        </is>
      </c>
      <c r="IL76" s="9" t="inlineStr">
        <is>
          <t>v12_quick_engine.py:2235 x2</t>
        </is>
      </c>
    </row>
    <row r="77" ht="11" customHeight="1">
      <c r="A77" s="10" t="inlineStr">
        <is>
          <t>MACD_ZERO_CROSS_SCORE</t>
        </is>
      </c>
      <c r="B77" s="11" t="inlineStr">
        <is>
          <t>11</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ez_manage.py:3500 top()</t>
        </is>
      </c>
      <c r="IL77" s="9" t="inlineStr">
        <is>
          <t>v12_quick_engine.py:2235 x2</t>
        </is>
      </c>
    </row>
    <row r="78" ht="11" customHeight="1">
      <c r="A78" s="6" t="inlineStr">
        <is>
          <t>MACD_ZERO_CROSS_SCORE</t>
        </is>
      </c>
      <c r="B78" s="7" t="inlineStr">
        <is>
          <t>15</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ez_manage.py:3500 top()</t>
        </is>
      </c>
      <c r="IL78" s="9" t="inlineStr">
        <is>
          <t>v12_quick_engine.py:2235 x2</t>
        </is>
      </c>
    </row>
    <row r="79" ht="11" customHeight="1">
      <c r="A79" s="10" t="inlineStr">
        <is>
          <t>MACD_ZERO_CROSS_SCORE</t>
        </is>
      </c>
      <c r="B79" s="11" t="inlineStr">
        <is>
          <t>19</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ez_manage.py:3500 top()</t>
        </is>
      </c>
      <c r="IL79" s="9" t="inlineStr">
        <is>
          <t>v12_quick_engine.py:2235 x2</t>
        </is>
      </c>
    </row>
    <row r="80" ht="11" customHeight="1">
      <c r="A80" s="10" t="inlineStr">
        <is>
          <t>MACD_ZERO_CROSS_SCORE</t>
        </is>
      </c>
      <c r="B80" s="11" t="inlineStr">
        <is>
          <t>22</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ez_manage.py:3500 top()</t>
        </is>
      </c>
      <c r="IL80" s="9" t="inlineStr">
        <is>
          <t>v12_quick_engine.py:2235 x2</t>
        </is>
      </c>
    </row>
    <row r="81" ht="11" customHeight="1">
      <c r="A81" s="10" t="inlineStr">
        <is>
          <t>MACD_ZERO_CROSS_TF</t>
        </is>
      </c>
      <c r="B81" s="11" t="inlineStr">
        <is>
          <t>OFF</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ez_manage.py:3501 top()</t>
        </is>
      </c>
      <c r="IL81" s="9" t="inlineStr">
        <is>
          <t>v12_quick_engine.py:2236 x2</t>
        </is>
      </c>
    </row>
    <row r="82" ht="11" customHeight="1">
      <c r="A82" s="10" t="inlineStr">
        <is>
          <t>MACD_ZERO_CROSS_TF</t>
        </is>
      </c>
      <c r="B82" s="11" t="inlineStr">
        <is>
          <t>D</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ez_manage.py:3501 top()</t>
        </is>
      </c>
      <c r="IL82" s="9" t="inlineStr">
        <is>
          <t>v12_quick_engine.py:2236 x2</t>
        </is>
      </c>
    </row>
    <row r="83" ht="11" customHeight="1">
      <c r="A83" s="10" t="inlineStr">
        <is>
          <t>MACD_ZERO_CROSS_TF</t>
        </is>
      </c>
      <c r="B83" s="11" t="inlineStr">
        <is>
          <t>4h</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55" t="n"/>
      <c r="AW83" s="55" t="n"/>
      <c r="AX83" s="55" t="n"/>
      <c r="AY83" s="55" t="n"/>
      <c r="AZ83" s="55"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ez_manage.py:3501 top()</t>
        </is>
      </c>
      <c r="IL83" s="9" t="inlineStr">
        <is>
          <t>v12_quick_engine.py:2236 x2</t>
        </is>
      </c>
    </row>
    <row r="84" ht="11" customHeight="1">
      <c r="A84" s="10" t="inlineStr">
        <is>
          <t>MACD_ZERO_CROSS_TF</t>
        </is>
      </c>
      <c r="B84" s="11" t="inlineStr">
        <is>
          <t>1h</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55" t="n"/>
      <c r="AW84" s="55" t="n"/>
      <c r="AX84" s="55" t="n"/>
      <c r="AY84" s="55" t="n"/>
      <c r="AZ84" s="55"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ez_manage.py:3501 top()</t>
        </is>
      </c>
      <c r="IL84" s="9" t="inlineStr">
        <is>
          <t>v12_quick_engine.py:2236 x2</t>
        </is>
      </c>
    </row>
    <row r="85" ht="11" customHeight="1">
      <c r="A85" s="6" t="inlineStr">
        <is>
          <t>MACD_ZERO_CROSS_TF</t>
        </is>
      </c>
      <c r="B85" s="7" t="inlineStr">
        <is>
          <t>15m</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55" t="n"/>
      <c r="AW85" s="55" t="n"/>
      <c r="AX85" s="55" t="n"/>
      <c r="AY85" s="55" t="n"/>
      <c r="AZ85" s="55"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ez_manage.py:3501 top()</t>
        </is>
      </c>
      <c r="IL85" s="9" t="inlineStr">
        <is>
          <t>v12_quick_engine.py:2236 x2</t>
        </is>
      </c>
    </row>
    <row r="86" ht="11" customHeight="1">
      <c r="A86" s="10" t="inlineStr">
        <is>
          <t>MI_MIN_GAIN_EXIT</t>
        </is>
      </c>
      <c r="B86" s="11" t="inlineStr">
        <is>
          <t>0</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ez_manage.py:3565 top()</t>
        </is>
      </c>
      <c r="IL86" s="9" t="inlineStr">
        <is>
          <t>v12_quick_engine.py:2342 x8</t>
        </is>
      </c>
    </row>
    <row r="87" ht="11" customHeight="1">
      <c r="A87" s="10" t="inlineStr">
        <is>
          <t>MI_MIN_GAIN_EXIT</t>
        </is>
      </c>
      <c r="B87" s="11" t="inlineStr">
        <is>
          <t>0.5</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ez_manage.py:3565 top()</t>
        </is>
      </c>
      <c r="IL87" s="9" t="inlineStr">
        <is>
          <t>v12_quick_engine.py:2342 x8</t>
        </is>
      </c>
    </row>
    <row r="88" ht="11" customHeight="1">
      <c r="A88" s="10" t="inlineStr">
        <is>
          <t>MI_MIN_GAIN_EXIT</t>
        </is>
      </c>
      <c r="B88" s="11" t="inlineStr">
        <is>
          <t>1.0</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ez_manage.py:3565 top()</t>
        </is>
      </c>
      <c r="IL88" s="9" t="inlineStr">
        <is>
          <t>v12_quick_engine.py:2342 x8</t>
        </is>
      </c>
    </row>
    <row r="89" ht="11" customHeight="1">
      <c r="A89" s="10" t="inlineStr">
        <is>
          <t>MI_MIN_GAIN_EXIT</t>
        </is>
      </c>
      <c r="B89" s="11" t="inlineStr">
        <is>
          <t>2.0</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ez_manage.py:3565 top()</t>
        </is>
      </c>
      <c r="IL89" s="9" t="inlineStr">
        <is>
          <t>v12_quick_engine.py:2342 x8</t>
        </is>
      </c>
    </row>
    <row r="90" ht="11" customHeight="1">
      <c r="A90" s="10" t="inlineStr">
        <is>
          <t>PARTIAL_EXIT_FRAC</t>
        </is>
      </c>
      <c r="B90" s="11" t="inlineStr">
        <is>
          <t>0</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55" t="n"/>
      <c r="HO90" s="55" t="n"/>
      <c r="HP90" s="55" t="n"/>
      <c r="HQ90" s="55" t="n"/>
      <c r="HR90" s="55" t="n"/>
      <c r="HS90" s="8" t="n"/>
      <c r="HT90" s="8" t="n"/>
      <c r="HU90" s="8" t="n"/>
      <c r="HV90" s="8" t="n"/>
      <c r="HW90" s="8" t="n"/>
      <c r="HX90" s="8" t="n"/>
      <c r="HY90" s="8" t="n"/>
      <c r="HZ90" s="8" t="n"/>
      <c r="IA90" s="8" t="n"/>
      <c r="IB90" s="8" t="n"/>
      <c r="IC90" s="8" t="n"/>
      <c r="ID90" s="8" t="n"/>
      <c r="IE90" s="8" t="n"/>
      <c r="IF90" s="8" t="n"/>
      <c r="IG90" s="8" t="n"/>
      <c r="IH90" s="8" t="n"/>
      <c r="II90" s="8" t="n"/>
      <c r="IK90" s="9" t="inlineStr">
        <is>
          <t>ez_manage.py:6038 top()</t>
        </is>
      </c>
      <c r="IL90" s="9" t="inlineStr">
        <is>
          <t>v12_quick_engine.py:4280 x2</t>
        </is>
      </c>
    </row>
    <row r="91" ht="11" customHeight="1">
      <c r="A91" s="10" t="inlineStr">
        <is>
          <t>PARTIAL_EXIT_FRAC</t>
        </is>
      </c>
      <c r="B91" s="11" t="inlineStr">
        <is>
          <t>0.5</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55" t="n"/>
      <c r="HO91" s="55" t="n"/>
      <c r="HP91" s="55" t="n"/>
      <c r="HQ91" s="55" t="n"/>
      <c r="HR91" s="55" t="n"/>
      <c r="HS91" s="8" t="n"/>
      <c r="HT91" s="8" t="n"/>
      <c r="HU91" s="8" t="n"/>
      <c r="HV91" s="8" t="n"/>
      <c r="HW91" s="8" t="n"/>
      <c r="HX91" s="8" t="n"/>
      <c r="HY91" s="8" t="n"/>
      <c r="HZ91" s="8" t="n"/>
      <c r="IA91" s="8" t="n"/>
      <c r="IB91" s="8" t="n"/>
      <c r="IC91" s="8" t="n"/>
      <c r="ID91" s="8" t="n"/>
      <c r="IE91" s="8" t="n"/>
      <c r="IF91" s="8" t="n"/>
      <c r="IG91" s="8" t="n"/>
      <c r="IH91" s="8" t="n"/>
      <c r="II91" s="8" t="n"/>
      <c r="IK91" s="9" t="inlineStr">
        <is>
          <t>ez_manage.py:6038 top()</t>
        </is>
      </c>
      <c r="IL91" s="9" t="inlineStr">
        <is>
          <t>v12_quick_engine.py:4280 x2</t>
        </is>
      </c>
    </row>
    <row r="92" ht="11" customHeight="1">
      <c r="A92" s="10" t="inlineStr">
        <is>
          <t>PARTIAL_EXIT_FRAC</t>
        </is>
      </c>
      <c r="B92" s="11" t="inlineStr">
        <is>
          <t>1.0</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55" t="n"/>
      <c r="HO92" s="55" t="n"/>
      <c r="HP92" s="55" t="n"/>
      <c r="HQ92" s="55" t="n"/>
      <c r="HR92" s="55" t="n"/>
      <c r="HS92" s="8" t="n"/>
      <c r="HT92" s="8" t="n"/>
      <c r="HU92" s="8" t="n"/>
      <c r="HV92" s="8" t="n"/>
      <c r="HW92" s="8" t="n"/>
      <c r="HX92" s="8" t="n"/>
      <c r="HY92" s="8" t="n"/>
      <c r="HZ92" s="8" t="n"/>
      <c r="IA92" s="8" t="n"/>
      <c r="IB92" s="8" t="n"/>
      <c r="IC92" s="8" t="n"/>
      <c r="ID92" s="8" t="n"/>
      <c r="IE92" s="8" t="n"/>
      <c r="IF92" s="8" t="n"/>
      <c r="IG92" s="8" t="n"/>
      <c r="IH92" s="8" t="n"/>
      <c r="II92" s="8" t="n"/>
      <c r="IK92" s="9" t="inlineStr">
        <is>
          <t>ez_manage.py:6038 top()</t>
        </is>
      </c>
      <c r="IL92" s="9" t="inlineStr">
        <is>
          <t>v12_quick_engine.py:4280 x2</t>
        </is>
      </c>
    </row>
    <row r="93" ht="11" customHeight="1">
      <c r="A93" s="10" t="inlineStr">
        <is>
          <t>PARTIAL_EXIT_FRAC</t>
        </is>
      </c>
      <c r="B93" s="11" t="inlineStr">
        <is>
          <t>2.0</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55" t="n"/>
      <c r="HO93" s="55" t="n"/>
      <c r="HP93" s="55" t="n"/>
      <c r="HQ93" s="55" t="n"/>
      <c r="HR93" s="55" t="n"/>
      <c r="HS93" s="8" t="n"/>
      <c r="HT93" s="8" t="n"/>
      <c r="HU93" s="8" t="n"/>
      <c r="HV93" s="8" t="n"/>
      <c r="HW93" s="8" t="n"/>
      <c r="HX93" s="8" t="n"/>
      <c r="HY93" s="8" t="n"/>
      <c r="HZ93" s="8" t="n"/>
      <c r="IA93" s="8" t="n"/>
      <c r="IB93" s="8" t="n"/>
      <c r="IC93" s="8" t="n"/>
      <c r="ID93" s="8" t="n"/>
      <c r="IE93" s="8" t="n"/>
      <c r="IF93" s="8" t="n"/>
      <c r="IG93" s="8" t="n"/>
      <c r="IH93" s="8" t="n"/>
      <c r="II93" s="8" t="n"/>
      <c r="IK93" s="9" t="inlineStr">
        <is>
          <t>ez_manage.py:6038 top()</t>
        </is>
      </c>
      <c r="IL93" s="9" t="inlineStr">
        <is>
          <t>v12_quick_engine.py:4280 x2</t>
        </is>
      </c>
    </row>
    <row r="94" ht="11" customHeight="1">
      <c r="A94" s="10" t="inlineStr">
        <is>
          <t>QUICK_REENTRY_60MIN_MIN_PCT</t>
        </is>
      </c>
      <c r="B94" s="11" t="inlineStr">
        <is>
          <t>0</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ez_manage.py:6042 top()</t>
        </is>
      </c>
      <c r="IL94" s="9" t="inlineStr">
        <is>
          <t>v12_quick_engine.py:4283 x4</t>
        </is>
      </c>
    </row>
    <row r="95" ht="11" customHeight="1">
      <c r="A95" s="10" t="inlineStr">
        <is>
          <t>QUICK_REENTRY_60MIN_MIN_PCT</t>
        </is>
      </c>
      <c r="B95" s="11" t="inlineStr">
        <is>
          <t>0.5</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ez_manage.py:6042 top()</t>
        </is>
      </c>
      <c r="IL95" s="9" t="inlineStr">
        <is>
          <t>v12_quick_engine.py:4283 x4</t>
        </is>
      </c>
    </row>
    <row r="96" ht="11" customHeight="1">
      <c r="A96" s="10" t="inlineStr">
        <is>
          <t>QUICK_REENTRY_60MIN_MIN_PCT</t>
        </is>
      </c>
      <c r="B96" s="11" t="inlineStr">
        <is>
          <t>1.0</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ez_manage.py:6042 top()</t>
        </is>
      </c>
      <c r="IL96" s="9" t="inlineStr">
        <is>
          <t>v12_quick_engine.py:4283 x4</t>
        </is>
      </c>
    </row>
    <row r="97" ht="11" customHeight="1">
      <c r="A97" s="10" t="inlineStr">
        <is>
          <t>QUICK_REENTRY_60MIN_MIN_PCT</t>
        </is>
      </c>
      <c r="B97" s="11" t="inlineStr">
        <is>
          <t>2.0</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ez_manage.py:6042 top()</t>
        </is>
      </c>
      <c r="IL97" s="9" t="inlineStr">
        <is>
          <t>v12_quick_engine.py:4283 x4</t>
        </is>
      </c>
    </row>
    <row r="98" ht="11" customHeight="1">
      <c r="A98" s="6" t="inlineStr">
        <is>
          <t>REENTRY2_STOCH_CROSS_ENABLED</t>
        </is>
      </c>
      <c r="B98" s="7" t="inlineStr">
        <is>
          <t>False</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55" t="n"/>
      <c r="HY98" s="55" t="n"/>
      <c r="HZ98" s="55" t="n"/>
      <c r="IA98" s="55" t="n"/>
      <c r="IB98" s="55" t="n"/>
      <c r="IC98" s="55" t="n"/>
      <c r="ID98" s="55" t="n"/>
      <c r="IE98" s="55" t="n"/>
      <c r="IF98" s="55" t="n"/>
      <c r="IG98" s="55" t="n"/>
      <c r="IH98" s="55" t="n"/>
      <c r="II98" s="55" t="n"/>
      <c r="IK98" s="9" t="inlineStr">
        <is>
          <t>ez_manage.py:5285 top()</t>
        </is>
      </c>
      <c r="IL98" s="9" t="inlineStr">
        <is>
          <t>v12_quick_engine.py:2842 x10</t>
        </is>
      </c>
    </row>
    <row r="99" ht="11" customHeight="1">
      <c r="A99" s="10" t="inlineStr">
        <is>
          <t>REENTRY2_STOCH_CROSS_ENABLED</t>
        </is>
      </c>
      <c r="B99" s="11" t="inlineStr">
        <is>
          <t>True</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55" t="n"/>
      <c r="HY99" s="55" t="n"/>
      <c r="HZ99" s="55" t="n"/>
      <c r="IA99" s="55" t="n"/>
      <c r="IB99" s="55" t="n"/>
      <c r="IC99" s="55" t="n"/>
      <c r="ID99" s="55" t="n"/>
      <c r="IE99" s="55" t="n"/>
      <c r="IF99" s="55" t="n"/>
      <c r="IG99" s="55" t="n"/>
      <c r="IH99" s="55" t="n"/>
      <c r="II99" s="55" t="n"/>
      <c r="IK99" s="9" t="inlineStr">
        <is>
          <t>ez_manage.py:5285 top()</t>
        </is>
      </c>
      <c r="IL99" s="9" t="inlineStr">
        <is>
          <t>v12_quick_engine.py:2842 x10</t>
        </is>
      </c>
    </row>
    <row r="100" ht="11" customHeight="1">
      <c r="A100" s="10" t="inlineStr">
        <is>
          <t>REENTRY_K15M_PARTIAL_MULT</t>
        </is>
      </c>
      <c r="B100" s="11" t="inlineStr">
        <is>
          <t>0.125</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55" t="n"/>
      <c r="HO100" s="55" t="n"/>
      <c r="HP100" s="55" t="n"/>
      <c r="HQ100" s="55" t="n"/>
      <c r="HR100" s="55"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ez_manage.py:3860 top()</t>
        </is>
      </c>
      <c r="IL100" s="9" t="inlineStr">
        <is>
          <t>v12_quick_engine.py:2884 x8</t>
        </is>
      </c>
    </row>
    <row r="101" ht="11" customHeight="1">
      <c r="A101" s="10" t="inlineStr">
        <is>
          <t>REENTRY_K15M_PARTIAL_MULT</t>
        </is>
      </c>
      <c r="B101" s="11" t="inlineStr">
        <is>
          <t>0.1875</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55" t="n"/>
      <c r="HO101" s="55" t="n"/>
      <c r="HP101" s="55" t="n"/>
      <c r="HQ101" s="55" t="n"/>
      <c r="HR101" s="55"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ez_manage.py:3860 top()</t>
        </is>
      </c>
      <c r="IL101" s="9" t="inlineStr">
        <is>
          <t>v12_quick_engine.py:2884 x8</t>
        </is>
      </c>
    </row>
    <row r="102" ht="11" customHeight="1">
      <c r="A102" s="6" t="inlineStr">
        <is>
          <t>REENTRY_K15M_PARTIAL_MULT</t>
        </is>
      </c>
      <c r="B102" s="7" t="inlineStr">
        <is>
          <t>0.25</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55" t="n"/>
      <c r="HO102" s="55" t="n"/>
      <c r="HP102" s="55" t="n"/>
      <c r="HQ102" s="55" t="n"/>
      <c r="HR102" s="55"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ez_manage.py:3860 top()</t>
        </is>
      </c>
      <c r="IL102" s="9" t="inlineStr">
        <is>
          <t>v12_quick_engine.py:2884 x8</t>
        </is>
      </c>
    </row>
    <row r="103" ht="11" customHeight="1">
      <c r="A103" s="10" t="inlineStr">
        <is>
          <t>REENTRY_K15M_PARTIAL_MULT</t>
        </is>
      </c>
      <c r="B103" s="11" t="inlineStr">
        <is>
          <t>0.3125</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55" t="n"/>
      <c r="HO103" s="55" t="n"/>
      <c r="HP103" s="55" t="n"/>
      <c r="HQ103" s="55" t="n"/>
      <c r="HR103" s="55"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ez_manage.py:3860 top()</t>
        </is>
      </c>
      <c r="IL103" s="9" t="inlineStr">
        <is>
          <t>v12_quick_engine.py:2884 x8</t>
        </is>
      </c>
    </row>
    <row r="104" ht="11" customHeight="1">
      <c r="A104" s="10" t="inlineStr">
        <is>
          <t>REENTRY_K15M_PARTIAL_MULT</t>
        </is>
      </c>
      <c r="B104" s="11" t="inlineStr">
        <is>
          <t>0.375</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55" t="n"/>
      <c r="HO104" s="55" t="n"/>
      <c r="HP104" s="55" t="n"/>
      <c r="HQ104" s="55" t="n"/>
      <c r="HR104" s="55"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ez_manage.py:3860 top()</t>
        </is>
      </c>
      <c r="IL104" s="9" t="inlineStr">
        <is>
          <t>v12_quick_engine.py:2884 x8</t>
        </is>
      </c>
    </row>
    <row r="105" ht="11" customHeight="1">
      <c r="A105" s="10" t="inlineStr">
        <is>
          <t>REENTRY_RALLY_K15M_MAX</t>
        </is>
      </c>
      <c r="B105" s="11" t="inlineStr">
        <is>
          <t>50.0</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ez_manage.py:3869 top()</t>
        </is>
      </c>
      <c r="IL105" s="9" t="inlineStr">
        <is>
          <t>v12_quick_engine.py:2902 x8</t>
        </is>
      </c>
    </row>
    <row r="106" ht="11" customHeight="1">
      <c r="A106" s="10" t="inlineStr">
        <is>
          <t>REENTRY_RALLY_K15M_MAX</t>
        </is>
      </c>
      <c r="B106" s="11" t="inlineStr">
        <is>
          <t>75.0</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ez_manage.py:3869 top()</t>
        </is>
      </c>
      <c r="IL106" s="9" t="inlineStr">
        <is>
          <t>v12_quick_engine.py:2902 x8</t>
        </is>
      </c>
    </row>
    <row r="107" ht="11" customHeight="1">
      <c r="A107" s="6" t="inlineStr">
        <is>
          <t>REENTRY_RALLY_K15M_MAX</t>
        </is>
      </c>
      <c r="B107" s="7" t="inlineStr">
        <is>
          <t>100.0</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ez_manage.py:3869 top()</t>
        </is>
      </c>
      <c r="IL107" s="9" t="inlineStr">
        <is>
          <t>v12_quick_engine.py:2902 x8</t>
        </is>
      </c>
    </row>
    <row r="108" ht="11" customHeight="1">
      <c r="A108" s="10" t="inlineStr">
        <is>
          <t>REENTRY_RALLY_K15M_MAX</t>
        </is>
      </c>
      <c r="B108" s="11" t="inlineStr">
        <is>
          <t>125.0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ez_manage.py:3869 top()</t>
        </is>
      </c>
      <c r="IL108" s="9" t="inlineStr">
        <is>
          <t>v12_quick_engine.py:2902 x8</t>
        </is>
      </c>
    </row>
    <row r="109" ht="11" customHeight="1">
      <c r="A109" s="10" t="inlineStr">
        <is>
          <t>REENTRY_RALLY_K15M_MAX</t>
        </is>
      </c>
      <c r="B109" s="11" t="inlineStr">
        <is>
          <t>150.0</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ez_manage.py:3869 top()</t>
        </is>
      </c>
      <c r="IL109" s="9" t="inlineStr">
        <is>
          <t>v12_quick_engine.py:2902 x8</t>
        </is>
      </c>
    </row>
    <row r="110" ht="11" customHeight="1">
      <c r="A110" s="10" t="inlineStr">
        <is>
          <t>REGIME_TRENDING_EXIT_GAIN_MIN</t>
        </is>
      </c>
      <c r="B110" s="11" t="inlineStr">
        <is>
          <t>1.0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55" t="n"/>
      <c r="AM110" s="55" t="n"/>
      <c r="AN110" s="55" t="n"/>
      <c r="AO110" s="55" t="n"/>
      <c r="AP110" s="55"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55"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ez_manage.py:5359 top()</t>
        </is>
      </c>
      <c r="IL110" s="9" t="inlineStr">
        <is>
          <t>v12_quick_engine.py:2951 x5</t>
        </is>
      </c>
    </row>
    <row r="111" ht="11" customHeight="1">
      <c r="A111" s="10" t="inlineStr">
        <is>
          <t>REGIME_TRENDING_EXIT_GAIN_MIN</t>
        </is>
      </c>
      <c r="B111" s="11" t="inlineStr">
        <is>
          <t>1.5</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55" t="n"/>
      <c r="AM111" s="55" t="n"/>
      <c r="AN111" s="55" t="n"/>
      <c r="AO111" s="55" t="n"/>
      <c r="AP111" s="55"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55"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ez_manage.py:5359 top()</t>
        </is>
      </c>
      <c r="IL111" s="9" t="inlineStr">
        <is>
          <t>v12_quick_engine.py:2951 x5</t>
        </is>
      </c>
    </row>
    <row r="112" ht="11" customHeight="1">
      <c r="A112" s="6" t="inlineStr">
        <is>
          <t>REGIME_TRENDING_EXIT_GAIN_MIN</t>
        </is>
      </c>
      <c r="B112" s="7" t="inlineStr">
        <is>
          <t>2.0</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55" t="n"/>
      <c r="AM112" s="55" t="n"/>
      <c r="AN112" s="55" t="n"/>
      <c r="AO112" s="55" t="n"/>
      <c r="AP112" s="55"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55"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ez_manage.py:5359 top()</t>
        </is>
      </c>
      <c r="IL112" s="9" t="inlineStr">
        <is>
          <t>v12_quick_engine.py:2951 x5</t>
        </is>
      </c>
    </row>
    <row r="113" ht="11" customHeight="1">
      <c r="A113" s="10" t="inlineStr">
        <is>
          <t>REGIME_TRENDING_EXIT_GAIN_MIN</t>
        </is>
      </c>
      <c r="B113" s="11" t="inlineStr">
        <is>
          <t>2.5</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55" t="n"/>
      <c r="AM113" s="55" t="n"/>
      <c r="AN113" s="55" t="n"/>
      <c r="AO113" s="55" t="n"/>
      <c r="AP113" s="55"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55"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ez_manage.py:5359 top()</t>
        </is>
      </c>
      <c r="IL113" s="9" t="inlineStr">
        <is>
          <t>v12_quick_engine.py:2951 x5</t>
        </is>
      </c>
    </row>
    <row r="114" ht="11" customHeight="1">
      <c r="A114" s="10" t="inlineStr">
        <is>
          <t>REGIME_TRENDING_EXIT_GAIN_MIN</t>
        </is>
      </c>
      <c r="B114" s="11" t="inlineStr">
        <is>
          <t>3.0</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55" t="n"/>
      <c r="AM114" s="55" t="n"/>
      <c r="AN114" s="55" t="n"/>
      <c r="AO114" s="55" t="n"/>
      <c r="AP114" s="55"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55"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ez_manage.py:5359 top()</t>
        </is>
      </c>
      <c r="IL114" s="9" t="inlineStr">
        <is>
          <t>v12_quick_engine.py:2951 x5</t>
        </is>
      </c>
    </row>
    <row r="115" ht="11" customHeight="1">
      <c r="A115" s="6" t="inlineStr">
        <is>
          <t>REVERSE_ON_EXIT_ENABLED</t>
        </is>
      </c>
      <c r="B115" s="7" t="inlineStr">
        <is>
          <t>False</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55"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55" t="n"/>
      <c r="HY115" s="55" t="n"/>
      <c r="HZ115" s="55" t="n"/>
      <c r="IA115" s="55" t="n"/>
      <c r="IB115" s="55" t="n"/>
      <c r="IC115" s="55" t="n"/>
      <c r="ID115" s="55" t="n"/>
      <c r="IE115" s="55" t="n"/>
      <c r="IF115" s="55" t="n"/>
      <c r="IG115" s="55" t="n"/>
      <c r="IH115" s="55" t="n"/>
      <c r="II115" s="55" t="n"/>
      <c r="IK115" s="9" t="inlineStr">
        <is>
          <t>ez_manage.py:1219 top()</t>
        </is>
      </c>
      <c r="IL115" s="9" t="inlineStr">
        <is>
          <t>v12_quick_engine.py:1420 x3</t>
        </is>
      </c>
    </row>
    <row r="116" ht="11" customHeight="1">
      <c r="A116" s="10" t="inlineStr">
        <is>
          <t>REVERSE_ON_EXIT_ENABLED</t>
        </is>
      </c>
      <c r="B116" s="11" t="inlineStr">
        <is>
          <t>True</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55"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55" t="n"/>
      <c r="HY116" s="55" t="n"/>
      <c r="HZ116" s="55" t="n"/>
      <c r="IA116" s="55" t="n"/>
      <c r="IB116" s="55" t="n"/>
      <c r="IC116" s="55" t="n"/>
      <c r="ID116" s="55" t="n"/>
      <c r="IE116" s="55" t="n"/>
      <c r="IF116" s="55" t="n"/>
      <c r="IG116" s="55" t="n"/>
      <c r="IH116" s="55" t="n"/>
      <c r="II116" s="55" t="n"/>
      <c r="IK116" s="9" t="inlineStr">
        <is>
          <t>ez_manage.py:1219 top()</t>
        </is>
      </c>
      <c r="IL116" s="9" t="inlineStr">
        <is>
          <t>v12_quick_engine.py:1420 x3</t>
        </is>
      </c>
    </row>
    <row r="117" ht="11" customHeight="1">
      <c r="A117" s="10" t="inlineStr">
        <is>
          <t>RZ_BOT_BB_THRESHOLD</t>
        </is>
      </c>
      <c r="B117" s="11" t="inlineStr">
        <is>
          <t>0.075</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ez_manage.py:3928 top()</t>
        </is>
      </c>
      <c r="IL117" s="9" t="inlineStr">
        <is>
          <t>v12_quick_engine.py:3020 x6</t>
        </is>
      </c>
    </row>
    <row r="118" ht="11" customHeight="1">
      <c r="A118" s="10" t="inlineStr">
        <is>
          <t>RZ_BOT_BB_THRESHOLD</t>
        </is>
      </c>
      <c r="B118" s="11" t="inlineStr">
        <is>
          <t>0.1125</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ez_manage.py:3928 top()</t>
        </is>
      </c>
      <c r="IL118" s="9" t="inlineStr">
        <is>
          <t>v12_quick_engine.py:3020 x6</t>
        </is>
      </c>
    </row>
    <row r="119" ht="11" customHeight="1">
      <c r="A119" s="6" t="inlineStr">
        <is>
          <t>RZ_BOT_BB_THRESHOLD</t>
        </is>
      </c>
      <c r="B119" s="64" t="n">
        <v>0.375</v>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ez_manage.py:3928 top()</t>
        </is>
      </c>
      <c r="IL119" s="9" t="inlineStr">
        <is>
          <t>v12_quick_engine.py:3020 x6</t>
        </is>
      </c>
    </row>
    <row r="120" ht="11" customHeight="1">
      <c r="A120" s="10" t="inlineStr">
        <is>
          <t>RZ_BOT_BB_THRESHOLD</t>
        </is>
      </c>
      <c r="B120" s="11" t="inlineStr">
        <is>
          <t>0.1875</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ez_manage.py:3928 top()</t>
        </is>
      </c>
      <c r="IL120" s="9" t="inlineStr">
        <is>
          <t>v12_quick_engine.py:3020 x6</t>
        </is>
      </c>
    </row>
    <row r="121" ht="11" customHeight="1">
      <c r="A121" s="10" t="inlineStr">
        <is>
          <t>RZ_BOT_BB_THRESHOLD</t>
        </is>
      </c>
      <c r="B121" s="11" t="inlineStr">
        <is>
          <t>0.225</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ez_manage.py:3928 top()</t>
        </is>
      </c>
      <c r="IL121" s="9" t="inlineStr">
        <is>
          <t>v12_quick_engine.py:3020 x6</t>
        </is>
      </c>
    </row>
    <row r="122" ht="11" customHeight="1">
      <c r="A122" s="10" t="inlineStr">
        <is>
          <t>RZ_BREAKOUT_BAND</t>
        </is>
      </c>
      <c r="B122" s="11" t="inlineStr">
        <is>
          <t>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55" t="n"/>
      <c r="AR122" s="55" t="n"/>
      <c r="AS122" s="55" t="n"/>
      <c r="AT122" s="55" t="n"/>
      <c r="AU122" s="55"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55" t="n"/>
      <c r="BQ122" s="55" t="n"/>
      <c r="BR122" s="55" t="n"/>
      <c r="BS122" s="55" t="n"/>
      <c r="BT122" s="55"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55" t="n"/>
      <c r="CZ122" s="55" t="n"/>
      <c r="DA122" s="55" t="n"/>
      <c r="DB122" s="55" t="n"/>
      <c r="DC122" s="55"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55" t="n"/>
      <c r="GA122" s="55" t="n"/>
      <c r="GB122" s="55" t="n"/>
      <c r="GC122" s="55" t="n"/>
      <c r="GD122" s="55"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ez_manage.py:5397 top()</t>
        </is>
      </c>
      <c r="IL122" s="9" t="inlineStr">
        <is>
          <t>v12_quick_engine.py:4036 x3</t>
        </is>
      </c>
    </row>
    <row r="123" ht="11" customHeight="1">
      <c r="A123" s="10" t="inlineStr">
        <is>
          <t>RZ_BREAKOUT_BAND</t>
        </is>
      </c>
      <c r="B123" s="11" t="inlineStr">
        <is>
          <t>0.5</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55" t="n"/>
      <c r="AR123" s="55" t="n"/>
      <c r="AS123" s="55" t="n"/>
      <c r="AT123" s="55" t="n"/>
      <c r="AU123" s="55"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55" t="n"/>
      <c r="BQ123" s="55" t="n"/>
      <c r="BR123" s="55" t="n"/>
      <c r="BS123" s="55" t="n"/>
      <c r="BT123" s="55"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55" t="n"/>
      <c r="CZ123" s="55" t="n"/>
      <c r="DA123" s="55" t="n"/>
      <c r="DB123" s="55" t="n"/>
      <c r="DC123" s="55"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55" t="n"/>
      <c r="GA123" s="55" t="n"/>
      <c r="GB123" s="55" t="n"/>
      <c r="GC123" s="55" t="n"/>
      <c r="GD123" s="55"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ez_manage.py:5397 top()</t>
        </is>
      </c>
      <c r="IL123" s="9" t="inlineStr">
        <is>
          <t>v12_quick_engine.py:4036 x3</t>
        </is>
      </c>
    </row>
    <row r="124" ht="11" customHeight="1">
      <c r="A124" s="10" t="inlineStr">
        <is>
          <t>RZ_BREAKOUT_BAND</t>
        </is>
      </c>
      <c r="B124" s="11" t="inlineStr">
        <is>
          <t>1.0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55" t="n"/>
      <c r="AR124" s="55" t="n"/>
      <c r="AS124" s="55" t="n"/>
      <c r="AT124" s="55" t="n"/>
      <c r="AU124" s="55"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55" t="n"/>
      <c r="BQ124" s="55" t="n"/>
      <c r="BR124" s="55" t="n"/>
      <c r="BS124" s="55" t="n"/>
      <c r="BT124" s="55"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55" t="n"/>
      <c r="CZ124" s="55" t="n"/>
      <c r="DA124" s="55" t="n"/>
      <c r="DB124" s="55" t="n"/>
      <c r="DC124" s="55"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55" t="n"/>
      <c r="GA124" s="55" t="n"/>
      <c r="GB124" s="55" t="n"/>
      <c r="GC124" s="55" t="n"/>
      <c r="GD124" s="55"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ez_manage.py:5397 top()</t>
        </is>
      </c>
      <c r="IL124" s="9" t="inlineStr">
        <is>
          <t>v12_quick_engine.py:4036 x3</t>
        </is>
      </c>
    </row>
    <row r="125" ht="11" customHeight="1">
      <c r="A125" s="10" t="inlineStr">
        <is>
          <t>RZ_BREAKOUT_BAND</t>
        </is>
      </c>
      <c r="B125" s="11" t="inlineStr">
        <is>
          <t>2.0</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55" t="n"/>
      <c r="AR125" s="55" t="n"/>
      <c r="AS125" s="55" t="n"/>
      <c r="AT125" s="55" t="n"/>
      <c r="AU125" s="55"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55" t="n"/>
      <c r="BQ125" s="55" t="n"/>
      <c r="BR125" s="55" t="n"/>
      <c r="BS125" s="55" t="n"/>
      <c r="BT125" s="55"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55" t="n"/>
      <c r="CZ125" s="55" t="n"/>
      <c r="DA125" s="55" t="n"/>
      <c r="DB125" s="55" t="n"/>
      <c r="DC125" s="55"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55" t="n"/>
      <c r="GA125" s="55" t="n"/>
      <c r="GB125" s="55" t="n"/>
      <c r="GC125" s="55" t="n"/>
      <c r="GD125" s="55"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ez_manage.py:5397 top()</t>
        </is>
      </c>
      <c r="IL125" s="9" t="inlineStr">
        <is>
          <t>v12_quick_engine.py:4036 x3</t>
        </is>
      </c>
    </row>
    <row r="126" ht="11" customHeight="1">
      <c r="A126" s="10" t="inlineStr">
        <is>
          <t>SCALP_V3_K_OB_EXIT_K15M_HI</t>
        </is>
      </c>
      <c r="B126" s="11" t="inlineStr">
        <is>
          <t>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ez_manage.py:5551 top()</t>
        </is>
      </c>
      <c r="IL126" s="9" t="inlineStr">
        <is>
          <t>v12_quick_engine.py:3179 x4</t>
        </is>
      </c>
    </row>
    <row r="127" ht="11" customHeight="1">
      <c r="A127" s="10" t="inlineStr">
        <is>
          <t>SCALP_V3_K_OB_EXIT_K15M_HI</t>
        </is>
      </c>
      <c r="B127" s="11" t="inlineStr">
        <is>
          <t>0.5</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ez_manage.py:5551 top()</t>
        </is>
      </c>
      <c r="IL127" s="9" t="inlineStr">
        <is>
          <t>v12_quick_engine.py:3179 x4</t>
        </is>
      </c>
    </row>
    <row r="128" ht="11" customHeight="1">
      <c r="A128" s="10" t="inlineStr">
        <is>
          <t>SCALP_V3_K_OB_EXIT_K15M_HI</t>
        </is>
      </c>
      <c r="B128" s="11" t="inlineStr">
        <is>
          <t>1.0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ez_manage.py:5551 top()</t>
        </is>
      </c>
      <c r="IL128" s="9" t="inlineStr">
        <is>
          <t>v12_quick_engine.py:3179 x4</t>
        </is>
      </c>
    </row>
    <row r="129" ht="11" customHeight="1">
      <c r="A129" s="10" t="inlineStr">
        <is>
          <t>SCALP_V3_K_OB_EXIT_K15M_HI</t>
        </is>
      </c>
      <c r="B129" s="11" t="inlineStr">
        <is>
          <t>2.0</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ez_manage.py:5551 top()</t>
        </is>
      </c>
      <c r="IL129" s="9" t="inlineStr">
        <is>
          <t>v12_quick_engine.py:3179 x4</t>
        </is>
      </c>
    </row>
    <row r="130" ht="11" customHeight="1">
      <c r="A130" s="10" t="inlineStr">
        <is>
          <t>SCALP_V3_K_OB_EXIT_K15M_LO</t>
        </is>
      </c>
      <c r="B130" s="11" t="inlineStr">
        <is>
          <t>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ez_manage.py:5552 top()</t>
        </is>
      </c>
      <c r="IL130" s="9" t="inlineStr">
        <is>
          <t>v12_quick_engine.py:3180 x4</t>
        </is>
      </c>
    </row>
    <row r="131" ht="11" customHeight="1">
      <c r="A131" s="10" t="inlineStr">
        <is>
          <t>SCALP_V3_K_OB_EXIT_K15M_LO</t>
        </is>
      </c>
      <c r="B131" s="11" t="inlineStr">
        <is>
          <t>0.5</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ez_manage.py:5552 top()</t>
        </is>
      </c>
      <c r="IL131" s="9" t="inlineStr">
        <is>
          <t>v12_quick_engine.py:3180 x4</t>
        </is>
      </c>
    </row>
    <row r="132" ht="11" customHeight="1">
      <c r="A132" s="10" t="inlineStr">
        <is>
          <t>SCALP_V3_K_OB_EXIT_K15M_LO</t>
        </is>
      </c>
      <c r="B132" s="11" t="inlineStr">
        <is>
          <t>1.0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ez_manage.py:5552 top()</t>
        </is>
      </c>
      <c r="IL132" s="9" t="inlineStr">
        <is>
          <t>v12_quick_engine.py:3180 x4</t>
        </is>
      </c>
    </row>
    <row r="133" ht="11" customHeight="1">
      <c r="A133" s="10" t="inlineStr">
        <is>
          <t>SCALP_V3_K_OB_EXIT_K15M_LO</t>
        </is>
      </c>
      <c r="B133" s="11" t="inlineStr">
        <is>
          <t>2.0</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ez_manage.py:5552 top()</t>
        </is>
      </c>
      <c r="IL133" s="9" t="inlineStr">
        <is>
          <t>v12_quick_engine.py:3180 x4</t>
        </is>
      </c>
    </row>
    <row r="134" ht="11" customHeight="1">
      <c r="A134" s="10" t="inlineStr">
        <is>
          <t>SCALP_V3_K_OB_EXIT_K3M_HI</t>
        </is>
      </c>
      <c r="B134" s="11" t="inlineStr">
        <is>
          <t>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ez_manage.py:5553 top()</t>
        </is>
      </c>
      <c r="IL134" s="9" t="inlineStr">
        <is>
          <t>v12_quick_engine.py:3181 x4</t>
        </is>
      </c>
    </row>
    <row r="135" ht="11" customHeight="1">
      <c r="A135" s="10" t="inlineStr">
        <is>
          <t>SCALP_V3_K_OB_EXIT_K3M_HI</t>
        </is>
      </c>
      <c r="B135" s="11" t="inlineStr">
        <is>
          <t>0.5</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ez_manage.py:5553 top()</t>
        </is>
      </c>
      <c r="IL135" s="9" t="inlineStr">
        <is>
          <t>v12_quick_engine.py:3181 x4</t>
        </is>
      </c>
    </row>
    <row r="136" ht="11" customHeight="1">
      <c r="A136" s="10" t="inlineStr">
        <is>
          <t>SCALP_V3_K_OB_EXIT_K3M_HI</t>
        </is>
      </c>
      <c r="B136" s="11" t="inlineStr">
        <is>
          <t>1.0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ez_manage.py:5553 top()</t>
        </is>
      </c>
      <c r="IL136" s="9" t="inlineStr">
        <is>
          <t>v12_quick_engine.py:3181 x4</t>
        </is>
      </c>
    </row>
    <row r="137" ht="11" customHeight="1">
      <c r="A137" s="10" t="inlineStr">
        <is>
          <t>SCALP_V3_K_OB_EXIT_K3M_HI</t>
        </is>
      </c>
      <c r="B137" s="11" t="inlineStr">
        <is>
          <t>2.0</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ez_manage.py:5553 top()</t>
        </is>
      </c>
      <c r="IL137" s="9" t="inlineStr">
        <is>
          <t>v12_quick_engine.py:3181 x4</t>
        </is>
      </c>
    </row>
    <row r="138" ht="11" customHeight="1">
      <c r="A138" s="10" t="inlineStr">
        <is>
          <t>SCALP_V3_K_OB_EXIT_K3M_LO</t>
        </is>
      </c>
      <c r="B138" s="11" t="inlineStr">
        <is>
          <t>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ez_manage.py:5554 top()</t>
        </is>
      </c>
      <c r="IL138" s="9" t="inlineStr">
        <is>
          <t>v12_quick_engine.py:3182 x4</t>
        </is>
      </c>
    </row>
    <row r="139" ht="11" customHeight="1">
      <c r="A139" s="10" t="inlineStr">
        <is>
          <t>SCALP_V3_K_OB_EXIT_K3M_LO</t>
        </is>
      </c>
      <c r="B139" s="11" t="inlineStr">
        <is>
          <t>0.5</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ez_manage.py:5554 top()</t>
        </is>
      </c>
      <c r="IL139" s="9" t="inlineStr">
        <is>
          <t>v12_quick_engine.py:3182 x4</t>
        </is>
      </c>
    </row>
    <row r="140" ht="11" customHeight="1">
      <c r="A140" s="10" t="inlineStr">
        <is>
          <t>SCALP_V3_K_OB_EXIT_K3M_LO</t>
        </is>
      </c>
      <c r="B140" s="11" t="inlineStr">
        <is>
          <t>1.0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ez_manage.py:5554 top()</t>
        </is>
      </c>
      <c r="IL140" s="9" t="inlineStr">
        <is>
          <t>v12_quick_engine.py:3182 x4</t>
        </is>
      </c>
    </row>
    <row r="141" ht="11" customHeight="1">
      <c r="A141" s="10" t="inlineStr">
        <is>
          <t>SCALP_V3_K_OB_EXIT_K3M_LO</t>
        </is>
      </c>
      <c r="B141" s="11" t="inlineStr">
        <is>
          <t>2.0</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ez_manage.py:5554 top()</t>
        </is>
      </c>
      <c r="IL141" s="9" t="inlineStr">
        <is>
          <t>v12_quick_engine.py:3182 x4</t>
        </is>
      </c>
    </row>
    <row r="142" ht="11" customHeight="1">
      <c r="A142" s="10" t="inlineStr">
        <is>
          <t>SCALP_V3_K_OB_EXIT_WALL_PCT</t>
        </is>
      </c>
      <c r="B142" s="11" t="inlineStr">
        <is>
          <t>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ez_manage.py:5555 top()</t>
        </is>
      </c>
      <c r="IL142" s="9" t="inlineStr">
        <is>
          <t>v12_quick_engine.py:3183 x4</t>
        </is>
      </c>
    </row>
    <row r="143" ht="11" customHeight="1">
      <c r="A143" s="10" t="inlineStr">
        <is>
          <t>SCALP_V3_K_OB_EXIT_WALL_PCT</t>
        </is>
      </c>
      <c r="B143" s="11" t="inlineStr">
        <is>
          <t>0.5</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ez_manage.py:5555 top()</t>
        </is>
      </c>
      <c r="IL143" s="9" t="inlineStr">
        <is>
          <t>v12_quick_engine.py:3183 x4</t>
        </is>
      </c>
    </row>
    <row r="144" ht="11" customHeight="1">
      <c r="A144" s="10" t="inlineStr">
        <is>
          <t>SCALP_V3_K_OB_EXIT_WALL_PCT</t>
        </is>
      </c>
      <c r="B144" s="11" t="inlineStr">
        <is>
          <t>1.0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ez_manage.py:5555 top()</t>
        </is>
      </c>
      <c r="IL144" s="9" t="inlineStr">
        <is>
          <t>v12_quick_engine.py:3183 x4</t>
        </is>
      </c>
    </row>
    <row r="145" ht="11" customHeight="1">
      <c r="A145" s="10" t="inlineStr">
        <is>
          <t>SCALP_V3_K_OB_EXIT_WALL_PCT</t>
        </is>
      </c>
      <c r="B145" s="11" t="inlineStr">
        <is>
          <t>2.0</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ez_manage.py:5555 top()</t>
        </is>
      </c>
      <c r="IL145" s="9" t="inlineStr">
        <is>
          <t>v12_quick_engine.py:3183 x4</t>
        </is>
      </c>
    </row>
    <row r="146" ht="11" customHeight="1">
      <c r="A146" s="10" t="inlineStr">
        <is>
          <t>SCALP_V3_OB_WALL_TOO_CLOSE_PCT</t>
        </is>
      </c>
      <c r="B146" s="11" t="inlineStr">
        <is>
          <t>0</t>
        </is>
      </c>
      <c r="E146">
        <f>IF(G146="",E145,IF(G146&gt;0,E145+G146,E145))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ez_manage.py:5575 top()</t>
        </is>
      </c>
      <c r="IL146" s="9" t="inlineStr">
        <is>
          <t>v12_quick_engine.py:3189 x4</t>
        </is>
      </c>
    </row>
    <row r="147" ht="11" customHeight="1">
      <c r="A147" s="10" t="inlineStr">
        <is>
          <t>SCALP_V3_OB_WALL_TOO_CLOSE_PCT</t>
        </is>
      </c>
      <c r="B147" s="11" t="inlineStr">
        <is>
          <t>0.5</t>
        </is>
      </c>
      <c r="E147">
        <f>IF(G147="",E146,IF(G147&gt;0,E146+G147,E146))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ez_manage.py:5575 top()</t>
        </is>
      </c>
      <c r="IL147" s="9" t="inlineStr">
        <is>
          <t>v12_quick_engine.py:3189 x4</t>
        </is>
      </c>
    </row>
    <row r="148" ht="11" customHeight="1">
      <c r="A148" s="10" t="inlineStr">
        <is>
          <t>SCALP_V3_OB_WALL_TOO_CLOSE_PCT</t>
        </is>
      </c>
      <c r="B148" s="11" t="inlineStr">
        <is>
          <t>1.0</t>
        </is>
      </c>
      <c r="E148">
        <f>IF(G148="",E147,IF(G148&gt;0,E147+G148,E147))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ez_manage.py:5575 top()</t>
        </is>
      </c>
      <c r="IL148" s="9" t="inlineStr">
        <is>
          <t>v12_quick_engine.py:3189 x4</t>
        </is>
      </c>
    </row>
    <row r="149" ht="11" customHeight="1">
      <c r="A149" s="10" t="inlineStr">
        <is>
          <t>SCALP_V3_OB_WALL_TOO_CLOSE_PCT</t>
        </is>
      </c>
      <c r="B149" s="11" t="inlineStr">
        <is>
          <t>2.0</t>
        </is>
      </c>
      <c r="E149">
        <f>IF(G149="",E148,IF(G149&gt;0,E148+G149,E148))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ez_manage.py:5575 top()</t>
        </is>
      </c>
      <c r="IL149" s="9" t="inlineStr">
        <is>
          <t>v12_quick_engine.py:3189 x4</t>
        </is>
      </c>
    </row>
    <row r="150" ht="11" customHeight="1">
      <c r="A150" s="10" t="inlineStr">
        <is>
          <t>STDEV_BREAKOUT_PCTB_LONG</t>
        </is>
      </c>
      <c r="B150" s="11" t="inlineStr">
        <is>
          <t>0</t>
        </is>
      </c>
      <c r="E150">
        <f>IF(G150="",E149,IF(G150&gt;0,E149+G150,E149))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55" t="n"/>
      <c r="AR150" s="55" t="n"/>
      <c r="AS150" s="55" t="n"/>
      <c r="AT150" s="55" t="n"/>
      <c r="AU150" s="55"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55" t="n"/>
      <c r="BQ150" s="55" t="n"/>
      <c r="BR150" s="55" t="n"/>
      <c r="BS150" s="55" t="n"/>
      <c r="BT150" s="55"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55" t="n"/>
      <c r="CZ150" s="55" t="n"/>
      <c r="DA150" s="55" t="n"/>
      <c r="DB150" s="55" t="n"/>
      <c r="DC150" s="55"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8" t="n"/>
      <c r="FZ150" s="55" t="n"/>
      <c r="GA150" s="55" t="n"/>
      <c r="GB150" s="55" t="n"/>
      <c r="GC150" s="55" t="n"/>
      <c r="GD150" s="55"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ez_manage.py:4044 top()</t>
        </is>
      </c>
      <c r="IL150" s="9" t="inlineStr">
        <is>
          <t>v12_quick_engine.py:3280 x3</t>
        </is>
      </c>
    </row>
    <row r="151" ht="11" customHeight="1">
      <c r="A151" s="10" t="inlineStr">
        <is>
          <t>STDEV_BREAKOUT_PCTB_LONG</t>
        </is>
      </c>
      <c r="B151" s="11" t="inlineStr">
        <is>
          <t>0.5</t>
        </is>
      </c>
      <c r="E151">
        <f>IF(G151="",E150,IF(G151&gt;0,E150+G151,E150))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55" t="n"/>
      <c r="AR151" s="55" t="n"/>
      <c r="AS151" s="55" t="n"/>
      <c r="AT151" s="55" t="n"/>
      <c r="AU151" s="55"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55" t="n"/>
      <c r="BQ151" s="55" t="n"/>
      <c r="BR151" s="55" t="n"/>
      <c r="BS151" s="55" t="n"/>
      <c r="BT151" s="55"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55" t="n"/>
      <c r="CZ151" s="55" t="n"/>
      <c r="DA151" s="55" t="n"/>
      <c r="DB151" s="55" t="n"/>
      <c r="DC151" s="55"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8" t="n"/>
      <c r="FZ151" s="55" t="n"/>
      <c r="GA151" s="55" t="n"/>
      <c r="GB151" s="55" t="n"/>
      <c r="GC151" s="55" t="n"/>
      <c r="GD151" s="55"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ez_manage.py:4044 top()</t>
        </is>
      </c>
      <c r="IL151" s="9" t="inlineStr">
        <is>
          <t>v12_quick_engine.py:3280 x3</t>
        </is>
      </c>
    </row>
    <row r="152" ht="11" customHeight="1">
      <c r="A152" s="10" t="inlineStr">
        <is>
          <t>STDEV_BREAKOUT_PCTB_LONG</t>
        </is>
      </c>
      <c r="B152" s="11" t="inlineStr">
        <is>
          <t>1.0</t>
        </is>
      </c>
      <c r="E152">
        <f>IF(G152="",E151,IF(G152&gt;0,E151+G152,E151))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55" t="n"/>
      <c r="AR152" s="55" t="n"/>
      <c r="AS152" s="55" t="n"/>
      <c r="AT152" s="55" t="n"/>
      <c r="AU152" s="55"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55" t="n"/>
      <c r="BQ152" s="55" t="n"/>
      <c r="BR152" s="55" t="n"/>
      <c r="BS152" s="55" t="n"/>
      <c r="BT152" s="55"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55" t="n"/>
      <c r="CZ152" s="55" t="n"/>
      <c r="DA152" s="55" t="n"/>
      <c r="DB152" s="55" t="n"/>
      <c r="DC152" s="55"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8" t="n"/>
      <c r="FZ152" s="55" t="n"/>
      <c r="GA152" s="55" t="n"/>
      <c r="GB152" s="55" t="n"/>
      <c r="GC152" s="55" t="n"/>
      <c r="GD152" s="55"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ez_manage.py:4044 top()</t>
        </is>
      </c>
      <c r="IL152" s="9" t="inlineStr">
        <is>
          <t>v12_quick_engine.py:3280 x3</t>
        </is>
      </c>
    </row>
    <row r="153" ht="11" customHeight="1">
      <c r="A153" s="10" t="inlineStr">
        <is>
          <t>STDEV_BREAKOUT_PCTB_LONG</t>
        </is>
      </c>
      <c r="B153" s="11" t="inlineStr">
        <is>
          <t>2.0</t>
        </is>
      </c>
      <c r="E153">
        <f>IF(G153="",E152,IF(G153&gt;0,E152+G153,E152))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55" t="n"/>
      <c r="AR153" s="55" t="n"/>
      <c r="AS153" s="55" t="n"/>
      <c r="AT153" s="55" t="n"/>
      <c r="AU153" s="55"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55" t="n"/>
      <c r="BQ153" s="55" t="n"/>
      <c r="BR153" s="55" t="n"/>
      <c r="BS153" s="55" t="n"/>
      <c r="BT153" s="55"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55" t="n"/>
      <c r="CZ153" s="55" t="n"/>
      <c r="DA153" s="55" t="n"/>
      <c r="DB153" s="55" t="n"/>
      <c r="DC153" s="55"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8" t="n"/>
      <c r="FZ153" s="55" t="n"/>
      <c r="GA153" s="55" t="n"/>
      <c r="GB153" s="55" t="n"/>
      <c r="GC153" s="55" t="n"/>
      <c r="GD153" s="55"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ez_manage.py:4044 top()</t>
        </is>
      </c>
      <c r="IL153" s="9" t="inlineStr">
        <is>
          <t>v12_quick_engine.py:3280 x3</t>
        </is>
      </c>
    </row>
    <row r="154" ht="11" customHeight="1">
      <c r="A154" s="10" t="inlineStr">
        <is>
          <t>STDEV_BREAKOUT_PCTB_SHORT</t>
        </is>
      </c>
      <c r="B154" s="11" t="inlineStr">
        <is>
          <t>0</t>
        </is>
      </c>
      <c r="E154">
        <f>IF(G154="",E153,IF(G154&gt;0,E153+G154,E153))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55" t="n"/>
      <c r="AR154" s="55" t="n"/>
      <c r="AS154" s="55" t="n"/>
      <c r="AT154" s="55" t="n"/>
      <c r="AU154" s="55"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55" t="n"/>
      <c r="BQ154" s="55" t="n"/>
      <c r="BR154" s="55" t="n"/>
      <c r="BS154" s="55" t="n"/>
      <c r="BT154" s="55"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55" t="n"/>
      <c r="CZ154" s="55" t="n"/>
      <c r="DA154" s="55" t="n"/>
      <c r="DB154" s="55" t="n"/>
      <c r="DC154" s="55"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8" t="n"/>
      <c r="FZ154" s="55" t="n"/>
      <c r="GA154" s="55" t="n"/>
      <c r="GB154" s="55" t="n"/>
      <c r="GC154" s="55" t="n"/>
      <c r="GD154" s="55"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ez_manage.py:4045 top()</t>
        </is>
      </c>
      <c r="IL154" s="9" t="inlineStr">
        <is>
          <t>v12_quick_engine.py:3281 x3</t>
        </is>
      </c>
    </row>
    <row r="155" ht="11" customHeight="1">
      <c r="A155" s="10" t="inlineStr">
        <is>
          <t>STDEV_BREAKOUT_PCTB_SHORT</t>
        </is>
      </c>
      <c r="B155" s="11" t="inlineStr">
        <is>
          <t>0.5</t>
        </is>
      </c>
      <c r="E155">
        <f>IF(G155="",E154,IF(G155&gt;0,E154+G155,E154))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55" t="n"/>
      <c r="AR155" s="55" t="n"/>
      <c r="AS155" s="55" t="n"/>
      <c r="AT155" s="55" t="n"/>
      <c r="AU155" s="55"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55" t="n"/>
      <c r="BQ155" s="55" t="n"/>
      <c r="BR155" s="55" t="n"/>
      <c r="BS155" s="55" t="n"/>
      <c r="BT155" s="55"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55" t="n"/>
      <c r="CZ155" s="55" t="n"/>
      <c r="DA155" s="55" t="n"/>
      <c r="DB155" s="55" t="n"/>
      <c r="DC155" s="55"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8" t="n"/>
      <c r="FZ155" s="55" t="n"/>
      <c r="GA155" s="55" t="n"/>
      <c r="GB155" s="55" t="n"/>
      <c r="GC155" s="55" t="n"/>
      <c r="GD155" s="55"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ez_manage.py:4045 top()</t>
        </is>
      </c>
      <c r="IL155" s="9" t="inlineStr">
        <is>
          <t>v12_quick_engine.py:3281 x3</t>
        </is>
      </c>
    </row>
    <row r="156" ht="11" customHeight="1">
      <c r="A156" s="10" t="inlineStr">
        <is>
          <t>STDEV_BREAKOUT_PCTB_SHORT</t>
        </is>
      </c>
      <c r="B156" s="11" t="inlineStr">
        <is>
          <t>1.0</t>
        </is>
      </c>
      <c r="E156">
        <f>IF(G156="",E155,IF(G156&gt;0,E155+G156,E155))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55" t="n"/>
      <c r="AR156" s="55" t="n"/>
      <c r="AS156" s="55" t="n"/>
      <c r="AT156" s="55" t="n"/>
      <c r="AU156" s="55"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55" t="n"/>
      <c r="BQ156" s="55" t="n"/>
      <c r="BR156" s="55" t="n"/>
      <c r="BS156" s="55" t="n"/>
      <c r="BT156" s="55"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55" t="n"/>
      <c r="CZ156" s="55" t="n"/>
      <c r="DA156" s="55" t="n"/>
      <c r="DB156" s="55" t="n"/>
      <c r="DC156" s="55"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8" t="n"/>
      <c r="FZ156" s="55" t="n"/>
      <c r="GA156" s="55" t="n"/>
      <c r="GB156" s="55" t="n"/>
      <c r="GC156" s="55" t="n"/>
      <c r="GD156" s="55"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ez_manage.py:4045 top()</t>
        </is>
      </c>
      <c r="IL156" s="9" t="inlineStr">
        <is>
          <t>v12_quick_engine.py:3281 x3</t>
        </is>
      </c>
    </row>
    <row r="157" ht="11" customHeight="1">
      <c r="A157" s="10" t="inlineStr">
        <is>
          <t>STDEV_BREAKOUT_PCTB_SHORT</t>
        </is>
      </c>
      <c r="B157" s="11" t="inlineStr">
        <is>
          <t>2.0</t>
        </is>
      </c>
      <c r="E157">
        <f>IF(G157="",E156,IF(G157&gt;0,E156+G157,E156))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55" t="n"/>
      <c r="AR157" s="55" t="n"/>
      <c r="AS157" s="55" t="n"/>
      <c r="AT157" s="55" t="n"/>
      <c r="AU157" s="55"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55" t="n"/>
      <c r="BQ157" s="55" t="n"/>
      <c r="BR157" s="55" t="n"/>
      <c r="BS157" s="55" t="n"/>
      <c r="BT157" s="55"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55" t="n"/>
      <c r="CZ157" s="55" t="n"/>
      <c r="DA157" s="55" t="n"/>
      <c r="DB157" s="55" t="n"/>
      <c r="DC157" s="55"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8" t="n"/>
      <c r="FZ157" s="55" t="n"/>
      <c r="GA157" s="55" t="n"/>
      <c r="GB157" s="55" t="n"/>
      <c r="GC157" s="55" t="n"/>
      <c r="GD157" s="55"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ez_manage.py:4045 top()</t>
        </is>
      </c>
      <c r="IL157" s="9" t="inlineStr">
        <is>
          <t>v12_quick_engine.py:3281 x3</t>
        </is>
      </c>
    </row>
    <row r="158" ht="11" customHeight="1">
      <c r="A158" s="10" t="inlineStr">
        <is>
          <t>STDEV_SUPPRESS_EARLY_EXIT</t>
        </is>
      </c>
      <c r="B158" s="11" t="inlineStr">
        <is>
          <t>0</t>
        </is>
      </c>
      <c r="E158">
        <f>IF(G158="",E157,IF(G158&gt;0,E157+G158,E157))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55"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ez_manage.py:4060 top()</t>
        </is>
      </c>
      <c r="IL158" s="9" t="inlineStr">
        <is>
          <t>v12_quick_engine.py:3300 x2</t>
        </is>
      </c>
    </row>
    <row r="159" ht="11" customHeight="1">
      <c r="A159" s="10" t="inlineStr">
        <is>
          <t>STDEV_SUPPRESS_EARLY_EXIT</t>
        </is>
      </c>
      <c r="B159" s="11" t="inlineStr">
        <is>
          <t>0.5</t>
        </is>
      </c>
      <c r="E159">
        <f>IF(G159="",E158,IF(G159&gt;0,E158+G159,E158))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55"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ez_manage.py:4060 top()</t>
        </is>
      </c>
      <c r="IL159" s="9" t="inlineStr">
        <is>
          <t>v12_quick_engine.py:3300 x2</t>
        </is>
      </c>
    </row>
    <row r="160" ht="11" customHeight="1">
      <c r="A160" s="10" t="inlineStr">
        <is>
          <t>STDEV_SUPPRESS_EARLY_EXIT</t>
        </is>
      </c>
      <c r="B160" s="11" t="inlineStr">
        <is>
          <t>1.0</t>
        </is>
      </c>
      <c r="E160">
        <f>IF(G160="",E159,IF(G160&gt;0,E159+G160,E159))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55"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ez_manage.py:4060 top()</t>
        </is>
      </c>
      <c r="IL160" s="9" t="inlineStr">
        <is>
          <t>v12_quick_engine.py:3300 x2</t>
        </is>
      </c>
    </row>
    <row r="161" ht="11" customHeight="1">
      <c r="A161" s="10" t="inlineStr">
        <is>
          <t>STDEV_SUPPRESS_EARLY_EXIT</t>
        </is>
      </c>
      <c r="B161" s="11" t="inlineStr">
        <is>
          <t>2.0</t>
        </is>
      </c>
      <c r="E161">
        <f>IF(G161="",E160,IF(G161&gt;0,E160+G161,E160))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55"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ez_manage.py:4060 top()</t>
        </is>
      </c>
      <c r="IL161" s="9" t="inlineStr">
        <is>
          <t>v12_quick_engine.py:3300 x2</t>
        </is>
      </c>
    </row>
    <row r="162" ht="11" customHeight="1">
      <c r="A162" s="10" t="inlineStr">
        <is>
          <t>STOCH_CROSS_ENTRY_TRADIER</t>
        </is>
      </c>
      <c r="B162" s="11" t="inlineStr">
        <is>
          <t>False</t>
        </is>
      </c>
      <c r="E162">
        <f>IF(G162="",E161,IF(G162&gt;0,E161+G162,E161))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55" t="n"/>
      <c r="AW162" s="55" t="n"/>
      <c r="AX162" s="55" t="n"/>
      <c r="AY162" s="55" t="n"/>
      <c r="AZ162" s="55"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55" t="n"/>
      <c r="FJ162" s="55" t="n"/>
      <c r="FK162" s="55" t="n"/>
      <c r="FL162" s="55" t="n"/>
      <c r="FM162" s="55"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ez_manage.py:5661 top()</t>
        </is>
      </c>
      <c r="IL162" s="9" t="inlineStr">
        <is>
          <t>v12_quick_engine.py:3305 x8</t>
        </is>
      </c>
    </row>
    <row r="163" ht="11" customHeight="1">
      <c r="A163" s="6" t="inlineStr">
        <is>
          <t>STOCH_CROSS_ENTRY_TRADIER</t>
        </is>
      </c>
      <c r="B163" s="7" t="inlineStr">
        <is>
          <t>True</t>
        </is>
      </c>
      <c r="E163">
        <f>IF(G163="",E162,IF(G163&gt;0,E162+G163,E162))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55" t="n"/>
      <c r="AW163" s="55" t="n"/>
      <c r="AX163" s="55" t="n"/>
      <c r="AY163" s="55" t="n"/>
      <c r="AZ163" s="55"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55" t="n"/>
      <c r="FJ163" s="55" t="n"/>
      <c r="FK163" s="55" t="n"/>
      <c r="FL163" s="55" t="n"/>
      <c r="FM163" s="55"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ez_manage.py:5661 top()</t>
        </is>
      </c>
      <c r="IL163" s="9" t="inlineStr">
        <is>
          <t>v12_quick_engine.py:3305 x8</t>
        </is>
      </c>
    </row>
    <row r="164" ht="11" customHeight="1">
      <c r="A164" s="6" t="inlineStr">
        <is>
          <t>TRADIER_MFI_ENTRY_LONG_ENABLED</t>
        </is>
      </c>
      <c r="B164" s="7" t="inlineStr">
        <is>
          <t>False</t>
        </is>
      </c>
      <c r="E164">
        <f>IF(G164="",E163,IF(G164&gt;0,E163+G164,E163))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55" t="n"/>
      <c r="FJ164" s="55" t="n"/>
      <c r="FK164" s="55" t="n"/>
      <c r="FL164" s="55" t="n"/>
      <c r="FM164" s="55"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55" t="n"/>
      <c r="HY164" s="55" t="n"/>
      <c r="HZ164" s="55" t="n"/>
      <c r="IA164" s="55" t="n"/>
      <c r="IB164" s="55" t="n"/>
      <c r="IC164" s="55" t="n"/>
      <c r="ID164" s="55" t="n"/>
      <c r="IE164" s="55" t="n"/>
      <c r="IF164" s="55" t="n"/>
      <c r="IG164" s="55" t="n"/>
      <c r="IH164" s="55" t="n"/>
      <c r="II164" s="55" t="n"/>
      <c r="IK164" s="9" t="inlineStr">
        <is>
          <t>ez_manage.py:5734 top()</t>
        </is>
      </c>
      <c r="IL164" s="9" t="inlineStr">
        <is>
          <t>v12_quick_engine.py:3411 x7</t>
        </is>
      </c>
    </row>
    <row r="165" ht="11" customHeight="1">
      <c r="A165" s="10" t="inlineStr">
        <is>
          <t>TRADIER_MFI_ENTRY_LONG_ENABLED</t>
        </is>
      </c>
      <c r="B165" s="11" t="inlineStr">
        <is>
          <t>True</t>
        </is>
      </c>
      <c r="E165">
        <f>IF(G165="",E164,IF(G165&gt;0,E164+G165,E164))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55" t="n"/>
      <c r="FJ165" s="55" t="n"/>
      <c r="FK165" s="55" t="n"/>
      <c r="FL165" s="55" t="n"/>
      <c r="FM165" s="55"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55" t="n"/>
      <c r="HY165" s="55" t="n"/>
      <c r="HZ165" s="55" t="n"/>
      <c r="IA165" s="55" t="n"/>
      <c r="IB165" s="55" t="n"/>
      <c r="IC165" s="55" t="n"/>
      <c r="ID165" s="55" t="n"/>
      <c r="IE165" s="55" t="n"/>
      <c r="IF165" s="55" t="n"/>
      <c r="IG165" s="55" t="n"/>
      <c r="IH165" s="55" t="n"/>
      <c r="II165" s="55" t="n"/>
      <c r="IK165" s="9" t="inlineStr">
        <is>
          <t>ez_manage.py:5734 top()</t>
        </is>
      </c>
      <c r="IL165" s="9" t="inlineStr">
        <is>
          <t>v12_quick_engine.py:3411 x7</t>
        </is>
      </c>
    </row>
    <row r="166" ht="11" customHeight="1">
      <c r="A166" s="10" t="inlineStr">
        <is>
          <t>TRADIER_RSI2_EXIT_THRESHOLD_LONG</t>
        </is>
      </c>
      <c r="B166" s="11" t="inlineStr">
        <is>
          <t>45.0</t>
        </is>
      </c>
      <c r="E166">
        <f>IF(G166="",E165,IF(G166&gt;0,E165+G166,E165))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55"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ez_manage.py:5740 top()</t>
        </is>
      </c>
      <c r="IL166" s="9" t="inlineStr">
        <is>
          <t>v12_quick_engine.py:3437 x9</t>
        </is>
      </c>
    </row>
    <row r="167" ht="11" customHeight="1">
      <c r="A167" s="10" t="inlineStr">
        <is>
          <t>TRADIER_RSI2_EXIT_THRESHOLD_LONG</t>
        </is>
      </c>
      <c r="B167" s="11" t="inlineStr">
        <is>
          <t>67.5</t>
        </is>
      </c>
      <c r="E167">
        <f>IF(G167="",E166,IF(G167&gt;0,E166+G167,E166))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55"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ez_manage.py:5740 top()</t>
        </is>
      </c>
      <c r="IL167" s="9" t="inlineStr">
        <is>
          <t>v12_quick_engine.py:3437 x9</t>
        </is>
      </c>
    </row>
    <row r="168" ht="11" customHeight="1">
      <c r="A168" s="6" t="inlineStr">
        <is>
          <t>TRADIER_RSI2_EXIT_THRESHOLD_LONG</t>
        </is>
      </c>
      <c r="B168" s="7" t="inlineStr">
        <is>
          <t>90.0</t>
        </is>
      </c>
      <c r="E168">
        <f>IF(G168="",E167,IF(G168&gt;0,E167+G168,E167))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55"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ez_manage.py:5740 top()</t>
        </is>
      </c>
      <c r="IL168" s="9" t="inlineStr">
        <is>
          <t>v12_quick_engine.py:3437 x9</t>
        </is>
      </c>
    </row>
    <row r="169" ht="11" customHeight="1">
      <c r="A169" s="10" t="inlineStr">
        <is>
          <t>TRADIER_RSI2_EXIT_THRESHOLD_LONG</t>
        </is>
      </c>
      <c r="B169" s="11" t="inlineStr">
        <is>
          <t>112.5</t>
        </is>
      </c>
      <c r="E169">
        <f>IF(G169="",E168,IF(G169&gt;0,E168+G169,E168))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8"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55"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ez_manage.py:5740 top()</t>
        </is>
      </c>
      <c r="IL169" s="9" t="inlineStr">
        <is>
          <t>v12_quick_engine.py:3437 x9</t>
        </is>
      </c>
    </row>
    <row r="170" ht="11" customHeight="1">
      <c r="A170" s="10" t="inlineStr">
        <is>
          <t>TRADIER_RSI2_EXIT_THRESHOLD_LONG</t>
        </is>
      </c>
      <c r="B170" s="11" t="inlineStr">
        <is>
          <t>135.0</t>
        </is>
      </c>
      <c r="E170">
        <f>IF(G170="",E169,IF(G170&gt;0,E169+G170,E169))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8"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55"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ez_manage.py:5740 top()</t>
        </is>
      </c>
      <c r="IL170" s="9" t="inlineStr">
        <is>
          <t>v12_quick_engine.py:3437 x9</t>
        </is>
      </c>
    </row>
    <row r="171" ht="11" customHeight="1">
      <c r="A171" s="10" t="inlineStr">
        <is>
          <t>TRADIER_RSI2_EXIT_THRESHOLD_SHORT</t>
        </is>
      </c>
      <c r="B171" s="11" t="inlineStr">
        <is>
          <t>5.0</t>
        </is>
      </c>
      <c r="E171">
        <f>IF(G171="",E170,IF(G171&gt;0,E170+G171,E170))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8"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55"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ez_manage.py:5741 top()</t>
        </is>
      </c>
      <c r="IL171" s="9" t="inlineStr">
        <is>
          <t>v12_quick_engine.py:3438 x9</t>
        </is>
      </c>
    </row>
    <row r="172" ht="11" customHeight="1">
      <c r="A172" s="10" t="inlineStr">
        <is>
          <t>TRADIER_RSI2_EXIT_THRESHOLD_SHORT</t>
        </is>
      </c>
      <c r="B172" s="11" t="inlineStr">
        <is>
          <t>7.5</t>
        </is>
      </c>
      <c r="E172">
        <f>IF(G172="",E171,IF(G172&gt;0,E171+G172,E171))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8"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55"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ez_manage.py:5741 top()</t>
        </is>
      </c>
      <c r="IL172" s="9" t="inlineStr">
        <is>
          <t>v12_quick_engine.py:3438 x9</t>
        </is>
      </c>
    </row>
    <row r="173" ht="11" customHeight="1">
      <c r="A173" s="6" t="inlineStr">
        <is>
          <t>TRADIER_RSI2_EXIT_THRESHOLD_SHORT</t>
        </is>
      </c>
      <c r="B173" s="7" t="inlineStr">
        <is>
          <t>10.0</t>
        </is>
      </c>
      <c r="E173">
        <f>IF(G173="",E172,IF(G173&gt;0,E172+G173,E172))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8"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55"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ez_manage.py:5741 top()</t>
        </is>
      </c>
      <c r="IL173" s="9" t="inlineStr">
        <is>
          <t>v12_quick_engine.py:3438 x9</t>
        </is>
      </c>
    </row>
    <row r="174" ht="11" customHeight="1">
      <c r="A174" s="10" t="inlineStr">
        <is>
          <t>TRADIER_RSI2_EXIT_THRESHOLD_SHORT</t>
        </is>
      </c>
      <c r="B174" s="11" t="inlineStr">
        <is>
          <t>12.5</t>
        </is>
      </c>
      <c r="E174">
        <f>IF(G174="",E173,IF(G174&gt;0,E173+G174,E173))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8"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55"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ez_manage.py:5741 top()</t>
        </is>
      </c>
      <c r="IL174" s="9" t="inlineStr">
        <is>
          <t>v12_quick_engine.py:3438 x9</t>
        </is>
      </c>
    </row>
    <row r="175" ht="11" customHeight="1">
      <c r="A175" s="10" t="inlineStr">
        <is>
          <t>TRADIER_RSI2_EXIT_THRESHOLD_SHORT</t>
        </is>
      </c>
      <c r="B175" s="11" t="inlineStr">
        <is>
          <t>15.0</t>
        </is>
      </c>
      <c r="E175">
        <f>IF(G175="",E174,IF(G175&gt;0,E174+G175,E174))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8"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55"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ez_manage.py:5741 top()</t>
        </is>
      </c>
      <c r="IL175" s="9" t="inlineStr">
        <is>
          <t>v12_quick_engine.py:3438 x9</t>
        </is>
      </c>
    </row>
    <row r="176" ht="11" customHeight="1">
      <c r="A176" s="10" t="inlineStr">
        <is>
          <t>TREND_MIN_GAIN_EXIT</t>
        </is>
      </c>
      <c r="B176" s="11" t="inlineStr">
        <is>
          <t>0</t>
        </is>
      </c>
      <c r="E176">
        <f>IF(G176="",E175,IF(G176&gt;0,E175+G176,E175))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55" t="n"/>
      <c r="AM176" s="55" t="n"/>
      <c r="AN176" s="55" t="n"/>
      <c r="AO176" s="55" t="n"/>
      <c r="AP176" s="55"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8"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55"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ez_manage.py:4205 top()</t>
        </is>
      </c>
      <c r="IL176" s="9" t="inlineStr">
        <is>
          <t>v12_quick_engine.py:3545 x2</t>
        </is>
      </c>
    </row>
    <row r="177" ht="11" customHeight="1">
      <c r="A177" s="10" t="inlineStr">
        <is>
          <t>TREND_MIN_GAIN_EXIT</t>
        </is>
      </c>
      <c r="B177" s="11" t="inlineStr">
        <is>
          <t>0.5</t>
        </is>
      </c>
      <c r="E177">
        <f>IF(G177="",E176,IF(G177&gt;0,E176+G177,E176))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55" t="n"/>
      <c r="AM177" s="55" t="n"/>
      <c r="AN177" s="55" t="n"/>
      <c r="AO177" s="55" t="n"/>
      <c r="AP177" s="55"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8"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55"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ez_manage.py:4205 top()</t>
        </is>
      </c>
      <c r="IL177" s="9" t="inlineStr">
        <is>
          <t>v12_quick_engine.py:3545 x2</t>
        </is>
      </c>
    </row>
    <row r="178" ht="11" customHeight="1">
      <c r="A178" s="10" t="inlineStr">
        <is>
          <t>TREND_MIN_GAIN_EXIT</t>
        </is>
      </c>
      <c r="B178" s="11" t="inlineStr">
        <is>
          <t>1.0</t>
        </is>
      </c>
      <c r="E178">
        <f>IF(G178="",E177,IF(G178&gt;0,E177+G178,E177))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55" t="n"/>
      <c r="AM178" s="55" t="n"/>
      <c r="AN178" s="55" t="n"/>
      <c r="AO178" s="55" t="n"/>
      <c r="AP178" s="55"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8"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55"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ez_manage.py:4205 top()</t>
        </is>
      </c>
      <c r="IL178" s="9" t="inlineStr">
        <is>
          <t>v12_quick_engine.py:3545 x2</t>
        </is>
      </c>
    </row>
    <row r="179" ht="11" customHeight="1">
      <c r="A179" s="10" t="inlineStr">
        <is>
          <t>TREND_MIN_GAIN_EXIT</t>
        </is>
      </c>
      <c r="B179" s="11" t="inlineStr">
        <is>
          <t>2.0</t>
        </is>
      </c>
      <c r="E179">
        <f>IF(G179="",E178,IF(G179&gt;0,E178+G179,E178))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55" t="n"/>
      <c r="AM179" s="55" t="n"/>
      <c r="AN179" s="55" t="n"/>
      <c r="AO179" s="55" t="n"/>
      <c r="AP179" s="55"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8"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55"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ez_manage.py:4205 top()</t>
        </is>
      </c>
      <c r="IL179" s="9" t="inlineStr">
        <is>
          <t>v12_quick_engine.py:3545 x2</t>
        </is>
      </c>
    </row>
    <row r="180" ht="11" customHeight="1">
      <c r="A180" s="10" t="inlineStr">
        <is>
          <t>V8_ENTRY_ENGINE_DC_ENABLED</t>
        </is>
      </c>
      <c r="B180" s="11" t="inlineStr">
        <is>
          <t>False</t>
        </is>
      </c>
      <c r="E180">
        <f>IF(G180="",E179,IF(G180&gt;0,E179+G180,E179))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55" t="n"/>
      <c r="CA180" s="55" t="n"/>
      <c r="CB180" s="55" t="n"/>
      <c r="CC180" s="55" t="n"/>
      <c r="CD180" s="55"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8" t="n"/>
      <c r="FI180" s="55" t="n"/>
      <c r="FJ180" s="55" t="n"/>
      <c r="FK180" s="55" t="n"/>
      <c r="FL180" s="55" t="n"/>
      <c r="FM180" s="55"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55" t="n"/>
      <c r="HY180" s="55" t="n"/>
      <c r="HZ180" s="55" t="n"/>
      <c r="IA180" s="55" t="n"/>
      <c r="IB180" s="55" t="n"/>
      <c r="IC180" s="55" t="n"/>
      <c r="ID180" s="55" t="n"/>
      <c r="IE180" s="55" t="n"/>
      <c r="IF180" s="55" t="n"/>
      <c r="IG180" s="55" t="n"/>
      <c r="IH180" s="55" t="n"/>
      <c r="II180" s="55" t="n"/>
      <c r="IK180" s="9" t="inlineStr">
        <is>
          <t>ez_manage.py:6073 top()</t>
        </is>
      </c>
      <c r="IL180" s="9" t="inlineStr">
        <is>
          <t>v12_quick_engine.py:4285 x4</t>
        </is>
      </c>
    </row>
    <row r="181" ht="11" customHeight="1">
      <c r="A181" s="6" t="inlineStr">
        <is>
          <t>V8_ENTRY_ENGINE_DC_ENABLED</t>
        </is>
      </c>
      <c r="B181" s="7" t="inlineStr">
        <is>
          <t>True</t>
        </is>
      </c>
      <c r="E181">
        <f>IF(G181="",E180,IF(G181&gt;0,E180+G181,E180))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55" t="n"/>
      <c r="CA181" s="55" t="n"/>
      <c r="CB181" s="55" t="n"/>
      <c r="CC181" s="55" t="n"/>
      <c r="CD181" s="55"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8" t="n"/>
      <c r="FI181" s="55" t="n"/>
      <c r="FJ181" s="55" t="n"/>
      <c r="FK181" s="55" t="n"/>
      <c r="FL181" s="55" t="n"/>
      <c r="FM181" s="55"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55" t="n"/>
      <c r="HY181" s="55" t="n"/>
      <c r="HZ181" s="55" t="n"/>
      <c r="IA181" s="55" t="n"/>
      <c r="IB181" s="55" t="n"/>
      <c r="IC181" s="55" t="n"/>
      <c r="ID181" s="55" t="n"/>
      <c r="IE181" s="55" t="n"/>
      <c r="IF181" s="55" t="n"/>
      <c r="IG181" s="55" t="n"/>
      <c r="IH181" s="55" t="n"/>
      <c r="II181" s="55" t="n"/>
      <c r="IK181" s="9" t="inlineStr">
        <is>
          <t>ez_manage.py:6073 top()</t>
        </is>
      </c>
      <c r="IL181" s="9" t="inlineStr">
        <is>
          <t>v12_quick_engine.py:4285 x4</t>
        </is>
      </c>
    </row>
    <row r="182" ht="11" customHeight="1">
      <c r="A182" s="10" t="inlineStr">
        <is>
          <t>V8_ENTRY_ENGINE_WT_ENABLED</t>
        </is>
      </c>
      <c r="B182" s="11" t="inlineStr">
        <is>
          <t>False</t>
        </is>
      </c>
      <c r="E182">
        <f>IF(G182="",E181,IF(G182&gt;0,E181+G182,E181))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55" t="n"/>
      <c r="CA182" s="55" t="n"/>
      <c r="CB182" s="55" t="n"/>
      <c r="CC182" s="55" t="n"/>
      <c r="CD182" s="55"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55" t="n"/>
      <c r="FJ182" s="55" t="n"/>
      <c r="FK182" s="55" t="n"/>
      <c r="FL182" s="55" t="n"/>
      <c r="FM182" s="55"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55" t="n"/>
      <c r="HY182" s="55" t="n"/>
      <c r="HZ182" s="55" t="n"/>
      <c r="IA182" s="55" t="n"/>
      <c r="IB182" s="55" t="n"/>
      <c r="IC182" s="55" t="n"/>
      <c r="ID182" s="55" t="n"/>
      <c r="IE182" s="55" t="n"/>
      <c r="IF182" s="55" t="n"/>
      <c r="IG182" s="55" t="n"/>
      <c r="IH182" s="55" t="n"/>
      <c r="II182" s="55" t="n"/>
      <c r="IK182" s="9" t="inlineStr">
        <is>
          <t>ez_manage.py:6074 top()</t>
        </is>
      </c>
      <c r="IL182" s="9" t="inlineStr">
        <is>
          <t>v12_quick_engine.py:4286 x4</t>
        </is>
      </c>
    </row>
    <row r="183" ht="11" customHeight="1">
      <c r="A183" s="6" t="inlineStr">
        <is>
          <t>V8_ENTRY_ENGINE_WT_ENABLED</t>
        </is>
      </c>
      <c r="B183" s="7" t="inlineStr">
        <is>
          <t>True</t>
        </is>
      </c>
      <c r="E183">
        <f>IF(G183="",E182,IF(G183&gt;0,E182+G183,E182))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55" t="n"/>
      <c r="CA183" s="55" t="n"/>
      <c r="CB183" s="55" t="n"/>
      <c r="CC183" s="55" t="n"/>
      <c r="CD183" s="55"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55" t="n"/>
      <c r="FJ183" s="55" t="n"/>
      <c r="FK183" s="55" t="n"/>
      <c r="FL183" s="55" t="n"/>
      <c r="FM183" s="55"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55" t="n"/>
      <c r="HY183" s="55" t="n"/>
      <c r="HZ183" s="55" t="n"/>
      <c r="IA183" s="55" t="n"/>
      <c r="IB183" s="55" t="n"/>
      <c r="IC183" s="55" t="n"/>
      <c r="ID183" s="55" t="n"/>
      <c r="IE183" s="55" t="n"/>
      <c r="IF183" s="55" t="n"/>
      <c r="IG183" s="55" t="n"/>
      <c r="IH183" s="55" t="n"/>
      <c r="II183" s="55" t="n"/>
      <c r="IK183" s="9" t="inlineStr">
        <is>
          <t>ez_manage.py:6074 top()</t>
        </is>
      </c>
      <c r="IL183" s="9" t="inlineStr">
        <is>
          <t>v12_quick_engine.py:4286 x4</t>
        </is>
      </c>
    </row>
    <row r="184" ht="11" customHeight="1">
      <c r="A184" s="10" t="inlineStr">
        <is>
          <t>WRONG_SIDE_WT_TFS_REQUIRED</t>
        </is>
      </c>
      <c r="B184" s="11" t="inlineStr">
        <is>
          <t>2</t>
        </is>
      </c>
      <c r="E184">
        <f>IF(G184="",E183,IF(G184&gt;0,E183+G184,E183))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ez_manage.py:4278 top()</t>
        </is>
      </c>
      <c r="IL184" s="9" t="inlineStr">
        <is>
          <t>v12_quick_engine.py:3667 x3</t>
        </is>
      </c>
    </row>
    <row r="185" ht="11" customHeight="1">
      <c r="A185" s="10" t="inlineStr">
        <is>
          <t>WRONG_SIDE_WT_TFS_REQUIRED</t>
        </is>
      </c>
      <c r="B185" s="11" t="inlineStr">
        <is>
          <t>3</t>
        </is>
      </c>
      <c r="E185">
        <f>IF(G185="",E184,IF(G185&gt;0,E184+G185,E184))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ez_manage.py:4278 top()</t>
        </is>
      </c>
      <c r="IL185" s="9" t="inlineStr">
        <is>
          <t>v12_quick_engine.py:3667 x3</t>
        </is>
      </c>
    </row>
    <row r="186" ht="11" customHeight="1">
      <c r="A186" s="6" t="inlineStr">
        <is>
          <t>WRONG_SIDE_WT_TFS_REQUIRED</t>
        </is>
      </c>
      <c r="B186" s="7" t="inlineStr">
        <is>
          <t>4</t>
        </is>
      </c>
      <c r="E186">
        <f>IF(G186="",E185,IF(G186&gt;0,E185+G186,E185))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ez_manage.py:4278 top()</t>
        </is>
      </c>
      <c r="IL186" s="9" t="inlineStr">
        <is>
          <t>v12_quick_engine.py:3667 x3</t>
        </is>
      </c>
    </row>
    <row r="187" ht="11" customHeight="1">
      <c r="A187" s="10" t="inlineStr">
        <is>
          <t>WRONG_SIDE_WT_TFS_REQUIRED</t>
        </is>
      </c>
      <c r="B187" s="11" t="inlineStr">
        <is>
          <t>5</t>
        </is>
      </c>
      <c r="E187">
        <f>IF(G187="",E186,IF(G187&gt;0,E186+G187,E186))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ez_manage.py:4278 top()</t>
        </is>
      </c>
      <c r="IL187" s="9" t="inlineStr">
        <is>
          <t>v12_quick_engine.py:3667 x3</t>
        </is>
      </c>
    </row>
    <row r="188" ht="11" customHeight="1">
      <c r="A188" s="10" t="inlineStr">
        <is>
          <t>WRONG_SIDE_WT_TFS_REQUIRED</t>
        </is>
      </c>
      <c r="B188" s="11" t="inlineStr">
        <is>
          <t>6</t>
        </is>
      </c>
      <c r="E188">
        <f>IF(G188="",E187,IF(G188&gt;0,E187+G188,E187))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ez_manage.py:4278 top()</t>
        </is>
      </c>
      <c r="IL188" s="9" t="inlineStr">
        <is>
          <t>v12_quick_engine.py:3667 x3</t>
        </is>
      </c>
    </row>
    <row r="189" ht="11" customHeight="1">
      <c r="A189" s="6" t="inlineStr">
        <is>
          <t>WT_15M_CROSS_ENTRY_ENABLED</t>
        </is>
      </c>
      <c r="B189" s="7" t="inlineStr">
        <is>
          <t>False</t>
        </is>
      </c>
      <c r="E189">
        <f>IF(G189="",E188,IF(G189&gt;0,E188+G189,E188))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55" t="n"/>
      <c r="AW189" s="55" t="n"/>
      <c r="AX189" s="55" t="n"/>
      <c r="AY189" s="55" t="n"/>
      <c r="AZ189" s="55"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55" t="n"/>
      <c r="FJ189" s="55" t="n"/>
      <c r="FK189" s="55" t="n"/>
      <c r="FL189" s="55" t="n"/>
      <c r="FM189" s="55"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8" t="n"/>
      <c r="HX189" s="55" t="n"/>
      <c r="HY189" s="55" t="n"/>
      <c r="HZ189" s="55" t="n"/>
      <c r="IA189" s="55" t="n"/>
      <c r="IB189" s="55" t="n"/>
      <c r="IC189" s="55" t="n"/>
      <c r="ID189" s="55" t="n"/>
      <c r="IE189" s="55" t="n"/>
      <c r="IF189" s="55" t="n"/>
      <c r="IG189" s="55" t="n"/>
      <c r="IH189" s="55" t="n"/>
      <c r="II189" s="55" t="n"/>
      <c r="IK189" s="9" t="inlineStr">
        <is>
          <t>ez_manage.py:6077 top()</t>
        </is>
      </c>
      <c r="IL189" s="9" t="inlineStr">
        <is>
          <t>v12_quick_engine.py:4289 x4</t>
        </is>
      </c>
    </row>
    <row r="190" ht="11" customHeight="1">
      <c r="A190" s="10" t="inlineStr">
        <is>
          <t>WT_15M_CROSS_ENTRY_ENABLED</t>
        </is>
      </c>
      <c r="B190" s="11" t="inlineStr">
        <is>
          <t>True</t>
        </is>
      </c>
      <c r="E190">
        <f>IF(G190="",E189,IF(G190&gt;0,E189+G190,E189))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55" t="n"/>
      <c r="AW190" s="55" t="n"/>
      <c r="AX190" s="55" t="n"/>
      <c r="AY190" s="55" t="n"/>
      <c r="AZ190" s="55"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55" t="n"/>
      <c r="FJ190" s="55" t="n"/>
      <c r="FK190" s="55" t="n"/>
      <c r="FL190" s="55" t="n"/>
      <c r="FM190" s="55"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8" t="n"/>
      <c r="HX190" s="55" t="n"/>
      <c r="HY190" s="55" t="n"/>
      <c r="HZ190" s="55" t="n"/>
      <c r="IA190" s="55" t="n"/>
      <c r="IB190" s="55" t="n"/>
      <c r="IC190" s="55" t="n"/>
      <c r="ID190" s="55" t="n"/>
      <c r="IE190" s="55" t="n"/>
      <c r="IF190" s="55" t="n"/>
      <c r="IG190" s="55" t="n"/>
      <c r="IH190" s="55" t="n"/>
      <c r="II190" s="55" t="n"/>
      <c r="IK190" s="9" t="inlineStr">
        <is>
          <t>ez_manage.py:6077 top()</t>
        </is>
      </c>
      <c r="IL190" s="9" t="inlineStr">
        <is>
          <t>v12_quick_engine.py:4289 x4</t>
        </is>
      </c>
    </row>
    <row r="191" ht="11" customHeight="1">
      <c r="A191" s="10" t="inlineStr">
        <is>
          <t>WT_COMPOSITE_ENTRY_BLOCK</t>
        </is>
      </c>
      <c r="B191" s="11" t="inlineStr">
        <is>
          <t>-30.0</t>
        </is>
      </c>
      <c r="E191">
        <f>IF(G191="",E190,IF(G191&gt;0,E190+G191,E190))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55" t="n"/>
      <c r="FJ191" s="55" t="n"/>
      <c r="FK191" s="55" t="n"/>
      <c r="FL191" s="55" t="n"/>
      <c r="FM191" s="55"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ez_manage.py:5891 top()</t>
        </is>
      </c>
      <c r="IL191" s="9" t="inlineStr">
        <is>
          <t>v12_quick_engine.py:3710 x2</t>
        </is>
      </c>
    </row>
    <row r="192" ht="11" customHeight="1">
      <c r="A192" s="10" t="inlineStr">
        <is>
          <t>WT_COMPOSITE_ENTRY_BLOCK</t>
        </is>
      </c>
      <c r="B192" s="11" t="inlineStr">
        <is>
          <t>-25.0</t>
        </is>
      </c>
      <c r="E192">
        <f>IF(G192="",E191,IF(G192&gt;0,E191+G192,E191))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55" t="n"/>
      <c r="FJ192" s="55" t="n"/>
      <c r="FK192" s="55" t="n"/>
      <c r="FL192" s="55" t="n"/>
      <c r="FM192" s="55"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ez_manage.py:5891 top()</t>
        </is>
      </c>
      <c r="IL192" s="9" t="inlineStr">
        <is>
          <t>v12_quick_engine.py:3710 x2</t>
        </is>
      </c>
    </row>
    <row r="193" ht="11" customHeight="1">
      <c r="A193" s="6" t="inlineStr">
        <is>
          <t>WT_COMPOSITE_ENTRY_BLOCK</t>
        </is>
      </c>
      <c r="B193" s="7" t="inlineStr">
        <is>
          <t>-20.0</t>
        </is>
      </c>
      <c r="E193">
        <f>IF(G193="",E192,IF(G193&gt;0,E192+G193,E192))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55" t="n"/>
      <c r="FJ193" s="55" t="n"/>
      <c r="FK193" s="55" t="n"/>
      <c r="FL193" s="55" t="n"/>
      <c r="FM193" s="55"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ez_manage.py:5891 top()</t>
        </is>
      </c>
      <c r="IL193" s="9" t="inlineStr">
        <is>
          <t>v12_quick_engine.py:3710 x2</t>
        </is>
      </c>
    </row>
    <row r="194" ht="11" customHeight="1">
      <c r="A194" s="10" t="inlineStr">
        <is>
          <t>WT_COMPOSITE_ENTRY_BLOCK</t>
        </is>
      </c>
      <c r="B194" s="11" t="inlineStr">
        <is>
          <t>-15.0</t>
        </is>
      </c>
      <c r="E194">
        <f>IF(G194="",E193,IF(G194&gt;0,E193+G194,E193))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55" t="n"/>
      <c r="FJ194" s="55" t="n"/>
      <c r="FK194" s="55" t="n"/>
      <c r="FL194" s="55" t="n"/>
      <c r="FM194" s="55"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ez_manage.py:5891 top()</t>
        </is>
      </c>
      <c r="IL194" s="9" t="inlineStr">
        <is>
          <t>v12_quick_engine.py:3710 x2</t>
        </is>
      </c>
    </row>
    <row r="195" ht="11" customHeight="1">
      <c r="A195" s="10" t="inlineStr">
        <is>
          <t>WT_COMPOSITE_ENTRY_BLOCK</t>
        </is>
      </c>
      <c r="B195" s="11" t="inlineStr">
        <is>
          <t>-10.0</t>
        </is>
      </c>
      <c r="E195">
        <f>IF(G195="",E194,IF(G195&gt;0,E194+G195,E194))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55" t="n"/>
      <c r="FJ195" s="55" t="n"/>
      <c r="FK195" s="55" t="n"/>
      <c r="FL195" s="55" t="n"/>
      <c r="FM195" s="55"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ez_manage.py:5891 top()</t>
        </is>
      </c>
      <c r="IL195" s="9" t="inlineStr">
        <is>
          <t>v12_quick_engine.py:3710 x2</t>
        </is>
      </c>
    </row>
    <row r="196" ht="11" customHeight="1">
      <c r="A196" s="10" t="inlineStr">
        <is>
          <t>WT_COMPOSITE_ENTRY_GOOD</t>
        </is>
      </c>
      <c r="B196" s="11" t="inlineStr">
        <is>
          <t>15.0</t>
        </is>
      </c>
      <c r="E196">
        <f>IF(G196="",E195,IF(G196&gt;0,E195+G196,E195))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55" t="n"/>
      <c r="FJ196" s="55" t="n"/>
      <c r="FK196" s="55" t="n"/>
      <c r="FL196" s="55" t="n"/>
      <c r="FM196" s="55"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ez_manage.py:5892 top()</t>
        </is>
      </c>
      <c r="IL196" s="9" t="inlineStr">
        <is>
          <t>v12_quick_engine.py:3711 x2</t>
        </is>
      </c>
    </row>
    <row r="197" ht="11" customHeight="1">
      <c r="A197" s="10" t="inlineStr">
        <is>
          <t>WT_COMPOSITE_ENTRY_GOOD</t>
        </is>
      </c>
      <c r="B197" s="11" t="inlineStr">
        <is>
          <t>22.5</t>
        </is>
      </c>
      <c r="E197">
        <f>IF(G197="",E196,IF(G197&gt;0,E196+G197,E196))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55" t="n"/>
      <c r="FJ197" s="55" t="n"/>
      <c r="FK197" s="55" t="n"/>
      <c r="FL197" s="55" t="n"/>
      <c r="FM197" s="55"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ez_manage.py:5892 top()</t>
        </is>
      </c>
      <c r="IL197" s="9" t="inlineStr">
        <is>
          <t>v12_quick_engine.py:3711 x2</t>
        </is>
      </c>
    </row>
    <row r="198" ht="11" customHeight="1">
      <c r="A198" s="6" t="inlineStr">
        <is>
          <t>WT_COMPOSITE_ENTRY_GOOD</t>
        </is>
      </c>
      <c r="B198" s="7" t="inlineStr">
        <is>
          <t>30.0</t>
        </is>
      </c>
      <c r="E198">
        <f>IF(G198="",E197,IF(G198&gt;0,E197+G198,E197))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55" t="n"/>
      <c r="FJ198" s="55" t="n"/>
      <c r="FK198" s="55" t="n"/>
      <c r="FL198" s="55" t="n"/>
      <c r="FM198" s="55"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ez_manage.py:5892 top()</t>
        </is>
      </c>
      <c r="IL198" s="9" t="inlineStr">
        <is>
          <t>v12_quick_engine.py:3711 x2</t>
        </is>
      </c>
    </row>
    <row r="199" ht="11" customHeight="1">
      <c r="A199" s="10" t="inlineStr">
        <is>
          <t>WT_COMPOSITE_ENTRY_GOOD</t>
        </is>
      </c>
      <c r="B199" s="11" t="inlineStr">
        <is>
          <t>37.5</t>
        </is>
      </c>
      <c r="E199">
        <f>IF(G199="",E198,IF(G199&gt;0,E198+G199,E198))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55" t="n"/>
      <c r="FJ199" s="55" t="n"/>
      <c r="FK199" s="55" t="n"/>
      <c r="FL199" s="55" t="n"/>
      <c r="FM199" s="55"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ez_manage.py:5892 top()</t>
        </is>
      </c>
      <c r="IL199" s="9" t="inlineStr">
        <is>
          <t>v12_quick_engine.py:3711 x2</t>
        </is>
      </c>
    </row>
    <row r="200" ht="11" customHeight="1">
      <c r="A200" s="10" t="inlineStr">
        <is>
          <t>WT_COMPOSITE_ENTRY_GOOD</t>
        </is>
      </c>
      <c r="B200" s="11" t="inlineStr">
        <is>
          <t>45.0</t>
        </is>
      </c>
      <c r="E200">
        <f>IF(G200="",E199,IF(G200&gt;0,E199+G200,E199))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55" t="n"/>
      <c r="FJ200" s="55" t="n"/>
      <c r="FK200" s="55" t="n"/>
      <c r="FL200" s="55" t="n"/>
      <c r="FM200" s="55"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ez_manage.py:5892 top()</t>
        </is>
      </c>
      <c r="IL200" s="9" t="inlineStr">
        <is>
          <t>v12_quick_engine.py:3711 x2</t>
        </is>
      </c>
    </row>
    <row r="201" ht="11" customHeight="1">
      <c r="A201" s="10" t="inlineStr">
        <is>
          <t>WT_COMPOSITE_ENTRY_OK</t>
        </is>
      </c>
      <c r="B201" s="11" t="inlineStr">
        <is>
          <t>5.0</t>
        </is>
      </c>
      <c r="E201">
        <f>IF(G201="",E200,IF(G201&gt;0,E200+G201,E200))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55" t="n"/>
      <c r="FJ201" s="55" t="n"/>
      <c r="FK201" s="55" t="n"/>
      <c r="FL201" s="55" t="n"/>
      <c r="FM201" s="55"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ez_manage.py:5893 top()</t>
        </is>
      </c>
      <c r="IL201" s="9" t="inlineStr">
        <is>
          <t>v12_quick_engine.py:3712 x2</t>
        </is>
      </c>
    </row>
    <row r="202" ht="11" customHeight="1">
      <c r="A202" s="10" t="inlineStr">
        <is>
          <t>WT_COMPOSITE_ENTRY_OK</t>
        </is>
      </c>
      <c r="B202" s="11" t="inlineStr">
        <is>
          <t>7.5</t>
        </is>
      </c>
      <c r="E202">
        <f>IF(G202="",E201,IF(G202&gt;0,E201+G202,E201))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55" t="n"/>
      <c r="FJ202" s="55" t="n"/>
      <c r="FK202" s="55" t="n"/>
      <c r="FL202" s="55" t="n"/>
      <c r="FM202" s="55"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ez_manage.py:5893 top()</t>
        </is>
      </c>
      <c r="IL202" s="9" t="inlineStr">
        <is>
          <t>v12_quick_engine.py:3712 x2</t>
        </is>
      </c>
    </row>
    <row r="203" ht="11" customHeight="1">
      <c r="A203" s="6" t="inlineStr">
        <is>
          <t>WT_COMPOSITE_ENTRY_OK</t>
        </is>
      </c>
      <c r="B203" s="7" t="inlineStr">
        <is>
          <t>10.0</t>
        </is>
      </c>
      <c r="E203">
        <f>IF(G203="",E202,IF(G203&gt;0,E202+G203,E202))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55" t="n"/>
      <c r="FJ203" s="55" t="n"/>
      <c r="FK203" s="55" t="n"/>
      <c r="FL203" s="55" t="n"/>
      <c r="FM203" s="55"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ez_manage.py:5893 top()</t>
        </is>
      </c>
      <c r="IL203" s="9" t="inlineStr">
        <is>
          <t>v12_quick_engine.py:3712 x2</t>
        </is>
      </c>
    </row>
    <row r="204" ht="11" customHeight="1">
      <c r="A204" s="10" t="inlineStr">
        <is>
          <t>WT_COMPOSITE_ENTRY_OK</t>
        </is>
      </c>
      <c r="B204" s="11" t="inlineStr">
        <is>
          <t>12.5</t>
        </is>
      </c>
      <c r="E204">
        <f>IF(G204="",E203,IF(G204&gt;0,E203+G204,E203))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55" t="n"/>
      <c r="FJ204" s="55" t="n"/>
      <c r="FK204" s="55" t="n"/>
      <c r="FL204" s="55" t="n"/>
      <c r="FM204" s="55"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ez_manage.py:5893 top()</t>
        </is>
      </c>
      <c r="IL204" s="9" t="inlineStr">
        <is>
          <t>v12_quick_engine.py:3712 x2</t>
        </is>
      </c>
    </row>
    <row r="205" ht="11" customHeight="1">
      <c r="A205" s="10" t="inlineStr">
        <is>
          <t>WT_COMPOSITE_ENTRY_OK</t>
        </is>
      </c>
      <c r="B205" s="11" t="inlineStr">
        <is>
          <t>15.0</t>
        </is>
      </c>
      <c r="E205">
        <f>IF(G205="",E204,IF(G205&gt;0,E204+G205,E204))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55" t="n"/>
      <c r="FJ205" s="55" t="n"/>
      <c r="FK205" s="55" t="n"/>
      <c r="FL205" s="55" t="n"/>
      <c r="FM205" s="55"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ez_manage.py:5893 top()</t>
        </is>
      </c>
      <c r="IL205" s="9" t="inlineStr">
        <is>
          <t>v12_quick_engine.py:3712 x2</t>
        </is>
      </c>
    </row>
    <row r="206" ht="11" customHeight="1">
      <c r="A206" s="10" t="inlineStr">
        <is>
          <t>WT_COMPOSITE_ENTRY_STRONG</t>
        </is>
      </c>
      <c r="B206" s="11" t="inlineStr">
        <is>
          <t>25.0</t>
        </is>
      </c>
      <c r="E206">
        <f>IF(G206="",E205,IF(G206&gt;0,E205+G206,E205))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55" t="n"/>
      <c r="FJ206" s="55" t="n"/>
      <c r="FK206" s="55" t="n"/>
      <c r="FL206" s="55" t="n"/>
      <c r="FM206" s="55"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ez_manage.py:5894 top()</t>
        </is>
      </c>
      <c r="IL206" s="9" t="inlineStr">
        <is>
          <t>v12_quick_engine.py:3713 x2</t>
        </is>
      </c>
    </row>
    <row r="207" ht="11" customHeight="1">
      <c r="A207" s="10" t="inlineStr">
        <is>
          <t>WT_COMPOSITE_ENTRY_STRONG</t>
        </is>
      </c>
      <c r="B207" s="11" t="inlineStr">
        <is>
          <t>37.5</t>
        </is>
      </c>
      <c r="E207">
        <f>IF(G207="",E206,IF(G207&gt;0,E206+G207,E206))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55" t="n"/>
      <c r="FJ207" s="55" t="n"/>
      <c r="FK207" s="55" t="n"/>
      <c r="FL207" s="55" t="n"/>
      <c r="FM207" s="55"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ez_manage.py:5894 top()</t>
        </is>
      </c>
      <c r="IL207" s="9" t="inlineStr">
        <is>
          <t>v12_quick_engine.py:3713 x2</t>
        </is>
      </c>
    </row>
    <row r="208" ht="11" customHeight="1">
      <c r="A208" s="6" t="inlineStr">
        <is>
          <t>WT_COMPOSITE_ENTRY_STRONG</t>
        </is>
      </c>
      <c r="B208" s="7" t="inlineStr">
        <is>
          <t>50.0</t>
        </is>
      </c>
      <c r="E208">
        <f>IF(G208="",E207,IF(G208&gt;0,E207+G208,E207))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55" t="n"/>
      <c r="FJ208" s="55" t="n"/>
      <c r="FK208" s="55" t="n"/>
      <c r="FL208" s="55" t="n"/>
      <c r="FM208" s="55"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ez_manage.py:5894 top()</t>
        </is>
      </c>
      <c r="IL208" s="9" t="inlineStr">
        <is>
          <t>v12_quick_engine.py:3713 x2</t>
        </is>
      </c>
    </row>
    <row r="209" ht="11" customHeight="1">
      <c r="A209" s="10" t="inlineStr">
        <is>
          <t>WT_COMPOSITE_ENTRY_STRONG</t>
        </is>
      </c>
      <c r="B209" s="11" t="inlineStr">
        <is>
          <t>62.5</t>
        </is>
      </c>
      <c r="E209">
        <f>IF(G209="",E208,IF(G209&gt;0,E208+G209,E208))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55" t="n"/>
      <c r="FJ209" s="55" t="n"/>
      <c r="FK209" s="55" t="n"/>
      <c r="FL209" s="55" t="n"/>
      <c r="FM209" s="55"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ez_manage.py:5894 top()</t>
        </is>
      </c>
      <c r="IL209" s="9" t="inlineStr">
        <is>
          <t>v12_quick_engine.py:3713 x2</t>
        </is>
      </c>
    </row>
    <row r="210" ht="11" customHeight="1">
      <c r="A210" s="10" t="inlineStr">
        <is>
          <t>WT_COMPOSITE_ENTRY_STRONG</t>
        </is>
      </c>
      <c r="B210" s="11" t="inlineStr">
        <is>
          <t>75.0</t>
        </is>
      </c>
      <c r="E210">
        <f>IF(G210="",E209,IF(G210&gt;0,E209+G210,E209))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55" t="n"/>
      <c r="FJ210" s="55" t="n"/>
      <c r="FK210" s="55" t="n"/>
      <c r="FL210" s="55" t="n"/>
      <c r="FM210" s="55"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ez_manage.py:5894 top()</t>
        </is>
      </c>
      <c r="IL210" s="9" t="inlineStr">
        <is>
          <t>v12_quick_engine.py:3713 x2</t>
        </is>
      </c>
    </row>
    <row r="211" ht="11" customHeight="1">
      <c r="A211" s="6" t="inlineStr">
        <is>
          <t>WT_DIV_ENTRY_GATE_ENABLED</t>
        </is>
      </c>
      <c r="B211" s="7" t="inlineStr">
        <is>
          <t>False</t>
        </is>
      </c>
      <c r="E211">
        <f>IF(G211="",E210,IF(G211&gt;0,E210+G211,E210))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55" t="n"/>
      <c r="FJ211" s="55" t="n"/>
      <c r="FK211" s="55" t="n"/>
      <c r="FL211" s="55" t="n"/>
      <c r="FM211" s="55"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55" t="n"/>
      <c r="HY211" s="55" t="n"/>
      <c r="HZ211" s="55" t="n"/>
      <c r="IA211" s="55" t="n"/>
      <c r="IB211" s="55" t="n"/>
      <c r="IC211" s="55" t="n"/>
      <c r="ID211" s="55" t="n"/>
      <c r="IE211" s="55" t="n"/>
      <c r="IF211" s="55" t="n"/>
      <c r="IG211" s="55" t="n"/>
      <c r="IH211" s="55" t="n"/>
      <c r="II211" s="55" t="n"/>
      <c r="IK211" s="9" t="inlineStr">
        <is>
          <t>ez_manage.py:5913 top()</t>
        </is>
      </c>
      <c r="IL211" s="9" t="inlineStr">
        <is>
          <t>v12_quick_engine.py:3743 x2</t>
        </is>
      </c>
    </row>
    <row r="212" ht="11" customHeight="1">
      <c r="A212" s="10" t="inlineStr">
        <is>
          <t>WT_DIV_ENTRY_GATE_ENABLED</t>
        </is>
      </c>
      <c r="B212" s="11" t="inlineStr">
        <is>
          <t>True</t>
        </is>
      </c>
      <c r="E212">
        <f>IF(G212="",E211,IF(G212&gt;0,E211+G212,E211))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55" t="n"/>
      <c r="FJ212" s="55" t="n"/>
      <c r="FK212" s="55" t="n"/>
      <c r="FL212" s="55" t="n"/>
      <c r="FM212" s="55"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55" t="n"/>
      <c r="HY212" s="55" t="n"/>
      <c r="HZ212" s="55" t="n"/>
      <c r="IA212" s="55" t="n"/>
      <c r="IB212" s="55" t="n"/>
      <c r="IC212" s="55" t="n"/>
      <c r="ID212" s="55" t="n"/>
      <c r="IE212" s="55" t="n"/>
      <c r="IF212" s="55" t="n"/>
      <c r="IG212" s="55" t="n"/>
      <c r="IH212" s="55" t="n"/>
      <c r="II212" s="55" t="n"/>
      <c r="IK212" s="9" t="inlineStr">
        <is>
          <t>ez_manage.py:5913 top()</t>
        </is>
      </c>
      <c r="IL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G214" s="62" t="inlineStr">
        <is>
          <t>Rec</t>
        </is>
      </c>
      <c r="H214" s="62" t="inlineStr">
        <is>
          <t>Tested As</t>
        </is>
      </c>
      <c r="I214" s="62" t="inlineStr">
        <is>
          <t>Notes</t>
        </is>
      </c>
    </row>
    <row r="215">
      <c r="A215" s="63" t="inlineStr">
        <is>
          <t>ADX_RANGING_THRESHOLD</t>
        </is>
      </c>
      <c r="B215" s="56" t="inlineStr">
        <is>
          <t>20</t>
        </is>
      </c>
      <c r="C215" s="56" t="n"/>
      <c r="D215" s="56" t="inlineStr">
        <is>
          <t>ENTRY, GLOBAL_CHECK, STOCKS_EXIT</t>
        </is>
      </c>
      <c r="E215" s="56">
        <f>IF(G215="",E214,IF(G215&gt;0,E214+G215,E214))</f>
        <v/>
      </c>
      <c r="G215" s="56">
        <f>IFERROR(VLOOKUP($A215&amp;"="&amp;$B215,Results_Deltas!$A$2:$P$15000,5,FALSE),"")</f>
        <v/>
      </c>
      <c r="H215" s="56" t="inlineStr">
        <is>
          <t>Blanket (page end)</t>
        </is>
      </c>
    </row>
    <row r="216">
      <c r="A216" s="63" t="inlineStr">
        <is>
          <t>ADX_RANGING_THRESHOLD</t>
        </is>
      </c>
      <c r="B216" s="56" t="inlineStr">
        <is>
          <t>25</t>
        </is>
      </c>
      <c r="C216" s="56" t="n"/>
      <c r="D216" s="56" t="inlineStr">
        <is>
          <t>ENTRY, GLOBAL_CHECK, STOCKS_EXIT</t>
        </is>
      </c>
      <c r="E216" s="56">
        <f>IF(G216="",E215,IF(G216&gt;0,E215+G216,E215))</f>
        <v/>
      </c>
      <c r="G216" s="56">
        <f>IFERROR(VLOOKUP($A216&amp;"="&amp;$B216,Results_Deltas!$A$2:$P$15000,5,FALSE),"")</f>
        <v/>
      </c>
      <c r="H216" s="56" t="inlineStr">
        <is>
          <t>Blanket (page end)</t>
        </is>
      </c>
    </row>
    <row r="217">
      <c r="A217" s="63" t="inlineStr">
        <is>
          <t>ADX_RANGING_THRESHOLD</t>
        </is>
      </c>
      <c r="B217" s="56" t="inlineStr">
        <is>
          <t>15</t>
        </is>
      </c>
      <c r="C217" s="56" t="n"/>
      <c r="D217" s="56" t="inlineStr">
        <is>
          <t>ENTRY, GLOBAL_CHECK, STOCKS_EXIT</t>
        </is>
      </c>
      <c r="E217" s="56">
        <f>IF(G217="",E216,IF(G217&gt;0,E216+G217,E216))</f>
        <v/>
      </c>
      <c r="G217" s="56">
        <f>IFERROR(VLOOKUP($A217&amp;"="&amp;$B217,Results_Deltas!$A$2:$P$15000,5,FALSE),"")</f>
        <v/>
      </c>
      <c r="H217" s="56" t="inlineStr">
        <is>
          <t>Blanket (page end)</t>
        </is>
      </c>
    </row>
    <row r="218">
      <c r="A218" s="63" t="inlineStr">
        <is>
          <t>ADX_RANGING_THRESHOLD</t>
        </is>
      </c>
      <c r="B218" s="56" t="inlineStr">
        <is>
          <t>10</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BANDAID_OFF_LOSER_RECOVER_PCT</t>
        </is>
      </c>
      <c r="B219" s="56" t="inlineStr">
        <is>
          <t>0</t>
        </is>
      </c>
      <c r="C219" s="56" t="n"/>
      <c r="D219" s="56" t="inlineStr">
        <is>
          <t>AUGMENT, ENTRY, EXIT, GLOBAL_CHECK, REDUCE, STOCKS_EXIT</t>
        </is>
      </c>
      <c r="E219" s="56">
        <f>IF(G219="",E218,IF(G219&gt;0,E218+G219,E218))</f>
        <v/>
      </c>
      <c r="G219" s="56">
        <f>IFERROR(VLOOKUP($A219&amp;"="&amp;$B219,Results_Deltas!$A$2:$P$15000,5,FALSE),"")</f>
        <v/>
      </c>
      <c r="H219" s="56" t="inlineStr">
        <is>
          <t>Blanket (page end)</t>
        </is>
      </c>
    </row>
    <row r="220">
      <c r="A220" s="63" t="inlineStr">
        <is>
          <t>BANDAID_OFF_LOSER_RECOVER_PCT</t>
        </is>
      </c>
      <c r="B220" s="56" t="inlineStr">
        <is>
          <t>2.0</t>
        </is>
      </c>
      <c r="C220" s="56" t="n"/>
      <c r="D220" s="56" t="inlineStr">
        <is>
          <t>AUGMENT, ENTRY, EXIT, GLOBAL_CHECK, REDUCE, STOCKS_EXIT</t>
        </is>
      </c>
      <c r="E220" s="56">
        <f>IF(G220="",E219,IF(G220&gt;0,E219+G220,E219))</f>
        <v/>
      </c>
      <c r="G220" s="56">
        <f>IFERROR(VLOOKUP($A220&amp;"="&amp;$B220,Results_Deltas!$A$2:$P$15000,5,FALSE),"")</f>
        <v/>
      </c>
      <c r="H220" s="56" t="inlineStr">
        <is>
          <t>Blanket (page end)</t>
        </is>
      </c>
    </row>
    <row r="221">
      <c r="A221" s="63" t="inlineStr">
        <is>
          <t>BANDAID_OFF_LOSER_RECOVER_PCT</t>
        </is>
      </c>
      <c r="B221" s="56" t="inlineStr">
        <is>
          <t>1.0</t>
        </is>
      </c>
      <c r="C221" s="56" t="n"/>
      <c r="D221" s="56" t="inlineStr">
        <is>
          <t>AUGMENT, ENTRY, EXIT, GLOBAL_CHECK, REDUCE, STOCKS_EXIT</t>
        </is>
      </c>
      <c r="E221" s="56">
        <f>IF(G221="",E220,IF(G221&gt;0,E220+G221,E220))</f>
        <v/>
      </c>
      <c r="G221" s="56">
        <f>IFERROR(VLOOKUP($A221&amp;"="&amp;$B221,Results_Deltas!$A$2:$P$15000,5,FALSE),"")</f>
        <v/>
      </c>
      <c r="H221" s="56" t="inlineStr">
        <is>
          <t>Blanket (page end)</t>
        </is>
      </c>
    </row>
    <row r="222">
      <c r="A222" s="63" t="inlineStr">
        <is>
          <t>BANDAID_OFF_LOSER_RECOVER_PCT</t>
        </is>
      </c>
      <c r="B222" s="56" t="inlineStr">
        <is>
          <t>0.5</t>
        </is>
      </c>
      <c r="C222" s="56" t="n"/>
      <c r="D222" s="56" t="inlineStr">
        <is>
          <t>AUGMENT, ENTRY, EXIT, GLOBAL_CHECK, REDUCE, STOCKS_EXIT</t>
        </is>
      </c>
      <c r="E222" s="56">
        <f>IF(G222="",E221,IF(G222&gt;0,E221+G222,E221))</f>
        <v/>
      </c>
      <c r="G222" s="56">
        <f>IFERROR(VLOOKUP($A222&amp;"="&amp;$B222,Results_Deltas!$A$2:$P$15000,5,FALSE),"")</f>
        <v/>
      </c>
      <c r="H222" s="56" t="inlineStr">
        <is>
          <t>Blanket (page end)</t>
        </is>
      </c>
    </row>
    <row r="223">
      <c r="A223" s="63" t="inlineStr">
        <is>
          <t>BAND_ARROW_ENABLED</t>
        </is>
      </c>
      <c r="B223" s="56" t="inlineStr">
        <is>
          <t>False</t>
        </is>
      </c>
      <c r="C223" s="56" t="n"/>
      <c r="D223" s="56" t="inlineStr">
        <is>
          <t>GLOBAL_CHECK, STOCKS_EXIT</t>
        </is>
      </c>
      <c r="E223" s="56">
        <f>IF(G223="",E222,IF(G223&gt;0,E222+G223,E222))</f>
        <v/>
      </c>
      <c r="G223" s="56">
        <f>IFERROR(VLOOKUP($A223&amp;"="&amp;$B223,Results_Deltas!$A$2:$P$15000,5,FALSE),"")</f>
        <v/>
      </c>
      <c r="H223" s="56" t="inlineStr">
        <is>
          <t>Blanket (page end)</t>
        </is>
      </c>
    </row>
    <row r="224">
      <c r="A224" s="63" t="inlineStr">
        <is>
          <t>BAND_ARROW_ENABLED</t>
        </is>
      </c>
      <c r="B224" s="56" t="inlineStr">
        <is>
          <t>True</t>
        </is>
      </c>
      <c r="C224" s="56" t="n"/>
      <c r="D224" s="56" t="inlineStr">
        <is>
          <t>GLOBAL_CHECK, STOCKS_EXIT</t>
        </is>
      </c>
      <c r="E224" s="56">
        <f>IF(G224="",E223,IF(G224&gt;0,E223+G224,E223))</f>
        <v/>
      </c>
      <c r="G224" s="56">
        <f>IFERROR(VLOOKUP($A224&amp;"="&amp;$B224,Results_Deltas!$A$2:$P$15000,5,FALSE),"")</f>
        <v/>
      </c>
      <c r="H224" s="56" t="inlineStr">
        <is>
          <t>Blanket (page end)</t>
        </is>
      </c>
    </row>
    <row r="225">
      <c r="A225" s="63" t="inlineStr">
        <is>
          <t>BTC_ACCEL_RAMP_REQUIRE_POSITIVE</t>
        </is>
      </c>
      <c r="B225" s="56" t="inlineStr">
        <is>
          <t>0.0</t>
        </is>
      </c>
      <c r="C225" s="56" t="n"/>
      <c r="D225" s="56" t="inlineStr">
        <is>
          <t>UNIVERSAL (ex-BTC) — ENTRY/EXIT/REENTRY</t>
        </is>
      </c>
      <c r="E225" s="56">
        <f>IF(G225="",E224,IF(G225&gt;0,E224+G225,E224))</f>
        <v/>
      </c>
      <c r="G225" s="56">
        <f>IFERROR(VLOOKUP($A225&amp;"="&amp;$B225,Results_Deltas!$A$2:$P$15000,5,FALSE),"")</f>
        <v/>
      </c>
      <c r="H225" s="56" t="inlineStr">
        <is>
          <t>Blanket (page end)</t>
        </is>
      </c>
    </row>
    <row r="226">
      <c r="A226" s="63" t="inlineStr">
        <is>
          <t>BTC_ACCEL_RAMP_REQUIRE_POSITIVE</t>
        </is>
      </c>
      <c r="B226" s="56" t="inlineStr">
        <is>
          <t>0.0_ALT</t>
        </is>
      </c>
      <c r="C226" s="56" t="n"/>
      <c r="D226" s="56" t="inlineStr">
        <is>
          <t>UNIVERSAL (ex-BTC) — ENTRY/EXIT/REENTRY</t>
        </is>
      </c>
      <c r="E226" s="56">
        <f>IF(G226="",E225,IF(G226&gt;0,E225+G226,E225))</f>
        <v/>
      </c>
      <c r="G226" s="56">
        <f>IFERROR(VLOOKUP($A226&amp;"="&amp;$B226,Results_Deltas!$A$2:$P$15000,5,FALSE),"")</f>
        <v/>
      </c>
      <c r="H226" s="56" t="inlineStr">
        <is>
          <t>Blanket (page end)</t>
        </is>
      </c>
    </row>
    <row r="227">
      <c r="A227" s="63" t="inlineStr">
        <is>
          <t>BTC_HARD_BLOCK_OTHER_ACCOUNTS</t>
        </is>
      </c>
      <c r="B227" s="56" t="inlineStr">
        <is>
          <t>0.0</t>
        </is>
      </c>
      <c r="C227" s="56" t="n"/>
      <c r="D227" s="56" t="inlineStr">
        <is>
          <t>UNIVERSAL (ex-BTC) — ENTRY/EXIT/REENTRY</t>
        </is>
      </c>
      <c r="E227" s="56">
        <f>IF(G227="",E226,IF(G227&gt;0,E226+G227,E226))</f>
        <v/>
      </c>
      <c r="G227" s="56">
        <f>IFERROR(VLOOKUP($A227&amp;"="&amp;$B227,Results_Deltas!$A$2:$P$15000,5,FALSE),"")</f>
        <v/>
      </c>
      <c r="H227" s="56" t="inlineStr">
        <is>
          <t>Blanket (page end)</t>
        </is>
      </c>
    </row>
    <row r="228">
      <c r="A228" s="63" t="inlineStr">
        <is>
          <t>BTC_HARD_BLOCK_OTHER_ACCOUNTS</t>
        </is>
      </c>
      <c r="B228" s="56" t="inlineStr">
        <is>
          <t>0.0_ALT</t>
        </is>
      </c>
      <c r="C228" s="56" t="n"/>
      <c r="D228" s="56" t="inlineStr">
        <is>
          <t>UNIVERSAL (ex-BTC) — ENTRY/EXIT/REENTRY</t>
        </is>
      </c>
      <c r="E228" s="56">
        <f>IF(G228="",E227,IF(G228&gt;0,E227+G228,E227))</f>
        <v/>
      </c>
      <c r="G228" s="56">
        <f>IFERROR(VLOOKUP($A228&amp;"="&amp;$B228,Results_Deltas!$A$2:$P$15000,5,FALSE),"")</f>
        <v/>
      </c>
      <c r="H228" s="56" t="inlineStr">
        <is>
          <t>Blanket (page end)</t>
        </is>
      </c>
    </row>
    <row r="229">
      <c r="A229" s="63" t="inlineStr">
        <is>
          <t>BTC_ROUND_BANDS_EACH_SIDE</t>
        </is>
      </c>
      <c r="B229" s="56" t="inlineStr">
        <is>
          <t>0.0</t>
        </is>
      </c>
      <c r="C229" s="56" t="n"/>
      <c r="D229" s="56" t="inlineStr">
        <is>
          <t>UNIVERSAL (ex-BTC) — ENTRY/EXIT/REENTRY</t>
        </is>
      </c>
      <c r="E229" s="56">
        <f>IF(G229="",E228,IF(G229&gt;0,E228+G229,E228))</f>
        <v/>
      </c>
      <c r="G229" s="56">
        <f>IFERROR(VLOOKUP($A229&amp;"="&amp;$B229,Results_Deltas!$A$2:$P$15000,5,FALSE),"")</f>
        <v/>
      </c>
      <c r="H229" s="56" t="inlineStr">
        <is>
          <t>Blanket (page end)</t>
        </is>
      </c>
    </row>
    <row r="230">
      <c r="A230" s="63" t="inlineStr">
        <is>
          <t>BTC_ROUND_BANDS_EACH_SIDE</t>
        </is>
      </c>
      <c r="B230" s="56" t="inlineStr">
        <is>
          <t>0.0_ALT</t>
        </is>
      </c>
      <c r="C230" s="56" t="n"/>
      <c r="D230" s="56" t="inlineStr">
        <is>
          <t>UNIVERSAL (ex-BTC) — ENTRY/EXIT/REENTRY</t>
        </is>
      </c>
      <c r="E230" s="56">
        <f>IF(G230="",E229,IF(G230&gt;0,E229+G230,E229))</f>
        <v/>
      </c>
      <c r="G230" s="56">
        <f>IFERROR(VLOOKUP($A230&amp;"="&amp;$B230,Results_Deltas!$A$2:$P$15000,5,FALSE),"")</f>
        <v/>
      </c>
      <c r="H230" s="56" t="inlineStr">
        <is>
          <t>Blanket (page end)</t>
        </is>
      </c>
    </row>
    <row r="231">
      <c r="A231" s="63" t="inlineStr">
        <is>
          <t>COOLDOWN_LOCKS_FILTER_TF</t>
        </is>
      </c>
      <c r="B231" s="56" t="inlineStr">
        <is>
          <t>OFF</t>
        </is>
      </c>
      <c r="C231" s="56" t="n"/>
      <c r="D231" s="56" t="inlineStr">
        <is>
          <t>GLOBAL_CHECK</t>
        </is>
      </c>
      <c r="E231" s="56">
        <f>IF(G231="",E230,IF(G231&gt;0,E230+G231,E230))</f>
        <v/>
      </c>
      <c r="G231" s="56">
        <f>IFERROR(VLOOKUP($A231&amp;"="&amp;$B231,Results_Deltas!$A$2:$P$15000,5,FALSE),"")</f>
        <v/>
      </c>
      <c r="H231" s="56" t="inlineStr">
        <is>
          <t>Blanket (page end)</t>
        </is>
      </c>
    </row>
    <row r="232">
      <c r="A232" s="63" t="inlineStr">
        <is>
          <t>COOLDOWN_LOCKS_FILTER_TF</t>
        </is>
      </c>
      <c r="B232" s="56" t="inlineStr">
        <is>
          <t>D</t>
        </is>
      </c>
      <c r="C232" s="56" t="n"/>
      <c r="D232" s="56" t="inlineStr">
        <is>
          <t>GLOBAL_CHECK</t>
        </is>
      </c>
      <c r="E232" s="56">
        <f>IF(G232="",E231,IF(G232&gt;0,E231+G232,E231))</f>
        <v/>
      </c>
      <c r="G232" s="56">
        <f>IFERROR(VLOOKUP($A232&amp;"="&amp;$B232,Results_Deltas!$A$2:$P$15000,5,FALSE),"")</f>
        <v/>
      </c>
      <c r="H232" s="56" t="inlineStr">
        <is>
          <t>Blanket (page end)</t>
        </is>
      </c>
    </row>
    <row r="233">
      <c r="A233" s="63" t="inlineStr">
        <is>
          <t>COOLDOWN_LOCKS_FILTER_TF</t>
        </is>
      </c>
      <c r="B233" s="56" t="inlineStr">
        <is>
          <t>4h</t>
        </is>
      </c>
      <c r="C233" s="56" t="n"/>
      <c r="D233" s="56" t="inlineStr">
        <is>
          <t>GLOBAL_CHECK</t>
        </is>
      </c>
      <c r="E233" s="56">
        <f>IF(G233="",E232,IF(G233&gt;0,E232+G233,E232))</f>
        <v/>
      </c>
      <c r="G233" s="56">
        <f>IFERROR(VLOOKUP($A233&amp;"="&amp;$B233,Results_Deltas!$A$2:$P$15000,5,FALSE),"")</f>
        <v/>
      </c>
      <c r="H233" s="56" t="inlineStr">
        <is>
          <t>Blanket (page end)</t>
        </is>
      </c>
    </row>
    <row r="234">
      <c r="A234" s="63" t="inlineStr">
        <is>
          <t>COOLDOWN_LOCKS_FILTER_TF</t>
        </is>
      </c>
      <c r="B234" s="56" t="inlineStr">
        <is>
          <t>1h</t>
        </is>
      </c>
      <c r="C234" s="56" t="n"/>
      <c r="D234" s="56" t="inlineStr">
        <is>
          <t>GLOBAL_CHECK</t>
        </is>
      </c>
      <c r="E234" s="56">
        <f>IF(G234="",E233,IF(G234&gt;0,E233+G234,E233))</f>
        <v/>
      </c>
      <c r="G234" s="56">
        <f>IFERROR(VLOOKUP($A234&amp;"="&amp;$B234,Results_Deltas!$A$2:$P$15000,5,FALSE),"")</f>
        <v/>
      </c>
      <c r="H234" s="56" t="inlineStr">
        <is>
          <t>Blanket (page end)</t>
        </is>
      </c>
    </row>
    <row r="235">
      <c r="A235" s="63" t="inlineStr">
        <is>
          <t>COOLDOWN_LOCKS_FILTER_TF</t>
        </is>
      </c>
      <c r="B235" s="56" t="inlineStr">
        <is>
          <t>15m</t>
        </is>
      </c>
      <c r="C235" s="56" t="n"/>
      <c r="D235" s="56" t="inlineStr">
        <is>
          <t>GLOBAL_CHECK</t>
        </is>
      </c>
      <c r="E235" s="56">
        <f>IF(G235="",E234,IF(G235&gt;0,E234+G235,E234))</f>
        <v/>
      </c>
      <c r="G235" s="56">
        <f>IFERROR(VLOOKUP($A235&amp;"="&amp;$B235,Results_Deltas!$A$2:$P$15000,5,FALSE),"")</f>
        <v/>
      </c>
      <c r="H235" s="56" t="inlineStr">
        <is>
          <t>Blanket (page end)</t>
        </is>
      </c>
    </row>
    <row r="236">
      <c r="A236" s="63" t="inlineStr">
        <is>
          <t>CRYPTO_SPIKE_FADE_THRESHOLD_PCT</t>
        </is>
      </c>
      <c r="B236" s="56" t="inlineStr">
        <is>
          <t>10</t>
        </is>
      </c>
      <c r="C236" s="56" t="n"/>
      <c r="D236" s="56" t="inlineStr">
        <is>
          <t>GLOBAL_CHECK, STOCKS_EXIT</t>
        </is>
      </c>
      <c r="E236" s="56">
        <f>IF(G236="",E235,IF(G236&gt;0,E235+G236,E235))</f>
        <v/>
      </c>
      <c r="G236" s="56">
        <f>IFERROR(VLOOKUP($A236&amp;"="&amp;$B236,Results_Deltas!$A$2:$P$15000,5,FALSE),"")</f>
        <v/>
      </c>
      <c r="H236" s="56" t="inlineStr">
        <is>
          <t>Blanket (page end)</t>
        </is>
      </c>
    </row>
    <row r="237">
      <c r="A237" s="63" t="inlineStr">
        <is>
          <t>CRYPTO_SPIKE_FADE_THRESHOLD_PCT</t>
        </is>
      </c>
      <c r="B237" s="56" t="inlineStr">
        <is>
          <t>12.5</t>
        </is>
      </c>
      <c r="C237" s="56" t="n"/>
      <c r="D237" s="56" t="inlineStr">
        <is>
          <t>GLOBAL_CHECK, STOCKS_EXIT</t>
        </is>
      </c>
      <c r="E237" s="56">
        <f>IF(G237="",E236,IF(G237&gt;0,E236+G237,E236))</f>
        <v/>
      </c>
      <c r="G237" s="56">
        <f>IFERROR(VLOOKUP($A237&amp;"="&amp;$B237,Results_Deltas!$A$2:$P$15000,5,FALSE),"")</f>
        <v/>
      </c>
      <c r="H237" s="56" t="inlineStr">
        <is>
          <t>Blanket (page end)</t>
        </is>
      </c>
    </row>
    <row r="238">
      <c r="A238" s="63" t="inlineStr">
        <is>
          <t>CRYPTO_SPIKE_FADE_THRESHOLD_PCT</t>
        </is>
      </c>
      <c r="B238" s="56" t="inlineStr">
        <is>
          <t>7.5</t>
        </is>
      </c>
      <c r="C238" s="56" t="n"/>
      <c r="D238" s="56" t="inlineStr">
        <is>
          <t>GLOBAL_CHECK, STOCKS_EXIT</t>
        </is>
      </c>
      <c r="E238" s="56">
        <f>IF(G238="",E237,IF(G238&gt;0,E237+G238,E237))</f>
        <v/>
      </c>
      <c r="G238" s="56">
        <f>IFERROR(VLOOKUP($A238&amp;"="&amp;$B238,Results_Deltas!$A$2:$P$15000,5,FALSE),"")</f>
        <v/>
      </c>
      <c r="H238" s="56" t="inlineStr">
        <is>
          <t>Blanket (page end)</t>
        </is>
      </c>
    </row>
    <row r="239">
      <c r="A239" s="63" t="inlineStr">
        <is>
          <t>CRYPTO_SPIKE_FADE_THRESHOLD_PCT</t>
        </is>
      </c>
      <c r="B239" s="56" t="inlineStr">
        <is>
          <t>5</t>
        </is>
      </c>
      <c r="C239" s="56" t="n"/>
      <c r="D239" s="56" t="inlineStr">
        <is>
          <t>GLOBAL_CHECK, STOCKS_EXIT</t>
        </is>
      </c>
      <c r="E239" s="56">
        <f>IF(G239="",E238,IF(G239&gt;0,E238+G239,E238))</f>
        <v/>
      </c>
      <c r="G239" s="56">
        <f>IFERROR(VLOOKUP($A239&amp;"="&amp;$B239,Results_Deltas!$A$2:$P$15000,5,FALSE),"")</f>
        <v/>
      </c>
      <c r="H239" s="56" t="inlineStr">
        <is>
          <t>Blanket (page end)</t>
        </is>
      </c>
    </row>
    <row r="240">
      <c r="A240" s="63" t="inlineStr">
        <is>
          <t>DC_MOMENT_STRONG_THRESHOLD</t>
        </is>
      </c>
      <c r="B240" s="56" t="inlineStr">
        <is>
          <t>40</t>
        </is>
      </c>
      <c r="C240" s="56" t="n"/>
      <c r="D240" s="56" t="inlineStr">
        <is>
          <t>ENTRY, GLOBAL_CHECK, STOCKS_EXIT</t>
        </is>
      </c>
      <c r="E240" s="56">
        <f>IF(G240="",E239,IF(G240&gt;0,E239+G240,E239))</f>
        <v/>
      </c>
      <c r="G240" s="56">
        <f>IFERROR(VLOOKUP($A240&amp;"="&amp;$B240,Results_Deltas!$A$2:$P$15000,5,FALSE),"")</f>
        <v/>
      </c>
      <c r="H240" s="56" t="inlineStr">
        <is>
          <t>Blanket (page end)</t>
        </is>
      </c>
    </row>
    <row r="241">
      <c r="A241" s="63" t="inlineStr">
        <is>
          <t>DC_MOMENT_STRONG_THRESHOLD</t>
        </is>
      </c>
      <c r="B241" s="56" t="inlineStr">
        <is>
          <t>50</t>
        </is>
      </c>
      <c r="C241" s="56" t="n"/>
      <c r="D241" s="56" t="inlineStr">
        <is>
          <t>ENTRY, GLOBAL_CHECK, STOCKS_EXIT</t>
        </is>
      </c>
      <c r="E241" s="56">
        <f>IF(G241="",E240,IF(G241&gt;0,E240+G241,E240))</f>
        <v/>
      </c>
      <c r="G241" s="56">
        <f>IFERROR(VLOOKUP($A241&amp;"="&amp;$B241,Results_Deltas!$A$2:$P$15000,5,FALSE),"")</f>
        <v/>
      </c>
      <c r="H241" s="56" t="inlineStr">
        <is>
          <t>Blanket (page end)</t>
        </is>
      </c>
    </row>
    <row r="242">
      <c r="A242" s="63" t="inlineStr">
        <is>
          <t>DC_MOMENT_STRONG_THRESHOLD</t>
        </is>
      </c>
      <c r="B242" s="56" t="inlineStr">
        <is>
          <t>30</t>
        </is>
      </c>
      <c r="C242" s="56" t="n"/>
      <c r="D242" s="56" t="inlineStr">
        <is>
          <t>ENTRY, GLOBAL_CHECK, STOCKS_EXIT</t>
        </is>
      </c>
      <c r="E242" s="56">
        <f>IF(G242="",E241,IF(G242&gt;0,E241+G242,E241))</f>
        <v/>
      </c>
      <c r="G242" s="56">
        <f>IFERROR(VLOOKUP($A242&amp;"="&amp;$B242,Results_Deltas!$A$2:$P$15000,5,FALSE),"")</f>
        <v/>
      </c>
      <c r="H242" s="56" t="inlineStr">
        <is>
          <t>Blanket (page end)</t>
        </is>
      </c>
    </row>
    <row r="243">
      <c r="A243" s="63" t="inlineStr">
        <is>
          <t>DC_MOMENT_STRONG_THRESHOLD</t>
        </is>
      </c>
      <c r="B243" s="56" t="inlineStr">
        <is>
          <t>20</t>
        </is>
      </c>
      <c r="C243" s="56" t="n"/>
      <c r="D243" s="56" t="inlineStr">
        <is>
          <t>ENTRY, GLOBAL_CHECK, STOCKS_EXIT</t>
        </is>
      </c>
      <c r="E243" s="56">
        <f>IF(G243="",E242,IF(G243&gt;0,E242+G243,E242))</f>
        <v/>
      </c>
      <c r="G243" s="56">
        <f>IFERROR(VLOOKUP($A243&amp;"="&amp;$B243,Results_Deltas!$A$2:$P$15000,5,FALSE),"")</f>
        <v/>
      </c>
      <c r="H243" s="56" t="inlineStr">
        <is>
          <t>Blanket (page end)</t>
        </is>
      </c>
    </row>
    <row r="244">
      <c r="A244" s="63" t="inlineStr">
        <is>
          <t>DELTA_HTF_GATE</t>
        </is>
      </c>
      <c r="B244" s="56" t="inlineStr">
        <is>
          <t>4h</t>
        </is>
      </c>
      <c r="C244" s="56" t="n"/>
      <c r="D244" s="56" t="inlineStr">
        <is>
          <t>ENTRY, GLOBAL_CHECK, STOCKS_EXIT</t>
        </is>
      </c>
      <c r="E244" s="56">
        <f>IF(G244="",E243,IF(G244&gt;0,E243+G244,E243))</f>
        <v/>
      </c>
      <c r="G244" s="56">
        <f>IFERROR(VLOOKUP($A244&amp;"="&amp;$B244,Results_Deltas!$A$2:$P$15000,5,FALSE),"")</f>
        <v/>
      </c>
      <c r="H244" s="56" t="inlineStr">
        <is>
          <t>Blanket (page end)</t>
        </is>
      </c>
    </row>
    <row r="245">
      <c r="A245" s="63" t="inlineStr">
        <is>
          <t>DELTA_HTF_GATE</t>
        </is>
      </c>
      <c r="B245" s="56" t="inlineStr">
        <is>
          <t>4h_ALT</t>
        </is>
      </c>
      <c r="C245" s="56" t="n"/>
      <c r="D245" s="56" t="inlineStr">
        <is>
          <t>ENTRY, GLOBAL_CHECK, STOCKS_EXIT</t>
        </is>
      </c>
      <c r="E245" s="56">
        <f>IF(G245="",E244,IF(G245&gt;0,E244+G245,E244))</f>
        <v/>
      </c>
      <c r="G245" s="56">
        <f>IFERROR(VLOOKUP($A245&amp;"="&amp;$B245,Results_Deltas!$A$2:$P$15000,5,FALSE),"")</f>
        <v/>
      </c>
      <c r="H245" s="56" t="inlineStr">
        <is>
          <t>Blanket (page end)</t>
        </is>
      </c>
    </row>
    <row r="246">
      <c r="A246" s="63" t="inlineStr">
        <is>
          <t>DELTA_REENTRY_FILTER_ENABLED</t>
        </is>
      </c>
      <c r="B246" s="56" t="inlineStr">
        <is>
          <t>False</t>
        </is>
      </c>
      <c r="C246" s="56" t="n"/>
      <c r="D246" s="56" t="inlineStr">
        <is>
          <t>ENTRY, GLOBAL_CHECK, STOCKS_EXIT</t>
        </is>
      </c>
      <c r="E246" s="56">
        <f>IF(G246="",E245,IF(G246&gt;0,E245+G246,E245))</f>
        <v/>
      </c>
      <c r="G246" s="56">
        <f>IFERROR(VLOOKUP($A246&amp;"="&amp;$B246,Results_Deltas!$A$2:$P$15000,5,FALSE),"")</f>
        <v/>
      </c>
      <c r="H246" s="56" t="inlineStr">
        <is>
          <t>Blanket (page end)</t>
        </is>
      </c>
    </row>
    <row r="247">
      <c r="A247" s="63" t="inlineStr">
        <is>
          <t>DELTA_REENTRY_FILTER_ENABLED</t>
        </is>
      </c>
      <c r="B247" s="56" t="inlineStr">
        <is>
          <t>True</t>
        </is>
      </c>
      <c r="C247" s="56" t="n"/>
      <c r="D247" s="56" t="inlineStr">
        <is>
          <t>ENTRY, GLOBAL_CHECK, STOCKS_EXIT</t>
        </is>
      </c>
      <c r="E247" s="56">
        <f>IF(G247="",E246,IF(G247&gt;0,E246+G247,E246))</f>
        <v/>
      </c>
      <c r="G247" s="56">
        <f>IFERROR(VLOOKUP($A247&amp;"="&amp;$B247,Results_Deltas!$A$2:$P$15000,5,FALSE),"")</f>
        <v/>
      </c>
      <c r="H247" s="56" t="inlineStr">
        <is>
          <t>Blanket (page end)</t>
        </is>
      </c>
    </row>
    <row r="248">
      <c r="A248" s="63" t="inlineStr">
        <is>
          <t>DUP_GUARD_FILTER_TF</t>
        </is>
      </c>
      <c r="B248" s="56" t="inlineStr">
        <is>
          <t>OFF</t>
        </is>
      </c>
      <c r="C248" s="56" t="n"/>
      <c r="D248" s="56" t="inlineStr">
        <is>
          <t>GLOBAL_CHECK</t>
        </is>
      </c>
      <c r="E248" s="56">
        <f>IF(G248="",E247,IF(G248&gt;0,E247+G248,E247))</f>
        <v/>
      </c>
      <c r="G248" s="56">
        <f>IFERROR(VLOOKUP($A248&amp;"="&amp;$B248,Results_Deltas!$A$2:$P$15000,5,FALSE),"")</f>
        <v/>
      </c>
      <c r="H248" s="56" t="inlineStr">
        <is>
          <t>Blanket (page end)</t>
        </is>
      </c>
    </row>
    <row r="249">
      <c r="A249" s="63" t="inlineStr">
        <is>
          <t>DUP_GUARD_FILTER_TF</t>
        </is>
      </c>
      <c r="B249" s="56" t="inlineStr">
        <is>
          <t>D</t>
        </is>
      </c>
      <c r="C249" s="56" t="n"/>
      <c r="D249" s="56" t="inlineStr">
        <is>
          <t>GLOBAL_CHECK</t>
        </is>
      </c>
      <c r="E249" s="56">
        <f>IF(G249="",E248,IF(G249&gt;0,E248+G249,E248))</f>
        <v/>
      </c>
      <c r="G249" s="56">
        <f>IFERROR(VLOOKUP($A249&amp;"="&amp;$B249,Results_Deltas!$A$2:$P$15000,5,FALSE),"")</f>
        <v/>
      </c>
      <c r="H249" s="56" t="inlineStr">
        <is>
          <t>Blanket (page end)</t>
        </is>
      </c>
    </row>
    <row r="250">
      <c r="A250" s="63" t="inlineStr">
        <is>
          <t>DUP_GUARD_FILTER_TF</t>
        </is>
      </c>
      <c r="B250" s="56" t="inlineStr">
        <is>
          <t>4h</t>
        </is>
      </c>
      <c r="C250" s="56" t="n"/>
      <c r="D250" s="56" t="inlineStr">
        <is>
          <t>GLOBAL_CHECK</t>
        </is>
      </c>
      <c r="E250" s="56">
        <f>IF(G250="",E249,IF(G250&gt;0,E249+G250,E249))</f>
        <v/>
      </c>
      <c r="G250" s="56">
        <f>IFERROR(VLOOKUP($A250&amp;"="&amp;$B250,Results_Deltas!$A$2:$P$15000,5,FALSE),"")</f>
        <v/>
      </c>
      <c r="H250" s="56" t="inlineStr">
        <is>
          <t>Blanket (page end)</t>
        </is>
      </c>
    </row>
    <row r="251">
      <c r="A251" s="63" t="inlineStr">
        <is>
          <t>DUP_GUARD_FILTER_TF</t>
        </is>
      </c>
      <c r="B251" s="56" t="inlineStr">
        <is>
          <t>1h</t>
        </is>
      </c>
      <c r="C251" s="56" t="n"/>
      <c r="D251" s="56" t="inlineStr">
        <is>
          <t>GLOBAL_CHECK</t>
        </is>
      </c>
      <c r="E251" s="56">
        <f>IF(G251="",E250,IF(G251&gt;0,E250+G251,E250))</f>
        <v/>
      </c>
      <c r="G251" s="56">
        <f>IFERROR(VLOOKUP($A251&amp;"="&amp;$B251,Results_Deltas!$A$2:$P$15000,5,FALSE),"")</f>
        <v/>
      </c>
      <c r="H251" s="56" t="inlineStr">
        <is>
          <t>Blanket (page end)</t>
        </is>
      </c>
    </row>
    <row r="252">
      <c r="A252" s="63" t="inlineStr">
        <is>
          <t>DUP_GUARD_FILTER_TF</t>
        </is>
      </c>
      <c r="B252" s="56" t="inlineStr">
        <is>
          <t>15m</t>
        </is>
      </c>
      <c r="C252" s="56" t="n"/>
      <c r="D252" s="56" t="inlineStr">
        <is>
          <t>GLOBAL_CHECK</t>
        </is>
      </c>
      <c r="E252" s="56">
        <f>IF(G252="",E251,IF(G252&gt;0,E251+G252,E251))</f>
        <v/>
      </c>
      <c r="G252" s="56">
        <f>IFERROR(VLOOKUP($A252&amp;"="&amp;$B252,Results_Deltas!$A$2:$P$15000,5,FALSE),"")</f>
        <v/>
      </c>
      <c r="H252" s="56" t="inlineStr">
        <is>
          <t>Blanket (page end)</t>
        </is>
      </c>
    </row>
    <row r="253">
      <c r="A253" s="63" t="inlineStr">
        <is>
          <t>EMA_9_21_FILTER_MIN_TFS</t>
        </is>
      </c>
      <c r="B253" s="56" t="inlineStr">
        <is>
          <t>0</t>
        </is>
      </c>
      <c r="C253" s="56" t="n"/>
      <c r="D253" s="56" t="inlineStr">
        <is>
          <t>GLOBAL_CHECK</t>
        </is>
      </c>
      <c r="E253" s="56">
        <f>IF(G253="",E252,IF(G253&gt;0,E252+G253,E252))</f>
        <v/>
      </c>
      <c r="G253" s="56">
        <f>IFERROR(VLOOKUP($A253&amp;"="&amp;$B253,Results_Deltas!$A$2:$P$15000,5,FALSE),"")</f>
        <v/>
      </c>
      <c r="H253" s="56" t="inlineStr">
        <is>
          <t>Blanket (page end)</t>
        </is>
      </c>
    </row>
    <row r="254">
      <c r="A254" s="63" t="inlineStr">
        <is>
          <t>EMA_9_21_FILTER_MIN_TFS</t>
        </is>
      </c>
      <c r="B254" s="56" t="inlineStr">
        <is>
          <t>2</t>
        </is>
      </c>
      <c r="C254" s="56" t="n"/>
      <c r="D254" s="56" t="inlineStr">
        <is>
          <t>GLOBAL_CHECK</t>
        </is>
      </c>
      <c r="E254" s="56">
        <f>IF(G254="",E253,IF(G254&gt;0,E253+G254,E253))</f>
        <v/>
      </c>
      <c r="G254" s="56">
        <f>IFERROR(VLOOKUP($A254&amp;"="&amp;$B254,Results_Deltas!$A$2:$P$15000,5,FALSE),"")</f>
        <v/>
      </c>
      <c r="H254" s="56" t="inlineStr">
        <is>
          <t>Blanket (page end)</t>
        </is>
      </c>
    </row>
    <row r="255">
      <c r="A255" s="63" t="inlineStr">
        <is>
          <t>EMA_9_21_FILTER_MIN_TFS</t>
        </is>
      </c>
      <c r="B255" s="56" t="inlineStr">
        <is>
          <t>1</t>
        </is>
      </c>
      <c r="C255" s="56" t="n"/>
      <c r="D255" s="56" t="inlineStr">
        <is>
          <t>GLOBAL_CHECK</t>
        </is>
      </c>
      <c r="E255" s="56">
        <f>IF(G255="",E254,IF(G255&gt;0,E254+G255,E254))</f>
        <v/>
      </c>
      <c r="G255" s="56">
        <f>IFERROR(VLOOKUP($A255&amp;"="&amp;$B255,Results_Deltas!$A$2:$P$15000,5,FALSE),"")</f>
        <v/>
      </c>
      <c r="H255" s="56" t="inlineStr">
        <is>
          <t>Blanket (page end)</t>
        </is>
      </c>
    </row>
    <row r="256">
      <c r="A256" s="63" t="inlineStr">
        <is>
          <t>EMA_BLANKET_FILTER_ENABLED</t>
        </is>
      </c>
      <c r="B256" s="56" t="inlineStr">
        <is>
          <t>False</t>
        </is>
      </c>
      <c r="C256" s="56" t="n"/>
      <c r="D256" s="56" t="inlineStr">
        <is>
          <t>GLOBAL_CHECK</t>
        </is>
      </c>
      <c r="E256" s="56">
        <f>IF(G256="",E255,IF(G256&gt;0,E255+G256,E255))</f>
        <v/>
      </c>
      <c r="G256" s="56">
        <f>IFERROR(VLOOKUP($A256&amp;"="&amp;$B256,Results_Deltas!$A$2:$P$15000,5,FALSE),"")</f>
        <v/>
      </c>
      <c r="H256" s="56" t="inlineStr">
        <is>
          <t>Blanket (page end)</t>
        </is>
      </c>
    </row>
    <row r="257">
      <c r="A257" s="63" t="inlineStr">
        <is>
          <t>EMA_BLANKET_FILTER_ENABLED</t>
        </is>
      </c>
      <c r="B257" s="56" t="inlineStr">
        <is>
          <t>True</t>
        </is>
      </c>
      <c r="C257" s="56" t="n"/>
      <c r="D257" s="56" t="inlineStr">
        <is>
          <t>GLOBAL_CHECK</t>
        </is>
      </c>
      <c r="E257" s="56">
        <f>IF(G257="",E256,IF(G257&gt;0,E256+G257,E256))</f>
        <v/>
      </c>
      <c r="G257" s="56">
        <f>IFERROR(VLOOKUP($A257&amp;"="&amp;$B257,Results_Deltas!$A$2:$P$15000,5,FALSE),"")</f>
        <v/>
      </c>
      <c r="H257" s="56" t="inlineStr">
        <is>
          <t>Blanket (page end)</t>
        </is>
      </c>
    </row>
    <row r="258">
      <c r="A258" s="63" t="inlineStr">
        <is>
          <t>EMA_BLANKET_FILTER_MIN_TFS</t>
        </is>
      </c>
      <c r="B258" s="56" t="inlineStr">
        <is>
          <t>0</t>
        </is>
      </c>
      <c r="C258" s="56" t="n"/>
      <c r="D258" s="56" t="inlineStr">
        <is>
          <t>GLOBAL_CHECK</t>
        </is>
      </c>
      <c r="E258" s="56">
        <f>IF(G258="",E257,IF(G258&gt;0,E257+G258,E257))</f>
        <v/>
      </c>
      <c r="G258" s="56">
        <f>IFERROR(VLOOKUP($A258&amp;"="&amp;$B258,Results_Deltas!$A$2:$P$15000,5,FALSE),"")</f>
        <v/>
      </c>
      <c r="H258" s="56" t="inlineStr">
        <is>
          <t>Blanket (page end)</t>
        </is>
      </c>
    </row>
    <row r="259">
      <c r="A259" s="63" t="inlineStr">
        <is>
          <t>EMA_BLANKET_FILTER_MIN_TFS</t>
        </is>
      </c>
      <c r="B259" s="56" t="inlineStr">
        <is>
          <t>2</t>
        </is>
      </c>
      <c r="C259" s="56" t="n"/>
      <c r="D259" s="56" t="inlineStr">
        <is>
          <t>GLOBAL_CHECK</t>
        </is>
      </c>
      <c r="E259" s="56">
        <f>IF(G259="",E258,IF(G259&gt;0,E258+G259,E258))</f>
        <v/>
      </c>
      <c r="G259" s="56">
        <f>IFERROR(VLOOKUP($A259&amp;"="&amp;$B259,Results_Deltas!$A$2:$P$15000,5,FALSE),"")</f>
        <v/>
      </c>
      <c r="H259" s="56" t="inlineStr">
        <is>
          <t>Blanket (page end)</t>
        </is>
      </c>
    </row>
    <row r="260">
      <c r="A260" s="63" t="inlineStr">
        <is>
          <t>EMA_BLANKET_FILTER_MIN_TFS</t>
        </is>
      </c>
      <c r="B260" s="56" t="inlineStr">
        <is>
          <t>1</t>
        </is>
      </c>
      <c r="C260" s="56" t="n"/>
      <c r="D260" s="56" t="inlineStr">
        <is>
          <t>GLOBAL_CHECK</t>
        </is>
      </c>
      <c r="E260" s="56">
        <f>IF(G260="",E259,IF(G260&gt;0,E259+G260,E259))</f>
        <v/>
      </c>
      <c r="G260" s="56">
        <f>IFERROR(VLOOKUP($A260&amp;"="&amp;$B260,Results_Deltas!$A$2:$P$15000,5,FALSE),"")</f>
        <v/>
      </c>
      <c r="H260" s="56" t="inlineStr">
        <is>
          <t>Blanket (page end)</t>
        </is>
      </c>
    </row>
    <row r="261">
      <c r="A261" s="63" t="inlineStr">
        <is>
          <t>EXECUTE_NOW_SINGLE_GATE_ENFORCE</t>
        </is>
      </c>
      <c r="B261" s="56" t="inlineStr">
        <is>
          <t>0.0</t>
        </is>
      </c>
      <c r="C261" s="56" t="n"/>
      <c r="D261" s="56" t="inlineStr">
        <is>
          <t>ENTRY, GLOBAL_CHECK, STOCKS_EXIT</t>
        </is>
      </c>
      <c r="E261" s="56">
        <f>IF(G261="",E260,IF(G261&gt;0,E260+G261,E260))</f>
        <v/>
      </c>
      <c r="G261" s="56">
        <f>IFERROR(VLOOKUP($A261&amp;"="&amp;$B261,Results_Deltas!$A$2:$P$15000,5,FALSE),"")</f>
        <v/>
      </c>
      <c r="H261" s="56" t="inlineStr">
        <is>
          <t>Blanket (page end)</t>
        </is>
      </c>
    </row>
    <row r="262">
      <c r="A262" s="63" t="inlineStr">
        <is>
          <t>EXECUTE_NOW_SINGLE_GATE_ENFORCE</t>
        </is>
      </c>
      <c r="B262" s="56" t="inlineStr">
        <is>
          <t>0.0_ALT</t>
        </is>
      </c>
      <c r="C262" s="56" t="n"/>
      <c r="D262" s="56" t="inlineStr">
        <is>
          <t>ENTRY, GLOBAL_CHECK, STOCKS_EXIT</t>
        </is>
      </c>
      <c r="E262" s="56">
        <f>IF(G262="",E261,IF(G262&gt;0,E261+G262,E261))</f>
        <v/>
      </c>
      <c r="G262" s="56">
        <f>IFERROR(VLOOKUP($A262&amp;"="&amp;$B262,Results_Deltas!$A$2:$P$15000,5,FALSE),"")</f>
        <v/>
      </c>
      <c r="H262" s="56" t="inlineStr">
        <is>
          <t>Blanket (page end)</t>
        </is>
      </c>
    </row>
    <row r="263">
      <c r="A263" s="63" t="inlineStr">
        <is>
          <t>EZ_MANAGE_THROTTLER_RATE</t>
        </is>
      </c>
      <c r="B263" s="56" t="inlineStr">
        <is>
          <t>0.0</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EZ_MANAGE_THROTTLER_RATE</t>
        </is>
      </c>
      <c r="B264" s="56" t="inlineStr">
        <is>
          <t>0.0_ALT</t>
        </is>
      </c>
      <c r="C264" s="56" t="n"/>
      <c r="D264" s="56" t="inlineStr">
        <is>
          <t>GLOBAL_CHECK, STOCKS_EXIT</t>
        </is>
      </c>
      <c r="E264" s="56">
        <f>IF(G264="",E263,IF(G264&gt;0,E263+G264,E263))</f>
        <v/>
      </c>
      <c r="G264" s="56">
        <f>IFERROR(VLOOKUP($A264&amp;"="&amp;$B264,Results_Deltas!$A$2:$P$15000,5,FALSE),"")</f>
        <v/>
      </c>
      <c r="H264" s="56" t="inlineStr">
        <is>
          <t>Blanket (page end)</t>
        </is>
      </c>
    </row>
    <row r="265">
      <c r="A265" s="63" t="inlineStr">
        <is>
          <t>FG_FEAR_THRESHOLD</t>
        </is>
      </c>
      <c r="B265" s="56" t="inlineStr">
        <is>
          <t>25</t>
        </is>
      </c>
      <c r="C265" s="56" t="n"/>
      <c r="D265" s="56" t="inlineStr">
        <is>
          <t>GLOBAL_CHECK, STOCKS_EXIT</t>
        </is>
      </c>
      <c r="E265" s="56">
        <f>IF(G265="",E264,IF(G265&gt;0,E264+G265,E264))</f>
        <v/>
      </c>
      <c r="G265" s="56">
        <f>IFERROR(VLOOKUP($A265&amp;"="&amp;$B265,Results_Deltas!$A$2:$P$15000,5,FALSE),"")</f>
        <v/>
      </c>
      <c r="H265" s="56" t="inlineStr">
        <is>
          <t>Blanket (page end)</t>
        </is>
      </c>
    </row>
    <row r="266">
      <c r="A266" s="63" t="inlineStr">
        <is>
          <t>FG_FEAR_THRESHOLD</t>
        </is>
      </c>
      <c r="B266" s="56" t="inlineStr">
        <is>
          <t>31.25</t>
        </is>
      </c>
      <c r="C266" s="56" t="n"/>
      <c r="D266" s="56" t="inlineStr">
        <is>
          <t>GLOBAL_CHECK, STOCKS_EXIT</t>
        </is>
      </c>
      <c r="E266" s="56">
        <f>IF(G266="",E265,IF(G266&gt;0,E265+G266,E265))</f>
        <v/>
      </c>
      <c r="G266" s="56">
        <f>IFERROR(VLOOKUP($A266&amp;"="&amp;$B266,Results_Deltas!$A$2:$P$15000,5,FALSE),"")</f>
        <v/>
      </c>
      <c r="H266" s="56" t="inlineStr">
        <is>
          <t>Blanket (page end)</t>
        </is>
      </c>
    </row>
    <row r="267">
      <c r="A267" s="63" t="inlineStr">
        <is>
          <t>FG_FEAR_THRESHOLD</t>
        </is>
      </c>
      <c r="B267" s="56" t="inlineStr">
        <is>
          <t>18.75</t>
        </is>
      </c>
      <c r="C267" s="56" t="n"/>
      <c r="D267" s="56" t="inlineStr">
        <is>
          <t>GLOBAL_CHECK, STOCKS_EXIT</t>
        </is>
      </c>
      <c r="E267" s="56">
        <f>IF(G267="",E266,IF(G267&gt;0,E266+G267,E266))</f>
        <v/>
      </c>
      <c r="G267" s="56">
        <f>IFERROR(VLOOKUP($A267&amp;"="&amp;$B267,Results_Deltas!$A$2:$P$15000,5,FALSE),"")</f>
        <v/>
      </c>
      <c r="H267" s="56" t="inlineStr">
        <is>
          <t>Blanket (page end)</t>
        </is>
      </c>
    </row>
    <row r="268">
      <c r="A268" s="63" t="inlineStr">
        <is>
          <t>FG_FEAR_THRESHOLD</t>
        </is>
      </c>
      <c r="B268" s="56" t="inlineStr">
        <is>
          <t>12.5</t>
        </is>
      </c>
      <c r="C268" s="56" t="n"/>
      <c r="D268" s="56" t="inlineStr">
        <is>
          <t>GLOBAL_CHECK, STOCKS_EXIT</t>
        </is>
      </c>
      <c r="E268" s="56">
        <f>IF(G268="",E267,IF(G268&gt;0,E267+G268,E267))</f>
        <v/>
      </c>
      <c r="G268" s="56">
        <f>IFERROR(VLOOKUP($A268&amp;"="&amp;$B268,Results_Deltas!$A$2:$P$15000,5,FALSE),"")</f>
        <v/>
      </c>
      <c r="H268" s="56" t="inlineStr">
        <is>
          <t>Blanket (page end)</t>
        </is>
      </c>
    </row>
    <row r="269">
      <c r="A269" s="63" t="inlineStr">
        <is>
          <t>FG_GREED_THRESHOLD</t>
        </is>
      </c>
      <c r="B269" s="56" t="inlineStr">
        <is>
          <t>75</t>
        </is>
      </c>
      <c r="C269" s="56" t="n"/>
      <c r="D269" s="56" t="inlineStr">
        <is>
          <t>GLOBAL_CHECK, STOCKS_EXIT</t>
        </is>
      </c>
      <c r="E269" s="56">
        <f>IF(G269="",E268,IF(G269&gt;0,E268+G269,E268))</f>
        <v/>
      </c>
      <c r="G269" s="56">
        <f>IFERROR(VLOOKUP($A269&amp;"="&amp;$B269,Results_Deltas!$A$2:$P$15000,5,FALSE),"")</f>
        <v/>
      </c>
      <c r="H269" s="56" t="inlineStr">
        <is>
          <t>Blanket (page end)</t>
        </is>
      </c>
    </row>
    <row r="270">
      <c r="A270" s="63" t="inlineStr">
        <is>
          <t>FG_GREED_THRESHOLD</t>
        </is>
      </c>
      <c r="B270" s="56" t="inlineStr">
        <is>
          <t>93.75</t>
        </is>
      </c>
      <c r="C270" s="56" t="n"/>
      <c r="D270" s="56" t="inlineStr">
        <is>
          <t>GLOBAL_CHECK, STOCKS_EXIT</t>
        </is>
      </c>
      <c r="E270" s="56">
        <f>IF(G270="",E269,IF(G270&gt;0,E269+G270,E269))</f>
        <v/>
      </c>
      <c r="G270" s="56">
        <f>IFERROR(VLOOKUP($A270&amp;"="&amp;$B270,Results_Deltas!$A$2:$P$15000,5,FALSE),"")</f>
        <v/>
      </c>
      <c r="H270" s="56" t="inlineStr">
        <is>
          <t>Blanket (page end)</t>
        </is>
      </c>
    </row>
    <row r="271">
      <c r="A271" s="63" t="inlineStr">
        <is>
          <t>FG_GREED_THRESHOLD</t>
        </is>
      </c>
      <c r="B271" s="56" t="inlineStr">
        <is>
          <t>56.25</t>
        </is>
      </c>
      <c r="C271" s="56" t="n"/>
      <c r="D271" s="56" t="inlineStr">
        <is>
          <t>GLOBAL_CHECK, STOCKS_EXIT</t>
        </is>
      </c>
      <c r="E271" s="56">
        <f>IF(G271="",E270,IF(G271&gt;0,E270+G271,E270))</f>
        <v/>
      </c>
      <c r="G271" s="56">
        <f>IFERROR(VLOOKUP($A271&amp;"="&amp;$B271,Results_Deltas!$A$2:$P$15000,5,FALSE),"")</f>
        <v/>
      </c>
      <c r="H271" s="56" t="inlineStr">
        <is>
          <t>Blanket (page end)</t>
        </is>
      </c>
    </row>
    <row r="272">
      <c r="A272" s="63" t="inlineStr">
        <is>
          <t>FG_GREED_THRESHOLD</t>
        </is>
      </c>
      <c r="B272" s="56" t="inlineStr">
        <is>
          <t>37.5</t>
        </is>
      </c>
      <c r="C272" s="56" t="n"/>
      <c r="D272" s="56" t="inlineStr">
        <is>
          <t>GLOBAL_CHECK, STOCKS_EXIT</t>
        </is>
      </c>
      <c r="E272" s="56">
        <f>IF(G272="",E271,IF(G272&gt;0,E271+G272,E271))</f>
        <v/>
      </c>
      <c r="G272" s="56">
        <f>IFERROR(VLOOKUP($A272&amp;"="&amp;$B272,Results_Deltas!$A$2:$P$15000,5,FALSE),"")</f>
        <v/>
      </c>
      <c r="H272" s="56" t="inlineStr">
        <is>
          <t>Blanket (page end)</t>
        </is>
      </c>
    </row>
    <row r="273">
      <c r="A273" s="63" t="inlineStr">
        <is>
          <t>FUNDING_GATE_FILTER_TF</t>
        </is>
      </c>
      <c r="B273" s="56" t="inlineStr">
        <is>
          <t>OFF</t>
        </is>
      </c>
      <c r="C273" s="56" t="n"/>
      <c r="D273" s="56" t="inlineStr">
        <is>
          <t>GLOBAL_CHECK</t>
        </is>
      </c>
      <c r="E273" s="56">
        <f>IF(G273="",E272,IF(G273&gt;0,E272+G273,E272))</f>
        <v/>
      </c>
      <c r="G273" s="56">
        <f>IFERROR(VLOOKUP($A273&amp;"="&amp;$B273,Results_Deltas!$A$2:$P$15000,5,FALSE),"")</f>
        <v/>
      </c>
      <c r="H273" s="56" t="inlineStr">
        <is>
          <t>Blanket (page end)</t>
        </is>
      </c>
    </row>
    <row r="274">
      <c r="A274" s="63" t="inlineStr">
        <is>
          <t>FUNDING_GATE_FILTER_TF</t>
        </is>
      </c>
      <c r="B274" s="56" t="inlineStr">
        <is>
          <t>D</t>
        </is>
      </c>
      <c r="C274" s="56" t="n"/>
      <c r="D274" s="56" t="inlineStr">
        <is>
          <t>GLOBAL_CHECK</t>
        </is>
      </c>
      <c r="E274" s="56">
        <f>IF(G274="",E273,IF(G274&gt;0,E273+G274,E273))</f>
        <v/>
      </c>
      <c r="G274" s="56">
        <f>IFERROR(VLOOKUP($A274&amp;"="&amp;$B274,Results_Deltas!$A$2:$P$15000,5,FALSE),"")</f>
        <v/>
      </c>
      <c r="H274" s="56" t="inlineStr">
        <is>
          <t>Blanket (page end)</t>
        </is>
      </c>
    </row>
    <row r="275">
      <c r="A275" s="63" t="inlineStr">
        <is>
          <t>FUNDING_GATE_FILTER_TF</t>
        </is>
      </c>
      <c r="B275" s="56" t="inlineStr">
        <is>
          <t>4h</t>
        </is>
      </c>
      <c r="C275" s="56" t="n"/>
      <c r="D275" s="56" t="inlineStr">
        <is>
          <t>GLOBAL_CHECK</t>
        </is>
      </c>
      <c r="E275" s="56">
        <f>IF(G275="",E274,IF(G275&gt;0,E274+G275,E274))</f>
        <v/>
      </c>
      <c r="G275" s="56">
        <f>IFERROR(VLOOKUP($A275&amp;"="&amp;$B275,Results_Deltas!$A$2:$P$15000,5,FALSE),"")</f>
        <v/>
      </c>
      <c r="H275" s="56" t="inlineStr">
        <is>
          <t>Blanket (page end)</t>
        </is>
      </c>
    </row>
    <row r="276">
      <c r="A276" s="63" t="inlineStr">
        <is>
          <t>FUNDING_GATE_FILTER_TF</t>
        </is>
      </c>
      <c r="B276" s="56" t="inlineStr">
        <is>
          <t>1h</t>
        </is>
      </c>
      <c r="C276" s="56" t="n"/>
      <c r="D276" s="56" t="inlineStr">
        <is>
          <t>GLOBAL_CHECK</t>
        </is>
      </c>
      <c r="E276" s="56">
        <f>IF(G276="",E275,IF(G276&gt;0,E275+G276,E275))</f>
        <v/>
      </c>
      <c r="G276" s="56">
        <f>IFERROR(VLOOKUP($A276&amp;"="&amp;$B276,Results_Deltas!$A$2:$P$15000,5,FALSE),"")</f>
        <v/>
      </c>
      <c r="H276" s="56" t="inlineStr">
        <is>
          <t>Blanket (page end)</t>
        </is>
      </c>
    </row>
    <row r="277">
      <c r="A277" s="63" t="inlineStr">
        <is>
          <t>FUNDING_GATE_FILTER_TF</t>
        </is>
      </c>
      <c r="B277" s="56" t="inlineStr">
        <is>
          <t>15m</t>
        </is>
      </c>
      <c r="C277" s="56" t="n"/>
      <c r="D277" s="56" t="inlineStr">
        <is>
          <t>GLOBAL_CHECK</t>
        </is>
      </c>
      <c r="E277" s="56">
        <f>IF(G277="",E276,IF(G277&gt;0,E276+G277,E276))</f>
        <v/>
      </c>
      <c r="G277" s="56">
        <f>IFERROR(VLOOKUP($A277&amp;"="&amp;$B277,Results_Deltas!$A$2:$P$15000,5,FALSE),"")</f>
        <v/>
      </c>
      <c r="H277" s="56" t="inlineStr">
        <is>
          <t>Blanket (page end)</t>
        </is>
      </c>
    </row>
    <row r="278">
      <c r="A278" s="63" t="inlineStr">
        <is>
          <t>FUNDING_GATE_LONG_MAX</t>
        </is>
      </c>
      <c r="B278" s="56" t="inlineStr">
        <is>
          <t>0.0</t>
        </is>
      </c>
      <c r="C278" s="56" t="n"/>
      <c r="D278" s="56" t="inlineStr">
        <is>
          <t>ENTRY, GLOBAL_CHECK, STOCKS_EXIT</t>
        </is>
      </c>
      <c r="E278" s="56">
        <f>IF(G278="",E277,IF(G278&gt;0,E277+G278,E277))</f>
        <v/>
      </c>
      <c r="G278" s="56">
        <f>IFERROR(VLOOKUP($A278&amp;"="&amp;$B278,Results_Deltas!$A$2:$P$15000,5,FALSE),"")</f>
        <v/>
      </c>
      <c r="H278" s="56" t="inlineStr">
        <is>
          <t>Blanket (page end)</t>
        </is>
      </c>
    </row>
    <row r="279">
      <c r="A279" s="63" t="inlineStr">
        <is>
          <t>FUNDING_GATE_LONG_MAX</t>
        </is>
      </c>
      <c r="B279" s="56" t="inlineStr">
        <is>
          <t>0.0_ALT</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FUNDING_GATE_MTF_REQUIRED</t>
        </is>
      </c>
      <c r="B280" s="56" t="inlineStr">
        <is>
          <t>0.0</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FUNDING_GATE_MTF_REQUIRED</t>
        </is>
      </c>
      <c r="B281" s="56" t="inlineStr">
        <is>
          <t>0.0_ALT</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FUNDING_GATE_SHORT_MIN</t>
        </is>
      </c>
      <c r="B282" s="56" t="inlineStr">
        <is>
          <t>0.0</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FUNDING_GATE_SHORT_MIN</t>
        </is>
      </c>
      <c r="B283" s="56" t="inlineStr">
        <is>
          <t>0.0_ALT</t>
        </is>
      </c>
      <c r="C283" s="56" t="n"/>
      <c r="D283" s="56" t="inlineStr">
        <is>
          <t>ENTRY, GLOBAL_CHECK, STOCKS_EXIT</t>
        </is>
      </c>
      <c r="E283" s="56">
        <f>IF(G283="",E282,IF(G283&gt;0,E282+G283,E282))</f>
        <v/>
      </c>
      <c r="G283" s="56">
        <f>IFERROR(VLOOKUP($A283&amp;"="&amp;$B283,Results_Deltas!$A$2:$P$15000,5,FALSE),"")</f>
        <v/>
      </c>
      <c r="H283" s="56" t="inlineStr">
        <is>
          <t>Blanket (page end)</t>
        </is>
      </c>
    </row>
    <row r="284">
      <c r="A284" s="63" t="inlineStr">
        <is>
          <t>GOLDEN_RULE_BASE_USD</t>
        </is>
      </c>
      <c r="B284" s="56" t="inlineStr">
        <is>
          <t>0.0</t>
        </is>
      </c>
      <c r="C284" s="56" t="n"/>
      <c r="D284" s="56" t="inlineStr">
        <is>
          <t>GLOBAL_CHECK, STOCKS_EXIT</t>
        </is>
      </c>
      <c r="E284" s="56">
        <f>IF(G284="",E283,IF(G284&gt;0,E283+G284,E283))</f>
        <v/>
      </c>
      <c r="G284" s="56">
        <f>IFERROR(VLOOKUP($A284&amp;"="&amp;$B284,Results_Deltas!$A$2:$P$15000,5,FALSE),"")</f>
        <v/>
      </c>
      <c r="H284" s="56" t="inlineStr">
        <is>
          <t>Blanket (page end)</t>
        </is>
      </c>
    </row>
    <row r="285">
      <c r="A285" s="63" t="inlineStr">
        <is>
          <t>GOLDEN_RULE_BASE_USD</t>
        </is>
      </c>
      <c r="B285" s="56" t="inlineStr">
        <is>
          <t>0.0_ALT</t>
        </is>
      </c>
      <c r="C285" s="56" t="n"/>
      <c r="D285" s="56" t="inlineStr">
        <is>
          <t>GLOBAL_CHECK, STOCKS_EXIT</t>
        </is>
      </c>
      <c r="E285" s="56">
        <f>IF(G285="",E284,IF(G285&gt;0,E284+G285,E284))</f>
        <v/>
      </c>
      <c r="G285" s="56">
        <f>IFERROR(VLOOKUP($A285&amp;"="&amp;$B285,Results_Deltas!$A$2:$P$15000,5,FALSE),"")</f>
        <v/>
      </c>
      <c r="H285" s="56" t="inlineStr">
        <is>
          <t>Blanket (page end)</t>
        </is>
      </c>
    </row>
    <row r="286">
      <c r="A286" s="63" t="inlineStr">
        <is>
          <t>GR_FILTER_ALL_ENTRIES</t>
        </is>
      </c>
      <c r="B286" s="56" t="inlineStr">
        <is>
          <t>0.0</t>
        </is>
      </c>
      <c r="C286" s="56" t="n"/>
      <c r="D286" s="56" t="inlineStr">
        <is>
          <t>GLOBAL_CHECK, STOCKS_EXIT</t>
        </is>
      </c>
      <c r="E286" s="56">
        <f>IF(G286="",E285,IF(G286&gt;0,E285+G286,E285))</f>
        <v/>
      </c>
      <c r="G286" s="56">
        <f>IFERROR(VLOOKUP($A286&amp;"="&amp;$B286,Results_Deltas!$A$2:$P$15000,5,FALSE),"")</f>
        <v/>
      </c>
      <c r="H286" s="56" t="inlineStr">
        <is>
          <t>Blanket (page end)</t>
        </is>
      </c>
    </row>
    <row r="287">
      <c r="A287" s="63" t="inlineStr">
        <is>
          <t>GR_FILTER_ALL_ENTRIES</t>
        </is>
      </c>
      <c r="B287" s="56" t="inlineStr">
        <is>
          <t>0.0_ALT</t>
        </is>
      </c>
      <c r="C287" s="56" t="n"/>
      <c r="D287" s="56" t="inlineStr">
        <is>
          <t>GLOBAL_CHECK, STOCKS_EXIT</t>
        </is>
      </c>
      <c r="E287" s="56">
        <f>IF(G287="",E286,IF(G287&gt;0,E286+G287,E286))</f>
        <v/>
      </c>
      <c r="G287" s="56">
        <f>IFERROR(VLOOKUP($A287&amp;"="&amp;$B287,Results_Deltas!$A$2:$P$15000,5,FALSE),"")</f>
        <v/>
      </c>
      <c r="H287" s="56" t="inlineStr">
        <is>
          <t>Blanket (page end)</t>
        </is>
      </c>
    </row>
    <row r="288">
      <c r="A288" s="63" t="inlineStr">
        <is>
          <t>GR_FILTER_VEC_ENABLED</t>
        </is>
      </c>
      <c r="B288" s="56" t="inlineStr">
        <is>
          <t>False</t>
        </is>
      </c>
      <c r="C288" s="56" t="n"/>
      <c r="D288" s="56" t="inlineStr">
        <is>
          <t>GLOBAL_CHECK</t>
        </is>
      </c>
      <c r="E288" s="56">
        <f>IF(G288="",E287,IF(G288&gt;0,E287+G288,E287))</f>
        <v/>
      </c>
      <c r="G288" s="56">
        <f>IFERROR(VLOOKUP($A288&amp;"="&amp;$B288,Results_Deltas!$A$2:$P$15000,5,FALSE),"")</f>
        <v/>
      </c>
      <c r="H288" s="56" t="inlineStr">
        <is>
          <t>Blanket (page end)</t>
        </is>
      </c>
    </row>
    <row r="289">
      <c r="A289" s="63" t="inlineStr">
        <is>
          <t>GR_FILTER_VEC_ENABLED</t>
        </is>
      </c>
      <c r="B289" s="56" t="inlineStr">
        <is>
          <t>True</t>
        </is>
      </c>
      <c r="C289" s="56" t="n"/>
      <c r="D289" s="56" t="inlineStr">
        <is>
          <t>GLOBAL_CHECK</t>
        </is>
      </c>
      <c r="E289" s="56">
        <f>IF(G289="",E288,IF(G289&gt;0,E288+G289,E288))</f>
        <v/>
      </c>
      <c r="G289" s="56">
        <f>IFERROR(VLOOKUP($A289&amp;"="&amp;$B289,Results_Deltas!$A$2:$P$15000,5,FALSE),"")</f>
        <v/>
      </c>
      <c r="H289" s="56" t="inlineStr">
        <is>
          <t>Blanket (page end)</t>
        </is>
      </c>
    </row>
    <row r="290">
      <c r="A290" s="63" t="inlineStr">
        <is>
          <t>GR_FILTER_VEC_MIN_TFS</t>
        </is>
      </c>
      <c r="B290" s="56" t="inlineStr">
        <is>
          <t>0</t>
        </is>
      </c>
      <c r="C290" s="56" t="n"/>
      <c r="D290" s="56" t="inlineStr">
        <is>
          <t>GLOBAL_CHECK</t>
        </is>
      </c>
      <c r="E290" s="56">
        <f>IF(G290="",E289,IF(G290&gt;0,E289+G290,E289))</f>
        <v/>
      </c>
      <c r="G290" s="56">
        <f>IFERROR(VLOOKUP($A290&amp;"="&amp;$B290,Results_Deltas!$A$2:$P$15000,5,FALSE),"")</f>
        <v/>
      </c>
      <c r="H290" s="56" t="inlineStr">
        <is>
          <t>Blanket (page end)</t>
        </is>
      </c>
    </row>
    <row r="291">
      <c r="A291" s="63" t="inlineStr">
        <is>
          <t>GR_FILTER_VEC_MIN_TFS</t>
        </is>
      </c>
      <c r="B291" s="56" t="inlineStr">
        <is>
          <t>2</t>
        </is>
      </c>
      <c r="C291" s="56" t="n"/>
      <c r="D291" s="56" t="inlineStr">
        <is>
          <t>GLOBAL_CHECK</t>
        </is>
      </c>
      <c r="E291" s="56">
        <f>IF(G291="",E290,IF(G291&gt;0,E290+G291,E290))</f>
        <v/>
      </c>
      <c r="G291" s="56">
        <f>IFERROR(VLOOKUP($A291&amp;"="&amp;$B291,Results_Deltas!$A$2:$P$15000,5,FALSE),"")</f>
        <v/>
      </c>
      <c r="H291" s="56" t="inlineStr">
        <is>
          <t>Blanket (page end)</t>
        </is>
      </c>
    </row>
    <row r="292">
      <c r="A292" s="63" t="inlineStr">
        <is>
          <t>GR_FILTER_VEC_MIN_TFS</t>
        </is>
      </c>
      <c r="B292" s="56" t="inlineStr">
        <is>
          <t>1</t>
        </is>
      </c>
      <c r="C292" s="56" t="n"/>
      <c r="D292" s="56" t="inlineStr">
        <is>
          <t>GLOBAL_CHECK</t>
        </is>
      </c>
      <c r="E292" s="56">
        <f>IF(G292="",E291,IF(G292&gt;0,E291+G292,E291))</f>
        <v/>
      </c>
      <c r="G292" s="56">
        <f>IFERROR(VLOOKUP($A292&amp;"="&amp;$B292,Results_Deltas!$A$2:$P$15000,5,FALSE),"")</f>
        <v/>
      </c>
      <c r="H292" s="56" t="inlineStr">
        <is>
          <t>Blanket (page end)</t>
        </is>
      </c>
    </row>
    <row r="293">
      <c r="A293" s="63" t="inlineStr">
        <is>
          <t>HA_WICK_QUALITY_ENABLED</t>
        </is>
      </c>
      <c r="B293" s="56" t="inlineStr">
        <is>
          <t>False</t>
        </is>
      </c>
      <c r="C293" s="56" t="n"/>
      <c r="D293" s="56" t="inlineStr">
        <is>
          <t>ENTRY, GLOBAL_CHECK, STOCKS_EXIT</t>
        </is>
      </c>
      <c r="E293" s="56">
        <f>IF(G293="",E292,IF(G293&gt;0,E292+G293,E292))</f>
        <v/>
      </c>
      <c r="G293" s="56">
        <f>IFERROR(VLOOKUP($A293&amp;"="&amp;$B293,Results_Deltas!$A$2:$P$15000,5,FALSE),"")</f>
        <v/>
      </c>
      <c r="H293" s="56" t="inlineStr">
        <is>
          <t>Blanket (page end)</t>
        </is>
      </c>
    </row>
    <row r="294">
      <c r="A294" s="63" t="inlineStr">
        <is>
          <t>HA_WICK_QUALITY_ENABLED</t>
        </is>
      </c>
      <c r="B294" s="56" t="inlineStr">
        <is>
          <t>True</t>
        </is>
      </c>
      <c r="C294" s="56" t="n"/>
      <c r="D294" s="56" t="inlineStr">
        <is>
          <t>ENTRY, GLOBAL_CHECK, STOCKS_EXIT</t>
        </is>
      </c>
      <c r="E294" s="56">
        <f>IF(G294="",E293,IF(G294&gt;0,E293+G294,E293))</f>
        <v/>
      </c>
      <c r="G294" s="56">
        <f>IFERROR(VLOOKUP($A294&amp;"="&amp;$B294,Results_Deltas!$A$2:$P$15000,5,FALSE),"")</f>
        <v/>
      </c>
      <c r="H294" s="56" t="inlineStr">
        <is>
          <t>Blanket (page end)</t>
        </is>
      </c>
    </row>
    <row r="295">
      <c r="A295" s="63" t="inlineStr">
        <is>
          <t>HA_WICK_QUALITY_SCORE</t>
        </is>
      </c>
      <c r="B295" s="56" t="inlineStr">
        <is>
          <t>15</t>
        </is>
      </c>
      <c r="C295" s="56" t="n"/>
      <c r="D295" s="56" t="inlineStr">
        <is>
          <t>ENTRY, GLOBAL_CHECK, STOCKS_EXIT</t>
        </is>
      </c>
      <c r="E295" s="56">
        <f>IF(G295="",E294,IF(G295&gt;0,E294+G295,E294))</f>
        <v/>
      </c>
      <c r="G295" s="56">
        <f>IFERROR(VLOOKUP($A295&amp;"="&amp;$B295,Results_Deltas!$A$2:$P$15000,5,FALSE),"")</f>
        <v/>
      </c>
      <c r="H295" s="56" t="inlineStr">
        <is>
          <t>Blanket (page end)</t>
        </is>
      </c>
    </row>
    <row r="296">
      <c r="A296" s="63" t="inlineStr">
        <is>
          <t>HA_WICK_QUALITY_SCORE</t>
        </is>
      </c>
      <c r="B296" s="56" t="inlineStr">
        <is>
          <t>15_ALT</t>
        </is>
      </c>
      <c r="C296" s="56" t="n"/>
      <c r="D296" s="56" t="inlineStr">
        <is>
          <t>ENTRY, GLOBAL_CHECK, STOCKS_EXIT</t>
        </is>
      </c>
      <c r="E296" s="56">
        <f>IF(G296="",E295,IF(G296&gt;0,E295+G296,E295))</f>
        <v/>
      </c>
      <c r="G296" s="56">
        <f>IFERROR(VLOOKUP($A296&amp;"="&amp;$B296,Results_Deltas!$A$2:$P$15000,5,FALSE),"")</f>
        <v/>
      </c>
      <c r="H296" s="56" t="inlineStr">
        <is>
          <t>Blanket (page end)</t>
        </is>
      </c>
    </row>
    <row r="297">
      <c r="A297" s="63" t="inlineStr">
        <is>
          <t>HA_WICK_QUALITY_TF</t>
        </is>
      </c>
      <c r="B297" s="56" t="inlineStr">
        <is>
          <t>OFF</t>
        </is>
      </c>
      <c r="C297" s="56" t="n"/>
      <c r="D297" s="56" t="inlineStr">
        <is>
          <t>ENTRY, GLOBAL_CHECK, STOCKS_EXIT</t>
        </is>
      </c>
      <c r="E297" s="56">
        <f>IF(G297="",E296,IF(G297&gt;0,E296+G297,E296))</f>
        <v/>
      </c>
      <c r="G297" s="56">
        <f>IFERROR(VLOOKUP($A297&amp;"="&amp;$B297,Results_Deltas!$A$2:$P$15000,5,FALSE),"")</f>
        <v/>
      </c>
      <c r="H297" s="56" t="inlineStr">
        <is>
          <t>Blanket (page end)</t>
        </is>
      </c>
    </row>
    <row r="298">
      <c r="A298" s="63" t="inlineStr">
        <is>
          <t>HA_WICK_QUALITY_TF</t>
        </is>
      </c>
      <c r="B298" s="56" t="inlineStr">
        <is>
          <t>D</t>
        </is>
      </c>
      <c r="C298" s="56" t="n"/>
      <c r="D298" s="56" t="inlineStr">
        <is>
          <t>ENTRY, GLOBAL_CHECK, STOCKS_EXIT</t>
        </is>
      </c>
      <c r="E298" s="56">
        <f>IF(G298="",E297,IF(G298&gt;0,E297+G298,E297))</f>
        <v/>
      </c>
      <c r="G298" s="56">
        <f>IFERROR(VLOOKUP($A298&amp;"="&amp;$B298,Results_Deltas!$A$2:$P$15000,5,FALSE),"")</f>
        <v/>
      </c>
      <c r="H298" s="56" t="inlineStr">
        <is>
          <t>Blanket (page end)</t>
        </is>
      </c>
    </row>
    <row r="299">
      <c r="A299" s="63" t="inlineStr">
        <is>
          <t>HA_WICK_QUALITY_TF</t>
        </is>
      </c>
      <c r="B299" s="56" t="inlineStr">
        <is>
          <t>4h</t>
        </is>
      </c>
      <c r="C299" s="56" t="n"/>
      <c r="D299" s="56" t="inlineStr">
        <is>
          <t>ENTRY, GLOBAL_CHECK, STOCKS_EXIT</t>
        </is>
      </c>
      <c r="E299" s="56">
        <f>IF(G299="",E298,IF(G299&gt;0,E298+G299,E298))</f>
        <v/>
      </c>
      <c r="G299" s="56">
        <f>IFERROR(VLOOKUP($A299&amp;"="&amp;$B299,Results_Deltas!$A$2:$P$15000,5,FALSE),"")</f>
        <v/>
      </c>
      <c r="H299" s="56" t="inlineStr">
        <is>
          <t>Blanket (page end)</t>
        </is>
      </c>
    </row>
    <row r="300">
      <c r="A300" s="63" t="inlineStr">
        <is>
          <t>HA_WICK_QUALITY_TF</t>
        </is>
      </c>
      <c r="B300" s="56" t="inlineStr">
        <is>
          <t>1h</t>
        </is>
      </c>
      <c r="C300" s="56" t="n"/>
      <c r="D300" s="56" t="inlineStr">
        <is>
          <t>ENTRY, GLOBAL_CHECK, STOCKS_EXIT</t>
        </is>
      </c>
      <c r="E300" s="56">
        <f>IF(G300="",E299,IF(G300&gt;0,E299+G300,E299))</f>
        <v/>
      </c>
      <c r="G300" s="56">
        <f>IFERROR(VLOOKUP($A300&amp;"="&amp;$B300,Results_Deltas!$A$2:$P$15000,5,FALSE),"")</f>
        <v/>
      </c>
      <c r="H300" s="56" t="inlineStr">
        <is>
          <t>Blanket (page end)</t>
        </is>
      </c>
    </row>
    <row r="301">
      <c r="A301" s="63" t="inlineStr">
        <is>
          <t>HA_WICK_QUALITY_TF</t>
        </is>
      </c>
      <c r="B301" s="56" t="inlineStr">
        <is>
          <t>15m</t>
        </is>
      </c>
      <c r="C301" s="56" t="n"/>
      <c r="D301" s="56" t="inlineStr">
        <is>
          <t>ENTRY, GLOBAL_CHECK, STOCKS_EXIT</t>
        </is>
      </c>
      <c r="E301" s="56">
        <f>IF(G301="",E300,IF(G301&gt;0,E300+G301,E300))</f>
        <v/>
      </c>
      <c r="G301" s="56">
        <f>IFERROR(VLOOKUP($A301&amp;"="&amp;$B301,Results_Deltas!$A$2:$P$15000,5,FALSE),"")</f>
        <v/>
      </c>
      <c r="H301" s="56" t="inlineStr">
        <is>
          <t>Blanket (page end)</t>
        </is>
      </c>
    </row>
    <row r="302">
      <c r="A302" s="63" t="inlineStr">
        <is>
          <t>HLR_SMA_BAND_PCT</t>
        </is>
      </c>
      <c r="B302" s="56" t="inlineStr">
        <is>
          <t>0</t>
        </is>
      </c>
      <c r="C302" s="56" t="n"/>
      <c r="D302" s="56" t="inlineStr">
        <is>
          <t>ENTRY, GLOBAL_CHECK, STOCKS_EXIT</t>
        </is>
      </c>
      <c r="E302" s="56">
        <f>IF(G302="",E301,IF(G302&gt;0,E301+G302,E301))</f>
        <v/>
      </c>
      <c r="G302" s="56">
        <f>IFERROR(VLOOKUP($A302&amp;"="&amp;$B302,Results_Deltas!$A$2:$P$15000,5,FALSE),"")</f>
        <v/>
      </c>
      <c r="H302" s="56" t="inlineStr">
        <is>
          <t>Blanket (page end)</t>
        </is>
      </c>
    </row>
    <row r="303">
      <c r="A303" s="63" t="inlineStr">
        <is>
          <t>HLR_SMA_BAND_PCT</t>
        </is>
      </c>
      <c r="B303" s="56" t="inlineStr">
        <is>
          <t>2.0</t>
        </is>
      </c>
      <c r="C303" s="56" t="n"/>
      <c r="D303" s="56" t="inlineStr">
        <is>
          <t>ENTRY, GLOBAL_CHECK, STOCKS_EXIT</t>
        </is>
      </c>
      <c r="E303" s="56">
        <f>IF(G303="",E302,IF(G303&gt;0,E302+G303,E302))</f>
        <v/>
      </c>
      <c r="G303" s="56">
        <f>IFERROR(VLOOKUP($A303&amp;"="&amp;$B303,Results_Deltas!$A$2:$P$15000,5,FALSE),"")</f>
        <v/>
      </c>
      <c r="H303" s="56" t="inlineStr">
        <is>
          <t>Blanket (page end)</t>
        </is>
      </c>
    </row>
    <row r="304">
      <c r="A304" s="63" t="inlineStr">
        <is>
          <t>HLR_SMA_BAND_PCT</t>
        </is>
      </c>
      <c r="B304" s="56" t="inlineStr">
        <is>
          <t>1.0</t>
        </is>
      </c>
      <c r="C304" s="56" t="n"/>
      <c r="D304" s="56" t="inlineStr">
        <is>
          <t>ENTRY, GLOBAL_CHECK, STOCKS_EXIT</t>
        </is>
      </c>
      <c r="E304" s="56">
        <f>IF(G304="",E303,IF(G304&gt;0,E303+G304,E303))</f>
        <v/>
      </c>
      <c r="G304" s="56">
        <f>IFERROR(VLOOKUP($A304&amp;"="&amp;$B304,Results_Deltas!$A$2:$P$15000,5,FALSE),"")</f>
        <v/>
      </c>
      <c r="H304" s="56" t="inlineStr">
        <is>
          <t>Blanket (page end)</t>
        </is>
      </c>
    </row>
    <row r="305">
      <c r="A305" s="63" t="inlineStr">
        <is>
          <t>HLR_SMA_BAND_PCT</t>
        </is>
      </c>
      <c r="B305" s="56" t="inlineStr">
        <is>
          <t>0.5</t>
        </is>
      </c>
      <c r="C305" s="56" t="n"/>
      <c r="D305" s="56" t="inlineStr">
        <is>
          <t>ENTRY, GLOBAL_CHECK, STOCKS_EXIT</t>
        </is>
      </c>
      <c r="E305" s="56">
        <f>IF(G305="",E304,IF(G305&gt;0,E304+G305,E304))</f>
        <v/>
      </c>
      <c r="G305" s="56">
        <f>IFERROR(VLOOKUP($A305&amp;"="&amp;$B305,Results_Deltas!$A$2:$P$15000,5,FALSE),"")</f>
        <v/>
      </c>
      <c r="H305" s="56" t="inlineStr">
        <is>
          <t>Blanket (page end)</t>
        </is>
      </c>
    </row>
    <row r="306">
      <c r="A306" s="63" t="inlineStr">
        <is>
          <t>HLR_TOP_MIN_TFS</t>
        </is>
      </c>
      <c r="B306" s="56" t="inlineStr">
        <is>
          <t>0</t>
        </is>
      </c>
      <c r="C306" s="56" t="n"/>
      <c r="D306" s="56" t="inlineStr">
        <is>
          <t>GLOBAL_CHECK, REENTRY, STOCKS_EXIT</t>
        </is>
      </c>
      <c r="E306" s="56">
        <f>IF(G306="",E305,IF(G306&gt;0,E305+G306,E305))</f>
        <v/>
      </c>
      <c r="G306" s="56">
        <f>IFERROR(VLOOKUP($A306&amp;"="&amp;$B306,Results_Deltas!$A$2:$P$15000,5,FALSE),"")</f>
        <v/>
      </c>
      <c r="H306" s="56" t="inlineStr">
        <is>
          <t>Blanket (page end)</t>
        </is>
      </c>
    </row>
    <row r="307">
      <c r="A307" s="63" t="inlineStr">
        <is>
          <t>HLR_TOP_MIN_TFS</t>
        </is>
      </c>
      <c r="B307" s="56" t="inlineStr">
        <is>
          <t>2</t>
        </is>
      </c>
      <c r="C307" s="56" t="n"/>
      <c r="D307" s="56" t="inlineStr">
        <is>
          <t>GLOBAL_CHECK, REENTRY, STOCKS_EXIT</t>
        </is>
      </c>
      <c r="E307" s="56">
        <f>IF(G307="",E306,IF(G307&gt;0,E306+G307,E306))</f>
        <v/>
      </c>
      <c r="G307" s="56">
        <f>IFERROR(VLOOKUP($A307&amp;"="&amp;$B307,Results_Deltas!$A$2:$P$15000,5,FALSE),"")</f>
        <v/>
      </c>
      <c r="H307" s="56" t="inlineStr">
        <is>
          <t>Blanket (page end)</t>
        </is>
      </c>
    </row>
    <row r="308">
      <c r="A308" s="63" t="inlineStr">
        <is>
          <t>HLR_TOP_MIN_TFS</t>
        </is>
      </c>
      <c r="B308" s="56" t="inlineStr">
        <is>
          <t>1</t>
        </is>
      </c>
      <c r="C308" s="56" t="n"/>
      <c r="D308" s="56" t="inlineStr">
        <is>
          <t>GLOBAL_CHECK, REENTRY, STOCKS_EXIT</t>
        </is>
      </c>
      <c r="E308" s="56">
        <f>IF(G308="",E307,IF(G308&gt;0,E307+G308,E307))</f>
        <v/>
      </c>
      <c r="G308" s="56">
        <f>IFERROR(VLOOKUP($A308&amp;"="&amp;$B308,Results_Deltas!$A$2:$P$15000,5,FALSE),"")</f>
        <v/>
      </c>
      <c r="H308" s="56" t="inlineStr">
        <is>
          <t>Blanket (page end)</t>
        </is>
      </c>
    </row>
    <row r="309">
      <c r="A309" s="63" t="inlineStr">
        <is>
          <t>HTF4_CONF</t>
        </is>
      </c>
      <c r="B309" s="56" t="inlineStr">
        <is>
          <t>False</t>
        </is>
      </c>
      <c r="C309" s="56" t="n"/>
      <c r="D309" s="56" t="inlineStr">
        <is>
          <t>GLOBAL_CHECK, STOCKS_EXIT</t>
        </is>
      </c>
      <c r="E309" s="56">
        <f>IF(G309="",E308,IF(G309&gt;0,E308+G309,E308))</f>
        <v/>
      </c>
      <c r="G309" s="56">
        <f>IFERROR(VLOOKUP($A309&amp;"="&amp;$B309,Results_Deltas!$A$2:$P$15000,5,FALSE),"")</f>
        <v/>
      </c>
      <c r="H309" s="56" t="inlineStr">
        <is>
          <t>Blanket (page end)</t>
        </is>
      </c>
    </row>
    <row r="310">
      <c r="A310" s="63" t="inlineStr">
        <is>
          <t>HTF4_CONF</t>
        </is>
      </c>
      <c r="B310" s="56" t="inlineStr">
        <is>
          <t>False_ALT</t>
        </is>
      </c>
      <c r="C310" s="56" t="n"/>
      <c r="D310" s="56" t="inlineStr">
        <is>
          <t>GLOBAL_CHECK, STOCKS_EXIT</t>
        </is>
      </c>
      <c r="E310" s="56">
        <f>IF(G310="",E309,IF(G310&gt;0,E309+G310,E309))</f>
        <v/>
      </c>
      <c r="G310" s="56">
        <f>IFERROR(VLOOKUP($A310&amp;"="&amp;$B310,Results_Deltas!$A$2:$P$15000,5,FALSE),"")</f>
        <v/>
      </c>
      <c r="H310" s="56" t="inlineStr">
        <is>
          <t>Blanket (page end)</t>
        </is>
      </c>
    </row>
    <row r="311">
      <c r="A311" s="63" t="inlineStr">
        <is>
          <t>HTF_DIRECTION_GATE_ENABLED</t>
        </is>
      </c>
      <c r="B311" s="56" t="inlineStr">
        <is>
          <t>False</t>
        </is>
      </c>
      <c r="C311" s="56" t="n"/>
      <c r="D311" s="56" t="inlineStr">
        <is>
          <t>ENTRY, GLOBAL_CHECK, STOCKS_EXIT</t>
        </is>
      </c>
      <c r="E311" s="56">
        <f>IF(G311="",E310,IF(G311&gt;0,E310+G311,E310))</f>
        <v/>
      </c>
      <c r="G311" s="56">
        <f>IFERROR(VLOOKUP($A311&amp;"="&amp;$B311,Results_Deltas!$A$2:$P$15000,5,FALSE),"")</f>
        <v/>
      </c>
      <c r="H311" s="56" t="inlineStr">
        <is>
          <t>Blanket (page end)</t>
        </is>
      </c>
    </row>
    <row r="312">
      <c r="A312" s="63" t="inlineStr">
        <is>
          <t>HTF_DIRECTION_GATE_ENABLED</t>
        </is>
      </c>
      <c r="B312" s="56" t="inlineStr">
        <is>
          <t>True</t>
        </is>
      </c>
      <c r="C312" s="56" t="n"/>
      <c r="D312" s="56" t="inlineStr">
        <is>
          <t>ENTRY, GLOBAL_CHECK, STOCKS_EXIT</t>
        </is>
      </c>
      <c r="E312" s="56">
        <f>IF(G312="",E311,IF(G312&gt;0,E311+G312,E311))</f>
        <v/>
      </c>
      <c r="G312" s="56">
        <f>IFERROR(VLOOKUP($A312&amp;"="&amp;$B312,Results_Deltas!$A$2:$P$15000,5,FALSE),"")</f>
        <v/>
      </c>
      <c r="H312" s="56" t="inlineStr">
        <is>
          <t>Blanket (page end)</t>
        </is>
      </c>
    </row>
    <row r="313">
      <c r="A313" s="63" t="inlineStr">
        <is>
          <t>HTF_GATE_BYPASS_RZ</t>
        </is>
      </c>
      <c r="B313" s="56" t="inlineStr">
        <is>
          <t>0.0</t>
        </is>
      </c>
      <c r="C313" s="56" t="n"/>
      <c r="D313" s="56" t="inlineStr">
        <is>
          <t>ENTRY, GLOBAL_CHECK, STOCKS_EXIT</t>
        </is>
      </c>
      <c r="E313" s="56">
        <f>IF(G313="",E312,IF(G313&gt;0,E312+G313,E312))</f>
        <v/>
      </c>
      <c r="G313" s="56">
        <f>IFERROR(VLOOKUP($A313&amp;"="&amp;$B313,Results_Deltas!$A$2:$P$15000,5,FALSE),"")</f>
        <v/>
      </c>
      <c r="H313" s="56" t="inlineStr">
        <is>
          <t>Blanket (page end)</t>
        </is>
      </c>
    </row>
    <row r="314">
      <c r="A314" s="63" t="inlineStr">
        <is>
          <t>HTF_GATE_BYPASS_RZ</t>
        </is>
      </c>
      <c r="B314" s="56" t="inlineStr">
        <is>
          <t>0.0_ALT</t>
        </is>
      </c>
      <c r="C314" s="56" t="n"/>
      <c r="D314" s="56" t="inlineStr">
        <is>
          <t>ENTRY, GLOBAL_CHECK, STOCKS_EXIT</t>
        </is>
      </c>
      <c r="E314" s="56">
        <f>IF(G314="",E313,IF(G314&gt;0,E313+G314,E313))</f>
        <v/>
      </c>
      <c r="G314" s="56">
        <f>IFERROR(VLOOKUP($A314&amp;"="&amp;$B314,Results_Deltas!$A$2:$P$15000,5,FALSE),"")</f>
        <v/>
      </c>
      <c r="H314" s="56" t="inlineStr">
        <is>
          <t>Blanket (page end)</t>
        </is>
      </c>
    </row>
    <row r="315">
      <c r="A315" s="63" t="inlineStr">
        <is>
          <t>HTF_GATE_D_MANDATORY</t>
        </is>
      </c>
      <c r="B315" s="56" t="inlineStr">
        <is>
          <t>0.0</t>
        </is>
      </c>
      <c r="C315" s="56" t="n"/>
      <c r="D315" s="56" t="inlineStr">
        <is>
          <t>ENTRY, GLOBAL_CHECK, STOCKS_EXIT</t>
        </is>
      </c>
      <c r="E315" s="56">
        <f>IF(G315="",E314,IF(G315&gt;0,E314+G315,E314))</f>
        <v/>
      </c>
      <c r="G315" s="56">
        <f>IFERROR(VLOOKUP($A315&amp;"="&amp;$B315,Results_Deltas!$A$2:$P$15000,5,FALSE),"")</f>
        <v/>
      </c>
      <c r="H315" s="56" t="inlineStr">
        <is>
          <t>Blanket (page end)</t>
        </is>
      </c>
    </row>
    <row r="316">
      <c r="A316" s="63" t="inlineStr">
        <is>
          <t>HTF_GATE_D_MANDATORY</t>
        </is>
      </c>
      <c r="B316" s="56" t="inlineStr">
        <is>
          <t>0.0_ALT</t>
        </is>
      </c>
      <c r="C316" s="56" t="n"/>
      <c r="D316" s="56" t="inlineStr">
        <is>
          <t>ENTRY, GLOBAL_CHECK, STOCKS_EXIT</t>
        </is>
      </c>
      <c r="E316" s="56">
        <f>IF(G316="",E315,IF(G316&gt;0,E315+G316,E315))</f>
        <v/>
      </c>
      <c r="G316" s="56">
        <f>IFERROR(VLOOKUP($A316&amp;"="&amp;$B316,Results_Deltas!$A$2:$P$15000,5,FALSE),"")</f>
        <v/>
      </c>
      <c r="H316" s="56" t="inlineStr">
        <is>
          <t>Blanket (page end)</t>
        </is>
      </c>
    </row>
    <row r="317">
      <c r="A317" s="63" t="inlineStr">
        <is>
          <t>HTF_GATE_MIN_CONFIRMATIONS</t>
        </is>
      </c>
      <c r="B317" s="56" t="inlineStr">
        <is>
          <t>0.0</t>
        </is>
      </c>
      <c r="C317" s="56" t="n"/>
      <c r="D317" s="56" t="inlineStr">
        <is>
          <t>ENTRY, GLOBAL_CHECK, STOCKS_EXIT</t>
        </is>
      </c>
      <c r="E317" s="56">
        <f>IF(G317="",E316,IF(G317&gt;0,E316+G317,E316))</f>
        <v/>
      </c>
      <c r="G317" s="56">
        <f>IFERROR(VLOOKUP($A317&amp;"="&amp;$B317,Results_Deltas!$A$2:$P$15000,5,FALSE),"")</f>
        <v/>
      </c>
      <c r="H317" s="56" t="inlineStr">
        <is>
          <t>Blanket (page end)</t>
        </is>
      </c>
    </row>
    <row r="318">
      <c r="A318" s="63" t="inlineStr">
        <is>
          <t>HTF_GATE_MIN_CONFIRMATIONS</t>
        </is>
      </c>
      <c r="B318" s="56" t="inlineStr">
        <is>
          <t>0.0_ALT</t>
        </is>
      </c>
      <c r="C318" s="56" t="n"/>
      <c r="D318" s="56" t="inlineStr">
        <is>
          <t>ENTRY, GLOBAL_CHECK, STOCKS_EXIT</t>
        </is>
      </c>
      <c r="E318" s="56">
        <f>IF(G318="",E317,IF(G318&gt;0,E317+G318,E317))</f>
        <v/>
      </c>
      <c r="G318" s="56">
        <f>IFERROR(VLOOKUP($A318&amp;"="&amp;$B318,Results_Deltas!$A$2:$P$15000,5,FALSE),"")</f>
        <v/>
      </c>
      <c r="H318" s="56" t="inlineStr">
        <is>
          <t>Blanket (page end)</t>
        </is>
      </c>
    </row>
    <row r="319">
      <c r="A319" s="63" t="inlineStr">
        <is>
          <t>HTF_TREND_VETO_BYPASS_ENABLED</t>
        </is>
      </c>
      <c r="B319" s="56" t="inlineStr">
        <is>
          <t>False</t>
        </is>
      </c>
      <c r="C319" s="56" t="n"/>
      <c r="D319" s="56" t="inlineStr">
        <is>
          <t>GLOBAL_CHECK, STOCKS_EXIT</t>
        </is>
      </c>
      <c r="E319" s="56">
        <f>IF(G319="",E318,IF(G319&gt;0,E318+G319,E318))</f>
        <v/>
      </c>
      <c r="G319" s="56">
        <f>IFERROR(VLOOKUP($A319&amp;"="&amp;$B319,Results_Deltas!$A$2:$P$15000,5,FALSE),"")</f>
        <v/>
      </c>
      <c r="H319" s="56" t="inlineStr">
        <is>
          <t>Blanket (page end)</t>
        </is>
      </c>
    </row>
    <row r="320">
      <c r="A320" s="63" t="inlineStr">
        <is>
          <t>HTF_TREND_VETO_BYPASS_ENABLED</t>
        </is>
      </c>
      <c r="B320" s="56" t="inlineStr">
        <is>
          <t>True</t>
        </is>
      </c>
      <c r="C320" s="56" t="n"/>
      <c r="D320" s="56" t="inlineStr">
        <is>
          <t>GLOBAL_CHECK, STOCKS_EXIT</t>
        </is>
      </c>
      <c r="E320" s="56">
        <f>IF(G320="",E319,IF(G320&gt;0,E319+G320,E319))</f>
        <v/>
      </c>
      <c r="G320" s="56">
        <f>IFERROR(VLOOKUP($A320&amp;"="&amp;$B320,Results_Deltas!$A$2:$P$15000,5,FALSE),"")</f>
        <v/>
      </c>
      <c r="H320" s="56" t="inlineStr">
        <is>
          <t>Blanket (page end)</t>
        </is>
      </c>
    </row>
    <row r="321">
      <c r="A321" s="63" t="inlineStr">
        <is>
          <t>HTF_TREND_VETO_BYPASS_REASONS</t>
        </is>
      </c>
      <c r="B321" s="56" t="inlineStr">
        <is>
          <t>0.0</t>
        </is>
      </c>
      <c r="C321" s="56" t="n"/>
      <c r="D321" s="56" t="inlineStr">
        <is>
          <t>GLOBAL_CHECK, STOCKS_EXIT</t>
        </is>
      </c>
      <c r="E321" s="56">
        <f>IF(G321="",E320,IF(G321&gt;0,E320+G321,E320))</f>
        <v/>
      </c>
      <c r="G321" s="56">
        <f>IFERROR(VLOOKUP($A321&amp;"="&amp;$B321,Results_Deltas!$A$2:$P$15000,5,FALSE),"")</f>
        <v/>
      </c>
      <c r="H321" s="56" t="inlineStr">
        <is>
          <t>Blanket (page end)</t>
        </is>
      </c>
    </row>
    <row r="322">
      <c r="A322" s="63" t="inlineStr">
        <is>
          <t>HTF_TREND_VETO_BYPASS_REASONS</t>
        </is>
      </c>
      <c r="B322" s="56" t="inlineStr">
        <is>
          <t>0.0_ALT</t>
        </is>
      </c>
      <c r="C322" s="56" t="n"/>
      <c r="D322" s="56" t="inlineStr">
        <is>
          <t>GLOBAL_CHECK, STOCKS_EXIT</t>
        </is>
      </c>
      <c r="E322" s="56">
        <f>IF(G322="",E321,IF(G322&gt;0,E321+G322,E321))</f>
        <v/>
      </c>
      <c r="G322" s="56">
        <f>IFERROR(VLOOKUP($A322&amp;"="&amp;$B322,Results_Deltas!$A$2:$P$15000,5,FALSE),"")</f>
        <v/>
      </c>
      <c r="H322" s="56" t="inlineStr">
        <is>
          <t>Blanket (page end)</t>
        </is>
      </c>
    </row>
    <row r="323">
      <c r="A323" s="63" t="inlineStr">
        <is>
          <t>LEADERBOARD_FILTER</t>
        </is>
      </c>
      <c r="B323" s="56" t="inlineStr">
        <is>
          <t>False</t>
        </is>
      </c>
      <c r="C323" s="56" t="n"/>
      <c r="D323" s="56" t="inlineStr">
        <is>
          <t>AUGMENT, ENTRY, EXIT, GLOBAL_CHECK, REDUCE, STOCKS_EXIT</t>
        </is>
      </c>
      <c r="E323" s="56">
        <f>IF(G323="",E322,IF(G323&gt;0,E322+G323,E322))</f>
        <v/>
      </c>
      <c r="G323" s="56">
        <f>IFERROR(VLOOKUP($A323&amp;"="&amp;$B323,Results_Deltas!$A$2:$P$15000,5,FALSE),"")</f>
        <v/>
      </c>
      <c r="H323" s="56" t="inlineStr">
        <is>
          <t>Blanket (page end)</t>
        </is>
      </c>
    </row>
    <row r="324">
      <c r="A324" s="63" t="inlineStr">
        <is>
          <t>LEADERBOARD_FILTER</t>
        </is>
      </c>
      <c r="B324" s="56" t="inlineStr">
        <is>
          <t>False_ALT</t>
        </is>
      </c>
      <c r="C324" s="56" t="n"/>
      <c r="D324" s="56" t="inlineStr">
        <is>
          <t>AUGMENT, ENTRY, EXIT, GLOBAL_CHECK, REDUCE, STOCKS_EXIT</t>
        </is>
      </c>
      <c r="E324" s="56">
        <f>IF(G324="",E323,IF(G324&gt;0,E323+G324,E323))</f>
        <v/>
      </c>
      <c r="G324" s="56">
        <f>IFERROR(VLOOKUP($A324&amp;"="&amp;$B324,Results_Deltas!$A$2:$P$15000,5,FALSE),"")</f>
        <v/>
      </c>
      <c r="H324" s="56" t="inlineStr">
        <is>
          <t>Blanket (page end)</t>
        </is>
      </c>
    </row>
    <row r="325">
      <c r="A325" s="63" t="inlineStr">
        <is>
          <t>LH_HL_FILTER_ENABLED</t>
        </is>
      </c>
      <c r="B325" s="56" t="inlineStr">
        <is>
          <t>False</t>
        </is>
      </c>
      <c r="C325" s="56" t="n"/>
      <c r="D325" s="56" t="inlineStr">
        <is>
          <t>ENTRY, GLOBAL_CHECK, STOCKS_EXIT</t>
        </is>
      </c>
      <c r="E325" s="56">
        <f>IF(G325="",E324,IF(G325&gt;0,E324+G325,E324))</f>
        <v/>
      </c>
      <c r="G325" s="56">
        <f>IFERROR(VLOOKUP($A325&amp;"="&amp;$B325,Results_Deltas!$A$2:$P$15000,5,FALSE),"")</f>
        <v/>
      </c>
      <c r="H325" s="56" t="inlineStr">
        <is>
          <t>Blanket (page end)</t>
        </is>
      </c>
    </row>
    <row r="326">
      <c r="A326" s="63" t="inlineStr">
        <is>
          <t>LH_HL_FILTER_ENABLED</t>
        </is>
      </c>
      <c r="B326" s="56" t="inlineStr">
        <is>
          <t>True</t>
        </is>
      </c>
      <c r="C326" s="56" t="n"/>
      <c r="D326" s="56" t="inlineStr">
        <is>
          <t>ENTRY, GLOBAL_CHECK, STOCKS_EXIT</t>
        </is>
      </c>
      <c r="E326" s="56">
        <f>IF(G326="",E325,IF(G326&gt;0,E325+G326,E325))</f>
        <v/>
      </c>
      <c r="G326" s="56">
        <f>IFERROR(VLOOKUP($A326&amp;"="&amp;$B326,Results_Deltas!$A$2:$P$15000,5,FALSE),"")</f>
        <v/>
      </c>
      <c r="H326" s="56" t="inlineStr">
        <is>
          <t>Blanket (page end)</t>
        </is>
      </c>
    </row>
    <row r="327">
      <c r="A327" s="63" t="inlineStr">
        <is>
          <t>LH_HL_FILTER_MODE</t>
        </is>
      </c>
      <c r="B327" s="56" t="inlineStr">
        <is>
          <t>STRICT_2BAR</t>
        </is>
      </c>
      <c r="C327" s="56" t="n"/>
      <c r="D327" s="56" t="inlineStr">
        <is>
          <t>ENTRY, GLOBAL_CHECK, STOCKS_EXIT</t>
        </is>
      </c>
      <c r="E327" s="56">
        <f>IF(G327="",E326,IF(G327&gt;0,E326+G327,E326))</f>
        <v/>
      </c>
      <c r="G327" s="56">
        <f>IFERROR(VLOOKUP($A327&amp;"="&amp;$B327,Results_Deltas!$A$2:$P$15000,5,FALSE),"")</f>
        <v/>
      </c>
      <c r="H327" s="56" t="inlineStr">
        <is>
          <t>Blanket (page end)</t>
        </is>
      </c>
    </row>
    <row r="328">
      <c r="A328" s="63" t="inlineStr">
        <is>
          <t>LH_HL_FILTER_MODE</t>
        </is>
      </c>
      <c r="B328" s="56" t="inlineStr">
        <is>
          <t>STRICT_2BAR_ALT</t>
        </is>
      </c>
      <c r="C328" s="56" t="n"/>
      <c r="D328" s="56" t="inlineStr">
        <is>
          <t>ENTRY, GLOBAL_CHECK, STOCKS_EXIT</t>
        </is>
      </c>
      <c r="E328" s="56">
        <f>IF(G328="",E327,IF(G328&gt;0,E327+G328,E327))</f>
        <v/>
      </c>
      <c r="G328" s="56">
        <f>IFERROR(VLOOKUP($A328&amp;"="&amp;$B328,Results_Deltas!$A$2:$P$15000,5,FALSE),"")</f>
        <v/>
      </c>
      <c r="H328" s="56" t="inlineStr">
        <is>
          <t>Blanket (page end)</t>
        </is>
      </c>
    </row>
    <row r="329">
      <c r="A329" s="63" t="inlineStr">
        <is>
          <t>LH_HL_FILTER_REQUIRE_BOTH</t>
        </is>
      </c>
      <c r="B329" s="56" t="inlineStr">
        <is>
          <t>False</t>
        </is>
      </c>
      <c r="C329" s="56" t="n"/>
      <c r="D329" s="56" t="inlineStr">
        <is>
          <t>ENTRY, GLOBAL_CHECK, STOCKS_EXIT</t>
        </is>
      </c>
      <c r="E329" s="56">
        <f>IF(G329="",E328,IF(G329&gt;0,E328+G329,E328))</f>
        <v/>
      </c>
      <c r="G329" s="56">
        <f>IFERROR(VLOOKUP($A329&amp;"="&amp;$B329,Results_Deltas!$A$2:$P$15000,5,FALSE),"")</f>
        <v/>
      </c>
      <c r="H329" s="56" t="inlineStr">
        <is>
          <t>Blanket (page end)</t>
        </is>
      </c>
    </row>
    <row r="330">
      <c r="A330" s="63" t="inlineStr">
        <is>
          <t>LH_HL_FILTER_REQUIRE_BOTH</t>
        </is>
      </c>
      <c r="B330" s="56" t="inlineStr">
        <is>
          <t>False_ALT</t>
        </is>
      </c>
      <c r="C330" s="56" t="n"/>
      <c r="D330" s="56" t="inlineStr">
        <is>
          <t>ENTRY, GLOBAL_CHECK, STOCKS_EXIT</t>
        </is>
      </c>
      <c r="E330" s="56">
        <f>IF(G330="",E329,IF(G330&gt;0,E329+G330,E329))</f>
        <v/>
      </c>
      <c r="G330" s="56">
        <f>IFERROR(VLOOKUP($A330&amp;"="&amp;$B330,Results_Deltas!$A$2:$P$15000,5,FALSE),"")</f>
        <v/>
      </c>
      <c r="H330" s="56" t="inlineStr">
        <is>
          <t>Blanket (page end)</t>
        </is>
      </c>
    </row>
    <row r="331">
      <c r="A331" s="63" t="inlineStr">
        <is>
          <t>LIVE_VEC_EMERGENCY_BRAKE_ENABLED</t>
        </is>
      </c>
      <c r="B331" s="56" t="inlineStr">
        <is>
          <t>False</t>
        </is>
      </c>
      <c r="C331" s="56" t="n"/>
      <c r="D331" s="56" t="inlineStr">
        <is>
          <t>GLOBAL_CHECK, STOCKS_EXIT</t>
        </is>
      </c>
      <c r="E331" s="56">
        <f>IF(G331="",E330,IF(G331&gt;0,E330+G331,E330))</f>
        <v/>
      </c>
      <c r="G331" s="56">
        <f>IFERROR(VLOOKUP($A331&amp;"="&amp;$B331,Results_Deltas!$A$2:$P$15000,5,FALSE),"")</f>
        <v/>
      </c>
      <c r="H331" s="56" t="inlineStr">
        <is>
          <t>Blanket (page end)</t>
        </is>
      </c>
    </row>
    <row r="332">
      <c r="A332" s="63" t="inlineStr">
        <is>
          <t>LIVE_VEC_EMERGENCY_BRAKE_ENABLED</t>
        </is>
      </c>
      <c r="B332" s="56" t="inlineStr">
        <is>
          <t>True</t>
        </is>
      </c>
      <c r="C332" s="56" t="n"/>
      <c r="D332" s="56" t="inlineStr">
        <is>
          <t>GLOBAL_CHECK, STOCKS_EXIT</t>
        </is>
      </c>
      <c r="E332" s="56">
        <f>IF(G332="",E331,IF(G332&gt;0,E331+G332,E331))</f>
        <v/>
      </c>
      <c r="G332" s="56">
        <f>IFERROR(VLOOKUP($A332&amp;"="&amp;$B332,Results_Deltas!$A$2:$P$15000,5,FALSE),"")</f>
        <v/>
      </c>
      <c r="H332" s="56" t="inlineStr">
        <is>
          <t>Blanket (page end)</t>
        </is>
      </c>
    </row>
    <row r="333">
      <c r="A333" s="63" t="inlineStr">
        <is>
          <t>LR_BAND_LADDER_STOCH_EXTREME</t>
        </is>
      </c>
      <c r="B333" s="56" t="inlineStr">
        <is>
          <t>30.0</t>
        </is>
      </c>
      <c r="C333" s="56" t="n"/>
      <c r="D333" s="56" t="inlineStr">
        <is>
          <t>GLOBAL_CHECK, STOCKS_EXIT</t>
        </is>
      </c>
      <c r="E333" s="56">
        <f>IF(G333="",E332,IF(G333&gt;0,E332+G333,E332))</f>
        <v/>
      </c>
      <c r="G333" s="56">
        <f>IFERROR(VLOOKUP($A333&amp;"="&amp;$B333,Results_Deltas!$A$2:$P$15000,5,FALSE),"")</f>
        <v/>
      </c>
      <c r="H333" s="56" t="inlineStr">
        <is>
          <t>Blanket (page end)</t>
        </is>
      </c>
    </row>
    <row r="334">
      <c r="A334" s="63" t="inlineStr">
        <is>
          <t>LR_BAND_LADDER_STOCH_EXTREME</t>
        </is>
      </c>
      <c r="B334" s="56" t="inlineStr">
        <is>
          <t>30.0_ALT</t>
        </is>
      </c>
      <c r="C334" s="56" t="n"/>
      <c r="D334" s="56" t="inlineStr">
        <is>
          <t>GLOBAL_CHECK, STOCKS_EXIT</t>
        </is>
      </c>
      <c r="E334" s="56">
        <f>IF(G334="",E333,IF(G334&gt;0,E333+G334,E333))</f>
        <v/>
      </c>
      <c r="G334" s="56">
        <f>IFERROR(VLOOKUP($A334&amp;"="&amp;$B334,Results_Deltas!$A$2:$P$15000,5,FALSE),"")</f>
        <v/>
      </c>
      <c r="H334" s="56" t="inlineStr">
        <is>
          <t>Blanket (page end)</t>
        </is>
      </c>
    </row>
    <row r="335">
      <c r="A335" s="63" t="inlineStr">
        <is>
          <t>LR_BAND_LADDER_TF_BOTTOM</t>
        </is>
      </c>
      <c r="B335" s="56" t="inlineStr">
        <is>
          <t>0</t>
        </is>
      </c>
      <c r="C335" s="56" t="n"/>
      <c r="D335" s="56" t="inlineStr">
        <is>
          <t>GLOBAL_CHECK, STOCKS_EXIT</t>
        </is>
      </c>
      <c r="E335" s="56">
        <f>IF(G335="",E334,IF(G335&gt;0,E334+G335,E334))</f>
        <v/>
      </c>
      <c r="G335" s="56">
        <f>IFERROR(VLOOKUP($A335&amp;"="&amp;$B335,Results_Deltas!$A$2:$P$15000,5,FALSE),"")</f>
        <v/>
      </c>
      <c r="H335" s="56" t="inlineStr">
        <is>
          <t>Blanket (page end)</t>
        </is>
      </c>
    </row>
    <row r="336">
      <c r="A336" s="63" t="inlineStr">
        <is>
          <t>LR_BAND_LADDER_TF_BOTTOM</t>
        </is>
      </c>
      <c r="B336" s="56" t="inlineStr">
        <is>
          <t>1</t>
        </is>
      </c>
      <c r="C336" s="56" t="n"/>
      <c r="D336" s="56" t="inlineStr">
        <is>
          <t>GLOBAL_CHECK, STOCKS_EXIT</t>
        </is>
      </c>
      <c r="E336" s="56">
        <f>IF(G336="",E335,IF(G336&gt;0,E335+G336,E335))</f>
        <v/>
      </c>
      <c r="G336" s="56">
        <f>IFERROR(VLOOKUP($A336&amp;"="&amp;$B336,Results_Deltas!$A$2:$P$15000,5,FALSE),"")</f>
        <v/>
      </c>
      <c r="H336" s="56" t="inlineStr">
        <is>
          <t>Blanket (page end)</t>
        </is>
      </c>
    </row>
    <row r="337">
      <c r="A337" s="63" t="inlineStr">
        <is>
          <t>LR_BAND_LADDER_TF_TOP</t>
        </is>
      </c>
      <c r="B337" s="56" t="inlineStr">
        <is>
          <t>0</t>
        </is>
      </c>
      <c r="C337" s="56" t="n"/>
      <c r="D337" s="56" t="inlineStr">
        <is>
          <t>GLOBAL_CHECK, STOCKS_EXIT</t>
        </is>
      </c>
      <c r="E337" s="56">
        <f>IF(G337="",E336,IF(G337&gt;0,E336+G337,E336))</f>
        <v/>
      </c>
      <c r="G337" s="56">
        <f>IFERROR(VLOOKUP($A337&amp;"="&amp;$B337,Results_Deltas!$A$2:$P$15000,5,FALSE),"")</f>
        <v/>
      </c>
      <c r="H337" s="56" t="inlineStr">
        <is>
          <t>Blanket (page end)</t>
        </is>
      </c>
    </row>
    <row r="338">
      <c r="A338" s="63" t="inlineStr">
        <is>
          <t>LR_BAND_LADDER_TF_TOP</t>
        </is>
      </c>
      <c r="B338" s="56" t="inlineStr">
        <is>
          <t>1</t>
        </is>
      </c>
      <c r="C338" s="56" t="n"/>
      <c r="D338" s="56" t="inlineStr">
        <is>
          <t>GLOBAL_CHECK, STOCKS_EXIT</t>
        </is>
      </c>
      <c r="E338" s="56">
        <f>IF(G338="",E337,IF(G338&gt;0,E337+G338,E337))</f>
        <v/>
      </c>
      <c r="G338" s="56">
        <f>IFERROR(VLOOKUP($A338&amp;"="&amp;$B338,Results_Deltas!$A$2:$P$15000,5,FALSE),"")</f>
        <v/>
      </c>
      <c r="H338" s="56" t="inlineStr">
        <is>
          <t>Blanket (page end)</t>
        </is>
      </c>
    </row>
    <row r="339">
      <c r="A339" s="63" t="inlineStr">
        <is>
          <t>MANDATORY_REENTRY_WT_FILTER_MIN_TFS</t>
        </is>
      </c>
      <c r="B339" s="56" t="inlineStr">
        <is>
          <t>1</t>
        </is>
      </c>
      <c r="C339" s="56" t="n"/>
      <c r="D339" s="56" t="inlineStr">
        <is>
          <t>GLOBAL_CHECK, STOCKS_EXIT</t>
        </is>
      </c>
      <c r="E339" s="56">
        <f>IF(G339="",E338,IF(G339&gt;0,E338+G339,E338))</f>
        <v/>
      </c>
      <c r="G339" s="56">
        <f>IFERROR(VLOOKUP($A339&amp;"="&amp;$B339,Results_Deltas!$A$2:$P$15000,5,FALSE),"")</f>
        <v/>
      </c>
      <c r="H339" s="56" t="inlineStr">
        <is>
          <t>Blanket (page end)</t>
        </is>
      </c>
    </row>
    <row r="340">
      <c r="A340" s="63" t="inlineStr">
        <is>
          <t>MANDATORY_REENTRY_WT_FILTER_MIN_TFS</t>
        </is>
      </c>
      <c r="B340" s="56" t="inlineStr">
        <is>
          <t>3</t>
        </is>
      </c>
      <c r="C340" s="56" t="n"/>
      <c r="D340" s="56" t="inlineStr">
        <is>
          <t>GLOBAL_CHECK, STOCKS_EXIT</t>
        </is>
      </c>
      <c r="E340" s="56">
        <f>IF(G340="",E339,IF(G340&gt;0,E339+G340,E339))</f>
        <v/>
      </c>
      <c r="G340" s="56">
        <f>IFERROR(VLOOKUP($A340&amp;"="&amp;$B340,Results_Deltas!$A$2:$P$15000,5,FALSE),"")</f>
        <v/>
      </c>
      <c r="H340" s="56" t="inlineStr">
        <is>
          <t>Blanket (page end)</t>
        </is>
      </c>
    </row>
    <row r="341">
      <c r="A341" s="63" t="inlineStr">
        <is>
          <t>MANDATORY_REENTRY_WT_FILTER_MIN_TFS</t>
        </is>
      </c>
      <c r="B341" s="56" t="inlineStr">
        <is>
          <t>2</t>
        </is>
      </c>
      <c r="C341" s="56" t="n"/>
      <c r="D341" s="56" t="inlineStr">
        <is>
          <t>GLOBAL_CHECK, STOCKS_EXIT</t>
        </is>
      </c>
      <c r="E341" s="56">
        <f>IF(G341="",E340,IF(G341&gt;0,E340+G341,E340))</f>
        <v/>
      </c>
      <c r="G341" s="56">
        <f>IFERROR(VLOOKUP($A341&amp;"="&amp;$B341,Results_Deltas!$A$2:$P$15000,5,FALSE),"")</f>
        <v/>
      </c>
      <c r="H341" s="56" t="inlineStr">
        <is>
          <t>Blanket (page end)</t>
        </is>
      </c>
    </row>
    <row r="342">
      <c r="A342" s="63" t="inlineStr">
        <is>
          <t>MANDATORY_REENTRY_WT_FILTER_MIN_VELOCITY</t>
        </is>
      </c>
      <c r="B342" s="56" t="inlineStr">
        <is>
          <t>0.0</t>
        </is>
      </c>
      <c r="C342" s="56" t="n"/>
      <c r="D342" s="56" t="inlineStr">
        <is>
          <t>GLOBAL_CHECK, STOCKS_EXIT</t>
        </is>
      </c>
      <c r="E342" s="56">
        <f>IF(G342="",E341,IF(G342&gt;0,E341+G342,E341))</f>
        <v/>
      </c>
      <c r="G342" s="56">
        <f>IFERROR(VLOOKUP($A342&amp;"="&amp;$B342,Results_Deltas!$A$2:$P$15000,5,FALSE),"")</f>
        <v/>
      </c>
      <c r="H342" s="56" t="inlineStr">
        <is>
          <t>Blanket (page end)</t>
        </is>
      </c>
    </row>
    <row r="343">
      <c r="A343" s="63" t="inlineStr">
        <is>
          <t>MANDATORY_REENTRY_WT_FILTER_MIN_VELOCITY</t>
        </is>
      </c>
      <c r="B343" s="56" t="inlineStr">
        <is>
          <t>0.0_ALT</t>
        </is>
      </c>
      <c r="C343" s="56" t="n"/>
      <c r="D343" s="56" t="inlineStr">
        <is>
          <t>GLOBAL_CHECK, STOCKS_EXIT</t>
        </is>
      </c>
      <c r="E343" s="56">
        <f>IF(G343="",E342,IF(G343&gt;0,E342+G343,E342))</f>
        <v/>
      </c>
      <c r="G343" s="56">
        <f>IFERROR(VLOOKUP($A343&amp;"="&amp;$B343,Results_Deltas!$A$2:$P$15000,5,FALSE),"")</f>
        <v/>
      </c>
      <c r="H343" s="56" t="inlineStr">
        <is>
          <t>Blanket (page end)</t>
        </is>
      </c>
    </row>
    <row r="344">
      <c r="A344" s="63" t="inlineStr">
        <is>
          <t>MANDATORY_REENTRY_WT_FILTER_REQUIRE_FLIP</t>
        </is>
      </c>
      <c r="B344" s="56" t="inlineStr">
        <is>
          <t>False</t>
        </is>
      </c>
      <c r="C344" s="56" t="n"/>
      <c r="D344" s="56" t="inlineStr">
        <is>
          <t>GLOBAL_CHECK, STOCKS_EXIT</t>
        </is>
      </c>
      <c r="E344" s="56">
        <f>IF(G344="",E343,IF(G344&gt;0,E343+G344,E343))</f>
        <v/>
      </c>
      <c r="G344" s="56">
        <f>IFERROR(VLOOKUP($A344&amp;"="&amp;$B344,Results_Deltas!$A$2:$P$15000,5,FALSE),"")</f>
        <v/>
      </c>
      <c r="H344" s="56" t="inlineStr">
        <is>
          <t>Blanket (page end)</t>
        </is>
      </c>
    </row>
    <row r="345">
      <c r="A345" s="63" t="inlineStr">
        <is>
          <t>MANDATORY_REENTRY_WT_FILTER_REQUIRE_FLIP</t>
        </is>
      </c>
      <c r="B345" s="56" t="inlineStr">
        <is>
          <t>False_ALT</t>
        </is>
      </c>
      <c r="C345" s="56" t="n"/>
      <c r="D345" s="56" t="inlineStr">
        <is>
          <t>GLOBAL_CHECK, STOCKS_EXIT</t>
        </is>
      </c>
      <c r="E345" s="56">
        <f>IF(G345="",E344,IF(G345&gt;0,E344+G345,E344))</f>
        <v/>
      </c>
      <c r="G345" s="56">
        <f>IFERROR(VLOOKUP($A345&amp;"="&amp;$B345,Results_Deltas!$A$2:$P$15000,5,FALSE),"")</f>
        <v/>
      </c>
      <c r="H345" s="56" t="inlineStr">
        <is>
          <t>Blanket (page end)</t>
        </is>
      </c>
    </row>
    <row r="346">
      <c r="A346" s="63" t="inlineStr">
        <is>
          <t>MANDATORY_REENTRY_WT_FILTER_VELOCITY_RATIO</t>
        </is>
      </c>
      <c r="B346" s="56" t="inlineStr">
        <is>
          <t>0.90</t>
        </is>
      </c>
      <c r="C346" s="56" t="n"/>
      <c r="D346" s="56" t="inlineStr">
        <is>
          <t>GLOBAL_CHECK, STOCKS_EXIT</t>
        </is>
      </c>
      <c r="E346" s="56">
        <f>IF(G346="",E345,IF(G346&gt;0,E345+G346,E345))</f>
        <v/>
      </c>
      <c r="G346" s="56">
        <f>IFERROR(VLOOKUP($A346&amp;"="&amp;$B346,Results_Deltas!$A$2:$P$15000,5,FALSE),"")</f>
        <v/>
      </c>
      <c r="H346" s="56" t="inlineStr">
        <is>
          <t>Blanket (page end)</t>
        </is>
      </c>
    </row>
    <row r="347">
      <c r="A347" s="63" t="inlineStr">
        <is>
          <t>MANDATORY_REENTRY_WT_FILTER_VELOCITY_RATIO</t>
        </is>
      </c>
      <c r="B347" s="56" t="inlineStr">
        <is>
          <t>0.90_ALT</t>
        </is>
      </c>
      <c r="C347" s="56" t="n"/>
      <c r="D347" s="56" t="inlineStr">
        <is>
          <t>GLOBAL_CHECK, STOCKS_EXIT</t>
        </is>
      </c>
      <c r="E347" s="56">
        <f>IF(G347="",E346,IF(G347&gt;0,E346+G347,E346))</f>
        <v/>
      </c>
      <c r="G347" s="56">
        <f>IFERROR(VLOOKUP($A347&amp;"="&amp;$B347,Results_Deltas!$A$2:$P$15000,5,FALSE),"")</f>
        <v/>
      </c>
      <c r="H347" s="56" t="inlineStr">
        <is>
          <t>Blanket (page end)</t>
        </is>
      </c>
    </row>
    <row r="348">
      <c r="A348" s="63" t="inlineStr">
        <is>
          <t>MARKET_QUALITY_SCORE_ENABLED</t>
        </is>
      </c>
      <c r="B348" s="56" t="inlineStr">
        <is>
          <t>False</t>
        </is>
      </c>
      <c r="C348" s="56" t="n"/>
      <c r="D348" s="56" t="inlineStr">
        <is>
          <t>ENTRY, GLOBAL_CHECK, STOCKS_EXIT</t>
        </is>
      </c>
      <c r="E348" s="56">
        <f>IF(G348="",E347,IF(G348&gt;0,E347+G348,E347))</f>
        <v/>
      </c>
      <c r="G348" s="56">
        <f>IFERROR(VLOOKUP($A348&amp;"="&amp;$B348,Results_Deltas!$A$2:$P$15000,5,FALSE),"")</f>
        <v/>
      </c>
      <c r="H348" s="56" t="inlineStr">
        <is>
          <t>Blanket (page end)</t>
        </is>
      </c>
    </row>
    <row r="349">
      <c r="A349" s="63" t="inlineStr">
        <is>
          <t>MARKET_QUALITY_SCORE_ENABLED</t>
        </is>
      </c>
      <c r="B349" s="56" t="inlineStr">
        <is>
          <t>True</t>
        </is>
      </c>
      <c r="C349" s="56" t="n"/>
      <c r="D349" s="56" t="inlineStr">
        <is>
          <t>ENTRY, GLOBAL_CHECK, STOCKS_EXIT</t>
        </is>
      </c>
      <c r="E349" s="56">
        <f>IF(G349="",E348,IF(G349&gt;0,E348+G349,E348))</f>
        <v/>
      </c>
      <c r="G349" s="56">
        <f>IFERROR(VLOOKUP($A349&amp;"="&amp;$B349,Results_Deltas!$A$2:$P$15000,5,FALSE),"")</f>
        <v/>
      </c>
      <c r="H349" s="56" t="inlineStr">
        <is>
          <t>Blanket (page end)</t>
        </is>
      </c>
    </row>
    <row r="350">
      <c r="A350" s="63" t="inlineStr">
        <is>
          <t>MI_TF_AGREE_MIN</t>
        </is>
      </c>
      <c r="B350" s="56" t="inlineStr">
        <is>
          <t>0.0</t>
        </is>
      </c>
      <c r="C350" s="56" t="n"/>
      <c r="D350" s="56" t="inlineStr">
        <is>
          <t>ENTRY, GLOBAL_CHECK, STOCKS_EXIT</t>
        </is>
      </c>
      <c r="E350" s="56">
        <f>IF(G350="",E349,IF(G350&gt;0,E349+G350,E349))</f>
        <v/>
      </c>
      <c r="G350" s="56">
        <f>IFERROR(VLOOKUP($A350&amp;"="&amp;$B350,Results_Deltas!$A$2:$P$15000,5,FALSE),"")</f>
        <v/>
      </c>
      <c r="H350" s="56" t="inlineStr">
        <is>
          <t>Blanket (page end)</t>
        </is>
      </c>
    </row>
    <row r="351">
      <c r="A351" s="63" t="inlineStr">
        <is>
          <t>MI_TF_AGREE_MIN</t>
        </is>
      </c>
      <c r="B351" s="56" t="inlineStr">
        <is>
          <t>0.0_ALT</t>
        </is>
      </c>
      <c r="C351" s="56" t="n"/>
      <c r="D351" s="56" t="inlineStr">
        <is>
          <t>ENTRY, GLOBAL_CHECK, STOCKS_EXIT</t>
        </is>
      </c>
      <c r="E351" s="56">
        <f>IF(G351="",E350,IF(G351&gt;0,E350+G351,E350))</f>
        <v/>
      </c>
      <c r="G351" s="56">
        <f>IFERROR(VLOOKUP($A351&amp;"="&amp;$B351,Results_Deltas!$A$2:$P$15000,5,FALSE),"")</f>
        <v/>
      </c>
      <c r="H351" s="56" t="inlineStr">
        <is>
          <t>Blanket (page end)</t>
        </is>
      </c>
    </row>
    <row r="352">
      <c r="A352" s="63" t="inlineStr">
        <is>
          <t>MOVER_THRESHOLD</t>
        </is>
      </c>
      <c r="B352" s="56" t="inlineStr">
        <is>
          <t>5</t>
        </is>
      </c>
      <c r="C352" s="56" t="n"/>
      <c r="D352" s="56" t="inlineStr">
        <is>
          <t>ENTRY, GLOBAL_CHECK, STOCKS_EXIT</t>
        </is>
      </c>
      <c r="E352" s="56">
        <f>IF(G352="",E351,IF(G352&gt;0,E351+G352,E351))</f>
        <v/>
      </c>
      <c r="G352" s="56">
        <f>IFERROR(VLOOKUP($A352&amp;"="&amp;$B352,Results_Deltas!$A$2:$P$15000,5,FALSE),"")</f>
        <v/>
      </c>
      <c r="H352" s="56" t="inlineStr">
        <is>
          <t>Blanket (page end)</t>
        </is>
      </c>
    </row>
    <row r="353">
      <c r="A353" s="63" t="inlineStr">
        <is>
          <t>MOVER_THRESHOLD</t>
        </is>
      </c>
      <c r="B353" s="56" t="inlineStr">
        <is>
          <t>6.25</t>
        </is>
      </c>
      <c r="C353" s="56" t="n"/>
      <c r="D353" s="56" t="inlineStr">
        <is>
          <t>ENTRY, GLOBAL_CHECK, STOCKS_EXIT</t>
        </is>
      </c>
      <c r="E353" s="56">
        <f>IF(G353="",E352,IF(G353&gt;0,E352+G353,E352))</f>
        <v/>
      </c>
      <c r="G353" s="56">
        <f>IFERROR(VLOOKUP($A353&amp;"="&amp;$B353,Results_Deltas!$A$2:$P$15000,5,FALSE),"")</f>
        <v/>
      </c>
      <c r="H353" s="56" t="inlineStr">
        <is>
          <t>Blanket (page end)</t>
        </is>
      </c>
    </row>
    <row r="354">
      <c r="A354" s="63" t="inlineStr">
        <is>
          <t>MOVER_THRESHOLD</t>
        </is>
      </c>
      <c r="B354" s="56" t="inlineStr">
        <is>
          <t>3.75</t>
        </is>
      </c>
      <c r="C354" s="56" t="n"/>
      <c r="D354" s="56" t="inlineStr">
        <is>
          <t>ENTRY, GLOBAL_CHECK, STOCKS_EXIT</t>
        </is>
      </c>
      <c r="E354" s="56">
        <f>IF(G354="",E353,IF(G354&gt;0,E353+G354,E353))</f>
        <v/>
      </c>
      <c r="G354" s="56">
        <f>IFERROR(VLOOKUP($A354&amp;"="&amp;$B354,Results_Deltas!$A$2:$P$15000,5,FALSE),"")</f>
        <v/>
      </c>
      <c r="H354" s="56" t="inlineStr">
        <is>
          <t>Blanket (page end)</t>
        </is>
      </c>
    </row>
    <row r="355">
      <c r="A355" s="63" t="inlineStr">
        <is>
          <t>MOVER_THRESHOLD</t>
        </is>
      </c>
      <c r="B355" s="56" t="inlineStr">
        <is>
          <t>2.5</t>
        </is>
      </c>
      <c r="C355" s="56" t="n"/>
      <c r="D355" s="56" t="inlineStr">
        <is>
          <t>ENTRY, GLOBAL_CHECK, STOCKS_EXIT</t>
        </is>
      </c>
      <c r="E355" s="56">
        <f>IF(G355="",E354,IF(G355&gt;0,E354+G355,E354))</f>
        <v/>
      </c>
      <c r="G355" s="56">
        <f>IFERROR(VLOOKUP($A355&amp;"="&amp;$B355,Results_Deltas!$A$2:$P$15000,5,FALSE),"")</f>
        <v/>
      </c>
      <c r="H355" s="56" t="inlineStr">
        <is>
          <t>Blanket (page end)</t>
        </is>
      </c>
    </row>
    <row r="356">
      <c r="A356" s="63" t="inlineStr">
        <is>
          <t>MTF_FILTER_STRONG_BUY_QUICK_BYPASS</t>
        </is>
      </c>
      <c r="B356" s="56" t="inlineStr">
        <is>
          <t>0.0</t>
        </is>
      </c>
      <c r="C356" s="56" t="n"/>
      <c r="D356" s="56" t="inlineStr">
        <is>
          <t>GLOBAL_CHECK, STOCKS_EXIT</t>
        </is>
      </c>
      <c r="E356" s="56">
        <f>IF(G356="",E355,IF(G356&gt;0,E355+G356,E355))</f>
        <v/>
      </c>
      <c r="G356" s="56">
        <f>IFERROR(VLOOKUP($A356&amp;"="&amp;$B356,Results_Deltas!$A$2:$P$15000,5,FALSE),"")</f>
        <v/>
      </c>
      <c r="H356" s="56" t="inlineStr">
        <is>
          <t>Blanket (page end)</t>
        </is>
      </c>
    </row>
    <row r="357">
      <c r="A357" s="63" t="inlineStr">
        <is>
          <t>MTF_FILTER_STRONG_BUY_QUICK_BYPASS</t>
        </is>
      </c>
      <c r="B357" s="56" t="inlineStr">
        <is>
          <t>0.0_ALT</t>
        </is>
      </c>
      <c r="C357" s="56" t="n"/>
      <c r="D357" s="56" t="inlineStr">
        <is>
          <t>GLOBAL_CHECK, STOCKS_EXIT</t>
        </is>
      </c>
      <c r="E357" s="56">
        <f>IF(G357="",E356,IF(G357&gt;0,E356+G357,E356))</f>
        <v/>
      </c>
      <c r="G357" s="56">
        <f>IFERROR(VLOOKUP($A357&amp;"="&amp;$B357,Results_Deltas!$A$2:$P$15000,5,FALSE),"")</f>
        <v/>
      </c>
      <c r="H357" s="56" t="inlineStr">
        <is>
          <t>Blanket (page end)</t>
        </is>
      </c>
    </row>
    <row r="358">
      <c r="A358" s="63" t="inlineStr">
        <is>
          <t>MTF_GR_MIN_IND</t>
        </is>
      </c>
      <c r="B358" s="56" t="inlineStr">
        <is>
          <t>5</t>
        </is>
      </c>
      <c r="C358" s="56" t="n"/>
      <c r="D358" s="56" t="inlineStr">
        <is>
          <t>GLOBAL_CHECK, STOCKS_EXIT</t>
        </is>
      </c>
      <c r="E358" s="56">
        <f>IF(G358="",E357,IF(G358&gt;0,E357+G358,E357))</f>
        <v/>
      </c>
      <c r="G358" s="56">
        <f>IFERROR(VLOOKUP($A358&amp;"="&amp;$B358,Results_Deltas!$A$2:$P$15000,5,FALSE),"")</f>
        <v/>
      </c>
      <c r="H358" s="56" t="inlineStr">
        <is>
          <t>Blanket (page end)</t>
        </is>
      </c>
    </row>
    <row r="359">
      <c r="A359" s="63" t="inlineStr">
        <is>
          <t>MTF_GR_MIN_IND</t>
        </is>
      </c>
      <c r="B359" s="56" t="inlineStr">
        <is>
          <t>5_ALT</t>
        </is>
      </c>
      <c r="C359" s="56" t="n"/>
      <c r="D359" s="56" t="inlineStr">
        <is>
          <t>GLOBAL_CHECK, STOCKS_EXIT</t>
        </is>
      </c>
      <c r="E359" s="56">
        <f>IF(G359="",E358,IF(G359&gt;0,E358+G359,E358))</f>
        <v/>
      </c>
      <c r="G359" s="56">
        <f>IFERROR(VLOOKUP($A359&amp;"="&amp;$B359,Results_Deltas!$A$2:$P$15000,5,FALSE),"")</f>
        <v/>
      </c>
      <c r="H359" s="56" t="inlineStr">
        <is>
          <t>Blanket (page end)</t>
        </is>
      </c>
    </row>
    <row r="360">
      <c r="A360" s="63" t="inlineStr">
        <is>
          <t>MTS_BOTTOM_BONUS_THRESHOLD</t>
        </is>
      </c>
      <c r="B360" s="56" t="inlineStr">
        <is>
          <t>25</t>
        </is>
      </c>
      <c r="C360" s="56" t="n"/>
      <c r="D360" s="56" t="inlineStr">
        <is>
          <t>ENTRY, GLOBAL_CHECK, STOCKS_EXIT</t>
        </is>
      </c>
      <c r="E360" s="56">
        <f>IF(G360="",E359,IF(G360&gt;0,E359+G360,E359))</f>
        <v/>
      </c>
      <c r="G360" s="56">
        <f>IFERROR(VLOOKUP($A360&amp;"="&amp;$B360,Results_Deltas!$A$2:$P$15000,5,FALSE),"")</f>
        <v/>
      </c>
      <c r="H360" s="56" t="inlineStr">
        <is>
          <t>Blanket (page end)</t>
        </is>
      </c>
    </row>
    <row r="361">
      <c r="A361" s="63" t="inlineStr">
        <is>
          <t>MTS_BOTTOM_BONUS_THRESHOLD</t>
        </is>
      </c>
      <c r="B361" s="56" t="inlineStr">
        <is>
          <t>31.25</t>
        </is>
      </c>
      <c r="C361" s="56" t="n"/>
      <c r="D361" s="56" t="inlineStr">
        <is>
          <t>ENTRY, GLOBAL_CHECK, STOCKS_EXIT</t>
        </is>
      </c>
      <c r="E361" s="56">
        <f>IF(G361="",E360,IF(G361&gt;0,E360+G361,E360))</f>
        <v/>
      </c>
      <c r="G361" s="56">
        <f>IFERROR(VLOOKUP($A361&amp;"="&amp;$B361,Results_Deltas!$A$2:$P$15000,5,FALSE),"")</f>
        <v/>
      </c>
      <c r="H361" s="56" t="inlineStr">
        <is>
          <t>Blanket (page end)</t>
        </is>
      </c>
    </row>
    <row r="362">
      <c r="A362" s="63" t="inlineStr">
        <is>
          <t>MTS_BOTTOM_BONUS_THRESHOLD</t>
        </is>
      </c>
      <c r="B362" s="56" t="inlineStr">
        <is>
          <t>18.75</t>
        </is>
      </c>
      <c r="C362" s="56" t="n"/>
      <c r="D362" s="56" t="inlineStr">
        <is>
          <t>ENTRY, GLOBAL_CHECK, STOCKS_EXIT</t>
        </is>
      </c>
      <c r="E362" s="56">
        <f>IF(G362="",E361,IF(G362&gt;0,E361+G362,E361))</f>
        <v/>
      </c>
      <c r="G362" s="56">
        <f>IFERROR(VLOOKUP($A362&amp;"="&amp;$B362,Results_Deltas!$A$2:$P$15000,5,FALSE),"")</f>
        <v/>
      </c>
      <c r="H362" s="56" t="inlineStr">
        <is>
          <t>Blanket (page end)</t>
        </is>
      </c>
    </row>
    <row r="363">
      <c r="A363" s="63" t="inlineStr">
        <is>
          <t>MTS_BOTTOM_BONUS_THRESHOLD</t>
        </is>
      </c>
      <c r="B363" s="56" t="inlineStr">
        <is>
          <t>12.5</t>
        </is>
      </c>
      <c r="C363" s="56" t="n"/>
      <c r="D363" s="56" t="inlineStr">
        <is>
          <t>ENTRY, GLOBAL_CHECK, STOCKS_EXIT</t>
        </is>
      </c>
      <c r="E363" s="56">
        <f>IF(G363="",E362,IF(G363&gt;0,E362+G363,E362))</f>
        <v/>
      </c>
      <c r="G363" s="56">
        <f>IFERROR(VLOOKUP($A363&amp;"="&amp;$B363,Results_Deltas!$A$2:$P$15000,5,FALSE),"")</f>
        <v/>
      </c>
      <c r="H363" s="56" t="inlineStr">
        <is>
          <t>Blanket (page end)</t>
        </is>
      </c>
    </row>
    <row r="364">
      <c r="A364" s="63" t="inlineStr">
        <is>
          <t>MTS_BOTTOM_STRONG_THRESHOLD</t>
        </is>
      </c>
      <c r="B364" s="56" t="inlineStr">
        <is>
          <t>40</t>
        </is>
      </c>
      <c r="C364" s="56" t="n"/>
      <c r="D364" s="56" t="inlineStr">
        <is>
          <t>ENTRY, GLOBAL_CHECK, STOCKS_EXIT</t>
        </is>
      </c>
      <c r="E364" s="56">
        <f>IF(G364="",E363,IF(G364&gt;0,E363+G364,E363))</f>
        <v/>
      </c>
      <c r="G364" s="56">
        <f>IFERROR(VLOOKUP($A364&amp;"="&amp;$B364,Results_Deltas!$A$2:$P$15000,5,FALSE),"")</f>
        <v/>
      </c>
      <c r="H364" s="56" t="inlineStr">
        <is>
          <t>Blanket (page end)</t>
        </is>
      </c>
    </row>
    <row r="365">
      <c r="A365" s="63" t="inlineStr">
        <is>
          <t>MTS_BOTTOM_STRONG_THRESHOLD</t>
        </is>
      </c>
      <c r="B365" s="56" t="inlineStr">
        <is>
          <t>50</t>
        </is>
      </c>
      <c r="C365" s="56" t="n"/>
      <c r="D365" s="56" t="inlineStr">
        <is>
          <t>ENTRY, GLOBAL_CHECK, STOCKS_EXIT</t>
        </is>
      </c>
      <c r="E365" s="56">
        <f>IF(G365="",E364,IF(G365&gt;0,E364+G365,E364))</f>
        <v/>
      </c>
      <c r="G365" s="56">
        <f>IFERROR(VLOOKUP($A365&amp;"="&amp;$B365,Results_Deltas!$A$2:$P$15000,5,FALSE),"")</f>
        <v/>
      </c>
      <c r="H365" s="56" t="inlineStr">
        <is>
          <t>Blanket (page end)</t>
        </is>
      </c>
    </row>
    <row r="366">
      <c r="A366" s="63" t="inlineStr">
        <is>
          <t>MTS_BOTTOM_STRONG_THRESHOLD</t>
        </is>
      </c>
      <c r="B366" s="56" t="inlineStr">
        <is>
          <t>30</t>
        </is>
      </c>
      <c r="C366" s="56" t="n"/>
      <c r="D366" s="56" t="inlineStr">
        <is>
          <t>ENTRY, GLOBAL_CHECK, STOCKS_EXIT</t>
        </is>
      </c>
      <c r="E366" s="56">
        <f>IF(G366="",E365,IF(G366&gt;0,E365+G366,E365))</f>
        <v/>
      </c>
      <c r="G366" s="56">
        <f>IFERROR(VLOOKUP($A366&amp;"="&amp;$B366,Results_Deltas!$A$2:$P$15000,5,FALSE),"")</f>
        <v/>
      </c>
      <c r="H366" s="56" t="inlineStr">
        <is>
          <t>Blanket (page end)</t>
        </is>
      </c>
    </row>
    <row r="367">
      <c r="A367" s="63" t="inlineStr">
        <is>
          <t>MTS_BOTTOM_STRONG_THRESHOLD</t>
        </is>
      </c>
      <c r="B367" s="56" t="inlineStr">
        <is>
          <t>20</t>
        </is>
      </c>
      <c r="C367" s="56" t="n"/>
      <c r="D367" s="56" t="inlineStr">
        <is>
          <t>ENTRY, GLOBAL_CHECK, STOCKS_EXIT</t>
        </is>
      </c>
      <c r="E367" s="56">
        <f>IF(G367="",E366,IF(G367&gt;0,E366+G367,E366))</f>
        <v/>
      </c>
      <c r="G367" s="56">
        <f>IFERROR(VLOOKUP($A367&amp;"="&amp;$B367,Results_Deltas!$A$2:$P$15000,5,FALSE),"")</f>
        <v/>
      </c>
      <c r="H367" s="56" t="inlineStr">
        <is>
          <t>Blanket (page end)</t>
        </is>
      </c>
    </row>
    <row r="368">
      <c r="A368" s="63" t="inlineStr">
        <is>
          <t>MTS_GATE_ENABLED</t>
        </is>
      </c>
      <c r="B368" s="56" t="inlineStr">
        <is>
          <t>False</t>
        </is>
      </c>
      <c r="C368" s="56" t="n"/>
      <c r="D368" s="56" t="inlineStr">
        <is>
          <t>ENTRY, GLOBAL_CHECK, STOCKS_EXIT</t>
        </is>
      </c>
      <c r="E368" s="56">
        <f>IF(G368="",E367,IF(G368&gt;0,E367+G368,E367))</f>
        <v/>
      </c>
      <c r="G368" s="56">
        <f>IFERROR(VLOOKUP($A368&amp;"="&amp;$B368,Results_Deltas!$A$2:$P$15000,5,FALSE),"")</f>
        <v/>
      </c>
      <c r="H368" s="56" t="inlineStr">
        <is>
          <t>Blanket (page end)</t>
        </is>
      </c>
    </row>
    <row r="369">
      <c r="A369" s="63" t="inlineStr">
        <is>
          <t>MTS_GATE_ENABLED</t>
        </is>
      </c>
      <c r="B369" s="56" t="inlineStr">
        <is>
          <t>True</t>
        </is>
      </c>
      <c r="C369" s="56" t="n"/>
      <c r="D369" s="56" t="inlineStr">
        <is>
          <t>ENTRY, GLOBAL_CHECK, STOCKS_EXIT</t>
        </is>
      </c>
      <c r="E369" s="56">
        <f>IF(G369="",E368,IF(G369&gt;0,E368+G369,E368))</f>
        <v/>
      </c>
      <c r="G369" s="56">
        <f>IFERROR(VLOOKUP($A369&amp;"="&amp;$B369,Results_Deltas!$A$2:$P$15000,5,FALSE),"")</f>
        <v/>
      </c>
      <c r="H369" s="56" t="inlineStr">
        <is>
          <t>Blanket (page end)</t>
        </is>
      </c>
    </row>
    <row r="370">
      <c r="A370" s="63" t="inlineStr">
        <is>
          <t>NEWBORN_LOSS_KILL_GAIN_THRESHOLD_PCT</t>
        </is>
      </c>
      <c r="B370" s="56" t="inlineStr">
        <is>
          <t>0</t>
        </is>
      </c>
      <c r="C370" s="56" t="n"/>
      <c r="D370" s="56" t="inlineStr">
        <is>
          <t>AUGMENT, EXIT, GLOBAL_CHECK, REDUCE, STOCKS_EXIT</t>
        </is>
      </c>
      <c r="E370" s="56">
        <f>IF(G370="",E369,IF(G370&gt;0,E369+G370,E369))</f>
        <v/>
      </c>
      <c r="G370" s="56">
        <f>IFERROR(VLOOKUP($A370&amp;"="&amp;$B370,Results_Deltas!$A$2:$P$15000,5,FALSE),"")</f>
        <v/>
      </c>
      <c r="H370" s="56" t="inlineStr">
        <is>
          <t>Blanket (page end)</t>
        </is>
      </c>
    </row>
    <row r="371">
      <c r="A371" s="63" t="inlineStr">
        <is>
          <t>NEWBORN_LOSS_KILL_GAIN_THRESHOLD_PCT</t>
        </is>
      </c>
      <c r="B371" s="56" t="inlineStr">
        <is>
          <t>2.0</t>
        </is>
      </c>
      <c r="C371" s="56" t="n"/>
      <c r="D371" s="56" t="inlineStr">
        <is>
          <t>AUGMENT, EXIT, GLOBAL_CHECK, REDUCE, STOCKS_EXIT</t>
        </is>
      </c>
      <c r="E371" s="56">
        <f>IF(G371="",E370,IF(G371&gt;0,E370+G371,E370))</f>
        <v/>
      </c>
      <c r="G371" s="56">
        <f>IFERROR(VLOOKUP($A371&amp;"="&amp;$B371,Results_Deltas!$A$2:$P$15000,5,FALSE),"")</f>
        <v/>
      </c>
      <c r="H371" s="56" t="inlineStr">
        <is>
          <t>Blanket (page end)</t>
        </is>
      </c>
    </row>
    <row r="372">
      <c r="A372" s="63" t="inlineStr">
        <is>
          <t>NEWBORN_LOSS_KILL_GAIN_THRESHOLD_PCT</t>
        </is>
      </c>
      <c r="B372" s="56" t="inlineStr">
        <is>
          <t>1.0</t>
        </is>
      </c>
      <c r="C372" s="56" t="n"/>
      <c r="D372" s="56" t="inlineStr">
        <is>
          <t>AUGMENT, EXIT, GLOBAL_CHECK, REDUCE, STOCKS_EXIT</t>
        </is>
      </c>
      <c r="E372" s="56">
        <f>IF(G372="",E371,IF(G372&gt;0,E371+G372,E371))</f>
        <v/>
      </c>
      <c r="G372" s="56">
        <f>IFERROR(VLOOKUP($A372&amp;"="&amp;$B372,Results_Deltas!$A$2:$P$15000,5,FALSE),"")</f>
        <v/>
      </c>
      <c r="H372" s="56" t="inlineStr">
        <is>
          <t>Blanket (page end)</t>
        </is>
      </c>
    </row>
    <row r="373">
      <c r="A373" s="63" t="inlineStr">
        <is>
          <t>NEWBORN_LOSS_KILL_GAIN_THRESHOLD_PCT</t>
        </is>
      </c>
      <c r="B373" s="56" t="inlineStr">
        <is>
          <t>0.5</t>
        </is>
      </c>
      <c r="C373" s="56" t="n"/>
      <c r="D373" s="56" t="inlineStr">
        <is>
          <t>AUGMENT, EXIT, GLOBAL_CHECK, REDUCE, STOCKS_EXIT</t>
        </is>
      </c>
      <c r="E373" s="56">
        <f>IF(G373="",E372,IF(G373&gt;0,E372+G373,E372))</f>
        <v/>
      </c>
      <c r="G373" s="56">
        <f>IFERROR(VLOOKUP($A373&amp;"="&amp;$B373,Results_Deltas!$A$2:$P$15000,5,FALSE),"")</f>
        <v/>
      </c>
      <c r="H373" s="56" t="inlineStr">
        <is>
          <t>Blanket (page end)</t>
        </is>
      </c>
    </row>
    <row r="374">
      <c r="A374" s="63" t="inlineStr">
        <is>
          <t>NEWBORN_LOSS_KILL_REQUIRE_VEL_AGAINST</t>
        </is>
      </c>
      <c r="B374" s="56" t="inlineStr">
        <is>
          <t>0.0</t>
        </is>
      </c>
      <c r="C374" s="56" t="n"/>
      <c r="D374" s="56" t="inlineStr">
        <is>
          <t>AUGMENT, EXIT, GLOBAL_CHECK, REDUCE, STOCKS_EXIT</t>
        </is>
      </c>
      <c r="E374" s="56">
        <f>IF(G374="",E373,IF(G374&gt;0,E373+G374,E373))</f>
        <v/>
      </c>
      <c r="G374" s="56">
        <f>IFERROR(VLOOKUP($A374&amp;"="&amp;$B374,Results_Deltas!$A$2:$P$15000,5,FALSE),"")</f>
        <v/>
      </c>
      <c r="H374" s="56" t="inlineStr">
        <is>
          <t>Blanket (page end)</t>
        </is>
      </c>
    </row>
    <row r="375">
      <c r="A375" s="63" t="inlineStr">
        <is>
          <t>NEWBORN_LOSS_KILL_REQUIRE_VEL_AGAINST</t>
        </is>
      </c>
      <c r="B375" s="56" t="inlineStr">
        <is>
          <t>0.0_ALT</t>
        </is>
      </c>
      <c r="C375" s="56" t="n"/>
      <c r="D375" s="56" t="inlineStr">
        <is>
          <t>AUGMENT, EXIT, GLOBAL_CHECK, REDUCE, STOCKS_EXIT</t>
        </is>
      </c>
      <c r="E375" s="56">
        <f>IF(G375="",E374,IF(G375&gt;0,E374+G375,E374))</f>
        <v/>
      </c>
      <c r="G375" s="56">
        <f>IFERROR(VLOOKUP($A375&amp;"="&amp;$B375,Results_Deltas!$A$2:$P$15000,5,FALSE),"")</f>
        <v/>
      </c>
      <c r="H375" s="56" t="inlineStr">
        <is>
          <t>Blanket (page end)</t>
        </is>
      </c>
    </row>
    <row r="376">
      <c r="A376" s="63" t="inlineStr">
        <is>
          <t>NEW_POSITION_MAX_LOSS_THRESHOLD</t>
        </is>
      </c>
      <c r="B376" s="56" t="inlineStr">
        <is>
          <t>0</t>
        </is>
      </c>
      <c r="C376" s="56" t="n"/>
      <c r="D376" s="56" t="inlineStr">
        <is>
          <t>AUGMENT, EXIT, GLOBAL_CHECK, REDUCE, STOCKS_EXIT</t>
        </is>
      </c>
      <c r="E376" s="56">
        <f>IF(G376="",E375,IF(G376&gt;0,E375+G376,E375))</f>
        <v/>
      </c>
      <c r="G376" s="56">
        <f>IFERROR(VLOOKUP($A376&amp;"="&amp;$B376,Results_Deltas!$A$2:$P$15000,5,FALSE),"")</f>
        <v/>
      </c>
      <c r="H376" s="56" t="inlineStr">
        <is>
          <t>Blanket (page end)</t>
        </is>
      </c>
    </row>
    <row r="377">
      <c r="A377" s="63" t="inlineStr">
        <is>
          <t>NEW_POSITION_MAX_LOSS_THRESHOLD</t>
        </is>
      </c>
      <c r="B377" s="56" t="inlineStr">
        <is>
          <t>2.0</t>
        </is>
      </c>
      <c r="C377" s="56" t="n"/>
      <c r="D377" s="56" t="inlineStr">
        <is>
          <t>AUGMENT, EXIT, GLOBAL_CHECK, REDUCE, STOCKS_EXIT</t>
        </is>
      </c>
      <c r="E377" s="56">
        <f>IF(G377="",E376,IF(G377&gt;0,E376+G377,E376))</f>
        <v/>
      </c>
      <c r="G377" s="56">
        <f>IFERROR(VLOOKUP($A377&amp;"="&amp;$B377,Results_Deltas!$A$2:$P$15000,5,FALSE),"")</f>
        <v/>
      </c>
      <c r="H377" s="56" t="inlineStr">
        <is>
          <t>Blanket (page end)</t>
        </is>
      </c>
    </row>
    <row r="378">
      <c r="A378" s="63" t="inlineStr">
        <is>
          <t>NEW_POSITION_MAX_LOSS_THRESHOLD</t>
        </is>
      </c>
      <c r="B378" s="56" t="inlineStr">
        <is>
          <t>1.0</t>
        </is>
      </c>
      <c r="C378" s="56" t="n"/>
      <c r="D378" s="56" t="inlineStr">
        <is>
          <t>AUGMENT, EXIT, GLOBAL_CHECK, REDUCE, STOCKS_EXIT</t>
        </is>
      </c>
      <c r="E378" s="56">
        <f>IF(G378="",E377,IF(G378&gt;0,E377+G378,E377))</f>
        <v/>
      </c>
      <c r="G378" s="56">
        <f>IFERROR(VLOOKUP($A378&amp;"="&amp;$B378,Results_Deltas!$A$2:$P$15000,5,FALSE),"")</f>
        <v/>
      </c>
      <c r="H378" s="56" t="inlineStr">
        <is>
          <t>Blanket (page end)</t>
        </is>
      </c>
    </row>
    <row r="379">
      <c r="A379" s="63" t="inlineStr">
        <is>
          <t>NEW_POSITION_MAX_LOSS_THRESHOLD</t>
        </is>
      </c>
      <c r="B379" s="56" t="inlineStr">
        <is>
          <t>0.5</t>
        </is>
      </c>
      <c r="C379" s="56" t="n"/>
      <c r="D379" s="56" t="inlineStr">
        <is>
          <t>AUGMENT, EXIT, GLOBAL_CHECK, REDUCE, STOCKS_EXIT</t>
        </is>
      </c>
      <c r="E379" s="56">
        <f>IF(G379="",E378,IF(G379&gt;0,E378+G379,E378))</f>
        <v/>
      </c>
      <c r="G379" s="56">
        <f>IFERROR(VLOOKUP($A379&amp;"="&amp;$B379,Results_Deltas!$A$2:$P$15000,5,FALSE),"")</f>
        <v/>
      </c>
      <c r="H379" s="56" t="inlineStr">
        <is>
          <t>Blanket (page end)</t>
        </is>
      </c>
    </row>
    <row r="380">
      <c r="A380" s="63" t="inlineStr">
        <is>
          <t>OI_CONFIRM_ENABLED</t>
        </is>
      </c>
      <c r="B380" s="56" t="inlineStr">
        <is>
          <t>False</t>
        </is>
      </c>
      <c r="C380" s="56" t="n"/>
      <c r="D380" s="56" t="inlineStr">
        <is>
          <t>ENTRY, GLOBAL_CHECK, STOCKS_EXIT</t>
        </is>
      </c>
      <c r="E380" s="56">
        <f>IF(G380="",E379,IF(G380&gt;0,E379+G380,E379))</f>
        <v/>
      </c>
      <c r="G380" s="56">
        <f>IFERROR(VLOOKUP($A380&amp;"="&amp;$B380,Results_Deltas!$A$2:$P$15000,5,FALSE),"")</f>
        <v/>
      </c>
      <c r="H380" s="56" t="inlineStr">
        <is>
          <t>Blanket (page end)</t>
        </is>
      </c>
    </row>
    <row r="381">
      <c r="A381" s="63" t="inlineStr">
        <is>
          <t>OI_CONFIRM_ENABLED</t>
        </is>
      </c>
      <c r="B381" s="56" t="inlineStr">
        <is>
          <t>True</t>
        </is>
      </c>
      <c r="C381" s="56" t="n"/>
      <c r="D381" s="56" t="inlineStr">
        <is>
          <t>ENTRY, GLOBAL_CHECK, STOCKS_EXIT</t>
        </is>
      </c>
      <c r="E381" s="56">
        <f>IF(G381="",E380,IF(G381&gt;0,E380+G381,E380))</f>
        <v/>
      </c>
      <c r="G381" s="56">
        <f>IFERROR(VLOOKUP($A381&amp;"="&amp;$B381,Results_Deltas!$A$2:$P$15000,5,FALSE),"")</f>
        <v/>
      </c>
      <c r="H381" s="56" t="inlineStr">
        <is>
          <t>Blanket (page end)</t>
        </is>
      </c>
    </row>
    <row r="382">
      <c r="A382" s="63" t="inlineStr">
        <is>
          <t>OI_CONFIRM_MIN_CHANGE_PCT</t>
        </is>
      </c>
      <c r="B382" s="56" t="inlineStr">
        <is>
          <t>0</t>
        </is>
      </c>
      <c r="C382" s="56" t="n"/>
      <c r="D382" s="56" t="inlineStr">
        <is>
          <t>ENTRY, GLOBAL_CHECK, STOCKS_EXIT</t>
        </is>
      </c>
      <c r="E382" s="56">
        <f>IF(G382="",E381,IF(G382&gt;0,E381+G382,E381))</f>
        <v/>
      </c>
      <c r="G382" s="56">
        <f>IFERROR(VLOOKUP($A382&amp;"="&amp;$B382,Results_Deltas!$A$2:$P$15000,5,FALSE),"")</f>
        <v/>
      </c>
      <c r="H382" s="56" t="inlineStr">
        <is>
          <t>Blanket (page end)</t>
        </is>
      </c>
    </row>
    <row r="383">
      <c r="A383" s="63" t="inlineStr">
        <is>
          <t>OI_CONFIRM_MIN_CHANGE_PCT</t>
        </is>
      </c>
      <c r="B383" s="56" t="inlineStr">
        <is>
          <t>2.0</t>
        </is>
      </c>
      <c r="C383" s="56" t="n"/>
      <c r="D383" s="56" t="inlineStr">
        <is>
          <t>ENTRY, GLOBAL_CHECK, STOCKS_EXIT</t>
        </is>
      </c>
      <c r="E383" s="56">
        <f>IF(G383="",E382,IF(G383&gt;0,E382+G383,E382))</f>
        <v/>
      </c>
      <c r="G383" s="56">
        <f>IFERROR(VLOOKUP($A383&amp;"="&amp;$B383,Results_Deltas!$A$2:$P$15000,5,FALSE),"")</f>
        <v/>
      </c>
      <c r="H383" s="56" t="inlineStr">
        <is>
          <t>Blanket (page end)</t>
        </is>
      </c>
    </row>
    <row r="384">
      <c r="A384" s="63" t="inlineStr">
        <is>
          <t>OI_CONFIRM_MIN_CHANGE_PCT</t>
        </is>
      </c>
      <c r="B384" s="56" t="inlineStr">
        <is>
          <t>1.0</t>
        </is>
      </c>
      <c r="C384" s="56" t="n"/>
      <c r="D384" s="56" t="inlineStr">
        <is>
          <t>ENTRY, GLOBAL_CHECK, STOCKS_EXIT</t>
        </is>
      </c>
      <c r="E384" s="56">
        <f>IF(G384="",E383,IF(G384&gt;0,E383+G384,E383))</f>
        <v/>
      </c>
      <c r="G384" s="56">
        <f>IFERROR(VLOOKUP($A384&amp;"="&amp;$B384,Results_Deltas!$A$2:$P$15000,5,FALSE),"")</f>
        <v/>
      </c>
      <c r="H384" s="56" t="inlineStr">
        <is>
          <t>Blanket (page end)</t>
        </is>
      </c>
    </row>
    <row r="385">
      <c r="A385" s="63" t="inlineStr">
        <is>
          <t>OI_CONFIRM_MIN_CHANGE_PCT</t>
        </is>
      </c>
      <c r="B385" s="56" t="inlineStr">
        <is>
          <t>0.5</t>
        </is>
      </c>
      <c r="C385" s="56" t="n"/>
      <c r="D385" s="56" t="inlineStr">
        <is>
          <t>ENTRY, GLOBAL_CHECK, STOCKS_EXIT</t>
        </is>
      </c>
      <c r="E385" s="56">
        <f>IF(G385="",E384,IF(G385&gt;0,E384+G385,E384))</f>
        <v/>
      </c>
      <c r="G385" s="56">
        <f>IFERROR(VLOOKUP($A385&amp;"="&amp;$B385,Results_Deltas!$A$2:$P$15000,5,FALSE),"")</f>
        <v/>
      </c>
      <c r="H385" s="56" t="inlineStr">
        <is>
          <t>Blanket (page end)</t>
        </is>
      </c>
    </row>
    <row r="386">
      <c r="A386" s="63" t="inlineStr">
        <is>
          <t>OI_CONFIRM_MIN_PRICE_PCT</t>
        </is>
      </c>
      <c r="B386" s="56" t="inlineStr">
        <is>
          <t>0</t>
        </is>
      </c>
      <c r="C386" s="56" t="n"/>
      <c r="D386" s="56" t="inlineStr">
        <is>
          <t>ENTRY, GLOBAL_CHECK, STOCKS_EXIT</t>
        </is>
      </c>
      <c r="E386" s="56">
        <f>IF(G386="",E385,IF(G386&gt;0,E385+G386,E385))</f>
        <v/>
      </c>
      <c r="G386" s="56">
        <f>IFERROR(VLOOKUP($A386&amp;"="&amp;$B386,Results_Deltas!$A$2:$P$15000,5,FALSE),"")</f>
        <v/>
      </c>
      <c r="H386" s="56" t="inlineStr">
        <is>
          <t>Blanket (page end)</t>
        </is>
      </c>
    </row>
    <row r="387">
      <c r="A387" s="63" t="inlineStr">
        <is>
          <t>OI_CONFIRM_MIN_PRICE_PCT</t>
        </is>
      </c>
      <c r="B387" s="56" t="inlineStr">
        <is>
          <t>2.0</t>
        </is>
      </c>
      <c r="C387" s="56" t="n"/>
      <c r="D387" s="56" t="inlineStr">
        <is>
          <t>ENTRY, GLOBAL_CHECK, STOCKS_EXIT</t>
        </is>
      </c>
      <c r="E387" s="56">
        <f>IF(G387="",E386,IF(G387&gt;0,E386+G387,E386))</f>
        <v/>
      </c>
      <c r="G387" s="56">
        <f>IFERROR(VLOOKUP($A387&amp;"="&amp;$B387,Results_Deltas!$A$2:$P$15000,5,FALSE),"")</f>
        <v/>
      </c>
      <c r="H387" s="56" t="inlineStr">
        <is>
          <t>Blanket (page end)</t>
        </is>
      </c>
    </row>
    <row r="388">
      <c r="A388" s="63" t="inlineStr">
        <is>
          <t>OI_CONFIRM_MIN_PRICE_PCT</t>
        </is>
      </c>
      <c r="B388" s="56" t="inlineStr">
        <is>
          <t>1.0</t>
        </is>
      </c>
      <c r="C388" s="56" t="n"/>
      <c r="D388" s="56" t="inlineStr">
        <is>
          <t>ENTRY, GLOBAL_CHECK, STOCKS_EXIT</t>
        </is>
      </c>
      <c r="E388" s="56">
        <f>IF(G388="",E387,IF(G388&gt;0,E387+G388,E387))</f>
        <v/>
      </c>
      <c r="G388" s="56">
        <f>IFERROR(VLOOKUP($A388&amp;"="&amp;$B388,Results_Deltas!$A$2:$P$15000,5,FALSE),"")</f>
        <v/>
      </c>
      <c r="H388" s="56" t="inlineStr">
        <is>
          <t>Blanket (page end)</t>
        </is>
      </c>
    </row>
    <row r="389">
      <c r="A389" s="63" t="inlineStr">
        <is>
          <t>OI_CONFIRM_MIN_PRICE_PCT</t>
        </is>
      </c>
      <c r="B389" s="56" t="inlineStr">
        <is>
          <t>0.5</t>
        </is>
      </c>
      <c r="C389" s="56" t="n"/>
      <c r="D389" s="56" t="inlineStr">
        <is>
          <t>ENTRY, GLOBAL_CHECK, STOCKS_EXIT</t>
        </is>
      </c>
      <c r="E389" s="56">
        <f>IF(G389="",E388,IF(G389&gt;0,E388+G389,E388))</f>
        <v/>
      </c>
      <c r="G389" s="56">
        <f>IFERROR(VLOOKUP($A389&amp;"="&amp;$B389,Results_Deltas!$A$2:$P$15000,5,FALSE),"")</f>
        <v/>
      </c>
      <c r="H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M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GR_FILTER_ALL_ENTRIES</t>
        </is>
      </c>
      <c r="B3" s="7" t="inlineStr">
        <is>
          <t>0.0</t>
        </is>
      </c>
      <c r="E3">
        <f>MAX('ENTRY_BREAKOUT_CHANNEL'!E:E)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55" t="n"/>
      <c r="X3" s="55" t="n"/>
      <c r="Y3" s="55" t="n"/>
      <c r="Z3" s="55" t="n"/>
      <c r="AA3" s="55"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55" t="n"/>
      <c r="CF3" s="55" t="n"/>
      <c r="CG3" s="55" t="n"/>
      <c r="CH3" s="55" t="n"/>
      <c r="CI3" s="55" t="n"/>
      <c r="CJ3" s="55" t="n"/>
      <c r="CK3" s="55" t="n"/>
      <c r="CL3" s="55" t="n"/>
      <c r="CM3" s="55" t="n"/>
      <c r="CN3" s="55"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55" t="n"/>
      <c r="ES3" s="55" t="n"/>
      <c r="ET3" s="55" t="n"/>
      <c r="EU3" s="55" t="n"/>
      <c r="EV3" s="55" t="n"/>
      <c r="EW3" s="8" t="n"/>
      <c r="EX3" s="8" t="n"/>
      <c r="EY3" s="8" t="n"/>
      <c r="EZ3" s="8" t="n"/>
      <c r="FA3" s="8" t="n"/>
      <c r="FB3" s="8" t="n"/>
      <c r="FC3" s="8" t="n"/>
      <c r="FD3" s="8" t="n"/>
      <c r="FE3" s="8" t="n"/>
      <c r="FF3" s="8" t="n"/>
      <c r="FG3" s="55" t="n"/>
      <c r="FH3" s="55"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55" t="n"/>
      <c r="GF3" s="55" t="n"/>
      <c r="GG3" s="55" t="n"/>
      <c r="GH3" s="55" t="n"/>
      <c r="GI3" s="55"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ez_manage.py:4768 top()</t>
        </is>
      </c>
      <c r="IL3" s="9" t="inlineStr">
        <is>
          <t>v12_quick_engine.py:1912 x3</t>
        </is>
      </c>
    </row>
    <row r="4" ht="11" customHeight="1">
      <c r="A4" s="10" t="inlineStr">
        <is>
          <t>GR_FILTER_ALL_ENTRIES</t>
        </is>
      </c>
      <c r="B4" s="11" t="inlineStr">
        <is>
          <t>0.0_ALT</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55" t="n"/>
      <c r="X4" s="55" t="n"/>
      <c r="Y4" s="55" t="n"/>
      <c r="Z4" s="55" t="n"/>
      <c r="AA4" s="55"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55" t="n"/>
      <c r="CF4" s="55" t="n"/>
      <c r="CG4" s="55" t="n"/>
      <c r="CH4" s="55" t="n"/>
      <c r="CI4" s="55" t="n"/>
      <c r="CJ4" s="55" t="n"/>
      <c r="CK4" s="55" t="n"/>
      <c r="CL4" s="55" t="n"/>
      <c r="CM4" s="55" t="n"/>
      <c r="CN4" s="55"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55" t="n"/>
      <c r="ES4" s="55" t="n"/>
      <c r="ET4" s="55" t="n"/>
      <c r="EU4" s="55" t="n"/>
      <c r="EV4" s="55" t="n"/>
      <c r="EW4" s="8" t="n"/>
      <c r="EX4" s="8" t="n"/>
      <c r="EY4" s="8" t="n"/>
      <c r="EZ4" s="8" t="n"/>
      <c r="FA4" s="8" t="n"/>
      <c r="FB4" s="8" t="n"/>
      <c r="FC4" s="8" t="n"/>
      <c r="FD4" s="8" t="n"/>
      <c r="FE4" s="8" t="n"/>
      <c r="FF4" s="8" t="n"/>
      <c r="FG4" s="55" t="n"/>
      <c r="FH4" s="55"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55" t="n"/>
      <c r="GF4" s="55" t="n"/>
      <c r="GG4" s="55" t="n"/>
      <c r="GH4" s="55" t="n"/>
      <c r="GI4" s="55"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ez_manage.py:4768 top()</t>
        </is>
      </c>
      <c r="IL4" s="9" t="inlineStr">
        <is>
          <t>v12_quick_engine.py:1912 x3</t>
        </is>
      </c>
    </row>
    <row r="5" ht="11" customHeight="1">
      <c r="A5" s="6" t="inlineStr">
        <is>
          <t>GR_FILTER_VEC_ENABLED</t>
        </is>
      </c>
      <c r="B5" s="7"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55" t="n"/>
      <c r="CF5" s="55" t="n"/>
      <c r="CG5" s="55" t="n"/>
      <c r="CH5" s="55" t="n"/>
      <c r="CI5" s="55" t="n"/>
      <c r="CJ5" s="55" t="n"/>
      <c r="CK5" s="55" t="n"/>
      <c r="CL5" s="55" t="n"/>
      <c r="CM5" s="55" t="n"/>
      <c r="CN5" s="55"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55" t="n"/>
      <c r="ES5" s="55" t="n"/>
      <c r="ET5" s="55" t="n"/>
      <c r="EU5" s="55" t="n"/>
      <c r="EV5" s="55" t="n"/>
      <c r="EW5" s="8" t="n"/>
      <c r="EX5" s="8" t="n"/>
      <c r="EY5" s="8" t="n"/>
      <c r="EZ5" s="8" t="n"/>
      <c r="FA5" s="8" t="n"/>
      <c r="FB5" s="8" t="n"/>
      <c r="FC5" s="8" t="n"/>
      <c r="FD5" s="8" t="n"/>
      <c r="FE5" s="8" t="n"/>
      <c r="FF5" s="8" t="n"/>
      <c r="FG5" s="55" t="n"/>
      <c r="FH5" s="55"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ez_manage.py:6003 top()</t>
        </is>
      </c>
      <c r="IL5" s="9" t="inlineStr">
        <is>
          <t>v12_quick_engine.py:4261 x2</t>
        </is>
      </c>
    </row>
    <row r="6" ht="11" customHeight="1">
      <c r="A6" s="10" t="inlineStr">
        <is>
          <t>GR_FILTER_VEC_ENABLED</t>
        </is>
      </c>
      <c r="B6" s="11"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55" t="n"/>
      <c r="CF6" s="55" t="n"/>
      <c r="CG6" s="55" t="n"/>
      <c r="CH6" s="55" t="n"/>
      <c r="CI6" s="55" t="n"/>
      <c r="CJ6" s="55" t="n"/>
      <c r="CK6" s="55" t="n"/>
      <c r="CL6" s="55" t="n"/>
      <c r="CM6" s="55" t="n"/>
      <c r="CN6" s="55"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55" t="n"/>
      <c r="ES6" s="55" t="n"/>
      <c r="ET6" s="55" t="n"/>
      <c r="EU6" s="55" t="n"/>
      <c r="EV6" s="55" t="n"/>
      <c r="EW6" s="8" t="n"/>
      <c r="EX6" s="8" t="n"/>
      <c r="EY6" s="8" t="n"/>
      <c r="EZ6" s="8" t="n"/>
      <c r="FA6" s="8" t="n"/>
      <c r="FB6" s="8" t="n"/>
      <c r="FC6" s="8" t="n"/>
      <c r="FD6" s="8" t="n"/>
      <c r="FE6" s="8" t="n"/>
      <c r="FF6" s="8" t="n"/>
      <c r="FG6" s="55" t="n"/>
      <c r="FH6" s="55"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55" t="n"/>
      <c r="HY6" s="55" t="n"/>
      <c r="HZ6" s="55" t="n"/>
      <c r="IA6" s="55" t="n"/>
      <c r="IB6" s="55" t="n"/>
      <c r="IC6" s="55" t="n"/>
      <c r="ID6" s="55" t="n"/>
      <c r="IE6" s="55" t="n"/>
      <c r="IF6" s="55" t="n"/>
      <c r="IG6" s="55" t="n"/>
      <c r="IH6" s="55" t="n"/>
      <c r="II6" s="55" t="n"/>
      <c r="IK6" s="9" t="inlineStr">
        <is>
          <t>ez_manage.py:6003 top()</t>
        </is>
      </c>
      <c r="IL6" s="9" t="inlineStr">
        <is>
          <t>v12_quick_engine.py:4261 x2</t>
        </is>
      </c>
    </row>
    <row r="7" ht="11" customHeight="1">
      <c r="A7" s="10" t="inlineStr">
        <is>
          <t>GR_FILTER_VEC_FILTER_TF</t>
        </is>
      </c>
      <c r="B7" s="11" t="inlineStr">
        <is>
          <t>OFF</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55" t="n"/>
      <c r="CF7" s="55" t="n"/>
      <c r="CG7" s="55" t="n"/>
      <c r="CH7" s="55" t="n"/>
      <c r="CI7" s="55" t="n"/>
      <c r="CJ7" s="55" t="n"/>
      <c r="CK7" s="55" t="n"/>
      <c r="CL7" s="55" t="n"/>
      <c r="CM7" s="55" t="n"/>
      <c r="CN7" s="55"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55" t="n"/>
      <c r="ES7" s="55" t="n"/>
      <c r="ET7" s="55" t="n"/>
      <c r="EU7" s="55" t="n"/>
      <c r="EV7" s="55" t="n"/>
      <c r="EW7" s="8" t="n"/>
      <c r="EX7" s="8" t="n"/>
      <c r="EY7" s="8" t="n"/>
      <c r="EZ7" s="8" t="n"/>
      <c r="FA7" s="8" t="n"/>
      <c r="FB7" s="8" t="n"/>
      <c r="FC7" s="8" t="n"/>
      <c r="FD7" s="8" t="n"/>
      <c r="FE7" s="8" t="n"/>
      <c r="FF7" s="8" t="n"/>
      <c r="FG7" s="55" t="n"/>
      <c r="FH7" s="55"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ez_manage.py:6004 top()</t>
        </is>
      </c>
      <c r="IL7" s="9" t="inlineStr">
        <is>
          <t>v12_quick_engine.py:112 x3</t>
        </is>
      </c>
    </row>
    <row r="8" ht="11" customHeight="1">
      <c r="A8" s="10" t="inlineStr">
        <is>
          <t>GR_FILTER_VEC_FILTER_TF</t>
        </is>
      </c>
      <c r="B8" s="11" t="inlineStr">
        <is>
          <t>D</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55" t="n"/>
      <c r="CF8" s="55" t="n"/>
      <c r="CG8" s="55" t="n"/>
      <c r="CH8" s="55" t="n"/>
      <c r="CI8" s="55" t="n"/>
      <c r="CJ8" s="55" t="n"/>
      <c r="CK8" s="55" t="n"/>
      <c r="CL8" s="55" t="n"/>
      <c r="CM8" s="55" t="n"/>
      <c r="CN8" s="55"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55" t="n"/>
      <c r="ES8" s="55" t="n"/>
      <c r="ET8" s="55" t="n"/>
      <c r="EU8" s="55" t="n"/>
      <c r="EV8" s="55" t="n"/>
      <c r="EW8" s="8" t="n"/>
      <c r="EX8" s="8" t="n"/>
      <c r="EY8" s="8" t="n"/>
      <c r="EZ8" s="8" t="n"/>
      <c r="FA8" s="8" t="n"/>
      <c r="FB8" s="8" t="n"/>
      <c r="FC8" s="8" t="n"/>
      <c r="FD8" s="8" t="n"/>
      <c r="FE8" s="8" t="n"/>
      <c r="FF8" s="8" t="n"/>
      <c r="FG8" s="55" t="n"/>
      <c r="FH8" s="55"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ez_manage.py:6004 top()</t>
        </is>
      </c>
      <c r="IL8" s="9" t="inlineStr">
        <is>
          <t>v12_quick_engine.py:112 x3</t>
        </is>
      </c>
    </row>
    <row r="9" ht="11" customHeight="1">
      <c r="A9" s="10" t="inlineStr">
        <is>
          <t>GR_FILTER_VEC_FILTER_TF</t>
        </is>
      </c>
      <c r="B9" s="11" t="inlineStr">
        <is>
          <t>4h</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55" t="n"/>
      <c r="CF9" s="55" t="n"/>
      <c r="CG9" s="55" t="n"/>
      <c r="CH9" s="55" t="n"/>
      <c r="CI9" s="55" t="n"/>
      <c r="CJ9" s="55" t="n"/>
      <c r="CK9" s="55" t="n"/>
      <c r="CL9" s="55" t="n"/>
      <c r="CM9" s="55" t="n"/>
      <c r="CN9" s="55"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55" t="n"/>
      <c r="ES9" s="55" t="n"/>
      <c r="ET9" s="55" t="n"/>
      <c r="EU9" s="55" t="n"/>
      <c r="EV9" s="55" t="n"/>
      <c r="EW9" s="8" t="n"/>
      <c r="EX9" s="8" t="n"/>
      <c r="EY9" s="8" t="n"/>
      <c r="EZ9" s="8" t="n"/>
      <c r="FA9" s="8" t="n"/>
      <c r="FB9" s="8" t="n"/>
      <c r="FC9" s="8" t="n"/>
      <c r="FD9" s="8" t="n"/>
      <c r="FE9" s="8" t="n"/>
      <c r="FF9" s="8" t="n"/>
      <c r="FG9" s="55" t="n"/>
      <c r="FH9" s="55"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ez_manage.py:6004 top()</t>
        </is>
      </c>
      <c r="IL9" s="9" t="inlineStr">
        <is>
          <t>v12_quick_engine.py:112 x3</t>
        </is>
      </c>
    </row>
    <row r="10" ht="11" customHeight="1">
      <c r="A10" s="10" t="inlineStr">
        <is>
          <t>GR_FILTER_VEC_FILTER_TF</t>
        </is>
      </c>
      <c r="B10" s="11" t="inlineStr">
        <is>
          <t>1h</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55" t="n"/>
      <c r="CF10" s="55" t="n"/>
      <c r="CG10" s="55" t="n"/>
      <c r="CH10" s="55" t="n"/>
      <c r="CI10" s="55" t="n"/>
      <c r="CJ10" s="55" t="n"/>
      <c r="CK10" s="55" t="n"/>
      <c r="CL10" s="55" t="n"/>
      <c r="CM10" s="55" t="n"/>
      <c r="CN10" s="55"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55" t="n"/>
      <c r="ES10" s="55" t="n"/>
      <c r="ET10" s="55" t="n"/>
      <c r="EU10" s="55" t="n"/>
      <c r="EV10" s="55" t="n"/>
      <c r="EW10" s="8" t="n"/>
      <c r="EX10" s="8" t="n"/>
      <c r="EY10" s="8" t="n"/>
      <c r="EZ10" s="8" t="n"/>
      <c r="FA10" s="8" t="n"/>
      <c r="FB10" s="8" t="n"/>
      <c r="FC10" s="8" t="n"/>
      <c r="FD10" s="8" t="n"/>
      <c r="FE10" s="8" t="n"/>
      <c r="FF10" s="8" t="n"/>
      <c r="FG10" s="55" t="n"/>
      <c r="FH10" s="55"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ez_manage.py:6004 top()</t>
        </is>
      </c>
      <c r="IL10" s="9" t="inlineStr">
        <is>
          <t>v12_quick_engine.py:112 x3</t>
        </is>
      </c>
    </row>
    <row r="11" ht="11" customHeight="1">
      <c r="A11" s="6" t="inlineStr">
        <is>
          <t>GR_FILTER_VEC_FILTER_TF</t>
        </is>
      </c>
      <c r="B11" s="7" t="inlineStr">
        <is>
          <t>15m</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55" t="n"/>
      <c r="CF11" s="55" t="n"/>
      <c r="CG11" s="55" t="n"/>
      <c r="CH11" s="55" t="n"/>
      <c r="CI11" s="55" t="n"/>
      <c r="CJ11" s="55" t="n"/>
      <c r="CK11" s="55" t="n"/>
      <c r="CL11" s="55" t="n"/>
      <c r="CM11" s="55" t="n"/>
      <c r="CN11" s="55"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55" t="n"/>
      <c r="ES11" s="55" t="n"/>
      <c r="ET11" s="55" t="n"/>
      <c r="EU11" s="55" t="n"/>
      <c r="EV11" s="55" t="n"/>
      <c r="EW11" s="8" t="n"/>
      <c r="EX11" s="8" t="n"/>
      <c r="EY11" s="8" t="n"/>
      <c r="EZ11" s="8" t="n"/>
      <c r="FA11" s="8" t="n"/>
      <c r="FB11" s="8" t="n"/>
      <c r="FC11" s="8" t="n"/>
      <c r="FD11" s="8" t="n"/>
      <c r="FE11" s="8" t="n"/>
      <c r="FF11" s="8" t="n"/>
      <c r="FG11" s="55" t="n"/>
      <c r="FH11" s="55"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ez_manage.py:6004 top()</t>
        </is>
      </c>
      <c r="IL11" s="9" t="inlineStr">
        <is>
          <t>v12_quick_engine.py:112 x3</t>
        </is>
      </c>
    </row>
    <row r="12" ht="11" customHeight="1">
      <c r="A12" s="6" t="inlineStr">
        <is>
          <t>WT_AGAINST_FILTER_ENABLED</t>
        </is>
      </c>
      <c r="B12" s="7" t="inlineStr">
        <is>
          <t>False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55" t="n"/>
      <c r="CF12" s="55" t="n"/>
      <c r="CG12" s="55" t="n"/>
      <c r="CH12" s="55" t="n"/>
      <c r="CI12" s="55" t="n"/>
      <c r="CJ12" s="55" t="n"/>
      <c r="CK12" s="55" t="n"/>
      <c r="CL12" s="55" t="n"/>
      <c r="CM12" s="55" t="n"/>
      <c r="CN12" s="55"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55" t="n"/>
      <c r="ES12" s="55" t="n"/>
      <c r="ET12" s="55" t="n"/>
      <c r="EU12" s="55" t="n"/>
      <c r="EV12" s="55" t="n"/>
      <c r="EW12" s="8" t="n"/>
      <c r="EX12" s="8" t="n"/>
      <c r="EY12" s="8" t="n"/>
      <c r="EZ12" s="8" t="n"/>
      <c r="FA12" s="8" t="n"/>
      <c r="FB12" s="8" t="n"/>
      <c r="FC12" s="8" t="n"/>
      <c r="FD12" s="8" t="n"/>
      <c r="FE12" s="8" t="n"/>
      <c r="FF12" s="8" t="n"/>
      <c r="FG12" s="55" t="n"/>
      <c r="FH12" s="55"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55" t="n"/>
      <c r="HY12" s="55" t="n"/>
      <c r="HZ12" s="55" t="n"/>
      <c r="IA12" s="55" t="n"/>
      <c r="IB12" s="55" t="n"/>
      <c r="IC12" s="55" t="n"/>
      <c r="ID12" s="55" t="n"/>
      <c r="IE12" s="55" t="n"/>
      <c r="IF12" s="55" t="n"/>
      <c r="IG12" s="55" t="n"/>
      <c r="IH12" s="55" t="n"/>
      <c r="II12" s="55" t="n"/>
      <c r="IK12" s="9" t="inlineStr">
        <is>
          <t>ez_manage.py:6084 top()</t>
        </is>
      </c>
      <c r="IL12" s="9" t="inlineStr">
        <is>
          <t>v12_quick_engine.py:4291 x2</t>
        </is>
      </c>
    </row>
    <row r="13" ht="11" customHeight="1">
      <c r="A13" s="10" t="inlineStr">
        <is>
          <t>WT_AGAINST_FILTER_ENABLED</t>
        </is>
      </c>
      <c r="B13" s="11" t="inlineStr">
        <is>
          <t>True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55" t="n"/>
      <c r="CF13" s="55" t="n"/>
      <c r="CG13" s="55" t="n"/>
      <c r="CH13" s="55" t="n"/>
      <c r="CI13" s="55" t="n"/>
      <c r="CJ13" s="55" t="n"/>
      <c r="CK13" s="55" t="n"/>
      <c r="CL13" s="55" t="n"/>
      <c r="CM13" s="55" t="n"/>
      <c r="CN13" s="55"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55" t="n"/>
      <c r="ES13" s="55" t="n"/>
      <c r="ET13" s="55" t="n"/>
      <c r="EU13" s="55" t="n"/>
      <c r="EV13" s="55" t="n"/>
      <c r="EW13" s="8" t="n"/>
      <c r="EX13" s="8" t="n"/>
      <c r="EY13" s="8" t="n"/>
      <c r="EZ13" s="8" t="n"/>
      <c r="FA13" s="8" t="n"/>
      <c r="FB13" s="8" t="n"/>
      <c r="FC13" s="8" t="n"/>
      <c r="FD13" s="8" t="n"/>
      <c r="FE13" s="8" t="n"/>
      <c r="FF13" s="8" t="n"/>
      <c r="FG13" s="55" t="n"/>
      <c r="FH13" s="55"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55" t="n"/>
      <c r="HY13" s="55" t="n"/>
      <c r="HZ13" s="55" t="n"/>
      <c r="IA13" s="55" t="n"/>
      <c r="IB13" s="55" t="n"/>
      <c r="IC13" s="55" t="n"/>
      <c r="ID13" s="55" t="n"/>
      <c r="IE13" s="55" t="n"/>
      <c r="IF13" s="55" t="n"/>
      <c r="IG13" s="55" t="n"/>
      <c r="IH13" s="55" t="n"/>
      <c r="II13" s="55" t="n"/>
      <c r="IK13" s="9" t="inlineStr">
        <is>
          <t>ez_manage.py:6084 top()</t>
        </is>
      </c>
      <c r="IL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G15" s="62" t="inlineStr">
        <is>
          <t>Rec</t>
        </is>
      </c>
      <c r="H15" s="62" t="inlineStr">
        <is>
          <t>Tested As</t>
        </is>
      </c>
      <c r="I15" s="62" t="inlineStr">
        <is>
          <t>Notes</t>
        </is>
      </c>
    </row>
    <row r="16">
      <c r="A16" s="63" t="inlineStr">
        <is>
          <t>ADX_RANGING_THRESHOLD</t>
        </is>
      </c>
      <c r="B16" s="56" t="inlineStr">
        <is>
          <t>20</t>
        </is>
      </c>
      <c r="C16" s="56" t="n"/>
      <c r="D16" s="56" t="inlineStr">
        <is>
          <t>ENTRY, GLOBAL_CHECK, STOCKS_EXIT</t>
        </is>
      </c>
      <c r="E16" s="56">
        <f>IF(G16="",E15,IF(G16&gt;0,E15+G16,E15))</f>
        <v/>
      </c>
      <c r="G16" s="56">
        <f>IFERROR(VLOOKUP($A16&amp;"="&amp;$B16,Results_Deltas!$A$2:$P$15000,5,FALSE),"")</f>
        <v/>
      </c>
      <c r="H16" s="56" t="inlineStr">
        <is>
          <t>Blanket (page end)</t>
        </is>
      </c>
    </row>
    <row r="17">
      <c r="A17" s="63" t="inlineStr">
        <is>
          <t>ADX_RANGING_THRESHOLD</t>
        </is>
      </c>
      <c r="B17" s="56" t="inlineStr">
        <is>
          <t>25</t>
        </is>
      </c>
      <c r="C17" s="56" t="n"/>
      <c r="D17" s="56" t="inlineStr">
        <is>
          <t>ENTRY, GLOBAL_CHECK, STOCKS_EXIT</t>
        </is>
      </c>
      <c r="E17" s="56">
        <f>IF(G17="",E16,IF(G17&gt;0,E16+G17,E16))</f>
        <v/>
      </c>
      <c r="G17" s="56">
        <f>IFERROR(VLOOKUP($A17&amp;"="&amp;$B17,Results_Deltas!$A$2:$P$15000,5,FALSE),"")</f>
        <v/>
      </c>
      <c r="H17" s="56" t="inlineStr">
        <is>
          <t>Blanket (page end)</t>
        </is>
      </c>
    </row>
    <row r="18">
      <c r="A18" s="63" t="inlineStr">
        <is>
          <t>ADX_RANGING_THRESHOLD</t>
        </is>
      </c>
      <c r="B18" s="56" t="inlineStr">
        <is>
          <t>15</t>
        </is>
      </c>
      <c r="C18" s="56" t="n"/>
      <c r="D18" s="56" t="inlineStr">
        <is>
          <t>ENTRY, GLOBAL_CHECK, STOCKS_EXIT</t>
        </is>
      </c>
      <c r="E18" s="56">
        <f>IF(G18="",E17,IF(G18&gt;0,E17+G18,E17))</f>
        <v/>
      </c>
      <c r="G18" s="56">
        <f>IFERROR(VLOOKUP($A18&amp;"="&amp;$B18,Results_Deltas!$A$2:$P$15000,5,FALSE),"")</f>
        <v/>
      </c>
      <c r="H18" s="56" t="inlineStr">
        <is>
          <t>Blanket (page end)</t>
        </is>
      </c>
    </row>
    <row r="19">
      <c r="A19" s="63" t="inlineStr">
        <is>
          <t>ADX_RANGING_THRESHOLD</t>
        </is>
      </c>
      <c r="B19" s="56" t="inlineStr">
        <is>
          <t>10</t>
        </is>
      </c>
      <c r="C19" s="56" t="n"/>
      <c r="D19" s="56" t="inlineStr">
        <is>
          <t>ENTRY, GLOBAL_CHECK, STOCKS_EXIT</t>
        </is>
      </c>
      <c r="E19" s="56">
        <f>IF(G19="",E18,IF(G19&gt;0,E18+G19,E18))</f>
        <v/>
      </c>
      <c r="G19" s="56">
        <f>IFERROR(VLOOKUP($A19&amp;"="&amp;$B19,Results_Deltas!$A$2:$P$15000,5,FALSE),"")</f>
        <v/>
      </c>
      <c r="H19" s="56" t="inlineStr">
        <is>
          <t>Blanket (page end)</t>
        </is>
      </c>
    </row>
    <row r="20">
      <c r="A20" s="63" t="inlineStr">
        <is>
          <t>BANDAID_OFF_LOSER_RECOVER_PCT</t>
        </is>
      </c>
      <c r="B20" s="56" t="inlineStr">
        <is>
          <t>0</t>
        </is>
      </c>
      <c r="C20" s="56" t="n"/>
      <c r="D20" s="56" t="inlineStr">
        <is>
          <t>AUGMENT, ENTRY, EXIT, GLOBAL_CHECK, REDUCE, STOCKS_EXIT</t>
        </is>
      </c>
      <c r="E20" s="56">
        <f>IF(G20="",E19,IF(G20&gt;0,E19+G20,E19))</f>
        <v/>
      </c>
      <c r="G20" s="56">
        <f>IFERROR(VLOOKUP($A20&amp;"="&amp;$B20,Results_Deltas!$A$2:$P$15000,5,FALSE),"")</f>
        <v/>
      </c>
      <c r="H20" s="56" t="inlineStr">
        <is>
          <t>Blanket (page end)</t>
        </is>
      </c>
    </row>
    <row r="21">
      <c r="A21" s="63" t="inlineStr">
        <is>
          <t>BANDAID_OFF_LOSER_RECOVER_PCT</t>
        </is>
      </c>
      <c r="B21" s="56" t="inlineStr">
        <is>
          <t>2.0</t>
        </is>
      </c>
      <c r="C21" s="56" t="n"/>
      <c r="D21" s="56" t="inlineStr">
        <is>
          <t>AUGMENT, ENTRY, EXIT, GLOBAL_CHECK, REDUCE, STOCKS_EXIT</t>
        </is>
      </c>
      <c r="E21" s="56">
        <f>IF(G21="",E20,IF(G21&gt;0,E20+G21,E20))</f>
        <v/>
      </c>
      <c r="G21" s="56">
        <f>IFERROR(VLOOKUP($A21&amp;"="&amp;$B21,Results_Deltas!$A$2:$P$15000,5,FALSE),"")</f>
        <v/>
      </c>
      <c r="H21" s="56" t="inlineStr">
        <is>
          <t>Blanket (page end)</t>
        </is>
      </c>
    </row>
    <row r="22">
      <c r="A22" s="63" t="inlineStr">
        <is>
          <t>BANDAID_OFF_LOSER_RECOVER_PCT</t>
        </is>
      </c>
      <c r="B22" s="56" t="inlineStr">
        <is>
          <t>1.0</t>
        </is>
      </c>
      <c r="C22" s="56" t="n"/>
      <c r="D22" s="56" t="inlineStr">
        <is>
          <t>AUGMENT, ENTRY, EXIT, GLOBAL_CHECK, REDUCE, STOCKS_EXIT</t>
        </is>
      </c>
      <c r="E22" s="56">
        <f>IF(G22="",E21,IF(G22&gt;0,E21+G22,E21))</f>
        <v/>
      </c>
      <c r="G22" s="56">
        <f>IFERROR(VLOOKUP($A22&amp;"="&amp;$B22,Results_Deltas!$A$2:$P$15000,5,FALSE),"")</f>
        <v/>
      </c>
      <c r="H22" s="56" t="inlineStr">
        <is>
          <t>Blanket (page end)</t>
        </is>
      </c>
    </row>
    <row r="23">
      <c r="A23" s="63" t="inlineStr">
        <is>
          <t>BANDAID_OFF_LOSER_RECOVER_PCT</t>
        </is>
      </c>
      <c r="B23" s="56" t="inlineStr">
        <is>
          <t>0.5</t>
        </is>
      </c>
      <c r="C23" s="56" t="n"/>
      <c r="D23" s="56" t="inlineStr">
        <is>
          <t>AUGMENT, ENTRY, EXIT, GLOBAL_CHECK, REDUCE, STOCKS_EXIT</t>
        </is>
      </c>
      <c r="E23" s="56">
        <f>IF(G23="",E22,IF(G23&gt;0,E22+G23,E22))</f>
        <v/>
      </c>
      <c r="G23" s="56">
        <f>IFERROR(VLOOKUP($A23&amp;"="&amp;$B23,Results_Deltas!$A$2:$P$15000,5,FALSE),"")</f>
        <v/>
      </c>
      <c r="H23" s="56" t="inlineStr">
        <is>
          <t>Blanket (page end)</t>
        </is>
      </c>
    </row>
    <row r="24">
      <c r="A24" s="63" t="inlineStr">
        <is>
          <t>BAND_ARROW_ENABLED</t>
        </is>
      </c>
      <c r="B24" s="56" t="inlineStr">
        <is>
          <t>False</t>
        </is>
      </c>
      <c r="C24" s="56" t="n"/>
      <c r="D24" s="56" t="inlineStr">
        <is>
          <t>GLOBAL_CHECK, STOCKS_EXIT</t>
        </is>
      </c>
      <c r="E24" s="56">
        <f>IF(G24="",E23,IF(G24&gt;0,E23+G24,E23))</f>
        <v/>
      </c>
      <c r="G24" s="56">
        <f>IFERROR(VLOOKUP($A24&amp;"="&amp;$B24,Results_Deltas!$A$2:$P$15000,5,FALSE),"")</f>
        <v/>
      </c>
      <c r="H24" s="56" t="inlineStr">
        <is>
          <t>Blanket (page end)</t>
        </is>
      </c>
    </row>
    <row r="25">
      <c r="A25" s="63" t="inlineStr">
        <is>
          <t>BAND_ARROW_ENABLED</t>
        </is>
      </c>
      <c r="B25" s="56" t="inlineStr">
        <is>
          <t>True</t>
        </is>
      </c>
      <c r="C25" s="56" t="n"/>
      <c r="D25" s="56" t="inlineStr">
        <is>
          <t>GLOBAL_CHECK, STOCKS_EXIT</t>
        </is>
      </c>
      <c r="E25" s="56">
        <f>IF(G25="",E24,IF(G25&gt;0,E24+G25,E24))</f>
        <v/>
      </c>
      <c r="G25" s="56">
        <f>IFERROR(VLOOKUP($A25&amp;"="&amp;$B25,Results_Deltas!$A$2:$P$15000,5,FALSE),"")</f>
        <v/>
      </c>
      <c r="H25" s="56" t="inlineStr">
        <is>
          <t>Blanket (page end)</t>
        </is>
      </c>
    </row>
    <row r="26">
      <c r="A26" s="63" t="inlineStr">
        <is>
          <t>BTC_ACCEL_RAMP_REQUIRE_POSITIVE</t>
        </is>
      </c>
      <c r="B26" s="56" t="inlineStr">
        <is>
          <t>0.0</t>
        </is>
      </c>
      <c r="C26" s="56" t="n"/>
      <c r="D26" s="56" t="inlineStr">
        <is>
          <t>UNIVERSAL (ex-BTC) — ENTRY/EXIT/REENTRY</t>
        </is>
      </c>
      <c r="E26" s="56">
        <f>IF(G26="",E25,IF(G26&gt;0,E25+G26,E25))</f>
        <v/>
      </c>
      <c r="G26" s="56">
        <f>IFERROR(VLOOKUP($A26&amp;"="&amp;$B26,Results_Deltas!$A$2:$P$15000,5,FALSE),"")</f>
        <v/>
      </c>
      <c r="H26" s="56" t="inlineStr">
        <is>
          <t>Blanket (page end)</t>
        </is>
      </c>
    </row>
    <row r="27">
      <c r="A27" s="63" t="inlineStr">
        <is>
          <t>BTC_ACCEL_RAMP_REQUIRE_POSITIVE</t>
        </is>
      </c>
      <c r="B27" s="56" t="inlineStr">
        <is>
          <t>0.0_ALT</t>
        </is>
      </c>
      <c r="C27" s="56" t="n"/>
      <c r="D27" s="56" t="inlineStr">
        <is>
          <t>UNIVERSAL (ex-BTC) — ENTRY/EXIT/REENTRY</t>
        </is>
      </c>
      <c r="E27" s="56">
        <f>IF(G27="",E26,IF(G27&gt;0,E26+G27,E26))</f>
        <v/>
      </c>
      <c r="G27" s="56">
        <f>IFERROR(VLOOKUP($A27&amp;"="&amp;$B27,Results_Deltas!$A$2:$P$15000,5,FALSE),"")</f>
        <v/>
      </c>
      <c r="H27" s="56" t="inlineStr">
        <is>
          <t>Blanket (page end)</t>
        </is>
      </c>
    </row>
    <row r="28">
      <c r="A28" s="63" t="inlineStr">
        <is>
          <t>BTC_HARD_BLOCK_OTHER_ACCOUNTS</t>
        </is>
      </c>
      <c r="B28" s="56" t="inlineStr">
        <is>
          <t>0.0</t>
        </is>
      </c>
      <c r="C28" s="56" t="n"/>
      <c r="D28" s="56" t="inlineStr">
        <is>
          <t>UNIVERSAL (ex-BTC) — ENTRY/EXIT/REENTRY</t>
        </is>
      </c>
      <c r="E28" s="56">
        <f>IF(G28="",E27,IF(G28&gt;0,E27+G28,E27))</f>
        <v/>
      </c>
      <c r="G28" s="56">
        <f>IFERROR(VLOOKUP($A28&amp;"="&amp;$B28,Results_Deltas!$A$2:$P$15000,5,FALSE),"")</f>
        <v/>
      </c>
      <c r="H28" s="56" t="inlineStr">
        <is>
          <t>Blanket (page end)</t>
        </is>
      </c>
    </row>
    <row r="29">
      <c r="A29" s="63" t="inlineStr">
        <is>
          <t>BTC_HARD_BLOCK_OTHER_ACCOUNTS</t>
        </is>
      </c>
      <c r="B29" s="56" t="inlineStr">
        <is>
          <t>0.0_ALT</t>
        </is>
      </c>
      <c r="C29" s="56" t="n"/>
      <c r="D29" s="56" t="inlineStr">
        <is>
          <t>UNIVERSAL (ex-BTC) — ENTRY/EXIT/REENTRY</t>
        </is>
      </c>
      <c r="E29" s="56">
        <f>IF(G29="",E28,IF(G29&gt;0,E28+G29,E28))</f>
        <v/>
      </c>
      <c r="G29" s="56">
        <f>IFERROR(VLOOKUP($A29&amp;"="&amp;$B29,Results_Deltas!$A$2:$P$15000,5,FALSE),"")</f>
        <v/>
      </c>
      <c r="H29" s="56" t="inlineStr">
        <is>
          <t>Blanket (page end)</t>
        </is>
      </c>
    </row>
    <row r="30">
      <c r="A30" s="63" t="inlineStr">
        <is>
          <t>BTC_ROUND_BANDS_EACH_SIDE</t>
        </is>
      </c>
      <c r="B30" s="56" t="inlineStr">
        <is>
          <t>0.0</t>
        </is>
      </c>
      <c r="C30" s="56" t="n"/>
      <c r="D30" s="56" t="inlineStr">
        <is>
          <t>UNIVERSAL (ex-BTC) — ENTRY/EXIT/REENTRY</t>
        </is>
      </c>
      <c r="E30" s="56">
        <f>IF(G30="",E29,IF(G30&gt;0,E29+G30,E29))</f>
        <v/>
      </c>
      <c r="G30" s="56">
        <f>IFERROR(VLOOKUP($A30&amp;"="&amp;$B30,Results_Deltas!$A$2:$P$15000,5,FALSE),"")</f>
        <v/>
      </c>
      <c r="H30" s="56" t="inlineStr">
        <is>
          <t>Blanket (page end)</t>
        </is>
      </c>
    </row>
    <row r="31">
      <c r="A31" s="63" t="inlineStr">
        <is>
          <t>BTC_ROUND_BANDS_EACH_SIDE</t>
        </is>
      </c>
      <c r="B31" s="56" t="inlineStr">
        <is>
          <t>0.0_ALT</t>
        </is>
      </c>
      <c r="C31" s="56" t="n"/>
      <c r="D31" s="56" t="inlineStr">
        <is>
          <t>UNIVERSAL (ex-BTC) — ENTRY/EXIT/REENTRY</t>
        </is>
      </c>
      <c r="E31" s="56">
        <f>IF(G31="",E30,IF(G31&gt;0,E30+G31,E30))</f>
        <v/>
      </c>
      <c r="G31" s="56">
        <f>IFERROR(VLOOKUP($A31&amp;"="&amp;$B31,Results_Deltas!$A$2:$P$15000,5,FALSE),"")</f>
        <v/>
      </c>
      <c r="H31" s="56" t="inlineStr">
        <is>
          <t>Blanket (page end)</t>
        </is>
      </c>
    </row>
    <row r="32">
      <c r="A32" s="63" t="inlineStr">
        <is>
          <t>COOLDOWN_LOCKS_FILTER_TF</t>
        </is>
      </c>
      <c r="B32" s="56" t="inlineStr">
        <is>
          <t>OFF</t>
        </is>
      </c>
      <c r="C32" s="56" t="n"/>
      <c r="D32" s="56" t="inlineStr">
        <is>
          <t>GLOBAL_CHECK</t>
        </is>
      </c>
      <c r="E32" s="56">
        <f>IF(G32="",E31,IF(G32&gt;0,E31+G32,E31))</f>
        <v/>
      </c>
      <c r="G32" s="56">
        <f>IFERROR(VLOOKUP($A32&amp;"="&amp;$B32,Results_Deltas!$A$2:$P$15000,5,FALSE),"")</f>
        <v/>
      </c>
      <c r="H32" s="56" t="inlineStr">
        <is>
          <t>Blanket (page end)</t>
        </is>
      </c>
    </row>
    <row r="33">
      <c r="A33" s="63" t="inlineStr">
        <is>
          <t>COOLDOWN_LOCKS_FILTER_TF</t>
        </is>
      </c>
      <c r="B33" s="56" t="inlineStr">
        <is>
          <t>D</t>
        </is>
      </c>
      <c r="C33" s="56" t="n"/>
      <c r="D33" s="56" t="inlineStr">
        <is>
          <t>GLOBAL_CHECK</t>
        </is>
      </c>
      <c r="E33" s="56">
        <f>IF(G33="",E32,IF(G33&gt;0,E32+G33,E32))</f>
        <v/>
      </c>
      <c r="G33" s="56">
        <f>IFERROR(VLOOKUP($A33&amp;"="&amp;$B33,Results_Deltas!$A$2:$P$15000,5,FALSE),"")</f>
        <v/>
      </c>
      <c r="H33" s="56" t="inlineStr">
        <is>
          <t>Blanket (page end)</t>
        </is>
      </c>
    </row>
    <row r="34">
      <c r="A34" s="63" t="inlineStr">
        <is>
          <t>COOLDOWN_LOCKS_FILTER_TF</t>
        </is>
      </c>
      <c r="B34" s="56" t="inlineStr">
        <is>
          <t>4h</t>
        </is>
      </c>
      <c r="C34" s="56" t="n"/>
      <c r="D34" s="56" t="inlineStr">
        <is>
          <t>GLOBAL_CHECK</t>
        </is>
      </c>
      <c r="E34" s="56">
        <f>IF(G34="",E33,IF(G34&gt;0,E33+G34,E33))</f>
        <v/>
      </c>
      <c r="G34" s="56">
        <f>IFERROR(VLOOKUP($A34&amp;"="&amp;$B34,Results_Deltas!$A$2:$P$15000,5,FALSE),"")</f>
        <v/>
      </c>
      <c r="H34" s="56" t="inlineStr">
        <is>
          <t>Blanket (page end)</t>
        </is>
      </c>
    </row>
    <row r="35">
      <c r="A35" s="63" t="inlineStr">
        <is>
          <t>COOLDOWN_LOCKS_FILTER_TF</t>
        </is>
      </c>
      <c r="B35" s="56" t="inlineStr">
        <is>
          <t>1h</t>
        </is>
      </c>
      <c r="C35" s="56" t="n"/>
      <c r="D35" s="56" t="inlineStr">
        <is>
          <t>GLOBAL_CHECK</t>
        </is>
      </c>
      <c r="E35" s="56">
        <f>IF(G35="",E34,IF(G35&gt;0,E34+G35,E34))</f>
        <v/>
      </c>
      <c r="G35" s="56">
        <f>IFERROR(VLOOKUP($A35&amp;"="&amp;$B35,Results_Deltas!$A$2:$P$15000,5,FALSE),"")</f>
        <v/>
      </c>
      <c r="H35" s="56" t="inlineStr">
        <is>
          <t>Blanket (page end)</t>
        </is>
      </c>
    </row>
    <row r="36">
      <c r="A36" s="63" t="inlineStr">
        <is>
          <t>COOLDOWN_LOCKS_FILTER_TF</t>
        </is>
      </c>
      <c r="B36" s="56" t="inlineStr">
        <is>
          <t>15m</t>
        </is>
      </c>
      <c r="C36" s="56" t="n"/>
      <c r="D36" s="56" t="inlineStr">
        <is>
          <t>GLOBAL_CHECK</t>
        </is>
      </c>
      <c r="E36" s="56">
        <f>IF(G36="",E35,IF(G36&gt;0,E35+G36,E35))</f>
        <v/>
      </c>
      <c r="G36" s="56">
        <f>IFERROR(VLOOKUP($A36&amp;"="&amp;$B36,Results_Deltas!$A$2:$P$15000,5,FALSE),"")</f>
        <v/>
      </c>
      <c r="H36" s="56" t="inlineStr">
        <is>
          <t>Blanket (page end)</t>
        </is>
      </c>
    </row>
    <row r="37">
      <c r="A37" s="63" t="inlineStr">
        <is>
          <t>CRYPTO_SPIKE_FADE_THRESHOLD_PCT</t>
        </is>
      </c>
      <c r="B37" s="56" t="inlineStr">
        <is>
          <t>10</t>
        </is>
      </c>
      <c r="C37" s="56" t="n"/>
      <c r="D37" s="56" t="inlineStr">
        <is>
          <t>GLOBAL_CHECK, STOCKS_EXIT</t>
        </is>
      </c>
      <c r="E37" s="56">
        <f>IF(G37="",E36,IF(G37&gt;0,E36+G37,E36))</f>
        <v/>
      </c>
      <c r="G37" s="56">
        <f>IFERROR(VLOOKUP($A37&amp;"="&amp;$B37,Results_Deltas!$A$2:$P$15000,5,FALSE),"")</f>
        <v/>
      </c>
      <c r="H37" s="56" t="inlineStr">
        <is>
          <t>Blanket (page end)</t>
        </is>
      </c>
    </row>
    <row r="38">
      <c r="A38" s="63" t="inlineStr">
        <is>
          <t>CRYPTO_SPIKE_FADE_THRESHOLD_PCT</t>
        </is>
      </c>
      <c r="B38" s="56" t="inlineStr">
        <is>
          <t>12.5</t>
        </is>
      </c>
      <c r="C38" s="56" t="n"/>
      <c r="D38" s="56" t="inlineStr">
        <is>
          <t>GLOBAL_CHECK, STOCKS_EXIT</t>
        </is>
      </c>
      <c r="E38" s="56">
        <f>IF(G38="",E37,IF(G38&gt;0,E37+G38,E37))</f>
        <v/>
      </c>
      <c r="G38" s="56">
        <f>IFERROR(VLOOKUP($A38&amp;"="&amp;$B38,Results_Deltas!$A$2:$P$15000,5,FALSE),"")</f>
        <v/>
      </c>
      <c r="H38" s="56" t="inlineStr">
        <is>
          <t>Blanket (page end)</t>
        </is>
      </c>
    </row>
    <row r="39">
      <c r="A39" s="63" t="inlineStr">
        <is>
          <t>CRYPTO_SPIKE_FADE_THRESHOLD_PCT</t>
        </is>
      </c>
      <c r="B39" s="56" t="inlineStr">
        <is>
          <t>7.5</t>
        </is>
      </c>
      <c r="C39" s="56" t="n"/>
      <c r="D39" s="56" t="inlineStr">
        <is>
          <t>GLOBAL_CHECK, STOCKS_EXIT</t>
        </is>
      </c>
      <c r="E39" s="56">
        <f>IF(G39="",E38,IF(G39&gt;0,E38+G39,E38))</f>
        <v/>
      </c>
      <c r="G39" s="56">
        <f>IFERROR(VLOOKUP($A39&amp;"="&amp;$B39,Results_Deltas!$A$2:$P$15000,5,FALSE),"")</f>
        <v/>
      </c>
      <c r="H39" s="56" t="inlineStr">
        <is>
          <t>Blanket (page end)</t>
        </is>
      </c>
    </row>
    <row r="40">
      <c r="A40" s="63" t="inlineStr">
        <is>
          <t>CRYPTO_SPIKE_FADE_THRESHOLD_PCT</t>
        </is>
      </c>
      <c r="B40" s="56" t="inlineStr">
        <is>
          <t>5</t>
        </is>
      </c>
      <c r="C40" s="56" t="n"/>
      <c r="D40" s="56" t="inlineStr">
        <is>
          <t>GLOBAL_CHECK, STOCKS_EXIT</t>
        </is>
      </c>
      <c r="E40" s="56">
        <f>IF(G40="",E39,IF(G40&gt;0,E39+G40,E39))</f>
        <v/>
      </c>
      <c r="G40" s="56">
        <f>IFERROR(VLOOKUP($A40&amp;"="&amp;$B40,Results_Deltas!$A$2:$P$15000,5,FALSE),"")</f>
        <v/>
      </c>
      <c r="H40" s="56" t="inlineStr">
        <is>
          <t>Blanket (page end)</t>
        </is>
      </c>
    </row>
    <row r="41">
      <c r="A41" s="63" t="inlineStr">
        <is>
          <t>DC_MOMENT_STRONG_THRESHOLD</t>
        </is>
      </c>
      <c r="B41" s="56" t="inlineStr">
        <is>
          <t>40</t>
        </is>
      </c>
      <c r="C41" s="56" t="n"/>
      <c r="D41" s="56" t="inlineStr">
        <is>
          <t>ENTRY, GLOBAL_CHECK, STOCKS_EXIT</t>
        </is>
      </c>
      <c r="E41" s="56">
        <f>IF(G41="",E40,IF(G41&gt;0,E40+G41,E40))</f>
        <v/>
      </c>
      <c r="G41" s="56">
        <f>IFERROR(VLOOKUP($A41&amp;"="&amp;$B41,Results_Deltas!$A$2:$P$15000,5,FALSE),"")</f>
        <v/>
      </c>
      <c r="H41" s="56" t="inlineStr">
        <is>
          <t>Blanket (page end)</t>
        </is>
      </c>
    </row>
    <row r="42">
      <c r="A42" s="63" t="inlineStr">
        <is>
          <t>DC_MOMENT_STRONG_THRESHOLD</t>
        </is>
      </c>
      <c r="B42" s="56" t="inlineStr">
        <is>
          <t>50</t>
        </is>
      </c>
      <c r="C42" s="56" t="n"/>
      <c r="D42" s="56" t="inlineStr">
        <is>
          <t>ENTRY, GLOBAL_CHECK, STOCKS_EXIT</t>
        </is>
      </c>
      <c r="E42" s="56">
        <f>IF(G42="",E41,IF(G42&gt;0,E41+G42,E41))</f>
        <v/>
      </c>
      <c r="G42" s="56">
        <f>IFERROR(VLOOKUP($A42&amp;"="&amp;$B42,Results_Deltas!$A$2:$P$15000,5,FALSE),"")</f>
        <v/>
      </c>
      <c r="H42" s="56" t="inlineStr">
        <is>
          <t>Blanket (page end)</t>
        </is>
      </c>
    </row>
    <row r="43">
      <c r="A43" s="63" t="inlineStr">
        <is>
          <t>DC_MOMENT_STRONG_THRESHOLD</t>
        </is>
      </c>
      <c r="B43" s="56" t="inlineStr">
        <is>
          <t>30</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DC_MOMENT_STRONG_THRESHOLD</t>
        </is>
      </c>
      <c r="B44" s="56" t="inlineStr">
        <is>
          <t>20</t>
        </is>
      </c>
      <c r="C44" s="56" t="n"/>
      <c r="D44" s="56" t="inlineStr">
        <is>
          <t>ENTRY, GLOBAL_CHECK, STOCKS_EXIT</t>
        </is>
      </c>
      <c r="E44" s="56">
        <f>IF(G44="",E43,IF(G44&gt;0,E43+G44,E43))</f>
        <v/>
      </c>
      <c r="G44" s="56">
        <f>IFERROR(VLOOKUP($A44&amp;"="&amp;$B44,Results_Deltas!$A$2:$P$15000,5,FALSE),"")</f>
        <v/>
      </c>
      <c r="H44" s="56" t="inlineStr">
        <is>
          <t>Blanket (page end)</t>
        </is>
      </c>
    </row>
    <row r="45">
      <c r="A45" s="63" t="inlineStr">
        <is>
          <t>DELTA_HTF_GATE</t>
        </is>
      </c>
      <c r="B45" s="56" t="inlineStr">
        <is>
          <t>4h</t>
        </is>
      </c>
      <c r="C45" s="56" t="n"/>
      <c r="D45" s="56" t="inlineStr">
        <is>
          <t>ENTRY, GLOBAL_CHECK, STOCKS_EXIT</t>
        </is>
      </c>
      <c r="E45" s="56">
        <f>IF(G45="",E44,IF(G45&gt;0,E44+G45,E44))</f>
        <v/>
      </c>
      <c r="G45" s="56">
        <f>IFERROR(VLOOKUP($A45&amp;"="&amp;$B45,Results_Deltas!$A$2:$P$15000,5,FALSE),"")</f>
        <v/>
      </c>
      <c r="H45" s="56" t="inlineStr">
        <is>
          <t>Blanket (page end)</t>
        </is>
      </c>
    </row>
    <row r="46">
      <c r="A46" s="63" t="inlineStr">
        <is>
          <t>DELTA_HTF_GATE</t>
        </is>
      </c>
      <c r="B46" s="56" t="inlineStr">
        <is>
          <t>4h_ALT</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DELTA_REENTRY_FILTER_ENABLED</t>
        </is>
      </c>
      <c r="B47" s="56" t="inlineStr">
        <is>
          <t>False</t>
        </is>
      </c>
      <c r="C47" s="56" t="n"/>
      <c r="D47" s="56" t="inlineStr">
        <is>
          <t>ENTRY, GLOBAL_CHECK, STOCKS_EXIT</t>
        </is>
      </c>
      <c r="E47" s="56">
        <f>IF(G47="",E46,IF(G47&gt;0,E46+G47,E46))</f>
        <v/>
      </c>
      <c r="G47" s="56">
        <f>IFERROR(VLOOKUP($A47&amp;"="&amp;$B47,Results_Deltas!$A$2:$P$15000,5,FALSE),"")</f>
        <v/>
      </c>
      <c r="H47" s="56" t="inlineStr">
        <is>
          <t>Blanket (page end)</t>
        </is>
      </c>
    </row>
    <row r="48">
      <c r="A48" s="63" t="inlineStr">
        <is>
          <t>DELTA_REENTRY_FILTER_ENABLED</t>
        </is>
      </c>
      <c r="B48" s="56" t="inlineStr">
        <is>
          <t>True</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DUP_GUARD_FILTER_TF</t>
        </is>
      </c>
      <c r="B49" s="56" t="inlineStr">
        <is>
          <t>OFF</t>
        </is>
      </c>
      <c r="C49" s="56" t="n"/>
      <c r="D49" s="56" t="inlineStr">
        <is>
          <t>GLOBAL_CHECK</t>
        </is>
      </c>
      <c r="E49" s="56">
        <f>IF(G49="",E48,IF(G49&gt;0,E48+G49,E48))</f>
        <v/>
      </c>
      <c r="G49" s="56">
        <f>IFERROR(VLOOKUP($A49&amp;"="&amp;$B49,Results_Deltas!$A$2:$P$15000,5,FALSE),"")</f>
        <v/>
      </c>
      <c r="H49" s="56" t="inlineStr">
        <is>
          <t>Blanket (page end)</t>
        </is>
      </c>
    </row>
    <row r="50">
      <c r="A50" s="63" t="inlineStr">
        <is>
          <t>DUP_GUARD_FILTER_TF</t>
        </is>
      </c>
      <c r="B50" s="56" t="inlineStr">
        <is>
          <t>D</t>
        </is>
      </c>
      <c r="C50" s="56" t="n"/>
      <c r="D50" s="56" t="inlineStr">
        <is>
          <t>GLOBAL_CHECK</t>
        </is>
      </c>
      <c r="E50" s="56">
        <f>IF(G50="",E49,IF(G50&gt;0,E49+G50,E49))</f>
        <v/>
      </c>
      <c r="G50" s="56">
        <f>IFERROR(VLOOKUP($A50&amp;"="&amp;$B50,Results_Deltas!$A$2:$P$15000,5,FALSE),"")</f>
        <v/>
      </c>
      <c r="H50" s="56" t="inlineStr">
        <is>
          <t>Blanket (page end)</t>
        </is>
      </c>
    </row>
    <row r="51">
      <c r="A51" s="63" t="inlineStr">
        <is>
          <t>DUP_GUARD_FILTER_TF</t>
        </is>
      </c>
      <c r="B51" s="56" t="inlineStr">
        <is>
          <t>4h</t>
        </is>
      </c>
      <c r="C51" s="56" t="n"/>
      <c r="D51" s="56" t="inlineStr">
        <is>
          <t>GLOBAL_CHECK</t>
        </is>
      </c>
      <c r="E51" s="56">
        <f>IF(G51="",E50,IF(G51&gt;0,E50+G51,E50))</f>
        <v/>
      </c>
      <c r="G51" s="56">
        <f>IFERROR(VLOOKUP($A51&amp;"="&amp;$B51,Results_Deltas!$A$2:$P$15000,5,FALSE),"")</f>
        <v/>
      </c>
      <c r="H51" s="56" t="inlineStr">
        <is>
          <t>Blanket (page end)</t>
        </is>
      </c>
    </row>
    <row r="52">
      <c r="A52" s="63" t="inlineStr">
        <is>
          <t>DUP_GUARD_FILTER_TF</t>
        </is>
      </c>
      <c r="B52" s="56" t="inlineStr">
        <is>
          <t>1h</t>
        </is>
      </c>
      <c r="C52" s="56" t="n"/>
      <c r="D52" s="56" t="inlineStr">
        <is>
          <t>GLOBAL_CHECK</t>
        </is>
      </c>
      <c r="E52" s="56">
        <f>IF(G52="",E51,IF(G52&gt;0,E51+G52,E51))</f>
        <v/>
      </c>
      <c r="G52" s="56">
        <f>IFERROR(VLOOKUP($A52&amp;"="&amp;$B52,Results_Deltas!$A$2:$P$15000,5,FALSE),"")</f>
        <v/>
      </c>
      <c r="H52" s="56" t="inlineStr">
        <is>
          <t>Blanket (page end)</t>
        </is>
      </c>
    </row>
    <row r="53">
      <c r="A53" s="63" t="inlineStr">
        <is>
          <t>DUP_GUARD_FILTER_TF</t>
        </is>
      </c>
      <c r="B53" s="56" t="inlineStr">
        <is>
          <t>15m</t>
        </is>
      </c>
      <c r="C53" s="56" t="n"/>
      <c r="D53" s="56" t="inlineStr">
        <is>
          <t>GLOBAL_CHECK</t>
        </is>
      </c>
      <c r="E53" s="56">
        <f>IF(G53="",E52,IF(G53&gt;0,E52+G53,E52))</f>
        <v/>
      </c>
      <c r="G53" s="56">
        <f>IFERROR(VLOOKUP($A53&amp;"="&amp;$B53,Results_Deltas!$A$2:$P$15000,5,FALSE),"")</f>
        <v/>
      </c>
      <c r="H53" s="56" t="inlineStr">
        <is>
          <t>Blanket (page end)</t>
        </is>
      </c>
    </row>
    <row r="54">
      <c r="A54" s="63" t="inlineStr">
        <is>
          <t>EMA_9_21_FILTER_MIN_TFS</t>
        </is>
      </c>
      <c r="B54" s="56" t="inlineStr">
        <is>
          <t>0</t>
        </is>
      </c>
      <c r="C54" s="56" t="n"/>
      <c r="D54" s="56" t="inlineStr">
        <is>
          <t>GLOBAL_CHECK</t>
        </is>
      </c>
      <c r="E54" s="56">
        <f>IF(G54="",E53,IF(G54&gt;0,E53+G54,E53))</f>
        <v/>
      </c>
      <c r="G54" s="56">
        <f>IFERROR(VLOOKUP($A54&amp;"="&amp;$B54,Results_Deltas!$A$2:$P$15000,5,FALSE),"")</f>
        <v/>
      </c>
      <c r="H54" s="56" t="inlineStr">
        <is>
          <t>Blanket (page end)</t>
        </is>
      </c>
    </row>
    <row r="55">
      <c r="A55" s="63" t="inlineStr">
        <is>
          <t>EMA_9_21_FILTER_MIN_TFS</t>
        </is>
      </c>
      <c r="B55" s="56" t="inlineStr">
        <is>
          <t>2</t>
        </is>
      </c>
      <c r="C55" s="56" t="n"/>
      <c r="D55" s="56" t="inlineStr">
        <is>
          <t>GLOBAL_CHECK</t>
        </is>
      </c>
      <c r="E55" s="56">
        <f>IF(G55="",E54,IF(G55&gt;0,E54+G55,E54))</f>
        <v/>
      </c>
      <c r="G55" s="56">
        <f>IFERROR(VLOOKUP($A55&amp;"="&amp;$B55,Results_Deltas!$A$2:$P$15000,5,FALSE),"")</f>
        <v/>
      </c>
      <c r="H55" s="56" t="inlineStr">
        <is>
          <t>Blanket (page end)</t>
        </is>
      </c>
    </row>
    <row r="56">
      <c r="A56" s="63" t="inlineStr">
        <is>
          <t>EMA_9_21_FILTER_MIN_TFS</t>
        </is>
      </c>
      <c r="B56" s="56" t="inlineStr">
        <is>
          <t>1</t>
        </is>
      </c>
      <c r="C56" s="56" t="n"/>
      <c r="D56" s="56" t="inlineStr">
        <is>
          <t>GLOBAL_CHECK</t>
        </is>
      </c>
      <c r="E56" s="56">
        <f>IF(G56="",E55,IF(G56&gt;0,E55+G56,E55))</f>
        <v/>
      </c>
      <c r="G56" s="56">
        <f>IFERROR(VLOOKUP($A56&amp;"="&amp;$B56,Results_Deltas!$A$2:$P$15000,5,FALSE),"")</f>
        <v/>
      </c>
      <c r="H56" s="56" t="inlineStr">
        <is>
          <t>Blanket (page end)</t>
        </is>
      </c>
    </row>
    <row r="57">
      <c r="A57" s="63" t="inlineStr">
        <is>
          <t>EMA_BLANKET_FILTER_ENABLED</t>
        </is>
      </c>
      <c r="B57" s="56" t="inlineStr">
        <is>
          <t>False</t>
        </is>
      </c>
      <c r="C57" s="56" t="n"/>
      <c r="D57" s="56" t="inlineStr">
        <is>
          <t>GLOBAL_CHECK</t>
        </is>
      </c>
      <c r="E57" s="56">
        <f>IF(G57="",E56,IF(G57&gt;0,E56+G57,E56))</f>
        <v/>
      </c>
      <c r="G57" s="56">
        <f>IFERROR(VLOOKUP($A57&amp;"="&amp;$B57,Results_Deltas!$A$2:$P$15000,5,FALSE),"")</f>
        <v/>
      </c>
      <c r="H57" s="56" t="inlineStr">
        <is>
          <t>Blanket (page end)</t>
        </is>
      </c>
    </row>
    <row r="58">
      <c r="A58" s="63" t="inlineStr">
        <is>
          <t>EMA_BLANKET_FILTER_ENABLED</t>
        </is>
      </c>
      <c r="B58" s="56" t="inlineStr">
        <is>
          <t>True</t>
        </is>
      </c>
      <c r="C58" s="56" t="n"/>
      <c r="D58" s="56" t="inlineStr">
        <is>
          <t>GLOBAL_CHECK</t>
        </is>
      </c>
      <c r="E58" s="56">
        <f>IF(G58="",E57,IF(G58&gt;0,E57+G58,E57))</f>
        <v/>
      </c>
      <c r="G58" s="56">
        <f>IFERROR(VLOOKUP($A58&amp;"="&amp;$B58,Results_Deltas!$A$2:$P$15000,5,FALSE),"")</f>
        <v/>
      </c>
      <c r="H58" s="56" t="inlineStr">
        <is>
          <t>Blanket (page end)</t>
        </is>
      </c>
    </row>
    <row r="59">
      <c r="A59" s="63" t="inlineStr">
        <is>
          <t>EMA_BLANKET_FILTER_MIN_TFS</t>
        </is>
      </c>
      <c r="B59" s="56" t="inlineStr">
        <is>
          <t>0</t>
        </is>
      </c>
      <c r="C59" s="56" t="n"/>
      <c r="D59" s="56" t="inlineStr">
        <is>
          <t>GLOBAL_CHECK</t>
        </is>
      </c>
      <c r="E59" s="56">
        <f>IF(G59="",E58,IF(G59&gt;0,E58+G59,E58))</f>
        <v/>
      </c>
      <c r="G59" s="56">
        <f>IFERROR(VLOOKUP($A59&amp;"="&amp;$B59,Results_Deltas!$A$2:$P$15000,5,FALSE),"")</f>
        <v/>
      </c>
      <c r="H59" s="56" t="inlineStr">
        <is>
          <t>Blanket (page end)</t>
        </is>
      </c>
    </row>
    <row r="60">
      <c r="A60" s="63" t="inlineStr">
        <is>
          <t>EMA_BLANKET_FILTER_MIN_TFS</t>
        </is>
      </c>
      <c r="B60" s="56" t="inlineStr">
        <is>
          <t>2</t>
        </is>
      </c>
      <c r="C60" s="56" t="n"/>
      <c r="D60" s="56" t="inlineStr">
        <is>
          <t>GLOBAL_CHECK</t>
        </is>
      </c>
      <c r="E60" s="56">
        <f>IF(G60="",E59,IF(G60&gt;0,E59+G60,E59))</f>
        <v/>
      </c>
      <c r="G60" s="56">
        <f>IFERROR(VLOOKUP($A60&amp;"="&amp;$B60,Results_Deltas!$A$2:$P$15000,5,FALSE),"")</f>
        <v/>
      </c>
      <c r="H60" s="56" t="inlineStr">
        <is>
          <t>Blanket (page end)</t>
        </is>
      </c>
    </row>
    <row r="61">
      <c r="A61" s="63" t="inlineStr">
        <is>
          <t>EMA_BLANKET_FILTER_MIN_TFS</t>
        </is>
      </c>
      <c r="B61" s="56" t="inlineStr">
        <is>
          <t>1</t>
        </is>
      </c>
      <c r="C61" s="56" t="n"/>
      <c r="D61" s="56" t="inlineStr">
        <is>
          <t>GLOBAL_CHECK</t>
        </is>
      </c>
      <c r="E61" s="56">
        <f>IF(G61="",E60,IF(G61&gt;0,E60+G61,E60))</f>
        <v/>
      </c>
      <c r="G61" s="56">
        <f>IFERROR(VLOOKUP($A61&amp;"="&amp;$B61,Results_Deltas!$A$2:$P$15000,5,FALSE),"")</f>
        <v/>
      </c>
      <c r="H61" s="56" t="inlineStr">
        <is>
          <t>Blanket (page end)</t>
        </is>
      </c>
    </row>
    <row r="62">
      <c r="A62" s="63" t="inlineStr">
        <is>
          <t>EXECUTE_NOW_SINGLE_GATE_ENFORCE</t>
        </is>
      </c>
      <c r="B62" s="56" t="inlineStr">
        <is>
          <t>0.0</t>
        </is>
      </c>
      <c r="C62" s="56" t="n"/>
      <c r="D62" s="56" t="inlineStr">
        <is>
          <t>ENTRY, GLOBAL_CHECK, STOCKS_EXIT</t>
        </is>
      </c>
      <c r="E62" s="56">
        <f>IF(G62="",E61,IF(G62&gt;0,E61+G62,E61))</f>
        <v/>
      </c>
      <c r="G62" s="56">
        <f>IFERROR(VLOOKUP($A62&amp;"="&amp;$B62,Results_Deltas!$A$2:$P$15000,5,FALSE),"")</f>
        <v/>
      </c>
      <c r="H62" s="56" t="inlineStr">
        <is>
          <t>Blanket (page end)</t>
        </is>
      </c>
    </row>
    <row r="63">
      <c r="A63" s="63" t="inlineStr">
        <is>
          <t>EXECUTE_NOW_SINGLE_GATE_ENFORCE</t>
        </is>
      </c>
      <c r="B63" s="56" t="inlineStr">
        <is>
          <t>0.0_ALT</t>
        </is>
      </c>
      <c r="C63" s="56" t="n"/>
      <c r="D63" s="56" t="inlineStr">
        <is>
          <t>ENTRY, GLOBAL_CHECK, STOCKS_EXIT</t>
        </is>
      </c>
      <c r="E63" s="56">
        <f>IF(G63="",E62,IF(G63&gt;0,E62+G63,E62))</f>
        <v/>
      </c>
      <c r="G63" s="56">
        <f>IFERROR(VLOOKUP($A63&amp;"="&amp;$B63,Results_Deltas!$A$2:$P$15000,5,FALSE),"")</f>
        <v/>
      </c>
      <c r="H63" s="56" t="inlineStr">
        <is>
          <t>Blanket (page end)</t>
        </is>
      </c>
    </row>
    <row r="64">
      <c r="A64" s="63" t="inlineStr">
        <is>
          <t>EZ_MANAGE_THROTTLER_RATE</t>
        </is>
      </c>
      <c r="B64" s="56" t="inlineStr">
        <is>
          <t>0.0</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EZ_MANAGE_THROTTLER_RATE</t>
        </is>
      </c>
      <c r="B65" s="56" t="inlineStr">
        <is>
          <t>0.0_ALT</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FG_FEAR_THRESHOLD</t>
        </is>
      </c>
      <c r="B66" s="56" t="inlineStr">
        <is>
          <t>25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FG_FEAR_THRESHOLD</t>
        </is>
      </c>
      <c r="B67" s="56" t="inlineStr">
        <is>
          <t>31.25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FG_FEAR_THRESHOLD</t>
        </is>
      </c>
      <c r="B68" s="56" t="inlineStr">
        <is>
          <t>18.75</t>
        </is>
      </c>
      <c r="C68" s="56" t="n"/>
      <c r="D68" s="56" t="inlineStr">
        <is>
          <t>GLOBAL_CHECK, STOCKS_EXIT</t>
        </is>
      </c>
      <c r="E68" s="56">
        <f>IF(G68="",E67,IF(G68&gt;0,E67+G68,E67))</f>
        <v/>
      </c>
      <c r="G68" s="56">
        <f>IFERROR(VLOOKUP($A68&amp;"="&amp;$B68,Results_Deltas!$A$2:$P$15000,5,FALSE),"")</f>
        <v/>
      </c>
      <c r="H68" s="56" t="inlineStr">
        <is>
          <t>Blanket (page end)</t>
        </is>
      </c>
    </row>
    <row r="69">
      <c r="A69" s="63" t="inlineStr">
        <is>
          <t>FG_FEAR_THRESHOLD</t>
        </is>
      </c>
      <c r="B69" s="56" t="inlineStr">
        <is>
          <t>12.5</t>
        </is>
      </c>
      <c r="C69" s="56" t="n"/>
      <c r="D69" s="56" t="inlineStr">
        <is>
          <t>GLOBAL_CHECK, STOCKS_EXIT</t>
        </is>
      </c>
      <c r="E69" s="56">
        <f>IF(G69="",E68,IF(G69&gt;0,E68+G69,E68))</f>
        <v/>
      </c>
      <c r="G69" s="56">
        <f>IFERROR(VLOOKUP($A69&amp;"="&amp;$B69,Results_Deltas!$A$2:$P$15000,5,FALSE),"")</f>
        <v/>
      </c>
      <c r="H69" s="56" t="inlineStr">
        <is>
          <t>Blanket (page end)</t>
        </is>
      </c>
    </row>
    <row r="70">
      <c r="A70" s="63" t="inlineStr">
        <is>
          <t>FG_GREED_THRESHOLD</t>
        </is>
      </c>
      <c r="B70" s="56" t="inlineStr">
        <is>
          <t>75</t>
        </is>
      </c>
      <c r="C70" s="56" t="n"/>
      <c r="D70" s="56" t="inlineStr">
        <is>
          <t>GLOBAL_CHECK, STOCKS_EXIT</t>
        </is>
      </c>
      <c r="E70" s="56">
        <f>IF(G70="",E69,IF(G70&gt;0,E69+G70,E69))</f>
        <v/>
      </c>
      <c r="G70" s="56">
        <f>IFERROR(VLOOKUP($A70&amp;"="&amp;$B70,Results_Deltas!$A$2:$P$15000,5,FALSE),"")</f>
        <v/>
      </c>
      <c r="H70" s="56" t="inlineStr">
        <is>
          <t>Blanket (page end)</t>
        </is>
      </c>
    </row>
    <row r="71">
      <c r="A71" s="63" t="inlineStr">
        <is>
          <t>FG_GREED_THRESHOLD</t>
        </is>
      </c>
      <c r="B71" s="56" t="inlineStr">
        <is>
          <t>93.75</t>
        </is>
      </c>
      <c r="C71" s="56" t="n"/>
      <c r="D71" s="56" t="inlineStr">
        <is>
          <t>GLOBAL_CHECK, STOCKS_EXIT</t>
        </is>
      </c>
      <c r="E71" s="56">
        <f>IF(G71="",E70,IF(G71&gt;0,E70+G71,E70))</f>
        <v/>
      </c>
      <c r="G71" s="56">
        <f>IFERROR(VLOOKUP($A71&amp;"="&amp;$B71,Results_Deltas!$A$2:$P$15000,5,FALSE),"")</f>
        <v/>
      </c>
      <c r="H71" s="56" t="inlineStr">
        <is>
          <t>Blanket (page end)</t>
        </is>
      </c>
    </row>
    <row r="72">
      <c r="A72" s="63" t="inlineStr">
        <is>
          <t>FG_GREED_THRESHOLD</t>
        </is>
      </c>
      <c r="B72" s="56" t="inlineStr">
        <is>
          <t>56.25</t>
        </is>
      </c>
      <c r="C72" s="56" t="n"/>
      <c r="D72" s="56" t="inlineStr">
        <is>
          <t>GLOBAL_CHECK, STOCKS_EXIT</t>
        </is>
      </c>
      <c r="E72" s="56">
        <f>IF(G72="",E71,IF(G72&gt;0,E71+G72,E71))</f>
        <v/>
      </c>
      <c r="G72" s="56">
        <f>IFERROR(VLOOKUP($A72&amp;"="&amp;$B72,Results_Deltas!$A$2:$P$15000,5,FALSE),"")</f>
        <v/>
      </c>
      <c r="H72" s="56" t="inlineStr">
        <is>
          <t>Blanket (page end)</t>
        </is>
      </c>
    </row>
    <row r="73">
      <c r="A73" s="63" t="inlineStr">
        <is>
          <t>FG_GREED_THRESHOLD</t>
        </is>
      </c>
      <c r="B73" s="56" t="inlineStr">
        <is>
          <t>37.5</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FUNDING_GATE_FILTER_TF</t>
        </is>
      </c>
      <c r="B74" s="56" t="inlineStr">
        <is>
          <t>OFF</t>
        </is>
      </c>
      <c r="C74" s="56" t="n"/>
      <c r="D74" s="56" t="inlineStr">
        <is>
          <t>GLOBAL_CHECK</t>
        </is>
      </c>
      <c r="E74" s="56">
        <f>IF(G74="",E73,IF(G74&gt;0,E73+G74,E73))</f>
        <v/>
      </c>
      <c r="G74" s="56">
        <f>IFERROR(VLOOKUP($A74&amp;"="&amp;$B74,Results_Deltas!$A$2:$P$15000,5,FALSE),"")</f>
        <v/>
      </c>
      <c r="H74" s="56" t="inlineStr">
        <is>
          <t>Blanket (page end)</t>
        </is>
      </c>
    </row>
    <row r="75">
      <c r="A75" s="63" t="inlineStr">
        <is>
          <t>FUNDING_GATE_FILTER_TF</t>
        </is>
      </c>
      <c r="B75" s="56" t="inlineStr">
        <is>
          <t>D</t>
        </is>
      </c>
      <c r="C75" s="56" t="n"/>
      <c r="D75" s="56" t="inlineStr">
        <is>
          <t>GLOBAL_CHECK</t>
        </is>
      </c>
      <c r="E75" s="56">
        <f>IF(G75="",E74,IF(G75&gt;0,E74+G75,E74))</f>
        <v/>
      </c>
      <c r="G75" s="56">
        <f>IFERROR(VLOOKUP($A75&amp;"="&amp;$B75,Results_Deltas!$A$2:$P$15000,5,FALSE),"")</f>
        <v/>
      </c>
      <c r="H75" s="56" t="inlineStr">
        <is>
          <t>Blanket (page end)</t>
        </is>
      </c>
    </row>
    <row r="76">
      <c r="A76" s="63" t="inlineStr">
        <is>
          <t>FUNDING_GATE_FILTER_TF</t>
        </is>
      </c>
      <c r="B76" s="56" t="inlineStr">
        <is>
          <t>4h</t>
        </is>
      </c>
      <c r="C76" s="56" t="n"/>
      <c r="D76" s="56" t="inlineStr">
        <is>
          <t>GLOBAL_CHECK</t>
        </is>
      </c>
      <c r="E76" s="56">
        <f>IF(G76="",E75,IF(G76&gt;0,E75+G76,E75))</f>
        <v/>
      </c>
      <c r="G76" s="56">
        <f>IFERROR(VLOOKUP($A76&amp;"="&amp;$B76,Results_Deltas!$A$2:$P$15000,5,FALSE),"")</f>
        <v/>
      </c>
      <c r="H76" s="56" t="inlineStr">
        <is>
          <t>Blanket (page end)</t>
        </is>
      </c>
    </row>
    <row r="77">
      <c r="A77" s="63" t="inlineStr">
        <is>
          <t>FUNDING_GATE_FILTER_TF</t>
        </is>
      </c>
      <c r="B77" s="56" t="inlineStr">
        <is>
          <t>1h</t>
        </is>
      </c>
      <c r="C77" s="56" t="n"/>
      <c r="D77" s="56" t="inlineStr">
        <is>
          <t>GLOBAL_CHECK</t>
        </is>
      </c>
      <c r="E77" s="56">
        <f>IF(G77="",E76,IF(G77&gt;0,E76+G77,E76))</f>
        <v/>
      </c>
      <c r="G77" s="56">
        <f>IFERROR(VLOOKUP($A77&amp;"="&amp;$B77,Results_Deltas!$A$2:$P$15000,5,FALSE),"")</f>
        <v/>
      </c>
      <c r="H77" s="56" t="inlineStr">
        <is>
          <t>Blanket (page end)</t>
        </is>
      </c>
    </row>
    <row r="78">
      <c r="A78" s="63" t="inlineStr">
        <is>
          <t>FUNDING_GATE_FILTER_TF</t>
        </is>
      </c>
      <c r="B78" s="56" t="inlineStr">
        <is>
          <t>15m</t>
        </is>
      </c>
      <c r="C78" s="56" t="n"/>
      <c r="D78" s="56" t="inlineStr">
        <is>
          <t>GLOBAL_CHECK</t>
        </is>
      </c>
      <c r="E78" s="56">
        <f>IF(G78="",E77,IF(G78&gt;0,E77+G78,E77))</f>
        <v/>
      </c>
      <c r="G78" s="56">
        <f>IFERROR(VLOOKUP($A78&amp;"="&amp;$B78,Results_Deltas!$A$2:$P$15000,5,FALSE),"")</f>
        <v/>
      </c>
      <c r="H78" s="56" t="inlineStr">
        <is>
          <t>Blanket (page end)</t>
        </is>
      </c>
    </row>
    <row r="79">
      <c r="A79" s="63" t="inlineStr">
        <is>
          <t>FUNDING_GATE_LONG_MAX</t>
        </is>
      </c>
      <c r="B79" s="56" t="inlineStr">
        <is>
          <t>0.0</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FUNDING_GATE_LONG_MAX</t>
        </is>
      </c>
      <c r="B80" s="56" t="inlineStr">
        <is>
          <t>0.0_ALT</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FUNDING_GATE_MTF_REQUIRED</t>
        </is>
      </c>
      <c r="B81" s="56" t="inlineStr">
        <is>
          <t>0.0</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FUNDING_GATE_MTF_REQUIRED</t>
        </is>
      </c>
      <c r="B82" s="56" t="inlineStr">
        <is>
          <t>0.0_ALT</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FUNDING_GATE_SHORT_MIN</t>
        </is>
      </c>
      <c r="B83" s="56" t="inlineStr">
        <is>
          <t>0.0</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FUNDING_GATE_SHORT_MIN</t>
        </is>
      </c>
      <c r="B84" s="56" t="inlineStr">
        <is>
          <t>0.0_ALT</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GOLDEN_RULE_BASE_USD</t>
        </is>
      </c>
      <c r="B85" s="56" t="inlineStr">
        <is>
          <t>0.0</t>
        </is>
      </c>
      <c r="C85" s="56" t="n"/>
      <c r="D85" s="56" t="inlineStr">
        <is>
          <t>GLOBAL_CHECK, STOCKS_EXIT</t>
        </is>
      </c>
      <c r="E85" s="56">
        <f>IF(G85="",E84,IF(G85&gt;0,E84+G85,E84))</f>
        <v/>
      </c>
      <c r="G85" s="56">
        <f>IFERROR(VLOOKUP($A85&amp;"="&amp;$B85,Results_Deltas!$A$2:$P$15000,5,FALSE),"")</f>
        <v/>
      </c>
      <c r="H85" s="56" t="inlineStr">
        <is>
          <t>Blanket (page end)</t>
        </is>
      </c>
    </row>
    <row r="86">
      <c r="A86" s="63" t="inlineStr">
        <is>
          <t>GOLDEN_RULE_BASE_USD</t>
        </is>
      </c>
      <c r="B86" s="56" t="inlineStr">
        <is>
          <t>0.0_ALT</t>
        </is>
      </c>
      <c r="C86" s="56" t="n"/>
      <c r="D86" s="56" t="inlineStr">
        <is>
          <t>GLOBAL_CHECK, STOCKS_EXIT</t>
        </is>
      </c>
      <c r="E86" s="56">
        <f>IF(G86="",E85,IF(G86&gt;0,E85+G86,E85))</f>
        <v/>
      </c>
      <c r="G86" s="56">
        <f>IFERROR(VLOOKUP($A86&amp;"="&amp;$B86,Results_Deltas!$A$2:$P$15000,5,FALSE),"")</f>
        <v/>
      </c>
      <c r="H86" s="56" t="inlineStr">
        <is>
          <t>Blanket (page end)</t>
        </is>
      </c>
    </row>
    <row r="87">
      <c r="A87" s="63" t="inlineStr">
        <is>
          <t>GR_FILTER_ALL_ENTRIES</t>
        </is>
      </c>
      <c r="B87" s="56" t="inlineStr">
        <is>
          <t>0.0</t>
        </is>
      </c>
      <c r="C87" s="56" t="n"/>
      <c r="D87" s="56" t="inlineStr">
        <is>
          <t>GLOBAL_CHECK, STOCKS_EXIT</t>
        </is>
      </c>
      <c r="E87" s="56">
        <f>IF(G87="",E86,IF(G87&gt;0,E86+G87,E86))</f>
        <v/>
      </c>
      <c r="G87" s="56">
        <f>IFERROR(VLOOKUP($A87&amp;"="&amp;$B87,Results_Deltas!$A$2:$P$15000,5,FALSE),"")</f>
        <v/>
      </c>
      <c r="H87" s="56" t="inlineStr">
        <is>
          <t>Blanket (page end)</t>
        </is>
      </c>
    </row>
    <row r="88">
      <c r="A88" s="63" t="inlineStr">
        <is>
          <t>GR_FILTER_ALL_ENTRIES</t>
        </is>
      </c>
      <c r="B88" s="56" t="inlineStr">
        <is>
          <t>0.0_ALT</t>
        </is>
      </c>
      <c r="C88" s="56" t="n"/>
      <c r="D88" s="56" t="inlineStr">
        <is>
          <t>GLOBAL_CHECK, STOCKS_EXIT</t>
        </is>
      </c>
      <c r="E88" s="56">
        <f>IF(G88="",E87,IF(G88&gt;0,E87+G88,E87))</f>
        <v/>
      </c>
      <c r="G88" s="56">
        <f>IFERROR(VLOOKUP($A88&amp;"="&amp;$B88,Results_Deltas!$A$2:$P$15000,5,FALSE),"")</f>
        <v/>
      </c>
      <c r="H88" s="56" t="inlineStr">
        <is>
          <t>Blanket (page end)</t>
        </is>
      </c>
    </row>
    <row r="89">
      <c r="A89" s="63" t="inlineStr">
        <is>
          <t>GR_FILTER_VEC_ENABLED</t>
        </is>
      </c>
      <c r="B89" s="56" t="inlineStr">
        <is>
          <t>False</t>
        </is>
      </c>
      <c r="C89" s="56" t="n"/>
      <c r="D89" s="56" t="inlineStr">
        <is>
          <t>GLOBAL_CHECK</t>
        </is>
      </c>
      <c r="E89" s="56">
        <f>IF(G89="",E88,IF(G89&gt;0,E88+G89,E88))</f>
        <v/>
      </c>
      <c r="G89" s="56">
        <f>IFERROR(VLOOKUP($A89&amp;"="&amp;$B89,Results_Deltas!$A$2:$P$15000,5,FALSE),"")</f>
        <v/>
      </c>
      <c r="H89" s="56" t="inlineStr">
        <is>
          <t>Blanket (page end)</t>
        </is>
      </c>
    </row>
    <row r="90">
      <c r="A90" s="63" t="inlineStr">
        <is>
          <t>GR_FILTER_VEC_ENABLED</t>
        </is>
      </c>
      <c r="B90" s="56" t="inlineStr">
        <is>
          <t>True</t>
        </is>
      </c>
      <c r="C90" s="56" t="n"/>
      <c r="D90" s="56" t="inlineStr">
        <is>
          <t>GLOBAL_CHECK</t>
        </is>
      </c>
      <c r="E90" s="56">
        <f>IF(G90="",E89,IF(G90&gt;0,E89+G90,E89))</f>
        <v/>
      </c>
      <c r="G90" s="56">
        <f>IFERROR(VLOOKUP($A90&amp;"="&amp;$B90,Results_Deltas!$A$2:$P$15000,5,FALSE),"")</f>
        <v/>
      </c>
      <c r="H90" s="56" t="inlineStr">
        <is>
          <t>Blanket (page end)</t>
        </is>
      </c>
    </row>
    <row r="91">
      <c r="A91" s="63" t="inlineStr">
        <is>
          <t>GR_FILTER_VEC_MIN_TFS</t>
        </is>
      </c>
      <c r="B91" s="56" t="inlineStr">
        <is>
          <t>0</t>
        </is>
      </c>
      <c r="C91" s="56" t="n"/>
      <c r="D91" s="56" t="inlineStr">
        <is>
          <t>GLOBAL_CHECK</t>
        </is>
      </c>
      <c r="E91" s="56">
        <f>IF(G91="",E90,IF(G91&gt;0,E90+G91,E90))</f>
        <v/>
      </c>
      <c r="G91" s="56">
        <f>IFERROR(VLOOKUP($A91&amp;"="&amp;$B91,Results_Deltas!$A$2:$P$15000,5,FALSE),"")</f>
        <v/>
      </c>
      <c r="H91" s="56" t="inlineStr">
        <is>
          <t>Blanket (page end)</t>
        </is>
      </c>
    </row>
    <row r="92">
      <c r="A92" s="63" t="inlineStr">
        <is>
          <t>GR_FILTER_VEC_MIN_TFS</t>
        </is>
      </c>
      <c r="B92" s="56" t="inlineStr">
        <is>
          <t>2</t>
        </is>
      </c>
      <c r="C92" s="56" t="n"/>
      <c r="D92" s="56" t="inlineStr">
        <is>
          <t>GLOBAL_CHECK</t>
        </is>
      </c>
      <c r="E92" s="56">
        <f>IF(G92="",E91,IF(G92&gt;0,E91+G92,E91))</f>
        <v/>
      </c>
      <c r="G92" s="56">
        <f>IFERROR(VLOOKUP($A92&amp;"="&amp;$B92,Results_Deltas!$A$2:$P$15000,5,FALSE),"")</f>
        <v/>
      </c>
      <c r="H92" s="56" t="inlineStr">
        <is>
          <t>Blanket (page end)</t>
        </is>
      </c>
    </row>
    <row r="93">
      <c r="A93" s="63" t="inlineStr">
        <is>
          <t>GR_FILTER_VEC_MIN_TFS</t>
        </is>
      </c>
      <c r="B93" s="56" t="inlineStr">
        <is>
          <t>1</t>
        </is>
      </c>
      <c r="C93" s="56" t="n"/>
      <c r="D93" s="56" t="inlineStr">
        <is>
          <t>GLOBAL_CHECK</t>
        </is>
      </c>
      <c r="E93" s="56">
        <f>IF(G93="",E92,IF(G93&gt;0,E92+G93,E92))</f>
        <v/>
      </c>
      <c r="G93" s="56">
        <f>IFERROR(VLOOKUP($A93&amp;"="&amp;$B93,Results_Deltas!$A$2:$P$15000,5,FALSE),"")</f>
        <v/>
      </c>
      <c r="H93" s="56" t="inlineStr">
        <is>
          <t>Blanket (page end)</t>
        </is>
      </c>
    </row>
    <row r="94">
      <c r="A94" s="63" t="inlineStr">
        <is>
          <t>HA_WICK_QUALITY_ENABLED</t>
        </is>
      </c>
      <c r="B94" s="56" t="inlineStr">
        <is>
          <t>False</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HA_WICK_QUALITY_ENABLED</t>
        </is>
      </c>
      <c r="B95" s="56" t="inlineStr">
        <is>
          <t>True</t>
        </is>
      </c>
      <c r="C95" s="56" t="n"/>
      <c r="D95" s="56" t="inlineStr">
        <is>
          <t>ENTRY, GLOBAL_CHECK, STOCKS_EXIT</t>
        </is>
      </c>
      <c r="E95" s="56">
        <f>IF(G95="",E94,IF(G95&gt;0,E94+G95,E94))</f>
        <v/>
      </c>
      <c r="G95" s="56">
        <f>IFERROR(VLOOKUP($A95&amp;"="&amp;$B95,Results_Deltas!$A$2:$P$15000,5,FALSE),"")</f>
        <v/>
      </c>
      <c r="H95" s="56" t="inlineStr">
        <is>
          <t>Blanket (page end)</t>
        </is>
      </c>
    </row>
    <row r="96">
      <c r="A96" s="63" t="inlineStr">
        <is>
          <t>HA_WICK_QUALITY_SCORE</t>
        </is>
      </c>
      <c r="B96" s="56" t="inlineStr">
        <is>
          <t>15</t>
        </is>
      </c>
      <c r="C96" s="56" t="n"/>
      <c r="D96" s="56" t="inlineStr">
        <is>
          <t>ENTRY, GLOBAL_CHECK, STOCKS_EXIT</t>
        </is>
      </c>
      <c r="E96" s="56">
        <f>IF(G96="",E95,IF(G96&gt;0,E95+G96,E95))</f>
        <v/>
      </c>
      <c r="G96" s="56">
        <f>IFERROR(VLOOKUP($A96&amp;"="&amp;$B96,Results_Deltas!$A$2:$P$15000,5,FALSE),"")</f>
        <v/>
      </c>
      <c r="H96" s="56" t="inlineStr">
        <is>
          <t>Blanket (page end)</t>
        </is>
      </c>
    </row>
    <row r="97">
      <c r="A97" s="63" t="inlineStr">
        <is>
          <t>HA_WICK_QUALITY_SCORE</t>
        </is>
      </c>
      <c r="B97" s="56" t="inlineStr">
        <is>
          <t>15_ALT</t>
        </is>
      </c>
      <c r="C97" s="56" t="n"/>
      <c r="D97" s="56" t="inlineStr">
        <is>
          <t>ENTRY, GLOBAL_CHECK, STOCKS_EXIT</t>
        </is>
      </c>
      <c r="E97" s="56">
        <f>IF(G97="",E96,IF(G97&gt;0,E96+G97,E96))</f>
        <v/>
      </c>
      <c r="G97" s="56">
        <f>IFERROR(VLOOKUP($A97&amp;"="&amp;$B97,Results_Deltas!$A$2:$P$15000,5,FALSE),"")</f>
        <v/>
      </c>
      <c r="H97" s="56" t="inlineStr">
        <is>
          <t>Blanket (page end)</t>
        </is>
      </c>
    </row>
    <row r="98">
      <c r="A98" s="63" t="inlineStr">
        <is>
          <t>HA_WICK_QUALITY_TF</t>
        </is>
      </c>
      <c r="B98" s="56" t="inlineStr">
        <is>
          <t>OFF</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HA_WICK_QUALITY_TF</t>
        </is>
      </c>
      <c r="B99" s="56" t="inlineStr">
        <is>
          <t>D</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HA_WICK_QUALITY_TF</t>
        </is>
      </c>
      <c r="B100" s="56" t="inlineStr">
        <is>
          <t>4h</t>
        </is>
      </c>
      <c r="C100" s="56" t="n"/>
      <c r="D100" s="56" t="inlineStr">
        <is>
          <t>ENTRY, GLOBAL_CHECK, STOCKS_EXIT</t>
        </is>
      </c>
      <c r="E100" s="56">
        <f>IF(G100="",E99,IF(G100&gt;0,E99+G100,E99))</f>
        <v/>
      </c>
      <c r="G100" s="56">
        <f>IFERROR(VLOOKUP($A100&amp;"="&amp;$B100,Results_Deltas!$A$2:$P$15000,5,FALSE),"")</f>
        <v/>
      </c>
      <c r="H100" s="56" t="inlineStr">
        <is>
          <t>Blanket (page end)</t>
        </is>
      </c>
    </row>
    <row r="101">
      <c r="A101" s="63" t="inlineStr">
        <is>
          <t>HA_WICK_QUALITY_TF</t>
        </is>
      </c>
      <c r="B101" s="56" t="inlineStr">
        <is>
          <t>1h</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HA_WICK_QUALITY_TF</t>
        </is>
      </c>
      <c r="B102" s="56" t="inlineStr">
        <is>
          <t>15m</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HLR_SMA_BAND_PCT</t>
        </is>
      </c>
      <c r="B103" s="56" t="inlineStr">
        <is>
          <t>0</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HLR_SMA_BAND_PCT</t>
        </is>
      </c>
      <c r="B104" s="56" t="inlineStr">
        <is>
          <t>2.0</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HLR_SMA_BAND_PCT</t>
        </is>
      </c>
      <c r="B105" s="56" t="inlineStr">
        <is>
          <t>1.0</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HLR_SMA_BAND_PCT</t>
        </is>
      </c>
      <c r="B106" s="56" t="inlineStr">
        <is>
          <t>0.5</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HLR_TOP_MIN_TFS</t>
        </is>
      </c>
      <c r="B107" s="56" t="inlineStr">
        <is>
          <t>0</t>
        </is>
      </c>
      <c r="C107" s="56" t="n"/>
      <c r="D107" s="56" t="inlineStr">
        <is>
          <t>GLOBAL_CHECK, REENTRY, STOCKS_EXIT</t>
        </is>
      </c>
      <c r="E107" s="56">
        <f>IF(G107="",E106,IF(G107&gt;0,E106+G107,E106))</f>
        <v/>
      </c>
      <c r="G107" s="56">
        <f>IFERROR(VLOOKUP($A107&amp;"="&amp;$B107,Results_Deltas!$A$2:$P$15000,5,FALSE),"")</f>
        <v/>
      </c>
      <c r="H107" s="56" t="inlineStr">
        <is>
          <t>Blanket (page end)</t>
        </is>
      </c>
    </row>
    <row r="108">
      <c r="A108" s="63" t="inlineStr">
        <is>
          <t>HLR_TOP_MIN_TFS</t>
        </is>
      </c>
      <c r="B108" s="56" t="inlineStr">
        <is>
          <t>2</t>
        </is>
      </c>
      <c r="C108" s="56" t="n"/>
      <c r="D108" s="56" t="inlineStr">
        <is>
          <t>GLOBAL_CHECK, REENTRY, STOCKS_EXIT</t>
        </is>
      </c>
      <c r="E108" s="56">
        <f>IF(G108="",E107,IF(G108&gt;0,E107+G108,E107))</f>
        <v/>
      </c>
      <c r="G108" s="56">
        <f>IFERROR(VLOOKUP($A108&amp;"="&amp;$B108,Results_Deltas!$A$2:$P$15000,5,FALSE),"")</f>
        <v/>
      </c>
      <c r="H108" s="56" t="inlineStr">
        <is>
          <t>Blanket (page end)</t>
        </is>
      </c>
    </row>
    <row r="109">
      <c r="A109" s="63" t="inlineStr">
        <is>
          <t>HLR_TOP_MIN_TFS</t>
        </is>
      </c>
      <c r="B109" s="56" t="inlineStr">
        <is>
          <t>1</t>
        </is>
      </c>
      <c r="C109" s="56" t="n"/>
      <c r="D109" s="56" t="inlineStr">
        <is>
          <t>GLOBAL_CHECK, REENTRY, STOCKS_EXIT</t>
        </is>
      </c>
      <c r="E109" s="56">
        <f>IF(G109="",E108,IF(G109&gt;0,E108+G109,E108))</f>
        <v/>
      </c>
      <c r="G109" s="56">
        <f>IFERROR(VLOOKUP($A109&amp;"="&amp;$B109,Results_Deltas!$A$2:$P$15000,5,FALSE),"")</f>
        <v/>
      </c>
      <c r="H109" s="56" t="inlineStr">
        <is>
          <t>Blanket (page end)</t>
        </is>
      </c>
    </row>
    <row r="110">
      <c r="A110" s="63" t="inlineStr">
        <is>
          <t>HTF4_CONF</t>
        </is>
      </c>
      <c r="B110" s="56" t="inlineStr">
        <is>
          <t>False</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HTF4_CONF</t>
        </is>
      </c>
      <c r="B111" s="56" t="inlineStr">
        <is>
          <t>False_ALT</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HTF_DIRECTION_GATE_ENABLED</t>
        </is>
      </c>
      <c r="B112" s="56" t="inlineStr">
        <is>
          <t>False</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HTF_DIRECTION_GATE_ENABLED</t>
        </is>
      </c>
      <c r="B113" s="56" t="inlineStr">
        <is>
          <t>True</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HTF_GATE_BYPASS_RZ</t>
        </is>
      </c>
      <c r="B114" s="56" t="inlineStr">
        <is>
          <t>0.0</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HTF_GATE_BYPASS_RZ</t>
        </is>
      </c>
      <c r="B115" s="56" t="inlineStr">
        <is>
          <t>0.0_ALT</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HTF_GATE_D_MANDATORY</t>
        </is>
      </c>
      <c r="B116" s="56" t="inlineStr">
        <is>
          <t>0.0</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HTF_GATE_D_MANDATORY</t>
        </is>
      </c>
      <c r="B117" s="56" t="inlineStr">
        <is>
          <t>0.0_ALT</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HTF_GATE_MIN_CONFIRMATIONS</t>
        </is>
      </c>
      <c r="B118" s="56" t="inlineStr">
        <is>
          <t>0.0</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HTF_GATE_MIN_CONFIRMATIONS</t>
        </is>
      </c>
      <c r="B119" s="56" t="inlineStr">
        <is>
          <t>0.0_ALT</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HTF_TREND_VETO_BYPASS_ENABLED</t>
        </is>
      </c>
      <c r="B120" s="56" t="inlineStr">
        <is>
          <t>False</t>
        </is>
      </c>
      <c r="C120" s="56" t="n"/>
      <c r="D120" s="56" t="inlineStr">
        <is>
          <t>GLOBAL_CHECK, STOCKS_EXIT</t>
        </is>
      </c>
      <c r="E120" s="56">
        <f>IF(G120="",E119,IF(G120&gt;0,E119+G120,E119))</f>
        <v/>
      </c>
      <c r="G120" s="56">
        <f>IFERROR(VLOOKUP($A120&amp;"="&amp;$B120,Results_Deltas!$A$2:$P$15000,5,FALSE),"")</f>
        <v/>
      </c>
      <c r="H120" s="56" t="inlineStr">
        <is>
          <t>Blanket (page end)</t>
        </is>
      </c>
    </row>
    <row r="121">
      <c r="A121" s="63" t="inlineStr">
        <is>
          <t>HTF_TREND_VETO_BYPASS_ENABLED</t>
        </is>
      </c>
      <c r="B121" s="56" t="inlineStr">
        <is>
          <t>True</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HTF_TREND_VETO_BYPASS_REASONS</t>
        </is>
      </c>
      <c r="B122" s="56" t="inlineStr">
        <is>
          <t>0.0</t>
        </is>
      </c>
      <c r="C122" s="56" t="n"/>
      <c r="D122" s="56" t="inlineStr">
        <is>
          <t>GLOBAL_CHECK, STOCKS_EXIT</t>
        </is>
      </c>
      <c r="E122" s="56">
        <f>IF(G122="",E121,IF(G122&gt;0,E121+G122,E121))</f>
        <v/>
      </c>
      <c r="G122" s="56">
        <f>IFERROR(VLOOKUP($A122&amp;"="&amp;$B122,Results_Deltas!$A$2:$P$15000,5,FALSE),"")</f>
        <v/>
      </c>
      <c r="H122" s="56" t="inlineStr">
        <is>
          <t>Blanket (page end)</t>
        </is>
      </c>
    </row>
    <row r="123">
      <c r="A123" s="63" t="inlineStr">
        <is>
          <t>HTF_TREND_VETO_BYPASS_REASONS</t>
        </is>
      </c>
      <c r="B123" s="56" t="inlineStr">
        <is>
          <t>0.0_ALT</t>
        </is>
      </c>
      <c r="C123" s="56" t="n"/>
      <c r="D123" s="56" t="inlineStr">
        <is>
          <t>GLOBAL_CHECK, STOCKS_EXIT</t>
        </is>
      </c>
      <c r="E123" s="56">
        <f>IF(G123="",E122,IF(G123&gt;0,E122+G123,E122))</f>
        <v/>
      </c>
      <c r="G123" s="56">
        <f>IFERROR(VLOOKUP($A123&amp;"="&amp;$B123,Results_Deltas!$A$2:$P$15000,5,FALSE),"")</f>
        <v/>
      </c>
      <c r="H123" s="56" t="inlineStr">
        <is>
          <t>Blanket (page end)</t>
        </is>
      </c>
    </row>
    <row r="124">
      <c r="A124" s="63" t="inlineStr">
        <is>
          <t>LEADERBOARD_FILTER</t>
        </is>
      </c>
      <c r="B124" s="56" t="inlineStr">
        <is>
          <t>False</t>
        </is>
      </c>
      <c r="C124" s="56" t="n"/>
      <c r="D124" s="56" t="inlineStr">
        <is>
          <t>AUGMENT, ENTRY, EXIT, GLOBAL_CHECK, REDUCE, STOCKS_EXIT</t>
        </is>
      </c>
      <c r="E124" s="56">
        <f>IF(G124="",E123,IF(G124&gt;0,E123+G124,E123))</f>
        <v/>
      </c>
      <c r="G124" s="56">
        <f>IFERROR(VLOOKUP($A124&amp;"="&amp;$B124,Results_Deltas!$A$2:$P$15000,5,FALSE),"")</f>
        <v/>
      </c>
      <c r="H124" s="56" t="inlineStr">
        <is>
          <t>Blanket (page end)</t>
        </is>
      </c>
    </row>
    <row r="125">
      <c r="A125" s="63" t="inlineStr">
        <is>
          <t>LEADERBOARD_FILTER</t>
        </is>
      </c>
      <c r="B125" s="56" t="inlineStr">
        <is>
          <t>False_ALT</t>
        </is>
      </c>
      <c r="C125" s="56" t="n"/>
      <c r="D125" s="56" t="inlineStr">
        <is>
          <t>AUGMENT, ENTRY, EXIT, GLOBAL_CHECK, REDUCE, STOCKS_EXIT</t>
        </is>
      </c>
      <c r="E125" s="56">
        <f>IF(G125="",E124,IF(G125&gt;0,E124+G125,E124))</f>
        <v/>
      </c>
      <c r="G125" s="56">
        <f>IFERROR(VLOOKUP($A125&amp;"="&amp;$B125,Results_Deltas!$A$2:$P$15000,5,FALSE),"")</f>
        <v/>
      </c>
      <c r="H125" s="56" t="inlineStr">
        <is>
          <t>Blanket (page end)</t>
        </is>
      </c>
    </row>
    <row r="126">
      <c r="A126" s="63" t="inlineStr">
        <is>
          <t>LH_HL_FILTER_ENABLED</t>
        </is>
      </c>
      <c r="B126" s="56" t="inlineStr">
        <is>
          <t>False</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LH_HL_FILTER_ENABLED</t>
        </is>
      </c>
      <c r="B127" s="56" t="inlineStr">
        <is>
          <t>True</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LH_HL_FILTER_MODE</t>
        </is>
      </c>
      <c r="B128" s="56" t="inlineStr">
        <is>
          <t>STRICT_2BAR</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LH_HL_FILTER_MODE</t>
        </is>
      </c>
      <c r="B129" s="56" t="inlineStr">
        <is>
          <t>STRICT_2BAR_ALT</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LH_HL_FILTER_REQUIRE_BOTH</t>
        </is>
      </c>
      <c r="B130" s="56" t="inlineStr">
        <is>
          <t>False</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LH_HL_FILTER_REQUIRE_BOTH</t>
        </is>
      </c>
      <c r="B131" s="56" t="inlineStr">
        <is>
          <t>False_ALT</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LIVE_VEC_EMERGENCY_BRAKE_ENABLED</t>
        </is>
      </c>
      <c r="B132" s="56" t="inlineStr">
        <is>
          <t>False</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LIVE_VEC_EMERGENCY_BRAKE_ENABLED</t>
        </is>
      </c>
      <c r="B133" s="56" t="inlineStr">
        <is>
          <t>True</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LR_BAND_LADDER_STOCH_EXTREME</t>
        </is>
      </c>
      <c r="B134" s="56" t="inlineStr">
        <is>
          <t>30.0</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LR_BAND_LADDER_STOCH_EXTREME</t>
        </is>
      </c>
      <c r="B135" s="56" t="inlineStr">
        <is>
          <t>30.0_ALT</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LR_BAND_LADDER_TF_BOTTOM</t>
        </is>
      </c>
      <c r="B136" s="56" t="inlineStr">
        <is>
          <t>0</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LR_BAND_LADDER_TF_BOTTOM</t>
        </is>
      </c>
      <c r="B137" s="56" t="inlineStr">
        <is>
          <t>1</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LR_BAND_LADDER_TF_TOP</t>
        </is>
      </c>
      <c r="B138" s="56" t="inlineStr">
        <is>
          <t>0</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LR_BAND_LADDER_TF_TOP</t>
        </is>
      </c>
      <c r="B139" s="56" t="inlineStr">
        <is>
          <t>1</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MANDATORY_REENTRY_WT_FILTER_MIN_TFS</t>
        </is>
      </c>
      <c r="B140" s="56" t="inlineStr">
        <is>
          <t>1</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MANDATORY_REENTRY_WT_FILTER_MIN_TFS</t>
        </is>
      </c>
      <c r="B141" s="56" t="inlineStr">
        <is>
          <t>3</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MANDATORY_REENTRY_WT_FILTER_MIN_TFS</t>
        </is>
      </c>
      <c r="B142" s="56" t="inlineStr">
        <is>
          <t>2</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MANDATORY_REENTRY_WT_FILTER_MIN_VELOCITY</t>
        </is>
      </c>
      <c r="B143" s="56" t="inlineStr">
        <is>
          <t>0.0</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MANDATORY_REENTRY_WT_FILTER_MIN_VELOCITY</t>
        </is>
      </c>
      <c r="B144" s="56" t="inlineStr">
        <is>
          <t>0.0_ALT</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MANDATORY_REENTRY_WT_FILTER_REQUIRE_FLIP</t>
        </is>
      </c>
      <c r="B145" s="56" t="inlineStr">
        <is>
          <t>False</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MANDATORY_REENTRY_WT_FILTER_REQUIRE_FLIP</t>
        </is>
      </c>
      <c r="B146" s="56" t="inlineStr">
        <is>
          <t>False_ALT</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MANDATORY_REENTRY_WT_FILTER_VELOCITY_RATIO</t>
        </is>
      </c>
      <c r="B147" s="56" t="inlineStr">
        <is>
          <t>0.90</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MANDATORY_REENTRY_WT_FILTER_VELOCITY_RATIO</t>
        </is>
      </c>
      <c r="B148" s="56" t="inlineStr">
        <is>
          <t>0.90_ALT</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MARKET_QUALITY_SCORE_ENABLED</t>
        </is>
      </c>
      <c r="B149" s="56" t="inlineStr">
        <is>
          <t>False</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MARKET_QUALITY_SCORE_ENABLED</t>
        </is>
      </c>
      <c r="B150" s="56" t="inlineStr">
        <is>
          <t>True</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MI_TF_AGREE_MIN</t>
        </is>
      </c>
      <c r="B151" s="56" t="inlineStr">
        <is>
          <t>0.0</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MI_TF_AGREE_MIN</t>
        </is>
      </c>
      <c r="B152" s="56" t="inlineStr">
        <is>
          <t>0.0_ALT</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MOVER_THRESHOLD</t>
        </is>
      </c>
      <c r="B153" s="56" t="inlineStr">
        <is>
          <t>5</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MOVER_THRESHOLD</t>
        </is>
      </c>
      <c r="B154" s="56" t="inlineStr">
        <is>
          <t>6.25</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MOVER_THRESHOLD</t>
        </is>
      </c>
      <c r="B155" s="56" t="inlineStr">
        <is>
          <t>3.75</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MOVER_THRESHOLD</t>
        </is>
      </c>
      <c r="B156" s="56" t="inlineStr">
        <is>
          <t>2.5</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MTF_FILTER_STRONG_BUY_QUICK_BYPASS</t>
        </is>
      </c>
      <c r="B157" s="56" t="inlineStr">
        <is>
          <t>0.0</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MTF_FILTER_STRONG_BUY_QUICK_BYPASS</t>
        </is>
      </c>
      <c r="B158" s="56" t="inlineStr">
        <is>
          <t>0.0_ALT</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MTF_GR_MIN_IND</t>
        </is>
      </c>
      <c r="B159" s="56" t="inlineStr">
        <is>
          <t>5</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MTF_GR_MIN_IND</t>
        </is>
      </c>
      <c r="B160" s="56" t="inlineStr">
        <is>
          <t>5_ALT</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MTS_BOTTOM_BONUS_THRESHOLD</t>
        </is>
      </c>
      <c r="B161" s="56" t="inlineStr">
        <is>
          <t>25</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MTS_BOTTOM_BONUS_THRESHOLD</t>
        </is>
      </c>
      <c r="B162" s="56" t="inlineStr">
        <is>
          <t>31.25</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MTS_BOTTOM_BONUS_THRESHOLD</t>
        </is>
      </c>
      <c r="B163" s="56" t="inlineStr">
        <is>
          <t>18.75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MTS_BOTTOM_BONUS_THRESHOLD</t>
        </is>
      </c>
      <c r="B164" s="56" t="inlineStr">
        <is>
          <t>12.5</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MTS_BOTTOM_STRONG_THRESHOLD</t>
        </is>
      </c>
      <c r="B165" s="56" t="inlineStr">
        <is>
          <t>40</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MTS_BOTTOM_STRONG_THRESHOLD</t>
        </is>
      </c>
      <c r="B166" s="56" t="inlineStr">
        <is>
          <t>50</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MTS_BOTTOM_STRONG_THRESHOLD</t>
        </is>
      </c>
      <c r="B167" s="56" t="inlineStr">
        <is>
          <t>30</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MTS_BOTTOM_STRONG_THRESHOLD</t>
        </is>
      </c>
      <c r="B168" s="56" t="inlineStr">
        <is>
          <t>20</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MTS_GATE_ENABLED</t>
        </is>
      </c>
      <c r="B169" s="56" t="inlineStr">
        <is>
          <t>False</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MTS_GATE_ENABLED</t>
        </is>
      </c>
      <c r="B170" s="56" t="inlineStr">
        <is>
          <t>True</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NEWBORN_LOSS_KILL_GAIN_THRESHOLD_PCT</t>
        </is>
      </c>
      <c r="B171" s="56" t="inlineStr">
        <is>
          <t>0</t>
        </is>
      </c>
      <c r="C171" s="56" t="n"/>
      <c r="D171" s="56" t="inlineStr">
        <is>
          <t>AUGMENT, EXIT, GLOBAL_CHECK, REDUCE, STOCKS_EXIT</t>
        </is>
      </c>
      <c r="E171" s="56">
        <f>IF(G171="",E170,IF(G171&gt;0,E170+G171,E170))</f>
        <v/>
      </c>
      <c r="G171" s="56">
        <f>IFERROR(VLOOKUP($A171&amp;"="&amp;$B171,Results_Deltas!$A$2:$P$15000,5,FALSE),"")</f>
        <v/>
      </c>
      <c r="H171" s="56" t="inlineStr">
        <is>
          <t>Blanket (page end)</t>
        </is>
      </c>
    </row>
    <row r="172">
      <c r="A172" s="63" t="inlineStr">
        <is>
          <t>NEWBORN_LOSS_KILL_GAIN_THRESHOLD_PCT</t>
        </is>
      </c>
      <c r="B172" s="56" t="inlineStr">
        <is>
          <t>2.0</t>
        </is>
      </c>
      <c r="C172" s="56" t="n"/>
      <c r="D172" s="56" t="inlineStr">
        <is>
          <t>AUGMENT, EXIT, GLOBAL_CHECK, REDUCE, STOCKS_EXIT</t>
        </is>
      </c>
      <c r="E172" s="56">
        <f>IF(G172="",E171,IF(G172&gt;0,E171+G172,E171))</f>
        <v/>
      </c>
      <c r="G172" s="56">
        <f>IFERROR(VLOOKUP($A172&amp;"="&amp;$B172,Results_Deltas!$A$2:$P$15000,5,FALSE),"")</f>
        <v/>
      </c>
      <c r="H172" s="56" t="inlineStr">
        <is>
          <t>Blanket (page end)</t>
        </is>
      </c>
    </row>
    <row r="173">
      <c r="A173" s="63" t="inlineStr">
        <is>
          <t>NEWBORN_LOSS_KILL_GAIN_THRESHOLD_PCT</t>
        </is>
      </c>
      <c r="B173" s="56" t="inlineStr">
        <is>
          <t>1.0</t>
        </is>
      </c>
      <c r="C173" s="56" t="n"/>
      <c r="D173" s="56" t="inlineStr">
        <is>
          <t>AUGMENT, EXIT, GLOBAL_CHECK, REDUCE, STOCKS_EXIT</t>
        </is>
      </c>
      <c r="E173" s="56">
        <f>IF(G173="",E172,IF(G173&gt;0,E172+G173,E172))</f>
        <v/>
      </c>
      <c r="G173" s="56">
        <f>IFERROR(VLOOKUP($A173&amp;"="&amp;$B173,Results_Deltas!$A$2:$P$15000,5,FALSE),"")</f>
        <v/>
      </c>
      <c r="H173" s="56" t="inlineStr">
        <is>
          <t>Blanket (page end)</t>
        </is>
      </c>
    </row>
    <row r="174">
      <c r="A174" s="63" t="inlineStr">
        <is>
          <t>NEWBORN_LOSS_KILL_GAIN_THRESHOLD_PCT</t>
        </is>
      </c>
      <c r="B174" s="56" t="inlineStr">
        <is>
          <t>0.5</t>
        </is>
      </c>
      <c r="C174" s="56" t="n"/>
      <c r="D174" s="56" t="inlineStr">
        <is>
          <t>AUGMENT, EXIT, GLOBAL_CHECK, REDUCE, STOCKS_EXIT</t>
        </is>
      </c>
      <c r="E174" s="56">
        <f>IF(G174="",E173,IF(G174&gt;0,E173+G174,E173))</f>
        <v/>
      </c>
      <c r="G174" s="56">
        <f>IFERROR(VLOOKUP($A174&amp;"="&amp;$B174,Results_Deltas!$A$2:$P$15000,5,FALSE),"")</f>
        <v/>
      </c>
      <c r="H174" s="56" t="inlineStr">
        <is>
          <t>Blanket (page end)</t>
        </is>
      </c>
    </row>
    <row r="175">
      <c r="A175" s="63" t="inlineStr">
        <is>
          <t>NEWBORN_LOSS_KILL_REQUIRE_VEL_AGAINST</t>
        </is>
      </c>
      <c r="B175" s="56" t="inlineStr">
        <is>
          <t>0.0</t>
        </is>
      </c>
      <c r="C175" s="56" t="n"/>
      <c r="D175" s="56" t="inlineStr">
        <is>
          <t>AUGMENT, EXIT, GLOBAL_CHECK, REDUCE, STOCKS_EXIT</t>
        </is>
      </c>
      <c r="E175" s="56">
        <f>IF(G175="",E174,IF(G175&gt;0,E174+G175,E174))</f>
        <v/>
      </c>
      <c r="G175" s="56">
        <f>IFERROR(VLOOKUP($A175&amp;"="&amp;$B175,Results_Deltas!$A$2:$P$15000,5,FALSE),"")</f>
        <v/>
      </c>
      <c r="H175" s="56" t="inlineStr">
        <is>
          <t>Blanket (page end)</t>
        </is>
      </c>
    </row>
    <row r="176">
      <c r="A176" s="63" t="inlineStr">
        <is>
          <t>NEWBORN_LOSS_KILL_REQUIRE_VEL_AGAINST</t>
        </is>
      </c>
      <c r="B176" s="56" t="inlineStr">
        <is>
          <t>0.0_ALT</t>
        </is>
      </c>
      <c r="C176" s="56" t="n"/>
      <c r="D176" s="56" t="inlineStr">
        <is>
          <t>AUGMENT, EXIT, GLOBAL_CHECK, REDUCE, STOCKS_EXIT</t>
        </is>
      </c>
      <c r="E176" s="56">
        <f>IF(G176="",E175,IF(G176&gt;0,E175+G176,E175))</f>
        <v/>
      </c>
      <c r="G176" s="56">
        <f>IFERROR(VLOOKUP($A176&amp;"="&amp;$B176,Results_Deltas!$A$2:$P$15000,5,FALSE),"")</f>
        <v/>
      </c>
      <c r="H176" s="56" t="inlineStr">
        <is>
          <t>Blanket (page end)</t>
        </is>
      </c>
    </row>
    <row r="177">
      <c r="A177" s="63" t="inlineStr">
        <is>
          <t>NEW_POSITION_MAX_LOSS_THRESHOLD</t>
        </is>
      </c>
      <c r="B177" s="56" t="inlineStr">
        <is>
          <t>0</t>
        </is>
      </c>
      <c r="C177" s="56" t="n"/>
      <c r="D177" s="56" t="inlineStr">
        <is>
          <t>AUGMENT, EXIT, GLOBAL_CHECK, REDUCE, STOCKS_EXIT</t>
        </is>
      </c>
      <c r="E177" s="56">
        <f>IF(G177="",E176,IF(G177&gt;0,E176+G177,E176))</f>
        <v/>
      </c>
      <c r="G177" s="56">
        <f>IFERROR(VLOOKUP($A177&amp;"="&amp;$B177,Results_Deltas!$A$2:$P$15000,5,FALSE),"")</f>
        <v/>
      </c>
      <c r="H177" s="56" t="inlineStr">
        <is>
          <t>Blanket (page end)</t>
        </is>
      </c>
    </row>
    <row r="178">
      <c r="A178" s="63" t="inlineStr">
        <is>
          <t>NEW_POSITION_MAX_LOSS_THRESHOLD</t>
        </is>
      </c>
      <c r="B178" s="56" t="inlineStr">
        <is>
          <t>2.0</t>
        </is>
      </c>
      <c r="C178" s="56" t="n"/>
      <c r="D178" s="56" t="inlineStr">
        <is>
          <t>AUGMENT, EXIT, GLOBAL_CHECK, REDUCE, STOCKS_EXIT</t>
        </is>
      </c>
      <c r="E178" s="56">
        <f>IF(G178="",E177,IF(G178&gt;0,E177+G178,E177))</f>
        <v/>
      </c>
      <c r="G178" s="56">
        <f>IFERROR(VLOOKUP($A178&amp;"="&amp;$B178,Results_Deltas!$A$2:$P$15000,5,FALSE),"")</f>
        <v/>
      </c>
      <c r="H178" s="56" t="inlineStr">
        <is>
          <t>Blanket (page end)</t>
        </is>
      </c>
    </row>
    <row r="179">
      <c r="A179" s="63" t="inlineStr">
        <is>
          <t>NEW_POSITION_MAX_LOSS_THRESHOLD</t>
        </is>
      </c>
      <c r="B179" s="56" t="inlineStr">
        <is>
          <t>1.0</t>
        </is>
      </c>
      <c r="C179" s="56" t="n"/>
      <c r="D179" s="56" t="inlineStr">
        <is>
          <t>AUGMENT, EXIT, GLOBAL_CHECK, REDUCE, STOCKS_EXIT</t>
        </is>
      </c>
      <c r="E179" s="56">
        <f>IF(G179="",E178,IF(G179&gt;0,E178+G179,E178))</f>
        <v/>
      </c>
      <c r="G179" s="56">
        <f>IFERROR(VLOOKUP($A179&amp;"="&amp;$B179,Results_Deltas!$A$2:$P$15000,5,FALSE),"")</f>
        <v/>
      </c>
      <c r="H179" s="56" t="inlineStr">
        <is>
          <t>Blanket (page end)</t>
        </is>
      </c>
    </row>
    <row r="180">
      <c r="A180" s="63" t="inlineStr">
        <is>
          <t>NEW_POSITION_MAX_LOSS_THRESHOLD</t>
        </is>
      </c>
      <c r="B180" s="56" t="inlineStr">
        <is>
          <t>0.5</t>
        </is>
      </c>
      <c r="C180" s="56" t="n"/>
      <c r="D180" s="56" t="inlineStr">
        <is>
          <t>AUGMENT, EXIT, GLOBAL_CHECK, REDUCE, STOCKS_EXIT</t>
        </is>
      </c>
      <c r="E180" s="56">
        <f>IF(G180="",E179,IF(G180&gt;0,E179+G180,E179))</f>
        <v/>
      </c>
      <c r="G180" s="56">
        <f>IFERROR(VLOOKUP($A180&amp;"="&amp;$B180,Results_Deltas!$A$2:$P$15000,5,FALSE),"")</f>
        <v/>
      </c>
      <c r="H180" s="56" t="inlineStr">
        <is>
          <t>Blanket (page end)</t>
        </is>
      </c>
    </row>
    <row r="181">
      <c r="A181" s="63" t="inlineStr">
        <is>
          <t>OI_CONFIRM_ENABLED</t>
        </is>
      </c>
      <c r="B181" s="56" t="inlineStr">
        <is>
          <t>False</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OI_CONFIRM_ENABLED</t>
        </is>
      </c>
      <c r="B182" s="56" t="inlineStr">
        <is>
          <t>True</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OI_CONFIRM_MIN_CHANGE_PCT</t>
        </is>
      </c>
      <c r="B183" s="56" t="inlineStr">
        <is>
          <t>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OI_CONFIRM_MIN_CHANGE_PCT</t>
        </is>
      </c>
      <c r="B184" s="56" t="inlineStr">
        <is>
          <t>2.0</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OI_CONFIRM_MIN_CHANGE_PCT</t>
        </is>
      </c>
      <c r="B185" s="56" t="inlineStr">
        <is>
          <t>1.0</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OI_CONFIRM_MIN_CHANGE_PCT</t>
        </is>
      </c>
      <c r="B186" s="56" t="inlineStr">
        <is>
          <t>0.5</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OI_CONFIRM_MIN_PRICE_PCT</t>
        </is>
      </c>
      <c r="B187" s="56" t="inlineStr">
        <is>
          <t>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OI_CONFIRM_MIN_PRICE_PCT</t>
        </is>
      </c>
      <c r="B188" s="56" t="inlineStr">
        <is>
          <t>2.0</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OI_CONFIRM_MIN_PRICE_PCT</t>
        </is>
      </c>
      <c r="B189" s="56" t="inlineStr">
        <is>
          <t>1.0</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OI_CONFIRM_MIN_PRICE_PCT</t>
        </is>
      </c>
      <c r="B190" s="56" t="inlineStr">
        <is>
          <t>0.5</t>
        </is>
      </c>
      <c r="C190" s="56" t="n"/>
      <c r="D190" s="56" t="inlineStr">
        <is>
          <t>ENTRY, GLOBAL_CHECK, STOCKS_EXIT</t>
        </is>
      </c>
      <c r="E190" s="56">
        <f>IF(G190="",E189,IF(G190&gt;0,E189+G190,E189))</f>
        <v/>
      </c>
      <c r="G190" s="56">
        <f>IFERROR(VLOOKUP($A190&amp;"="&amp;$B190,Results_Deltas!$A$2:$P$15000,5,FALSE),"")</f>
        <v/>
      </c>
      <c r="H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M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STDEV_BREAKOUT_EXIT_PCTB_FAIL</t>
        </is>
      </c>
      <c r="B3" s="11" t="inlineStr">
        <is>
          <t>0</t>
        </is>
      </c>
      <c r="E3">
        <f>MAX('ENTRY_CONFIRMATION_GATES'!E:E)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ez_manage.py:4040 top()</t>
        </is>
      </c>
      <c r="IL3" s="9" t="inlineStr">
        <is>
          <t>v12_quick_engine.py:3276 x2</t>
        </is>
      </c>
    </row>
    <row r="4" ht="11" customHeight="1">
      <c r="A4" s="10" t="inlineStr">
        <is>
          <t>STDEV_BREAKOUT_EXIT_PCTB_FAIL</t>
        </is>
      </c>
      <c r="B4" s="11" t="inlineStr">
        <is>
          <t>0.5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ez_manage.py:4040 top()</t>
        </is>
      </c>
      <c r="IL4" s="9" t="inlineStr">
        <is>
          <t>v12_quick_engine.py:3276 x2</t>
        </is>
      </c>
    </row>
    <row r="5" ht="11" customHeight="1">
      <c r="A5" s="10" t="inlineStr">
        <is>
          <t>STDEV_BREAKOUT_EXIT_PCTB_FAIL</t>
        </is>
      </c>
      <c r="B5" s="11" t="inlineStr">
        <is>
          <t>1.0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ez_manage.py:4040 top()</t>
        </is>
      </c>
      <c r="IL5" s="9" t="inlineStr">
        <is>
          <t>v12_quick_engine.py:3276 x2</t>
        </is>
      </c>
    </row>
    <row r="6" ht="11" customHeight="1">
      <c r="A6" s="10" t="inlineStr">
        <is>
          <t>STDEV_BREAKOUT_EXIT_PCTB_FAIL</t>
        </is>
      </c>
      <c r="B6" s="11" t="inlineStr">
        <is>
          <t>2.0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ez_manage.py:4040 top()</t>
        </is>
      </c>
      <c r="IL6" s="9" t="inlineStr">
        <is>
          <t>v12_quick_engine.py:3276 x2</t>
        </is>
      </c>
    </row>
    <row r="7" ht="11" customHeight="1">
      <c r="A7" s="6" t="inlineStr">
        <is>
          <t>ALL_TF_AGAINST_CLOSE_ENABLED</t>
        </is>
      </c>
      <c r="B7" s="7" t="inlineStr">
        <is>
          <t>False</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ez_manage.py:4325 top()</t>
        </is>
      </c>
      <c r="IL7" s="9" t="inlineStr">
        <is>
          <t>v12_quick_engine.py:174 x6</t>
        </is>
      </c>
    </row>
    <row r="8" ht="11" customHeight="1">
      <c r="A8" s="10" t="inlineStr">
        <is>
          <t>ALL_TF_AGAINST_CLOSE_ENABLED</t>
        </is>
      </c>
      <c r="B8" s="11" t="inlineStr">
        <is>
          <t>True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ez_manage.py:4325 top()</t>
        </is>
      </c>
      <c r="IL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G10" s="62" t="inlineStr">
        <is>
          <t>Rec</t>
        </is>
      </c>
      <c r="H10" s="62" t="inlineStr">
        <is>
          <t>Tested As</t>
        </is>
      </c>
      <c r="I10" s="62" t="inlineStr">
        <is>
          <t>Notes</t>
        </is>
      </c>
    </row>
    <row r="11">
      <c r="A11" s="63" t="inlineStr">
        <is>
          <t>ADX_RANGING_THRESHOLD</t>
        </is>
      </c>
      <c r="B11" s="56" t="inlineStr">
        <is>
          <t>20</t>
        </is>
      </c>
      <c r="C11" s="56" t="n"/>
      <c r="D11" s="56" t="inlineStr">
        <is>
          <t>ENTRY, GLOBAL_CHECK, STOCKS_EXIT</t>
        </is>
      </c>
      <c r="E11" s="56">
        <f>IF(G11="",E10,IF(G11&gt;0,E10+G11,E10))</f>
        <v/>
      </c>
      <c r="G11" s="56">
        <f>IFERROR(VLOOKUP($A11&amp;"="&amp;$B11,Results_Deltas!$A$2:$P$15000,5,FALSE),"")</f>
        <v/>
      </c>
      <c r="H11" s="56" t="inlineStr">
        <is>
          <t>Blanket (page end)</t>
        </is>
      </c>
    </row>
    <row r="12">
      <c r="A12" s="63" t="inlineStr">
        <is>
          <t>ADX_RANGING_THRESHOLD</t>
        </is>
      </c>
      <c r="B12" s="56" t="inlineStr">
        <is>
          <t>25</t>
        </is>
      </c>
      <c r="C12" s="56" t="n"/>
      <c r="D12" s="56" t="inlineStr">
        <is>
          <t>ENTRY, GLOBAL_CHECK, STOCKS_EXIT</t>
        </is>
      </c>
      <c r="E12" s="56">
        <f>IF(G12="",E11,IF(G12&gt;0,E11+G12,E11))</f>
        <v/>
      </c>
      <c r="G12" s="56">
        <f>IFERROR(VLOOKUP($A12&amp;"="&amp;$B12,Results_Deltas!$A$2:$P$15000,5,FALSE),"")</f>
        <v/>
      </c>
      <c r="H12" s="56" t="inlineStr">
        <is>
          <t>Blanket (page end)</t>
        </is>
      </c>
    </row>
    <row r="13">
      <c r="A13" s="63" t="inlineStr">
        <is>
          <t>ADX_RANGING_THRESHOLD</t>
        </is>
      </c>
      <c r="B13" s="56" t="inlineStr">
        <is>
          <t>15</t>
        </is>
      </c>
      <c r="C13" s="56" t="n"/>
      <c r="D13" s="56" t="inlineStr">
        <is>
          <t>ENTRY, GLOBAL_CHECK, STOCKS_EXIT</t>
        </is>
      </c>
      <c r="E13" s="56">
        <f>IF(G13="",E12,IF(G13&gt;0,E12+G13,E12))</f>
        <v/>
      </c>
      <c r="G13" s="56">
        <f>IFERROR(VLOOKUP($A13&amp;"="&amp;$B13,Results_Deltas!$A$2:$P$15000,5,FALSE),"")</f>
        <v/>
      </c>
      <c r="H13" s="56" t="inlineStr">
        <is>
          <t>Blanket (page end)</t>
        </is>
      </c>
    </row>
    <row r="14">
      <c r="A14" s="63" t="inlineStr">
        <is>
          <t>ADX_RANGING_THRESHOLD</t>
        </is>
      </c>
      <c r="B14" s="56" t="inlineStr">
        <is>
          <t>10</t>
        </is>
      </c>
      <c r="C14" s="56" t="n"/>
      <c r="D14" s="56" t="inlineStr">
        <is>
          <t>ENTRY, GLOBAL_CHECK, STOCKS_EXIT</t>
        </is>
      </c>
      <c r="E14" s="56">
        <f>IF(G14="",E13,IF(G14&gt;0,E13+G14,E13))</f>
        <v/>
      </c>
      <c r="G14" s="56">
        <f>IFERROR(VLOOKUP($A14&amp;"="&amp;$B14,Results_Deltas!$A$2:$P$15000,5,FALSE),"")</f>
        <v/>
      </c>
      <c r="H14" s="56" t="inlineStr">
        <is>
          <t>Blanket (page end)</t>
        </is>
      </c>
    </row>
    <row r="15">
      <c r="A15" s="63" t="inlineStr">
        <is>
          <t>BANDAID_OFF_LOSER_RECOVER_PCT</t>
        </is>
      </c>
      <c r="B15" s="56" t="inlineStr">
        <is>
          <t>0</t>
        </is>
      </c>
      <c r="C15" s="56" t="n"/>
      <c r="D15" s="56" t="inlineStr">
        <is>
          <t>AUGMENT, ENTRY, EXIT, GLOBAL_CHECK, REDUCE, STOCKS_EXIT</t>
        </is>
      </c>
      <c r="E15" s="56">
        <f>IF(G15="",E14,IF(G15&gt;0,E14+G15,E14))</f>
        <v/>
      </c>
      <c r="G15" s="56">
        <f>IFERROR(VLOOKUP($A15&amp;"="&amp;$B15,Results_Deltas!$A$2:$P$15000,5,FALSE),"")</f>
        <v/>
      </c>
      <c r="H15" s="56" t="inlineStr">
        <is>
          <t>Blanket (page end)</t>
        </is>
      </c>
    </row>
    <row r="16">
      <c r="A16" s="63" t="inlineStr">
        <is>
          <t>BANDAID_OFF_LOSER_RECOVER_PCT</t>
        </is>
      </c>
      <c r="B16" s="56" t="inlineStr">
        <is>
          <t>2.0</t>
        </is>
      </c>
      <c r="C16" s="56" t="n"/>
      <c r="D16" s="56" t="inlineStr">
        <is>
          <t>AUGMENT, ENTRY, EXIT, GLOBAL_CHECK, REDUCE, STOCKS_EXIT</t>
        </is>
      </c>
      <c r="E16" s="56">
        <f>IF(G16="",E15,IF(G16&gt;0,E15+G16,E15))</f>
        <v/>
      </c>
      <c r="G16" s="56">
        <f>IFERROR(VLOOKUP($A16&amp;"="&amp;$B16,Results_Deltas!$A$2:$P$15000,5,FALSE),"")</f>
        <v/>
      </c>
      <c r="H16" s="56" t="inlineStr">
        <is>
          <t>Blanket (page end)</t>
        </is>
      </c>
    </row>
    <row r="17">
      <c r="A17" s="63" t="inlineStr">
        <is>
          <t>BANDAID_OFF_LOSER_RECOVER_PCT</t>
        </is>
      </c>
      <c r="B17" s="56" t="inlineStr">
        <is>
          <t>1.0</t>
        </is>
      </c>
      <c r="C17" s="56" t="n"/>
      <c r="D17" s="56" t="inlineStr">
        <is>
          <t>AUGMENT, ENTRY, EXIT, GLOBAL_CHECK, REDUCE, STOCKS_EXIT</t>
        </is>
      </c>
      <c r="E17" s="56">
        <f>IF(G17="",E16,IF(G17&gt;0,E16+G17,E16))</f>
        <v/>
      </c>
      <c r="G17" s="56">
        <f>IFERROR(VLOOKUP($A17&amp;"="&amp;$B17,Results_Deltas!$A$2:$P$15000,5,FALSE),"")</f>
        <v/>
      </c>
      <c r="H17" s="56" t="inlineStr">
        <is>
          <t>Blanket (page end)</t>
        </is>
      </c>
    </row>
    <row r="18">
      <c r="A18" s="63" t="inlineStr">
        <is>
          <t>BANDAID_OFF_LOSER_RECOVER_PCT</t>
        </is>
      </c>
      <c r="B18" s="56" t="inlineStr">
        <is>
          <t>0.5</t>
        </is>
      </c>
      <c r="C18" s="56" t="n"/>
      <c r="D18" s="56" t="inlineStr">
        <is>
          <t>AUGMENT, ENTRY, EXIT, GLOBAL_CHECK, REDUCE, STOCKS_EXIT</t>
        </is>
      </c>
      <c r="E18" s="56">
        <f>IF(G18="",E17,IF(G18&gt;0,E17+G18,E17))</f>
        <v/>
      </c>
      <c r="G18" s="56">
        <f>IFERROR(VLOOKUP($A18&amp;"="&amp;$B18,Results_Deltas!$A$2:$P$15000,5,FALSE),"")</f>
        <v/>
      </c>
      <c r="H18" s="56" t="inlineStr">
        <is>
          <t>Blanket (page end)</t>
        </is>
      </c>
    </row>
    <row r="19">
      <c r="A19" s="63" t="inlineStr">
        <is>
          <t>BAND_ARROW_ENABLED</t>
        </is>
      </c>
      <c r="B19" s="56" t="inlineStr">
        <is>
          <t>False</t>
        </is>
      </c>
      <c r="C19" s="56" t="n"/>
      <c r="D19" s="56" t="inlineStr">
        <is>
          <t>GLOBAL_CHECK, STOCKS_EXIT</t>
        </is>
      </c>
      <c r="E19" s="56">
        <f>IF(G19="",E18,IF(G19&gt;0,E18+G19,E18))</f>
        <v/>
      </c>
      <c r="G19" s="56">
        <f>IFERROR(VLOOKUP($A19&amp;"="&amp;$B19,Results_Deltas!$A$2:$P$15000,5,FALSE),"")</f>
        <v/>
      </c>
      <c r="H19" s="56" t="inlineStr">
        <is>
          <t>Blanket (page end)</t>
        </is>
      </c>
    </row>
    <row r="20">
      <c r="A20" s="63" t="inlineStr">
        <is>
          <t>BAND_ARROW_ENABLED</t>
        </is>
      </c>
      <c r="B20" s="56" t="inlineStr">
        <is>
          <t>True</t>
        </is>
      </c>
      <c r="C20" s="56" t="n"/>
      <c r="D20" s="56" t="inlineStr">
        <is>
          <t>GLOBAL_CHECK, STOCKS_EXIT</t>
        </is>
      </c>
      <c r="E20" s="56">
        <f>IF(G20="",E19,IF(G20&gt;0,E19+G20,E19))</f>
        <v/>
      </c>
      <c r="G20" s="56">
        <f>IFERROR(VLOOKUP($A20&amp;"="&amp;$B20,Results_Deltas!$A$2:$P$15000,5,FALSE),"")</f>
        <v/>
      </c>
      <c r="H20" s="56" t="inlineStr">
        <is>
          <t>Blanket (page end)</t>
        </is>
      </c>
    </row>
    <row r="21">
      <c r="A21" s="63" t="inlineStr">
        <is>
          <t>BTC_ACCEL_RAMP_REQUIRE_POSITIVE</t>
        </is>
      </c>
      <c r="B21" s="56" t="inlineStr">
        <is>
          <t>0.0</t>
        </is>
      </c>
      <c r="C21" s="56" t="n"/>
      <c r="D21" s="56" t="inlineStr">
        <is>
          <t>UNIVERSAL (ex-BTC) — ENTRY/EXIT/REENTRY</t>
        </is>
      </c>
      <c r="E21" s="56">
        <f>IF(G21="",E20,IF(G21&gt;0,E20+G21,E20))</f>
        <v/>
      </c>
      <c r="G21" s="56">
        <f>IFERROR(VLOOKUP($A21&amp;"="&amp;$B21,Results_Deltas!$A$2:$P$15000,5,FALSE),"")</f>
        <v/>
      </c>
      <c r="H21" s="56" t="inlineStr">
        <is>
          <t>Blanket (page end)</t>
        </is>
      </c>
    </row>
    <row r="22">
      <c r="A22" s="63" t="inlineStr">
        <is>
          <t>BTC_ACCEL_RAMP_REQUIRE_POSITIVE</t>
        </is>
      </c>
      <c r="B22" s="56" t="inlineStr">
        <is>
          <t>0.0_ALT</t>
        </is>
      </c>
      <c r="C22" s="56" t="n"/>
      <c r="D22" s="56" t="inlineStr">
        <is>
          <t>UNIVERSAL (ex-BTC) — ENTRY/EXIT/REENTRY</t>
        </is>
      </c>
      <c r="E22" s="56">
        <f>IF(G22="",E21,IF(G22&gt;0,E21+G22,E21))</f>
        <v/>
      </c>
      <c r="G22" s="56">
        <f>IFERROR(VLOOKUP($A22&amp;"="&amp;$B22,Results_Deltas!$A$2:$P$15000,5,FALSE),"")</f>
        <v/>
      </c>
      <c r="H22" s="56" t="inlineStr">
        <is>
          <t>Blanket (page end)</t>
        </is>
      </c>
    </row>
    <row r="23">
      <c r="A23" s="63" t="inlineStr">
        <is>
          <t>BTC_HARD_BLOCK_OTHER_ACCOUNTS</t>
        </is>
      </c>
      <c r="B23" s="56" t="inlineStr">
        <is>
          <t>0.0</t>
        </is>
      </c>
      <c r="C23" s="56" t="n"/>
      <c r="D23" s="56" t="inlineStr">
        <is>
          <t>UNIVERSAL (ex-BTC) — ENTRY/EXIT/REENTRY</t>
        </is>
      </c>
      <c r="E23" s="56">
        <f>IF(G23="",E22,IF(G23&gt;0,E22+G23,E22))</f>
        <v/>
      </c>
      <c r="G23" s="56">
        <f>IFERROR(VLOOKUP($A23&amp;"="&amp;$B23,Results_Deltas!$A$2:$P$15000,5,FALSE),"")</f>
        <v/>
      </c>
      <c r="H23" s="56" t="inlineStr">
        <is>
          <t>Blanket (page end)</t>
        </is>
      </c>
    </row>
    <row r="24">
      <c r="A24" s="63" t="inlineStr">
        <is>
          <t>BTC_HARD_BLOCK_OTHER_ACCOUNTS</t>
        </is>
      </c>
      <c r="B24" s="56" t="inlineStr">
        <is>
          <t>0.0_ALT</t>
        </is>
      </c>
      <c r="C24" s="56" t="n"/>
      <c r="D24" s="56" t="inlineStr">
        <is>
          <t>UNIVERSAL (ex-BTC) — ENTRY/EXIT/REENTRY</t>
        </is>
      </c>
      <c r="E24" s="56">
        <f>IF(G24="",E23,IF(G24&gt;0,E23+G24,E23))</f>
        <v/>
      </c>
      <c r="G24" s="56">
        <f>IFERROR(VLOOKUP($A24&amp;"="&amp;$B24,Results_Deltas!$A$2:$P$15000,5,FALSE),"")</f>
        <v/>
      </c>
      <c r="H24" s="56" t="inlineStr">
        <is>
          <t>Blanket (page end)</t>
        </is>
      </c>
    </row>
    <row r="25">
      <c r="A25" s="63" t="inlineStr">
        <is>
          <t>BTC_ROUND_BANDS_EACH_SIDE</t>
        </is>
      </c>
      <c r="B25" s="56" t="inlineStr">
        <is>
          <t>0.0</t>
        </is>
      </c>
      <c r="C25" s="56" t="n"/>
      <c r="D25" s="56" t="inlineStr">
        <is>
          <t>UNIVERSAL (ex-BTC) — ENTRY/EXIT/REENTRY</t>
        </is>
      </c>
      <c r="E25" s="56">
        <f>IF(G25="",E24,IF(G25&gt;0,E24+G25,E24))</f>
        <v/>
      </c>
      <c r="G25" s="56">
        <f>IFERROR(VLOOKUP($A25&amp;"="&amp;$B25,Results_Deltas!$A$2:$P$15000,5,FALSE),"")</f>
        <v/>
      </c>
      <c r="H25" s="56" t="inlineStr">
        <is>
          <t>Blanket (page end)</t>
        </is>
      </c>
    </row>
    <row r="26">
      <c r="A26" s="63" t="inlineStr">
        <is>
          <t>BTC_ROUND_BANDS_EACH_SIDE</t>
        </is>
      </c>
      <c r="B26" s="56" t="inlineStr">
        <is>
          <t>0.0_ALT</t>
        </is>
      </c>
      <c r="C26" s="56" t="n"/>
      <c r="D26" s="56" t="inlineStr">
        <is>
          <t>UNIVERSAL (ex-BTC) — ENTRY/EXIT/REENTRY</t>
        </is>
      </c>
      <c r="E26" s="56">
        <f>IF(G26="",E25,IF(G26&gt;0,E25+G26,E25))</f>
        <v/>
      </c>
      <c r="G26" s="56">
        <f>IFERROR(VLOOKUP($A26&amp;"="&amp;$B26,Results_Deltas!$A$2:$P$15000,5,FALSE),"")</f>
        <v/>
      </c>
      <c r="H26" s="56" t="inlineStr">
        <is>
          <t>Blanket (page end)</t>
        </is>
      </c>
    </row>
    <row r="27">
      <c r="A27" s="63" t="inlineStr">
        <is>
          <t>COOLDOWN_LOCKS_FILTER_TF</t>
        </is>
      </c>
      <c r="B27" s="56" t="inlineStr">
        <is>
          <t>OFF</t>
        </is>
      </c>
      <c r="C27" s="56" t="n"/>
      <c r="D27" s="56" t="inlineStr">
        <is>
          <t>GLOBAL_CHECK</t>
        </is>
      </c>
      <c r="E27" s="56">
        <f>IF(G27="",E26,IF(G27&gt;0,E26+G27,E26))</f>
        <v/>
      </c>
      <c r="G27" s="56">
        <f>IFERROR(VLOOKUP($A27&amp;"="&amp;$B27,Results_Deltas!$A$2:$P$15000,5,FALSE),"")</f>
        <v/>
      </c>
      <c r="H27" s="56" t="inlineStr">
        <is>
          <t>Blanket (page end)</t>
        </is>
      </c>
    </row>
    <row r="28">
      <c r="A28" s="63" t="inlineStr">
        <is>
          <t>COOLDOWN_LOCKS_FILTER_TF</t>
        </is>
      </c>
      <c r="B28" s="56" t="inlineStr">
        <is>
          <t>D</t>
        </is>
      </c>
      <c r="C28" s="56" t="n"/>
      <c r="D28" s="56" t="inlineStr">
        <is>
          <t>GLOBAL_CHECK</t>
        </is>
      </c>
      <c r="E28" s="56">
        <f>IF(G28="",E27,IF(G28&gt;0,E27+G28,E27))</f>
        <v/>
      </c>
      <c r="G28" s="56">
        <f>IFERROR(VLOOKUP($A28&amp;"="&amp;$B28,Results_Deltas!$A$2:$P$15000,5,FALSE),"")</f>
        <v/>
      </c>
      <c r="H28" s="56" t="inlineStr">
        <is>
          <t>Blanket (page end)</t>
        </is>
      </c>
    </row>
    <row r="29">
      <c r="A29" s="63" t="inlineStr">
        <is>
          <t>COOLDOWN_LOCKS_FILTER_TF</t>
        </is>
      </c>
      <c r="B29" s="56" t="inlineStr">
        <is>
          <t>4h</t>
        </is>
      </c>
      <c r="C29" s="56" t="n"/>
      <c r="D29" s="56" t="inlineStr">
        <is>
          <t>GLOBAL_CHECK</t>
        </is>
      </c>
      <c r="E29" s="56">
        <f>IF(G29="",E28,IF(G29&gt;0,E28+G29,E28))</f>
        <v/>
      </c>
      <c r="G29" s="56">
        <f>IFERROR(VLOOKUP($A29&amp;"="&amp;$B29,Results_Deltas!$A$2:$P$15000,5,FALSE),"")</f>
        <v/>
      </c>
      <c r="H29" s="56" t="inlineStr">
        <is>
          <t>Blanket (page end)</t>
        </is>
      </c>
    </row>
    <row r="30">
      <c r="A30" s="63" t="inlineStr">
        <is>
          <t>COOLDOWN_LOCKS_FILTER_TF</t>
        </is>
      </c>
      <c r="B30" s="56" t="inlineStr">
        <is>
          <t>1h</t>
        </is>
      </c>
      <c r="C30" s="56" t="n"/>
      <c r="D30" s="56" t="inlineStr">
        <is>
          <t>GLOBAL_CHECK</t>
        </is>
      </c>
      <c r="E30" s="56">
        <f>IF(G30="",E29,IF(G30&gt;0,E29+G30,E29))</f>
        <v/>
      </c>
      <c r="G30" s="56">
        <f>IFERROR(VLOOKUP($A30&amp;"="&amp;$B30,Results_Deltas!$A$2:$P$15000,5,FALSE),"")</f>
        <v/>
      </c>
      <c r="H30" s="56" t="inlineStr">
        <is>
          <t>Blanket (page end)</t>
        </is>
      </c>
    </row>
    <row r="31">
      <c r="A31" s="63" t="inlineStr">
        <is>
          <t>COOLDOWN_LOCKS_FILTER_TF</t>
        </is>
      </c>
      <c r="B31" s="56" t="inlineStr">
        <is>
          <t>15m</t>
        </is>
      </c>
      <c r="C31" s="56" t="n"/>
      <c r="D31" s="56" t="inlineStr">
        <is>
          <t>GLOBAL_CHECK</t>
        </is>
      </c>
      <c r="E31" s="56">
        <f>IF(G31="",E30,IF(G31&gt;0,E30+G31,E30))</f>
        <v/>
      </c>
      <c r="G31" s="56">
        <f>IFERROR(VLOOKUP($A31&amp;"="&amp;$B31,Results_Deltas!$A$2:$P$15000,5,FALSE),"")</f>
        <v/>
      </c>
      <c r="H31" s="56" t="inlineStr">
        <is>
          <t>Blanket (page end)</t>
        </is>
      </c>
    </row>
    <row r="32">
      <c r="A32" s="63" t="inlineStr">
        <is>
          <t>CRYPTO_SPIKE_FADE_THRESHOLD_PCT</t>
        </is>
      </c>
      <c r="B32" s="56" t="inlineStr">
        <is>
          <t>10</t>
        </is>
      </c>
      <c r="C32" s="56" t="n"/>
      <c r="D32" s="56" t="inlineStr">
        <is>
          <t>GLOBAL_CHECK, STOCKS_EXIT</t>
        </is>
      </c>
      <c r="E32" s="56">
        <f>IF(G32="",E31,IF(G32&gt;0,E31+G32,E31))</f>
        <v/>
      </c>
      <c r="G32" s="56">
        <f>IFERROR(VLOOKUP($A32&amp;"="&amp;$B32,Results_Deltas!$A$2:$P$15000,5,FALSE),"")</f>
        <v/>
      </c>
      <c r="H32" s="56" t="inlineStr">
        <is>
          <t>Blanket (page end)</t>
        </is>
      </c>
    </row>
    <row r="33">
      <c r="A33" s="63" t="inlineStr">
        <is>
          <t>CRYPTO_SPIKE_FADE_THRESHOLD_PCT</t>
        </is>
      </c>
      <c r="B33" s="56" t="inlineStr">
        <is>
          <t>12.5</t>
        </is>
      </c>
      <c r="C33" s="56" t="n"/>
      <c r="D33" s="56" t="inlineStr">
        <is>
          <t>GLOBAL_CHECK, STOCKS_EXIT</t>
        </is>
      </c>
      <c r="E33" s="56">
        <f>IF(G33="",E32,IF(G33&gt;0,E32+G33,E32))</f>
        <v/>
      </c>
      <c r="G33" s="56">
        <f>IFERROR(VLOOKUP($A33&amp;"="&amp;$B33,Results_Deltas!$A$2:$P$15000,5,FALSE),"")</f>
        <v/>
      </c>
      <c r="H33" s="56" t="inlineStr">
        <is>
          <t>Blanket (page end)</t>
        </is>
      </c>
    </row>
    <row r="34">
      <c r="A34" s="63" t="inlineStr">
        <is>
          <t>CRYPTO_SPIKE_FADE_THRESHOLD_PCT</t>
        </is>
      </c>
      <c r="B34" s="56" t="inlineStr">
        <is>
          <t>7.5</t>
        </is>
      </c>
      <c r="C34" s="56" t="n"/>
      <c r="D34" s="56" t="inlineStr">
        <is>
          <t>GLOBAL_CHECK, STOCKS_EXIT</t>
        </is>
      </c>
      <c r="E34" s="56">
        <f>IF(G34="",E33,IF(G34&gt;0,E33+G34,E33))</f>
        <v/>
      </c>
      <c r="G34" s="56">
        <f>IFERROR(VLOOKUP($A34&amp;"="&amp;$B34,Results_Deltas!$A$2:$P$15000,5,FALSE),"")</f>
        <v/>
      </c>
      <c r="H34" s="56" t="inlineStr">
        <is>
          <t>Blanket (page end)</t>
        </is>
      </c>
    </row>
    <row r="35">
      <c r="A35" s="63" t="inlineStr">
        <is>
          <t>CRYPTO_SPIKE_FADE_THRESHOLD_PCT</t>
        </is>
      </c>
      <c r="B35" s="56" t="inlineStr">
        <is>
          <t>5</t>
        </is>
      </c>
      <c r="C35" s="56" t="n"/>
      <c r="D35" s="56" t="inlineStr">
        <is>
          <t>GLOBAL_CHECK, STOCKS_EXIT</t>
        </is>
      </c>
      <c r="E35" s="56">
        <f>IF(G35="",E34,IF(G35&gt;0,E34+G35,E34))</f>
        <v/>
      </c>
      <c r="G35" s="56">
        <f>IFERROR(VLOOKUP($A35&amp;"="&amp;$B35,Results_Deltas!$A$2:$P$15000,5,FALSE),"")</f>
        <v/>
      </c>
      <c r="H35" s="56" t="inlineStr">
        <is>
          <t>Blanket (page end)</t>
        </is>
      </c>
    </row>
    <row r="36">
      <c r="A36" s="63" t="inlineStr">
        <is>
          <t>DC_MOMENT_STRONG_THRESHOLD</t>
        </is>
      </c>
      <c r="B36" s="56" t="inlineStr">
        <is>
          <t>40</t>
        </is>
      </c>
      <c r="C36" s="56" t="n"/>
      <c r="D36" s="56" t="inlineStr">
        <is>
          <t>ENTRY, GLOBAL_CHECK, STOCKS_EXIT</t>
        </is>
      </c>
      <c r="E36" s="56">
        <f>IF(G36="",E35,IF(G36&gt;0,E35+G36,E35))</f>
        <v/>
      </c>
      <c r="G36" s="56">
        <f>IFERROR(VLOOKUP($A36&amp;"="&amp;$B36,Results_Deltas!$A$2:$P$15000,5,FALSE),"")</f>
        <v/>
      </c>
      <c r="H36" s="56" t="inlineStr">
        <is>
          <t>Blanket (page end)</t>
        </is>
      </c>
    </row>
    <row r="37">
      <c r="A37" s="63" t="inlineStr">
        <is>
          <t>DC_MOMENT_STRONG_THRESHOLD</t>
        </is>
      </c>
      <c r="B37" s="56" t="inlineStr">
        <is>
          <t>50</t>
        </is>
      </c>
      <c r="C37" s="56" t="n"/>
      <c r="D37" s="56" t="inlineStr">
        <is>
          <t>ENTRY, GLOBAL_CHECK, STOCKS_EXIT</t>
        </is>
      </c>
      <c r="E37" s="56">
        <f>IF(G37="",E36,IF(G37&gt;0,E36+G37,E36))</f>
        <v/>
      </c>
      <c r="G37" s="56">
        <f>IFERROR(VLOOKUP($A37&amp;"="&amp;$B37,Results_Deltas!$A$2:$P$15000,5,FALSE),"")</f>
        <v/>
      </c>
      <c r="H37" s="56" t="inlineStr">
        <is>
          <t>Blanket (page end)</t>
        </is>
      </c>
    </row>
    <row r="38">
      <c r="A38" s="63" t="inlineStr">
        <is>
          <t>DC_MOMENT_STRONG_THRESHOLD</t>
        </is>
      </c>
      <c r="B38" s="56" t="inlineStr">
        <is>
          <t>30</t>
        </is>
      </c>
      <c r="C38" s="56" t="n"/>
      <c r="D38" s="56" t="inlineStr">
        <is>
          <t>ENTRY, GLOBAL_CHECK, STOCKS_EXIT</t>
        </is>
      </c>
      <c r="E38" s="56">
        <f>IF(G38="",E37,IF(G38&gt;0,E37+G38,E37))</f>
        <v/>
      </c>
      <c r="G38" s="56">
        <f>IFERROR(VLOOKUP($A38&amp;"="&amp;$B38,Results_Deltas!$A$2:$P$15000,5,FALSE),"")</f>
        <v/>
      </c>
      <c r="H38" s="56" t="inlineStr">
        <is>
          <t>Blanket (page end)</t>
        </is>
      </c>
    </row>
    <row r="39">
      <c r="A39" s="63" t="inlineStr">
        <is>
          <t>DC_MOMENT_STRONG_THRESHOLD</t>
        </is>
      </c>
      <c r="B39" s="56" t="inlineStr">
        <is>
          <t>20</t>
        </is>
      </c>
      <c r="C39" s="56" t="n"/>
      <c r="D39" s="56" t="inlineStr">
        <is>
          <t>ENTRY, GLOBAL_CHECK, STOCKS_EXIT</t>
        </is>
      </c>
      <c r="E39" s="56">
        <f>IF(G39="",E38,IF(G39&gt;0,E38+G39,E38))</f>
        <v/>
      </c>
      <c r="G39" s="56">
        <f>IFERROR(VLOOKUP($A39&amp;"="&amp;$B39,Results_Deltas!$A$2:$P$15000,5,FALSE),"")</f>
        <v/>
      </c>
      <c r="H39" s="56" t="inlineStr">
        <is>
          <t>Blanket (page end)</t>
        </is>
      </c>
    </row>
    <row r="40">
      <c r="A40" s="63" t="inlineStr">
        <is>
          <t>DELTA_HTF_GATE</t>
        </is>
      </c>
      <c r="B40" s="56" t="inlineStr">
        <is>
          <t>4h</t>
        </is>
      </c>
      <c r="C40" s="56" t="n"/>
      <c r="D40" s="56" t="inlineStr">
        <is>
          <t>ENTRY, GLOBAL_CHECK, STOCKS_EXIT</t>
        </is>
      </c>
      <c r="E40" s="56">
        <f>IF(G40="",E39,IF(G40&gt;0,E39+G40,E39))</f>
        <v/>
      </c>
      <c r="G40" s="56">
        <f>IFERROR(VLOOKUP($A40&amp;"="&amp;$B40,Results_Deltas!$A$2:$P$15000,5,FALSE),"")</f>
        <v/>
      </c>
      <c r="H40" s="56" t="inlineStr">
        <is>
          <t>Blanket (page end)</t>
        </is>
      </c>
    </row>
    <row r="41">
      <c r="A41" s="63" t="inlineStr">
        <is>
          <t>DELTA_HTF_GATE</t>
        </is>
      </c>
      <c r="B41" s="56" t="inlineStr">
        <is>
          <t>4h_ALT</t>
        </is>
      </c>
      <c r="C41" s="56" t="n"/>
      <c r="D41" s="56" t="inlineStr">
        <is>
          <t>ENTRY, GLOBAL_CHECK, STOCKS_EXIT</t>
        </is>
      </c>
      <c r="E41" s="56">
        <f>IF(G41="",E40,IF(G41&gt;0,E40+G41,E40))</f>
        <v/>
      </c>
      <c r="G41" s="56">
        <f>IFERROR(VLOOKUP($A41&amp;"="&amp;$B41,Results_Deltas!$A$2:$P$15000,5,FALSE),"")</f>
        <v/>
      </c>
      <c r="H41" s="56" t="inlineStr">
        <is>
          <t>Blanket (page end)</t>
        </is>
      </c>
    </row>
    <row r="42">
      <c r="A42" s="63" t="inlineStr">
        <is>
          <t>DELTA_REENTRY_FILTER_ENABLED</t>
        </is>
      </c>
      <c r="B42" s="56" t="inlineStr">
        <is>
          <t>False</t>
        </is>
      </c>
      <c r="C42" s="56" t="n"/>
      <c r="D42" s="56" t="inlineStr">
        <is>
          <t>ENTRY, GLOBAL_CHECK, STOCKS_EXIT</t>
        </is>
      </c>
      <c r="E42" s="56">
        <f>IF(G42="",E41,IF(G42&gt;0,E41+G42,E41))</f>
        <v/>
      </c>
      <c r="G42" s="56">
        <f>IFERROR(VLOOKUP($A42&amp;"="&amp;$B42,Results_Deltas!$A$2:$P$15000,5,FALSE),"")</f>
        <v/>
      </c>
      <c r="H42" s="56" t="inlineStr">
        <is>
          <t>Blanket (page end)</t>
        </is>
      </c>
    </row>
    <row r="43">
      <c r="A43" s="63" t="inlineStr">
        <is>
          <t>DELTA_REENTRY_FILTER_ENABLED</t>
        </is>
      </c>
      <c r="B43" s="56" t="inlineStr">
        <is>
          <t>True</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DUP_GUARD_FILTER_TF</t>
        </is>
      </c>
      <c r="B44" s="56" t="inlineStr">
        <is>
          <t>OFF</t>
        </is>
      </c>
      <c r="C44" s="56" t="n"/>
      <c r="D44" s="56" t="inlineStr">
        <is>
          <t>GLOBAL_CHECK</t>
        </is>
      </c>
      <c r="E44" s="56">
        <f>IF(G44="",E43,IF(G44&gt;0,E43+G44,E43))</f>
        <v/>
      </c>
      <c r="G44" s="56">
        <f>IFERROR(VLOOKUP($A44&amp;"="&amp;$B44,Results_Deltas!$A$2:$P$15000,5,FALSE),"")</f>
        <v/>
      </c>
      <c r="H44" s="56" t="inlineStr">
        <is>
          <t>Blanket (page end)</t>
        </is>
      </c>
    </row>
    <row r="45">
      <c r="A45" s="63" t="inlineStr">
        <is>
          <t>DUP_GUARD_FILTER_TF</t>
        </is>
      </c>
      <c r="B45" s="56" t="inlineStr">
        <is>
          <t>D</t>
        </is>
      </c>
      <c r="C45" s="56" t="n"/>
      <c r="D45" s="56" t="inlineStr">
        <is>
          <t>GLOBAL_CHECK</t>
        </is>
      </c>
      <c r="E45" s="56">
        <f>IF(G45="",E44,IF(G45&gt;0,E44+G45,E44))</f>
        <v/>
      </c>
      <c r="G45" s="56">
        <f>IFERROR(VLOOKUP($A45&amp;"="&amp;$B45,Results_Deltas!$A$2:$P$15000,5,FALSE),"")</f>
        <v/>
      </c>
      <c r="H45" s="56" t="inlineStr">
        <is>
          <t>Blanket (page end)</t>
        </is>
      </c>
    </row>
    <row r="46">
      <c r="A46" s="63" t="inlineStr">
        <is>
          <t>DUP_GUARD_FILTER_TF</t>
        </is>
      </c>
      <c r="B46" s="56" t="inlineStr">
        <is>
          <t>4h</t>
        </is>
      </c>
      <c r="C46" s="56" t="n"/>
      <c r="D46" s="56" t="inlineStr">
        <is>
          <t>GLOBAL_CHECK</t>
        </is>
      </c>
      <c r="E46" s="56">
        <f>IF(G46="",E45,IF(G46&gt;0,E45+G46,E45))</f>
        <v/>
      </c>
      <c r="G46" s="56">
        <f>IFERROR(VLOOKUP($A46&amp;"="&amp;$B46,Results_Deltas!$A$2:$P$15000,5,FALSE),"")</f>
        <v/>
      </c>
      <c r="H46" s="56" t="inlineStr">
        <is>
          <t>Blanket (page end)</t>
        </is>
      </c>
    </row>
    <row r="47">
      <c r="A47" s="63" t="inlineStr">
        <is>
          <t>DUP_GUARD_FILTER_TF</t>
        </is>
      </c>
      <c r="B47" s="56" t="inlineStr">
        <is>
          <t>1h</t>
        </is>
      </c>
      <c r="C47" s="56" t="n"/>
      <c r="D47" s="56" t="inlineStr">
        <is>
          <t>GLOBAL_CHECK</t>
        </is>
      </c>
      <c r="E47" s="56">
        <f>IF(G47="",E46,IF(G47&gt;0,E46+G47,E46))</f>
        <v/>
      </c>
      <c r="G47" s="56">
        <f>IFERROR(VLOOKUP($A47&amp;"="&amp;$B47,Results_Deltas!$A$2:$P$15000,5,FALSE),"")</f>
        <v/>
      </c>
      <c r="H47" s="56" t="inlineStr">
        <is>
          <t>Blanket (page end)</t>
        </is>
      </c>
    </row>
    <row r="48">
      <c r="A48" s="63" t="inlineStr">
        <is>
          <t>DUP_GUARD_FILTER_TF</t>
        </is>
      </c>
      <c r="B48" s="56" t="inlineStr">
        <is>
          <t>15m</t>
        </is>
      </c>
      <c r="C48" s="56" t="n"/>
      <c r="D48" s="56" t="inlineStr">
        <is>
          <t>GLOBAL_CHECK</t>
        </is>
      </c>
      <c r="E48" s="56">
        <f>IF(G48="",E47,IF(G48&gt;0,E47+G48,E47))</f>
        <v/>
      </c>
      <c r="G48" s="56">
        <f>IFERROR(VLOOKUP($A48&amp;"="&amp;$B48,Results_Deltas!$A$2:$P$15000,5,FALSE),"")</f>
        <v/>
      </c>
      <c r="H48" s="56" t="inlineStr">
        <is>
          <t>Blanket (page end)</t>
        </is>
      </c>
    </row>
    <row r="49">
      <c r="A49" s="63" t="inlineStr">
        <is>
          <t>EMA_9_21_FILTER_MIN_TFS</t>
        </is>
      </c>
      <c r="B49" s="56" t="inlineStr">
        <is>
          <t>0</t>
        </is>
      </c>
      <c r="C49" s="56" t="n"/>
      <c r="D49" s="56" t="inlineStr">
        <is>
          <t>GLOBAL_CHECK</t>
        </is>
      </c>
      <c r="E49" s="56">
        <f>IF(G49="",E48,IF(G49&gt;0,E48+G49,E48))</f>
        <v/>
      </c>
      <c r="G49" s="56">
        <f>IFERROR(VLOOKUP($A49&amp;"="&amp;$B49,Results_Deltas!$A$2:$P$15000,5,FALSE),"")</f>
        <v/>
      </c>
      <c r="H49" s="56" t="inlineStr">
        <is>
          <t>Blanket (page end)</t>
        </is>
      </c>
    </row>
    <row r="50">
      <c r="A50" s="63" t="inlineStr">
        <is>
          <t>EMA_9_21_FILTER_MIN_TFS</t>
        </is>
      </c>
      <c r="B50" s="56" t="inlineStr">
        <is>
          <t>2</t>
        </is>
      </c>
      <c r="C50" s="56" t="n"/>
      <c r="D50" s="56" t="inlineStr">
        <is>
          <t>GLOBAL_CHECK</t>
        </is>
      </c>
      <c r="E50" s="56">
        <f>IF(G50="",E49,IF(G50&gt;0,E49+G50,E49))</f>
        <v/>
      </c>
      <c r="G50" s="56">
        <f>IFERROR(VLOOKUP($A50&amp;"="&amp;$B50,Results_Deltas!$A$2:$P$15000,5,FALSE),"")</f>
        <v/>
      </c>
      <c r="H50" s="56" t="inlineStr">
        <is>
          <t>Blanket (page end)</t>
        </is>
      </c>
    </row>
    <row r="51">
      <c r="A51" s="63" t="inlineStr">
        <is>
          <t>EMA_9_21_FILTER_MIN_TFS</t>
        </is>
      </c>
      <c r="B51" s="56" t="inlineStr">
        <is>
          <t>1</t>
        </is>
      </c>
      <c r="C51" s="56" t="n"/>
      <c r="D51" s="56" t="inlineStr">
        <is>
          <t>GLOBAL_CHECK</t>
        </is>
      </c>
      <c r="E51" s="56">
        <f>IF(G51="",E50,IF(G51&gt;0,E50+G51,E50))</f>
        <v/>
      </c>
      <c r="G51" s="56">
        <f>IFERROR(VLOOKUP($A51&amp;"="&amp;$B51,Results_Deltas!$A$2:$P$15000,5,FALSE),"")</f>
        <v/>
      </c>
      <c r="H51" s="56" t="inlineStr">
        <is>
          <t>Blanket (page end)</t>
        </is>
      </c>
    </row>
    <row r="52">
      <c r="A52" s="63" t="inlineStr">
        <is>
          <t>EMA_BLANKET_FILTER_ENABLED</t>
        </is>
      </c>
      <c r="B52" s="56" t="inlineStr">
        <is>
          <t>False</t>
        </is>
      </c>
      <c r="C52" s="56" t="n"/>
      <c r="D52" s="56" t="inlineStr">
        <is>
          <t>GLOBAL_CHECK</t>
        </is>
      </c>
      <c r="E52" s="56">
        <f>IF(G52="",E51,IF(G52&gt;0,E51+G52,E51))</f>
        <v/>
      </c>
      <c r="G52" s="56">
        <f>IFERROR(VLOOKUP($A52&amp;"="&amp;$B52,Results_Deltas!$A$2:$P$15000,5,FALSE),"")</f>
        <v/>
      </c>
      <c r="H52" s="56" t="inlineStr">
        <is>
          <t>Blanket (page end)</t>
        </is>
      </c>
    </row>
    <row r="53">
      <c r="A53" s="63" t="inlineStr">
        <is>
          <t>EMA_BLANKET_FILTER_ENABLED</t>
        </is>
      </c>
      <c r="B53" s="56" t="inlineStr">
        <is>
          <t>True</t>
        </is>
      </c>
      <c r="C53" s="56" t="n"/>
      <c r="D53" s="56" t="inlineStr">
        <is>
          <t>GLOBAL_CHECK</t>
        </is>
      </c>
      <c r="E53" s="56">
        <f>IF(G53="",E52,IF(G53&gt;0,E52+G53,E52))</f>
        <v/>
      </c>
      <c r="G53" s="56">
        <f>IFERROR(VLOOKUP($A53&amp;"="&amp;$B53,Results_Deltas!$A$2:$P$15000,5,FALSE),"")</f>
        <v/>
      </c>
      <c r="H53" s="56" t="inlineStr">
        <is>
          <t>Blanket (page end)</t>
        </is>
      </c>
    </row>
    <row r="54">
      <c r="A54" s="63" t="inlineStr">
        <is>
          <t>EMA_BLANKET_FILTER_MIN_TFS</t>
        </is>
      </c>
      <c r="B54" s="56" t="inlineStr">
        <is>
          <t>0</t>
        </is>
      </c>
      <c r="C54" s="56" t="n"/>
      <c r="D54" s="56" t="inlineStr">
        <is>
          <t>GLOBAL_CHECK</t>
        </is>
      </c>
      <c r="E54" s="56">
        <f>IF(G54="",E53,IF(G54&gt;0,E53+G54,E53))</f>
        <v/>
      </c>
      <c r="G54" s="56">
        <f>IFERROR(VLOOKUP($A54&amp;"="&amp;$B54,Results_Deltas!$A$2:$P$15000,5,FALSE),"")</f>
        <v/>
      </c>
      <c r="H54" s="56" t="inlineStr">
        <is>
          <t>Blanket (page end)</t>
        </is>
      </c>
    </row>
    <row r="55">
      <c r="A55" s="63" t="inlineStr">
        <is>
          <t>EMA_BLANKET_FILTER_MIN_TFS</t>
        </is>
      </c>
      <c r="B55" s="56" t="inlineStr">
        <is>
          <t>2</t>
        </is>
      </c>
      <c r="C55" s="56" t="n"/>
      <c r="D55" s="56" t="inlineStr">
        <is>
          <t>GLOBAL_CHECK</t>
        </is>
      </c>
      <c r="E55" s="56">
        <f>IF(G55="",E54,IF(G55&gt;0,E54+G55,E54))</f>
        <v/>
      </c>
      <c r="G55" s="56">
        <f>IFERROR(VLOOKUP($A55&amp;"="&amp;$B55,Results_Deltas!$A$2:$P$15000,5,FALSE),"")</f>
        <v/>
      </c>
      <c r="H55" s="56" t="inlineStr">
        <is>
          <t>Blanket (page end)</t>
        </is>
      </c>
    </row>
    <row r="56">
      <c r="A56" s="63" t="inlineStr">
        <is>
          <t>EMA_BLANKET_FILTER_MIN_TFS</t>
        </is>
      </c>
      <c r="B56" s="56" t="inlineStr">
        <is>
          <t>1</t>
        </is>
      </c>
      <c r="C56" s="56" t="n"/>
      <c r="D56" s="56" t="inlineStr">
        <is>
          <t>GLOBAL_CHECK</t>
        </is>
      </c>
      <c r="E56" s="56">
        <f>IF(G56="",E55,IF(G56&gt;0,E55+G56,E55))</f>
        <v/>
      </c>
      <c r="G56" s="56">
        <f>IFERROR(VLOOKUP($A56&amp;"="&amp;$B56,Results_Deltas!$A$2:$P$15000,5,FALSE),"")</f>
        <v/>
      </c>
      <c r="H56" s="56" t="inlineStr">
        <is>
          <t>Blanket (page end)</t>
        </is>
      </c>
    </row>
    <row r="57">
      <c r="A57" s="63" t="inlineStr">
        <is>
          <t>EXECUTE_NOW_SINGLE_GATE_ENFORCE</t>
        </is>
      </c>
      <c r="B57" s="56" t="inlineStr">
        <is>
          <t>0.0</t>
        </is>
      </c>
      <c r="C57" s="56" t="n"/>
      <c r="D57" s="56" t="inlineStr">
        <is>
          <t>ENTRY, GLOBAL_CHECK, STOCKS_EXIT</t>
        </is>
      </c>
      <c r="E57" s="56">
        <f>IF(G57="",E56,IF(G57&gt;0,E56+G57,E56))</f>
        <v/>
      </c>
      <c r="G57" s="56">
        <f>IFERROR(VLOOKUP($A57&amp;"="&amp;$B57,Results_Deltas!$A$2:$P$15000,5,FALSE),"")</f>
        <v/>
      </c>
      <c r="H57" s="56" t="inlineStr">
        <is>
          <t>Blanket (page end)</t>
        </is>
      </c>
    </row>
    <row r="58">
      <c r="A58" s="63" t="inlineStr">
        <is>
          <t>EXECUTE_NOW_SINGLE_GATE_ENFORCE</t>
        </is>
      </c>
      <c r="B58" s="56" t="inlineStr">
        <is>
          <t>0.0_ALT</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EZ_MANAGE_THROTTLER_RATE</t>
        </is>
      </c>
      <c r="B59" s="56" t="inlineStr">
        <is>
          <t>0.0</t>
        </is>
      </c>
      <c r="C59" s="56" t="n"/>
      <c r="D59" s="56" t="inlineStr">
        <is>
          <t>GLOBAL_CHECK, STOCKS_EXIT</t>
        </is>
      </c>
      <c r="E59" s="56">
        <f>IF(G59="",E58,IF(G59&gt;0,E58+G59,E58))</f>
        <v/>
      </c>
      <c r="G59" s="56">
        <f>IFERROR(VLOOKUP($A59&amp;"="&amp;$B59,Results_Deltas!$A$2:$P$15000,5,FALSE),"")</f>
        <v/>
      </c>
      <c r="H59" s="56" t="inlineStr">
        <is>
          <t>Blanket (page end)</t>
        </is>
      </c>
    </row>
    <row r="60">
      <c r="A60" s="63" t="inlineStr">
        <is>
          <t>EZ_MANAGE_THROTTLER_RATE</t>
        </is>
      </c>
      <c r="B60" s="56" t="inlineStr">
        <is>
          <t>0.0_ALT</t>
        </is>
      </c>
      <c r="C60" s="56" t="n"/>
      <c r="D60" s="56" t="inlineStr">
        <is>
          <t>GLOBAL_CHECK, STOCKS_EXIT</t>
        </is>
      </c>
      <c r="E60" s="56">
        <f>IF(G60="",E59,IF(G60&gt;0,E59+G60,E59))</f>
        <v/>
      </c>
      <c r="G60" s="56">
        <f>IFERROR(VLOOKUP($A60&amp;"="&amp;$B60,Results_Deltas!$A$2:$P$15000,5,FALSE),"")</f>
        <v/>
      </c>
      <c r="H60" s="56" t="inlineStr">
        <is>
          <t>Blanket (page end)</t>
        </is>
      </c>
    </row>
    <row r="61">
      <c r="A61" s="63" t="inlineStr">
        <is>
          <t>FG_FEAR_THRESHOLD</t>
        </is>
      </c>
      <c r="B61" s="56" t="inlineStr">
        <is>
          <t>25</t>
        </is>
      </c>
      <c r="C61" s="56" t="n"/>
      <c r="D61" s="56" t="inlineStr">
        <is>
          <t>GLOBAL_CHECK, STOCKS_EXIT</t>
        </is>
      </c>
      <c r="E61" s="56">
        <f>IF(G61="",E60,IF(G61&gt;0,E60+G61,E60))</f>
        <v/>
      </c>
      <c r="G61" s="56">
        <f>IFERROR(VLOOKUP($A61&amp;"="&amp;$B61,Results_Deltas!$A$2:$P$15000,5,FALSE),"")</f>
        <v/>
      </c>
      <c r="H61" s="56" t="inlineStr">
        <is>
          <t>Blanket (page end)</t>
        </is>
      </c>
    </row>
    <row r="62">
      <c r="A62" s="63" t="inlineStr">
        <is>
          <t>FG_FEAR_THRESHOLD</t>
        </is>
      </c>
      <c r="B62" s="56" t="inlineStr">
        <is>
          <t>31.25</t>
        </is>
      </c>
      <c r="C62" s="56" t="n"/>
      <c r="D62" s="56" t="inlineStr">
        <is>
          <t>GLOBAL_CHECK, STOCKS_EXIT</t>
        </is>
      </c>
      <c r="E62" s="56">
        <f>IF(G62="",E61,IF(G62&gt;0,E61+G62,E61))</f>
        <v/>
      </c>
      <c r="G62" s="56">
        <f>IFERROR(VLOOKUP($A62&amp;"="&amp;$B62,Results_Deltas!$A$2:$P$15000,5,FALSE),"")</f>
        <v/>
      </c>
      <c r="H62" s="56" t="inlineStr">
        <is>
          <t>Blanket (page end)</t>
        </is>
      </c>
    </row>
    <row r="63">
      <c r="A63" s="63" t="inlineStr">
        <is>
          <t>FG_FEAR_THRESHOLD</t>
        </is>
      </c>
      <c r="B63" s="56" t="inlineStr">
        <is>
          <t>18.75</t>
        </is>
      </c>
      <c r="C63" s="56" t="n"/>
      <c r="D63" s="56" t="inlineStr">
        <is>
          <t>GLOBAL_CHECK, STOCKS_EXIT</t>
        </is>
      </c>
      <c r="E63" s="56">
        <f>IF(G63="",E62,IF(G63&gt;0,E62+G63,E62))</f>
        <v/>
      </c>
      <c r="G63" s="56">
        <f>IFERROR(VLOOKUP($A63&amp;"="&amp;$B63,Results_Deltas!$A$2:$P$15000,5,FALSE),"")</f>
        <v/>
      </c>
      <c r="H63" s="56" t="inlineStr">
        <is>
          <t>Blanket (page end)</t>
        </is>
      </c>
    </row>
    <row r="64">
      <c r="A64" s="63" t="inlineStr">
        <is>
          <t>FG_FEAR_THRESHOLD</t>
        </is>
      </c>
      <c r="B64" s="56" t="inlineStr">
        <is>
          <t>12.5</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FG_GREED_THRESHOLD</t>
        </is>
      </c>
      <c r="B65" s="56" t="inlineStr">
        <is>
          <t>75</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FG_GREED_THRESHOLD</t>
        </is>
      </c>
      <c r="B66" s="56" t="inlineStr">
        <is>
          <t>93.75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FG_GREED_THRESHOLD</t>
        </is>
      </c>
      <c r="B67" s="56" t="inlineStr">
        <is>
          <t>56.25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FG_GREED_THRESHOLD</t>
        </is>
      </c>
      <c r="B68" s="56" t="inlineStr">
        <is>
          <t>37.5</t>
        </is>
      </c>
      <c r="C68" s="56" t="n"/>
      <c r="D68" s="56" t="inlineStr">
        <is>
          <t>GLOBAL_CHECK, STOCKS_EXIT</t>
        </is>
      </c>
      <c r="E68" s="56">
        <f>IF(G68="",E67,IF(G68&gt;0,E67+G68,E67))</f>
        <v/>
      </c>
      <c r="G68" s="56">
        <f>IFERROR(VLOOKUP($A68&amp;"="&amp;$B68,Results_Deltas!$A$2:$P$15000,5,FALSE),"")</f>
        <v/>
      </c>
      <c r="H68" s="56" t="inlineStr">
        <is>
          <t>Blanket (page end)</t>
        </is>
      </c>
    </row>
    <row r="69">
      <c r="A69" s="63" t="inlineStr">
        <is>
          <t>FUNDING_GATE_FILTER_TF</t>
        </is>
      </c>
      <c r="B69" s="56" t="inlineStr">
        <is>
          <t>OFF</t>
        </is>
      </c>
      <c r="C69" s="56" t="n"/>
      <c r="D69" s="56" t="inlineStr">
        <is>
          <t>GLOBAL_CHECK</t>
        </is>
      </c>
      <c r="E69" s="56">
        <f>IF(G69="",E68,IF(G69&gt;0,E68+G69,E68))</f>
        <v/>
      </c>
      <c r="G69" s="56">
        <f>IFERROR(VLOOKUP($A69&amp;"="&amp;$B69,Results_Deltas!$A$2:$P$15000,5,FALSE),"")</f>
        <v/>
      </c>
      <c r="H69" s="56" t="inlineStr">
        <is>
          <t>Blanket (page end)</t>
        </is>
      </c>
    </row>
    <row r="70">
      <c r="A70" s="63" t="inlineStr">
        <is>
          <t>FUNDING_GATE_FILTER_TF</t>
        </is>
      </c>
      <c r="B70" s="56" t="inlineStr">
        <is>
          <t>D</t>
        </is>
      </c>
      <c r="C70" s="56" t="n"/>
      <c r="D70" s="56" t="inlineStr">
        <is>
          <t>GLOBAL_CHECK</t>
        </is>
      </c>
      <c r="E70" s="56">
        <f>IF(G70="",E69,IF(G70&gt;0,E69+G70,E69))</f>
        <v/>
      </c>
      <c r="G70" s="56">
        <f>IFERROR(VLOOKUP($A70&amp;"="&amp;$B70,Results_Deltas!$A$2:$P$15000,5,FALSE),"")</f>
        <v/>
      </c>
      <c r="H70" s="56" t="inlineStr">
        <is>
          <t>Blanket (page end)</t>
        </is>
      </c>
    </row>
    <row r="71">
      <c r="A71" s="63" t="inlineStr">
        <is>
          <t>FUNDING_GATE_FILTER_TF</t>
        </is>
      </c>
      <c r="B71" s="56" t="inlineStr">
        <is>
          <t>4h</t>
        </is>
      </c>
      <c r="C71" s="56" t="n"/>
      <c r="D71" s="56" t="inlineStr">
        <is>
          <t>GLOBAL_CHECK</t>
        </is>
      </c>
      <c r="E71" s="56">
        <f>IF(G71="",E70,IF(G71&gt;0,E70+G71,E70))</f>
        <v/>
      </c>
      <c r="G71" s="56">
        <f>IFERROR(VLOOKUP($A71&amp;"="&amp;$B71,Results_Deltas!$A$2:$P$15000,5,FALSE),"")</f>
        <v/>
      </c>
      <c r="H71" s="56" t="inlineStr">
        <is>
          <t>Blanket (page end)</t>
        </is>
      </c>
    </row>
    <row r="72">
      <c r="A72" s="63" t="inlineStr">
        <is>
          <t>FUNDING_GATE_FILTER_TF</t>
        </is>
      </c>
      <c r="B72" s="56" t="inlineStr">
        <is>
          <t>1h</t>
        </is>
      </c>
      <c r="C72" s="56" t="n"/>
      <c r="D72" s="56" t="inlineStr">
        <is>
          <t>GLOBAL_CHECK</t>
        </is>
      </c>
      <c r="E72" s="56">
        <f>IF(G72="",E71,IF(G72&gt;0,E71+G72,E71))</f>
        <v/>
      </c>
      <c r="G72" s="56">
        <f>IFERROR(VLOOKUP($A72&amp;"="&amp;$B72,Results_Deltas!$A$2:$P$15000,5,FALSE),"")</f>
        <v/>
      </c>
      <c r="H72" s="56" t="inlineStr">
        <is>
          <t>Blanket (page end)</t>
        </is>
      </c>
    </row>
    <row r="73">
      <c r="A73" s="63" t="inlineStr">
        <is>
          <t>FUNDING_GATE_FILTER_TF</t>
        </is>
      </c>
      <c r="B73" s="56" t="inlineStr">
        <is>
          <t>15m</t>
        </is>
      </c>
      <c r="C73" s="56" t="n"/>
      <c r="D73" s="56" t="inlineStr">
        <is>
          <t>GLOBAL_CHECK</t>
        </is>
      </c>
      <c r="E73" s="56">
        <f>IF(G73="",E72,IF(G73&gt;0,E72+G73,E72))</f>
        <v/>
      </c>
      <c r="G73" s="56">
        <f>IFERROR(VLOOKUP($A73&amp;"="&amp;$B73,Results_Deltas!$A$2:$P$15000,5,FALSE),"")</f>
        <v/>
      </c>
      <c r="H73" s="56" t="inlineStr">
        <is>
          <t>Blanket (page end)</t>
        </is>
      </c>
    </row>
    <row r="74">
      <c r="A74" s="63" t="inlineStr">
        <is>
          <t>FUNDING_GATE_LONG_MAX</t>
        </is>
      </c>
      <c r="B74" s="56" t="inlineStr">
        <is>
          <t>0.0</t>
        </is>
      </c>
      <c r="C74" s="56" t="n"/>
      <c r="D74" s="56" t="inlineStr">
        <is>
          <t>ENTRY, GLOBAL_CHECK, STOCKS_EXIT</t>
        </is>
      </c>
      <c r="E74" s="56">
        <f>IF(G74="",E73,IF(G74&gt;0,E73+G74,E73))</f>
        <v/>
      </c>
      <c r="G74" s="56">
        <f>IFERROR(VLOOKUP($A74&amp;"="&amp;$B74,Results_Deltas!$A$2:$P$15000,5,FALSE),"")</f>
        <v/>
      </c>
      <c r="H74" s="56" t="inlineStr">
        <is>
          <t>Blanket (page end)</t>
        </is>
      </c>
    </row>
    <row r="75">
      <c r="A75" s="63" t="inlineStr">
        <is>
          <t>FUNDING_GATE_LONG_MAX</t>
        </is>
      </c>
      <c r="B75" s="56" t="inlineStr">
        <is>
          <t>0.0_ALT</t>
        </is>
      </c>
      <c r="C75" s="56" t="n"/>
      <c r="D75" s="56" t="inlineStr">
        <is>
          <t>ENTRY, GLOBAL_CHECK, STOCKS_EXIT</t>
        </is>
      </c>
      <c r="E75" s="56">
        <f>IF(G75="",E74,IF(G75&gt;0,E74+G75,E74))</f>
        <v/>
      </c>
      <c r="G75" s="56">
        <f>IFERROR(VLOOKUP($A75&amp;"="&amp;$B75,Results_Deltas!$A$2:$P$15000,5,FALSE),"")</f>
        <v/>
      </c>
      <c r="H75" s="56" t="inlineStr">
        <is>
          <t>Blanket (page end)</t>
        </is>
      </c>
    </row>
    <row r="76">
      <c r="A76" s="63" t="inlineStr">
        <is>
          <t>FUNDING_GATE_MTF_REQUIRED</t>
        </is>
      </c>
      <c r="B76" s="56" t="inlineStr">
        <is>
          <t>0.0</t>
        </is>
      </c>
      <c r="C76" s="56" t="n"/>
      <c r="D76" s="56" t="inlineStr">
        <is>
          <t>ENTRY, GLOBAL_CHECK, STOCKS_EXIT</t>
        </is>
      </c>
      <c r="E76" s="56">
        <f>IF(G76="",E75,IF(G76&gt;0,E75+G76,E75))</f>
        <v/>
      </c>
      <c r="G76" s="56">
        <f>IFERROR(VLOOKUP($A76&amp;"="&amp;$B76,Results_Deltas!$A$2:$P$15000,5,FALSE),"")</f>
        <v/>
      </c>
      <c r="H76" s="56" t="inlineStr">
        <is>
          <t>Blanket (page end)</t>
        </is>
      </c>
    </row>
    <row r="77">
      <c r="A77" s="63" t="inlineStr">
        <is>
          <t>FUNDING_GATE_MTF_REQUIRED</t>
        </is>
      </c>
      <c r="B77" s="56" t="inlineStr">
        <is>
          <t>0.0_ALT</t>
        </is>
      </c>
      <c r="C77" s="56" t="n"/>
      <c r="D77" s="56" t="inlineStr">
        <is>
          <t>ENTRY, GLOBAL_CHECK, STOCKS_EXIT</t>
        </is>
      </c>
      <c r="E77" s="56">
        <f>IF(G77="",E76,IF(G77&gt;0,E76+G77,E76))</f>
        <v/>
      </c>
      <c r="G77" s="56">
        <f>IFERROR(VLOOKUP($A77&amp;"="&amp;$B77,Results_Deltas!$A$2:$P$15000,5,FALSE),"")</f>
        <v/>
      </c>
      <c r="H77" s="56" t="inlineStr">
        <is>
          <t>Blanket (page end)</t>
        </is>
      </c>
    </row>
    <row r="78">
      <c r="A78" s="63" t="inlineStr">
        <is>
          <t>FUNDING_GATE_SHORT_MIN</t>
        </is>
      </c>
      <c r="B78" s="56" t="inlineStr">
        <is>
          <t>0.0</t>
        </is>
      </c>
      <c r="C78" s="56" t="n"/>
      <c r="D78" s="56" t="inlineStr">
        <is>
          <t>ENTRY, GLOBAL_CHECK, STOCKS_EXIT</t>
        </is>
      </c>
      <c r="E78" s="56">
        <f>IF(G78="",E77,IF(G78&gt;0,E77+G78,E77))</f>
        <v/>
      </c>
      <c r="G78" s="56">
        <f>IFERROR(VLOOKUP($A78&amp;"="&amp;$B78,Results_Deltas!$A$2:$P$15000,5,FALSE),"")</f>
        <v/>
      </c>
      <c r="H78" s="56" t="inlineStr">
        <is>
          <t>Blanket (page end)</t>
        </is>
      </c>
    </row>
    <row r="79">
      <c r="A79" s="63" t="inlineStr">
        <is>
          <t>FUNDING_GATE_SHORT_MIN</t>
        </is>
      </c>
      <c r="B79" s="56" t="inlineStr">
        <is>
          <t>0.0_ALT</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GOLDEN_RULE_BASE_USD</t>
        </is>
      </c>
      <c r="B80" s="56" t="inlineStr">
        <is>
          <t>0.0</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GOLDEN_RULE_BASE_USD</t>
        </is>
      </c>
      <c r="B81" s="56" t="inlineStr">
        <is>
          <t>0.0_ALT</t>
        </is>
      </c>
      <c r="C81" s="56" t="n"/>
      <c r="D81" s="56" t="inlineStr">
        <is>
          <t>GLOBAL_CHECK, STOCKS_EXIT</t>
        </is>
      </c>
      <c r="E81" s="56">
        <f>IF(G81="",E80,IF(G81&gt;0,E80+G81,E80))</f>
        <v/>
      </c>
      <c r="G81" s="56">
        <f>IFERROR(VLOOKUP($A81&amp;"="&amp;$B81,Results_Deltas!$A$2:$P$15000,5,FALSE),"")</f>
        <v/>
      </c>
      <c r="H81" s="56" t="inlineStr">
        <is>
          <t>Blanket (page end)</t>
        </is>
      </c>
    </row>
    <row r="82">
      <c r="A82" s="63" t="inlineStr">
        <is>
          <t>GR_FILTER_ALL_ENTRIES</t>
        </is>
      </c>
      <c r="B82" s="56" t="inlineStr">
        <is>
          <t>0.0</t>
        </is>
      </c>
      <c r="C82" s="56" t="n"/>
      <c r="D82" s="56" t="inlineStr">
        <is>
          <t>GLOBAL_CHECK, STOCKS_EXIT</t>
        </is>
      </c>
      <c r="E82" s="56">
        <f>IF(G82="",E81,IF(G82&gt;0,E81+G82,E81))</f>
        <v/>
      </c>
      <c r="G82" s="56">
        <f>IFERROR(VLOOKUP($A82&amp;"="&amp;$B82,Results_Deltas!$A$2:$P$15000,5,FALSE),"")</f>
        <v/>
      </c>
      <c r="H82" s="56" t="inlineStr">
        <is>
          <t>Blanket (page end)</t>
        </is>
      </c>
    </row>
    <row r="83">
      <c r="A83" s="63" t="inlineStr">
        <is>
          <t>GR_FILTER_ALL_ENTRIES</t>
        </is>
      </c>
      <c r="B83" s="56" t="inlineStr">
        <is>
          <t>0.0_ALT</t>
        </is>
      </c>
      <c r="C83" s="56" t="n"/>
      <c r="D83" s="56" t="inlineStr">
        <is>
          <t>GLOBAL_CHECK, STOCKS_EXIT</t>
        </is>
      </c>
      <c r="E83" s="56">
        <f>IF(G83="",E82,IF(G83&gt;0,E82+G83,E82))</f>
        <v/>
      </c>
      <c r="G83" s="56">
        <f>IFERROR(VLOOKUP($A83&amp;"="&amp;$B83,Results_Deltas!$A$2:$P$15000,5,FALSE),"")</f>
        <v/>
      </c>
      <c r="H83" s="56" t="inlineStr">
        <is>
          <t>Blanket (page end)</t>
        </is>
      </c>
    </row>
    <row r="84">
      <c r="A84" s="63" t="inlineStr">
        <is>
          <t>GR_FILTER_VEC_ENABLED</t>
        </is>
      </c>
      <c r="B84" s="56" t="inlineStr">
        <is>
          <t>False</t>
        </is>
      </c>
      <c r="C84" s="56" t="n"/>
      <c r="D84" s="56" t="inlineStr">
        <is>
          <t>GLOBAL_CHECK</t>
        </is>
      </c>
      <c r="E84" s="56">
        <f>IF(G84="",E83,IF(G84&gt;0,E83+G84,E83))</f>
        <v/>
      </c>
      <c r="G84" s="56">
        <f>IFERROR(VLOOKUP($A84&amp;"="&amp;$B84,Results_Deltas!$A$2:$P$15000,5,FALSE),"")</f>
        <v/>
      </c>
      <c r="H84" s="56" t="inlineStr">
        <is>
          <t>Blanket (page end)</t>
        </is>
      </c>
    </row>
    <row r="85">
      <c r="A85" s="63" t="inlineStr">
        <is>
          <t>GR_FILTER_VEC_ENABLED</t>
        </is>
      </c>
      <c r="B85" s="56" t="inlineStr">
        <is>
          <t>True</t>
        </is>
      </c>
      <c r="C85" s="56" t="n"/>
      <c r="D85" s="56" t="inlineStr">
        <is>
          <t>GLOBAL_CHECK</t>
        </is>
      </c>
      <c r="E85" s="56">
        <f>IF(G85="",E84,IF(G85&gt;0,E84+G85,E84))</f>
        <v/>
      </c>
      <c r="G85" s="56">
        <f>IFERROR(VLOOKUP($A85&amp;"="&amp;$B85,Results_Deltas!$A$2:$P$15000,5,FALSE),"")</f>
        <v/>
      </c>
      <c r="H85" s="56" t="inlineStr">
        <is>
          <t>Blanket (page end)</t>
        </is>
      </c>
    </row>
    <row r="86">
      <c r="A86" s="63" t="inlineStr">
        <is>
          <t>GR_FILTER_VEC_MIN_TFS</t>
        </is>
      </c>
      <c r="B86" s="56" t="inlineStr">
        <is>
          <t>0</t>
        </is>
      </c>
      <c r="C86" s="56" t="n"/>
      <c r="D86" s="56" t="inlineStr">
        <is>
          <t>GLOBAL_CHECK</t>
        </is>
      </c>
      <c r="E86" s="56">
        <f>IF(G86="",E85,IF(G86&gt;0,E85+G86,E85))</f>
        <v/>
      </c>
      <c r="G86" s="56">
        <f>IFERROR(VLOOKUP($A86&amp;"="&amp;$B86,Results_Deltas!$A$2:$P$15000,5,FALSE),"")</f>
        <v/>
      </c>
      <c r="H86" s="56" t="inlineStr">
        <is>
          <t>Blanket (page end)</t>
        </is>
      </c>
    </row>
    <row r="87">
      <c r="A87" s="63" t="inlineStr">
        <is>
          <t>GR_FILTER_VEC_MIN_TFS</t>
        </is>
      </c>
      <c r="B87" s="56" t="inlineStr">
        <is>
          <t>2</t>
        </is>
      </c>
      <c r="C87" s="56" t="n"/>
      <c r="D87" s="56" t="inlineStr">
        <is>
          <t>GLOBAL_CHECK</t>
        </is>
      </c>
      <c r="E87" s="56">
        <f>IF(G87="",E86,IF(G87&gt;0,E86+G87,E86))</f>
        <v/>
      </c>
      <c r="G87" s="56">
        <f>IFERROR(VLOOKUP($A87&amp;"="&amp;$B87,Results_Deltas!$A$2:$P$15000,5,FALSE),"")</f>
        <v/>
      </c>
      <c r="H87" s="56" t="inlineStr">
        <is>
          <t>Blanket (page end)</t>
        </is>
      </c>
    </row>
    <row r="88">
      <c r="A88" s="63" t="inlineStr">
        <is>
          <t>GR_FILTER_VEC_MIN_TFS</t>
        </is>
      </c>
      <c r="B88" s="56" t="inlineStr">
        <is>
          <t>1</t>
        </is>
      </c>
      <c r="C88" s="56" t="n"/>
      <c r="D88" s="56" t="inlineStr">
        <is>
          <t>GLOBAL_CHECK</t>
        </is>
      </c>
      <c r="E88" s="56">
        <f>IF(G88="",E87,IF(G88&gt;0,E87+G88,E87))</f>
        <v/>
      </c>
      <c r="G88" s="56">
        <f>IFERROR(VLOOKUP($A88&amp;"="&amp;$B88,Results_Deltas!$A$2:$P$15000,5,FALSE),"")</f>
        <v/>
      </c>
      <c r="H88" s="56" t="inlineStr">
        <is>
          <t>Blanket (page end)</t>
        </is>
      </c>
    </row>
    <row r="89">
      <c r="A89" s="63" t="inlineStr">
        <is>
          <t>HA_WICK_QUALITY_ENABLED</t>
        </is>
      </c>
      <c r="B89" s="56" t="inlineStr">
        <is>
          <t>False</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HA_WICK_QUALITY_ENABLED</t>
        </is>
      </c>
      <c r="B90" s="56" t="inlineStr">
        <is>
          <t>True</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HA_WICK_QUALITY_SCORE</t>
        </is>
      </c>
      <c r="B91" s="56" t="inlineStr">
        <is>
          <t>15</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HA_WICK_QUALITY_SCORE</t>
        </is>
      </c>
      <c r="B92" s="56" t="inlineStr">
        <is>
          <t>15_ALT</t>
        </is>
      </c>
      <c r="C92" s="56" t="n"/>
      <c r="D92" s="56" t="inlineStr">
        <is>
          <t>ENTRY, GLOBAL_CHECK, STOCKS_EXIT</t>
        </is>
      </c>
      <c r="E92" s="56">
        <f>IF(G92="",E91,IF(G92&gt;0,E91+G92,E91))</f>
        <v/>
      </c>
      <c r="G92" s="56">
        <f>IFERROR(VLOOKUP($A92&amp;"="&amp;$B92,Results_Deltas!$A$2:$P$15000,5,FALSE),"")</f>
        <v/>
      </c>
      <c r="H92" s="56" t="inlineStr">
        <is>
          <t>Blanket (page end)</t>
        </is>
      </c>
    </row>
    <row r="93">
      <c r="A93" s="63" t="inlineStr">
        <is>
          <t>HA_WICK_QUALITY_TF</t>
        </is>
      </c>
      <c r="B93" s="56" t="inlineStr">
        <is>
          <t>OFF</t>
        </is>
      </c>
      <c r="C93" s="56" t="n"/>
      <c r="D93" s="56" t="inlineStr">
        <is>
          <t>ENTRY, GLOBAL_CHECK, STOCKS_EXIT</t>
        </is>
      </c>
      <c r="E93" s="56">
        <f>IF(G93="",E92,IF(G93&gt;0,E92+G93,E92))</f>
        <v/>
      </c>
      <c r="G93" s="56">
        <f>IFERROR(VLOOKUP($A93&amp;"="&amp;$B93,Results_Deltas!$A$2:$P$15000,5,FALSE),"")</f>
        <v/>
      </c>
      <c r="H93" s="56" t="inlineStr">
        <is>
          <t>Blanket (page end)</t>
        </is>
      </c>
    </row>
    <row r="94">
      <c r="A94" s="63" t="inlineStr">
        <is>
          <t>HA_WICK_QUALITY_TF</t>
        </is>
      </c>
      <c r="B94" s="56" t="inlineStr">
        <is>
          <t>D</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HA_WICK_QUALITY_TF</t>
        </is>
      </c>
      <c r="B95" s="56" t="inlineStr">
        <is>
          <t>4h</t>
        </is>
      </c>
      <c r="C95" s="56" t="n"/>
      <c r="D95" s="56" t="inlineStr">
        <is>
          <t>ENTRY, GLOBAL_CHECK, STOCKS_EXIT</t>
        </is>
      </c>
      <c r="E95" s="56">
        <f>IF(G95="",E94,IF(G95&gt;0,E94+G95,E94))</f>
        <v/>
      </c>
      <c r="G95" s="56">
        <f>IFERROR(VLOOKUP($A95&amp;"="&amp;$B95,Results_Deltas!$A$2:$P$15000,5,FALSE),"")</f>
        <v/>
      </c>
      <c r="H95" s="56" t="inlineStr">
        <is>
          <t>Blanket (page end)</t>
        </is>
      </c>
    </row>
    <row r="96">
      <c r="A96" s="63" t="inlineStr">
        <is>
          <t>HA_WICK_QUALITY_TF</t>
        </is>
      </c>
      <c r="B96" s="56" t="inlineStr">
        <is>
          <t>1h</t>
        </is>
      </c>
      <c r="C96" s="56" t="n"/>
      <c r="D96" s="56" t="inlineStr">
        <is>
          <t>ENTRY, GLOBAL_CHECK, STOCKS_EXIT</t>
        </is>
      </c>
      <c r="E96" s="56">
        <f>IF(G96="",E95,IF(G96&gt;0,E95+G96,E95))</f>
        <v/>
      </c>
      <c r="G96" s="56">
        <f>IFERROR(VLOOKUP($A96&amp;"="&amp;$B96,Results_Deltas!$A$2:$P$15000,5,FALSE),"")</f>
        <v/>
      </c>
      <c r="H96" s="56" t="inlineStr">
        <is>
          <t>Blanket (page end)</t>
        </is>
      </c>
    </row>
    <row r="97">
      <c r="A97" s="63" t="inlineStr">
        <is>
          <t>HA_WICK_QUALITY_TF</t>
        </is>
      </c>
      <c r="B97" s="56" t="inlineStr">
        <is>
          <t>15m</t>
        </is>
      </c>
      <c r="C97" s="56" t="n"/>
      <c r="D97" s="56" t="inlineStr">
        <is>
          <t>ENTRY, GLOBAL_CHECK, STOCKS_EXIT</t>
        </is>
      </c>
      <c r="E97" s="56">
        <f>IF(G97="",E96,IF(G97&gt;0,E96+G97,E96))</f>
        <v/>
      </c>
      <c r="G97" s="56">
        <f>IFERROR(VLOOKUP($A97&amp;"="&amp;$B97,Results_Deltas!$A$2:$P$15000,5,FALSE),"")</f>
        <v/>
      </c>
      <c r="H97" s="56" t="inlineStr">
        <is>
          <t>Blanket (page end)</t>
        </is>
      </c>
    </row>
    <row r="98">
      <c r="A98" s="63" t="inlineStr">
        <is>
          <t>HLR_SMA_BAND_PCT</t>
        </is>
      </c>
      <c r="B98" s="56" t="inlineStr">
        <is>
          <t>0</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HLR_SMA_BAND_PCT</t>
        </is>
      </c>
      <c r="B99" s="56" t="inlineStr">
        <is>
          <t>2.0</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HLR_SMA_BAND_PCT</t>
        </is>
      </c>
      <c r="B100" s="56" t="inlineStr">
        <is>
          <t>1.0</t>
        </is>
      </c>
      <c r="C100" s="56" t="n"/>
      <c r="D100" s="56" t="inlineStr">
        <is>
          <t>ENTRY, GLOBAL_CHECK, STOCKS_EXIT</t>
        </is>
      </c>
      <c r="E100" s="56">
        <f>IF(G100="",E99,IF(G100&gt;0,E99+G100,E99))</f>
        <v/>
      </c>
      <c r="G100" s="56">
        <f>IFERROR(VLOOKUP($A100&amp;"="&amp;$B100,Results_Deltas!$A$2:$P$15000,5,FALSE),"")</f>
        <v/>
      </c>
      <c r="H100" s="56" t="inlineStr">
        <is>
          <t>Blanket (page end)</t>
        </is>
      </c>
    </row>
    <row r="101">
      <c r="A101" s="63" t="inlineStr">
        <is>
          <t>HLR_SMA_BAND_PCT</t>
        </is>
      </c>
      <c r="B101" s="56" t="inlineStr">
        <is>
          <t>0.5</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HLR_TOP_MIN_TFS</t>
        </is>
      </c>
      <c r="B102" s="56" t="inlineStr">
        <is>
          <t>0</t>
        </is>
      </c>
      <c r="C102" s="56" t="n"/>
      <c r="D102" s="56" t="inlineStr">
        <is>
          <t>GLOBAL_CHECK, REENTRY, STOCKS_EXIT</t>
        </is>
      </c>
      <c r="E102" s="56">
        <f>IF(G102="",E101,IF(G102&gt;0,E101+G102,E101))</f>
        <v/>
      </c>
      <c r="G102" s="56">
        <f>IFERROR(VLOOKUP($A102&amp;"="&amp;$B102,Results_Deltas!$A$2:$P$15000,5,FALSE),"")</f>
        <v/>
      </c>
      <c r="H102" s="56" t="inlineStr">
        <is>
          <t>Blanket (page end)</t>
        </is>
      </c>
    </row>
    <row r="103">
      <c r="A103" s="63" t="inlineStr">
        <is>
          <t>HLR_TOP_MIN_TFS</t>
        </is>
      </c>
      <c r="B103" s="56" t="inlineStr">
        <is>
          <t>2</t>
        </is>
      </c>
      <c r="C103" s="56" t="n"/>
      <c r="D103" s="56" t="inlineStr">
        <is>
          <t>GLOBAL_CHECK, REENTRY, STOCKS_EXIT</t>
        </is>
      </c>
      <c r="E103" s="56">
        <f>IF(G103="",E102,IF(G103&gt;0,E102+G103,E102))</f>
        <v/>
      </c>
      <c r="G103" s="56">
        <f>IFERROR(VLOOKUP($A103&amp;"="&amp;$B103,Results_Deltas!$A$2:$P$15000,5,FALSE),"")</f>
        <v/>
      </c>
      <c r="H103" s="56" t="inlineStr">
        <is>
          <t>Blanket (page end)</t>
        </is>
      </c>
    </row>
    <row r="104">
      <c r="A104" s="63" t="inlineStr">
        <is>
          <t>HLR_TOP_MIN_TFS</t>
        </is>
      </c>
      <c r="B104" s="56" t="inlineStr">
        <is>
          <t>1</t>
        </is>
      </c>
      <c r="C104" s="56" t="n"/>
      <c r="D104" s="56" t="inlineStr">
        <is>
          <t>GLOBAL_CHECK, REENTRY, STOCKS_EXIT</t>
        </is>
      </c>
      <c r="E104" s="56">
        <f>IF(G104="",E103,IF(G104&gt;0,E103+G104,E103))</f>
        <v/>
      </c>
      <c r="G104" s="56">
        <f>IFERROR(VLOOKUP($A104&amp;"="&amp;$B104,Results_Deltas!$A$2:$P$15000,5,FALSE),"")</f>
        <v/>
      </c>
      <c r="H104" s="56" t="inlineStr">
        <is>
          <t>Blanket (page end)</t>
        </is>
      </c>
    </row>
    <row r="105">
      <c r="A105" s="63" t="inlineStr">
        <is>
          <t>HTF4_CONF</t>
        </is>
      </c>
      <c r="B105" s="56" t="inlineStr">
        <is>
          <t>False</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HTF4_CONF</t>
        </is>
      </c>
      <c r="B106" s="56" t="inlineStr">
        <is>
          <t>False_ALT</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HTF_DIRECTION_GATE_ENABLED</t>
        </is>
      </c>
      <c r="B107" s="56" t="inlineStr">
        <is>
          <t>False</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HTF_DIRECTION_GATE_ENABLED</t>
        </is>
      </c>
      <c r="B108" s="56" t="inlineStr">
        <is>
          <t>True</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HTF_GATE_BYPASS_RZ</t>
        </is>
      </c>
      <c r="B109" s="56" t="inlineStr">
        <is>
          <t>0.0</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HTF_GATE_BYPASS_RZ</t>
        </is>
      </c>
      <c r="B110" s="56" t="inlineStr">
        <is>
          <t>0.0_ALT</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HTF_GATE_D_MANDATORY</t>
        </is>
      </c>
      <c r="B111" s="56" t="inlineStr">
        <is>
          <t>0.0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HTF_GATE_D_MANDATORY</t>
        </is>
      </c>
      <c r="B112" s="56" t="inlineStr">
        <is>
          <t>0.0_ALT</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HTF_GATE_MIN_CONFIRMATIONS</t>
        </is>
      </c>
      <c r="B113" s="56" t="inlineStr">
        <is>
          <t>0.0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HTF_GATE_MIN_CONFIRMATIONS</t>
        </is>
      </c>
      <c r="B114" s="56" t="inlineStr">
        <is>
          <t>0.0_ALT</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HTF_TREND_VETO_BYPASS_ENABLED</t>
        </is>
      </c>
      <c r="B115" s="56" t="inlineStr">
        <is>
          <t>False</t>
        </is>
      </c>
      <c r="C115" s="56" t="n"/>
      <c r="D115" s="56" t="inlineStr">
        <is>
          <t>GLOBAL_CHECK, STOCKS_EXIT</t>
        </is>
      </c>
      <c r="E115" s="56">
        <f>IF(G115="",E114,IF(G115&gt;0,E114+G115,E114))</f>
        <v/>
      </c>
      <c r="G115" s="56">
        <f>IFERROR(VLOOKUP($A115&amp;"="&amp;$B115,Results_Deltas!$A$2:$P$15000,5,FALSE),"")</f>
        <v/>
      </c>
      <c r="H115" s="56" t="inlineStr">
        <is>
          <t>Blanket (page end)</t>
        </is>
      </c>
    </row>
    <row r="116">
      <c r="A116" s="63" t="inlineStr">
        <is>
          <t>HTF_TREND_VETO_BYPASS_ENABLED</t>
        </is>
      </c>
      <c r="B116" s="56" t="inlineStr">
        <is>
          <t>True</t>
        </is>
      </c>
      <c r="C116" s="56" t="n"/>
      <c r="D116" s="56" t="inlineStr">
        <is>
          <t>GLOBAL_CHECK, STOCKS_EXIT</t>
        </is>
      </c>
      <c r="E116" s="56">
        <f>IF(G116="",E115,IF(G116&gt;0,E115+G116,E115))</f>
        <v/>
      </c>
      <c r="G116" s="56">
        <f>IFERROR(VLOOKUP($A116&amp;"="&amp;$B116,Results_Deltas!$A$2:$P$15000,5,FALSE),"")</f>
        <v/>
      </c>
      <c r="H116" s="56" t="inlineStr">
        <is>
          <t>Blanket (page end)</t>
        </is>
      </c>
    </row>
    <row r="117">
      <c r="A117" s="63" t="inlineStr">
        <is>
          <t>HTF_TREND_VETO_BYPASS_REASONS</t>
        </is>
      </c>
      <c r="B117" s="56" t="inlineStr">
        <is>
          <t>0.0</t>
        </is>
      </c>
      <c r="C117" s="56" t="n"/>
      <c r="D117" s="56" t="inlineStr">
        <is>
          <t>GLOBAL_CHECK, STOCKS_EXIT</t>
        </is>
      </c>
      <c r="E117" s="56">
        <f>IF(G117="",E116,IF(G117&gt;0,E116+G117,E116))</f>
        <v/>
      </c>
      <c r="G117" s="56">
        <f>IFERROR(VLOOKUP($A117&amp;"="&amp;$B117,Results_Deltas!$A$2:$P$15000,5,FALSE),"")</f>
        <v/>
      </c>
      <c r="H117" s="56" t="inlineStr">
        <is>
          <t>Blanket (page end)</t>
        </is>
      </c>
    </row>
    <row r="118">
      <c r="A118" s="63" t="inlineStr">
        <is>
          <t>HTF_TREND_VETO_BYPASS_REASONS</t>
        </is>
      </c>
      <c r="B118" s="56" t="inlineStr">
        <is>
          <t>0.0_ALT</t>
        </is>
      </c>
      <c r="C118" s="56" t="n"/>
      <c r="D118" s="56" t="inlineStr">
        <is>
          <t>GLOBAL_CHECK, STOCKS_EXIT</t>
        </is>
      </c>
      <c r="E118" s="56">
        <f>IF(G118="",E117,IF(G118&gt;0,E117+G118,E117))</f>
        <v/>
      </c>
      <c r="G118" s="56">
        <f>IFERROR(VLOOKUP($A118&amp;"="&amp;$B118,Results_Deltas!$A$2:$P$15000,5,FALSE),"")</f>
        <v/>
      </c>
      <c r="H118" s="56" t="inlineStr">
        <is>
          <t>Blanket (page end)</t>
        </is>
      </c>
    </row>
    <row r="119">
      <c r="A119" s="63" t="inlineStr">
        <is>
          <t>LEADERBOARD_FILTER</t>
        </is>
      </c>
      <c r="B119" s="56" t="inlineStr">
        <is>
          <t>False</t>
        </is>
      </c>
      <c r="C119" s="56" t="n"/>
      <c r="D119" s="56" t="inlineStr">
        <is>
          <t>AUGMENT, ENTRY, EXIT, GLOBAL_CHECK, REDUCE, STOCKS_EXIT</t>
        </is>
      </c>
      <c r="E119" s="56">
        <f>IF(G119="",E118,IF(G119&gt;0,E118+G119,E118))</f>
        <v/>
      </c>
      <c r="G119" s="56">
        <f>IFERROR(VLOOKUP($A119&amp;"="&amp;$B119,Results_Deltas!$A$2:$P$15000,5,FALSE),"")</f>
        <v/>
      </c>
      <c r="H119" s="56" t="inlineStr">
        <is>
          <t>Blanket (page end)</t>
        </is>
      </c>
    </row>
    <row r="120">
      <c r="A120" s="63" t="inlineStr">
        <is>
          <t>LEADERBOARD_FILTER</t>
        </is>
      </c>
      <c r="B120" s="56" t="inlineStr">
        <is>
          <t>False_ALT</t>
        </is>
      </c>
      <c r="C120" s="56" t="n"/>
      <c r="D120" s="56" t="inlineStr">
        <is>
          <t>AUGMENT, ENTRY, EXIT, GLOBAL_CHECK, REDUCE, STOCKS_EXIT</t>
        </is>
      </c>
      <c r="E120" s="56">
        <f>IF(G120="",E119,IF(G120&gt;0,E119+G120,E119))</f>
        <v/>
      </c>
      <c r="G120" s="56">
        <f>IFERROR(VLOOKUP($A120&amp;"="&amp;$B120,Results_Deltas!$A$2:$P$15000,5,FALSE),"")</f>
        <v/>
      </c>
      <c r="H120" s="56" t="inlineStr">
        <is>
          <t>Blanket (page end)</t>
        </is>
      </c>
    </row>
    <row r="121">
      <c r="A121" s="63" t="inlineStr">
        <is>
          <t>LH_HL_FILTER_ENABLED</t>
        </is>
      </c>
      <c r="B121" s="56" t="inlineStr">
        <is>
          <t>False</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LH_HL_FILTER_ENABLED</t>
        </is>
      </c>
      <c r="B122" s="56" t="inlineStr">
        <is>
          <t>True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LH_HL_FILTER_MODE</t>
        </is>
      </c>
      <c r="B123" s="56" t="inlineStr">
        <is>
          <t>STRICT_2BAR</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LH_HL_FILTER_MODE</t>
        </is>
      </c>
      <c r="B124" s="56" t="inlineStr">
        <is>
          <t>STRICT_2BAR_ALT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LH_HL_FILTER_REQUIRE_BOTH</t>
        </is>
      </c>
      <c r="B125" s="56" t="inlineStr">
        <is>
          <t>False</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LH_HL_FILTER_REQUIRE_BOTH</t>
        </is>
      </c>
      <c r="B126" s="56" t="inlineStr">
        <is>
          <t>False_ALT</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LIVE_VEC_EMERGENCY_BRAKE_ENABLED</t>
        </is>
      </c>
      <c r="B127" s="56" t="inlineStr">
        <is>
          <t>False</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LIVE_VEC_EMERGENCY_BRAKE_ENABLED</t>
        </is>
      </c>
      <c r="B128" s="56" t="inlineStr">
        <is>
          <t>True</t>
        </is>
      </c>
      <c r="C128" s="56" t="n"/>
      <c r="D128" s="56" t="inlineStr">
        <is>
          <t>GLOBAL_CHECK, STOCKS_EXIT</t>
        </is>
      </c>
      <c r="E128" s="56">
        <f>IF(G128="",E127,IF(G128&gt;0,E127+G128,E127))</f>
        <v/>
      </c>
      <c r="G128" s="56">
        <f>IFERROR(VLOOKUP($A128&amp;"="&amp;$B128,Results_Deltas!$A$2:$P$15000,5,FALSE),"")</f>
        <v/>
      </c>
      <c r="H128" s="56" t="inlineStr">
        <is>
          <t>Blanket (page end)</t>
        </is>
      </c>
    </row>
    <row r="129">
      <c r="A129" s="63" t="inlineStr">
        <is>
          <t>LR_BAND_LADDER_STOCH_EXTREME</t>
        </is>
      </c>
      <c r="B129" s="56" t="inlineStr">
        <is>
          <t>30.0</t>
        </is>
      </c>
      <c r="C129" s="56" t="n"/>
      <c r="D129" s="56" t="inlineStr">
        <is>
          <t>GLOBAL_CHECK, STOCKS_EXIT</t>
        </is>
      </c>
      <c r="E129" s="56">
        <f>IF(G129="",E128,IF(G129&gt;0,E128+G129,E128))</f>
        <v/>
      </c>
      <c r="G129" s="56">
        <f>IFERROR(VLOOKUP($A129&amp;"="&amp;$B129,Results_Deltas!$A$2:$P$15000,5,FALSE),"")</f>
        <v/>
      </c>
      <c r="H129" s="56" t="inlineStr">
        <is>
          <t>Blanket (page end)</t>
        </is>
      </c>
    </row>
    <row r="130">
      <c r="A130" s="63" t="inlineStr">
        <is>
          <t>LR_BAND_LADDER_STOCH_EXTREME</t>
        </is>
      </c>
      <c r="B130" s="56" t="inlineStr">
        <is>
          <t>30.0_ALT</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LR_BAND_LADDER_TF_BOTTOM</t>
        </is>
      </c>
      <c r="B131" s="56" t="inlineStr">
        <is>
          <t>0</t>
        </is>
      </c>
      <c r="C131" s="56" t="n"/>
      <c r="D131" s="56" t="inlineStr">
        <is>
          <t>GLOBAL_CHECK, STOCKS_EXIT</t>
        </is>
      </c>
      <c r="E131" s="56">
        <f>IF(G131="",E130,IF(G131&gt;0,E130+G131,E130))</f>
        <v/>
      </c>
      <c r="G131" s="56">
        <f>IFERROR(VLOOKUP($A131&amp;"="&amp;$B131,Results_Deltas!$A$2:$P$15000,5,FALSE),"")</f>
        <v/>
      </c>
      <c r="H131" s="56" t="inlineStr">
        <is>
          <t>Blanket (page end)</t>
        </is>
      </c>
    </row>
    <row r="132">
      <c r="A132" s="63" t="inlineStr">
        <is>
          <t>LR_BAND_LADDER_TF_BOTTOM</t>
        </is>
      </c>
      <c r="B132" s="56" t="inlineStr">
        <is>
          <t>1</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LR_BAND_LADDER_TF_TOP</t>
        </is>
      </c>
      <c r="B133" s="56" t="inlineStr">
        <is>
          <t>0</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LR_BAND_LADDER_TF_TOP</t>
        </is>
      </c>
      <c r="B134" s="56" t="inlineStr">
        <is>
          <t>1</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MANDATORY_REENTRY_WT_FILTER_MIN_TFS</t>
        </is>
      </c>
      <c r="B135" s="56" t="inlineStr">
        <is>
          <t>1</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MANDATORY_REENTRY_WT_FILTER_MIN_TFS</t>
        </is>
      </c>
      <c r="B136" s="56" t="inlineStr">
        <is>
          <t>3</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MANDATORY_REENTRY_WT_FILTER_MIN_TFS</t>
        </is>
      </c>
      <c r="B137" s="56" t="inlineStr">
        <is>
          <t>2</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MANDATORY_REENTRY_WT_FILTER_MIN_VELOCITY</t>
        </is>
      </c>
      <c r="B138" s="56" t="inlineStr">
        <is>
          <t>0.0</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MANDATORY_REENTRY_WT_FILTER_MIN_VELOCITY</t>
        </is>
      </c>
      <c r="B139" s="56" t="inlineStr">
        <is>
          <t>0.0_ALT</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MANDATORY_REENTRY_WT_FILTER_REQUIRE_FLIP</t>
        </is>
      </c>
      <c r="B140" s="56" t="inlineStr">
        <is>
          <t>False</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MANDATORY_REENTRY_WT_FILTER_REQUIRE_FLIP</t>
        </is>
      </c>
      <c r="B141" s="56" t="inlineStr">
        <is>
          <t>False_ALT</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MANDATORY_REENTRY_WT_FILTER_VELOCITY_RATIO</t>
        </is>
      </c>
      <c r="B142" s="56" t="inlineStr">
        <is>
          <t>0.90</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MANDATORY_REENTRY_WT_FILTER_VELOCITY_RATIO</t>
        </is>
      </c>
      <c r="B143" s="56" t="inlineStr">
        <is>
          <t>0.90_ALT</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MARKET_QUALITY_SCORE_ENABLED</t>
        </is>
      </c>
      <c r="B144" s="56" t="inlineStr">
        <is>
          <t>False</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MARKET_QUALITY_SCORE_ENABLED</t>
        </is>
      </c>
      <c r="B145" s="56" t="inlineStr">
        <is>
          <t>True</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MI_TF_AGREE_MIN</t>
        </is>
      </c>
      <c r="B146" s="56" t="inlineStr">
        <is>
          <t>0.0</t>
        </is>
      </c>
      <c r="C146" s="56" t="n"/>
      <c r="D146" s="56" t="inlineStr">
        <is>
          <t>ENTRY, GLOBAL_CHECK, STOCKS_EXIT</t>
        </is>
      </c>
      <c r="E146" s="56">
        <f>IF(G146="",E145,IF(G146&gt;0,E145+G146,E145))</f>
        <v/>
      </c>
      <c r="G146" s="56">
        <f>IFERROR(VLOOKUP($A146&amp;"="&amp;$B146,Results_Deltas!$A$2:$P$15000,5,FALSE),"")</f>
        <v/>
      </c>
      <c r="H146" s="56" t="inlineStr">
        <is>
          <t>Blanket (page end)</t>
        </is>
      </c>
    </row>
    <row r="147">
      <c r="A147" s="63" t="inlineStr">
        <is>
          <t>MI_TF_AGREE_MIN</t>
        </is>
      </c>
      <c r="B147" s="56" t="inlineStr">
        <is>
          <t>0.0_ALT</t>
        </is>
      </c>
      <c r="C147" s="56" t="n"/>
      <c r="D147" s="56" t="inlineStr">
        <is>
          <t>ENTRY, GLOBAL_CHECK, STOCKS_EXIT</t>
        </is>
      </c>
      <c r="E147" s="56">
        <f>IF(G147="",E146,IF(G147&gt;0,E146+G147,E146))</f>
        <v/>
      </c>
      <c r="G147" s="56">
        <f>IFERROR(VLOOKUP($A147&amp;"="&amp;$B147,Results_Deltas!$A$2:$P$15000,5,FALSE),"")</f>
        <v/>
      </c>
      <c r="H147" s="56" t="inlineStr">
        <is>
          <t>Blanket (page end)</t>
        </is>
      </c>
    </row>
    <row r="148">
      <c r="A148" s="63" t="inlineStr">
        <is>
          <t>MOVER_THRESHOLD</t>
        </is>
      </c>
      <c r="B148" s="56" t="inlineStr">
        <is>
          <t>5</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MOVER_THRESHOLD</t>
        </is>
      </c>
      <c r="B149" s="56" t="inlineStr">
        <is>
          <t>6.25</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MOVER_THRESHOLD</t>
        </is>
      </c>
      <c r="B150" s="56" t="inlineStr">
        <is>
          <t>3.75</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MOVER_THRESHOLD</t>
        </is>
      </c>
      <c r="B151" s="56" t="inlineStr">
        <is>
          <t>2.5</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MTF_FILTER_STRONG_BUY_QUICK_BYPASS</t>
        </is>
      </c>
      <c r="B152" s="56" t="inlineStr">
        <is>
          <t>0.0</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MTF_FILTER_STRONG_BUY_QUICK_BYPASS</t>
        </is>
      </c>
      <c r="B153" s="56" t="inlineStr">
        <is>
          <t>0.0_ALT</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MTF_GR_MIN_IND</t>
        </is>
      </c>
      <c r="B154" s="56" t="inlineStr">
        <is>
          <t>5</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MTF_GR_MIN_IND</t>
        </is>
      </c>
      <c r="B155" s="56" t="inlineStr">
        <is>
          <t>5_ALT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MTS_BOTTOM_BONUS_THRESHOLD</t>
        </is>
      </c>
      <c r="B156" s="56" t="inlineStr">
        <is>
          <t>25</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MTS_BOTTOM_BONUS_THRESHOLD</t>
        </is>
      </c>
      <c r="B157" s="56" t="inlineStr">
        <is>
          <t>31.25</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MTS_BOTTOM_BONUS_THRESHOLD</t>
        </is>
      </c>
      <c r="B158" s="56" t="inlineStr">
        <is>
          <t>18.75</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MTS_BOTTOM_BONUS_THRESHOLD</t>
        </is>
      </c>
      <c r="B159" s="56" t="inlineStr">
        <is>
          <t>12.5</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MTS_BOTTOM_STRONG_THRESHOLD</t>
        </is>
      </c>
      <c r="B160" s="56" t="inlineStr">
        <is>
          <t>40</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MTS_BOTTOM_STRONG_THRESHOLD</t>
        </is>
      </c>
      <c r="B161" s="56" t="inlineStr">
        <is>
          <t>50</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MTS_BOTTOM_STRONG_THRESHOLD</t>
        </is>
      </c>
      <c r="B162" s="56" t="inlineStr">
        <is>
          <t>30</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MTS_BOTTOM_STRONG_THRESHOLD</t>
        </is>
      </c>
      <c r="B163" s="56" t="inlineStr">
        <is>
          <t>20</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MTS_GATE_ENABLED</t>
        </is>
      </c>
      <c r="B164" s="56" t="inlineStr">
        <is>
          <t>False</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MTS_GATE_ENABLED</t>
        </is>
      </c>
      <c r="B165" s="56" t="inlineStr">
        <is>
          <t>True</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NEWBORN_LOSS_KILL_GAIN_THRESHOLD_PCT</t>
        </is>
      </c>
      <c r="B166" s="56" t="inlineStr">
        <is>
          <t>0</t>
        </is>
      </c>
      <c r="C166" s="56" t="n"/>
      <c r="D166" s="56" t="inlineStr">
        <is>
          <t>AUGMENT, EXIT, GLOBAL_CHECK, REDUCE, STOCKS_EXIT</t>
        </is>
      </c>
      <c r="E166" s="56">
        <f>IF(G166="",E165,IF(G166&gt;0,E165+G166,E165))</f>
        <v/>
      </c>
      <c r="G166" s="56">
        <f>IFERROR(VLOOKUP($A166&amp;"="&amp;$B166,Results_Deltas!$A$2:$P$15000,5,FALSE),"")</f>
        <v/>
      </c>
      <c r="H166" s="56" t="inlineStr">
        <is>
          <t>Blanket (page end)</t>
        </is>
      </c>
    </row>
    <row r="167">
      <c r="A167" s="63" t="inlineStr">
        <is>
          <t>NEWBORN_LOSS_KILL_GAIN_THRESHOLD_PCT</t>
        </is>
      </c>
      <c r="B167" s="56" t="inlineStr">
        <is>
          <t>2.0</t>
        </is>
      </c>
      <c r="C167" s="56" t="n"/>
      <c r="D167" s="56" t="inlineStr">
        <is>
          <t>AUGMENT, EXIT, GLOBAL_CHECK, REDUCE, STOCKS_EXIT</t>
        </is>
      </c>
      <c r="E167" s="56">
        <f>IF(G167="",E166,IF(G167&gt;0,E166+G167,E166))</f>
        <v/>
      </c>
      <c r="G167" s="56">
        <f>IFERROR(VLOOKUP($A167&amp;"="&amp;$B167,Results_Deltas!$A$2:$P$15000,5,FALSE),"")</f>
        <v/>
      </c>
      <c r="H167" s="56" t="inlineStr">
        <is>
          <t>Blanket (page end)</t>
        </is>
      </c>
    </row>
    <row r="168">
      <c r="A168" s="63" t="inlineStr">
        <is>
          <t>NEWBORN_LOSS_KILL_GAIN_THRESHOLD_PCT</t>
        </is>
      </c>
      <c r="B168" s="56" t="inlineStr">
        <is>
          <t>1.0</t>
        </is>
      </c>
      <c r="C168" s="56" t="n"/>
      <c r="D168" s="56" t="inlineStr">
        <is>
          <t>AUGMENT, EXIT, GLOBAL_CHECK, REDUCE, STOCKS_EXIT</t>
        </is>
      </c>
      <c r="E168" s="56">
        <f>IF(G168="",E167,IF(G168&gt;0,E167+G168,E167))</f>
        <v/>
      </c>
      <c r="G168" s="56">
        <f>IFERROR(VLOOKUP($A168&amp;"="&amp;$B168,Results_Deltas!$A$2:$P$15000,5,FALSE),"")</f>
        <v/>
      </c>
      <c r="H168" s="56" t="inlineStr">
        <is>
          <t>Blanket (page end)</t>
        </is>
      </c>
    </row>
    <row r="169">
      <c r="A169" s="63" t="inlineStr">
        <is>
          <t>NEWBORN_LOSS_KILL_GAIN_THRESHOLD_PCT</t>
        </is>
      </c>
      <c r="B169" s="56" t="inlineStr">
        <is>
          <t>0.5</t>
        </is>
      </c>
      <c r="C169" s="56" t="n"/>
      <c r="D169" s="56" t="inlineStr">
        <is>
          <t>AUGMENT, EXIT, GLOBAL_CHECK, REDUCE, STOCKS_EXIT</t>
        </is>
      </c>
      <c r="E169" s="56">
        <f>IF(G169="",E168,IF(G169&gt;0,E168+G169,E168))</f>
        <v/>
      </c>
      <c r="G169" s="56">
        <f>IFERROR(VLOOKUP($A169&amp;"="&amp;$B169,Results_Deltas!$A$2:$P$15000,5,FALSE),"")</f>
        <v/>
      </c>
      <c r="H169" s="56" t="inlineStr">
        <is>
          <t>Blanket (page end)</t>
        </is>
      </c>
    </row>
    <row r="170">
      <c r="A170" s="63" t="inlineStr">
        <is>
          <t>NEWBORN_LOSS_KILL_REQUIRE_VEL_AGAINST</t>
        </is>
      </c>
      <c r="B170" s="56" t="inlineStr">
        <is>
          <t>0.0</t>
        </is>
      </c>
      <c r="C170" s="56" t="n"/>
      <c r="D170" s="56" t="inlineStr">
        <is>
          <t>AUGMENT, EXIT, GLOBAL_CHECK, REDUCE, STOCKS_EXIT</t>
        </is>
      </c>
      <c r="E170" s="56">
        <f>IF(G170="",E169,IF(G170&gt;0,E169+G170,E169))</f>
        <v/>
      </c>
      <c r="G170" s="56">
        <f>IFERROR(VLOOKUP($A170&amp;"="&amp;$B170,Results_Deltas!$A$2:$P$15000,5,FALSE),"")</f>
        <v/>
      </c>
      <c r="H170" s="56" t="inlineStr">
        <is>
          <t>Blanket (page end)</t>
        </is>
      </c>
    </row>
    <row r="171">
      <c r="A171" s="63" t="inlineStr">
        <is>
          <t>NEWBORN_LOSS_KILL_REQUIRE_VEL_AGAINST</t>
        </is>
      </c>
      <c r="B171" s="56" t="inlineStr">
        <is>
          <t>0.0_ALT</t>
        </is>
      </c>
      <c r="C171" s="56" t="n"/>
      <c r="D171" s="56" t="inlineStr">
        <is>
          <t>AUGMENT, EXIT, GLOBAL_CHECK, REDUCE, STOCKS_EXIT</t>
        </is>
      </c>
      <c r="E171" s="56">
        <f>IF(G171="",E170,IF(G171&gt;0,E170+G171,E170))</f>
        <v/>
      </c>
      <c r="G171" s="56">
        <f>IFERROR(VLOOKUP($A171&amp;"="&amp;$B171,Results_Deltas!$A$2:$P$15000,5,FALSE),"")</f>
        <v/>
      </c>
      <c r="H171" s="56" t="inlineStr">
        <is>
          <t>Blanket (page end)</t>
        </is>
      </c>
    </row>
    <row r="172">
      <c r="A172" s="63" t="inlineStr">
        <is>
          <t>NEW_POSITION_MAX_LOSS_THRESHOLD</t>
        </is>
      </c>
      <c r="B172" s="56" t="inlineStr">
        <is>
          <t>0</t>
        </is>
      </c>
      <c r="C172" s="56" t="n"/>
      <c r="D172" s="56" t="inlineStr">
        <is>
          <t>AUGMENT, EXIT, GLOBAL_CHECK, REDUCE, STOCKS_EXIT</t>
        </is>
      </c>
      <c r="E172" s="56">
        <f>IF(G172="",E171,IF(G172&gt;0,E171+G172,E171))</f>
        <v/>
      </c>
      <c r="G172" s="56">
        <f>IFERROR(VLOOKUP($A172&amp;"="&amp;$B172,Results_Deltas!$A$2:$P$15000,5,FALSE),"")</f>
        <v/>
      </c>
      <c r="H172" s="56" t="inlineStr">
        <is>
          <t>Blanket (page end)</t>
        </is>
      </c>
    </row>
    <row r="173">
      <c r="A173" s="63" t="inlineStr">
        <is>
          <t>NEW_POSITION_MAX_LOSS_THRESHOLD</t>
        </is>
      </c>
      <c r="B173" s="56" t="inlineStr">
        <is>
          <t>2.0</t>
        </is>
      </c>
      <c r="C173" s="56" t="n"/>
      <c r="D173" s="56" t="inlineStr">
        <is>
          <t>AUGMENT, EXIT, GLOBAL_CHECK, REDUCE, STOCKS_EXIT</t>
        </is>
      </c>
      <c r="E173" s="56">
        <f>IF(G173="",E172,IF(G173&gt;0,E172+G173,E172))</f>
        <v/>
      </c>
      <c r="G173" s="56">
        <f>IFERROR(VLOOKUP($A173&amp;"="&amp;$B173,Results_Deltas!$A$2:$P$15000,5,FALSE),"")</f>
        <v/>
      </c>
      <c r="H173" s="56" t="inlineStr">
        <is>
          <t>Blanket (page end)</t>
        </is>
      </c>
    </row>
    <row r="174">
      <c r="A174" s="63" t="inlineStr">
        <is>
          <t>NEW_POSITION_MAX_LOSS_THRESHOLD</t>
        </is>
      </c>
      <c r="B174" s="56" t="inlineStr">
        <is>
          <t>1.0</t>
        </is>
      </c>
      <c r="C174" s="56" t="n"/>
      <c r="D174" s="56" t="inlineStr">
        <is>
          <t>AUGMENT, EXIT, GLOBAL_CHECK, REDUCE, STOCKS_EXIT</t>
        </is>
      </c>
      <c r="E174" s="56">
        <f>IF(G174="",E173,IF(G174&gt;0,E173+G174,E173))</f>
        <v/>
      </c>
      <c r="G174" s="56">
        <f>IFERROR(VLOOKUP($A174&amp;"="&amp;$B174,Results_Deltas!$A$2:$P$15000,5,FALSE),"")</f>
        <v/>
      </c>
      <c r="H174" s="56" t="inlineStr">
        <is>
          <t>Blanket (page end)</t>
        </is>
      </c>
    </row>
    <row r="175">
      <c r="A175" s="63" t="inlineStr">
        <is>
          <t>NEW_POSITION_MAX_LOSS_THRESHOLD</t>
        </is>
      </c>
      <c r="B175" s="56" t="inlineStr">
        <is>
          <t>0.5</t>
        </is>
      </c>
      <c r="C175" s="56" t="n"/>
      <c r="D175" s="56" t="inlineStr">
        <is>
          <t>AUGMENT, EXIT, GLOBAL_CHECK, REDUCE, STOCKS_EXIT</t>
        </is>
      </c>
      <c r="E175" s="56">
        <f>IF(G175="",E174,IF(G175&gt;0,E174+G175,E174))</f>
        <v/>
      </c>
      <c r="G175" s="56">
        <f>IFERROR(VLOOKUP($A175&amp;"="&amp;$B175,Results_Deltas!$A$2:$P$15000,5,FALSE),"")</f>
        <v/>
      </c>
      <c r="H175" s="56" t="inlineStr">
        <is>
          <t>Blanket (page end)</t>
        </is>
      </c>
    </row>
    <row r="176">
      <c r="A176" s="63" t="inlineStr">
        <is>
          <t>OI_CONFIRM_ENABLED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OI_CONFIRM_ENABLED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OI_CONFIRM_MIN_CHANGE_PCT</t>
        </is>
      </c>
      <c r="B178" s="56" t="inlineStr">
        <is>
          <t>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OI_CONFIRM_MIN_CHANGE_PCT</t>
        </is>
      </c>
      <c r="B179" s="56" t="inlineStr">
        <is>
          <t>2.0</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OI_CONFIRM_MIN_CHANGE_PCT</t>
        </is>
      </c>
      <c r="B180" s="56" t="inlineStr">
        <is>
          <t>1.0</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OI_CONFIRM_MIN_CHANGE_PCT</t>
        </is>
      </c>
      <c r="B181" s="56" t="inlineStr">
        <is>
          <t>0.5</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OI_CONFIRM_MIN_PRICE_PCT</t>
        </is>
      </c>
      <c r="B182" s="56" t="inlineStr">
        <is>
          <t>0</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OI_CONFIRM_MIN_PRICE_PCT</t>
        </is>
      </c>
      <c r="B183" s="56" t="inlineStr">
        <is>
          <t>2.0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OI_CONFIRM_MIN_PRICE_PCT</t>
        </is>
      </c>
      <c r="B184" s="56" t="inlineStr">
        <is>
          <t>1.0</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OI_CONFIRM_MIN_PRICE_PCT</t>
        </is>
      </c>
      <c r="B185" s="56" t="inlineStr">
        <is>
          <t>0.5</t>
        </is>
      </c>
      <c r="C185" s="56" t="n"/>
      <c r="D185" s="56" t="inlineStr">
        <is>
          <t>ENTRY, GLOBAL_CHECK, STOCKS_EXIT</t>
        </is>
      </c>
      <c r="E185" s="56">
        <f>IF(G185="",E184,IF(G185&gt;0,E184+G185,E184))</f>
        <v/>
      </c>
      <c r="G185" s="56">
        <f>IFERROR(VLOOKUP($A185&amp;"="&amp;$B185,Results_Deltas!$A$2:$P$15000,5,FALSE),"")</f>
        <v/>
      </c>
      <c r="H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M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WT_CROSS_EXIT_ENABLED</t>
        </is>
      </c>
      <c r="B3" s="7" t="inlineStr">
        <is>
          <t>False</t>
        </is>
      </c>
      <c r="E3">
        <f>MAX('EXIT_STRUCTURAL'!E:E)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55" t="n"/>
      <c r="AW3" s="55" t="n"/>
      <c r="AX3" s="55" t="n"/>
      <c r="AY3" s="55" t="n"/>
      <c r="AZ3" s="55"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ez_manage.py:1751 top()</t>
        </is>
      </c>
      <c r="IL3" s="9" t="inlineStr">
        <is>
          <t>v12_quick_engine.py:2439 x5</t>
        </is>
      </c>
    </row>
    <row r="4" ht="11" customHeight="1">
      <c r="A4" s="10" t="inlineStr">
        <is>
          <t>WT_CROSS_EXIT_ENABLED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55" t="n"/>
      <c r="AW4" s="55" t="n"/>
      <c r="AX4" s="55" t="n"/>
      <c r="AY4" s="55" t="n"/>
      <c r="AZ4" s="55"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ez_manage.py:1751 top()</t>
        </is>
      </c>
      <c r="IL4" s="9" t="inlineStr">
        <is>
          <t>v12_quick_engine.py:2439 x5</t>
        </is>
      </c>
    </row>
    <row r="5" ht="11" customHeight="1">
      <c r="A5" s="6" t="inlineStr">
        <is>
          <t>BB_SQUEEZE_EXIT_ENABLED</t>
        </is>
      </c>
      <c r="B5" s="7"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ez_manage.py:6163 top()</t>
        </is>
      </c>
      <c r="IL5" s="9" t="inlineStr">
        <is>
          <t>v12_quick_engine.py:891 x4</t>
        </is>
      </c>
    </row>
    <row r="6" ht="11" customHeight="1">
      <c r="A6" s="10" t="inlineStr">
        <is>
          <t>BB_SQUEEZE_EXIT_ENABLED</t>
        </is>
      </c>
      <c r="B6" s="11"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ez_manage.py:6163 top()</t>
        </is>
      </c>
      <c r="IL6" s="9" t="inlineStr">
        <is>
          <t>v12_quick_engine.py:891 x4</t>
        </is>
      </c>
    </row>
    <row r="7" ht="11" customHeight="1">
      <c r="A7" s="10" t="inlineStr">
        <is>
          <t>BTC_DIVERGENCE_EXIT_AGAINST</t>
        </is>
      </c>
      <c r="B7" s="11" t="inlineStr">
        <is>
          <t>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55" t="n"/>
      <c r="CU7" s="55" t="n"/>
      <c r="CV7" s="55" t="n"/>
      <c r="CW7" s="55" t="n"/>
      <c r="CX7" s="55" t="n"/>
      <c r="CY7" s="55" t="n"/>
      <c r="CZ7" s="55" t="n"/>
      <c r="DA7" s="55" t="n"/>
      <c r="DB7" s="55" t="n"/>
      <c r="DC7" s="55" t="n"/>
      <c r="DD7" s="55" t="n"/>
      <c r="DE7" s="55" t="n"/>
      <c r="DF7" s="55" t="n"/>
      <c r="DG7" s="55" t="n"/>
      <c r="DH7" s="55" t="n"/>
      <c r="DI7" s="55" t="n"/>
      <c r="DJ7" s="55" t="n"/>
      <c r="DK7" s="55" t="n"/>
      <c r="DL7" s="55" t="n"/>
      <c r="DM7" s="55"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ez_manage.py:4448 top()</t>
        </is>
      </c>
      <c r="IL7" s="9" t="inlineStr">
        <is>
          <t>v12_quick_engine.py:408 x8</t>
        </is>
      </c>
    </row>
    <row r="8" ht="11" customHeight="1">
      <c r="A8" s="10" t="inlineStr">
        <is>
          <t>BTC_DIVERGENCE_EXIT_AGAINST</t>
        </is>
      </c>
      <c r="B8" s="11" t="inlineStr">
        <is>
          <t>0.5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55" t="n"/>
      <c r="CU8" s="55" t="n"/>
      <c r="CV8" s="55" t="n"/>
      <c r="CW8" s="55" t="n"/>
      <c r="CX8" s="55" t="n"/>
      <c r="CY8" s="55" t="n"/>
      <c r="CZ8" s="55" t="n"/>
      <c r="DA8" s="55" t="n"/>
      <c r="DB8" s="55" t="n"/>
      <c r="DC8" s="55" t="n"/>
      <c r="DD8" s="55" t="n"/>
      <c r="DE8" s="55" t="n"/>
      <c r="DF8" s="55" t="n"/>
      <c r="DG8" s="55" t="n"/>
      <c r="DH8" s="55" t="n"/>
      <c r="DI8" s="55" t="n"/>
      <c r="DJ8" s="55" t="n"/>
      <c r="DK8" s="55" t="n"/>
      <c r="DL8" s="55" t="n"/>
      <c r="DM8" s="55"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ez_manage.py:4448 top()</t>
        </is>
      </c>
      <c r="IL8" s="9" t="inlineStr">
        <is>
          <t>v12_quick_engine.py:408 x8</t>
        </is>
      </c>
    </row>
    <row r="9" ht="11" customHeight="1">
      <c r="A9" s="10" t="inlineStr">
        <is>
          <t>BTC_DIVERGENCE_EXIT_AGAINST</t>
        </is>
      </c>
      <c r="B9" s="11" t="inlineStr">
        <is>
          <t>1.0</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ez_manage.py:4448 top()</t>
        </is>
      </c>
      <c r="IL9" s="9" t="inlineStr">
        <is>
          <t>v12_quick_engine.py:408 x8</t>
        </is>
      </c>
    </row>
    <row r="10" ht="11" customHeight="1">
      <c r="A10" s="10" t="inlineStr">
        <is>
          <t>BTC_DIVERGENCE_EXIT_AGAINST</t>
        </is>
      </c>
      <c r="B10" s="11"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ez_manage.py:4448 top()</t>
        </is>
      </c>
      <c r="IL10" s="9" t="inlineStr">
        <is>
          <t>v12_quick_engine.py:408 x8</t>
        </is>
      </c>
    </row>
    <row r="11" ht="11" customHeight="1">
      <c r="A11" s="10" t="inlineStr">
        <is>
          <t>DELTA_EXIT_DC_FLOOR</t>
        </is>
      </c>
      <c r="B11" s="11" t="inlineStr">
        <is>
          <t>False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ez_manage.py:4596 top()</t>
        </is>
      </c>
      <c r="IL11" s="9" t="inlineStr">
        <is>
          <t>v12_quick_engine.py:967 x8</t>
        </is>
      </c>
    </row>
    <row r="12" ht="11" customHeight="1">
      <c r="A12" s="6" t="inlineStr">
        <is>
          <t>DELTA_EXIT_DC_FLOOR</t>
        </is>
      </c>
      <c r="B12" s="7" t="inlineStr">
        <is>
          <t>True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55" t="n"/>
      <c r="CA12" s="55" t="n"/>
      <c r="CB12" s="55" t="n"/>
      <c r="CC12" s="55" t="n"/>
      <c r="CD12" s="55"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ez_manage.py:4596 top()</t>
        </is>
      </c>
      <c r="IL12" s="9" t="inlineStr">
        <is>
          <t>v12_quick_engine.py:967 x8</t>
        </is>
      </c>
    </row>
    <row r="13" ht="11" customHeight="1">
      <c r="A13" s="6" t="inlineStr">
        <is>
          <t>E_1_WT_EXIT_USE_DELTA_ENABLED</t>
        </is>
      </c>
      <c r="B13" s="7"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55" t="n"/>
      <c r="CA13" s="55" t="n"/>
      <c r="CB13" s="55" t="n"/>
      <c r="CC13" s="55" t="n"/>
      <c r="CD13" s="55"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ez_manage.py:4699 top()</t>
        </is>
      </c>
      <c r="IL13" s="9" t="inlineStr">
        <is>
          <t>v12_quick_engine.py:1818 x7</t>
        </is>
      </c>
    </row>
    <row r="14" ht="11" customHeight="1">
      <c r="A14" s="10" t="inlineStr">
        <is>
          <t>E_1_WT_EXIT_USE_DELTA_ENABLED</t>
        </is>
      </c>
      <c r="B14" s="11"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55" t="n"/>
      <c r="CA14" s="55" t="n"/>
      <c r="CB14" s="55" t="n"/>
      <c r="CC14" s="55" t="n"/>
      <c r="CD14" s="55"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ez_manage.py:4699 top()</t>
        </is>
      </c>
      <c r="IL14" s="9" t="inlineStr">
        <is>
          <t>v12_quick_engine.py:1818 x7</t>
        </is>
      </c>
    </row>
    <row r="15" ht="11" customHeight="1">
      <c r="A15" s="10" t="inlineStr">
        <is>
          <t>E_3_USE_WT_STRUCTURE_EXIT_MODE</t>
        </is>
      </c>
      <c r="B15" s="11" t="inlineStr">
        <is>
          <t>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ez_manage.py:4700 top()</t>
        </is>
      </c>
      <c r="IL15" s="9" t="inlineStr">
        <is>
          <t>v12_quick_engine.py:1819 x8</t>
        </is>
      </c>
    </row>
    <row r="16" ht="11" customHeight="1">
      <c r="A16" s="10" t="inlineStr">
        <is>
          <t>E_3_USE_WT_STRUCTURE_EXIT_MODE</t>
        </is>
      </c>
      <c r="B16" s="11" t="inlineStr">
        <is>
          <t>0.5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ez_manage.py:4700 top()</t>
        </is>
      </c>
      <c r="IL16" s="9" t="inlineStr">
        <is>
          <t>v12_quick_engine.py:1819 x8</t>
        </is>
      </c>
    </row>
    <row r="17" ht="11" customHeight="1">
      <c r="A17" s="10" t="inlineStr">
        <is>
          <t>E_3_USE_WT_STRUCTURE_EXIT_MODE</t>
        </is>
      </c>
      <c r="B17" s="11" t="inlineStr">
        <is>
          <t>1.0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ez_manage.py:4700 top()</t>
        </is>
      </c>
      <c r="IL17" s="9" t="inlineStr">
        <is>
          <t>v12_quick_engine.py:1819 x8</t>
        </is>
      </c>
    </row>
    <row r="18" ht="11" customHeight="1">
      <c r="A18" s="10" t="inlineStr">
        <is>
          <t>E_3_USE_WT_STRUCTURE_EXIT_MODE</t>
        </is>
      </c>
      <c r="B18" s="11" t="inlineStr">
        <is>
          <t>2.0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ez_manage.py:4700 top()</t>
        </is>
      </c>
      <c r="IL18" s="9" t="inlineStr">
        <is>
          <t>v12_quick_engine.py:1819 x8</t>
        </is>
      </c>
    </row>
    <row r="19" ht="11" customHeight="1">
      <c r="A19" s="10" t="inlineStr">
        <is>
          <t>HARD_BREAKEVEN_FLOOR_ENABLED</t>
        </is>
      </c>
      <c r="B19" s="11" t="inlineStr">
        <is>
          <t>False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ez_manage.py:4783 top()</t>
        </is>
      </c>
      <c r="IL19" s="9" t="inlineStr">
        <is>
          <t>v12_quick_engine.py:856 x6</t>
        </is>
      </c>
    </row>
    <row r="20" ht="11" customHeight="1">
      <c r="A20" s="6" t="inlineStr">
        <is>
          <t>HARD_BREAKEVEN_FLOOR_ENABLED</t>
        </is>
      </c>
      <c r="B20" s="7" t="inlineStr">
        <is>
          <t>True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ez_manage.py:4783 top()</t>
        </is>
      </c>
      <c r="IL20" s="9" t="inlineStr">
        <is>
          <t>v12_quick_engine.py:856 x6</t>
        </is>
      </c>
    </row>
    <row r="21" ht="11" customHeight="1">
      <c r="A21" s="10" t="inlineStr">
        <is>
          <t>HARD_BREAKEVEN_MIN_PEAK_PCT</t>
        </is>
      </c>
      <c r="B21" s="11" t="inlineStr">
        <is>
          <t>0.25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ez_manage.py:4784 top()</t>
        </is>
      </c>
      <c r="IL21" s="9" t="inlineStr">
        <is>
          <t>v12_quick_engine.py:858 x8</t>
        </is>
      </c>
    </row>
    <row r="22" ht="11" customHeight="1">
      <c r="A22" s="10" t="inlineStr">
        <is>
          <t>HARD_BREAKEVEN_MIN_PEAK_PCT</t>
        </is>
      </c>
      <c r="B22" s="11" t="inlineStr">
        <is>
          <t>0.375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ez_manage.py:4784 top()</t>
        </is>
      </c>
      <c r="IL22" s="9" t="inlineStr">
        <is>
          <t>v12_quick_engine.py:858 x8</t>
        </is>
      </c>
    </row>
    <row r="23" ht="11" customHeight="1">
      <c r="A23" s="6" t="inlineStr">
        <is>
          <t>HARD_BREAKEVEN_MIN_PEAK_PCT</t>
        </is>
      </c>
      <c r="B23" s="7" t="inlineStr">
        <is>
          <t>0.5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55" t="n"/>
      <c r="AM23" s="55" t="n"/>
      <c r="AN23" s="55" t="n"/>
      <c r="AO23" s="55" t="n"/>
      <c r="AP23" s="55"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55" t="n"/>
      <c r="HT23" s="55" t="n"/>
      <c r="HU23" s="55" t="n"/>
      <c r="HV23" s="55" t="n"/>
      <c r="HW23" s="55" t="n"/>
      <c r="HX23" s="8" t="n"/>
      <c r="HY23" s="8" t="n"/>
      <c r="HZ23" s="8" t="n"/>
      <c r="IA23" s="8" t="n"/>
      <c r="IB23" s="8" t="n"/>
      <c r="IC23" s="8" t="n"/>
      <c r="ID23" s="8" t="n"/>
      <c r="IE23" s="8" t="n"/>
      <c r="IF23" s="8" t="n"/>
      <c r="IG23" s="8" t="n"/>
      <c r="IH23" s="8" t="n"/>
      <c r="II23" s="8" t="n"/>
      <c r="IK23" s="9" t="inlineStr">
        <is>
          <t>ez_manage.py:4784 top()</t>
        </is>
      </c>
      <c r="IL23" s="9" t="inlineStr">
        <is>
          <t>v12_quick_engine.py:858 x8</t>
        </is>
      </c>
    </row>
    <row r="24" ht="11" customHeight="1">
      <c r="A24" s="10" t="inlineStr">
        <is>
          <t>HARD_BREAKEVEN_MIN_PEAK_PCT</t>
        </is>
      </c>
      <c r="B24" s="11" t="inlineStr">
        <is>
          <t>0.625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55" t="n"/>
      <c r="AM24" s="55" t="n"/>
      <c r="AN24" s="55" t="n"/>
      <c r="AO24" s="55" t="n"/>
      <c r="AP24" s="55"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55" t="n"/>
      <c r="HT24" s="55" t="n"/>
      <c r="HU24" s="55" t="n"/>
      <c r="HV24" s="55" t="n"/>
      <c r="HW24" s="55" t="n"/>
      <c r="HX24" s="8" t="n"/>
      <c r="HY24" s="8" t="n"/>
      <c r="HZ24" s="8" t="n"/>
      <c r="IA24" s="8" t="n"/>
      <c r="IB24" s="8" t="n"/>
      <c r="IC24" s="8" t="n"/>
      <c r="ID24" s="8" t="n"/>
      <c r="IE24" s="8" t="n"/>
      <c r="IF24" s="8" t="n"/>
      <c r="IG24" s="8" t="n"/>
      <c r="IH24" s="8" t="n"/>
      <c r="II24" s="8" t="n"/>
      <c r="IK24" s="9" t="inlineStr">
        <is>
          <t>ez_manage.py:4784 top()</t>
        </is>
      </c>
      <c r="IL24" s="9" t="inlineStr">
        <is>
          <t>v12_quick_engine.py:858 x8</t>
        </is>
      </c>
    </row>
    <row r="25" ht="11" customHeight="1">
      <c r="A25" s="10" t="inlineStr">
        <is>
          <t>HARD_BREAKEVEN_MIN_PEAK_PCT</t>
        </is>
      </c>
      <c r="B25" s="11" t="inlineStr">
        <is>
          <t>0.75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55" t="n"/>
      <c r="AM25" s="55" t="n"/>
      <c r="AN25" s="55" t="n"/>
      <c r="AO25" s="55" t="n"/>
      <c r="AP25" s="55"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55" t="n"/>
      <c r="HT25" s="55" t="n"/>
      <c r="HU25" s="55" t="n"/>
      <c r="HV25" s="55" t="n"/>
      <c r="HW25" s="55" t="n"/>
      <c r="HX25" s="8" t="n"/>
      <c r="HY25" s="8" t="n"/>
      <c r="HZ25" s="8" t="n"/>
      <c r="IA25" s="8" t="n"/>
      <c r="IB25" s="8" t="n"/>
      <c r="IC25" s="8" t="n"/>
      <c r="ID25" s="8" t="n"/>
      <c r="IE25" s="8" t="n"/>
      <c r="IF25" s="8" t="n"/>
      <c r="IG25" s="8" t="n"/>
      <c r="IH25" s="8" t="n"/>
      <c r="II25" s="8" t="n"/>
      <c r="IK25" s="9" t="inlineStr">
        <is>
          <t>ez_manage.py:4784 top()</t>
        </is>
      </c>
      <c r="IL25" s="9" t="inlineStr">
        <is>
          <t>v12_quick_engine.py:858 x8</t>
        </is>
      </c>
    </row>
    <row r="26" ht="11" customHeight="1">
      <c r="A26" s="10" t="inlineStr">
        <is>
          <t>LOSS_TECHNICAL_EXIT_NO_STALE_BLOCK</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55"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55" t="n"/>
      <c r="GU26" s="55" t="n"/>
      <c r="GV26" s="55" t="n"/>
      <c r="GW26" s="55" t="n"/>
      <c r="GX26" s="55"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ez_manage.py:4933 top()</t>
        </is>
      </c>
      <c r="IL26" s="9" t="inlineStr">
        <is>
          <t>v12_quick_engine.py:2172 x2</t>
        </is>
      </c>
    </row>
    <row r="27" ht="11" customHeight="1">
      <c r="A27" s="10" t="inlineStr">
        <is>
          <t>LOSS_TECHNICAL_EXIT_NO_STALE_BLOCK</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55"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55" t="n"/>
      <c r="GU27" s="55" t="n"/>
      <c r="GV27" s="55" t="n"/>
      <c r="GW27" s="55" t="n"/>
      <c r="GX27" s="55"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ez_manage.py:4933 top()</t>
        </is>
      </c>
      <c r="IL27" s="9" t="inlineStr">
        <is>
          <t>v12_quick_engine.py:2172 x2</t>
        </is>
      </c>
    </row>
    <row r="28" ht="11" customHeight="1">
      <c r="A28" s="10" t="inlineStr">
        <is>
          <t>LOSS_TECHNICAL_EXIT_NO_STALE_BLOCK</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55"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55" t="n"/>
      <c r="GU28" s="55" t="n"/>
      <c r="GV28" s="55" t="n"/>
      <c r="GW28" s="55" t="n"/>
      <c r="GX28" s="55"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ez_manage.py:4933 top()</t>
        </is>
      </c>
      <c r="IL28" s="9" t="inlineStr">
        <is>
          <t>v12_quick_engine.py:2172 x2</t>
        </is>
      </c>
    </row>
    <row r="29" ht="11" customHeight="1">
      <c r="A29" s="10" t="inlineStr">
        <is>
          <t>LOSS_TECHNICAL_EXIT_NO_STALE_BLOCK</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55"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55" t="n"/>
      <c r="GU29" s="55" t="n"/>
      <c r="GV29" s="55" t="n"/>
      <c r="GW29" s="55" t="n"/>
      <c r="GX29" s="55"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ez_manage.py:4933 top()</t>
        </is>
      </c>
      <c r="IL29" s="9" t="inlineStr">
        <is>
          <t>v12_quick_engine.py:2172 x2</t>
        </is>
      </c>
    </row>
    <row r="30" ht="11" customHeight="1">
      <c r="A30" s="6" t="inlineStr">
        <is>
          <t>MI_STRUCT_EXIT_ENABLED</t>
        </is>
      </c>
      <c r="B30" s="7" t="inlineStr">
        <is>
          <t>False</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55"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ez_manage.py:3566 top()</t>
        </is>
      </c>
      <c r="IL30" s="9" t="inlineStr">
        <is>
          <t>v12_quick_engine.py:2344 x8</t>
        </is>
      </c>
    </row>
    <row r="31" ht="11" customHeight="1">
      <c r="A31" s="10" t="inlineStr">
        <is>
          <t>MI_STRUCT_EXIT_ENABLED</t>
        </is>
      </c>
      <c r="B31" s="11" t="inlineStr">
        <is>
          <t>True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ez_manage.py:3566 top()</t>
        </is>
      </c>
      <c r="IL31" s="9" t="inlineStr">
        <is>
          <t>v12_quick_engine.py:2344 x8</t>
        </is>
      </c>
    </row>
    <row r="32" ht="11" customHeight="1">
      <c r="A32" s="6" t="inlineStr">
        <is>
          <t>MI_VELOCITY_EXIT_ENABLED</t>
        </is>
      </c>
      <c r="B32" s="7" t="inlineStr">
        <is>
          <t>False</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ez_manage.py:3568 top()</t>
        </is>
      </c>
      <c r="IL32" s="9" t="inlineStr">
        <is>
          <t>v12_quick_engine.py:2347 x8</t>
        </is>
      </c>
    </row>
    <row r="33" ht="11" customHeight="1">
      <c r="A33" s="10" t="inlineStr">
        <is>
          <t>MI_VELOCITY_EXIT_ENABLED</t>
        </is>
      </c>
      <c r="B33" s="11" t="inlineStr">
        <is>
          <t>True</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ez_manage.py:3568 top()</t>
        </is>
      </c>
      <c r="IL33" s="9" t="inlineStr">
        <is>
          <t>v12_quick_engine.py:2347 x8</t>
        </is>
      </c>
    </row>
    <row r="34" ht="11" customHeight="1">
      <c r="A34" s="6" t="inlineStr">
        <is>
          <t>MI_WAVE_EXIT_ENABLED</t>
        </is>
      </c>
      <c r="B34" s="7" t="inlineStr">
        <is>
          <t>False</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ez_manage.py:3569 top()</t>
        </is>
      </c>
      <c r="IL34" s="9" t="inlineStr">
        <is>
          <t>v12_quick_engine.py:2349 x8</t>
        </is>
      </c>
    </row>
    <row r="35" ht="11" customHeight="1">
      <c r="A35" s="10" t="inlineStr">
        <is>
          <t>MI_WAVE_EXIT_ENABLED</t>
        </is>
      </c>
      <c r="B35" s="11" t="inlineStr">
        <is>
          <t>True</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55"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ez_manage.py:3569 top()</t>
        </is>
      </c>
      <c r="IL35" s="9" t="inlineStr">
        <is>
          <t>v12_quick_engine.py:2349 x8</t>
        </is>
      </c>
    </row>
    <row r="36" ht="11" customHeight="1">
      <c r="A36" s="6" t="inlineStr">
        <is>
          <t>MU_CORRECTION_EXIT_ENABLED</t>
        </is>
      </c>
      <c r="B36" s="7" t="inlineStr">
        <is>
          <t>False</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55"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ez_manage.py:5068 top()</t>
        </is>
      </c>
      <c r="IL36" s="9" t="inlineStr">
        <is>
          <t>v12_quick_engine.py:2454 x3</t>
        </is>
      </c>
    </row>
    <row r="37" ht="11" customHeight="1">
      <c r="A37" s="10" t="inlineStr">
        <is>
          <t>MU_CORRECTION_EXIT_ENABLED</t>
        </is>
      </c>
      <c r="B37" s="11" t="inlineStr">
        <is>
          <t>True</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ez_manage.py:5068 top()</t>
        </is>
      </c>
      <c r="IL37" s="9" t="inlineStr">
        <is>
          <t>v12_quick_engine.py:2454 x3</t>
        </is>
      </c>
    </row>
    <row r="38" ht="11" customHeight="1">
      <c r="A38" s="6" t="inlineStr">
        <is>
          <t>RULE_B_3M_EXIT_ENABLED</t>
        </is>
      </c>
      <c r="B38" s="7" t="inlineStr">
        <is>
          <t>False</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55" t="n"/>
      <c r="EI38" s="55" t="n"/>
      <c r="EJ38" s="55" t="n"/>
      <c r="EK38" s="55" t="n"/>
      <c r="EL38" s="55"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ez_manage.py:5395 top()</t>
        </is>
      </c>
      <c r="IL38" s="9" t="inlineStr">
        <is>
          <t>v12_quick_engine.py:3009 x4</t>
        </is>
      </c>
    </row>
    <row r="39" ht="11" customHeight="1">
      <c r="A39" s="10" t="inlineStr">
        <is>
          <t>RULE_B_3M_EXIT_ENABLED</t>
        </is>
      </c>
      <c r="B39" s="11" t="inlineStr">
        <is>
          <t>True</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55"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55" t="n"/>
      <c r="EI39" s="55" t="n"/>
      <c r="EJ39" s="55" t="n"/>
      <c r="EK39" s="55" t="n"/>
      <c r="EL39" s="55"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ez_manage.py:5395 top()</t>
        </is>
      </c>
      <c r="IL39" s="9" t="inlineStr">
        <is>
          <t>v12_quick_engine.py:3009 x4</t>
        </is>
      </c>
    </row>
    <row r="40" ht="11" customHeight="1">
      <c r="A40" s="6" t="inlineStr">
        <is>
          <t>SCALP_V3_K_OB_EXIT_ENABLED</t>
        </is>
      </c>
      <c r="B40" s="7" t="inlineStr">
        <is>
          <t>False</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55"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ez_manage.py:5550 top()</t>
        </is>
      </c>
      <c r="IL40" s="9" t="inlineStr">
        <is>
          <t>v12_quick_engine.py:3178 x4</t>
        </is>
      </c>
    </row>
    <row r="41" ht="11" customHeight="1">
      <c r="A41" s="10" t="inlineStr">
        <is>
          <t>SCALP_V3_K_OB_EXIT_ENABLED</t>
        </is>
      </c>
      <c r="B41" s="11" t="inlineStr">
        <is>
          <t>True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55"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ez_manage.py:5550 top()</t>
        </is>
      </c>
      <c r="IL41" s="9" t="inlineStr">
        <is>
          <t>v12_quick_engine.py:3178 x4</t>
        </is>
      </c>
    </row>
    <row r="42" ht="11" customHeight="1">
      <c r="A42" s="6" t="inlineStr">
        <is>
          <t>SCALP_V3_PROTECTIVE_EXIT_ENABLED</t>
        </is>
      </c>
      <c r="B42" s="7" t="inlineStr">
        <is>
          <t>False</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55"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ez_manage.py:5586 top()</t>
        </is>
      </c>
      <c r="IL42" s="9" t="inlineStr">
        <is>
          <t>v12_quick_engine.py:3192 x4</t>
        </is>
      </c>
    </row>
    <row r="43" ht="11" customHeight="1">
      <c r="A43" s="10" t="inlineStr">
        <is>
          <t>SCALP_V3_PROTECTIVE_EXIT_ENABLED</t>
        </is>
      </c>
      <c r="B43" s="11" t="inlineStr">
        <is>
          <t>True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ez_manage.py:5586 top()</t>
        </is>
      </c>
      <c r="IL43" s="9" t="inlineStr">
        <is>
          <t>v12_quick_engine.py:3192 x4</t>
        </is>
      </c>
    </row>
    <row r="44" ht="11" customHeight="1">
      <c r="A44" s="10" t="inlineStr">
        <is>
          <t>STDEV_REJECT_EXIT_TF</t>
        </is>
      </c>
      <c r="B44" s="11" t="inlineStr">
        <is>
          <t>OFF</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55" t="n"/>
      <c r="GP44" s="55" t="n"/>
      <c r="GQ44" s="55" t="n"/>
      <c r="GR44" s="55" t="n"/>
      <c r="GS44" s="55"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ez_manage.py:4058 top()</t>
        </is>
      </c>
      <c r="IL44" s="9" t="inlineStr">
        <is>
          <t>v12_quick_engine.py:3298 x3</t>
        </is>
      </c>
    </row>
    <row r="45" ht="11" customHeight="1">
      <c r="A45" s="10" t="inlineStr">
        <is>
          <t>STDEV_REJECT_EXIT_TF</t>
        </is>
      </c>
      <c r="B45" s="11" t="inlineStr">
        <is>
          <t>D</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55" t="n"/>
      <c r="GP45" s="55" t="n"/>
      <c r="GQ45" s="55" t="n"/>
      <c r="GR45" s="55" t="n"/>
      <c r="GS45" s="55"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ez_manage.py:4058 top()</t>
        </is>
      </c>
      <c r="IL45" s="9" t="inlineStr">
        <is>
          <t>v12_quick_engine.py:3298 x3</t>
        </is>
      </c>
    </row>
    <row r="46" ht="11" customHeight="1">
      <c r="A46" s="10" t="inlineStr">
        <is>
          <t>STDEV_REJECT_EXIT_TF</t>
        </is>
      </c>
      <c r="B46" s="11" t="inlineStr">
        <is>
          <t>4h</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55" t="n"/>
      <c r="GP46" s="55" t="n"/>
      <c r="GQ46" s="55" t="n"/>
      <c r="GR46" s="55" t="n"/>
      <c r="GS46" s="55"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ez_manage.py:4058 top()</t>
        </is>
      </c>
      <c r="IL46" s="9" t="inlineStr">
        <is>
          <t>v12_quick_engine.py:3298 x3</t>
        </is>
      </c>
    </row>
    <row r="47" ht="11" customHeight="1">
      <c r="A47" s="10" t="inlineStr">
        <is>
          <t>STDEV_REJECT_EXIT_TF</t>
        </is>
      </c>
      <c r="B47" s="11" t="inlineStr">
        <is>
          <t>1h</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55" t="n"/>
      <c r="GP47" s="55" t="n"/>
      <c r="GQ47" s="55" t="n"/>
      <c r="GR47" s="55" t="n"/>
      <c r="GS47" s="55"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ez_manage.py:4058 top()</t>
        </is>
      </c>
      <c r="IL47" s="9" t="inlineStr">
        <is>
          <t>v12_quick_engine.py:3298 x3</t>
        </is>
      </c>
    </row>
    <row r="48" ht="11" customHeight="1">
      <c r="A48" s="6" t="inlineStr">
        <is>
          <t>STDEV_REJECT_EXIT_TF</t>
        </is>
      </c>
      <c r="B48" s="7" t="inlineStr">
        <is>
          <t>15m</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55" t="n"/>
      <c r="GP48" s="55" t="n"/>
      <c r="GQ48" s="55" t="n"/>
      <c r="GR48" s="55" t="n"/>
      <c r="GS48" s="55"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ez_manage.py:4058 top()</t>
        </is>
      </c>
      <c r="IL48" s="9" t="inlineStr">
        <is>
          <t>v12_quick_engine.py:3298 x3</t>
        </is>
      </c>
    </row>
    <row r="49" ht="11" customHeight="1">
      <c r="A49" s="10" t="inlineStr">
        <is>
          <t>TREND_EXIT_SCORE_FLIP</t>
        </is>
      </c>
      <c r="B49" s="11" t="inlineStr">
        <is>
          <t>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ez_manage.py:4200 top()</t>
        </is>
      </c>
      <c r="IL49" s="9" t="inlineStr">
        <is>
          <t>v12_quick_engine.py:3540 x2</t>
        </is>
      </c>
    </row>
    <row r="50" ht="11" customHeight="1">
      <c r="A50" s="10" t="inlineStr">
        <is>
          <t>TREND_EXIT_SCORE_FLIP</t>
        </is>
      </c>
      <c r="B50" s="11" t="inlineStr">
        <is>
          <t>0.5</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ez_manage.py:4200 top()</t>
        </is>
      </c>
      <c r="IL50" s="9" t="inlineStr">
        <is>
          <t>v12_quick_engine.py:3540 x2</t>
        </is>
      </c>
    </row>
    <row r="51" ht="11" customHeight="1">
      <c r="A51" s="10" t="inlineStr">
        <is>
          <t>TREND_EXIT_SCORE_FLIP</t>
        </is>
      </c>
      <c r="B51" s="11" t="inlineStr">
        <is>
          <t>1.0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ez_manage.py:4200 top()</t>
        </is>
      </c>
      <c r="IL51" s="9" t="inlineStr">
        <is>
          <t>v12_quick_engine.py:3540 x2</t>
        </is>
      </c>
    </row>
    <row r="52" ht="11" customHeight="1">
      <c r="A52" s="10" t="inlineStr">
        <is>
          <t>TREND_EXIT_SCORE_FLIP</t>
        </is>
      </c>
      <c r="B52" s="11" t="inlineStr">
        <is>
          <t>2.0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ez_manage.py:4200 top()</t>
        </is>
      </c>
      <c r="IL52" s="9" t="inlineStr">
        <is>
          <t>v12_quick_engine.py:3540 x2</t>
        </is>
      </c>
    </row>
    <row r="53" ht="11" customHeight="1">
      <c r="A53" s="6" t="inlineStr">
        <is>
          <t>WT_4H_VEL_EXIT_ENABLED</t>
        </is>
      </c>
      <c r="B53" s="7" t="inlineStr">
        <is>
          <t>False</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ez_manage.py:5876 top()</t>
        </is>
      </c>
      <c r="IL53" s="9" t="inlineStr">
        <is>
          <t>v12_quick_engine.py:3695 x5</t>
        </is>
      </c>
    </row>
    <row r="54" ht="11" customHeight="1">
      <c r="A54" s="10" t="inlineStr">
        <is>
          <t>WT_4H_VEL_EXIT_ENABLED</t>
        </is>
      </c>
      <c r="B54" s="11" t="inlineStr">
        <is>
          <t>True</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ez_manage.py:5876 top()</t>
        </is>
      </c>
      <c r="IL54" s="9" t="inlineStr">
        <is>
          <t>v12_quick_engine.py:3695 x5</t>
        </is>
      </c>
    </row>
    <row r="55" ht="11" customHeight="1">
      <c r="A55" s="10" t="inlineStr">
        <is>
          <t>WT_4H_VEL_EXIT_K_EXTREME_HIGH</t>
        </is>
      </c>
      <c r="B55" s="11" t="inlineStr">
        <is>
          <t>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ez_manage.py:5877 top()</t>
        </is>
      </c>
      <c r="IL55" s="9" t="inlineStr">
        <is>
          <t>v12_quick_engine.py:3696 x5</t>
        </is>
      </c>
    </row>
    <row r="56" ht="11" customHeight="1">
      <c r="A56" s="10" t="inlineStr">
        <is>
          <t>WT_4H_VEL_EXIT_K_EXTREME_HIGH</t>
        </is>
      </c>
      <c r="B56" s="11" t="inlineStr">
        <is>
          <t>0.5</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ez_manage.py:5877 top()</t>
        </is>
      </c>
      <c r="IL56" s="9" t="inlineStr">
        <is>
          <t>v12_quick_engine.py:3696 x5</t>
        </is>
      </c>
    </row>
    <row r="57" ht="11" customHeight="1">
      <c r="A57" s="10" t="inlineStr">
        <is>
          <t>WT_4H_VEL_EXIT_K_EXTREME_HIGH</t>
        </is>
      </c>
      <c r="B57" s="11" t="inlineStr">
        <is>
          <t>1.0</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ez_manage.py:5877 top()</t>
        </is>
      </c>
      <c r="IL57" s="9" t="inlineStr">
        <is>
          <t>v12_quick_engine.py:3696 x5</t>
        </is>
      </c>
    </row>
    <row r="58" ht="11" customHeight="1">
      <c r="A58" s="10" t="inlineStr">
        <is>
          <t>WT_4H_VEL_EXIT_K_EXTREME_HIGH</t>
        </is>
      </c>
      <c r="B58" s="11" t="inlineStr">
        <is>
          <t>2.0</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ez_manage.py:5877 top()</t>
        </is>
      </c>
      <c r="IL58" s="9" t="inlineStr">
        <is>
          <t>v12_quick_engine.py:3696 x5</t>
        </is>
      </c>
    </row>
    <row r="59" ht="11" customHeight="1">
      <c r="A59" s="10" t="inlineStr">
        <is>
          <t>WT_4H_VEL_EXIT_K_EXTREME_LOW</t>
        </is>
      </c>
      <c r="B59" s="11" t="inlineStr">
        <is>
          <t>0</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ez_manage.py:5878 top()</t>
        </is>
      </c>
      <c r="IL59" s="9" t="inlineStr">
        <is>
          <t>v12_quick_engine.py:3697 x5</t>
        </is>
      </c>
    </row>
    <row r="60" ht="11" customHeight="1">
      <c r="A60" s="10" t="inlineStr">
        <is>
          <t>WT_4H_VEL_EXIT_K_EXTREME_LOW</t>
        </is>
      </c>
      <c r="B60" s="11" t="inlineStr">
        <is>
          <t>0.5</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ez_manage.py:5878 top()</t>
        </is>
      </c>
      <c r="IL60" s="9" t="inlineStr">
        <is>
          <t>v12_quick_engine.py:3697 x5</t>
        </is>
      </c>
    </row>
    <row r="61" ht="11" customHeight="1">
      <c r="A61" s="10" t="inlineStr">
        <is>
          <t>WT_4H_VEL_EXIT_K_EXTREME_LOW</t>
        </is>
      </c>
      <c r="B61" s="11" t="inlineStr">
        <is>
          <t>1.0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ez_manage.py:5878 top()</t>
        </is>
      </c>
      <c r="IL61" s="9" t="inlineStr">
        <is>
          <t>v12_quick_engine.py:3697 x5</t>
        </is>
      </c>
    </row>
    <row r="62" ht="11" customHeight="1">
      <c r="A62" s="10" t="inlineStr">
        <is>
          <t>WT_4H_VEL_EXIT_K_EXTREME_LOW</t>
        </is>
      </c>
      <c r="B62" s="11" t="inlineStr">
        <is>
          <t>2.0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ez_manage.py:5878 top()</t>
        </is>
      </c>
      <c r="IL62" s="9" t="inlineStr">
        <is>
          <t>v12_quick_engine.py:3697 x5</t>
        </is>
      </c>
    </row>
    <row r="63" ht="11" customHeight="1">
      <c r="A63" s="10" t="inlineStr">
        <is>
          <t>WT_4H_VEL_EXIT_REQUIRE_K_EXTREME</t>
        </is>
      </c>
      <c r="B63" s="11" t="inlineStr">
        <is>
          <t>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ez_manage.py:5880 top()</t>
        </is>
      </c>
      <c r="IL63" s="9" t="inlineStr">
        <is>
          <t>v12_quick_engine.py:3699 x5</t>
        </is>
      </c>
    </row>
    <row r="64" ht="11" customHeight="1">
      <c r="A64" s="10" t="inlineStr">
        <is>
          <t>WT_4H_VEL_EXIT_REQUIRE_K_EXTREME</t>
        </is>
      </c>
      <c r="B64" s="11" t="inlineStr">
        <is>
          <t>0.5</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ez_manage.py:5880 top()</t>
        </is>
      </c>
      <c r="IL64" s="9" t="inlineStr">
        <is>
          <t>v12_quick_engine.py:3699 x5</t>
        </is>
      </c>
    </row>
    <row r="65" ht="11" customHeight="1">
      <c r="A65" s="10" t="inlineStr">
        <is>
          <t>WT_4H_VEL_EXIT_REQUIRE_K_EXTREME</t>
        </is>
      </c>
      <c r="B65" s="11" t="inlineStr">
        <is>
          <t>1.0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ez_manage.py:5880 top()</t>
        </is>
      </c>
      <c r="IL65" s="9" t="inlineStr">
        <is>
          <t>v12_quick_engine.py:3699 x5</t>
        </is>
      </c>
    </row>
    <row r="66" ht="11" customHeight="1">
      <c r="A66" s="10" t="inlineStr">
        <is>
          <t>WT_4H_VEL_EXIT_REQUIRE_K_EXTREME</t>
        </is>
      </c>
      <c r="B66" s="11" t="inlineStr">
        <is>
          <t>2.0</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ez_manage.py:5880 top()</t>
        </is>
      </c>
      <c r="IL66" s="9" t="inlineStr">
        <is>
          <t>v12_quick_engine.py:3699 x5</t>
        </is>
      </c>
    </row>
    <row r="67" ht="11" customHeight="1">
      <c r="A67" s="10" t="inlineStr">
        <is>
          <t>WT_4H_VEL_EXIT_REQUIRE_PROFIT</t>
        </is>
      </c>
      <c r="B67" s="11" t="inlineStr">
        <is>
          <t>0</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55" t="n"/>
      <c r="HO67" s="55" t="n"/>
      <c r="HP67" s="55" t="n"/>
      <c r="HQ67" s="55" t="n"/>
      <c r="HR67" s="55" t="n"/>
      <c r="HS67" s="8" t="n"/>
      <c r="HT67" s="8" t="n"/>
      <c r="HU67" s="8" t="n"/>
      <c r="HV67" s="8" t="n"/>
      <c r="HW67" s="8" t="n"/>
      <c r="HX67" s="8" t="n"/>
      <c r="HY67" s="8" t="n"/>
      <c r="HZ67" s="8" t="n"/>
      <c r="IA67" s="8" t="n"/>
      <c r="IB67" s="8" t="n"/>
      <c r="IC67" s="8" t="n"/>
      <c r="ID67" s="8" t="n"/>
      <c r="IE67" s="8" t="n"/>
      <c r="IF67" s="8" t="n"/>
      <c r="IG67" s="8" t="n"/>
      <c r="IH67" s="8" t="n"/>
      <c r="II67" s="8" t="n"/>
      <c r="IK67" s="9" t="inlineStr">
        <is>
          <t>ez_manage.py:5881 top()</t>
        </is>
      </c>
      <c r="IL67" s="9" t="inlineStr">
        <is>
          <t>v12_quick_engine.py:3700 x5</t>
        </is>
      </c>
    </row>
    <row r="68" ht="11" customHeight="1">
      <c r="A68" s="10" t="inlineStr">
        <is>
          <t>WT_4H_VEL_EXIT_REQUIRE_PROFIT</t>
        </is>
      </c>
      <c r="B68" s="11" t="inlineStr">
        <is>
          <t>0.5</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55" t="n"/>
      <c r="HO68" s="55" t="n"/>
      <c r="HP68" s="55" t="n"/>
      <c r="HQ68" s="55" t="n"/>
      <c r="HR68" s="55" t="n"/>
      <c r="HS68" s="8" t="n"/>
      <c r="HT68" s="8" t="n"/>
      <c r="HU68" s="8" t="n"/>
      <c r="HV68" s="8" t="n"/>
      <c r="HW68" s="8" t="n"/>
      <c r="HX68" s="8" t="n"/>
      <c r="HY68" s="8" t="n"/>
      <c r="HZ68" s="8" t="n"/>
      <c r="IA68" s="8" t="n"/>
      <c r="IB68" s="8" t="n"/>
      <c r="IC68" s="8" t="n"/>
      <c r="ID68" s="8" t="n"/>
      <c r="IE68" s="8" t="n"/>
      <c r="IF68" s="8" t="n"/>
      <c r="IG68" s="8" t="n"/>
      <c r="IH68" s="8" t="n"/>
      <c r="II68" s="8" t="n"/>
      <c r="IK68" s="9" t="inlineStr">
        <is>
          <t>ez_manage.py:5881 top()</t>
        </is>
      </c>
      <c r="IL68" s="9" t="inlineStr">
        <is>
          <t>v12_quick_engine.py:3700 x5</t>
        </is>
      </c>
    </row>
    <row r="69" ht="11" customHeight="1">
      <c r="A69" s="10" t="inlineStr">
        <is>
          <t>WT_4H_VEL_EXIT_REQUIRE_PROFIT</t>
        </is>
      </c>
      <c r="B69" s="11" t="inlineStr">
        <is>
          <t>1.0</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55" t="n"/>
      <c r="HO69" s="55" t="n"/>
      <c r="HP69" s="55" t="n"/>
      <c r="HQ69" s="55" t="n"/>
      <c r="HR69" s="55" t="n"/>
      <c r="HS69" s="8" t="n"/>
      <c r="HT69" s="8" t="n"/>
      <c r="HU69" s="8" t="n"/>
      <c r="HV69" s="8" t="n"/>
      <c r="HW69" s="8" t="n"/>
      <c r="HX69" s="8" t="n"/>
      <c r="HY69" s="8" t="n"/>
      <c r="HZ69" s="8" t="n"/>
      <c r="IA69" s="8" t="n"/>
      <c r="IB69" s="8" t="n"/>
      <c r="IC69" s="8" t="n"/>
      <c r="ID69" s="8" t="n"/>
      <c r="IE69" s="8" t="n"/>
      <c r="IF69" s="8" t="n"/>
      <c r="IG69" s="8" t="n"/>
      <c r="IH69" s="8" t="n"/>
      <c r="II69" s="8" t="n"/>
      <c r="IK69" s="9" t="inlineStr">
        <is>
          <t>ez_manage.py:5881 top()</t>
        </is>
      </c>
      <c r="IL69" s="9" t="inlineStr">
        <is>
          <t>v12_quick_engine.py:3700 x5</t>
        </is>
      </c>
    </row>
    <row r="70" ht="11" customHeight="1">
      <c r="A70" s="10" t="inlineStr">
        <is>
          <t>WT_4H_VEL_EXIT_REQUIRE_PROFIT</t>
        </is>
      </c>
      <c r="B70" s="11" t="inlineStr">
        <is>
          <t>2.0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55" t="n"/>
      <c r="HO70" s="55" t="n"/>
      <c r="HP70" s="55" t="n"/>
      <c r="HQ70" s="55" t="n"/>
      <c r="HR70" s="55" t="n"/>
      <c r="HS70" s="8" t="n"/>
      <c r="HT70" s="8" t="n"/>
      <c r="HU70" s="8" t="n"/>
      <c r="HV70" s="8" t="n"/>
      <c r="HW70" s="8" t="n"/>
      <c r="HX70" s="8" t="n"/>
      <c r="HY70" s="8" t="n"/>
      <c r="HZ70" s="8" t="n"/>
      <c r="IA70" s="8" t="n"/>
      <c r="IB70" s="8" t="n"/>
      <c r="IC70" s="8" t="n"/>
      <c r="ID70" s="8" t="n"/>
      <c r="IE70" s="8" t="n"/>
      <c r="IF70" s="8" t="n"/>
      <c r="IG70" s="8" t="n"/>
      <c r="IH70" s="8" t="n"/>
      <c r="II70" s="8" t="n"/>
      <c r="IK70" s="9" t="inlineStr">
        <is>
          <t>ez_manage.py:5881 top()</t>
        </is>
      </c>
      <c r="IL70" s="9" t="inlineStr">
        <is>
          <t>v12_quick_engine.py:3700 x5</t>
        </is>
      </c>
    </row>
    <row r="71" ht="11" customHeight="1">
      <c r="A71" s="10" t="inlineStr">
        <is>
          <t>WT_CROSS_EXIT_APPLIES_TO_WINNERS</t>
        </is>
      </c>
      <c r="B71" s="11" t="inlineStr">
        <is>
          <t>0</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55" t="n"/>
      <c r="AW71" s="55" t="n"/>
      <c r="AX71" s="55" t="n"/>
      <c r="AY71" s="55" t="n"/>
      <c r="AZ71" s="55"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ez_manage.py:5901 top()</t>
        </is>
      </c>
      <c r="IL71" s="9" t="inlineStr">
        <is>
          <t>v12_quick_engine.py:3722 x2</t>
        </is>
      </c>
    </row>
    <row r="72" ht="11" customHeight="1">
      <c r="A72" s="10" t="inlineStr">
        <is>
          <t>WT_CROSS_EXIT_APPLIES_TO_WINNERS</t>
        </is>
      </c>
      <c r="B72" s="11" t="inlineStr">
        <is>
          <t>0.5</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55" t="n"/>
      <c r="AW72" s="55" t="n"/>
      <c r="AX72" s="55" t="n"/>
      <c r="AY72" s="55" t="n"/>
      <c r="AZ72" s="55"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ez_manage.py:5901 top()</t>
        </is>
      </c>
      <c r="IL72" s="9" t="inlineStr">
        <is>
          <t>v12_quick_engine.py:3722 x2</t>
        </is>
      </c>
    </row>
    <row r="73" ht="11" customHeight="1">
      <c r="A73" s="10" t="inlineStr">
        <is>
          <t>WT_CROSS_EXIT_APPLIES_TO_WINNERS</t>
        </is>
      </c>
      <c r="B73" s="11" t="inlineStr">
        <is>
          <t>1.0</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55" t="n"/>
      <c r="AW73" s="55" t="n"/>
      <c r="AX73" s="55" t="n"/>
      <c r="AY73" s="55" t="n"/>
      <c r="AZ73" s="55"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ez_manage.py:5901 top()</t>
        </is>
      </c>
      <c r="IL73" s="9" t="inlineStr">
        <is>
          <t>v12_quick_engine.py:3722 x2</t>
        </is>
      </c>
    </row>
    <row r="74" ht="11" customHeight="1">
      <c r="A74" s="10" t="inlineStr">
        <is>
          <t>WT_CROSS_EXIT_APPLIES_TO_WINNERS</t>
        </is>
      </c>
      <c r="B74" s="11" t="inlineStr">
        <is>
          <t>2.0</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55"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ez_manage.py:5901 top()</t>
        </is>
      </c>
      <c r="IL74" s="9" t="inlineStr">
        <is>
          <t>v12_quick_engine.py:3722 x2</t>
        </is>
      </c>
    </row>
    <row r="75" ht="11" customHeight="1">
      <c r="A75" s="10" t="inlineStr">
        <is>
          <t>WT_CROSS_EXIT_MIN_AGE_MINUTES</t>
        </is>
      </c>
      <c r="B75" s="11" t="inlineStr">
        <is>
          <t>0</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55"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ez_manage.py:5903 top()</t>
        </is>
      </c>
      <c r="IL75" s="9" t="inlineStr">
        <is>
          <t>v12_quick_engine.py:3724 x2</t>
        </is>
      </c>
    </row>
    <row r="76" ht="11" customHeight="1">
      <c r="A76" s="10" t="inlineStr">
        <is>
          <t>WT_CROSS_EXIT_MIN_AGE_MINUTES</t>
        </is>
      </c>
      <c r="B76" s="11" t="inlineStr">
        <is>
          <t>0.5</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55"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ez_manage.py:5903 top()</t>
        </is>
      </c>
      <c r="IL76" s="9" t="inlineStr">
        <is>
          <t>v12_quick_engine.py:3724 x2</t>
        </is>
      </c>
    </row>
    <row r="77" ht="11" customHeight="1">
      <c r="A77" s="10" t="inlineStr">
        <is>
          <t>WT_CROSS_EXIT_MIN_AGE_MINUTES</t>
        </is>
      </c>
      <c r="B77" s="11" t="inlineStr">
        <is>
          <t>1.0</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55"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ez_manage.py:5903 top()</t>
        </is>
      </c>
      <c r="IL77" s="9" t="inlineStr">
        <is>
          <t>v12_quick_engine.py:3724 x2</t>
        </is>
      </c>
    </row>
    <row r="78" ht="11" customHeight="1">
      <c r="A78" s="10" t="inlineStr">
        <is>
          <t>WT_CROSS_EXIT_MIN_AGE_MINUTES</t>
        </is>
      </c>
      <c r="B78" s="11" t="inlineStr">
        <is>
          <t>2.0</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55"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ez_manage.py:5903 top()</t>
        </is>
      </c>
      <c r="IL78" s="9" t="inlineStr">
        <is>
          <t>v12_quick_engine.py:3724 x2</t>
        </is>
      </c>
    </row>
    <row r="79" ht="11" customHeight="1">
      <c r="A79" s="10" t="inlineStr">
        <is>
          <t>WT_CROSS_EXIT_REQUIRE_15M_CONFIRM</t>
        </is>
      </c>
      <c r="B79" s="11" t="inlineStr">
        <is>
          <t>0</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55"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ez_manage.py:5904 top()</t>
        </is>
      </c>
      <c r="IL79" s="9" t="inlineStr">
        <is>
          <t>v12_quick_engine.py:3725 x5</t>
        </is>
      </c>
    </row>
    <row r="80" ht="11" customHeight="1">
      <c r="A80" s="10" t="inlineStr">
        <is>
          <t>WT_CROSS_EXIT_REQUIRE_15M_CONFIRM</t>
        </is>
      </c>
      <c r="B80" s="11" t="inlineStr">
        <is>
          <t>0.5</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55"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ez_manage.py:5904 top()</t>
        </is>
      </c>
      <c r="IL80" s="9" t="inlineStr">
        <is>
          <t>v12_quick_engine.py:3725 x5</t>
        </is>
      </c>
    </row>
    <row r="81" ht="11" customHeight="1">
      <c r="A81" s="10" t="inlineStr">
        <is>
          <t>WT_CROSS_EXIT_REQUIRE_15M_CONFIRM</t>
        </is>
      </c>
      <c r="B81" s="11" t="inlineStr">
        <is>
          <t>1.0</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55"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ez_manage.py:5904 top()</t>
        </is>
      </c>
      <c r="IL81" s="9" t="inlineStr">
        <is>
          <t>v12_quick_engine.py:3725 x5</t>
        </is>
      </c>
    </row>
    <row r="82" ht="11" customHeight="1">
      <c r="A82" s="10" t="inlineStr">
        <is>
          <t>WT_CROSS_EXIT_REQUIRE_15M_CONFIRM</t>
        </is>
      </c>
      <c r="B82" s="11" t="inlineStr">
        <is>
          <t>2.0</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55"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ez_manage.py:5904 top()</t>
        </is>
      </c>
      <c r="IL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G84" s="62" t="inlineStr">
        <is>
          <t>Rec</t>
        </is>
      </c>
      <c r="H84" s="62" t="inlineStr">
        <is>
          <t>Tested As</t>
        </is>
      </c>
      <c r="I84" s="62" t="inlineStr">
        <is>
          <t>Notes</t>
        </is>
      </c>
    </row>
    <row r="85">
      <c r="A85" s="63" t="inlineStr">
        <is>
          <t>ADX_RANGING_THRESHOLD</t>
        </is>
      </c>
      <c r="B85" s="56" t="inlineStr">
        <is>
          <t>20</t>
        </is>
      </c>
      <c r="C85" s="56" t="n"/>
      <c r="D85" s="56" t="inlineStr">
        <is>
          <t>ENTRY, GLOBAL_CHECK, STOCKS_EXIT</t>
        </is>
      </c>
      <c r="E85" s="56">
        <f>IF(G85="",E84,IF(G85&gt;0,E84+G85,E84))</f>
        <v/>
      </c>
      <c r="G85" s="56">
        <f>IFERROR(VLOOKUP($A85&amp;"="&amp;$B85,Results_Deltas!$A$2:$P$15000,5,FALSE),"")</f>
        <v/>
      </c>
      <c r="H85" s="56" t="inlineStr">
        <is>
          <t>Blanket (page end)</t>
        </is>
      </c>
    </row>
    <row r="86">
      <c r="A86" s="63" t="inlineStr">
        <is>
          <t>ADX_RANGING_THRESHOLD</t>
        </is>
      </c>
      <c r="B86" s="56" t="inlineStr">
        <is>
          <t>25</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ADX_RANGING_THRESHOLD</t>
        </is>
      </c>
      <c r="B87" s="56" t="inlineStr">
        <is>
          <t>15</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ADX_RANGING_THRESHOLD</t>
        </is>
      </c>
      <c r="B88" s="56" t="inlineStr">
        <is>
          <t>10</t>
        </is>
      </c>
      <c r="C88" s="56" t="n"/>
      <c r="D88" s="56" t="inlineStr">
        <is>
          <t>ENTRY, GLOBAL_CHECK, STOCKS_EXIT</t>
        </is>
      </c>
      <c r="E88" s="56">
        <f>IF(G88="",E87,IF(G88&gt;0,E87+G88,E87))</f>
        <v/>
      </c>
      <c r="G88" s="56">
        <f>IFERROR(VLOOKUP($A88&amp;"="&amp;$B88,Results_Deltas!$A$2:$P$15000,5,FALSE),"")</f>
        <v/>
      </c>
      <c r="H88" s="56" t="inlineStr">
        <is>
          <t>Blanket (page end)</t>
        </is>
      </c>
    </row>
    <row r="89">
      <c r="A89" s="63" t="inlineStr">
        <is>
          <t>BANDAID_OFF_LOSER_RECOVER_PCT</t>
        </is>
      </c>
      <c r="B89" s="56" t="inlineStr">
        <is>
          <t>0</t>
        </is>
      </c>
      <c r="C89" s="56" t="n"/>
      <c r="D89" s="56" t="inlineStr">
        <is>
          <t>AUGMENT, ENTRY, EXIT, GLOBAL_CHECK, REDUCE, STOCKS_EXIT</t>
        </is>
      </c>
      <c r="E89" s="56">
        <f>IF(G89="",E88,IF(G89&gt;0,E88+G89,E88))</f>
        <v/>
      </c>
      <c r="G89" s="56">
        <f>IFERROR(VLOOKUP($A89&amp;"="&amp;$B89,Results_Deltas!$A$2:$P$15000,5,FALSE),"")</f>
        <v/>
      </c>
      <c r="H89" s="56" t="inlineStr">
        <is>
          <t>Blanket (page end)</t>
        </is>
      </c>
    </row>
    <row r="90">
      <c r="A90" s="63" t="inlineStr">
        <is>
          <t>BANDAID_OFF_LOSER_RECOVER_PCT</t>
        </is>
      </c>
      <c r="B90" s="56" t="inlineStr">
        <is>
          <t>2.0</t>
        </is>
      </c>
      <c r="C90" s="56" t="n"/>
      <c r="D90" s="56" t="inlineStr">
        <is>
          <t>AUGMENT, ENTRY, EXIT, GLOBAL_CHECK, REDUCE, STOCKS_EXIT</t>
        </is>
      </c>
      <c r="E90" s="56">
        <f>IF(G90="",E89,IF(G90&gt;0,E89+G90,E89))</f>
        <v/>
      </c>
      <c r="G90" s="56">
        <f>IFERROR(VLOOKUP($A90&amp;"="&amp;$B90,Results_Deltas!$A$2:$P$15000,5,FALSE),"")</f>
        <v/>
      </c>
      <c r="H90" s="56" t="inlineStr">
        <is>
          <t>Blanket (page end)</t>
        </is>
      </c>
    </row>
    <row r="91">
      <c r="A91" s="63" t="inlineStr">
        <is>
          <t>BANDAID_OFF_LOSER_RECOVER_PCT</t>
        </is>
      </c>
      <c r="B91" s="56" t="inlineStr">
        <is>
          <t>1.0</t>
        </is>
      </c>
      <c r="C91" s="56" t="n"/>
      <c r="D91" s="56" t="inlineStr">
        <is>
          <t>AUGMENT, ENTRY, EXIT, GLOBAL_CHECK, REDUCE, STOCKS_EXIT</t>
        </is>
      </c>
      <c r="E91" s="56">
        <f>IF(G91="",E90,IF(G91&gt;0,E90+G91,E90))</f>
        <v/>
      </c>
      <c r="G91" s="56">
        <f>IFERROR(VLOOKUP($A91&amp;"="&amp;$B91,Results_Deltas!$A$2:$P$15000,5,FALSE),"")</f>
        <v/>
      </c>
      <c r="H91" s="56" t="inlineStr">
        <is>
          <t>Blanket (page end)</t>
        </is>
      </c>
    </row>
    <row r="92">
      <c r="A92" s="63" t="inlineStr">
        <is>
          <t>BANDAID_OFF_LOSER_RECOVER_PCT</t>
        </is>
      </c>
      <c r="B92" s="56" t="inlineStr">
        <is>
          <t>0.5</t>
        </is>
      </c>
      <c r="C92" s="56" t="n"/>
      <c r="D92" s="56" t="inlineStr">
        <is>
          <t>AUGMENT, ENTRY, EXIT, GLOBAL_CHECK, REDUCE, STOCKS_EXIT</t>
        </is>
      </c>
      <c r="E92" s="56">
        <f>IF(G92="",E91,IF(G92&gt;0,E91+G92,E91))</f>
        <v/>
      </c>
      <c r="G92" s="56">
        <f>IFERROR(VLOOKUP($A92&amp;"="&amp;$B92,Results_Deltas!$A$2:$P$15000,5,FALSE),"")</f>
        <v/>
      </c>
      <c r="H92" s="56" t="inlineStr">
        <is>
          <t>Blanket (page end)</t>
        </is>
      </c>
    </row>
    <row r="93">
      <c r="A93" s="63" t="inlineStr">
        <is>
          <t>BAND_ARROW_ENABLED</t>
        </is>
      </c>
      <c r="B93" s="56" t="inlineStr">
        <is>
          <t>False</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BAND_ARROW_ENABLED</t>
        </is>
      </c>
      <c r="B94" s="56" t="inlineStr">
        <is>
          <t>True</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BTC_ACCEL_RAMP_REQUIRE_POSITIVE</t>
        </is>
      </c>
      <c r="B95" s="56" t="inlineStr">
        <is>
          <t>0.0</t>
        </is>
      </c>
      <c r="C95" s="56" t="n"/>
      <c r="D95" s="56" t="inlineStr">
        <is>
          <t>UNIVERSAL (ex-BTC) — ENTRY/EXIT/REENTRY</t>
        </is>
      </c>
      <c r="E95" s="56">
        <f>IF(G95="",E94,IF(G95&gt;0,E94+G95,E94))</f>
        <v/>
      </c>
      <c r="G95" s="56">
        <f>IFERROR(VLOOKUP($A95&amp;"="&amp;$B95,Results_Deltas!$A$2:$P$15000,5,FALSE),"")</f>
        <v/>
      </c>
      <c r="H95" s="56" t="inlineStr">
        <is>
          <t>Blanket (page end)</t>
        </is>
      </c>
    </row>
    <row r="96">
      <c r="A96" s="63" t="inlineStr">
        <is>
          <t>BTC_ACCEL_RAMP_REQUIRE_POSITIVE</t>
        </is>
      </c>
      <c r="B96" s="56" t="inlineStr">
        <is>
          <t>0.0_ALT</t>
        </is>
      </c>
      <c r="C96" s="56" t="n"/>
      <c r="D96" s="56" t="inlineStr">
        <is>
          <t>UNIVERSAL (ex-BTC) — ENTRY/EXIT/REENTRY</t>
        </is>
      </c>
      <c r="E96" s="56">
        <f>IF(G96="",E95,IF(G96&gt;0,E95+G96,E95))</f>
        <v/>
      </c>
      <c r="G96" s="56">
        <f>IFERROR(VLOOKUP($A96&amp;"="&amp;$B96,Results_Deltas!$A$2:$P$15000,5,FALSE),"")</f>
        <v/>
      </c>
      <c r="H96" s="56" t="inlineStr">
        <is>
          <t>Blanket (page end)</t>
        </is>
      </c>
    </row>
    <row r="97">
      <c r="A97" s="63" t="inlineStr">
        <is>
          <t>BTC_HARD_BLOCK_OTHER_ACCOUNTS</t>
        </is>
      </c>
      <c r="B97" s="56" t="inlineStr">
        <is>
          <t>0.0</t>
        </is>
      </c>
      <c r="C97" s="56" t="n"/>
      <c r="D97" s="56" t="inlineStr">
        <is>
          <t>UNIVERSAL (ex-BTC) — ENTRY/EXIT/REENTRY</t>
        </is>
      </c>
      <c r="E97" s="56">
        <f>IF(G97="",E96,IF(G97&gt;0,E96+G97,E96))</f>
        <v/>
      </c>
      <c r="G97" s="56">
        <f>IFERROR(VLOOKUP($A97&amp;"="&amp;$B97,Results_Deltas!$A$2:$P$15000,5,FALSE),"")</f>
        <v/>
      </c>
      <c r="H97" s="56" t="inlineStr">
        <is>
          <t>Blanket (page end)</t>
        </is>
      </c>
    </row>
    <row r="98">
      <c r="A98" s="63" t="inlineStr">
        <is>
          <t>BTC_HARD_BLOCK_OTHER_ACCOUNTS</t>
        </is>
      </c>
      <c r="B98" s="56" t="inlineStr">
        <is>
          <t>0.0_ALT</t>
        </is>
      </c>
      <c r="C98" s="56" t="n"/>
      <c r="D98" s="56" t="inlineStr">
        <is>
          <t>UNIVERSAL (ex-BTC) — ENTRY/EXIT/REENTRY</t>
        </is>
      </c>
      <c r="E98" s="56">
        <f>IF(G98="",E97,IF(G98&gt;0,E97+G98,E97))</f>
        <v/>
      </c>
      <c r="G98" s="56">
        <f>IFERROR(VLOOKUP($A98&amp;"="&amp;$B98,Results_Deltas!$A$2:$P$15000,5,FALSE),"")</f>
        <v/>
      </c>
      <c r="H98" s="56" t="inlineStr">
        <is>
          <t>Blanket (page end)</t>
        </is>
      </c>
    </row>
    <row r="99">
      <c r="A99" s="63" t="inlineStr">
        <is>
          <t>BTC_ROUND_BANDS_EACH_SIDE</t>
        </is>
      </c>
      <c r="B99" s="56" t="inlineStr">
        <is>
          <t>0.0</t>
        </is>
      </c>
      <c r="C99" s="56" t="n"/>
      <c r="D99" s="56" t="inlineStr">
        <is>
          <t>UNIVERSAL (ex-BTC) — ENTRY/EXIT/REENTRY</t>
        </is>
      </c>
      <c r="E99" s="56">
        <f>IF(G99="",E98,IF(G99&gt;0,E98+G99,E98))</f>
        <v/>
      </c>
      <c r="G99" s="56">
        <f>IFERROR(VLOOKUP($A99&amp;"="&amp;$B99,Results_Deltas!$A$2:$P$15000,5,FALSE),"")</f>
        <v/>
      </c>
      <c r="H99" s="56" t="inlineStr">
        <is>
          <t>Blanket (page end)</t>
        </is>
      </c>
    </row>
    <row r="100">
      <c r="A100" s="63" t="inlineStr">
        <is>
          <t>BTC_ROUND_BANDS_EACH_SIDE</t>
        </is>
      </c>
      <c r="B100" s="56" t="inlineStr">
        <is>
          <t>0.0_ALT</t>
        </is>
      </c>
      <c r="C100" s="56" t="n"/>
      <c r="D100" s="56" t="inlineStr">
        <is>
          <t>UNIVERSAL (ex-BTC) — ENTRY/EXIT/REENTRY</t>
        </is>
      </c>
      <c r="E100" s="56">
        <f>IF(G100="",E99,IF(G100&gt;0,E99+G100,E99))</f>
        <v/>
      </c>
      <c r="G100" s="56">
        <f>IFERROR(VLOOKUP($A100&amp;"="&amp;$B100,Results_Deltas!$A$2:$P$15000,5,FALSE),"")</f>
        <v/>
      </c>
      <c r="H100" s="56" t="inlineStr">
        <is>
          <t>Blanket (page end)</t>
        </is>
      </c>
    </row>
    <row r="101">
      <c r="A101" s="63" t="inlineStr">
        <is>
          <t>COOLDOWN_LOCKS_FILTER_TF</t>
        </is>
      </c>
      <c r="B101" s="56" t="inlineStr">
        <is>
          <t>OFF</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COOLDOWN_LOCKS_FILTER_TF</t>
        </is>
      </c>
      <c r="B102" s="56" t="inlineStr">
        <is>
          <t>D</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COOLDOWN_LOCKS_FILTER_TF</t>
        </is>
      </c>
      <c r="B103" s="56" t="inlineStr">
        <is>
          <t>4h</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COOLDOWN_LOCKS_FILTER_TF</t>
        </is>
      </c>
      <c r="B104" s="56" t="inlineStr">
        <is>
          <t>1h</t>
        </is>
      </c>
      <c r="C104" s="56" t="n"/>
      <c r="D104" s="56" t="inlineStr">
        <is>
          <t>GLOBAL_CHECK</t>
        </is>
      </c>
      <c r="E104" s="56">
        <f>IF(G104="",E103,IF(G104&gt;0,E103+G104,E103))</f>
        <v/>
      </c>
      <c r="G104" s="56">
        <f>IFERROR(VLOOKUP($A104&amp;"="&amp;$B104,Results_Deltas!$A$2:$P$15000,5,FALSE),"")</f>
        <v/>
      </c>
      <c r="H104" s="56" t="inlineStr">
        <is>
          <t>Blanket (page end)</t>
        </is>
      </c>
    </row>
    <row r="105">
      <c r="A105" s="63" t="inlineStr">
        <is>
          <t>COOLDOWN_LOCKS_FILTER_TF</t>
        </is>
      </c>
      <c r="B105" s="56" t="inlineStr">
        <is>
          <t>15m</t>
        </is>
      </c>
      <c r="C105" s="56" t="n"/>
      <c r="D105" s="56" t="inlineStr">
        <is>
          <t>GLOBAL_CHECK</t>
        </is>
      </c>
      <c r="E105" s="56">
        <f>IF(G105="",E104,IF(G105&gt;0,E104+G105,E104))</f>
        <v/>
      </c>
      <c r="G105" s="56">
        <f>IFERROR(VLOOKUP($A105&amp;"="&amp;$B105,Results_Deltas!$A$2:$P$15000,5,FALSE),"")</f>
        <v/>
      </c>
      <c r="H105" s="56" t="inlineStr">
        <is>
          <t>Blanket (page end)</t>
        </is>
      </c>
    </row>
    <row r="106">
      <c r="A106" s="63" t="inlineStr">
        <is>
          <t>CRYPTO_SPIKE_FADE_THRESHOLD_PCT</t>
        </is>
      </c>
      <c r="B106" s="56" t="inlineStr">
        <is>
          <t>10</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CRYPTO_SPIKE_FADE_THRESHOLD_PCT</t>
        </is>
      </c>
      <c r="B107" s="56" t="inlineStr">
        <is>
          <t>12.5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CRYPTO_SPIKE_FADE_THRESHOLD_PCT</t>
        </is>
      </c>
      <c r="B108" s="56" t="inlineStr">
        <is>
          <t>7.5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CRYPTO_SPIKE_FADE_THRESHOLD_PCT</t>
        </is>
      </c>
      <c r="B109" s="56" t="inlineStr">
        <is>
          <t>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DC_MOMENT_STRONG_THRESHOLD</t>
        </is>
      </c>
      <c r="B110" s="56" t="inlineStr">
        <is>
          <t>40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DC_MOMENT_STRONG_THRESHOLD</t>
        </is>
      </c>
      <c r="B111" s="56" t="inlineStr">
        <is>
          <t>50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DC_MOMENT_STRONG_THRESHOLD</t>
        </is>
      </c>
      <c r="B112" s="56" t="inlineStr">
        <is>
          <t>30</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DC_MOMENT_STRONG_THRESHOLD</t>
        </is>
      </c>
      <c r="B113" s="56" t="inlineStr">
        <is>
          <t>20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DELTA_HTF_GATE</t>
        </is>
      </c>
      <c r="B114" s="56" t="inlineStr">
        <is>
          <t>4h</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DELTA_HTF_GATE</t>
        </is>
      </c>
      <c r="B115" s="56" t="inlineStr">
        <is>
          <t>4h_ALT</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DELTA_REENTRY_FILTER_ENABLED</t>
        </is>
      </c>
      <c r="B116" s="56" t="inlineStr">
        <is>
          <t>False</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DELTA_REENTRY_FILTER_ENABLED</t>
        </is>
      </c>
      <c r="B117" s="56" t="inlineStr">
        <is>
          <t>True</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DUP_GUARD_FILTER_TF</t>
        </is>
      </c>
      <c r="B118" s="56" t="inlineStr">
        <is>
          <t>OFF</t>
        </is>
      </c>
      <c r="C118" s="56" t="n"/>
      <c r="D118" s="56" t="inlineStr">
        <is>
          <t>GLOBAL_CHECK</t>
        </is>
      </c>
      <c r="E118" s="56">
        <f>IF(G118="",E117,IF(G118&gt;0,E117+G118,E117))</f>
        <v/>
      </c>
      <c r="G118" s="56">
        <f>IFERROR(VLOOKUP($A118&amp;"="&amp;$B118,Results_Deltas!$A$2:$P$15000,5,FALSE),"")</f>
        <v/>
      </c>
      <c r="H118" s="56" t="inlineStr">
        <is>
          <t>Blanket (page end)</t>
        </is>
      </c>
    </row>
    <row r="119">
      <c r="A119" s="63" t="inlineStr">
        <is>
          <t>DUP_GUARD_FILTER_TF</t>
        </is>
      </c>
      <c r="B119" s="56" t="inlineStr">
        <is>
          <t>D</t>
        </is>
      </c>
      <c r="C119" s="56" t="n"/>
      <c r="D119" s="56" t="inlineStr">
        <is>
          <t>GLOBAL_CHECK</t>
        </is>
      </c>
      <c r="E119" s="56">
        <f>IF(G119="",E118,IF(G119&gt;0,E118+G119,E118))</f>
        <v/>
      </c>
      <c r="G119" s="56">
        <f>IFERROR(VLOOKUP($A119&amp;"="&amp;$B119,Results_Deltas!$A$2:$P$15000,5,FALSE),"")</f>
        <v/>
      </c>
      <c r="H119" s="56" t="inlineStr">
        <is>
          <t>Blanket (page end)</t>
        </is>
      </c>
    </row>
    <row r="120">
      <c r="A120" s="63" t="inlineStr">
        <is>
          <t>DUP_GUARD_FILTER_TF</t>
        </is>
      </c>
      <c r="B120" s="56" t="inlineStr">
        <is>
          <t>4h</t>
        </is>
      </c>
      <c r="C120" s="56" t="n"/>
      <c r="D120" s="56" t="inlineStr">
        <is>
          <t>GLOBAL_CHECK</t>
        </is>
      </c>
      <c r="E120" s="56">
        <f>IF(G120="",E119,IF(G120&gt;0,E119+G120,E119))</f>
        <v/>
      </c>
      <c r="G120" s="56">
        <f>IFERROR(VLOOKUP($A120&amp;"="&amp;$B120,Results_Deltas!$A$2:$P$15000,5,FALSE),"")</f>
        <v/>
      </c>
      <c r="H120" s="56" t="inlineStr">
        <is>
          <t>Blanket (page end)</t>
        </is>
      </c>
    </row>
    <row r="121">
      <c r="A121" s="63" t="inlineStr">
        <is>
          <t>DUP_GUARD_FILTER_TF</t>
        </is>
      </c>
      <c r="B121" s="56" t="inlineStr">
        <is>
          <t>1h</t>
        </is>
      </c>
      <c r="C121" s="56" t="n"/>
      <c r="D121" s="56" t="inlineStr">
        <is>
          <t>GLOBAL_CHECK</t>
        </is>
      </c>
      <c r="E121" s="56">
        <f>IF(G121="",E120,IF(G121&gt;0,E120+G121,E120))</f>
        <v/>
      </c>
      <c r="G121" s="56">
        <f>IFERROR(VLOOKUP($A121&amp;"="&amp;$B121,Results_Deltas!$A$2:$P$15000,5,FALSE),"")</f>
        <v/>
      </c>
      <c r="H121" s="56" t="inlineStr">
        <is>
          <t>Blanket (page end)</t>
        </is>
      </c>
    </row>
    <row r="122">
      <c r="A122" s="63" t="inlineStr">
        <is>
          <t>DUP_GUARD_FILTER_TF</t>
        </is>
      </c>
      <c r="B122" s="56" t="inlineStr">
        <is>
          <t>15m</t>
        </is>
      </c>
      <c r="C122" s="56" t="n"/>
      <c r="D122" s="56" t="inlineStr">
        <is>
          <t>GLOBAL_CHECK</t>
        </is>
      </c>
      <c r="E122" s="56">
        <f>IF(G122="",E121,IF(G122&gt;0,E121+G122,E121))</f>
        <v/>
      </c>
      <c r="G122" s="56">
        <f>IFERROR(VLOOKUP($A122&amp;"="&amp;$B122,Results_Deltas!$A$2:$P$15000,5,FALSE),"")</f>
        <v/>
      </c>
      <c r="H122" s="56" t="inlineStr">
        <is>
          <t>Blanket (page end)</t>
        </is>
      </c>
    </row>
    <row r="123">
      <c r="A123" s="63" t="inlineStr">
        <is>
          <t>EMA_9_21_FILTER_MIN_TFS</t>
        </is>
      </c>
      <c r="B123" s="56" t="inlineStr">
        <is>
          <t>0</t>
        </is>
      </c>
      <c r="C123" s="56" t="n"/>
      <c r="D123" s="56" t="inlineStr">
        <is>
          <t>GLOBAL_CHECK</t>
        </is>
      </c>
      <c r="E123" s="56">
        <f>IF(G123="",E122,IF(G123&gt;0,E122+G123,E122))</f>
        <v/>
      </c>
      <c r="G123" s="56">
        <f>IFERROR(VLOOKUP($A123&amp;"="&amp;$B123,Results_Deltas!$A$2:$P$15000,5,FALSE),"")</f>
        <v/>
      </c>
      <c r="H123" s="56" t="inlineStr">
        <is>
          <t>Blanket (page end)</t>
        </is>
      </c>
    </row>
    <row r="124">
      <c r="A124" s="63" t="inlineStr">
        <is>
          <t>EMA_9_21_FILTER_MIN_TFS</t>
        </is>
      </c>
      <c r="B124" s="56" t="inlineStr">
        <is>
          <t>2</t>
        </is>
      </c>
      <c r="C124" s="56" t="n"/>
      <c r="D124" s="56" t="inlineStr">
        <is>
          <t>GLOBAL_CHECK</t>
        </is>
      </c>
      <c r="E124" s="56">
        <f>IF(G124="",E123,IF(G124&gt;0,E123+G124,E123))</f>
        <v/>
      </c>
      <c r="G124" s="56">
        <f>IFERROR(VLOOKUP($A124&amp;"="&amp;$B124,Results_Deltas!$A$2:$P$15000,5,FALSE),"")</f>
        <v/>
      </c>
      <c r="H124" s="56" t="inlineStr">
        <is>
          <t>Blanket (page end)</t>
        </is>
      </c>
    </row>
    <row r="125">
      <c r="A125" s="63" t="inlineStr">
        <is>
          <t>EMA_9_21_FILTER_MIN_TFS</t>
        </is>
      </c>
      <c r="B125" s="56" t="inlineStr">
        <is>
          <t>1</t>
        </is>
      </c>
      <c r="C125" s="56" t="n"/>
      <c r="D125" s="56" t="inlineStr">
        <is>
          <t>GLOBAL_CHECK</t>
        </is>
      </c>
      <c r="E125" s="56">
        <f>IF(G125="",E124,IF(G125&gt;0,E124+G125,E124))</f>
        <v/>
      </c>
      <c r="G125" s="56">
        <f>IFERROR(VLOOKUP($A125&amp;"="&amp;$B125,Results_Deltas!$A$2:$P$15000,5,FALSE),"")</f>
        <v/>
      </c>
      <c r="H125" s="56" t="inlineStr">
        <is>
          <t>Blanket (page end)</t>
        </is>
      </c>
    </row>
    <row r="126">
      <c r="A126" s="63" t="inlineStr">
        <is>
          <t>EMA_BLANKET_FILTER_ENABLED</t>
        </is>
      </c>
      <c r="B126" s="56" t="inlineStr">
        <is>
          <t>False</t>
        </is>
      </c>
      <c r="C126" s="56" t="n"/>
      <c r="D126" s="56" t="inlineStr">
        <is>
          <t>GLOBAL_CHECK</t>
        </is>
      </c>
      <c r="E126" s="56">
        <f>IF(G126="",E125,IF(G126&gt;0,E125+G126,E125))</f>
        <v/>
      </c>
      <c r="G126" s="56">
        <f>IFERROR(VLOOKUP($A126&amp;"="&amp;$B126,Results_Deltas!$A$2:$P$15000,5,FALSE),"")</f>
        <v/>
      </c>
      <c r="H126" s="56" t="inlineStr">
        <is>
          <t>Blanket (page end)</t>
        </is>
      </c>
    </row>
    <row r="127">
      <c r="A127" s="63" t="inlineStr">
        <is>
          <t>EMA_BLANKET_FILTER_ENABLED</t>
        </is>
      </c>
      <c r="B127" s="56" t="inlineStr">
        <is>
          <t>True</t>
        </is>
      </c>
      <c r="C127" s="56" t="n"/>
      <c r="D127" s="56" t="inlineStr">
        <is>
          <t>GLOBAL_CHECK</t>
        </is>
      </c>
      <c r="E127" s="56">
        <f>IF(G127="",E126,IF(G127&gt;0,E126+G127,E126))</f>
        <v/>
      </c>
      <c r="G127" s="56">
        <f>IFERROR(VLOOKUP($A127&amp;"="&amp;$B127,Results_Deltas!$A$2:$P$15000,5,FALSE),"")</f>
        <v/>
      </c>
      <c r="H127" s="56" t="inlineStr">
        <is>
          <t>Blanket (page end)</t>
        </is>
      </c>
    </row>
    <row r="128">
      <c r="A128" s="63" t="inlineStr">
        <is>
          <t>EMA_BLANKET_FILTER_MIN_TFS</t>
        </is>
      </c>
      <c r="B128" s="56" t="inlineStr">
        <is>
          <t>0</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EMA_BLANKET_FILTER_MIN_TFS</t>
        </is>
      </c>
      <c r="B129" s="56" t="inlineStr">
        <is>
          <t>2</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EMA_BLANKET_FILTER_MIN_TFS</t>
        </is>
      </c>
      <c r="B130" s="56" t="inlineStr">
        <is>
          <t>1</t>
        </is>
      </c>
      <c r="C130" s="56" t="n"/>
      <c r="D130" s="56" t="inlineStr">
        <is>
          <t>GLOBAL_CHECK</t>
        </is>
      </c>
      <c r="E130" s="56">
        <f>IF(G130="",E129,IF(G130&gt;0,E129+G130,E129))</f>
        <v/>
      </c>
      <c r="G130" s="56">
        <f>IFERROR(VLOOKUP($A130&amp;"="&amp;$B130,Results_Deltas!$A$2:$P$15000,5,FALSE),"")</f>
        <v/>
      </c>
      <c r="H130" s="56" t="inlineStr">
        <is>
          <t>Blanket (page end)</t>
        </is>
      </c>
    </row>
    <row r="131">
      <c r="A131" s="63" t="inlineStr">
        <is>
          <t>EXECUTE_NOW_SINGLE_GATE_ENFORCE</t>
        </is>
      </c>
      <c r="B131" s="56" t="inlineStr">
        <is>
          <t>0.0</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EXECUTE_NOW_SINGLE_GATE_ENFORCE</t>
        </is>
      </c>
      <c r="B132" s="56" t="inlineStr">
        <is>
          <t>0.0_ALT</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EZ_MANAGE_THROTTLER_RATE</t>
        </is>
      </c>
      <c r="B133" s="56" t="inlineStr">
        <is>
          <t>0.0</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EZ_MANAGE_THROTTLER_RATE</t>
        </is>
      </c>
      <c r="B134" s="56" t="inlineStr">
        <is>
          <t>0.0_ALT</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FG_FEAR_THRESHOLD</t>
        </is>
      </c>
      <c r="B135" s="56" t="inlineStr">
        <is>
          <t>25</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FG_FEAR_THRESHOLD</t>
        </is>
      </c>
      <c r="B136" s="56" t="inlineStr">
        <is>
          <t>31.25</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FG_FEAR_THRESHOLD</t>
        </is>
      </c>
      <c r="B137" s="56" t="inlineStr">
        <is>
          <t>18.75</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FG_FEAR_THRESHOLD</t>
        </is>
      </c>
      <c r="B138" s="56" t="inlineStr">
        <is>
          <t>12.5</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FG_GREED_THRESHOLD</t>
        </is>
      </c>
      <c r="B139" s="56" t="inlineStr">
        <is>
          <t>75</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FG_GREED_THRESHOLD</t>
        </is>
      </c>
      <c r="B140" s="56" t="inlineStr">
        <is>
          <t>93.75</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FG_GREED_THRESHOLD</t>
        </is>
      </c>
      <c r="B141" s="56" t="inlineStr">
        <is>
          <t>56.25</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FG_GREED_THRESHOLD</t>
        </is>
      </c>
      <c r="B142" s="56" t="inlineStr">
        <is>
          <t>37.5</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FUNDING_GATE_FILTER_TF</t>
        </is>
      </c>
      <c r="B143" s="56" t="inlineStr">
        <is>
          <t>OFF</t>
        </is>
      </c>
      <c r="C143" s="56" t="n"/>
      <c r="D143" s="56" t="inlineStr">
        <is>
          <t>GLOBAL_CHECK</t>
        </is>
      </c>
      <c r="E143" s="56">
        <f>IF(G143="",E142,IF(G143&gt;0,E142+G143,E142))</f>
        <v/>
      </c>
      <c r="G143" s="56">
        <f>IFERROR(VLOOKUP($A143&amp;"="&amp;$B143,Results_Deltas!$A$2:$P$15000,5,FALSE),"")</f>
        <v/>
      </c>
      <c r="H143" s="56" t="inlineStr">
        <is>
          <t>Blanket (page end)</t>
        </is>
      </c>
    </row>
    <row r="144">
      <c r="A144" s="63" t="inlineStr">
        <is>
          <t>FUNDING_GATE_FILTER_TF</t>
        </is>
      </c>
      <c r="B144" s="56" t="inlineStr">
        <is>
          <t>D</t>
        </is>
      </c>
      <c r="C144" s="56" t="n"/>
      <c r="D144" s="56" t="inlineStr">
        <is>
          <t>GLOBAL_CHECK</t>
        </is>
      </c>
      <c r="E144" s="56">
        <f>IF(G144="",E143,IF(G144&gt;0,E143+G144,E143))</f>
        <v/>
      </c>
      <c r="G144" s="56">
        <f>IFERROR(VLOOKUP($A144&amp;"="&amp;$B144,Results_Deltas!$A$2:$P$15000,5,FALSE),"")</f>
        <v/>
      </c>
      <c r="H144" s="56" t="inlineStr">
        <is>
          <t>Blanket (page end)</t>
        </is>
      </c>
    </row>
    <row r="145">
      <c r="A145" s="63" t="inlineStr">
        <is>
          <t>FUNDING_GATE_FILTER_TF</t>
        </is>
      </c>
      <c r="B145" s="56" t="inlineStr">
        <is>
          <t>4h</t>
        </is>
      </c>
      <c r="C145" s="56" t="n"/>
      <c r="D145" s="56" t="inlineStr">
        <is>
          <t>GLOBAL_CHECK</t>
        </is>
      </c>
      <c r="E145" s="56">
        <f>IF(G145="",E144,IF(G145&gt;0,E144+G145,E144))</f>
        <v/>
      </c>
      <c r="G145" s="56">
        <f>IFERROR(VLOOKUP($A145&amp;"="&amp;$B145,Results_Deltas!$A$2:$P$15000,5,FALSE),"")</f>
        <v/>
      </c>
      <c r="H145" s="56" t="inlineStr">
        <is>
          <t>Blanket (page end)</t>
        </is>
      </c>
    </row>
    <row r="146">
      <c r="A146" s="63" t="inlineStr">
        <is>
          <t>FUNDING_GATE_FILTER_TF</t>
        </is>
      </c>
      <c r="B146" s="56" t="inlineStr">
        <is>
          <t>1h</t>
        </is>
      </c>
      <c r="C146" s="56" t="n"/>
      <c r="D146" s="56" t="inlineStr">
        <is>
          <t>GLOBAL_CHECK</t>
        </is>
      </c>
      <c r="E146" s="56">
        <f>IF(G146="",E145,IF(G146&gt;0,E145+G146,E145))</f>
        <v/>
      </c>
      <c r="G146" s="56">
        <f>IFERROR(VLOOKUP($A146&amp;"="&amp;$B146,Results_Deltas!$A$2:$P$15000,5,FALSE),"")</f>
        <v/>
      </c>
      <c r="H146" s="56" t="inlineStr">
        <is>
          <t>Blanket (page end)</t>
        </is>
      </c>
    </row>
    <row r="147">
      <c r="A147" s="63" t="inlineStr">
        <is>
          <t>FUNDING_GATE_FILTER_TF</t>
        </is>
      </c>
      <c r="B147" s="56" t="inlineStr">
        <is>
          <t>15m</t>
        </is>
      </c>
      <c r="C147" s="56" t="n"/>
      <c r="D147" s="56" t="inlineStr">
        <is>
          <t>GLOBAL_CHECK</t>
        </is>
      </c>
      <c r="E147" s="56">
        <f>IF(G147="",E146,IF(G147&gt;0,E146+G147,E146))</f>
        <v/>
      </c>
      <c r="G147" s="56">
        <f>IFERROR(VLOOKUP($A147&amp;"="&amp;$B147,Results_Deltas!$A$2:$P$15000,5,FALSE),"")</f>
        <v/>
      </c>
      <c r="H147" s="56" t="inlineStr">
        <is>
          <t>Blanket (page end)</t>
        </is>
      </c>
    </row>
    <row r="148">
      <c r="A148" s="63" t="inlineStr">
        <is>
          <t>FUNDING_GATE_LONG_MAX</t>
        </is>
      </c>
      <c r="B148" s="56" t="inlineStr">
        <is>
          <t>0.0</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FUNDING_GATE_LONG_MAX</t>
        </is>
      </c>
      <c r="B149" s="56" t="inlineStr">
        <is>
          <t>0.0_ALT</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FUNDING_GATE_MTF_REQUIRED</t>
        </is>
      </c>
      <c r="B150" s="56" t="inlineStr">
        <is>
          <t>0.0</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FUNDING_GATE_MTF_REQUIRED</t>
        </is>
      </c>
      <c r="B151" s="56" t="inlineStr">
        <is>
          <t>0.0_ALT</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FUNDING_GATE_SHORT_MIN</t>
        </is>
      </c>
      <c r="B152" s="56" t="inlineStr">
        <is>
          <t>0.0</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FUNDING_GATE_SHORT_MIN</t>
        </is>
      </c>
      <c r="B153" s="56" t="inlineStr">
        <is>
          <t>0.0_ALT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GOLDEN_RULE_BASE_USD</t>
        </is>
      </c>
      <c r="B154" s="56" t="inlineStr">
        <is>
          <t>0.0</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GOLDEN_RULE_BASE_USD</t>
        </is>
      </c>
      <c r="B155" s="56" t="inlineStr">
        <is>
          <t>0.0_ALT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GR_FILTER_ALL_ENTRIES</t>
        </is>
      </c>
      <c r="B156" s="56" t="inlineStr">
        <is>
          <t>0.0</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GR_FILTER_ALL_ENTRIES</t>
        </is>
      </c>
      <c r="B157" s="56" t="inlineStr">
        <is>
          <t>0.0_ALT</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GR_FILTER_VEC_ENABLED</t>
        </is>
      </c>
      <c r="B158" s="56" t="inlineStr">
        <is>
          <t>False</t>
        </is>
      </c>
      <c r="C158" s="56" t="n"/>
      <c r="D158" s="56" t="inlineStr">
        <is>
          <t>GLOBAL_CHECK</t>
        </is>
      </c>
      <c r="E158" s="56">
        <f>IF(G158="",E157,IF(G158&gt;0,E157+G158,E157))</f>
        <v/>
      </c>
      <c r="G158" s="56">
        <f>IFERROR(VLOOKUP($A158&amp;"="&amp;$B158,Results_Deltas!$A$2:$P$15000,5,FALSE),"")</f>
        <v/>
      </c>
      <c r="H158" s="56" t="inlineStr">
        <is>
          <t>Blanket (page end)</t>
        </is>
      </c>
    </row>
    <row r="159">
      <c r="A159" s="63" t="inlineStr">
        <is>
          <t>GR_FILTER_VEC_ENABLED</t>
        </is>
      </c>
      <c r="B159" s="56" t="inlineStr">
        <is>
          <t>True</t>
        </is>
      </c>
      <c r="C159" s="56" t="n"/>
      <c r="D159" s="56" t="inlineStr">
        <is>
          <t>GLOBAL_CHECK</t>
        </is>
      </c>
      <c r="E159" s="56">
        <f>IF(G159="",E158,IF(G159&gt;0,E158+G159,E158))</f>
        <v/>
      </c>
      <c r="G159" s="56">
        <f>IFERROR(VLOOKUP($A159&amp;"="&amp;$B159,Results_Deltas!$A$2:$P$15000,5,FALSE),"")</f>
        <v/>
      </c>
      <c r="H159" s="56" t="inlineStr">
        <is>
          <t>Blanket (page end)</t>
        </is>
      </c>
    </row>
    <row r="160">
      <c r="A160" s="63" t="inlineStr">
        <is>
          <t>GR_FILTER_VEC_MIN_TFS</t>
        </is>
      </c>
      <c r="B160" s="56" t="inlineStr">
        <is>
          <t>0</t>
        </is>
      </c>
      <c r="C160" s="56" t="n"/>
      <c r="D160" s="56" t="inlineStr">
        <is>
          <t>GLOBAL_CHECK</t>
        </is>
      </c>
      <c r="E160" s="56">
        <f>IF(G160="",E159,IF(G160&gt;0,E159+G160,E159))</f>
        <v/>
      </c>
      <c r="G160" s="56">
        <f>IFERROR(VLOOKUP($A160&amp;"="&amp;$B160,Results_Deltas!$A$2:$P$15000,5,FALSE),"")</f>
        <v/>
      </c>
      <c r="H160" s="56" t="inlineStr">
        <is>
          <t>Blanket (page end)</t>
        </is>
      </c>
    </row>
    <row r="161">
      <c r="A161" s="63" t="inlineStr">
        <is>
          <t>GR_FILTER_VEC_MIN_TFS</t>
        </is>
      </c>
      <c r="B161" s="56" t="inlineStr">
        <is>
          <t>2</t>
        </is>
      </c>
      <c r="C161" s="56" t="n"/>
      <c r="D161" s="56" t="inlineStr">
        <is>
          <t>GLOBAL_CHECK</t>
        </is>
      </c>
      <c r="E161" s="56">
        <f>IF(G161="",E160,IF(G161&gt;0,E160+G161,E160))</f>
        <v/>
      </c>
      <c r="G161" s="56">
        <f>IFERROR(VLOOKUP($A161&amp;"="&amp;$B161,Results_Deltas!$A$2:$P$15000,5,FALSE),"")</f>
        <v/>
      </c>
      <c r="H161" s="56" t="inlineStr">
        <is>
          <t>Blanket (page end)</t>
        </is>
      </c>
    </row>
    <row r="162">
      <c r="A162" s="63" t="inlineStr">
        <is>
          <t>GR_FILTER_VEC_MIN_TFS</t>
        </is>
      </c>
      <c r="B162" s="56" t="inlineStr">
        <is>
          <t>1</t>
        </is>
      </c>
      <c r="C162" s="56" t="n"/>
      <c r="D162" s="56" t="inlineStr">
        <is>
          <t>GLOBAL_CHECK</t>
        </is>
      </c>
      <c r="E162" s="56">
        <f>IF(G162="",E161,IF(G162&gt;0,E161+G162,E161))</f>
        <v/>
      </c>
      <c r="G162" s="56">
        <f>IFERROR(VLOOKUP($A162&amp;"="&amp;$B162,Results_Deltas!$A$2:$P$15000,5,FALSE),"")</f>
        <v/>
      </c>
      <c r="H162" s="56" t="inlineStr">
        <is>
          <t>Blanket (page end)</t>
        </is>
      </c>
    </row>
    <row r="163">
      <c r="A163" s="63" t="inlineStr">
        <is>
          <t>HA_WICK_QUALITY_ENABLED</t>
        </is>
      </c>
      <c r="B163" s="56" t="inlineStr">
        <is>
          <t>False</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HA_WICK_QUALITY_ENABLED</t>
        </is>
      </c>
      <c r="B164" s="56" t="inlineStr">
        <is>
          <t>True</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HA_WICK_QUALITY_SCORE</t>
        </is>
      </c>
      <c r="B165" s="56" t="inlineStr">
        <is>
          <t>15</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HA_WICK_QUALITY_SCORE</t>
        </is>
      </c>
      <c r="B166" s="56" t="inlineStr">
        <is>
          <t>15_ALT</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HA_WICK_QUALITY_TF</t>
        </is>
      </c>
      <c r="B167" s="56" t="inlineStr">
        <is>
          <t>OFF</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HA_WICK_QUALITY_TF</t>
        </is>
      </c>
      <c r="B168" s="56" t="inlineStr">
        <is>
          <t>D</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HA_WICK_QUALITY_TF</t>
        </is>
      </c>
      <c r="B169" s="56" t="inlineStr">
        <is>
          <t>4h</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HA_WICK_QUALITY_TF</t>
        </is>
      </c>
      <c r="B170" s="56" t="inlineStr">
        <is>
          <t>1h</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HA_WICK_QUALITY_TF</t>
        </is>
      </c>
      <c r="B171" s="56" t="inlineStr">
        <is>
          <t>15m</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HLR_SMA_BAND_PCT</t>
        </is>
      </c>
      <c r="B172" s="56" t="inlineStr">
        <is>
          <t>0</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HLR_SMA_BAND_PCT</t>
        </is>
      </c>
      <c r="B173" s="56" t="inlineStr">
        <is>
          <t>2.0</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HLR_SMA_BAND_PCT</t>
        </is>
      </c>
      <c r="B174" s="56" t="inlineStr">
        <is>
          <t>1.0</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HLR_SMA_BAND_PCT</t>
        </is>
      </c>
      <c r="B175" s="56" t="inlineStr">
        <is>
          <t>0.5</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HLR_TOP_MIN_TFS</t>
        </is>
      </c>
      <c r="B176" s="56" t="inlineStr">
        <is>
          <t>0</t>
        </is>
      </c>
      <c r="C176" s="56" t="n"/>
      <c r="D176" s="56" t="inlineStr">
        <is>
          <t>GLOBAL_CHECK, REENTRY, STOCKS_EXIT</t>
        </is>
      </c>
      <c r="E176" s="56">
        <f>IF(G176="",E175,IF(G176&gt;0,E175+G176,E175))</f>
        <v/>
      </c>
      <c r="G176" s="56">
        <f>IFERROR(VLOOKUP($A176&amp;"="&amp;$B176,Results_Deltas!$A$2:$P$15000,5,FALSE),"")</f>
        <v/>
      </c>
      <c r="H176" s="56" t="inlineStr">
        <is>
          <t>Blanket (page end)</t>
        </is>
      </c>
    </row>
    <row r="177">
      <c r="A177" s="63" t="inlineStr">
        <is>
          <t>HLR_TOP_MIN_TFS</t>
        </is>
      </c>
      <c r="B177" s="56" t="inlineStr">
        <is>
          <t>2</t>
        </is>
      </c>
      <c r="C177" s="56" t="n"/>
      <c r="D177" s="56" t="inlineStr">
        <is>
          <t>GLOBAL_CHECK, REENTRY, STOCKS_EXIT</t>
        </is>
      </c>
      <c r="E177" s="56">
        <f>IF(G177="",E176,IF(G177&gt;0,E176+G177,E176))</f>
        <v/>
      </c>
      <c r="G177" s="56">
        <f>IFERROR(VLOOKUP($A177&amp;"="&amp;$B177,Results_Deltas!$A$2:$P$15000,5,FALSE),"")</f>
        <v/>
      </c>
      <c r="H177" s="56" t="inlineStr">
        <is>
          <t>Blanket (page end)</t>
        </is>
      </c>
    </row>
    <row r="178">
      <c r="A178" s="63" t="inlineStr">
        <is>
          <t>HLR_TOP_MIN_TFS</t>
        </is>
      </c>
      <c r="B178" s="56" t="inlineStr">
        <is>
          <t>1</t>
        </is>
      </c>
      <c r="C178" s="56" t="n"/>
      <c r="D178" s="56" t="inlineStr">
        <is>
          <t>GLOBAL_CHECK, REENTRY, STOCKS_EXIT</t>
        </is>
      </c>
      <c r="E178" s="56">
        <f>IF(G178="",E177,IF(G178&gt;0,E177+G178,E177))</f>
        <v/>
      </c>
      <c r="G178" s="56">
        <f>IFERROR(VLOOKUP($A178&amp;"="&amp;$B178,Results_Deltas!$A$2:$P$15000,5,FALSE),"")</f>
        <v/>
      </c>
      <c r="H178" s="56" t="inlineStr">
        <is>
          <t>Blanket (page end)</t>
        </is>
      </c>
    </row>
    <row r="179">
      <c r="A179" s="63" t="inlineStr">
        <is>
          <t>HTF4_CONF</t>
        </is>
      </c>
      <c r="B179" s="56" t="inlineStr">
        <is>
          <t>False</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HTF4_CONF</t>
        </is>
      </c>
      <c r="B180" s="56" t="inlineStr">
        <is>
          <t>False_ALT</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HTF_DIRECTION_GATE_ENABLED</t>
        </is>
      </c>
      <c r="B181" s="56" t="inlineStr">
        <is>
          <t>False</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HTF_DIRECTION_GATE_ENABLED</t>
        </is>
      </c>
      <c r="B182" s="56" t="inlineStr">
        <is>
          <t>True</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HTF_GATE_BYPASS_RZ</t>
        </is>
      </c>
      <c r="B183" s="56" t="inlineStr">
        <is>
          <t>0.0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HTF_GATE_BYPASS_RZ</t>
        </is>
      </c>
      <c r="B184" s="56" t="inlineStr">
        <is>
          <t>0.0_ALT</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HTF_GATE_D_MANDATORY</t>
        </is>
      </c>
      <c r="B185" s="56" t="inlineStr">
        <is>
          <t>0.0</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HTF_GATE_D_MANDATORY</t>
        </is>
      </c>
      <c r="B186" s="56" t="inlineStr">
        <is>
          <t>0.0_ALT</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HTF_GATE_MIN_CONFIRMATIONS</t>
        </is>
      </c>
      <c r="B187" s="56" t="inlineStr">
        <is>
          <t>0.0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HTF_GATE_MIN_CONFIRMATIONS</t>
        </is>
      </c>
      <c r="B188" s="56" t="inlineStr">
        <is>
          <t>0.0_ALT</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HTF_TREND_VETO_BYPASS_ENABLED</t>
        </is>
      </c>
      <c r="B189" s="56" t="inlineStr">
        <is>
          <t>False</t>
        </is>
      </c>
      <c r="C189" s="56" t="n"/>
      <c r="D189" s="56" t="inlineStr">
        <is>
          <t>GLOBAL_CHECK, STOCKS_EXIT</t>
        </is>
      </c>
      <c r="E189" s="56">
        <f>IF(G189="",E188,IF(G189&gt;0,E188+G189,E188))</f>
        <v/>
      </c>
      <c r="G189" s="56">
        <f>IFERROR(VLOOKUP($A189&amp;"="&amp;$B189,Results_Deltas!$A$2:$P$15000,5,FALSE),"")</f>
        <v/>
      </c>
      <c r="H189" s="56" t="inlineStr">
        <is>
          <t>Blanket (page end)</t>
        </is>
      </c>
    </row>
    <row r="190">
      <c r="A190" s="63" t="inlineStr">
        <is>
          <t>HTF_TREND_VETO_BYPASS_ENABLED</t>
        </is>
      </c>
      <c r="B190" s="56" t="inlineStr">
        <is>
          <t>True</t>
        </is>
      </c>
      <c r="C190" s="56" t="n"/>
      <c r="D190" s="56" t="inlineStr">
        <is>
          <t>GLOBAL_CHECK, STOCKS_EXIT</t>
        </is>
      </c>
      <c r="E190" s="56">
        <f>IF(G190="",E189,IF(G190&gt;0,E189+G190,E189))</f>
        <v/>
      </c>
      <c r="G190" s="56">
        <f>IFERROR(VLOOKUP($A190&amp;"="&amp;$B190,Results_Deltas!$A$2:$P$15000,5,FALSE),"")</f>
        <v/>
      </c>
      <c r="H190" s="56" t="inlineStr">
        <is>
          <t>Blanket (page end)</t>
        </is>
      </c>
    </row>
    <row r="191">
      <c r="A191" s="63" t="inlineStr">
        <is>
          <t>HTF_TREND_VETO_BYPASS_REASONS</t>
        </is>
      </c>
      <c r="B191" s="56" t="inlineStr">
        <is>
          <t>0.0</t>
        </is>
      </c>
      <c r="C191" s="56" t="n"/>
      <c r="D191" s="56" t="inlineStr">
        <is>
          <t>GLOBAL_CHECK, STOCKS_EXIT</t>
        </is>
      </c>
      <c r="E191" s="56">
        <f>IF(G191="",E190,IF(G191&gt;0,E190+G191,E190))</f>
        <v/>
      </c>
      <c r="G191" s="56">
        <f>IFERROR(VLOOKUP($A191&amp;"="&amp;$B191,Results_Deltas!$A$2:$P$15000,5,FALSE),"")</f>
        <v/>
      </c>
      <c r="H191" s="56" t="inlineStr">
        <is>
          <t>Blanket (page end)</t>
        </is>
      </c>
    </row>
    <row r="192">
      <c r="A192" s="63" t="inlineStr">
        <is>
          <t>HTF_TREND_VETO_BYPASS_REASONS</t>
        </is>
      </c>
      <c r="B192" s="56" t="inlineStr">
        <is>
          <t>0.0_ALT</t>
        </is>
      </c>
      <c r="C192" s="56" t="n"/>
      <c r="D192" s="56" t="inlineStr">
        <is>
          <t>GLOBAL_CHECK, STOCKS_EXIT</t>
        </is>
      </c>
      <c r="E192" s="56">
        <f>IF(G192="",E191,IF(G192&gt;0,E191+G192,E191))</f>
        <v/>
      </c>
      <c r="G192" s="56">
        <f>IFERROR(VLOOKUP($A192&amp;"="&amp;$B192,Results_Deltas!$A$2:$P$15000,5,FALSE),"")</f>
        <v/>
      </c>
      <c r="H192" s="56" t="inlineStr">
        <is>
          <t>Blanket (page end)</t>
        </is>
      </c>
    </row>
    <row r="193">
      <c r="A193" s="63" t="inlineStr">
        <is>
          <t>LEADERBOARD_FILTER</t>
        </is>
      </c>
      <c r="B193" s="56" t="inlineStr">
        <is>
          <t>False</t>
        </is>
      </c>
      <c r="C193" s="56" t="n"/>
      <c r="D193" s="56" t="inlineStr">
        <is>
          <t>AUGMENT, ENTRY, EXIT, GLOBAL_CHECK, REDUCE, STOCKS_EXIT</t>
        </is>
      </c>
      <c r="E193" s="56">
        <f>IF(G193="",E192,IF(G193&gt;0,E192+G193,E192))</f>
        <v/>
      </c>
      <c r="G193" s="56">
        <f>IFERROR(VLOOKUP($A193&amp;"="&amp;$B193,Results_Deltas!$A$2:$P$15000,5,FALSE),"")</f>
        <v/>
      </c>
      <c r="H193" s="56" t="inlineStr">
        <is>
          <t>Blanket (page end)</t>
        </is>
      </c>
    </row>
    <row r="194">
      <c r="A194" s="63" t="inlineStr">
        <is>
          <t>LEADERBOARD_FILTER</t>
        </is>
      </c>
      <c r="B194" s="56" t="inlineStr">
        <is>
          <t>False_ALT</t>
        </is>
      </c>
      <c r="C194" s="56" t="n"/>
      <c r="D194" s="56" t="inlineStr">
        <is>
          <t>AUGMENT, ENTRY, EXIT, GLOBAL_CHECK, REDUCE, STOCKS_EXIT</t>
        </is>
      </c>
      <c r="E194" s="56">
        <f>IF(G194="",E193,IF(G194&gt;0,E193+G194,E193))</f>
        <v/>
      </c>
      <c r="G194" s="56">
        <f>IFERROR(VLOOKUP($A194&amp;"="&amp;$B194,Results_Deltas!$A$2:$P$15000,5,FALSE),"")</f>
        <v/>
      </c>
      <c r="H194" s="56" t="inlineStr">
        <is>
          <t>Blanket (page end)</t>
        </is>
      </c>
    </row>
    <row r="195">
      <c r="A195" s="63" t="inlineStr">
        <is>
          <t>LH_HL_FILTER_ENABLED</t>
        </is>
      </c>
      <c r="B195" s="56" t="inlineStr">
        <is>
          <t>False</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LH_HL_FILTER_ENABLED</t>
        </is>
      </c>
      <c r="B196" s="56" t="inlineStr">
        <is>
          <t>True</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LH_HL_FILTER_MODE</t>
        </is>
      </c>
      <c r="B197" s="56" t="inlineStr">
        <is>
          <t>STRICT_2BAR</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LH_HL_FILTER_MODE</t>
        </is>
      </c>
      <c r="B198" s="56" t="inlineStr">
        <is>
          <t>STRICT_2BAR_ALT</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LH_HL_FILTER_REQUIRE_BOTH</t>
        </is>
      </c>
      <c r="B199" s="56" t="inlineStr">
        <is>
          <t>False</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LH_HL_FILTER_REQUIRE_BOTH</t>
        </is>
      </c>
      <c r="B200" s="56" t="inlineStr">
        <is>
          <t>False_ALT</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LIVE_VEC_EMERGENCY_BRAKE_ENABLED</t>
        </is>
      </c>
      <c r="B201" s="56" t="inlineStr">
        <is>
          <t>False</t>
        </is>
      </c>
      <c r="C201" s="56" t="n"/>
      <c r="D201" s="56" t="inlineStr">
        <is>
          <t>GLOBAL_CHECK, STOCKS_EXIT</t>
        </is>
      </c>
      <c r="E201" s="56">
        <f>IF(G201="",E200,IF(G201&gt;0,E200+G201,E200))</f>
        <v/>
      </c>
      <c r="G201" s="56">
        <f>IFERROR(VLOOKUP($A201&amp;"="&amp;$B201,Results_Deltas!$A$2:$P$15000,5,FALSE),"")</f>
        <v/>
      </c>
      <c r="H201" s="56" t="inlineStr">
        <is>
          <t>Blanket (page end)</t>
        </is>
      </c>
    </row>
    <row r="202">
      <c r="A202" s="63" t="inlineStr">
        <is>
          <t>LIVE_VEC_EMERGENCY_BRAKE_ENABLED</t>
        </is>
      </c>
      <c r="B202" s="56" t="inlineStr">
        <is>
          <t>True</t>
        </is>
      </c>
      <c r="C202" s="56" t="n"/>
      <c r="D202" s="56" t="inlineStr">
        <is>
          <t>GLOBAL_CHECK, STOCKS_EXIT</t>
        </is>
      </c>
      <c r="E202" s="56">
        <f>IF(G202="",E201,IF(G202&gt;0,E201+G202,E201))</f>
        <v/>
      </c>
      <c r="G202" s="56">
        <f>IFERROR(VLOOKUP($A202&amp;"="&amp;$B202,Results_Deltas!$A$2:$P$15000,5,FALSE),"")</f>
        <v/>
      </c>
      <c r="H202" s="56" t="inlineStr">
        <is>
          <t>Blanket (page end)</t>
        </is>
      </c>
    </row>
    <row r="203">
      <c r="A203" s="63" t="inlineStr">
        <is>
          <t>LR_BAND_LADDER_STOCH_EXTREME</t>
        </is>
      </c>
      <c r="B203" s="56" t="inlineStr">
        <is>
          <t>30.0</t>
        </is>
      </c>
      <c r="C203" s="56" t="n"/>
      <c r="D203" s="56" t="inlineStr">
        <is>
          <t>GLOBAL_CHECK, STOCKS_EXIT</t>
        </is>
      </c>
      <c r="E203" s="56">
        <f>IF(G203="",E202,IF(G203&gt;0,E202+G203,E202))</f>
        <v/>
      </c>
      <c r="G203" s="56">
        <f>IFERROR(VLOOKUP($A203&amp;"="&amp;$B203,Results_Deltas!$A$2:$P$15000,5,FALSE),"")</f>
        <v/>
      </c>
      <c r="H203" s="56" t="inlineStr">
        <is>
          <t>Blanket (page end)</t>
        </is>
      </c>
    </row>
    <row r="204">
      <c r="A204" s="63" t="inlineStr">
        <is>
          <t>LR_BAND_LADDER_STOCH_EXTREME</t>
        </is>
      </c>
      <c r="B204" s="56" t="inlineStr">
        <is>
          <t>30.0_ALT</t>
        </is>
      </c>
      <c r="C204" s="56" t="n"/>
      <c r="D204" s="56" t="inlineStr">
        <is>
          <t>GLOBAL_CHECK, STOCKS_EXIT</t>
        </is>
      </c>
      <c r="E204" s="56">
        <f>IF(G204="",E203,IF(G204&gt;0,E203+G204,E203))</f>
        <v/>
      </c>
      <c r="G204" s="56">
        <f>IFERROR(VLOOKUP($A204&amp;"="&amp;$B204,Results_Deltas!$A$2:$P$15000,5,FALSE),"")</f>
        <v/>
      </c>
      <c r="H204" s="56" t="inlineStr">
        <is>
          <t>Blanket (page end)</t>
        </is>
      </c>
    </row>
    <row r="205">
      <c r="A205" s="63" t="inlineStr">
        <is>
          <t>LR_BAND_LADDER_TF_BOTTOM</t>
        </is>
      </c>
      <c r="B205" s="56" t="inlineStr">
        <is>
          <t>0</t>
        </is>
      </c>
      <c r="C205" s="56" t="n"/>
      <c r="D205" s="56" t="inlineStr">
        <is>
          <t>GLOBAL_CHECK, STOCKS_EXIT</t>
        </is>
      </c>
      <c r="E205" s="56">
        <f>IF(G205="",E204,IF(G205&gt;0,E204+G205,E204))</f>
        <v/>
      </c>
      <c r="G205" s="56">
        <f>IFERROR(VLOOKUP($A205&amp;"="&amp;$B205,Results_Deltas!$A$2:$P$15000,5,FALSE),"")</f>
        <v/>
      </c>
      <c r="H205" s="56" t="inlineStr">
        <is>
          <t>Blanket (page end)</t>
        </is>
      </c>
    </row>
    <row r="206">
      <c r="A206" s="63" t="inlineStr">
        <is>
          <t>LR_BAND_LADDER_TF_BOTTOM</t>
        </is>
      </c>
      <c r="B206" s="56" t="inlineStr">
        <is>
          <t>1</t>
        </is>
      </c>
      <c r="C206" s="56" t="n"/>
      <c r="D206" s="56" t="inlineStr">
        <is>
          <t>GLOBAL_CHECK, STOCKS_EXIT</t>
        </is>
      </c>
      <c r="E206" s="56">
        <f>IF(G206="",E205,IF(G206&gt;0,E205+G206,E205))</f>
        <v/>
      </c>
      <c r="G206" s="56">
        <f>IFERROR(VLOOKUP($A206&amp;"="&amp;$B206,Results_Deltas!$A$2:$P$15000,5,FALSE),"")</f>
        <v/>
      </c>
      <c r="H206" s="56" t="inlineStr">
        <is>
          <t>Blanket (page end)</t>
        </is>
      </c>
    </row>
    <row r="207">
      <c r="A207" s="63" t="inlineStr">
        <is>
          <t>LR_BAND_LADDER_TF_TOP</t>
        </is>
      </c>
      <c r="B207" s="56" t="inlineStr">
        <is>
          <t>0</t>
        </is>
      </c>
      <c r="C207" s="56" t="n"/>
      <c r="D207" s="56" t="inlineStr">
        <is>
          <t>GLOBAL_CHECK, STOCKS_EXIT</t>
        </is>
      </c>
      <c r="E207" s="56">
        <f>IF(G207="",E206,IF(G207&gt;0,E206+G207,E206))</f>
        <v/>
      </c>
      <c r="G207" s="56">
        <f>IFERROR(VLOOKUP($A207&amp;"="&amp;$B207,Results_Deltas!$A$2:$P$15000,5,FALSE),"")</f>
        <v/>
      </c>
      <c r="H207" s="56" t="inlineStr">
        <is>
          <t>Blanket (page end)</t>
        </is>
      </c>
    </row>
    <row r="208">
      <c r="A208" s="63" t="inlineStr">
        <is>
          <t>LR_BAND_LADDER_TF_TOP</t>
        </is>
      </c>
      <c r="B208" s="56" t="inlineStr">
        <is>
          <t>1</t>
        </is>
      </c>
      <c r="C208" s="56" t="n"/>
      <c r="D208" s="56" t="inlineStr">
        <is>
          <t>GLOBAL_CHECK, STOCKS_EXIT</t>
        </is>
      </c>
      <c r="E208" s="56">
        <f>IF(G208="",E207,IF(G208&gt;0,E207+G208,E207))</f>
        <v/>
      </c>
      <c r="G208" s="56">
        <f>IFERROR(VLOOKUP($A208&amp;"="&amp;$B208,Results_Deltas!$A$2:$P$15000,5,FALSE),"")</f>
        <v/>
      </c>
      <c r="H208" s="56" t="inlineStr">
        <is>
          <t>Blanket (page end)</t>
        </is>
      </c>
    </row>
    <row r="209">
      <c r="A209" s="63" t="inlineStr">
        <is>
          <t>MANDATORY_REENTRY_WT_FILTER_MIN_TFS</t>
        </is>
      </c>
      <c r="B209" s="56" t="inlineStr">
        <is>
          <t>1</t>
        </is>
      </c>
      <c r="C209" s="56" t="n"/>
      <c r="D209" s="56" t="inlineStr">
        <is>
          <t>GLOBAL_CHECK, STOCKS_EXIT</t>
        </is>
      </c>
      <c r="E209" s="56">
        <f>IF(G209="",E208,IF(G209&gt;0,E208+G209,E208))</f>
        <v/>
      </c>
      <c r="G209" s="56">
        <f>IFERROR(VLOOKUP($A209&amp;"="&amp;$B209,Results_Deltas!$A$2:$P$15000,5,FALSE),"")</f>
        <v/>
      </c>
      <c r="H209" s="56" t="inlineStr">
        <is>
          <t>Blanket (page end)</t>
        </is>
      </c>
    </row>
    <row r="210">
      <c r="A210" s="63" t="inlineStr">
        <is>
          <t>MANDATORY_REENTRY_WT_FILTER_MIN_TFS</t>
        </is>
      </c>
      <c r="B210" s="56" t="inlineStr">
        <is>
          <t>3</t>
        </is>
      </c>
      <c r="C210" s="56" t="n"/>
      <c r="D210" s="56" t="inlineStr">
        <is>
          <t>GLOBAL_CHECK, STOCKS_EXIT</t>
        </is>
      </c>
      <c r="E210" s="56">
        <f>IF(G210="",E209,IF(G210&gt;0,E209+G210,E209))</f>
        <v/>
      </c>
      <c r="G210" s="56">
        <f>IFERROR(VLOOKUP($A210&amp;"="&amp;$B210,Results_Deltas!$A$2:$P$15000,5,FALSE),"")</f>
        <v/>
      </c>
      <c r="H210" s="56" t="inlineStr">
        <is>
          <t>Blanket (page end)</t>
        </is>
      </c>
    </row>
    <row r="211">
      <c r="A211" s="63" t="inlineStr">
        <is>
          <t>MANDATORY_REENTRY_WT_FILTER_MIN_TFS</t>
        </is>
      </c>
      <c r="B211" s="56" t="inlineStr">
        <is>
          <t>2</t>
        </is>
      </c>
      <c r="C211" s="56" t="n"/>
      <c r="D211" s="56" t="inlineStr">
        <is>
          <t>GLOBAL_CHECK, STOCKS_EXIT</t>
        </is>
      </c>
      <c r="E211" s="56">
        <f>IF(G211="",E210,IF(G211&gt;0,E210+G211,E210))</f>
        <v/>
      </c>
      <c r="G211" s="56">
        <f>IFERROR(VLOOKUP($A211&amp;"="&amp;$B211,Results_Deltas!$A$2:$P$15000,5,FALSE),"")</f>
        <v/>
      </c>
      <c r="H211" s="56" t="inlineStr">
        <is>
          <t>Blanket (page end)</t>
        </is>
      </c>
    </row>
    <row r="212">
      <c r="A212" s="63" t="inlineStr">
        <is>
          <t>MANDATORY_REENTRY_WT_FILTER_MIN_VELOCITY</t>
        </is>
      </c>
      <c r="B212" s="56" t="inlineStr">
        <is>
          <t>0.0</t>
        </is>
      </c>
      <c r="C212" s="56" t="n"/>
      <c r="D212" s="56" t="inlineStr">
        <is>
          <t>GLOBAL_CHECK, STOCKS_EXIT</t>
        </is>
      </c>
      <c r="E212" s="56">
        <f>IF(G212="",E211,IF(G212&gt;0,E211+G212,E211))</f>
        <v/>
      </c>
      <c r="G212" s="56">
        <f>IFERROR(VLOOKUP($A212&amp;"="&amp;$B212,Results_Deltas!$A$2:$P$15000,5,FALSE),"")</f>
        <v/>
      </c>
      <c r="H212" s="56" t="inlineStr">
        <is>
          <t>Blanket (page end)</t>
        </is>
      </c>
    </row>
    <row r="213">
      <c r="A213" s="63" t="inlineStr">
        <is>
          <t>MANDATORY_REENTRY_WT_FILTER_MIN_VELOCITY</t>
        </is>
      </c>
      <c r="B213" s="56" t="inlineStr">
        <is>
          <t>0.0_ALT</t>
        </is>
      </c>
      <c r="C213" s="56" t="n"/>
      <c r="D213" s="56" t="inlineStr">
        <is>
          <t>GLOBAL_CHECK, STOCKS_EXIT</t>
        </is>
      </c>
      <c r="E213" s="56">
        <f>IF(G213="",E212,IF(G213&gt;0,E212+G213,E212))</f>
        <v/>
      </c>
      <c r="G213" s="56">
        <f>IFERROR(VLOOKUP($A213&amp;"="&amp;$B213,Results_Deltas!$A$2:$P$15000,5,FALSE),"")</f>
        <v/>
      </c>
      <c r="H213" s="56" t="inlineStr">
        <is>
          <t>Blanket (page end)</t>
        </is>
      </c>
    </row>
    <row r="214">
      <c r="A214" s="63" t="inlineStr">
        <is>
          <t>MANDATORY_REENTRY_WT_FILTER_REQUIRE_FLIP</t>
        </is>
      </c>
      <c r="B214" s="56" t="inlineStr">
        <is>
          <t>False</t>
        </is>
      </c>
      <c r="C214" s="56" t="n"/>
      <c r="D214" s="56" t="inlineStr">
        <is>
          <t>GLOBAL_CHECK, STOCKS_EXIT</t>
        </is>
      </c>
      <c r="E214" s="56">
        <f>IF(G214="",E213,IF(G214&gt;0,E213+G214,E213))</f>
        <v/>
      </c>
      <c r="G214" s="56">
        <f>IFERROR(VLOOKUP($A214&amp;"="&amp;$B214,Results_Deltas!$A$2:$P$15000,5,FALSE),"")</f>
        <v/>
      </c>
      <c r="H214" s="56" t="inlineStr">
        <is>
          <t>Blanket (page end)</t>
        </is>
      </c>
    </row>
    <row r="215">
      <c r="A215" s="63" t="inlineStr">
        <is>
          <t>MANDATORY_REENTRY_WT_FILTER_REQUIRE_FLIP</t>
        </is>
      </c>
      <c r="B215" s="56" t="inlineStr">
        <is>
          <t>False_ALT</t>
        </is>
      </c>
      <c r="C215" s="56" t="n"/>
      <c r="D215" s="56" t="inlineStr">
        <is>
          <t>GLOBAL_CHECK, STOCKS_EXIT</t>
        </is>
      </c>
      <c r="E215" s="56">
        <f>IF(G215="",E214,IF(G215&gt;0,E214+G215,E214))</f>
        <v/>
      </c>
      <c r="G215" s="56">
        <f>IFERROR(VLOOKUP($A215&amp;"="&amp;$B215,Results_Deltas!$A$2:$P$15000,5,FALSE),"")</f>
        <v/>
      </c>
      <c r="H215" s="56" t="inlineStr">
        <is>
          <t>Blanket (page end)</t>
        </is>
      </c>
    </row>
    <row r="216">
      <c r="A216" s="63" t="inlineStr">
        <is>
          <t>MANDATORY_REENTRY_WT_FILTER_VELOCITY_RATIO</t>
        </is>
      </c>
      <c r="B216" s="56" t="inlineStr">
        <is>
          <t>0.90</t>
        </is>
      </c>
      <c r="C216" s="56" t="n"/>
      <c r="D216" s="56" t="inlineStr">
        <is>
          <t>GLOBAL_CHECK, STOCKS_EXIT</t>
        </is>
      </c>
      <c r="E216" s="56">
        <f>IF(G216="",E215,IF(G216&gt;0,E215+G216,E215))</f>
        <v/>
      </c>
      <c r="G216" s="56">
        <f>IFERROR(VLOOKUP($A216&amp;"="&amp;$B216,Results_Deltas!$A$2:$P$15000,5,FALSE),"")</f>
        <v/>
      </c>
      <c r="H216" s="56" t="inlineStr">
        <is>
          <t>Blanket (page end)</t>
        </is>
      </c>
    </row>
    <row r="217">
      <c r="A217" s="63" t="inlineStr">
        <is>
          <t>MANDATORY_REENTRY_WT_FILTER_VELOCITY_RATIO</t>
        </is>
      </c>
      <c r="B217" s="56" t="inlineStr">
        <is>
          <t>0.90_ALT</t>
        </is>
      </c>
      <c r="C217" s="56" t="n"/>
      <c r="D217" s="56" t="inlineStr">
        <is>
          <t>GLOBAL_CHECK, STOCKS_EXIT</t>
        </is>
      </c>
      <c r="E217" s="56">
        <f>IF(G217="",E216,IF(G217&gt;0,E216+G217,E216))</f>
        <v/>
      </c>
      <c r="G217" s="56">
        <f>IFERROR(VLOOKUP($A217&amp;"="&amp;$B217,Results_Deltas!$A$2:$P$15000,5,FALSE),"")</f>
        <v/>
      </c>
      <c r="H217" s="56" t="inlineStr">
        <is>
          <t>Blanket (page end)</t>
        </is>
      </c>
    </row>
    <row r="218">
      <c r="A218" s="63" t="inlineStr">
        <is>
          <t>MARKET_QUALITY_SCORE_ENABLED</t>
        </is>
      </c>
      <c r="B218" s="56" t="inlineStr">
        <is>
          <t>False</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MARKET_QUALITY_SCORE_ENABLED</t>
        </is>
      </c>
      <c r="B219" s="56" t="inlineStr">
        <is>
          <t>True</t>
        </is>
      </c>
      <c r="C219" s="56" t="n"/>
      <c r="D219" s="56" t="inlineStr">
        <is>
          <t>ENTRY, GLOBAL_CHECK, STOCKS_EXIT</t>
        </is>
      </c>
      <c r="E219" s="56">
        <f>IF(G219="",E218,IF(G219&gt;0,E218+G219,E218))</f>
        <v/>
      </c>
      <c r="G219" s="56">
        <f>IFERROR(VLOOKUP($A219&amp;"="&amp;$B219,Results_Deltas!$A$2:$P$15000,5,FALSE),"")</f>
        <v/>
      </c>
      <c r="H219" s="56" t="inlineStr">
        <is>
          <t>Blanket (page end)</t>
        </is>
      </c>
    </row>
    <row r="220">
      <c r="A220" s="63" t="inlineStr">
        <is>
          <t>MI_TF_AGREE_MIN</t>
        </is>
      </c>
      <c r="B220" s="56" t="inlineStr">
        <is>
          <t>0.0</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MI_TF_AGREE_MIN</t>
        </is>
      </c>
      <c r="B221" s="56" t="inlineStr">
        <is>
          <t>0.0_ALT</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MOVER_THRESHOLD</t>
        </is>
      </c>
      <c r="B222" s="56" t="inlineStr">
        <is>
          <t>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MOVER_THRESHOLD</t>
        </is>
      </c>
      <c r="B223" s="56" t="inlineStr">
        <is>
          <t>6.25</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MOVER_THRESHOLD</t>
        </is>
      </c>
      <c r="B224" s="56" t="inlineStr">
        <is>
          <t>3.75</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MOVER_THRESHOLD</t>
        </is>
      </c>
      <c r="B225" s="56" t="inlineStr">
        <is>
          <t>2.5</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MTF_FILTER_STRONG_BUY_QUICK_BYPASS</t>
        </is>
      </c>
      <c r="B226" s="56" t="inlineStr">
        <is>
          <t>0.0</t>
        </is>
      </c>
      <c r="C226" s="56" t="n"/>
      <c r="D226" s="56" t="inlineStr">
        <is>
          <t>GLOBAL_CHECK, STOCKS_EXIT</t>
        </is>
      </c>
      <c r="E226" s="56">
        <f>IF(G226="",E225,IF(G226&gt;0,E225+G226,E225))</f>
        <v/>
      </c>
      <c r="G226" s="56">
        <f>IFERROR(VLOOKUP($A226&amp;"="&amp;$B226,Results_Deltas!$A$2:$P$15000,5,FALSE),"")</f>
        <v/>
      </c>
      <c r="H226" s="56" t="inlineStr">
        <is>
          <t>Blanket (page end)</t>
        </is>
      </c>
    </row>
    <row r="227">
      <c r="A227" s="63" t="inlineStr">
        <is>
          <t>MTF_FILTER_STRONG_BUY_QUICK_BYPASS</t>
        </is>
      </c>
      <c r="B227" s="56" t="inlineStr">
        <is>
          <t>0.0_ALT</t>
        </is>
      </c>
      <c r="C227" s="56" t="n"/>
      <c r="D227" s="56" t="inlineStr">
        <is>
          <t>GLOBAL_CHECK, STOCKS_EXIT</t>
        </is>
      </c>
      <c r="E227" s="56">
        <f>IF(G227="",E226,IF(G227&gt;0,E226+G227,E226))</f>
        <v/>
      </c>
      <c r="G227" s="56">
        <f>IFERROR(VLOOKUP($A227&amp;"="&amp;$B227,Results_Deltas!$A$2:$P$15000,5,FALSE),"")</f>
        <v/>
      </c>
      <c r="H227" s="56" t="inlineStr">
        <is>
          <t>Blanket (page end)</t>
        </is>
      </c>
    </row>
    <row r="228">
      <c r="A228" s="63" t="inlineStr">
        <is>
          <t>MTF_GR_MIN_IND</t>
        </is>
      </c>
      <c r="B228" s="56" t="inlineStr">
        <is>
          <t>5</t>
        </is>
      </c>
      <c r="C228" s="56" t="n"/>
      <c r="D228" s="56" t="inlineStr">
        <is>
          <t>GLOBAL_CHECK, STOCKS_EXIT</t>
        </is>
      </c>
      <c r="E228" s="56">
        <f>IF(G228="",E227,IF(G228&gt;0,E227+G228,E227))</f>
        <v/>
      </c>
      <c r="G228" s="56">
        <f>IFERROR(VLOOKUP($A228&amp;"="&amp;$B228,Results_Deltas!$A$2:$P$15000,5,FALSE),"")</f>
        <v/>
      </c>
      <c r="H228" s="56" t="inlineStr">
        <is>
          <t>Blanket (page end)</t>
        </is>
      </c>
    </row>
    <row r="229">
      <c r="A229" s="63" t="inlineStr">
        <is>
          <t>MTF_GR_MIN_IND</t>
        </is>
      </c>
      <c r="B229" s="56" t="inlineStr">
        <is>
          <t>5_ALT</t>
        </is>
      </c>
      <c r="C229" s="56" t="n"/>
      <c r="D229" s="56" t="inlineStr">
        <is>
          <t>GLOBAL_CHECK, STOCKS_EXIT</t>
        </is>
      </c>
      <c r="E229" s="56">
        <f>IF(G229="",E228,IF(G229&gt;0,E228+G229,E228))</f>
        <v/>
      </c>
      <c r="G229" s="56">
        <f>IFERROR(VLOOKUP($A229&amp;"="&amp;$B229,Results_Deltas!$A$2:$P$15000,5,FALSE),"")</f>
        <v/>
      </c>
      <c r="H229" s="56" t="inlineStr">
        <is>
          <t>Blanket (page end)</t>
        </is>
      </c>
    </row>
    <row r="230">
      <c r="A230" s="63" t="inlineStr">
        <is>
          <t>MTS_BOTTOM_BONUS_THRESHOLD</t>
        </is>
      </c>
      <c r="B230" s="56" t="inlineStr">
        <is>
          <t>25</t>
        </is>
      </c>
      <c r="C230" s="56" t="n"/>
      <c r="D230" s="56" t="inlineStr">
        <is>
          <t>ENTRY, GLOBAL_CHECK, STOCKS_EXIT</t>
        </is>
      </c>
      <c r="E230" s="56">
        <f>IF(G230="",E229,IF(G230&gt;0,E229+G230,E229))</f>
        <v/>
      </c>
      <c r="G230" s="56">
        <f>IFERROR(VLOOKUP($A230&amp;"="&amp;$B230,Results_Deltas!$A$2:$P$15000,5,FALSE),"")</f>
        <v/>
      </c>
      <c r="H230" s="56" t="inlineStr">
        <is>
          <t>Blanket (page end)</t>
        </is>
      </c>
    </row>
    <row r="231">
      <c r="A231" s="63" t="inlineStr">
        <is>
          <t>MTS_BOTTOM_BONUS_THRESHOLD</t>
        </is>
      </c>
      <c r="B231" s="56" t="inlineStr">
        <is>
          <t>31.25</t>
        </is>
      </c>
      <c r="C231" s="56" t="n"/>
      <c r="D231" s="56" t="inlineStr">
        <is>
          <t>ENTRY, GLOBAL_CHECK, STOCKS_EXIT</t>
        </is>
      </c>
      <c r="E231" s="56">
        <f>IF(G231="",E230,IF(G231&gt;0,E230+G231,E230))</f>
        <v/>
      </c>
      <c r="G231" s="56">
        <f>IFERROR(VLOOKUP($A231&amp;"="&amp;$B231,Results_Deltas!$A$2:$P$15000,5,FALSE),"")</f>
        <v/>
      </c>
      <c r="H231" s="56" t="inlineStr">
        <is>
          <t>Blanket (page end)</t>
        </is>
      </c>
    </row>
    <row r="232">
      <c r="A232" s="63" t="inlineStr">
        <is>
          <t>MTS_BOTTOM_BONUS_THRESHOLD</t>
        </is>
      </c>
      <c r="B232" s="56" t="inlineStr">
        <is>
          <t>18.75</t>
        </is>
      </c>
      <c r="C232" s="56" t="n"/>
      <c r="D232" s="56" t="inlineStr">
        <is>
          <t>ENTRY, GLOBAL_CHECK, STOCKS_EXIT</t>
        </is>
      </c>
      <c r="E232" s="56">
        <f>IF(G232="",E231,IF(G232&gt;0,E231+G232,E231))</f>
        <v/>
      </c>
      <c r="G232" s="56">
        <f>IFERROR(VLOOKUP($A232&amp;"="&amp;$B232,Results_Deltas!$A$2:$P$15000,5,FALSE),"")</f>
        <v/>
      </c>
      <c r="H232" s="56" t="inlineStr">
        <is>
          <t>Blanket (page end)</t>
        </is>
      </c>
    </row>
    <row r="233">
      <c r="A233" s="63" t="inlineStr">
        <is>
          <t>MTS_BOTTOM_BONUS_THRESHOLD</t>
        </is>
      </c>
      <c r="B233" s="56" t="inlineStr">
        <is>
          <t>12.5</t>
        </is>
      </c>
      <c r="C233" s="56" t="n"/>
      <c r="D233" s="56" t="inlineStr">
        <is>
          <t>ENTRY, GLOBAL_CHECK, STOCKS_EXIT</t>
        </is>
      </c>
      <c r="E233" s="56">
        <f>IF(G233="",E232,IF(G233&gt;0,E232+G233,E232))</f>
        <v/>
      </c>
      <c r="G233" s="56">
        <f>IFERROR(VLOOKUP($A233&amp;"="&amp;$B233,Results_Deltas!$A$2:$P$15000,5,FALSE),"")</f>
        <v/>
      </c>
      <c r="H233" s="56" t="inlineStr">
        <is>
          <t>Blanket (page end)</t>
        </is>
      </c>
    </row>
    <row r="234">
      <c r="A234" s="63" t="inlineStr">
        <is>
          <t>MTS_BOTTOM_STRONG_THRESHOLD</t>
        </is>
      </c>
      <c r="B234" s="56" t="inlineStr">
        <is>
          <t>40</t>
        </is>
      </c>
      <c r="C234" s="56" t="n"/>
      <c r="D234" s="56" t="inlineStr">
        <is>
          <t>ENTRY, GLOBAL_CHECK, STOCKS_EXIT</t>
        </is>
      </c>
      <c r="E234" s="56">
        <f>IF(G234="",E233,IF(G234&gt;0,E233+G234,E233))</f>
        <v/>
      </c>
      <c r="G234" s="56">
        <f>IFERROR(VLOOKUP($A234&amp;"="&amp;$B234,Results_Deltas!$A$2:$P$15000,5,FALSE),"")</f>
        <v/>
      </c>
      <c r="H234" s="56" t="inlineStr">
        <is>
          <t>Blanket (page end)</t>
        </is>
      </c>
    </row>
    <row r="235">
      <c r="A235" s="63" t="inlineStr">
        <is>
          <t>MTS_BOTTOM_STRONG_THRESHOLD</t>
        </is>
      </c>
      <c r="B235" s="56" t="inlineStr">
        <is>
          <t>50</t>
        </is>
      </c>
      <c r="C235" s="56" t="n"/>
      <c r="D235" s="56" t="inlineStr">
        <is>
          <t>ENTRY, GLOBAL_CHECK, STOCKS_EXIT</t>
        </is>
      </c>
      <c r="E235" s="56">
        <f>IF(G235="",E234,IF(G235&gt;0,E234+G235,E234))</f>
        <v/>
      </c>
      <c r="G235" s="56">
        <f>IFERROR(VLOOKUP($A235&amp;"="&amp;$B235,Results_Deltas!$A$2:$P$15000,5,FALSE),"")</f>
        <v/>
      </c>
      <c r="H235" s="56" t="inlineStr">
        <is>
          <t>Blanket (page end)</t>
        </is>
      </c>
    </row>
    <row r="236">
      <c r="A236" s="63" t="inlineStr">
        <is>
          <t>MTS_BOTTOM_STRONG_THRESHOLD</t>
        </is>
      </c>
      <c r="B236" s="56" t="inlineStr">
        <is>
          <t>30</t>
        </is>
      </c>
      <c r="C236" s="56" t="n"/>
      <c r="D236" s="56" t="inlineStr">
        <is>
          <t>ENTRY, GLOBAL_CHECK, STOCKS_EXIT</t>
        </is>
      </c>
      <c r="E236" s="56">
        <f>IF(G236="",E235,IF(G236&gt;0,E235+G236,E235))</f>
        <v/>
      </c>
      <c r="G236" s="56">
        <f>IFERROR(VLOOKUP($A236&amp;"="&amp;$B236,Results_Deltas!$A$2:$P$15000,5,FALSE),"")</f>
        <v/>
      </c>
      <c r="H236" s="56" t="inlineStr">
        <is>
          <t>Blanket (page end)</t>
        </is>
      </c>
    </row>
    <row r="237">
      <c r="A237" s="63" t="inlineStr">
        <is>
          <t>MTS_BOTTOM_STRONG_THRESHOLD</t>
        </is>
      </c>
      <c r="B237" s="56" t="inlineStr">
        <is>
          <t>20</t>
        </is>
      </c>
      <c r="C237" s="56" t="n"/>
      <c r="D237" s="56" t="inlineStr">
        <is>
          <t>ENTRY, GLOBAL_CHECK, STOCKS_EXIT</t>
        </is>
      </c>
      <c r="E237" s="56">
        <f>IF(G237="",E236,IF(G237&gt;0,E236+G237,E236))</f>
        <v/>
      </c>
      <c r="G237" s="56">
        <f>IFERROR(VLOOKUP($A237&amp;"="&amp;$B237,Results_Deltas!$A$2:$P$15000,5,FALSE),"")</f>
        <v/>
      </c>
      <c r="H237" s="56" t="inlineStr">
        <is>
          <t>Blanket (page end)</t>
        </is>
      </c>
    </row>
    <row r="238">
      <c r="A238" s="63" t="inlineStr">
        <is>
          <t>MTS_GATE_ENABLED</t>
        </is>
      </c>
      <c r="B238" s="56" t="inlineStr">
        <is>
          <t>False</t>
        </is>
      </c>
      <c r="C238" s="56" t="n"/>
      <c r="D238" s="56" t="inlineStr">
        <is>
          <t>ENTRY, GLOBAL_CHECK, STOCKS_EXIT</t>
        </is>
      </c>
      <c r="E238" s="56">
        <f>IF(G238="",E237,IF(G238&gt;0,E237+G238,E237))</f>
        <v/>
      </c>
      <c r="G238" s="56">
        <f>IFERROR(VLOOKUP($A238&amp;"="&amp;$B238,Results_Deltas!$A$2:$P$15000,5,FALSE),"")</f>
        <v/>
      </c>
      <c r="H238" s="56" t="inlineStr">
        <is>
          <t>Blanket (page end)</t>
        </is>
      </c>
    </row>
    <row r="239">
      <c r="A239" s="63" t="inlineStr">
        <is>
          <t>MTS_GATE_ENABLED</t>
        </is>
      </c>
      <c r="B239" s="56" t="inlineStr">
        <is>
          <t>True</t>
        </is>
      </c>
      <c r="C239" s="56" t="n"/>
      <c r="D239" s="56" t="inlineStr">
        <is>
          <t>ENTRY, GLOBAL_CHECK, STOCKS_EXIT</t>
        </is>
      </c>
      <c r="E239" s="56">
        <f>IF(G239="",E238,IF(G239&gt;0,E238+G239,E238))</f>
        <v/>
      </c>
      <c r="G239" s="56">
        <f>IFERROR(VLOOKUP($A239&amp;"="&amp;$B239,Results_Deltas!$A$2:$P$15000,5,FALSE),"")</f>
        <v/>
      </c>
      <c r="H239" s="56" t="inlineStr">
        <is>
          <t>Blanket (page end)</t>
        </is>
      </c>
    </row>
    <row r="240">
      <c r="A240" s="63" t="inlineStr">
        <is>
          <t>NEWBORN_LOSS_KILL_GAIN_THRESHOLD_PCT</t>
        </is>
      </c>
      <c r="B240" s="56" t="inlineStr">
        <is>
          <t>0</t>
        </is>
      </c>
      <c r="C240" s="56" t="n"/>
      <c r="D240" s="56" t="inlineStr">
        <is>
          <t>AUGMENT, EXIT, GLOBAL_CHECK, REDUCE, STOCKS_EXIT</t>
        </is>
      </c>
      <c r="E240" s="56">
        <f>IF(G240="",E239,IF(G240&gt;0,E239+G240,E239))</f>
        <v/>
      </c>
      <c r="G240" s="56">
        <f>IFERROR(VLOOKUP($A240&amp;"="&amp;$B240,Results_Deltas!$A$2:$P$15000,5,FALSE),"")</f>
        <v/>
      </c>
      <c r="H240" s="56" t="inlineStr">
        <is>
          <t>Blanket (page end)</t>
        </is>
      </c>
    </row>
    <row r="241">
      <c r="A241" s="63" t="inlineStr">
        <is>
          <t>NEWBORN_LOSS_KILL_GAIN_THRESHOLD_PCT</t>
        </is>
      </c>
      <c r="B241" s="56" t="inlineStr">
        <is>
          <t>2.0</t>
        </is>
      </c>
      <c r="C241" s="56" t="n"/>
      <c r="D241" s="56" t="inlineStr">
        <is>
          <t>AUGMENT, EXIT, GLOBAL_CHECK, REDUCE, STOCKS_EXIT</t>
        </is>
      </c>
      <c r="E241" s="56">
        <f>IF(G241="",E240,IF(G241&gt;0,E240+G241,E240))</f>
        <v/>
      </c>
      <c r="G241" s="56">
        <f>IFERROR(VLOOKUP($A241&amp;"="&amp;$B241,Results_Deltas!$A$2:$P$15000,5,FALSE),"")</f>
        <v/>
      </c>
      <c r="H241" s="56" t="inlineStr">
        <is>
          <t>Blanket (page end)</t>
        </is>
      </c>
    </row>
    <row r="242">
      <c r="A242" s="63" t="inlineStr">
        <is>
          <t>NEWBORN_LOSS_KILL_GAIN_THRESHOLD_PCT</t>
        </is>
      </c>
      <c r="B242" s="56" t="inlineStr">
        <is>
          <t>1.0</t>
        </is>
      </c>
      <c r="C242" s="56" t="n"/>
      <c r="D242" s="56" t="inlineStr">
        <is>
          <t>AUGMENT, EXIT, GLOBAL_CHECK, REDUCE, STOCKS_EXIT</t>
        </is>
      </c>
      <c r="E242" s="56">
        <f>IF(G242="",E241,IF(G242&gt;0,E241+G242,E241))</f>
        <v/>
      </c>
      <c r="G242" s="56">
        <f>IFERROR(VLOOKUP($A242&amp;"="&amp;$B242,Results_Deltas!$A$2:$P$15000,5,FALSE),"")</f>
        <v/>
      </c>
      <c r="H242" s="56" t="inlineStr">
        <is>
          <t>Blanket (page end)</t>
        </is>
      </c>
    </row>
    <row r="243">
      <c r="A243" s="63" t="inlineStr">
        <is>
          <t>NEWBORN_LOSS_KILL_GAIN_THRESHOLD_PCT</t>
        </is>
      </c>
      <c r="B243" s="56" t="inlineStr">
        <is>
          <t>0.5</t>
        </is>
      </c>
      <c r="C243" s="56" t="n"/>
      <c r="D243" s="56" t="inlineStr">
        <is>
          <t>AUGMENT, EXIT, GLOBAL_CHECK, REDUCE, STOCKS_EXIT</t>
        </is>
      </c>
      <c r="E243" s="56">
        <f>IF(G243="",E242,IF(G243&gt;0,E242+G243,E242))</f>
        <v/>
      </c>
      <c r="G243" s="56">
        <f>IFERROR(VLOOKUP($A243&amp;"="&amp;$B243,Results_Deltas!$A$2:$P$15000,5,FALSE),"")</f>
        <v/>
      </c>
      <c r="H243" s="56" t="inlineStr">
        <is>
          <t>Blanket (page end)</t>
        </is>
      </c>
    </row>
    <row r="244">
      <c r="A244" s="63" t="inlineStr">
        <is>
          <t>NEWBORN_LOSS_KILL_REQUIRE_VEL_AGAINST</t>
        </is>
      </c>
      <c r="B244" s="56" t="inlineStr">
        <is>
          <t>0.0</t>
        </is>
      </c>
      <c r="C244" s="56" t="n"/>
      <c r="D244" s="56" t="inlineStr">
        <is>
          <t>AUGMENT, EXIT, GLOBAL_CHECK, REDUCE, STOCKS_EXIT</t>
        </is>
      </c>
      <c r="E244" s="56">
        <f>IF(G244="",E243,IF(G244&gt;0,E243+G244,E243))</f>
        <v/>
      </c>
      <c r="G244" s="56">
        <f>IFERROR(VLOOKUP($A244&amp;"="&amp;$B244,Results_Deltas!$A$2:$P$15000,5,FALSE),"")</f>
        <v/>
      </c>
      <c r="H244" s="56" t="inlineStr">
        <is>
          <t>Blanket (page end)</t>
        </is>
      </c>
    </row>
    <row r="245">
      <c r="A245" s="63" t="inlineStr">
        <is>
          <t>NEWBORN_LOSS_KILL_REQUIRE_VEL_AGAINST</t>
        </is>
      </c>
      <c r="B245" s="56" t="inlineStr">
        <is>
          <t>0.0_ALT</t>
        </is>
      </c>
      <c r="C245" s="56" t="n"/>
      <c r="D245" s="56" t="inlineStr">
        <is>
          <t>AUGMENT, EXIT, GLOBAL_CHECK, REDUCE, STOCKS_EXIT</t>
        </is>
      </c>
      <c r="E245" s="56">
        <f>IF(G245="",E244,IF(G245&gt;0,E244+G245,E244))</f>
        <v/>
      </c>
      <c r="G245" s="56">
        <f>IFERROR(VLOOKUP($A245&amp;"="&amp;$B245,Results_Deltas!$A$2:$P$15000,5,FALSE),"")</f>
        <v/>
      </c>
      <c r="H245" s="56" t="inlineStr">
        <is>
          <t>Blanket (page end)</t>
        </is>
      </c>
    </row>
    <row r="246">
      <c r="A246" s="63" t="inlineStr">
        <is>
          <t>NEW_POSITION_MAX_LOSS_THRESHOLD</t>
        </is>
      </c>
      <c r="B246" s="56" t="inlineStr">
        <is>
          <t>0</t>
        </is>
      </c>
      <c r="C246" s="56" t="n"/>
      <c r="D246" s="56" t="inlineStr">
        <is>
          <t>AUGMENT, EXIT, GLOBAL_CHECK, REDUCE, STOCKS_EXIT</t>
        </is>
      </c>
      <c r="E246" s="56">
        <f>IF(G246="",E245,IF(G246&gt;0,E245+G246,E245))</f>
        <v/>
      </c>
      <c r="G246" s="56">
        <f>IFERROR(VLOOKUP($A246&amp;"="&amp;$B246,Results_Deltas!$A$2:$P$15000,5,FALSE),"")</f>
        <v/>
      </c>
      <c r="H246" s="56" t="inlineStr">
        <is>
          <t>Blanket (page end)</t>
        </is>
      </c>
    </row>
    <row r="247">
      <c r="A247" s="63" t="inlineStr">
        <is>
          <t>NEW_POSITION_MAX_LOSS_THRESHOLD</t>
        </is>
      </c>
      <c r="B247" s="56" t="inlineStr">
        <is>
          <t>2.0</t>
        </is>
      </c>
      <c r="C247" s="56" t="n"/>
      <c r="D247" s="56" t="inlineStr">
        <is>
          <t>AUGMENT, EXIT, GLOBAL_CHECK, REDUCE, STOCKS_EXIT</t>
        </is>
      </c>
      <c r="E247" s="56">
        <f>IF(G247="",E246,IF(G247&gt;0,E246+G247,E246))</f>
        <v/>
      </c>
      <c r="G247" s="56">
        <f>IFERROR(VLOOKUP($A247&amp;"="&amp;$B247,Results_Deltas!$A$2:$P$15000,5,FALSE),"")</f>
        <v/>
      </c>
      <c r="H247" s="56" t="inlineStr">
        <is>
          <t>Blanket (page end)</t>
        </is>
      </c>
    </row>
    <row r="248">
      <c r="A248" s="63" t="inlineStr">
        <is>
          <t>NEW_POSITION_MAX_LOSS_THRESHOLD</t>
        </is>
      </c>
      <c r="B248" s="56" t="inlineStr">
        <is>
          <t>1.0</t>
        </is>
      </c>
      <c r="C248" s="56" t="n"/>
      <c r="D248" s="56" t="inlineStr">
        <is>
          <t>AUGMENT, EXIT, GLOBAL_CHECK, REDUCE, STOCKS_EXIT</t>
        </is>
      </c>
      <c r="E248" s="56">
        <f>IF(G248="",E247,IF(G248&gt;0,E247+G248,E247))</f>
        <v/>
      </c>
      <c r="G248" s="56">
        <f>IFERROR(VLOOKUP($A248&amp;"="&amp;$B248,Results_Deltas!$A$2:$P$15000,5,FALSE),"")</f>
        <v/>
      </c>
      <c r="H248" s="56" t="inlineStr">
        <is>
          <t>Blanket (page end)</t>
        </is>
      </c>
    </row>
    <row r="249">
      <c r="A249" s="63" t="inlineStr">
        <is>
          <t>NEW_POSITION_MAX_LOSS_THRESHOLD</t>
        </is>
      </c>
      <c r="B249" s="56" t="inlineStr">
        <is>
          <t>0.5</t>
        </is>
      </c>
      <c r="C249" s="56" t="n"/>
      <c r="D249" s="56" t="inlineStr">
        <is>
          <t>AUGMENT, EXIT, GLOBAL_CHECK, REDUCE, STOCKS_EXIT</t>
        </is>
      </c>
      <c r="E249" s="56">
        <f>IF(G249="",E248,IF(G249&gt;0,E248+G249,E248))</f>
        <v/>
      </c>
      <c r="G249" s="56">
        <f>IFERROR(VLOOKUP($A249&amp;"="&amp;$B249,Results_Deltas!$A$2:$P$15000,5,FALSE),"")</f>
        <v/>
      </c>
      <c r="H249" s="56" t="inlineStr">
        <is>
          <t>Blanket (page end)</t>
        </is>
      </c>
    </row>
    <row r="250">
      <c r="A250" s="63" t="inlineStr">
        <is>
          <t>OI_CONFIRM_ENABLED</t>
        </is>
      </c>
      <c r="B250" s="56" t="inlineStr">
        <is>
          <t>False</t>
        </is>
      </c>
      <c r="C250" s="56" t="n"/>
      <c r="D250" s="56" t="inlineStr">
        <is>
          <t>ENTRY, GLOBAL_CHECK, STOCKS_EXIT</t>
        </is>
      </c>
      <c r="E250" s="56">
        <f>IF(G250="",E249,IF(G250&gt;0,E249+G250,E249))</f>
        <v/>
      </c>
      <c r="G250" s="56">
        <f>IFERROR(VLOOKUP($A250&amp;"="&amp;$B250,Results_Deltas!$A$2:$P$15000,5,FALSE),"")</f>
        <v/>
      </c>
      <c r="H250" s="56" t="inlineStr">
        <is>
          <t>Blanket (page end)</t>
        </is>
      </c>
    </row>
    <row r="251">
      <c r="A251" s="63" t="inlineStr">
        <is>
          <t>OI_CONFIRM_ENABLED</t>
        </is>
      </c>
      <c r="B251" s="56" t="inlineStr">
        <is>
          <t>True</t>
        </is>
      </c>
      <c r="C251" s="56" t="n"/>
      <c r="D251" s="56" t="inlineStr">
        <is>
          <t>ENTRY, GLOBAL_CHECK, STOCKS_EXIT</t>
        </is>
      </c>
      <c r="E251" s="56">
        <f>IF(G251="",E250,IF(G251&gt;0,E250+G251,E250))</f>
        <v/>
      </c>
      <c r="G251" s="56">
        <f>IFERROR(VLOOKUP($A251&amp;"="&amp;$B251,Results_Deltas!$A$2:$P$15000,5,FALSE),"")</f>
        <v/>
      </c>
      <c r="H251" s="56" t="inlineStr">
        <is>
          <t>Blanket (page end)</t>
        </is>
      </c>
    </row>
    <row r="252">
      <c r="A252" s="63" t="inlineStr">
        <is>
          <t>OI_CONFIRM_MIN_CHANGE_PCT</t>
        </is>
      </c>
      <c r="B252" s="56" t="inlineStr">
        <is>
          <t>0</t>
        </is>
      </c>
      <c r="C252" s="56" t="n"/>
      <c r="D252" s="56" t="inlineStr">
        <is>
          <t>ENTRY, GLOBAL_CHECK, STOCKS_EXIT</t>
        </is>
      </c>
      <c r="E252" s="56">
        <f>IF(G252="",E251,IF(G252&gt;0,E251+G252,E251))</f>
        <v/>
      </c>
      <c r="G252" s="56">
        <f>IFERROR(VLOOKUP($A252&amp;"="&amp;$B252,Results_Deltas!$A$2:$P$15000,5,FALSE),"")</f>
        <v/>
      </c>
      <c r="H252" s="56" t="inlineStr">
        <is>
          <t>Blanket (page end)</t>
        </is>
      </c>
    </row>
    <row r="253">
      <c r="A253" s="63" t="inlineStr">
        <is>
          <t>OI_CONFIRM_MIN_CHANGE_PCT</t>
        </is>
      </c>
      <c r="B253" s="56" t="inlineStr">
        <is>
          <t>2.0</t>
        </is>
      </c>
      <c r="C253" s="56" t="n"/>
      <c r="D253" s="56" t="inlineStr">
        <is>
          <t>ENTRY, GLOBAL_CHECK, STOCKS_EXIT</t>
        </is>
      </c>
      <c r="E253" s="56">
        <f>IF(G253="",E252,IF(G253&gt;0,E252+G253,E252))</f>
        <v/>
      </c>
      <c r="G253" s="56">
        <f>IFERROR(VLOOKUP($A253&amp;"="&amp;$B253,Results_Deltas!$A$2:$P$15000,5,FALSE),"")</f>
        <v/>
      </c>
      <c r="H253" s="56" t="inlineStr">
        <is>
          <t>Blanket (page end)</t>
        </is>
      </c>
    </row>
    <row r="254">
      <c r="A254" s="63" t="inlineStr">
        <is>
          <t>OI_CONFIRM_MIN_CHANGE_PCT</t>
        </is>
      </c>
      <c r="B254" s="56" t="inlineStr">
        <is>
          <t>1.0</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OI_CONFIRM_MIN_CHANGE_PCT</t>
        </is>
      </c>
      <c r="B255" s="56" t="inlineStr">
        <is>
          <t>0.5</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OI_CONFIRM_MIN_PRICE_PCT</t>
        </is>
      </c>
      <c r="B256" s="56" t="inlineStr">
        <is>
          <t>0</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OI_CONFIRM_MIN_PRICE_PCT</t>
        </is>
      </c>
      <c r="B257" s="56" t="inlineStr">
        <is>
          <t>2.0</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OI_CONFIRM_MIN_PRICE_PCT</t>
        </is>
      </c>
      <c r="B258" s="56" t="inlineStr">
        <is>
          <t>1.0</t>
        </is>
      </c>
      <c r="C258" s="56" t="n"/>
      <c r="D258" s="56" t="inlineStr">
        <is>
          <t>ENTRY, GLOBAL_CHECK, STOCKS_EXIT</t>
        </is>
      </c>
      <c r="E258" s="56">
        <f>IF(G258="",E257,IF(G258&gt;0,E257+G258,E257))</f>
        <v/>
      </c>
      <c r="G258" s="56">
        <f>IFERROR(VLOOKUP($A258&amp;"="&amp;$B258,Results_Deltas!$A$2:$P$15000,5,FALSE),"")</f>
        <v/>
      </c>
      <c r="H258" s="56" t="inlineStr">
        <is>
          <t>Blanket (page end)</t>
        </is>
      </c>
    </row>
    <row r="259">
      <c r="A259" s="63" t="inlineStr">
        <is>
          <t>OI_CONFIRM_MIN_PRICE_PCT</t>
        </is>
      </c>
      <c r="B259" s="56" t="inlineStr">
        <is>
          <t>0.5</t>
        </is>
      </c>
      <c r="C259" s="56" t="n"/>
      <c r="D259" s="56" t="inlineStr">
        <is>
          <t>ENTRY, GLOBAL_CHECK, STOCKS_EXIT</t>
        </is>
      </c>
      <c r="E259" s="56">
        <f>IF(G259="",E258,IF(G259&gt;0,E258+G259,E258))</f>
        <v/>
      </c>
      <c r="G259" s="56">
        <f>IFERROR(VLOOKUP($A259&amp;"="&amp;$B259,Results_Deltas!$A$2:$P$15000,5,FALSE),"")</f>
        <v/>
      </c>
      <c r="H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M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GUARANTEED_REENTRY_K_FAVORABLE_HIGH</t>
        </is>
      </c>
      <c r="B3" s="11" t="inlineStr">
        <is>
          <t>35.0</t>
        </is>
      </c>
      <c r="E3">
        <f>MAX('EXIT_VELOCITY'!E:E)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ez_manage.py:4774 top()</t>
        </is>
      </c>
      <c r="IL3" s="9" t="inlineStr">
        <is>
          <t>v12_quick_engine.py:1941 x4</t>
        </is>
      </c>
    </row>
    <row r="4" ht="11" customHeight="1">
      <c r="A4" s="10" t="inlineStr">
        <is>
          <t>GUARANTEED_REENTRY_K_FAVORABLE_HIGH</t>
        </is>
      </c>
      <c r="B4" s="11" t="inlineStr">
        <is>
          <t>52.5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ez_manage.py:4774 top()</t>
        </is>
      </c>
      <c r="IL4" s="9" t="inlineStr">
        <is>
          <t>v12_quick_engine.py:1941 x4</t>
        </is>
      </c>
    </row>
    <row r="5" ht="11" customHeight="1">
      <c r="A5" s="6" t="inlineStr">
        <is>
          <t>GUARANTEED_REENTRY_K_FAVORABLE_HIGH</t>
        </is>
      </c>
      <c r="B5" s="7" t="inlineStr">
        <is>
          <t>70.0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ez_manage.py:4774 top()</t>
        </is>
      </c>
      <c r="IL5" s="9" t="inlineStr">
        <is>
          <t>v12_quick_engine.py:1941 x4</t>
        </is>
      </c>
    </row>
    <row r="6" ht="11" customHeight="1">
      <c r="A6" s="10" t="inlineStr">
        <is>
          <t>GUARANTEED_REENTRY_K_FAVORABLE_HIGH</t>
        </is>
      </c>
      <c r="B6" s="11" t="inlineStr">
        <is>
          <t>87.5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ez_manage.py:4774 top()</t>
        </is>
      </c>
      <c r="IL6" s="9" t="inlineStr">
        <is>
          <t>v12_quick_engine.py:1941 x4</t>
        </is>
      </c>
    </row>
    <row r="7" ht="11" customHeight="1">
      <c r="A7" s="10" t="inlineStr">
        <is>
          <t>GUARANTEED_REENTRY_K_FAVORABLE_HIGH</t>
        </is>
      </c>
      <c r="B7" s="11" t="inlineStr">
        <is>
          <t>105.0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ez_manage.py:4774 top()</t>
        </is>
      </c>
      <c r="IL7" s="9" t="inlineStr">
        <is>
          <t>v12_quick_engine.py:1941 x4</t>
        </is>
      </c>
    </row>
    <row r="8" ht="11" customHeight="1">
      <c r="A8" s="10" t="inlineStr">
        <is>
          <t>GUARANTEED_REENTRY_K_FAVORABLE_LOW</t>
        </is>
      </c>
      <c r="B8" s="11" t="inlineStr">
        <is>
          <t>15.0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ez_manage.py:4775 top()</t>
        </is>
      </c>
      <c r="IL8" s="9" t="inlineStr">
        <is>
          <t>v12_quick_engine.py:1942 x4</t>
        </is>
      </c>
    </row>
    <row r="9" ht="11" customHeight="1">
      <c r="A9" s="10" t="inlineStr">
        <is>
          <t>GUARANTEED_REENTRY_K_FAVORABLE_LOW</t>
        </is>
      </c>
      <c r="B9" s="11" t="inlineStr">
        <is>
          <t>22.5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ez_manage.py:4775 top()</t>
        </is>
      </c>
      <c r="IL9" s="9" t="inlineStr">
        <is>
          <t>v12_quick_engine.py:1942 x4</t>
        </is>
      </c>
    </row>
    <row r="10" ht="11" customHeight="1">
      <c r="A10" s="6" t="inlineStr">
        <is>
          <t>GUARANTEED_REENTRY_K_FAVORABLE_LOW</t>
        </is>
      </c>
      <c r="B10" s="7" t="inlineStr">
        <is>
          <t>30.0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ez_manage.py:4775 top()</t>
        </is>
      </c>
      <c r="IL10" s="9" t="inlineStr">
        <is>
          <t>v12_quick_engine.py:1942 x4</t>
        </is>
      </c>
    </row>
    <row r="11" ht="11" customHeight="1">
      <c r="A11" s="10" t="inlineStr">
        <is>
          <t>GUARANTEED_REENTRY_K_FAVORABLE_LOW</t>
        </is>
      </c>
      <c r="B11" s="11" t="inlineStr">
        <is>
          <t>37.5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ez_manage.py:4775 top()</t>
        </is>
      </c>
      <c r="IL11" s="9" t="inlineStr">
        <is>
          <t>v12_quick_engine.py:1942 x4</t>
        </is>
      </c>
    </row>
    <row r="12" ht="11" customHeight="1">
      <c r="A12" s="10" t="inlineStr">
        <is>
          <t>GUARANTEED_REENTRY_K_FAVORABLE_LOW</t>
        </is>
      </c>
      <c r="B12" s="11" t="inlineStr">
        <is>
          <t>45.0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ez_manage.py:4775 top()</t>
        </is>
      </c>
      <c r="IL12" s="9" t="inlineStr">
        <is>
          <t>v12_quick_engine.py:1942 x4</t>
        </is>
      </c>
    </row>
    <row r="13" ht="11" customHeight="1">
      <c r="A13" s="6" t="inlineStr">
        <is>
          <t>BOUNCE_REENTRY_ENABLED</t>
        </is>
      </c>
      <c r="B13" s="7"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ez_manage.py:2985 top()</t>
        </is>
      </c>
      <c r="IL13" s="9" t="inlineStr">
        <is>
          <t>v12_quick_engine.py:315 x14</t>
        </is>
      </c>
    </row>
    <row r="14" ht="11" customHeight="1">
      <c r="A14" s="10" t="inlineStr">
        <is>
          <t>BOUNCE_REENTRY_ENABLED</t>
        </is>
      </c>
      <c r="B14" s="11"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ez_manage.py:2985 top()</t>
        </is>
      </c>
      <c r="IL14" s="9" t="inlineStr">
        <is>
          <t>v12_quick_engine.py:315 x14</t>
        </is>
      </c>
    </row>
    <row r="15" ht="11" customHeight="1">
      <c r="A15" s="6" t="inlineStr">
        <is>
          <t>DELTA_EXIT_MANDATORY_REENTRY_ENABLED</t>
        </is>
      </c>
      <c r="B15" s="7" t="inlineStr">
        <is>
          <t>False</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55" t="n"/>
      <c r="CA15" s="55" t="n"/>
      <c r="CB15" s="55" t="n"/>
      <c r="CC15" s="55" t="n"/>
      <c r="CD15" s="55"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ez_manage.py:5975 top()</t>
        </is>
      </c>
      <c r="IL15" s="9" t="inlineStr">
        <is>
          <t>v12_quick_engine.py:4235 x4</t>
        </is>
      </c>
    </row>
    <row r="16" ht="11" customHeight="1">
      <c r="A16" s="10" t="inlineStr">
        <is>
          <t>DELTA_EXIT_MANDATORY_REENTRY_ENABLED</t>
        </is>
      </c>
      <c r="B16" s="11" t="inlineStr">
        <is>
          <t>True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55" t="n"/>
      <c r="CA16" s="55" t="n"/>
      <c r="CB16" s="55" t="n"/>
      <c r="CC16" s="55" t="n"/>
      <c r="CD16" s="55"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ez_manage.py:5975 top()</t>
        </is>
      </c>
      <c r="IL16" s="9" t="inlineStr">
        <is>
          <t>v12_quick_engine.py:4235 x4</t>
        </is>
      </c>
    </row>
    <row r="17" ht="11" customHeight="1">
      <c r="A17" s="10" t="inlineStr">
        <is>
          <t>BOUNCE_REENTRY_K_RESET_LONG</t>
        </is>
      </c>
      <c r="B17" s="11" t="inlineStr">
        <is>
          <t>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ez_manage.py:2986 top()</t>
        </is>
      </c>
      <c r="IL17" s="9" t="inlineStr">
        <is>
          <t>v12_quick_engine.py:321 x13</t>
        </is>
      </c>
    </row>
    <row r="18" ht="11" customHeight="1">
      <c r="A18" s="10" t="inlineStr">
        <is>
          <t>BOUNCE_REENTRY_K_RESET_LONG</t>
        </is>
      </c>
      <c r="B18" s="11" t="inlineStr">
        <is>
          <t>0.5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ez_manage.py:2986 top()</t>
        </is>
      </c>
      <c r="IL18" s="9" t="inlineStr">
        <is>
          <t>v12_quick_engine.py:321 x13</t>
        </is>
      </c>
    </row>
    <row r="19" ht="11" customHeight="1">
      <c r="A19" s="10" t="inlineStr">
        <is>
          <t>BOUNCE_REENTRY_K_RESET_LONG</t>
        </is>
      </c>
      <c r="B19" s="11" t="inlineStr">
        <is>
          <t>1.0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ez_manage.py:2986 top()</t>
        </is>
      </c>
      <c r="IL19" s="9" t="inlineStr">
        <is>
          <t>v12_quick_engine.py:321 x13</t>
        </is>
      </c>
    </row>
    <row r="20" ht="11" customHeight="1">
      <c r="A20" s="10" t="inlineStr">
        <is>
          <t>BOUNCE_REENTRY_K_RESET_LONG</t>
        </is>
      </c>
      <c r="B20" s="11" t="inlineStr">
        <is>
          <t>2.0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ez_manage.py:2986 top()</t>
        </is>
      </c>
      <c r="IL20" s="9" t="inlineStr">
        <is>
          <t>v12_quick_engine.py:321 x13</t>
        </is>
      </c>
    </row>
    <row r="21" ht="11" customHeight="1">
      <c r="A21" s="10" t="inlineStr">
        <is>
          <t>BOUNCE_REENTRY_K_RESET_SHORT</t>
        </is>
      </c>
      <c r="B21" s="11" t="inlineStr">
        <is>
          <t>0</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ez_manage.py:2987 top()</t>
        </is>
      </c>
      <c r="IL21" s="9" t="inlineStr">
        <is>
          <t>v12_quick_engine.py:327 x13</t>
        </is>
      </c>
    </row>
    <row r="22" ht="11" customHeight="1">
      <c r="A22" s="10" t="inlineStr">
        <is>
          <t>BOUNCE_REENTRY_K_RESET_SHORT</t>
        </is>
      </c>
      <c r="B22" s="11" t="inlineStr">
        <is>
          <t>0.5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ez_manage.py:2987 top()</t>
        </is>
      </c>
      <c r="IL22" s="9" t="inlineStr">
        <is>
          <t>v12_quick_engine.py:327 x13</t>
        </is>
      </c>
    </row>
    <row r="23" ht="11" customHeight="1">
      <c r="A23" s="10" t="inlineStr">
        <is>
          <t>BOUNCE_REENTRY_K_RESET_SHORT</t>
        </is>
      </c>
      <c r="B23" s="11" t="inlineStr">
        <is>
          <t>1.0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ez_manage.py:2987 top()</t>
        </is>
      </c>
      <c r="IL23" s="9" t="inlineStr">
        <is>
          <t>v12_quick_engine.py:327 x13</t>
        </is>
      </c>
    </row>
    <row r="24" ht="11" customHeight="1">
      <c r="A24" s="10" t="inlineStr">
        <is>
          <t>BOUNCE_REENTRY_K_RESET_SHORT</t>
        </is>
      </c>
      <c r="B24" s="11" t="inlineStr">
        <is>
          <t>2.0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ez_manage.py:2987 top()</t>
        </is>
      </c>
      <c r="IL24" s="9" t="inlineStr">
        <is>
          <t>v12_quick_engine.py:327 x13</t>
        </is>
      </c>
    </row>
    <row r="25" ht="11" customHeight="1">
      <c r="A25" s="6" t="inlineStr">
        <is>
          <t>BTC_GUARANTEED_REENTRY_ENABLED</t>
        </is>
      </c>
      <c r="B25" s="7" t="inlineStr">
        <is>
          <t>False</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ez_manage.py:4470 top()</t>
        </is>
      </c>
      <c r="IL25" s="9" t="inlineStr">
        <is>
          <t>v12_quick_engine.py:415 x8</t>
        </is>
      </c>
    </row>
    <row r="26" ht="11" customHeight="1">
      <c r="A26" s="10" t="inlineStr">
        <is>
          <t>BTC_GUARANTEED_REENTRY_ENABLED</t>
        </is>
      </c>
      <c r="B26" s="11" t="inlineStr">
        <is>
          <t>True</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ez_manage.py:4470 top()</t>
        </is>
      </c>
      <c r="IL26" s="9" t="inlineStr">
        <is>
          <t>v12_quick_engine.py:415 x8</t>
        </is>
      </c>
    </row>
    <row r="27" ht="11" customHeight="1">
      <c r="A27" s="10" t="inlineStr">
        <is>
          <t>BTC_GUARANTEED_REENTRY_MAX_AGE_BARS</t>
        </is>
      </c>
      <c r="B27" s="11" t="inlineStr">
        <is>
          <t>0</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ez_manage.py:4471 top()</t>
        </is>
      </c>
      <c r="IL27" s="9" t="inlineStr">
        <is>
          <t>v12_quick_engine.py:422 x8</t>
        </is>
      </c>
    </row>
    <row r="28" ht="11" customHeight="1">
      <c r="A28" s="10" t="inlineStr">
        <is>
          <t>BTC_GUARANTEED_REENTRY_MAX_AGE_BARS</t>
        </is>
      </c>
      <c r="B28" s="11" t="inlineStr">
        <is>
          <t>0.5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ez_manage.py:4471 top()</t>
        </is>
      </c>
      <c r="IL28" s="9" t="inlineStr">
        <is>
          <t>v12_quick_engine.py:422 x8</t>
        </is>
      </c>
    </row>
    <row r="29" ht="11" customHeight="1">
      <c r="A29" s="10" t="inlineStr">
        <is>
          <t>BTC_GUARANTEED_REENTRY_MAX_AGE_BARS</t>
        </is>
      </c>
      <c r="B29" s="11" t="inlineStr">
        <is>
          <t>1.0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ez_manage.py:4471 top()</t>
        </is>
      </c>
      <c r="IL29" s="9" t="inlineStr">
        <is>
          <t>v12_quick_engine.py:422 x8</t>
        </is>
      </c>
    </row>
    <row r="30" ht="11" customHeight="1">
      <c r="A30" s="10" t="inlineStr">
        <is>
          <t>BTC_GUARANTEED_REENTRY_MAX_AGE_BARS</t>
        </is>
      </c>
      <c r="B30" s="11" t="inlineStr">
        <is>
          <t>2.0</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ez_manage.py:4471 top()</t>
        </is>
      </c>
      <c r="IL30" s="9" t="inlineStr">
        <is>
          <t>v12_quick_engine.py:422 x8</t>
        </is>
      </c>
    </row>
    <row r="31" ht="11" customHeight="1">
      <c r="A31" s="10" t="inlineStr">
        <is>
          <t>BTC_GUARANTEED_REENTRY_MIN_GAP_BARS</t>
        </is>
      </c>
      <c r="B31" s="11" t="inlineStr">
        <is>
          <t>2</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ez_manage.py:4472 top()</t>
        </is>
      </c>
      <c r="IL31" s="9" t="inlineStr">
        <is>
          <t>v12_quick_engine.py:429 x8</t>
        </is>
      </c>
    </row>
    <row r="32" ht="11" customHeight="1">
      <c r="A32" s="10" t="inlineStr">
        <is>
          <t>BTC_GUARANTEED_REENTRY_MIN_GAP_BARS</t>
        </is>
      </c>
      <c r="B32" s="11" t="inlineStr">
        <is>
          <t>4</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ez_manage.py:4472 top()</t>
        </is>
      </c>
      <c r="IL32" s="9" t="inlineStr">
        <is>
          <t>v12_quick_engine.py:429 x8</t>
        </is>
      </c>
    </row>
    <row r="33" ht="11" customHeight="1">
      <c r="A33" s="6" t="inlineStr">
        <is>
          <t>BTC_GUARANTEED_REENTRY_MIN_GAP_BARS</t>
        </is>
      </c>
      <c r="B33" s="7" t="inlineStr">
        <is>
          <t>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ez_manage.py:4472 top()</t>
        </is>
      </c>
      <c r="IL33" s="9" t="inlineStr">
        <is>
          <t>v12_quick_engine.py:429 x8</t>
        </is>
      </c>
    </row>
    <row r="34" ht="11" customHeight="1">
      <c r="A34" s="10" t="inlineStr">
        <is>
          <t>BTC_GUARANTEED_REENTRY_MIN_GAP_BARS</t>
        </is>
      </c>
      <c r="B34" s="11" t="inlineStr">
        <is>
          <t>6</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ez_manage.py:4472 top()</t>
        </is>
      </c>
      <c r="IL34" s="9" t="inlineStr">
        <is>
          <t>v12_quick_engine.py:429 x8</t>
        </is>
      </c>
    </row>
    <row r="35" ht="11" customHeight="1">
      <c r="A35" s="10" t="inlineStr">
        <is>
          <t>BTC_GUARANTEED_REENTRY_MIN_GAP_BARS</t>
        </is>
      </c>
      <c r="B35" s="11" t="inlineStr">
        <is>
          <t>8</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ez_manage.py:4472 top()</t>
        </is>
      </c>
      <c r="IL35" s="9" t="inlineStr">
        <is>
          <t>v12_quick_engine.py:429 x8</t>
        </is>
      </c>
    </row>
    <row r="36" ht="11" customHeight="1">
      <c r="A36" s="10" t="inlineStr">
        <is>
          <t>DELTA_REENTRY_Z_THRESHOLD</t>
        </is>
      </c>
      <c r="B36" s="11" t="inlineStr">
        <is>
          <t>0.5</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ez_manage.py:196 check_reentry_delta_tolerant()</t>
        </is>
      </c>
      <c r="IL36" s="9" t="inlineStr">
        <is>
          <t>v12_quick_engine.py:1647 x7</t>
        </is>
      </c>
    </row>
    <row r="37" ht="11" customHeight="1">
      <c r="A37" s="10" t="inlineStr">
        <is>
          <t>DELTA_REENTRY_Z_THRESHOLD</t>
        </is>
      </c>
      <c r="B37" s="11" t="inlineStr">
        <is>
          <t>0.75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ez_manage.py:196 check_reentry_delta_tolerant()</t>
        </is>
      </c>
      <c r="IL37" s="9" t="inlineStr">
        <is>
          <t>v12_quick_engine.py:1647 x7</t>
        </is>
      </c>
    </row>
    <row r="38" ht="11" customHeight="1">
      <c r="A38" s="6" t="inlineStr">
        <is>
          <t>DELTA_REENTRY_Z_THRESHOLD</t>
        </is>
      </c>
      <c r="B38" s="7"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ez_manage.py:196 check_reentry_delta_tolerant()</t>
        </is>
      </c>
      <c r="IL38" s="9" t="inlineStr">
        <is>
          <t>v12_quick_engine.py:1647 x7</t>
        </is>
      </c>
    </row>
    <row r="39" ht="11" customHeight="1">
      <c r="A39" s="10" t="inlineStr">
        <is>
          <t>DELTA_REENTRY_Z_THRESHOLD</t>
        </is>
      </c>
      <c r="B39" s="11" t="inlineStr">
        <is>
          <t>1.25</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ez_manage.py:196 check_reentry_delta_tolerant()</t>
        </is>
      </c>
      <c r="IL39" s="9" t="inlineStr">
        <is>
          <t>v12_quick_engine.py:1647 x7</t>
        </is>
      </c>
    </row>
    <row r="40" ht="11" customHeight="1">
      <c r="A40" s="10" t="inlineStr">
        <is>
          <t>DELTA_REENTRY_Z_THRESHOLD</t>
        </is>
      </c>
      <c r="B40" s="11" t="inlineStr">
        <is>
          <t>1.5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55" t="n"/>
      <c r="CA40" s="55" t="n"/>
      <c r="CB40" s="55" t="n"/>
      <c r="CC40" s="55" t="n"/>
      <c r="CD40" s="55"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ez_manage.py:196 check_reentry_delta_tolerant()</t>
        </is>
      </c>
      <c r="IL40" s="9" t="inlineStr">
        <is>
          <t>v12_quick_engine.py:1647 x7</t>
        </is>
      </c>
    </row>
    <row r="41" ht="11" customHeight="1">
      <c r="A41" s="6" t="inlineStr">
        <is>
          <t>DIRECTION_FAVORABLE_REENTRY_ENABLED</t>
        </is>
      </c>
      <c r="B41" s="7" t="inlineStr">
        <is>
          <t>False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55" t="n"/>
      <c r="FT41" s="55"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ez_manage.py:5976 top()</t>
        </is>
      </c>
      <c r="IL41" s="9" t="inlineStr">
        <is>
          <t>v12_quick_engine.py:979 x6</t>
        </is>
      </c>
    </row>
    <row r="42" ht="11" customHeight="1">
      <c r="A42" s="10" t="inlineStr">
        <is>
          <t>DIRECTION_FAVORABLE_REENTRY_ENABLED</t>
        </is>
      </c>
      <c r="B42" s="11" t="inlineStr">
        <is>
          <t>True</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55" t="n"/>
      <c r="FT42" s="55"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ez_manage.py:5976 top()</t>
        </is>
      </c>
      <c r="IL42" s="9" t="inlineStr">
        <is>
          <t>v12_quick_engine.py:979 x6</t>
        </is>
      </c>
    </row>
    <row r="43" ht="11" customHeight="1">
      <c r="A43" s="6" t="inlineStr">
        <is>
          <t>FOLLOW_THROUGH_REENTRY_ENABLED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55" t="n"/>
      <c r="FT43" s="55"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ez_manage.py:1189 top()</t>
        </is>
      </c>
      <c r="IL43" s="9" t="inlineStr">
        <is>
          <t>v12_quick_engine.py:1394 x5</t>
        </is>
      </c>
    </row>
    <row r="44" ht="11" customHeight="1">
      <c r="A44" s="10" t="inlineStr">
        <is>
          <t>FOLLOW_THROUGH_REENTRY_ENABLED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55" t="n"/>
      <c r="FT44" s="55"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ez_manage.py:1189 top()</t>
        </is>
      </c>
      <c r="IL44" s="9" t="inlineStr">
        <is>
          <t>v12_quick_engine.py:1394 x5</t>
        </is>
      </c>
    </row>
    <row r="45" ht="11" customHeight="1">
      <c r="A45" s="6" t="inlineStr">
        <is>
          <t>GUARANTEED_REENTRY_DELTA_GATE_ENABLED</t>
        </is>
      </c>
      <c r="B45" s="7" t="inlineStr">
        <is>
          <t>False</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55" t="n"/>
      <c r="CA45" s="55" t="n"/>
      <c r="CB45" s="55" t="n"/>
      <c r="CC45" s="55" t="n"/>
      <c r="CD45" s="55"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55" t="n"/>
      <c r="FT45" s="55"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ez_manage.py:4773 top()</t>
        </is>
      </c>
      <c r="IL45" s="9" t="inlineStr">
        <is>
          <t>v12_quick_engine.py:1939 x4</t>
        </is>
      </c>
    </row>
    <row r="46" ht="11" customHeight="1">
      <c r="A46" s="10" t="inlineStr">
        <is>
          <t>GUARANTEED_REENTRY_DELTA_GATE_ENABLED</t>
        </is>
      </c>
      <c r="B46" s="11" t="inlineStr">
        <is>
          <t>True</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55" t="n"/>
      <c r="CA46" s="55" t="n"/>
      <c r="CB46" s="55" t="n"/>
      <c r="CC46" s="55" t="n"/>
      <c r="CD46" s="55"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55" t="n"/>
      <c r="FT46" s="55"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ez_manage.py:4773 top()</t>
        </is>
      </c>
      <c r="IL46" s="9" t="inlineStr">
        <is>
          <t>v12_quick_engine.py:1939 x4</t>
        </is>
      </c>
    </row>
    <row r="47" ht="11" customHeight="1">
      <c r="A47" s="10" t="inlineStr">
        <is>
          <t>GUARANTEED_REENTRY_K_HIGH_BLOCK</t>
        </is>
      </c>
      <c r="B47" s="11" t="inlineStr">
        <is>
          <t>40.0</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55" t="n"/>
      <c r="FT47" s="55"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ez_manage.py:4776 top()</t>
        </is>
      </c>
      <c r="IL47" s="9" t="inlineStr">
        <is>
          <t>v12_quick_engine.py:1943 x4</t>
        </is>
      </c>
    </row>
    <row r="48" ht="11" customHeight="1">
      <c r="A48" s="10" t="inlineStr">
        <is>
          <t>GUARANTEED_REENTRY_K_HIGH_BLOCK</t>
        </is>
      </c>
      <c r="B48" s="11" t="inlineStr">
        <is>
          <t>60.0</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55" t="n"/>
      <c r="FT48" s="55"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ez_manage.py:4776 top()</t>
        </is>
      </c>
      <c r="IL48" s="9" t="inlineStr">
        <is>
          <t>v12_quick_engine.py:1943 x4</t>
        </is>
      </c>
    </row>
    <row r="49" ht="11" customHeight="1">
      <c r="A49" s="6" t="inlineStr">
        <is>
          <t>GUARANTEED_REENTRY_K_HIGH_BLOCK</t>
        </is>
      </c>
      <c r="B49" s="7" t="inlineStr">
        <is>
          <t>80.0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55" t="n"/>
      <c r="FT49" s="55"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ez_manage.py:4776 top()</t>
        </is>
      </c>
      <c r="IL49" s="9" t="inlineStr">
        <is>
          <t>v12_quick_engine.py:1943 x4</t>
        </is>
      </c>
    </row>
    <row r="50" ht="11" customHeight="1">
      <c r="A50" s="10" t="inlineStr">
        <is>
          <t>GUARANTEED_REENTRY_K_HIGH_BLOCK</t>
        </is>
      </c>
      <c r="B50" s="11" t="inlineStr">
        <is>
          <t>100.0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55" t="n"/>
      <c r="FT50" s="55"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ez_manage.py:4776 top()</t>
        </is>
      </c>
      <c r="IL50" s="9" t="inlineStr">
        <is>
          <t>v12_quick_engine.py:1943 x4</t>
        </is>
      </c>
    </row>
    <row r="51" ht="11" customHeight="1">
      <c r="A51" s="10" t="inlineStr">
        <is>
          <t>GUARANTEED_REENTRY_K_HIGH_BLOCK</t>
        </is>
      </c>
      <c r="B51" s="11" t="inlineStr">
        <is>
          <t>120.0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55" t="n"/>
      <c r="FT51" s="55"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ez_manage.py:4776 top()</t>
        </is>
      </c>
      <c r="IL51" s="9" t="inlineStr">
        <is>
          <t>v12_quick_engine.py:1943 x4</t>
        </is>
      </c>
    </row>
    <row r="52" ht="11" customHeight="1">
      <c r="A52" s="10" t="inlineStr">
        <is>
          <t>GUARANTEED_REENTRY_K_LOW_BLOCK</t>
        </is>
      </c>
      <c r="B52" s="11" t="inlineStr">
        <is>
          <t>10.0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55" t="n"/>
      <c r="FT52" s="55"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ez_manage.py:4777 top()</t>
        </is>
      </c>
      <c r="IL52" s="9" t="inlineStr">
        <is>
          <t>v12_quick_engine.py:1944 x4</t>
        </is>
      </c>
    </row>
    <row r="53" ht="11" customHeight="1">
      <c r="A53" s="10" t="inlineStr">
        <is>
          <t>GUARANTEED_REENTRY_K_LOW_BLOCK</t>
        </is>
      </c>
      <c r="B53" s="11" t="inlineStr">
        <is>
          <t>15.0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55" t="n"/>
      <c r="FT53" s="55"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ez_manage.py:4777 top()</t>
        </is>
      </c>
      <c r="IL53" s="9" t="inlineStr">
        <is>
          <t>v12_quick_engine.py:1944 x4</t>
        </is>
      </c>
    </row>
    <row r="54" ht="11" customHeight="1">
      <c r="A54" s="6" t="inlineStr">
        <is>
          <t>GUARANTEED_REENTRY_K_LOW_BLOCK</t>
        </is>
      </c>
      <c r="B54" s="7" t="inlineStr">
        <is>
          <t>20.0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55" t="n"/>
      <c r="FT54" s="55"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ez_manage.py:4777 top()</t>
        </is>
      </c>
      <c r="IL54" s="9" t="inlineStr">
        <is>
          <t>v12_quick_engine.py:1944 x4</t>
        </is>
      </c>
    </row>
    <row r="55" ht="11" customHeight="1">
      <c r="A55" s="10" t="inlineStr">
        <is>
          <t>GUARANTEED_REENTRY_K_LOW_BLOCK</t>
        </is>
      </c>
      <c r="B55" s="11" t="inlineStr">
        <is>
          <t>25.0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55" t="n"/>
      <c r="FT55" s="55"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ez_manage.py:4777 top()</t>
        </is>
      </c>
      <c r="IL55" s="9" t="inlineStr">
        <is>
          <t>v12_quick_engine.py:1944 x4</t>
        </is>
      </c>
    </row>
    <row r="56" ht="11" customHeight="1">
      <c r="A56" s="10" t="inlineStr">
        <is>
          <t>GUARANTEED_REENTRY_K_LOW_BLOCK</t>
        </is>
      </c>
      <c r="B56" s="11" t="inlineStr">
        <is>
          <t>30.0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55" t="n"/>
      <c r="FT56" s="55"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ez_manage.py:4777 top()</t>
        </is>
      </c>
      <c r="IL56" s="9" t="inlineStr">
        <is>
          <t>v12_quick_engine.py:1944 x4</t>
        </is>
      </c>
    </row>
    <row r="57" ht="11" customHeight="1">
      <c r="A57" s="10" t="inlineStr">
        <is>
          <t>GUARANTEED_REENTRY_STRICT_CONFIRMATION</t>
        </is>
      </c>
      <c r="B57" s="11"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55" t="n"/>
      <c r="FT57" s="55"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ez_manage.py:4778 top()</t>
        </is>
      </c>
      <c r="IL57" s="9" t="inlineStr">
        <is>
          <t>v12_quick_engine.py:1946 x6</t>
        </is>
      </c>
    </row>
    <row r="58" ht="11" customHeight="1">
      <c r="A58" s="6" t="inlineStr">
        <is>
          <t>GUARANTEED_REENTRY_STRICT_CONFIRMATION</t>
        </is>
      </c>
      <c r="B58" s="7"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55" t="n"/>
      <c r="FT58" s="55"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ez_manage.py:4778 top()</t>
        </is>
      </c>
      <c r="IL58" s="9" t="inlineStr">
        <is>
          <t>v12_quick_engine.py:1946 x6</t>
        </is>
      </c>
    </row>
    <row r="59" ht="11" customHeight="1">
      <c r="A59" s="10" t="inlineStr">
        <is>
          <t>GUARANTEED_REENTRY_TIGHT_STOP_ENABLED</t>
        </is>
      </c>
      <c r="B59" s="11" t="inlineStr">
        <is>
          <t>False</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8" t="n"/>
      <c r="CY59" s="55" t="n"/>
      <c r="CZ59" s="55" t="n"/>
      <c r="DA59" s="55" t="n"/>
      <c r="DB59" s="55" t="n"/>
      <c r="DC59" s="55"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8" t="n"/>
      <c r="EC59" s="55" t="n"/>
      <c r="ED59" s="55" t="n"/>
      <c r="EE59" s="55" t="n"/>
      <c r="EF59" s="55" t="n"/>
      <c r="EG59" s="55"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55" t="n"/>
      <c r="FT59" s="55"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ez_manage.py:4779 top()</t>
        </is>
      </c>
      <c r="IL59" s="9" t="inlineStr">
        <is>
          <t>v12_quick_engine.py:1947 x3</t>
        </is>
      </c>
    </row>
    <row r="60" ht="11" customHeight="1">
      <c r="A60" s="6" t="inlineStr">
        <is>
          <t>GUARANTEED_REENTRY_TIGHT_STOP_ENABLED</t>
        </is>
      </c>
      <c r="B60" s="7" t="inlineStr">
        <is>
          <t>True</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8" t="n"/>
      <c r="CY60" s="55" t="n"/>
      <c r="CZ60" s="55" t="n"/>
      <c r="DA60" s="55" t="n"/>
      <c r="DB60" s="55" t="n"/>
      <c r="DC60" s="55"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8" t="n"/>
      <c r="EC60" s="55" t="n"/>
      <c r="ED60" s="55" t="n"/>
      <c r="EE60" s="55" t="n"/>
      <c r="EF60" s="55" t="n"/>
      <c r="EG60" s="55"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55" t="n"/>
      <c r="FT60" s="55"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ez_manage.py:4779 top()</t>
        </is>
      </c>
      <c r="IL60" s="9" t="inlineStr">
        <is>
          <t>v12_quick_engine.py:1947 x3</t>
        </is>
      </c>
    </row>
    <row r="61" ht="11" customHeight="1">
      <c r="A61" s="10" t="inlineStr">
        <is>
          <t>GUARANTEED_REENTRY_TIGHT_STOP_MAX_AGE_S</t>
        </is>
      </c>
      <c r="B61" s="11" t="inlineStr">
        <is>
          <t>900.0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8" t="n"/>
      <c r="CY61" s="55" t="n"/>
      <c r="CZ61" s="55" t="n"/>
      <c r="DA61" s="55" t="n"/>
      <c r="DB61" s="55" t="n"/>
      <c r="DC61" s="55"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8" t="n"/>
      <c r="EC61" s="55" t="n"/>
      <c r="ED61" s="55" t="n"/>
      <c r="EE61" s="55" t="n"/>
      <c r="EF61" s="55" t="n"/>
      <c r="EG61" s="55"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55" t="n"/>
      <c r="FT61" s="55"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ez_manage.py:4780 top()</t>
        </is>
      </c>
      <c r="IL61" s="9" t="inlineStr">
        <is>
          <t>v12_quick_engine.py:1948 x4</t>
        </is>
      </c>
    </row>
    <row r="62" ht="11" customHeight="1">
      <c r="A62" s="10" t="inlineStr">
        <is>
          <t>GUARANTEED_REENTRY_TIGHT_STOP_MAX_AGE_S</t>
        </is>
      </c>
      <c r="B62" s="11" t="inlineStr">
        <is>
          <t>1350.0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8" t="n"/>
      <c r="CY62" s="55" t="n"/>
      <c r="CZ62" s="55" t="n"/>
      <c r="DA62" s="55" t="n"/>
      <c r="DB62" s="55" t="n"/>
      <c r="DC62" s="55"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8" t="n"/>
      <c r="EC62" s="55" t="n"/>
      <c r="ED62" s="55" t="n"/>
      <c r="EE62" s="55" t="n"/>
      <c r="EF62" s="55" t="n"/>
      <c r="EG62" s="55"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55" t="n"/>
      <c r="FT62" s="55"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ez_manage.py:4780 top()</t>
        </is>
      </c>
      <c r="IL62" s="9" t="inlineStr">
        <is>
          <t>v12_quick_engine.py:1948 x4</t>
        </is>
      </c>
    </row>
    <row r="63" ht="11" customHeight="1">
      <c r="A63" s="6" t="inlineStr">
        <is>
          <t>GUARANTEED_REENTRY_TIGHT_STOP_MAX_AGE_S</t>
        </is>
      </c>
      <c r="B63" s="7" t="inlineStr">
        <is>
          <t>1800.0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8" t="n"/>
      <c r="CY63" s="55" t="n"/>
      <c r="CZ63" s="55" t="n"/>
      <c r="DA63" s="55" t="n"/>
      <c r="DB63" s="55" t="n"/>
      <c r="DC63" s="55"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8" t="n"/>
      <c r="EC63" s="55" t="n"/>
      <c r="ED63" s="55" t="n"/>
      <c r="EE63" s="55" t="n"/>
      <c r="EF63" s="55" t="n"/>
      <c r="EG63" s="55"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55" t="n"/>
      <c r="FT63" s="55"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ez_manage.py:4780 top()</t>
        </is>
      </c>
      <c r="IL63" s="9" t="inlineStr">
        <is>
          <t>v12_quick_engine.py:1948 x4</t>
        </is>
      </c>
    </row>
    <row r="64" ht="11" customHeight="1">
      <c r="A64" s="10" t="inlineStr">
        <is>
          <t>GUARANTEED_REENTRY_TIGHT_STOP_MAX_AGE_S</t>
        </is>
      </c>
      <c r="B64" s="11" t="inlineStr">
        <is>
          <t>2250.0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8" t="n"/>
      <c r="CY64" s="55" t="n"/>
      <c r="CZ64" s="55" t="n"/>
      <c r="DA64" s="55" t="n"/>
      <c r="DB64" s="55" t="n"/>
      <c r="DC64" s="55"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8" t="n"/>
      <c r="EC64" s="55" t="n"/>
      <c r="ED64" s="55" t="n"/>
      <c r="EE64" s="55" t="n"/>
      <c r="EF64" s="55" t="n"/>
      <c r="EG64" s="55"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55" t="n"/>
      <c r="FT64" s="55"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ez_manage.py:4780 top()</t>
        </is>
      </c>
      <c r="IL64" s="9" t="inlineStr">
        <is>
          <t>v12_quick_engine.py:1948 x4</t>
        </is>
      </c>
    </row>
    <row r="65" ht="11" customHeight="1">
      <c r="A65" s="10" t="inlineStr">
        <is>
          <t>GUARANTEED_REENTRY_TIGHT_STOP_MAX_AGE_S</t>
        </is>
      </c>
      <c r="B65" s="11" t="inlineStr">
        <is>
          <t>2700.0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8" t="n"/>
      <c r="CY65" s="55" t="n"/>
      <c r="CZ65" s="55" t="n"/>
      <c r="DA65" s="55" t="n"/>
      <c r="DB65" s="55" t="n"/>
      <c r="DC65" s="55"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8" t="n"/>
      <c r="EC65" s="55" t="n"/>
      <c r="ED65" s="55" t="n"/>
      <c r="EE65" s="55" t="n"/>
      <c r="EF65" s="55" t="n"/>
      <c r="EG65" s="55"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55" t="n"/>
      <c r="FT65" s="55"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ez_manage.py:4780 top()</t>
        </is>
      </c>
      <c r="IL65" s="9" t="inlineStr">
        <is>
          <t>v12_quick_engine.py:1948 x4</t>
        </is>
      </c>
    </row>
    <row r="66" ht="11" customHeight="1">
      <c r="A66" s="10" t="inlineStr">
        <is>
          <t>GUARANTEED_REENTRY_TIGHT_STOP_MIN_AGE_S</t>
        </is>
      </c>
      <c r="B66" s="11" t="inlineStr">
        <is>
          <t>30.0</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55" t="n"/>
      <c r="CZ66" s="55" t="n"/>
      <c r="DA66" s="55" t="n"/>
      <c r="DB66" s="55" t="n"/>
      <c r="DC66" s="55"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55" t="n"/>
      <c r="ED66" s="55" t="n"/>
      <c r="EE66" s="55" t="n"/>
      <c r="EF66" s="55" t="n"/>
      <c r="EG66" s="55"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55" t="n"/>
      <c r="FT66" s="55"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ez_manage.py:4781 top()</t>
        </is>
      </c>
      <c r="IL66" s="9" t="inlineStr">
        <is>
          <t>v12_quick_engine.py:1949 x4</t>
        </is>
      </c>
    </row>
    <row r="67" ht="11" customHeight="1">
      <c r="A67" s="10" t="inlineStr">
        <is>
          <t>GUARANTEED_REENTRY_TIGHT_STOP_MIN_AGE_S</t>
        </is>
      </c>
      <c r="B67" s="11" t="inlineStr">
        <is>
          <t>45.0</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55" t="n"/>
      <c r="CZ67" s="55" t="n"/>
      <c r="DA67" s="55" t="n"/>
      <c r="DB67" s="55" t="n"/>
      <c r="DC67" s="55"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55" t="n"/>
      <c r="ED67" s="55" t="n"/>
      <c r="EE67" s="55" t="n"/>
      <c r="EF67" s="55" t="n"/>
      <c r="EG67" s="55"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55" t="n"/>
      <c r="FT67" s="55"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ez_manage.py:4781 top()</t>
        </is>
      </c>
      <c r="IL67" s="9" t="inlineStr">
        <is>
          <t>v12_quick_engine.py:1949 x4</t>
        </is>
      </c>
    </row>
    <row r="68" ht="11" customHeight="1">
      <c r="A68" s="6" t="inlineStr">
        <is>
          <t>GUARANTEED_REENTRY_TIGHT_STOP_MIN_AGE_S</t>
        </is>
      </c>
      <c r="B68" s="7" t="inlineStr">
        <is>
          <t>60.0</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55" t="n"/>
      <c r="CZ68" s="55" t="n"/>
      <c r="DA68" s="55" t="n"/>
      <c r="DB68" s="55" t="n"/>
      <c r="DC68" s="55"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55" t="n"/>
      <c r="ED68" s="55" t="n"/>
      <c r="EE68" s="55" t="n"/>
      <c r="EF68" s="55" t="n"/>
      <c r="EG68" s="55"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55" t="n"/>
      <c r="FT68" s="55"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ez_manage.py:4781 top()</t>
        </is>
      </c>
      <c r="IL68" s="9" t="inlineStr">
        <is>
          <t>v12_quick_engine.py:1949 x4</t>
        </is>
      </c>
    </row>
    <row r="69" ht="11" customHeight="1">
      <c r="A69" s="10" t="inlineStr">
        <is>
          <t>GUARANTEED_REENTRY_TIGHT_STOP_MIN_AGE_S</t>
        </is>
      </c>
      <c r="B69" s="11" t="inlineStr">
        <is>
          <t>75.0</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55" t="n"/>
      <c r="CZ69" s="55" t="n"/>
      <c r="DA69" s="55" t="n"/>
      <c r="DB69" s="55" t="n"/>
      <c r="DC69" s="55"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55" t="n"/>
      <c r="ED69" s="55" t="n"/>
      <c r="EE69" s="55" t="n"/>
      <c r="EF69" s="55" t="n"/>
      <c r="EG69" s="55"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55" t="n"/>
      <c r="FT69" s="55"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ez_manage.py:4781 top()</t>
        </is>
      </c>
      <c r="IL69" s="9" t="inlineStr">
        <is>
          <t>v12_quick_engine.py:1949 x4</t>
        </is>
      </c>
    </row>
    <row r="70" ht="11" customHeight="1">
      <c r="A70" s="10" t="inlineStr">
        <is>
          <t>GUARANTEED_REENTRY_TIGHT_STOP_MIN_AGE_S</t>
        </is>
      </c>
      <c r="B70" s="11" t="inlineStr">
        <is>
          <t>90.0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8" t="n"/>
      <c r="CY70" s="55" t="n"/>
      <c r="CZ70" s="55" t="n"/>
      <c r="DA70" s="55" t="n"/>
      <c r="DB70" s="55" t="n"/>
      <c r="DC70" s="55"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8" t="n"/>
      <c r="EC70" s="55" t="n"/>
      <c r="ED70" s="55" t="n"/>
      <c r="EE70" s="55" t="n"/>
      <c r="EF70" s="55" t="n"/>
      <c r="EG70" s="55"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55" t="n"/>
      <c r="FT70" s="55"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ez_manage.py:4781 top()</t>
        </is>
      </c>
      <c r="IL70" s="9" t="inlineStr">
        <is>
          <t>v12_quick_engine.py:1949 x4</t>
        </is>
      </c>
    </row>
    <row r="71" ht="11" customHeight="1">
      <c r="A71" s="10" t="inlineStr">
        <is>
          <t>GUARANTEED_REENTRY_TIGHT_STOP_PCT</t>
        </is>
      </c>
      <c r="B71" s="11" t="inlineStr">
        <is>
          <t>0.25</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8" t="n"/>
      <c r="CY71" s="55" t="n"/>
      <c r="CZ71" s="55" t="n"/>
      <c r="DA71" s="55" t="n"/>
      <c r="DB71" s="55" t="n"/>
      <c r="DC71" s="55"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8" t="n"/>
      <c r="EC71" s="55" t="n"/>
      <c r="ED71" s="55" t="n"/>
      <c r="EE71" s="55" t="n"/>
      <c r="EF71" s="55" t="n"/>
      <c r="EG71" s="55"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55" t="n"/>
      <c r="FT71" s="55"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ez_manage.py:4782 top()</t>
        </is>
      </c>
      <c r="IL71" s="9" t="inlineStr">
        <is>
          <t>v12_quick_engine.py:1950 x7</t>
        </is>
      </c>
    </row>
    <row r="72" ht="11" customHeight="1">
      <c r="A72" s="10" t="inlineStr">
        <is>
          <t>GUARANTEED_REENTRY_TIGHT_STOP_PCT</t>
        </is>
      </c>
      <c r="B72" s="11" t="inlineStr">
        <is>
          <t>0.375</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55" t="n"/>
      <c r="CZ72" s="55" t="n"/>
      <c r="DA72" s="55" t="n"/>
      <c r="DB72" s="55" t="n"/>
      <c r="DC72" s="55"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55" t="n"/>
      <c r="ED72" s="55" t="n"/>
      <c r="EE72" s="55" t="n"/>
      <c r="EF72" s="55" t="n"/>
      <c r="EG72" s="55"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55" t="n"/>
      <c r="FT72" s="55"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ez_manage.py:4782 top()</t>
        </is>
      </c>
      <c r="IL72" s="9" t="inlineStr">
        <is>
          <t>v12_quick_engine.py:1950 x7</t>
        </is>
      </c>
    </row>
    <row r="73" ht="11" customHeight="1">
      <c r="A73" s="6" t="inlineStr">
        <is>
          <t>GUARANTEED_REENTRY_TIGHT_STOP_PCT</t>
        </is>
      </c>
      <c r="B73" s="7" t="inlineStr">
        <is>
          <t>0.5</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55" t="n"/>
      <c r="CZ73" s="55" t="n"/>
      <c r="DA73" s="55" t="n"/>
      <c r="DB73" s="55" t="n"/>
      <c r="DC73" s="55"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55" t="n"/>
      <c r="ED73" s="55" t="n"/>
      <c r="EE73" s="55" t="n"/>
      <c r="EF73" s="55" t="n"/>
      <c r="EG73" s="55"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55" t="n"/>
      <c r="FT73" s="55"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ez_manage.py:4782 top()</t>
        </is>
      </c>
      <c r="IL73" s="9" t="inlineStr">
        <is>
          <t>v12_quick_engine.py:1950 x7</t>
        </is>
      </c>
    </row>
    <row r="74" ht="11" customHeight="1">
      <c r="A74" s="10" t="inlineStr">
        <is>
          <t>GUARANTEED_REENTRY_TIGHT_STOP_PCT</t>
        </is>
      </c>
      <c r="B74" s="11" t="inlineStr">
        <is>
          <t>0.625</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55" t="n"/>
      <c r="CZ74" s="55" t="n"/>
      <c r="DA74" s="55" t="n"/>
      <c r="DB74" s="55" t="n"/>
      <c r="DC74" s="55"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55" t="n"/>
      <c r="ED74" s="55" t="n"/>
      <c r="EE74" s="55" t="n"/>
      <c r="EF74" s="55" t="n"/>
      <c r="EG74" s="55"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55" t="n"/>
      <c r="FT74" s="55"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ez_manage.py:4782 top()</t>
        </is>
      </c>
      <c r="IL74" s="9" t="inlineStr">
        <is>
          <t>v12_quick_engine.py:1950 x7</t>
        </is>
      </c>
    </row>
    <row r="75" ht="11" customHeight="1">
      <c r="A75" s="10" t="inlineStr">
        <is>
          <t>GUARANTEED_REENTRY_TIGHT_STOP_PCT</t>
        </is>
      </c>
      <c r="B75" s="11" t="inlineStr">
        <is>
          <t>0.75</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55" t="n"/>
      <c r="CZ75" s="55" t="n"/>
      <c r="DA75" s="55" t="n"/>
      <c r="DB75" s="55" t="n"/>
      <c r="DC75" s="55"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55" t="n"/>
      <c r="ED75" s="55" t="n"/>
      <c r="EE75" s="55" t="n"/>
      <c r="EF75" s="55" t="n"/>
      <c r="EG75" s="55"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55" t="n"/>
      <c r="FT75" s="55"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ez_manage.py:4782 top()</t>
        </is>
      </c>
      <c r="IL75" s="9" t="inlineStr">
        <is>
          <t>v12_quick_engine.py:1950 x7</t>
        </is>
      </c>
    </row>
    <row r="76" ht="11" customHeight="1">
      <c r="A76" s="10" t="inlineStr">
        <is>
          <t>LEGACY_PROC_SINGLE_REENTRY</t>
        </is>
      </c>
      <c r="B76" s="11" t="inlineStr">
        <is>
          <t>0</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55" t="n"/>
      <c r="FT76" s="55"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ez_manage.py:3418 top()</t>
        </is>
      </c>
      <c r="IL76" s="9" t="inlineStr">
        <is>
          <t>v12_quick_engine.py:2119 x5</t>
        </is>
      </c>
    </row>
    <row r="77" ht="11" customHeight="1">
      <c r="A77" s="10" t="inlineStr">
        <is>
          <t>LEGACY_PROC_SINGLE_REENTRY</t>
        </is>
      </c>
      <c r="B77" s="11" t="inlineStr">
        <is>
          <t>0.5</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55" t="n"/>
      <c r="FT77" s="55"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ez_manage.py:3418 top()</t>
        </is>
      </c>
      <c r="IL77" s="9" t="inlineStr">
        <is>
          <t>v12_quick_engine.py:2119 x5</t>
        </is>
      </c>
    </row>
    <row r="78" ht="11" customHeight="1">
      <c r="A78" s="10" t="inlineStr">
        <is>
          <t>LEGACY_PROC_SINGLE_REENTRY</t>
        </is>
      </c>
      <c r="B78" s="11" t="inlineStr">
        <is>
          <t>1.0</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55" t="n"/>
      <c r="FT78" s="55"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ez_manage.py:3418 top()</t>
        </is>
      </c>
      <c r="IL78" s="9" t="inlineStr">
        <is>
          <t>v12_quick_engine.py:2119 x5</t>
        </is>
      </c>
    </row>
    <row r="79" ht="11" customHeight="1">
      <c r="A79" s="10" t="inlineStr">
        <is>
          <t>LEGACY_PROC_SINGLE_REENTRY</t>
        </is>
      </c>
      <c r="B79" s="11" t="inlineStr">
        <is>
          <t>2.0</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55" t="n"/>
      <c r="FT79" s="55"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ez_manage.py:3418 top()</t>
        </is>
      </c>
      <c r="IL79" s="9" t="inlineStr">
        <is>
          <t>v12_quick_engine.py:2119 x5</t>
        </is>
      </c>
    </row>
    <row r="80" ht="11" customHeight="1">
      <c r="A80" s="10" t="inlineStr">
        <is>
          <t>LEGACY_REENTRY_PSR_DC_BOUNCE</t>
        </is>
      </c>
      <c r="B80" s="11" t="inlineStr">
        <is>
          <t>0</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55" t="n"/>
      <c r="FT80" s="55"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ez_manage.py:3422 top()</t>
        </is>
      </c>
      <c r="IL80" s="9" t="inlineStr">
        <is>
          <t>v12_quick_engine.py:2123 x5</t>
        </is>
      </c>
    </row>
    <row r="81" ht="11" customHeight="1">
      <c r="A81" s="10" t="inlineStr">
        <is>
          <t>LEGACY_REENTRY_PSR_DC_BOUNCE</t>
        </is>
      </c>
      <c r="B81" s="11" t="inlineStr">
        <is>
          <t>0.5</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55" t="n"/>
      <c r="FT81" s="55"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ez_manage.py:3422 top()</t>
        </is>
      </c>
      <c r="IL81" s="9" t="inlineStr">
        <is>
          <t>v12_quick_engine.py:2123 x5</t>
        </is>
      </c>
    </row>
    <row r="82" ht="11" customHeight="1">
      <c r="A82" s="10" t="inlineStr">
        <is>
          <t>LEGACY_REENTRY_PSR_DC_BOUNCE</t>
        </is>
      </c>
      <c r="B82" s="11" t="inlineStr">
        <is>
          <t>1.0</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55" t="n"/>
      <c r="FT82" s="55"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ez_manage.py:3422 top()</t>
        </is>
      </c>
      <c r="IL82" s="9" t="inlineStr">
        <is>
          <t>v12_quick_engine.py:2123 x5</t>
        </is>
      </c>
    </row>
    <row r="83" ht="11" customHeight="1">
      <c r="A83" s="10" t="inlineStr">
        <is>
          <t>LEGACY_REENTRY_PSR_DC_BOUNCE</t>
        </is>
      </c>
      <c r="B83" s="11" t="inlineStr">
        <is>
          <t>2.0</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55" t="n"/>
      <c r="FT83" s="55"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ez_manage.py:3422 top()</t>
        </is>
      </c>
      <c r="IL83" s="9" t="inlineStr">
        <is>
          <t>v12_quick_engine.py:2123 x5</t>
        </is>
      </c>
    </row>
    <row r="84" ht="11" customHeight="1">
      <c r="A84" s="10" t="inlineStr">
        <is>
          <t>LEGACY_REENTRY_PSR_FULL_DC</t>
        </is>
      </c>
      <c r="B84" s="11" t="inlineStr">
        <is>
          <t>0</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55" t="n"/>
      <c r="FT84" s="55"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ez_manage.py:3423 top()</t>
        </is>
      </c>
      <c r="IL84" s="9" t="inlineStr">
        <is>
          <t>v12_quick_engine.py:2124 x5</t>
        </is>
      </c>
    </row>
    <row r="85" ht="11" customHeight="1">
      <c r="A85" s="10" t="inlineStr">
        <is>
          <t>LEGACY_REENTRY_PSR_FULL_DC</t>
        </is>
      </c>
      <c r="B85" s="11" t="inlineStr">
        <is>
          <t>0.5</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55" t="n"/>
      <c r="FT85" s="55"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ez_manage.py:3423 top()</t>
        </is>
      </c>
      <c r="IL85" s="9" t="inlineStr">
        <is>
          <t>v12_quick_engine.py:2124 x5</t>
        </is>
      </c>
    </row>
    <row r="86" ht="11" customHeight="1">
      <c r="A86" s="10" t="inlineStr">
        <is>
          <t>LEGACY_REENTRY_PSR_FULL_DC</t>
        </is>
      </c>
      <c r="B86" s="11" t="inlineStr">
        <is>
          <t>1.0</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55" t="n"/>
      <c r="FT86" s="55"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ez_manage.py:3423 top()</t>
        </is>
      </c>
      <c r="IL86" s="9" t="inlineStr">
        <is>
          <t>v12_quick_engine.py:2124 x5</t>
        </is>
      </c>
    </row>
    <row r="87" ht="11" customHeight="1">
      <c r="A87" s="10" t="inlineStr">
        <is>
          <t>LEGACY_REENTRY_PSR_FULL_DC</t>
        </is>
      </c>
      <c r="B87" s="11" t="inlineStr">
        <is>
          <t>2.0</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55" t="n"/>
      <c r="FT87" s="55"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ez_manage.py:3423 top()</t>
        </is>
      </c>
      <c r="IL87" s="9" t="inlineStr">
        <is>
          <t>v12_quick_engine.py:2124 x5</t>
        </is>
      </c>
    </row>
    <row r="88" ht="11" customHeight="1">
      <c r="A88" s="10" t="inlineStr">
        <is>
          <t>LEGACY_REENTRY_PSR_K_DC_CROSSOVER</t>
        </is>
      </c>
      <c r="B88" s="11" t="inlineStr">
        <is>
          <t>0</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55" t="n"/>
      <c r="FT88" s="55"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ez_manage.py:3424 top()</t>
        </is>
      </c>
      <c r="IL88" s="9" t="inlineStr">
        <is>
          <t>v12_quick_engine.py:2125 x5</t>
        </is>
      </c>
    </row>
    <row r="89" ht="11" customHeight="1">
      <c r="A89" s="10" t="inlineStr">
        <is>
          <t>LEGACY_REENTRY_PSR_K_DC_CROSSOVER</t>
        </is>
      </c>
      <c r="B89" s="11" t="inlineStr">
        <is>
          <t>0.5</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55" t="n"/>
      <c r="FT89" s="55"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ez_manage.py:3424 top()</t>
        </is>
      </c>
      <c r="IL89" s="9" t="inlineStr">
        <is>
          <t>v12_quick_engine.py:2125 x5</t>
        </is>
      </c>
    </row>
    <row r="90" ht="11" customHeight="1">
      <c r="A90" s="10" t="inlineStr">
        <is>
          <t>LEGACY_REENTRY_PSR_K_DC_CROSSOVER</t>
        </is>
      </c>
      <c r="B90" s="11" t="inlineStr">
        <is>
          <t>1.0</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55" t="n"/>
      <c r="FT90" s="55"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ez_manage.py:3424 top()</t>
        </is>
      </c>
      <c r="IL90" s="9" t="inlineStr">
        <is>
          <t>v12_quick_engine.py:2125 x5</t>
        </is>
      </c>
    </row>
    <row r="91" ht="11" customHeight="1">
      <c r="A91" s="10" t="inlineStr">
        <is>
          <t>LEGACY_REENTRY_PSR_K_DC_CROSSOVER</t>
        </is>
      </c>
      <c r="B91" s="11" t="inlineStr">
        <is>
          <t>2.0</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55" t="n"/>
      <c r="FT91" s="55"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ez_manage.py:3424 top()</t>
        </is>
      </c>
      <c r="IL91" s="9" t="inlineStr">
        <is>
          <t>v12_quick_engine.py:2125 x5</t>
        </is>
      </c>
    </row>
    <row r="92" ht="11" customHeight="1">
      <c r="A92" s="10" t="inlineStr">
        <is>
          <t>LEGACY_REENTRY_PSR_QUICK_RECOVERY</t>
        </is>
      </c>
      <c r="B92" s="11" t="inlineStr">
        <is>
          <t>0</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55" t="n"/>
      <c r="AC92" s="55" t="n"/>
      <c r="AD92" s="55" t="n"/>
      <c r="AE92" s="55" t="n"/>
      <c r="AF92" s="55" t="n"/>
      <c r="AG92" s="55" t="n"/>
      <c r="AH92" s="55" t="n"/>
      <c r="AI92" s="55" t="n"/>
      <c r="AJ92" s="55" t="n"/>
      <c r="AK92" s="55"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55" t="n"/>
      <c r="FT92" s="55"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ez_manage.py:3425 top()</t>
        </is>
      </c>
      <c r="IL92" s="9" t="inlineStr">
        <is>
          <t>v12_quick_engine.py:2126 x4</t>
        </is>
      </c>
    </row>
    <row r="93" ht="11" customHeight="1">
      <c r="A93" s="10" t="inlineStr">
        <is>
          <t>LEGACY_REENTRY_PSR_QUICK_RECOVERY</t>
        </is>
      </c>
      <c r="B93" s="11" t="inlineStr">
        <is>
          <t>0.5</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55" t="n"/>
      <c r="AC93" s="55" t="n"/>
      <c r="AD93" s="55" t="n"/>
      <c r="AE93" s="55" t="n"/>
      <c r="AF93" s="55" t="n"/>
      <c r="AG93" s="55" t="n"/>
      <c r="AH93" s="55" t="n"/>
      <c r="AI93" s="55" t="n"/>
      <c r="AJ93" s="55" t="n"/>
      <c r="AK93" s="55"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55" t="n"/>
      <c r="FT93" s="55"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ez_manage.py:3425 top()</t>
        </is>
      </c>
      <c r="IL93" s="9" t="inlineStr">
        <is>
          <t>v12_quick_engine.py:2126 x4</t>
        </is>
      </c>
    </row>
    <row r="94" ht="11" customHeight="1">
      <c r="A94" s="10" t="inlineStr">
        <is>
          <t>LEGACY_REENTRY_PSR_QUICK_RECOVERY</t>
        </is>
      </c>
      <c r="B94" s="11" t="inlineStr">
        <is>
          <t>1.0</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55" t="n"/>
      <c r="AC94" s="55" t="n"/>
      <c r="AD94" s="55" t="n"/>
      <c r="AE94" s="55" t="n"/>
      <c r="AF94" s="55" t="n"/>
      <c r="AG94" s="55" t="n"/>
      <c r="AH94" s="55" t="n"/>
      <c r="AI94" s="55" t="n"/>
      <c r="AJ94" s="55" t="n"/>
      <c r="AK94" s="55"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ez_manage.py:3425 top()</t>
        </is>
      </c>
      <c r="IL94" s="9" t="inlineStr">
        <is>
          <t>v12_quick_engine.py:2126 x4</t>
        </is>
      </c>
    </row>
    <row r="95" ht="11" customHeight="1">
      <c r="A95" s="10" t="inlineStr">
        <is>
          <t>LEGACY_REENTRY_PSR_QUICK_RECOVERY</t>
        </is>
      </c>
      <c r="B95" s="11" t="inlineStr">
        <is>
          <t>2.0</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55" t="n"/>
      <c r="AC95" s="55" t="n"/>
      <c r="AD95" s="55" t="n"/>
      <c r="AE95" s="55" t="n"/>
      <c r="AF95" s="55" t="n"/>
      <c r="AG95" s="55" t="n"/>
      <c r="AH95" s="55" t="n"/>
      <c r="AI95" s="55" t="n"/>
      <c r="AJ95" s="55" t="n"/>
      <c r="AK95" s="55"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ez_manage.py:3425 top()</t>
        </is>
      </c>
      <c r="IL95" s="9" t="inlineStr">
        <is>
          <t>v12_quick_engine.py:2126 x4</t>
        </is>
      </c>
    </row>
    <row r="96" ht="11" customHeight="1">
      <c r="A96" s="10" t="inlineStr">
        <is>
          <t>MANDATORY_REENTRY_ALLOW_WT0_STRONG_CROSS</t>
        </is>
      </c>
      <c r="B96" s="11" t="inlineStr">
        <is>
          <t>0</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55" t="n"/>
      <c r="AW96" s="55" t="n"/>
      <c r="AX96" s="55" t="n"/>
      <c r="AY96" s="55" t="n"/>
      <c r="AZ96" s="55"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ez_manage.py:4960 top()</t>
        </is>
      </c>
      <c r="IL96" s="9" t="inlineStr">
        <is>
          <t>v12_quick_engine.py:2245 x4</t>
        </is>
      </c>
    </row>
    <row r="97" ht="11" customHeight="1">
      <c r="A97" s="10" t="inlineStr">
        <is>
          <t>MANDATORY_REENTRY_ALLOW_WT0_STRONG_CROSS</t>
        </is>
      </c>
      <c r="B97" s="11" t="inlineStr">
        <is>
          <t>0.5</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55" t="n"/>
      <c r="AW97" s="55" t="n"/>
      <c r="AX97" s="55" t="n"/>
      <c r="AY97" s="55" t="n"/>
      <c r="AZ97" s="55"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ez_manage.py:4960 top()</t>
        </is>
      </c>
      <c r="IL97" s="9" t="inlineStr">
        <is>
          <t>v12_quick_engine.py:2245 x4</t>
        </is>
      </c>
    </row>
    <row r="98" ht="11" customHeight="1">
      <c r="A98" s="10" t="inlineStr">
        <is>
          <t>MANDATORY_REENTRY_ALLOW_WT0_STRONG_CROSS</t>
        </is>
      </c>
      <c r="B98" s="11" t="inlineStr">
        <is>
          <t>1.0</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55" t="n"/>
      <c r="FT98" s="55"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ez_manage.py:4960 top()</t>
        </is>
      </c>
      <c r="IL98" s="9" t="inlineStr">
        <is>
          <t>v12_quick_engine.py:2245 x4</t>
        </is>
      </c>
    </row>
    <row r="99" ht="11" customHeight="1">
      <c r="A99" s="10" t="inlineStr">
        <is>
          <t>MANDATORY_REENTRY_ALLOW_WT0_STRONG_CROSS</t>
        </is>
      </c>
      <c r="B99" s="11" t="inlineStr">
        <is>
          <t>2.0</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55" t="n"/>
      <c r="FT99" s="55"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ez_manage.py:4960 top()</t>
        </is>
      </c>
      <c r="IL99" s="9" t="inlineStr">
        <is>
          <t>v12_quick_engine.py:2245 x4</t>
        </is>
      </c>
    </row>
    <row r="100" ht="11" customHeight="1">
      <c r="A100" s="10" t="inlineStr">
        <is>
          <t>MANDATORY_REENTRY_K_HIGH_BLOCK</t>
        </is>
      </c>
      <c r="B100" s="11" t="inlineStr">
        <is>
          <t>0</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ez_manage.py:4961 top()</t>
        </is>
      </c>
      <c r="IL100" s="9" t="inlineStr">
        <is>
          <t>v12_quick_engine.py:2247 x2</t>
        </is>
      </c>
    </row>
    <row r="101" ht="11" customHeight="1">
      <c r="A101" s="10" t="inlineStr">
        <is>
          <t>MANDATORY_REENTRY_K_HIGH_BLOCK</t>
        </is>
      </c>
      <c r="B101" s="11" t="inlineStr">
        <is>
          <t>0.5</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ez_manage.py:4961 top()</t>
        </is>
      </c>
      <c r="IL101" s="9" t="inlineStr">
        <is>
          <t>v12_quick_engine.py:2247 x2</t>
        </is>
      </c>
    </row>
    <row r="102" ht="11" customHeight="1">
      <c r="A102" s="10" t="inlineStr">
        <is>
          <t>MANDATORY_REENTRY_K_HIGH_BLOCK</t>
        </is>
      </c>
      <c r="B102" s="11" t="inlineStr">
        <is>
          <t>1.0</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ez_manage.py:4961 top()</t>
        </is>
      </c>
      <c r="IL102" s="9" t="inlineStr">
        <is>
          <t>v12_quick_engine.py:2247 x2</t>
        </is>
      </c>
    </row>
    <row r="103" ht="11" customHeight="1">
      <c r="A103" s="10" t="inlineStr">
        <is>
          <t>MANDATORY_REENTRY_K_HIGH_BLOCK</t>
        </is>
      </c>
      <c r="B103" s="11" t="inlineStr">
        <is>
          <t>2.0</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ez_manage.py:4961 top()</t>
        </is>
      </c>
      <c r="IL103" s="9" t="inlineStr">
        <is>
          <t>v12_quick_engine.py:2247 x2</t>
        </is>
      </c>
    </row>
    <row r="104" ht="11" customHeight="1">
      <c r="A104" s="10" t="inlineStr">
        <is>
          <t>MANDATORY_REENTRY_K_LOW_BLOCK</t>
        </is>
      </c>
      <c r="B104" s="11" t="inlineStr">
        <is>
          <t>0</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ez_manage.py:4962 top()</t>
        </is>
      </c>
      <c r="IL104" s="9" t="inlineStr">
        <is>
          <t>v12_quick_engine.py:2248 x2</t>
        </is>
      </c>
    </row>
    <row r="105" ht="11" customHeight="1">
      <c r="A105" s="10" t="inlineStr">
        <is>
          <t>MANDATORY_REENTRY_K_LOW_BLOCK</t>
        </is>
      </c>
      <c r="B105" s="11" t="inlineStr">
        <is>
          <t>0.5</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ez_manage.py:4962 top()</t>
        </is>
      </c>
      <c r="IL105" s="9" t="inlineStr">
        <is>
          <t>v12_quick_engine.py:2248 x2</t>
        </is>
      </c>
    </row>
    <row r="106" ht="11" customHeight="1">
      <c r="A106" s="10" t="inlineStr">
        <is>
          <t>MANDATORY_REENTRY_K_LOW_BLOCK</t>
        </is>
      </c>
      <c r="B106" s="11" t="inlineStr">
        <is>
          <t>1.0</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ez_manage.py:4962 top()</t>
        </is>
      </c>
      <c r="IL106" s="9" t="inlineStr">
        <is>
          <t>v12_quick_engine.py:2248 x2</t>
        </is>
      </c>
    </row>
    <row r="107" ht="11" customHeight="1">
      <c r="A107" s="10" t="inlineStr">
        <is>
          <t>MANDATORY_REENTRY_K_LOW_BLOCK</t>
        </is>
      </c>
      <c r="B107" s="11" t="inlineStr">
        <is>
          <t>2.0</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ez_manage.py:4962 top()</t>
        </is>
      </c>
      <c r="IL107" s="9" t="inlineStr">
        <is>
          <t>v12_quick_engine.py:2248 x2</t>
        </is>
      </c>
    </row>
    <row r="108" ht="11" customHeight="1">
      <c r="A108" s="10" t="inlineStr">
        <is>
          <t>MANDATORY_REENTRY_REQUIRE_K_NOT_EXTREME</t>
        </is>
      </c>
      <c r="B108" s="11" t="inlineStr">
        <is>
          <t>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ez_manage.py:4964 top()</t>
        </is>
      </c>
      <c r="IL108" s="9" t="inlineStr">
        <is>
          <t>v12_quick_engine.py:2250 x2</t>
        </is>
      </c>
    </row>
    <row r="109" ht="11" customHeight="1">
      <c r="A109" s="10" t="inlineStr">
        <is>
          <t>MANDATORY_REENTRY_REQUIRE_K_NOT_EXTREME</t>
        </is>
      </c>
      <c r="B109" s="11" t="inlineStr">
        <is>
          <t>0.5</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ez_manage.py:4964 top()</t>
        </is>
      </c>
      <c r="IL109" s="9" t="inlineStr">
        <is>
          <t>v12_quick_engine.py:2250 x2</t>
        </is>
      </c>
    </row>
    <row r="110" ht="11" customHeight="1">
      <c r="A110" s="10" t="inlineStr">
        <is>
          <t>MANDATORY_REENTRY_REQUIRE_K_NOT_EXTREME</t>
        </is>
      </c>
      <c r="B110" s="11" t="inlineStr">
        <is>
          <t>1.0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55" t="n"/>
      <c r="FT110" s="55"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ez_manage.py:4964 top()</t>
        </is>
      </c>
      <c r="IL110" s="9" t="inlineStr">
        <is>
          <t>v12_quick_engine.py:2250 x2</t>
        </is>
      </c>
    </row>
    <row r="111" ht="11" customHeight="1">
      <c r="A111" s="10" t="inlineStr">
        <is>
          <t>MANDATORY_REENTRY_REQUIRE_K_NOT_EXTREME</t>
        </is>
      </c>
      <c r="B111" s="11" t="inlineStr">
        <is>
          <t>2.0</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55" t="n"/>
      <c r="FT111" s="55"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ez_manage.py:4964 top()</t>
        </is>
      </c>
      <c r="IL111" s="9" t="inlineStr">
        <is>
          <t>v12_quick_engine.py:2250 x2</t>
        </is>
      </c>
    </row>
    <row r="112" ht="11" customHeight="1">
      <c r="A112" s="6" t="inlineStr">
        <is>
          <t>MU_CORRECTION_REENTRY_ENABLED</t>
        </is>
      </c>
      <c r="B112" s="7" t="inlineStr">
        <is>
          <t>False</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55" t="n"/>
      <c r="FT112" s="55"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ez_manage.py:5077 top()</t>
        </is>
      </c>
      <c r="IL112" s="9" t="inlineStr">
        <is>
          <t>v12_quick_engine.py:2463 x3</t>
        </is>
      </c>
    </row>
    <row r="113" ht="11" customHeight="1">
      <c r="A113" s="10" t="inlineStr">
        <is>
          <t>MU_CORRECTION_REENTRY_ENABLED</t>
        </is>
      </c>
      <c r="B113" s="11" t="inlineStr">
        <is>
          <t>True</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55" t="n"/>
      <c r="FT113" s="55"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ez_manage.py:5077 top()</t>
        </is>
      </c>
      <c r="IL113" s="9" t="inlineStr">
        <is>
          <t>v12_quick_engine.py:2463 x3</t>
        </is>
      </c>
    </row>
    <row r="114" ht="11" customHeight="1">
      <c r="A114" s="10" t="inlineStr">
        <is>
          <t>OBLIGATORY_REENTRY_DEFAULT_SIZE_MULT</t>
        </is>
      </c>
      <c r="B114" s="11" t="inlineStr">
        <is>
          <t>0</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55" t="n"/>
      <c r="FT114" s="55"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55" t="n"/>
      <c r="HJ114" s="55" t="n"/>
      <c r="HK114" s="55" t="n"/>
      <c r="HL114" s="55" t="n"/>
      <c r="HM114" s="55"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ez_manage.py:5108 top()</t>
        </is>
      </c>
      <c r="IL114" s="9" t="inlineStr">
        <is>
          <t>v12_quick_engine.py:2499 x2</t>
        </is>
      </c>
    </row>
    <row r="115" ht="11" customHeight="1">
      <c r="A115" s="10" t="inlineStr">
        <is>
          <t>OBLIGATORY_REENTRY_DEFAULT_SIZE_MULT</t>
        </is>
      </c>
      <c r="B115" s="11" t="inlineStr">
        <is>
          <t>0.5</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55" t="n"/>
      <c r="FT115" s="55"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55" t="n"/>
      <c r="HJ115" s="55" t="n"/>
      <c r="HK115" s="55" t="n"/>
      <c r="HL115" s="55" t="n"/>
      <c r="HM115" s="55"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ez_manage.py:5108 top()</t>
        </is>
      </c>
      <c r="IL115" s="9" t="inlineStr">
        <is>
          <t>v12_quick_engine.py:2499 x2</t>
        </is>
      </c>
    </row>
    <row r="116" ht="11" customHeight="1">
      <c r="A116" s="10" t="inlineStr">
        <is>
          <t>OBLIGATORY_REENTRY_DEFAULT_SIZE_MULT</t>
        </is>
      </c>
      <c r="B116" s="11" t="inlineStr">
        <is>
          <t>1.0</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55" t="n"/>
      <c r="FT116" s="55"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55" t="n"/>
      <c r="HJ116" s="55" t="n"/>
      <c r="HK116" s="55" t="n"/>
      <c r="HL116" s="55" t="n"/>
      <c r="HM116" s="55"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ez_manage.py:5108 top()</t>
        </is>
      </c>
      <c r="IL116" s="9" t="inlineStr">
        <is>
          <t>v12_quick_engine.py:2499 x2</t>
        </is>
      </c>
    </row>
    <row r="117" ht="11" customHeight="1">
      <c r="A117" s="10" t="inlineStr">
        <is>
          <t>OBLIGATORY_REENTRY_DEFAULT_SIZE_MULT</t>
        </is>
      </c>
      <c r="B117" s="11" t="inlineStr">
        <is>
          <t>2.0</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55" t="n"/>
      <c r="FT117" s="55"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55" t="n"/>
      <c r="HJ117" s="55" t="n"/>
      <c r="HK117" s="55" t="n"/>
      <c r="HL117" s="55" t="n"/>
      <c r="HM117" s="55"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ez_manage.py:5108 top()</t>
        </is>
      </c>
      <c r="IL117" s="9" t="inlineStr">
        <is>
          <t>v12_quick_engine.py:2499 x2</t>
        </is>
      </c>
    </row>
    <row r="118" ht="11" customHeight="1">
      <c r="A118" s="6" t="inlineStr">
        <is>
          <t>OBLIGATORY_REENTRY_ENABLED</t>
        </is>
      </c>
      <c r="B118" s="7" t="inlineStr">
        <is>
          <t>False</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55" t="n"/>
      <c r="FT118" s="55"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ez_manage.py:5109 top()</t>
        </is>
      </c>
      <c r="IL118" s="9" t="inlineStr">
        <is>
          <t>v12_quick_engine.py:2500 x2</t>
        </is>
      </c>
    </row>
    <row r="119" ht="11" customHeight="1">
      <c r="A119" s="10" t="inlineStr">
        <is>
          <t>OBLIGATORY_REENTRY_ENABLED</t>
        </is>
      </c>
      <c r="B119" s="11" t="inlineStr">
        <is>
          <t>True</t>
        </is>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55" t="n"/>
      <c r="FT119" s="55"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ez_manage.py:5109 top()</t>
        </is>
      </c>
      <c r="IL119" s="9" t="inlineStr">
        <is>
          <t>v12_quick_engine.py:2500 x2</t>
        </is>
      </c>
    </row>
    <row r="120" ht="11" customHeight="1">
      <c r="A120" s="10" t="inlineStr">
        <is>
          <t>OBLIGATORY_REENTRY_K15_HIGH_BLOCK</t>
        </is>
      </c>
      <c r="B120" s="11" t="inlineStr">
        <is>
          <t>0</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55" t="n"/>
      <c r="FT120" s="55"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ez_manage.py:5110 top()</t>
        </is>
      </c>
      <c r="IL120" s="9" t="inlineStr">
        <is>
          <t>v12_quick_engine.py:2501 x4</t>
        </is>
      </c>
    </row>
    <row r="121" ht="11" customHeight="1">
      <c r="A121" s="10" t="inlineStr">
        <is>
          <t>OBLIGATORY_REENTRY_K15_HIGH_BLOCK</t>
        </is>
      </c>
      <c r="B121" s="11" t="inlineStr">
        <is>
          <t>0.5</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55" t="n"/>
      <c r="FT121" s="55"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ez_manage.py:5110 top()</t>
        </is>
      </c>
      <c r="IL121" s="9" t="inlineStr">
        <is>
          <t>v12_quick_engine.py:2501 x4</t>
        </is>
      </c>
    </row>
    <row r="122" ht="11" customHeight="1">
      <c r="A122" s="10" t="inlineStr">
        <is>
          <t>OBLIGATORY_REENTRY_K15_HIGH_BLOCK</t>
        </is>
      </c>
      <c r="B122" s="11" t="inlineStr">
        <is>
          <t>1.0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55" t="n"/>
      <c r="FT122" s="55"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ez_manage.py:5110 top()</t>
        </is>
      </c>
      <c r="IL122" s="9" t="inlineStr">
        <is>
          <t>v12_quick_engine.py:2501 x4</t>
        </is>
      </c>
    </row>
    <row r="123" ht="11" customHeight="1">
      <c r="A123" s="10" t="inlineStr">
        <is>
          <t>OBLIGATORY_REENTRY_K15_HIGH_BLOCK</t>
        </is>
      </c>
      <c r="B123" s="11" t="inlineStr">
        <is>
          <t>2.0</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55" t="n"/>
      <c r="FT123" s="55"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ez_manage.py:5110 top()</t>
        </is>
      </c>
      <c r="IL123" s="9" t="inlineStr">
        <is>
          <t>v12_quick_engine.py:2501 x4</t>
        </is>
      </c>
    </row>
    <row r="124" ht="11" customHeight="1">
      <c r="A124" s="10" t="inlineStr">
        <is>
          <t>OBLIGATORY_REENTRY_K15_HIGH_SIZE_FRAC</t>
        </is>
      </c>
      <c r="B124" s="11" t="inlineStr">
        <is>
          <t>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55" t="n"/>
      <c r="FT124" s="55"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55" t="n"/>
      <c r="HJ124" s="55" t="n"/>
      <c r="HK124" s="55" t="n"/>
      <c r="HL124" s="55" t="n"/>
      <c r="HM124" s="55"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ez_manage.py:5111 top()</t>
        </is>
      </c>
      <c r="IL124" s="9" t="inlineStr">
        <is>
          <t>v12_quick_engine.py:2502 x4</t>
        </is>
      </c>
    </row>
    <row r="125" ht="11" customHeight="1">
      <c r="A125" s="10" t="inlineStr">
        <is>
          <t>OBLIGATORY_REENTRY_K15_HIGH_SIZE_FRAC</t>
        </is>
      </c>
      <c r="B125" s="11" t="inlineStr">
        <is>
          <t>0.5</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55" t="n"/>
      <c r="FT125" s="55"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55" t="n"/>
      <c r="HJ125" s="55" t="n"/>
      <c r="HK125" s="55" t="n"/>
      <c r="HL125" s="55" t="n"/>
      <c r="HM125" s="55"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ez_manage.py:5111 top()</t>
        </is>
      </c>
      <c r="IL125" s="9" t="inlineStr">
        <is>
          <t>v12_quick_engine.py:2502 x4</t>
        </is>
      </c>
    </row>
    <row r="126" ht="11" customHeight="1">
      <c r="A126" s="10" t="inlineStr">
        <is>
          <t>OBLIGATORY_REENTRY_K15_HIGH_SIZE_FRAC</t>
        </is>
      </c>
      <c r="B126" s="11" t="inlineStr">
        <is>
          <t>1.0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55" t="n"/>
      <c r="FT126" s="55"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55" t="n"/>
      <c r="HJ126" s="55" t="n"/>
      <c r="HK126" s="55" t="n"/>
      <c r="HL126" s="55" t="n"/>
      <c r="HM126" s="55"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ez_manage.py:5111 top()</t>
        </is>
      </c>
      <c r="IL126" s="9" t="inlineStr">
        <is>
          <t>v12_quick_engine.py:2502 x4</t>
        </is>
      </c>
    </row>
    <row r="127" ht="11" customHeight="1">
      <c r="A127" s="10" t="inlineStr">
        <is>
          <t>OBLIGATORY_REENTRY_K15_HIGH_SIZE_FRAC</t>
        </is>
      </c>
      <c r="B127" s="11" t="inlineStr">
        <is>
          <t>2.0</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55" t="n"/>
      <c r="FT127" s="55"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55" t="n"/>
      <c r="HJ127" s="55" t="n"/>
      <c r="HK127" s="55" t="n"/>
      <c r="HL127" s="55" t="n"/>
      <c r="HM127" s="55"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ez_manage.py:5111 top()</t>
        </is>
      </c>
      <c r="IL127" s="9" t="inlineStr">
        <is>
          <t>v12_quick_engine.py:2502 x4</t>
        </is>
      </c>
    </row>
    <row r="128" ht="11" customHeight="1">
      <c r="A128" s="10" t="inlineStr">
        <is>
          <t>OBLIGATORY_REENTRY_SCORE_TIER1</t>
        </is>
      </c>
      <c r="B128" s="11" t="inlineStr">
        <is>
          <t>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55" t="n"/>
      <c r="FT128" s="55"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ez_manage.py:5113 top()</t>
        </is>
      </c>
      <c r="IL128" s="9" t="inlineStr">
        <is>
          <t>v12_quick_engine.py:2504 x4</t>
        </is>
      </c>
    </row>
    <row r="129" ht="11" customHeight="1">
      <c r="A129" s="10" t="inlineStr">
        <is>
          <t>OBLIGATORY_REENTRY_SCORE_TIER1</t>
        </is>
      </c>
      <c r="B129" s="11" t="inlineStr">
        <is>
          <t>0.5</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55" t="n"/>
      <c r="FT129" s="55"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ez_manage.py:5113 top()</t>
        </is>
      </c>
      <c r="IL129" s="9" t="inlineStr">
        <is>
          <t>v12_quick_engine.py:2504 x4</t>
        </is>
      </c>
    </row>
    <row r="130" ht="11" customHeight="1">
      <c r="A130" s="10" t="inlineStr">
        <is>
          <t>OBLIGATORY_REENTRY_SCORE_TIER1</t>
        </is>
      </c>
      <c r="B130" s="11" t="inlineStr">
        <is>
          <t>1.0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55" t="n"/>
      <c r="FT130" s="55"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ez_manage.py:5113 top()</t>
        </is>
      </c>
      <c r="IL130" s="9" t="inlineStr">
        <is>
          <t>v12_quick_engine.py:2504 x4</t>
        </is>
      </c>
    </row>
    <row r="131" ht="11" customHeight="1">
      <c r="A131" s="10" t="inlineStr">
        <is>
          <t>OBLIGATORY_REENTRY_SCORE_TIER1</t>
        </is>
      </c>
      <c r="B131" s="11" t="inlineStr">
        <is>
          <t>2.0</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55" t="n"/>
      <c r="FT131" s="55"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ez_manage.py:5113 top()</t>
        </is>
      </c>
      <c r="IL131" s="9" t="inlineStr">
        <is>
          <t>v12_quick_engine.py:2504 x4</t>
        </is>
      </c>
    </row>
    <row r="132" ht="11" customHeight="1">
      <c r="A132" s="10" t="inlineStr">
        <is>
          <t>OBLIGATORY_REENTRY_SCORE_TIER2</t>
        </is>
      </c>
      <c r="B132" s="11" t="inlineStr">
        <is>
          <t>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55" t="n"/>
      <c r="FT132" s="55"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ez_manage.py:5114 top()</t>
        </is>
      </c>
      <c r="IL132" s="9" t="inlineStr">
        <is>
          <t>v12_quick_engine.py:2505 x4</t>
        </is>
      </c>
    </row>
    <row r="133" ht="11" customHeight="1">
      <c r="A133" s="10" t="inlineStr">
        <is>
          <t>OBLIGATORY_REENTRY_SCORE_TIER2</t>
        </is>
      </c>
      <c r="B133" s="11" t="inlineStr">
        <is>
          <t>0.5</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55" t="n"/>
      <c r="FT133" s="55"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ez_manage.py:5114 top()</t>
        </is>
      </c>
      <c r="IL133" s="9" t="inlineStr">
        <is>
          <t>v12_quick_engine.py:2505 x4</t>
        </is>
      </c>
    </row>
    <row r="134" ht="11" customHeight="1">
      <c r="A134" s="10" t="inlineStr">
        <is>
          <t>OBLIGATORY_REENTRY_SCORE_TIER2</t>
        </is>
      </c>
      <c r="B134" s="11" t="inlineStr">
        <is>
          <t>1.0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55" t="n"/>
      <c r="FT134" s="55"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ez_manage.py:5114 top()</t>
        </is>
      </c>
      <c r="IL134" s="9" t="inlineStr">
        <is>
          <t>v12_quick_engine.py:2505 x4</t>
        </is>
      </c>
    </row>
    <row r="135" ht="11" customHeight="1">
      <c r="A135" s="10" t="inlineStr">
        <is>
          <t>OBLIGATORY_REENTRY_SCORE_TIER2</t>
        </is>
      </c>
      <c r="B135" s="11" t="inlineStr">
        <is>
          <t>2.0</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55" t="n"/>
      <c r="FT135" s="55"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ez_manage.py:5114 top()</t>
        </is>
      </c>
      <c r="IL135" s="9" t="inlineStr">
        <is>
          <t>v12_quick_engine.py:2505 x4</t>
        </is>
      </c>
    </row>
    <row r="136" ht="11" customHeight="1">
      <c r="A136" s="10" t="inlineStr">
        <is>
          <t>OBLIGATORY_REENTRY_SCORE_TIER3</t>
        </is>
      </c>
      <c r="B136" s="11" t="inlineStr">
        <is>
          <t>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55" t="n"/>
      <c r="FT136" s="55"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ez_manage.py:5115 top()</t>
        </is>
      </c>
      <c r="IL136" s="9" t="inlineStr">
        <is>
          <t>v12_quick_engine.py:2506 x4</t>
        </is>
      </c>
    </row>
    <row r="137" ht="11" customHeight="1">
      <c r="A137" s="10" t="inlineStr">
        <is>
          <t>OBLIGATORY_REENTRY_SCORE_TIER3</t>
        </is>
      </c>
      <c r="B137" s="11" t="inlineStr">
        <is>
          <t>0.5</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55" t="n"/>
      <c r="FT137" s="55"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ez_manage.py:5115 top()</t>
        </is>
      </c>
      <c r="IL137" s="9" t="inlineStr">
        <is>
          <t>v12_quick_engine.py:2506 x4</t>
        </is>
      </c>
    </row>
    <row r="138" ht="11" customHeight="1">
      <c r="A138" s="10" t="inlineStr">
        <is>
          <t>OBLIGATORY_REENTRY_SCORE_TIER3</t>
        </is>
      </c>
      <c r="B138" s="11" t="inlineStr">
        <is>
          <t>1.0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55" t="n"/>
      <c r="FT138" s="55"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ez_manage.py:5115 top()</t>
        </is>
      </c>
      <c r="IL138" s="9" t="inlineStr">
        <is>
          <t>v12_quick_engine.py:2506 x4</t>
        </is>
      </c>
    </row>
    <row r="139" ht="11" customHeight="1">
      <c r="A139" s="10" t="inlineStr">
        <is>
          <t>OBLIGATORY_REENTRY_SCORE_TIER3</t>
        </is>
      </c>
      <c r="B139" s="11" t="inlineStr">
        <is>
          <t>2.0</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55" t="n"/>
      <c r="FT139" s="55"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ez_manage.py:5115 top()</t>
        </is>
      </c>
      <c r="IL139" s="9" t="inlineStr">
        <is>
          <t>v12_quick_engine.py:2506 x4</t>
        </is>
      </c>
    </row>
    <row r="140" ht="11" customHeight="1">
      <c r="A140" s="10" t="inlineStr">
        <is>
          <t>OBLIGATORY_REENTRY_SHORT_K15_LOW_BLOCK</t>
        </is>
      </c>
      <c r="B140" s="11" t="inlineStr">
        <is>
          <t>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55" t="n"/>
      <c r="FT140" s="55"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ez_manage.py:5117 top()</t>
        </is>
      </c>
      <c r="IL140" s="9" t="inlineStr">
        <is>
          <t>v12_quick_engine.py:2508 x4</t>
        </is>
      </c>
    </row>
    <row r="141" ht="11" customHeight="1">
      <c r="A141" s="10" t="inlineStr">
        <is>
          <t>OBLIGATORY_REENTRY_SHORT_K15_LOW_BLOCK</t>
        </is>
      </c>
      <c r="B141" s="11" t="inlineStr">
        <is>
          <t>0.5</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55" t="n"/>
      <c r="FT141" s="55"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ez_manage.py:5117 top()</t>
        </is>
      </c>
      <c r="IL141" s="9" t="inlineStr">
        <is>
          <t>v12_quick_engine.py:2508 x4</t>
        </is>
      </c>
    </row>
    <row r="142" ht="11" customHeight="1">
      <c r="A142" s="10" t="inlineStr">
        <is>
          <t>OBLIGATORY_REENTRY_SHORT_K15_LOW_BLOCK</t>
        </is>
      </c>
      <c r="B142" s="11" t="inlineStr">
        <is>
          <t>1.0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55" t="n"/>
      <c r="FT142" s="55"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ez_manage.py:5117 top()</t>
        </is>
      </c>
      <c r="IL142" s="9" t="inlineStr">
        <is>
          <t>v12_quick_engine.py:2508 x4</t>
        </is>
      </c>
    </row>
    <row r="143" ht="11" customHeight="1">
      <c r="A143" s="10" t="inlineStr">
        <is>
          <t>OBLIGATORY_REENTRY_SHORT_K15_LOW_BLOCK</t>
        </is>
      </c>
      <c r="B143" s="11" t="inlineStr">
        <is>
          <t>2.0</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55" t="n"/>
      <c r="FT143" s="55"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ez_manage.py:5117 top()</t>
        </is>
      </c>
      <c r="IL143" s="9" t="inlineStr">
        <is>
          <t>v12_quick_engine.py:2508 x4</t>
        </is>
      </c>
    </row>
    <row r="144" ht="11" customHeight="1">
      <c r="A144" s="10" t="inlineStr">
        <is>
          <t>OBLIGATORY_REENTRY_SHORT_K15_LOW_SIZE_FRAC</t>
        </is>
      </c>
      <c r="B144" s="11" t="inlineStr">
        <is>
          <t>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55" t="n"/>
      <c r="FT144" s="55"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55" t="n"/>
      <c r="HJ144" s="55" t="n"/>
      <c r="HK144" s="55" t="n"/>
      <c r="HL144" s="55" t="n"/>
      <c r="HM144" s="55"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ez_manage.py:5118 top()</t>
        </is>
      </c>
      <c r="IL144" s="9" t="inlineStr">
        <is>
          <t>v12_quick_engine.py:2509 x4</t>
        </is>
      </c>
    </row>
    <row r="145" ht="11" customHeight="1">
      <c r="A145" s="10" t="inlineStr">
        <is>
          <t>OBLIGATORY_REENTRY_SHORT_K15_LOW_SIZE_FRAC</t>
        </is>
      </c>
      <c r="B145" s="11" t="inlineStr">
        <is>
          <t>0.5</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55" t="n"/>
      <c r="FT145" s="55"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55" t="n"/>
      <c r="HJ145" s="55" t="n"/>
      <c r="HK145" s="55" t="n"/>
      <c r="HL145" s="55" t="n"/>
      <c r="HM145" s="55"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ez_manage.py:5118 top()</t>
        </is>
      </c>
      <c r="IL145" s="9" t="inlineStr">
        <is>
          <t>v12_quick_engine.py:2509 x4</t>
        </is>
      </c>
    </row>
    <row r="146" ht="11" customHeight="1">
      <c r="A146" s="10" t="inlineStr">
        <is>
          <t>OBLIGATORY_REENTRY_SHORT_K15_LOW_SIZE_FRAC</t>
        </is>
      </c>
      <c r="B146" s="11" t="inlineStr">
        <is>
          <t>1.0</t>
        </is>
      </c>
      <c r="E146">
        <f>IF(G146="",E145,IF(G146&gt;0,E145+G146,E145))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55" t="n"/>
      <c r="FT146" s="55"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55" t="n"/>
      <c r="HJ146" s="55" t="n"/>
      <c r="HK146" s="55" t="n"/>
      <c r="HL146" s="55" t="n"/>
      <c r="HM146" s="55"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ez_manage.py:5118 top()</t>
        </is>
      </c>
      <c r="IL146" s="9" t="inlineStr">
        <is>
          <t>v12_quick_engine.py:2509 x4</t>
        </is>
      </c>
    </row>
    <row r="147" ht="11" customHeight="1">
      <c r="A147" s="10" t="inlineStr">
        <is>
          <t>OBLIGATORY_REENTRY_SHORT_K15_LOW_SIZE_FRAC</t>
        </is>
      </c>
      <c r="B147" s="11" t="inlineStr">
        <is>
          <t>2.0</t>
        </is>
      </c>
      <c r="E147">
        <f>IF(G147="",E146,IF(G147&gt;0,E146+G147,E146))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55" t="n"/>
      <c r="FT147" s="55"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55" t="n"/>
      <c r="HJ147" s="55" t="n"/>
      <c r="HK147" s="55" t="n"/>
      <c r="HL147" s="55" t="n"/>
      <c r="HM147" s="55"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ez_manage.py:5118 top()</t>
        </is>
      </c>
      <c r="IL147" s="9" t="inlineStr">
        <is>
          <t>v12_quick_engine.py:2509 x4</t>
        </is>
      </c>
    </row>
    <row r="148" ht="11" customHeight="1">
      <c r="A148" s="10" t="inlineStr">
        <is>
          <t>OBLIGATORY_REENTRY_SMA_FIELD</t>
        </is>
      </c>
      <c r="B148" s="11" t="inlineStr">
        <is>
          <t>0</t>
        </is>
      </c>
      <c r="E148">
        <f>IF(G148="",E147,IF(G148&gt;0,E147+G148,E147))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55" t="n"/>
      <c r="FT148" s="55"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ez_manage.py:5121 top()</t>
        </is>
      </c>
      <c r="IL148" s="9" t="inlineStr">
        <is>
          <t>v12_quick_engine.py:2512 x2</t>
        </is>
      </c>
    </row>
    <row r="149" ht="11" customHeight="1">
      <c r="A149" s="10" t="inlineStr">
        <is>
          <t>OBLIGATORY_REENTRY_SMA_FIELD</t>
        </is>
      </c>
      <c r="B149" s="11" t="inlineStr">
        <is>
          <t>0.5</t>
        </is>
      </c>
      <c r="E149">
        <f>IF(G149="",E148,IF(G149&gt;0,E148+G149,E148))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55" t="n"/>
      <c r="FT149" s="55"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ez_manage.py:5121 top()</t>
        </is>
      </c>
      <c r="IL149" s="9" t="inlineStr">
        <is>
          <t>v12_quick_engine.py:2512 x2</t>
        </is>
      </c>
    </row>
    <row r="150" ht="11" customHeight="1">
      <c r="A150" s="10" t="inlineStr">
        <is>
          <t>OBLIGATORY_REENTRY_SMA_FIELD</t>
        </is>
      </c>
      <c r="B150" s="11" t="inlineStr">
        <is>
          <t>1.0</t>
        </is>
      </c>
      <c r="E150">
        <f>IF(G150="",E149,IF(G150&gt;0,E149+G150,E149))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55" t="n"/>
      <c r="FT150" s="55"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ez_manage.py:5121 top()</t>
        </is>
      </c>
      <c r="IL150" s="9" t="inlineStr">
        <is>
          <t>v12_quick_engine.py:2512 x2</t>
        </is>
      </c>
    </row>
    <row r="151" ht="11" customHeight="1">
      <c r="A151" s="10" t="inlineStr">
        <is>
          <t>OBLIGATORY_REENTRY_SMA_FIELD</t>
        </is>
      </c>
      <c r="B151" s="11" t="inlineStr">
        <is>
          <t>2.0</t>
        </is>
      </c>
      <c r="E151">
        <f>IF(G151="",E150,IF(G151&gt;0,E150+G151,E150))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55" t="n"/>
      <c r="FT151" s="55"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ez_manage.py:5121 top()</t>
        </is>
      </c>
      <c r="IL151" s="9" t="inlineStr">
        <is>
          <t>v12_quick_engine.py:2512 x2</t>
        </is>
      </c>
    </row>
    <row r="152" ht="11" customHeight="1">
      <c r="A152" s="10" t="inlineStr">
        <is>
          <t>OBLIGATORY_REENTRY_SMA_TF</t>
        </is>
      </c>
      <c r="B152" s="11" t="inlineStr">
        <is>
          <t>OFF</t>
        </is>
      </c>
      <c r="E152">
        <f>IF(G152="",E151,IF(G152&gt;0,E151+G152,E151))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55" t="n"/>
      <c r="FT152" s="55"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ez_manage.py:5122 top()</t>
        </is>
      </c>
      <c r="IL152" s="9" t="inlineStr">
        <is>
          <t>v12_quick_engine.py:2513 x2</t>
        </is>
      </c>
    </row>
    <row r="153" ht="11" customHeight="1">
      <c r="A153" s="10" t="inlineStr">
        <is>
          <t>OBLIGATORY_REENTRY_SMA_TF</t>
        </is>
      </c>
      <c r="B153" s="11" t="inlineStr">
        <is>
          <t>D</t>
        </is>
      </c>
      <c r="E153">
        <f>IF(G153="",E152,IF(G153&gt;0,E152+G153,E152))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55" t="n"/>
      <c r="FT153" s="55"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ez_manage.py:5122 top()</t>
        </is>
      </c>
      <c r="IL153" s="9" t="inlineStr">
        <is>
          <t>v12_quick_engine.py:2513 x2</t>
        </is>
      </c>
    </row>
    <row r="154" ht="11" customHeight="1">
      <c r="A154" s="10" t="inlineStr">
        <is>
          <t>OBLIGATORY_REENTRY_SMA_TF</t>
        </is>
      </c>
      <c r="B154" s="11" t="inlineStr">
        <is>
          <t>4h</t>
        </is>
      </c>
      <c r="E154">
        <f>IF(G154="",E153,IF(G154&gt;0,E153+G154,E153))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55" t="n"/>
      <c r="FT154" s="55"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ez_manage.py:5122 top()</t>
        </is>
      </c>
      <c r="IL154" s="9" t="inlineStr">
        <is>
          <t>v12_quick_engine.py:2513 x2</t>
        </is>
      </c>
    </row>
    <row r="155" ht="11" customHeight="1">
      <c r="A155" s="10" t="inlineStr">
        <is>
          <t>OBLIGATORY_REENTRY_SMA_TF</t>
        </is>
      </c>
      <c r="B155" s="11" t="inlineStr">
        <is>
          <t>1h</t>
        </is>
      </c>
      <c r="E155">
        <f>IF(G155="",E154,IF(G155&gt;0,E154+G155,E154))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55" t="n"/>
      <c r="FT155" s="55"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ez_manage.py:5122 top()</t>
        </is>
      </c>
      <c r="IL155" s="9" t="inlineStr">
        <is>
          <t>v12_quick_engine.py:2513 x2</t>
        </is>
      </c>
    </row>
    <row r="156" ht="11" customHeight="1">
      <c r="A156" s="6" t="inlineStr">
        <is>
          <t>OBLIGATORY_REENTRY_SMA_TF</t>
        </is>
      </c>
      <c r="B156" s="7" t="inlineStr">
        <is>
          <t>15m</t>
        </is>
      </c>
      <c r="E156">
        <f>IF(G156="",E155,IF(G156&gt;0,E155+G156,E155))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55" t="n"/>
      <c r="FT156" s="55"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ez_manage.py:5122 top()</t>
        </is>
      </c>
      <c r="IL156" s="9" t="inlineStr">
        <is>
          <t>v12_quick_engine.py:2513 x2</t>
        </is>
      </c>
    </row>
    <row r="157" ht="11" customHeight="1">
      <c r="A157" s="10" t="inlineStr">
        <is>
          <t>OBLIGATORY_REENTRY_TIER1_HTF_REQUIRED</t>
        </is>
      </c>
      <c r="B157" s="11" t="inlineStr">
        <is>
          <t>0</t>
        </is>
      </c>
      <c r="E157">
        <f>IF(G157="",E156,IF(G157&gt;0,E156+G157,E156))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55" t="n"/>
      <c r="EN157" s="55" t="n"/>
      <c r="EO157" s="55" t="n"/>
      <c r="EP157" s="55" t="n"/>
      <c r="EQ157" s="55"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55" t="n"/>
      <c r="FT157" s="55"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ez_manage.py:5123 top()</t>
        </is>
      </c>
      <c r="IL157" s="9" t="inlineStr">
        <is>
          <t>v12_quick_engine.py:2514 x4</t>
        </is>
      </c>
    </row>
    <row r="158" ht="11" customHeight="1">
      <c r="A158" s="10" t="inlineStr">
        <is>
          <t>OBLIGATORY_REENTRY_TIER1_HTF_REQUIRED</t>
        </is>
      </c>
      <c r="B158" s="11" t="inlineStr">
        <is>
          <t>0.5</t>
        </is>
      </c>
      <c r="E158">
        <f>IF(G158="",E157,IF(G158&gt;0,E157+G158,E157))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55" t="n"/>
      <c r="EN158" s="55" t="n"/>
      <c r="EO158" s="55" t="n"/>
      <c r="EP158" s="55" t="n"/>
      <c r="EQ158" s="55"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55" t="n"/>
      <c r="FT158" s="55"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ez_manage.py:5123 top()</t>
        </is>
      </c>
      <c r="IL158" s="9" t="inlineStr">
        <is>
          <t>v12_quick_engine.py:2514 x4</t>
        </is>
      </c>
    </row>
    <row r="159" ht="11" customHeight="1">
      <c r="A159" s="10" t="inlineStr">
        <is>
          <t>OBLIGATORY_REENTRY_TIER1_HTF_REQUIRED</t>
        </is>
      </c>
      <c r="B159" s="11" t="inlineStr">
        <is>
          <t>1.0</t>
        </is>
      </c>
      <c r="E159">
        <f>IF(G159="",E158,IF(G159&gt;0,E158+G159,E158))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55" t="n"/>
      <c r="EN159" s="55" t="n"/>
      <c r="EO159" s="55" t="n"/>
      <c r="EP159" s="55" t="n"/>
      <c r="EQ159" s="55"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55" t="n"/>
      <c r="FT159" s="55"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ez_manage.py:5123 top()</t>
        </is>
      </c>
      <c r="IL159" s="9" t="inlineStr">
        <is>
          <t>v12_quick_engine.py:2514 x4</t>
        </is>
      </c>
    </row>
    <row r="160" ht="11" customHeight="1">
      <c r="A160" s="10" t="inlineStr">
        <is>
          <t>OBLIGATORY_REENTRY_TIER1_HTF_REQUIRED</t>
        </is>
      </c>
      <c r="B160" s="11" t="inlineStr">
        <is>
          <t>2.0</t>
        </is>
      </c>
      <c r="E160">
        <f>IF(G160="",E159,IF(G160&gt;0,E159+G160,E159))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55" t="n"/>
      <c r="EN160" s="55" t="n"/>
      <c r="EO160" s="55" t="n"/>
      <c r="EP160" s="55" t="n"/>
      <c r="EQ160" s="55"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55" t="n"/>
      <c r="FT160" s="55"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ez_manage.py:5123 top()</t>
        </is>
      </c>
      <c r="IL160" s="9" t="inlineStr">
        <is>
          <t>v12_quick_engine.py:2514 x4</t>
        </is>
      </c>
    </row>
    <row r="161" ht="11" customHeight="1">
      <c r="A161" s="10" t="inlineStr">
        <is>
          <t>OBLIGATORY_REENTRY_TIER2_HTF_REQUIRED</t>
        </is>
      </c>
      <c r="B161" s="11" t="inlineStr">
        <is>
          <t>0</t>
        </is>
      </c>
      <c r="E161">
        <f>IF(G161="",E160,IF(G161&gt;0,E160+G161,E160))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55" t="n"/>
      <c r="EN161" s="55" t="n"/>
      <c r="EO161" s="55" t="n"/>
      <c r="EP161" s="55" t="n"/>
      <c r="EQ161" s="55"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55" t="n"/>
      <c r="FT161" s="55"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ez_manage.py:5124 top()</t>
        </is>
      </c>
      <c r="IL161" s="9" t="inlineStr">
        <is>
          <t>v12_quick_engine.py:2515 x4</t>
        </is>
      </c>
    </row>
    <row r="162" ht="11" customHeight="1">
      <c r="A162" s="10" t="inlineStr">
        <is>
          <t>OBLIGATORY_REENTRY_TIER2_HTF_REQUIRED</t>
        </is>
      </c>
      <c r="B162" s="11" t="inlineStr">
        <is>
          <t>0.5</t>
        </is>
      </c>
      <c r="E162">
        <f>IF(G162="",E161,IF(G162&gt;0,E161+G162,E161))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55" t="n"/>
      <c r="EN162" s="55" t="n"/>
      <c r="EO162" s="55" t="n"/>
      <c r="EP162" s="55" t="n"/>
      <c r="EQ162" s="55"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8" t="n"/>
      <c r="FS162" s="55" t="n"/>
      <c r="FT162" s="55"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ez_manage.py:5124 top()</t>
        </is>
      </c>
      <c r="IL162" s="9" t="inlineStr">
        <is>
          <t>v12_quick_engine.py:2515 x4</t>
        </is>
      </c>
    </row>
    <row r="163" ht="11" customHeight="1">
      <c r="A163" s="10" t="inlineStr">
        <is>
          <t>OBLIGATORY_REENTRY_TIER2_HTF_REQUIRED</t>
        </is>
      </c>
      <c r="B163" s="11" t="inlineStr">
        <is>
          <t>1.0</t>
        </is>
      </c>
      <c r="E163">
        <f>IF(G163="",E162,IF(G163&gt;0,E162+G163,E162))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55" t="n"/>
      <c r="EN163" s="55" t="n"/>
      <c r="EO163" s="55" t="n"/>
      <c r="EP163" s="55" t="n"/>
      <c r="EQ163" s="55"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8" t="n"/>
      <c r="FS163" s="55" t="n"/>
      <c r="FT163" s="55"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ez_manage.py:5124 top()</t>
        </is>
      </c>
      <c r="IL163" s="9" t="inlineStr">
        <is>
          <t>v12_quick_engine.py:2515 x4</t>
        </is>
      </c>
    </row>
    <row r="164" ht="11" customHeight="1">
      <c r="A164" s="10" t="inlineStr">
        <is>
          <t>OBLIGATORY_REENTRY_TIER2_HTF_REQUIRED</t>
        </is>
      </c>
      <c r="B164" s="11" t="inlineStr">
        <is>
          <t>2.0</t>
        </is>
      </c>
      <c r="E164">
        <f>IF(G164="",E163,IF(G164&gt;0,E163+G164,E163))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55" t="n"/>
      <c r="EN164" s="55" t="n"/>
      <c r="EO164" s="55" t="n"/>
      <c r="EP164" s="55" t="n"/>
      <c r="EQ164" s="55"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8" t="n"/>
      <c r="FS164" s="55" t="n"/>
      <c r="FT164" s="55"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I164" s="8" t="n"/>
      <c r="IK164" s="9" t="inlineStr">
        <is>
          <t>ez_manage.py:5124 top()</t>
        </is>
      </c>
      <c r="IL164" s="9" t="inlineStr">
        <is>
          <t>v12_quick_engine.py:2515 x4</t>
        </is>
      </c>
    </row>
    <row r="165" ht="11" customHeight="1">
      <c r="A165" s="10" t="inlineStr">
        <is>
          <t>REENTRY2_DC_BREAK_ALLOW_15M</t>
        </is>
      </c>
      <c r="B165" s="11" t="inlineStr">
        <is>
          <t>0</t>
        </is>
      </c>
      <c r="E165">
        <f>IF(G165="",E164,IF(G165&gt;0,E164+G165,E164))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I165" s="8" t="n"/>
      <c r="IK165" s="9" t="inlineStr">
        <is>
          <t>ez_manage.py:5278 top()</t>
        </is>
      </c>
      <c r="IL165" s="9" t="inlineStr">
        <is>
          <t>v12_quick_engine.py:2835 x5</t>
        </is>
      </c>
    </row>
    <row r="166" ht="11" customHeight="1">
      <c r="A166" s="10" t="inlineStr">
        <is>
          <t>REENTRY2_DC_BREAK_ALLOW_15M</t>
        </is>
      </c>
      <c r="B166" s="11" t="inlineStr">
        <is>
          <t>0.5</t>
        </is>
      </c>
      <c r="E166">
        <f>IF(G166="",E165,IF(G166&gt;0,E165+G166,E165))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ez_manage.py:5278 top()</t>
        </is>
      </c>
      <c r="IL166" s="9" t="inlineStr">
        <is>
          <t>v12_quick_engine.py:2835 x5</t>
        </is>
      </c>
    </row>
    <row r="167" ht="11" customHeight="1">
      <c r="A167" s="10" t="inlineStr">
        <is>
          <t>REENTRY2_DC_BREAK_ALLOW_15M</t>
        </is>
      </c>
      <c r="B167" s="11" t="inlineStr">
        <is>
          <t>1.0</t>
        </is>
      </c>
      <c r="E167">
        <f>IF(G167="",E166,IF(G167&gt;0,E166+G167,E166))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ez_manage.py:5278 top()</t>
        </is>
      </c>
      <c r="IL167" s="9" t="inlineStr">
        <is>
          <t>v12_quick_engine.py:2835 x5</t>
        </is>
      </c>
    </row>
    <row r="168" ht="11" customHeight="1">
      <c r="A168" s="10" t="inlineStr">
        <is>
          <t>REENTRY2_DC_BREAK_ALLOW_15M</t>
        </is>
      </c>
      <c r="B168" s="11" t="inlineStr">
        <is>
          <t>2.0</t>
        </is>
      </c>
      <c r="E168">
        <f>IF(G168="",E167,IF(G168&gt;0,E167+G168,E167))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ez_manage.py:5278 top()</t>
        </is>
      </c>
      <c r="IL168" s="9" t="inlineStr">
        <is>
          <t>v12_quick_engine.py:2835 x5</t>
        </is>
      </c>
    </row>
    <row r="169" ht="11" customHeight="1">
      <c r="A169" s="10" t="inlineStr">
        <is>
          <t>REENTRY2_DC_BREAK_FILTER_TF</t>
        </is>
      </c>
      <c r="B169" s="11" t="inlineStr">
        <is>
          <t>OFF</t>
        </is>
      </c>
      <c r="E169">
        <f>IF(G169="",E168,IF(G169&gt;0,E168+G169,E168))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55" t="n"/>
      <c r="CF169" s="55" t="n"/>
      <c r="CG169" s="55" t="n"/>
      <c r="CH169" s="55" t="n"/>
      <c r="CI169" s="55" t="n"/>
      <c r="CJ169" s="55" t="n"/>
      <c r="CK169" s="55" t="n"/>
      <c r="CL169" s="55" t="n"/>
      <c r="CM169" s="55" t="n"/>
      <c r="CN169" s="55"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55" t="n"/>
      <c r="ES169" s="55" t="n"/>
      <c r="ET169" s="55" t="n"/>
      <c r="EU169" s="55" t="n"/>
      <c r="EV169" s="55" t="n"/>
      <c r="EW169" s="8" t="n"/>
      <c r="EX169" s="8" t="n"/>
      <c r="EY169" s="8" t="n"/>
      <c r="EZ169" s="8" t="n"/>
      <c r="FA169" s="8" t="n"/>
      <c r="FB169" s="8" t="n"/>
      <c r="FC169" s="8" t="n"/>
      <c r="FD169" s="8" t="n"/>
      <c r="FE169" s="8" t="n"/>
      <c r="FF169" s="8" t="n"/>
      <c r="FG169" s="55" t="n"/>
      <c r="FH169" s="55"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ez_manage.py:5280 top()</t>
        </is>
      </c>
      <c r="IL169" s="9" t="inlineStr">
        <is>
          <t>v12_quick_engine.py:2837 x5</t>
        </is>
      </c>
    </row>
    <row r="170" ht="11" customHeight="1">
      <c r="A170" s="10" t="inlineStr">
        <is>
          <t>REENTRY2_DC_BREAK_FILTER_TF</t>
        </is>
      </c>
      <c r="B170" s="11" t="inlineStr">
        <is>
          <t>D</t>
        </is>
      </c>
      <c r="E170">
        <f>IF(G170="",E169,IF(G170&gt;0,E169+G170,E169))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55" t="n"/>
      <c r="CF170" s="55" t="n"/>
      <c r="CG170" s="55" t="n"/>
      <c r="CH170" s="55" t="n"/>
      <c r="CI170" s="55" t="n"/>
      <c r="CJ170" s="55" t="n"/>
      <c r="CK170" s="55" t="n"/>
      <c r="CL170" s="55" t="n"/>
      <c r="CM170" s="55" t="n"/>
      <c r="CN170" s="55"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55" t="n"/>
      <c r="ES170" s="55" t="n"/>
      <c r="ET170" s="55" t="n"/>
      <c r="EU170" s="55" t="n"/>
      <c r="EV170" s="55" t="n"/>
      <c r="EW170" s="8" t="n"/>
      <c r="EX170" s="8" t="n"/>
      <c r="EY170" s="8" t="n"/>
      <c r="EZ170" s="8" t="n"/>
      <c r="FA170" s="8" t="n"/>
      <c r="FB170" s="8" t="n"/>
      <c r="FC170" s="8" t="n"/>
      <c r="FD170" s="8" t="n"/>
      <c r="FE170" s="8" t="n"/>
      <c r="FF170" s="8" t="n"/>
      <c r="FG170" s="55" t="n"/>
      <c r="FH170" s="55"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ez_manage.py:5280 top()</t>
        </is>
      </c>
      <c r="IL170" s="9" t="inlineStr">
        <is>
          <t>v12_quick_engine.py:2837 x5</t>
        </is>
      </c>
    </row>
    <row r="171" ht="11" customHeight="1">
      <c r="A171" s="10" t="inlineStr">
        <is>
          <t>REENTRY2_DC_BREAK_FILTER_TF</t>
        </is>
      </c>
      <c r="B171" s="11" t="inlineStr">
        <is>
          <t>4h</t>
        </is>
      </c>
      <c r="E171">
        <f>IF(G171="",E170,IF(G171&gt;0,E170+G171,E170))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55" t="n"/>
      <c r="CF171" s="55" t="n"/>
      <c r="CG171" s="55" t="n"/>
      <c r="CH171" s="55" t="n"/>
      <c r="CI171" s="55" t="n"/>
      <c r="CJ171" s="55" t="n"/>
      <c r="CK171" s="55" t="n"/>
      <c r="CL171" s="55" t="n"/>
      <c r="CM171" s="55" t="n"/>
      <c r="CN171" s="55"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55" t="n"/>
      <c r="ES171" s="55" t="n"/>
      <c r="ET171" s="55" t="n"/>
      <c r="EU171" s="55" t="n"/>
      <c r="EV171" s="55" t="n"/>
      <c r="EW171" s="8" t="n"/>
      <c r="EX171" s="8" t="n"/>
      <c r="EY171" s="8" t="n"/>
      <c r="EZ171" s="8" t="n"/>
      <c r="FA171" s="8" t="n"/>
      <c r="FB171" s="8" t="n"/>
      <c r="FC171" s="8" t="n"/>
      <c r="FD171" s="8" t="n"/>
      <c r="FE171" s="8" t="n"/>
      <c r="FF171" s="8" t="n"/>
      <c r="FG171" s="55" t="n"/>
      <c r="FH171" s="55"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ez_manage.py:5280 top()</t>
        </is>
      </c>
      <c r="IL171" s="9" t="inlineStr">
        <is>
          <t>v12_quick_engine.py:2837 x5</t>
        </is>
      </c>
    </row>
    <row r="172" ht="11" customHeight="1">
      <c r="A172" s="10" t="inlineStr">
        <is>
          <t>REENTRY2_DC_BREAK_FILTER_TF</t>
        </is>
      </c>
      <c r="B172" s="11" t="inlineStr">
        <is>
          <t>1h</t>
        </is>
      </c>
      <c r="E172">
        <f>IF(G172="",E171,IF(G172&gt;0,E171+G172,E171))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55" t="n"/>
      <c r="CF172" s="55" t="n"/>
      <c r="CG172" s="55" t="n"/>
      <c r="CH172" s="55" t="n"/>
      <c r="CI172" s="55" t="n"/>
      <c r="CJ172" s="55" t="n"/>
      <c r="CK172" s="55" t="n"/>
      <c r="CL172" s="55" t="n"/>
      <c r="CM172" s="55" t="n"/>
      <c r="CN172" s="55"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55" t="n"/>
      <c r="ES172" s="55" t="n"/>
      <c r="ET172" s="55" t="n"/>
      <c r="EU172" s="55" t="n"/>
      <c r="EV172" s="55" t="n"/>
      <c r="EW172" s="8" t="n"/>
      <c r="EX172" s="8" t="n"/>
      <c r="EY172" s="8" t="n"/>
      <c r="EZ172" s="8" t="n"/>
      <c r="FA172" s="8" t="n"/>
      <c r="FB172" s="8" t="n"/>
      <c r="FC172" s="8" t="n"/>
      <c r="FD172" s="8" t="n"/>
      <c r="FE172" s="8" t="n"/>
      <c r="FF172" s="8" t="n"/>
      <c r="FG172" s="55" t="n"/>
      <c r="FH172" s="55"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ez_manage.py:5280 top()</t>
        </is>
      </c>
      <c r="IL172" s="9" t="inlineStr">
        <is>
          <t>v12_quick_engine.py:2837 x5</t>
        </is>
      </c>
    </row>
    <row r="173" ht="11" customHeight="1">
      <c r="A173" s="6" t="inlineStr">
        <is>
          <t>REENTRY2_DC_BREAK_FILTER_TF</t>
        </is>
      </c>
      <c r="B173" s="7" t="inlineStr">
        <is>
          <t>15m</t>
        </is>
      </c>
      <c r="E173">
        <f>IF(G173="",E172,IF(G173&gt;0,E172+G173,E172))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55" t="n"/>
      <c r="CF173" s="55" t="n"/>
      <c r="CG173" s="55" t="n"/>
      <c r="CH173" s="55" t="n"/>
      <c r="CI173" s="55" t="n"/>
      <c r="CJ173" s="55" t="n"/>
      <c r="CK173" s="55" t="n"/>
      <c r="CL173" s="55" t="n"/>
      <c r="CM173" s="55" t="n"/>
      <c r="CN173" s="55"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55" t="n"/>
      <c r="ES173" s="55" t="n"/>
      <c r="ET173" s="55" t="n"/>
      <c r="EU173" s="55" t="n"/>
      <c r="EV173" s="55" t="n"/>
      <c r="EW173" s="8" t="n"/>
      <c r="EX173" s="8" t="n"/>
      <c r="EY173" s="8" t="n"/>
      <c r="EZ173" s="8" t="n"/>
      <c r="FA173" s="8" t="n"/>
      <c r="FB173" s="8" t="n"/>
      <c r="FC173" s="8" t="n"/>
      <c r="FD173" s="8" t="n"/>
      <c r="FE173" s="8" t="n"/>
      <c r="FF173" s="8" t="n"/>
      <c r="FG173" s="55" t="n"/>
      <c r="FH173" s="55"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ez_manage.py:5280 top()</t>
        </is>
      </c>
      <c r="IL173" s="9" t="inlineStr">
        <is>
          <t>v12_quick_engine.py:2837 x5</t>
        </is>
      </c>
    </row>
    <row r="174" ht="11" customHeight="1">
      <c r="A174" s="10" t="inlineStr">
        <is>
          <t>REENTRY2_DC_BREAK_REQUIRE_K_FILTER</t>
        </is>
      </c>
      <c r="B174" s="11" t="inlineStr">
        <is>
          <t>0</t>
        </is>
      </c>
      <c r="E174">
        <f>IF(G174="",E173,IF(G174&gt;0,E173+G174,E173))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55" t="n"/>
      <c r="CF174" s="55" t="n"/>
      <c r="CG174" s="55" t="n"/>
      <c r="CH174" s="55" t="n"/>
      <c r="CI174" s="55" t="n"/>
      <c r="CJ174" s="55" t="n"/>
      <c r="CK174" s="55" t="n"/>
      <c r="CL174" s="55" t="n"/>
      <c r="CM174" s="55" t="n"/>
      <c r="CN174" s="55"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55" t="n"/>
      <c r="ES174" s="55" t="n"/>
      <c r="ET174" s="55" t="n"/>
      <c r="EU174" s="55" t="n"/>
      <c r="EV174" s="55" t="n"/>
      <c r="EW174" s="8" t="n"/>
      <c r="EX174" s="8" t="n"/>
      <c r="EY174" s="8" t="n"/>
      <c r="EZ174" s="8" t="n"/>
      <c r="FA174" s="8" t="n"/>
      <c r="FB174" s="8" t="n"/>
      <c r="FC174" s="8" t="n"/>
      <c r="FD174" s="8" t="n"/>
      <c r="FE174" s="8" t="n"/>
      <c r="FF174" s="8" t="n"/>
      <c r="FG174" s="55" t="n"/>
      <c r="FH174" s="55"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ez_manage.py:5281 top()</t>
        </is>
      </c>
      <c r="IL174" s="9" t="inlineStr">
        <is>
          <t>v12_quick_engine.py:2838 x5</t>
        </is>
      </c>
    </row>
    <row r="175" ht="11" customHeight="1">
      <c r="A175" s="10" t="inlineStr">
        <is>
          <t>REENTRY2_DC_BREAK_REQUIRE_K_FILTER</t>
        </is>
      </c>
      <c r="B175" s="11" t="inlineStr">
        <is>
          <t>0.5</t>
        </is>
      </c>
      <c r="E175">
        <f>IF(G175="",E174,IF(G175&gt;0,E174+G175,E174))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55" t="n"/>
      <c r="CF175" s="55" t="n"/>
      <c r="CG175" s="55" t="n"/>
      <c r="CH175" s="55" t="n"/>
      <c r="CI175" s="55" t="n"/>
      <c r="CJ175" s="55" t="n"/>
      <c r="CK175" s="55" t="n"/>
      <c r="CL175" s="55" t="n"/>
      <c r="CM175" s="55" t="n"/>
      <c r="CN175" s="55"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55" t="n"/>
      <c r="ES175" s="55" t="n"/>
      <c r="ET175" s="55" t="n"/>
      <c r="EU175" s="55" t="n"/>
      <c r="EV175" s="55" t="n"/>
      <c r="EW175" s="8" t="n"/>
      <c r="EX175" s="8" t="n"/>
      <c r="EY175" s="8" t="n"/>
      <c r="EZ175" s="8" t="n"/>
      <c r="FA175" s="8" t="n"/>
      <c r="FB175" s="8" t="n"/>
      <c r="FC175" s="8" t="n"/>
      <c r="FD175" s="8" t="n"/>
      <c r="FE175" s="8" t="n"/>
      <c r="FF175" s="8" t="n"/>
      <c r="FG175" s="55" t="n"/>
      <c r="FH175" s="55"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ez_manage.py:5281 top()</t>
        </is>
      </c>
      <c r="IL175" s="9" t="inlineStr">
        <is>
          <t>v12_quick_engine.py:2838 x5</t>
        </is>
      </c>
    </row>
    <row r="176" ht="11" customHeight="1">
      <c r="A176" s="10" t="inlineStr">
        <is>
          <t>REENTRY2_DC_BREAK_REQUIRE_K_FILTER</t>
        </is>
      </c>
      <c r="B176" s="11" t="inlineStr">
        <is>
          <t>1.0</t>
        </is>
      </c>
      <c r="E176">
        <f>IF(G176="",E175,IF(G176&gt;0,E175+G176,E175))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55" t="n"/>
      <c r="CF176" s="55" t="n"/>
      <c r="CG176" s="55" t="n"/>
      <c r="CH176" s="55" t="n"/>
      <c r="CI176" s="55" t="n"/>
      <c r="CJ176" s="55" t="n"/>
      <c r="CK176" s="55" t="n"/>
      <c r="CL176" s="55" t="n"/>
      <c r="CM176" s="55" t="n"/>
      <c r="CN176" s="55"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55" t="n"/>
      <c r="ES176" s="55" t="n"/>
      <c r="ET176" s="55" t="n"/>
      <c r="EU176" s="55" t="n"/>
      <c r="EV176" s="55" t="n"/>
      <c r="EW176" s="8" t="n"/>
      <c r="EX176" s="8" t="n"/>
      <c r="EY176" s="8" t="n"/>
      <c r="EZ176" s="8" t="n"/>
      <c r="FA176" s="8" t="n"/>
      <c r="FB176" s="8" t="n"/>
      <c r="FC176" s="8" t="n"/>
      <c r="FD176" s="8" t="n"/>
      <c r="FE176" s="8" t="n"/>
      <c r="FF176" s="8" t="n"/>
      <c r="FG176" s="55" t="n"/>
      <c r="FH176" s="55"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ez_manage.py:5281 top()</t>
        </is>
      </c>
      <c r="IL176" s="9" t="inlineStr">
        <is>
          <t>v12_quick_engine.py:2838 x5</t>
        </is>
      </c>
    </row>
    <row r="177" ht="11" customHeight="1">
      <c r="A177" s="10" t="inlineStr">
        <is>
          <t>REENTRY2_DC_BREAK_REQUIRE_K_FILTER</t>
        </is>
      </c>
      <c r="B177" s="11" t="inlineStr">
        <is>
          <t>2.0</t>
        </is>
      </c>
      <c r="E177">
        <f>IF(G177="",E176,IF(G177&gt;0,E176+G177,E176))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55" t="n"/>
      <c r="CF177" s="55" t="n"/>
      <c r="CG177" s="55" t="n"/>
      <c r="CH177" s="55" t="n"/>
      <c r="CI177" s="55" t="n"/>
      <c r="CJ177" s="55" t="n"/>
      <c r="CK177" s="55" t="n"/>
      <c r="CL177" s="55" t="n"/>
      <c r="CM177" s="55" t="n"/>
      <c r="CN177" s="55"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55" t="n"/>
      <c r="ES177" s="55" t="n"/>
      <c r="ET177" s="55" t="n"/>
      <c r="EU177" s="55" t="n"/>
      <c r="EV177" s="55" t="n"/>
      <c r="EW177" s="8" t="n"/>
      <c r="EX177" s="8" t="n"/>
      <c r="EY177" s="8" t="n"/>
      <c r="EZ177" s="8" t="n"/>
      <c r="FA177" s="8" t="n"/>
      <c r="FB177" s="8" t="n"/>
      <c r="FC177" s="8" t="n"/>
      <c r="FD177" s="8" t="n"/>
      <c r="FE177" s="8" t="n"/>
      <c r="FF177" s="8" t="n"/>
      <c r="FG177" s="55" t="n"/>
      <c r="FH177" s="55"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ez_manage.py:5281 top()</t>
        </is>
      </c>
      <c r="IL177" s="9" t="inlineStr">
        <is>
          <t>v12_quick_engine.py:2838 x5</t>
        </is>
      </c>
    </row>
    <row r="178" ht="11" customHeight="1">
      <c r="A178" s="10" t="inlineStr">
        <is>
          <t>REENTRY2_DC_BREAK_REQUIRE_WT_FILTER</t>
        </is>
      </c>
      <c r="B178" s="11" t="inlineStr">
        <is>
          <t>0</t>
        </is>
      </c>
      <c r="E178">
        <f>IF(G178="",E177,IF(G178&gt;0,E177+G178,E177))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55" t="n"/>
      <c r="CF178" s="55" t="n"/>
      <c r="CG178" s="55" t="n"/>
      <c r="CH178" s="55" t="n"/>
      <c r="CI178" s="55" t="n"/>
      <c r="CJ178" s="55" t="n"/>
      <c r="CK178" s="55" t="n"/>
      <c r="CL178" s="55" t="n"/>
      <c r="CM178" s="55" t="n"/>
      <c r="CN178" s="55"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55" t="n"/>
      <c r="ES178" s="55" t="n"/>
      <c r="ET178" s="55" t="n"/>
      <c r="EU178" s="55" t="n"/>
      <c r="EV178" s="55" t="n"/>
      <c r="EW178" s="8" t="n"/>
      <c r="EX178" s="8" t="n"/>
      <c r="EY178" s="8" t="n"/>
      <c r="EZ178" s="8" t="n"/>
      <c r="FA178" s="8" t="n"/>
      <c r="FB178" s="8" t="n"/>
      <c r="FC178" s="8" t="n"/>
      <c r="FD178" s="8" t="n"/>
      <c r="FE178" s="8" t="n"/>
      <c r="FF178" s="8" t="n"/>
      <c r="FG178" s="55" t="n"/>
      <c r="FH178" s="55"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ez_manage.py:5282 top()</t>
        </is>
      </c>
      <c r="IL178" s="9" t="inlineStr">
        <is>
          <t>v12_quick_engine.py:2839 x5</t>
        </is>
      </c>
    </row>
    <row r="179" ht="11" customHeight="1">
      <c r="A179" s="10" t="inlineStr">
        <is>
          <t>REENTRY2_DC_BREAK_REQUIRE_WT_FILTER</t>
        </is>
      </c>
      <c r="B179" s="11" t="inlineStr">
        <is>
          <t>0.5</t>
        </is>
      </c>
      <c r="E179">
        <f>IF(G179="",E178,IF(G179&gt;0,E178+G179,E178))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55" t="n"/>
      <c r="CF179" s="55" t="n"/>
      <c r="CG179" s="55" t="n"/>
      <c r="CH179" s="55" t="n"/>
      <c r="CI179" s="55" t="n"/>
      <c r="CJ179" s="55" t="n"/>
      <c r="CK179" s="55" t="n"/>
      <c r="CL179" s="55" t="n"/>
      <c r="CM179" s="55" t="n"/>
      <c r="CN179" s="55"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55" t="n"/>
      <c r="ES179" s="55" t="n"/>
      <c r="ET179" s="55" t="n"/>
      <c r="EU179" s="55" t="n"/>
      <c r="EV179" s="55" t="n"/>
      <c r="EW179" s="8" t="n"/>
      <c r="EX179" s="8" t="n"/>
      <c r="EY179" s="8" t="n"/>
      <c r="EZ179" s="8" t="n"/>
      <c r="FA179" s="8" t="n"/>
      <c r="FB179" s="8" t="n"/>
      <c r="FC179" s="8" t="n"/>
      <c r="FD179" s="8" t="n"/>
      <c r="FE179" s="8" t="n"/>
      <c r="FF179" s="8" t="n"/>
      <c r="FG179" s="55" t="n"/>
      <c r="FH179" s="55"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ez_manage.py:5282 top()</t>
        </is>
      </c>
      <c r="IL179" s="9" t="inlineStr">
        <is>
          <t>v12_quick_engine.py:2839 x5</t>
        </is>
      </c>
    </row>
    <row r="180" ht="11" customHeight="1">
      <c r="A180" s="10" t="inlineStr">
        <is>
          <t>REENTRY2_DC_BREAK_REQUIRE_WT_FILTER</t>
        </is>
      </c>
      <c r="B180" s="11" t="inlineStr">
        <is>
          <t>1.0</t>
        </is>
      </c>
      <c r="E180">
        <f>IF(G180="",E179,IF(G180&gt;0,E179+G180,E179))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8" t="n"/>
      <c r="CE180" s="55" t="n"/>
      <c r="CF180" s="55" t="n"/>
      <c r="CG180" s="55" t="n"/>
      <c r="CH180" s="55" t="n"/>
      <c r="CI180" s="55" t="n"/>
      <c r="CJ180" s="55" t="n"/>
      <c r="CK180" s="55" t="n"/>
      <c r="CL180" s="55" t="n"/>
      <c r="CM180" s="55" t="n"/>
      <c r="CN180" s="55"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55" t="n"/>
      <c r="ES180" s="55" t="n"/>
      <c r="ET180" s="55" t="n"/>
      <c r="EU180" s="55" t="n"/>
      <c r="EV180" s="55" t="n"/>
      <c r="EW180" s="8" t="n"/>
      <c r="EX180" s="8" t="n"/>
      <c r="EY180" s="8" t="n"/>
      <c r="EZ180" s="8" t="n"/>
      <c r="FA180" s="8" t="n"/>
      <c r="FB180" s="8" t="n"/>
      <c r="FC180" s="8" t="n"/>
      <c r="FD180" s="8" t="n"/>
      <c r="FE180" s="8" t="n"/>
      <c r="FF180" s="8" t="n"/>
      <c r="FG180" s="55" t="n"/>
      <c r="FH180" s="55"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I180" s="8" t="n"/>
      <c r="IK180" s="9" t="inlineStr">
        <is>
          <t>ez_manage.py:5282 top()</t>
        </is>
      </c>
      <c r="IL180" s="9" t="inlineStr">
        <is>
          <t>v12_quick_engine.py:2839 x5</t>
        </is>
      </c>
    </row>
    <row r="181" ht="11" customHeight="1">
      <c r="A181" s="10" t="inlineStr">
        <is>
          <t>REENTRY2_DC_BREAK_REQUIRE_WT_FILTER</t>
        </is>
      </c>
      <c r="B181" s="11" t="inlineStr">
        <is>
          <t>2.0</t>
        </is>
      </c>
      <c r="E181">
        <f>IF(G181="",E180,IF(G181&gt;0,E180+G181,E180))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8" t="n"/>
      <c r="CE181" s="55" t="n"/>
      <c r="CF181" s="55" t="n"/>
      <c r="CG181" s="55" t="n"/>
      <c r="CH181" s="55" t="n"/>
      <c r="CI181" s="55" t="n"/>
      <c r="CJ181" s="55" t="n"/>
      <c r="CK181" s="55" t="n"/>
      <c r="CL181" s="55" t="n"/>
      <c r="CM181" s="55" t="n"/>
      <c r="CN181" s="55"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55" t="n"/>
      <c r="ES181" s="55" t="n"/>
      <c r="ET181" s="55" t="n"/>
      <c r="EU181" s="55" t="n"/>
      <c r="EV181" s="55" t="n"/>
      <c r="EW181" s="8" t="n"/>
      <c r="EX181" s="8" t="n"/>
      <c r="EY181" s="8" t="n"/>
      <c r="EZ181" s="8" t="n"/>
      <c r="FA181" s="8" t="n"/>
      <c r="FB181" s="8" t="n"/>
      <c r="FC181" s="8" t="n"/>
      <c r="FD181" s="8" t="n"/>
      <c r="FE181" s="8" t="n"/>
      <c r="FF181" s="8" t="n"/>
      <c r="FG181" s="55" t="n"/>
      <c r="FH181" s="55"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I181" s="8" t="n"/>
      <c r="IK181" s="9" t="inlineStr">
        <is>
          <t>ez_manage.py:5282 top()</t>
        </is>
      </c>
      <c r="IL181" s="9" t="inlineStr">
        <is>
          <t>v12_quick_engine.py:2839 x5</t>
        </is>
      </c>
    </row>
    <row r="182" ht="11" customHeight="1">
      <c r="A182" s="6" t="inlineStr">
        <is>
          <t>REENTRY2_DIR_FAV_ENABLED</t>
        </is>
      </c>
      <c r="B182" s="7" t="inlineStr">
        <is>
          <t>False</t>
        </is>
      </c>
      <c r="E182">
        <f>IF(G182="",E181,IF(G182&gt;0,E181+G182,E181))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I182" s="8" t="n"/>
      <c r="IK182" s="9" t="inlineStr">
        <is>
          <t>ez_manage.py:5283 top()</t>
        </is>
      </c>
      <c r="IL182" s="9" t="inlineStr">
        <is>
          <t>v12_quick_engine.py:2840 x5</t>
        </is>
      </c>
    </row>
    <row r="183" ht="11" customHeight="1">
      <c r="A183" s="10" t="inlineStr">
        <is>
          <t>REENTRY2_DIR_FAV_ENABLED</t>
        </is>
      </c>
      <c r="B183" s="11" t="inlineStr">
        <is>
          <t>True</t>
        </is>
      </c>
      <c r="E183">
        <f>IF(G183="",E182,IF(G183&gt;0,E182+G183,E182))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I183" s="8" t="n"/>
      <c r="IK183" s="9" t="inlineStr">
        <is>
          <t>ez_manage.py:5283 top()</t>
        </is>
      </c>
      <c r="IL183" s="9" t="inlineStr">
        <is>
          <t>v12_quick_engine.py:2840 x5</t>
        </is>
      </c>
    </row>
    <row r="184" ht="11" customHeight="1">
      <c r="A184" s="10" t="inlineStr">
        <is>
          <t>REENTRY_B16_SIZE_MULT_STRONG</t>
        </is>
      </c>
      <c r="B184" s="11" t="inlineStr">
        <is>
          <t>0</t>
        </is>
      </c>
      <c r="E184">
        <f>IF(G184="",E183,IF(G184&gt;0,E183+G184,E183))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55" t="n"/>
      <c r="FT184" s="55"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55" t="n"/>
      <c r="HJ184" s="55" t="n"/>
      <c r="HK184" s="55" t="n"/>
      <c r="HL184" s="55" t="n"/>
      <c r="HM184" s="55"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ez_manage.py:5297 top()</t>
        </is>
      </c>
      <c r="IL184" s="9" t="inlineStr">
        <is>
          <t>v12_quick_engine.py:2858 x4</t>
        </is>
      </c>
    </row>
    <row r="185" ht="11" customHeight="1">
      <c r="A185" s="10" t="inlineStr">
        <is>
          <t>REENTRY_B16_SIZE_MULT_STRONG</t>
        </is>
      </c>
      <c r="B185" s="11" t="inlineStr">
        <is>
          <t>0.5</t>
        </is>
      </c>
      <c r="E185">
        <f>IF(G185="",E184,IF(G185&gt;0,E184+G185,E184))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55" t="n"/>
      <c r="FT185" s="55"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55" t="n"/>
      <c r="HJ185" s="55" t="n"/>
      <c r="HK185" s="55" t="n"/>
      <c r="HL185" s="55" t="n"/>
      <c r="HM185" s="55"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ez_manage.py:5297 top()</t>
        </is>
      </c>
      <c r="IL185" s="9" t="inlineStr">
        <is>
          <t>v12_quick_engine.py:2858 x4</t>
        </is>
      </c>
    </row>
    <row r="186" ht="11" customHeight="1">
      <c r="A186" s="10" t="inlineStr">
        <is>
          <t>REENTRY_B16_SIZE_MULT_STRONG</t>
        </is>
      </c>
      <c r="B186" s="11" t="inlineStr">
        <is>
          <t>1.0</t>
        </is>
      </c>
      <c r="E186">
        <f>IF(G186="",E185,IF(G186&gt;0,E185+G186,E185))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55" t="n"/>
      <c r="FT186" s="55"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55" t="n"/>
      <c r="HJ186" s="55" t="n"/>
      <c r="HK186" s="55" t="n"/>
      <c r="HL186" s="55" t="n"/>
      <c r="HM186" s="55"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ez_manage.py:5297 top()</t>
        </is>
      </c>
      <c r="IL186" s="9" t="inlineStr">
        <is>
          <t>v12_quick_engine.py:2858 x4</t>
        </is>
      </c>
    </row>
    <row r="187" ht="11" customHeight="1">
      <c r="A187" s="10" t="inlineStr">
        <is>
          <t>REENTRY_B16_SIZE_MULT_STRONG</t>
        </is>
      </c>
      <c r="B187" s="11" t="inlineStr">
        <is>
          <t>2.0</t>
        </is>
      </c>
      <c r="E187">
        <f>IF(G187="",E186,IF(G187&gt;0,E186+G187,E186))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55" t="n"/>
      <c r="FT187" s="55"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55" t="n"/>
      <c r="HJ187" s="55" t="n"/>
      <c r="HK187" s="55" t="n"/>
      <c r="HL187" s="55" t="n"/>
      <c r="HM187" s="55"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ez_manage.py:5297 top()</t>
        </is>
      </c>
      <c r="IL187" s="9" t="inlineStr">
        <is>
          <t>v12_quick_engine.py:2858 x4</t>
        </is>
      </c>
    </row>
    <row r="188" ht="11" customHeight="1">
      <c r="A188" s="10" t="inlineStr">
        <is>
          <t>REENTRY_B16_SIZE_MULT_WEAK</t>
        </is>
      </c>
      <c r="B188" s="11" t="inlineStr">
        <is>
          <t>0</t>
        </is>
      </c>
      <c r="E188">
        <f>IF(G188="",E187,IF(G188&gt;0,E187+G188,E187))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55" t="n"/>
      <c r="FT188" s="55"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55" t="n"/>
      <c r="HJ188" s="55" t="n"/>
      <c r="HK188" s="55" t="n"/>
      <c r="HL188" s="55" t="n"/>
      <c r="HM188" s="55"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ez_manage.py:5298 top()</t>
        </is>
      </c>
      <c r="IL188" s="9" t="inlineStr">
        <is>
          <t>v12_quick_engine.py:2859 x4</t>
        </is>
      </c>
    </row>
    <row r="189" ht="11" customHeight="1">
      <c r="A189" s="10" t="inlineStr">
        <is>
          <t>REENTRY_B16_SIZE_MULT_WEAK</t>
        </is>
      </c>
      <c r="B189" s="11" t="inlineStr">
        <is>
          <t>0.5</t>
        </is>
      </c>
      <c r="E189">
        <f>IF(G189="",E188,IF(G189&gt;0,E188+G189,E188))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8" t="n"/>
      <c r="FS189" s="55" t="n"/>
      <c r="FT189" s="55"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55" t="n"/>
      <c r="HJ189" s="55" t="n"/>
      <c r="HK189" s="55" t="n"/>
      <c r="HL189" s="55" t="n"/>
      <c r="HM189" s="55"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I189" s="8" t="n"/>
      <c r="IK189" s="9" t="inlineStr">
        <is>
          <t>ez_manage.py:5298 top()</t>
        </is>
      </c>
      <c r="IL189" s="9" t="inlineStr">
        <is>
          <t>v12_quick_engine.py:2859 x4</t>
        </is>
      </c>
    </row>
    <row r="190" ht="11" customHeight="1">
      <c r="A190" s="10" t="inlineStr">
        <is>
          <t>REENTRY_B16_SIZE_MULT_WEAK</t>
        </is>
      </c>
      <c r="B190" s="11" t="inlineStr">
        <is>
          <t>1.0</t>
        </is>
      </c>
      <c r="E190">
        <f>IF(G190="",E189,IF(G190&gt;0,E189+G190,E189))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8" t="n"/>
      <c r="FS190" s="55" t="n"/>
      <c r="FT190" s="55"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55" t="n"/>
      <c r="HJ190" s="55" t="n"/>
      <c r="HK190" s="55" t="n"/>
      <c r="HL190" s="55" t="n"/>
      <c r="HM190" s="55"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I190" s="8" t="n"/>
      <c r="IK190" s="9" t="inlineStr">
        <is>
          <t>ez_manage.py:5298 top()</t>
        </is>
      </c>
      <c r="IL190" s="9" t="inlineStr">
        <is>
          <t>v12_quick_engine.py:2859 x4</t>
        </is>
      </c>
    </row>
    <row r="191" ht="11" customHeight="1">
      <c r="A191" s="10" t="inlineStr">
        <is>
          <t>REENTRY_B16_SIZE_MULT_WEAK</t>
        </is>
      </c>
      <c r="B191" s="11" t="inlineStr">
        <is>
          <t>2.0</t>
        </is>
      </c>
      <c r="E191">
        <f>IF(G191="",E190,IF(G191&gt;0,E190+G191,E190))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8" t="n"/>
      <c r="FS191" s="55" t="n"/>
      <c r="FT191" s="55"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55" t="n"/>
      <c r="HJ191" s="55" t="n"/>
      <c r="HK191" s="55" t="n"/>
      <c r="HL191" s="55" t="n"/>
      <c r="HM191" s="55"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ez_manage.py:5298 top()</t>
        </is>
      </c>
      <c r="IL191" s="9" t="inlineStr">
        <is>
          <t>v12_quick_engine.py:2859 x4</t>
        </is>
      </c>
    </row>
    <row r="192" ht="11" customHeight="1">
      <c r="A192" s="10" t="inlineStr">
        <is>
          <t>REENTRY_B16_SMA200_PROX_PCT</t>
        </is>
      </c>
      <c r="B192" s="11" t="inlineStr">
        <is>
          <t>0</t>
        </is>
      </c>
      <c r="E192">
        <f>IF(G192="",E191,IF(G192&gt;0,E191+G192,E191))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8" t="n"/>
      <c r="FS192" s="55" t="n"/>
      <c r="FT192" s="55"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ez_manage.py:5299 top()</t>
        </is>
      </c>
      <c r="IL192" s="9" t="inlineStr">
        <is>
          <t>v12_quick_engine.py:2860 x4</t>
        </is>
      </c>
    </row>
    <row r="193" ht="11" customHeight="1">
      <c r="A193" s="10" t="inlineStr">
        <is>
          <t>REENTRY_B16_SMA200_PROX_PCT</t>
        </is>
      </c>
      <c r="B193" s="11" t="inlineStr">
        <is>
          <t>0.5</t>
        </is>
      </c>
      <c r="E193">
        <f>IF(G193="",E192,IF(G193&gt;0,E192+G193,E192))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8" t="n"/>
      <c r="FS193" s="55" t="n"/>
      <c r="FT193" s="55"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ez_manage.py:5299 top()</t>
        </is>
      </c>
      <c r="IL193" s="9" t="inlineStr">
        <is>
          <t>v12_quick_engine.py:2860 x4</t>
        </is>
      </c>
    </row>
    <row r="194" ht="11" customHeight="1">
      <c r="A194" s="10" t="inlineStr">
        <is>
          <t>REENTRY_B16_SMA200_PROX_PCT</t>
        </is>
      </c>
      <c r="B194" s="11" t="inlineStr">
        <is>
          <t>1.0</t>
        </is>
      </c>
      <c r="E194">
        <f>IF(G194="",E193,IF(G194&gt;0,E193+G194,E193))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8" t="n"/>
      <c r="FS194" s="55" t="n"/>
      <c r="FT194" s="55"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ez_manage.py:5299 top()</t>
        </is>
      </c>
      <c r="IL194" s="9" t="inlineStr">
        <is>
          <t>v12_quick_engine.py:2860 x4</t>
        </is>
      </c>
    </row>
    <row r="195" ht="11" customHeight="1">
      <c r="A195" s="10" t="inlineStr">
        <is>
          <t>REENTRY_B16_SMA200_PROX_PCT</t>
        </is>
      </c>
      <c r="B195" s="11" t="inlineStr">
        <is>
          <t>2.0</t>
        </is>
      </c>
      <c r="E195">
        <f>IF(G195="",E194,IF(G195&gt;0,E194+G195,E194))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8" t="n"/>
      <c r="FS195" s="55" t="n"/>
      <c r="FT195" s="55"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ez_manage.py:5299 top()</t>
        </is>
      </c>
      <c r="IL195" s="9" t="inlineStr">
        <is>
          <t>v12_quick_engine.py:2860 x4</t>
        </is>
      </c>
    </row>
    <row r="196" ht="11" customHeight="1">
      <c r="A196" s="6" t="inlineStr">
        <is>
          <t>REENTRY_B16_SMA200_PULLBACK_ENABLED</t>
        </is>
      </c>
      <c r="B196" s="7" t="inlineStr">
        <is>
          <t>False</t>
        </is>
      </c>
      <c r="E196">
        <f>IF(G196="",E195,IF(G196&gt;0,E195+G196,E195))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55" t="n"/>
      <c r="X196" s="55" t="n"/>
      <c r="Y196" s="55" t="n"/>
      <c r="Z196" s="55" t="n"/>
      <c r="AA196" s="55"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8" t="n"/>
      <c r="FS196" s="55" t="n"/>
      <c r="FT196" s="55"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ez_manage.py:5300 top()</t>
        </is>
      </c>
      <c r="IL196" s="9" t="inlineStr">
        <is>
          <t>v12_quick_engine.py:2861 x4</t>
        </is>
      </c>
    </row>
    <row r="197" ht="11" customHeight="1">
      <c r="A197" s="10" t="inlineStr">
        <is>
          <t>REENTRY_B16_SMA200_PULLBACK_ENABLED</t>
        </is>
      </c>
      <c r="B197" s="11" t="inlineStr">
        <is>
          <t>True</t>
        </is>
      </c>
      <c r="E197">
        <f>IF(G197="",E196,IF(G197&gt;0,E196+G197,E196))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55" t="n"/>
      <c r="X197" s="55" t="n"/>
      <c r="Y197" s="55" t="n"/>
      <c r="Z197" s="55" t="n"/>
      <c r="AA197" s="55"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8" t="n"/>
      <c r="FS197" s="55" t="n"/>
      <c r="FT197" s="55"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ez_manage.py:5300 top()</t>
        </is>
      </c>
      <c r="IL197" s="9" t="inlineStr">
        <is>
          <t>v12_quick_engine.py:2861 x4</t>
        </is>
      </c>
    </row>
    <row r="198" ht="11" customHeight="1">
      <c r="A198" s="6" t="inlineStr">
        <is>
          <t>REENTRY_CROSS_FRESHNESS_ENABLED</t>
        </is>
      </c>
      <c r="B198" s="7" t="inlineStr">
        <is>
          <t>False</t>
        </is>
      </c>
      <c r="E198">
        <f>IF(G198="",E197,IF(G198&gt;0,E197+G198,E197))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55" t="n"/>
      <c r="AW198" s="55" t="n"/>
      <c r="AX198" s="55" t="n"/>
      <c r="AY198" s="55" t="n"/>
      <c r="AZ198" s="55"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8" t="n"/>
      <c r="FS198" s="55" t="n"/>
      <c r="FT198" s="55"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ez_manage.py:5306 top()</t>
        </is>
      </c>
      <c r="IL198" s="9" t="inlineStr">
        <is>
          <t>v12_quick_engine.py:2869 x2</t>
        </is>
      </c>
    </row>
    <row r="199" ht="11" customHeight="1">
      <c r="A199" s="10" t="inlineStr">
        <is>
          <t>REENTRY_CROSS_FRESHNESS_ENABLED</t>
        </is>
      </c>
      <c r="B199" s="11" t="inlineStr">
        <is>
          <t>True</t>
        </is>
      </c>
      <c r="E199">
        <f>IF(G199="",E198,IF(G199&gt;0,E198+G199,E198))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55" t="n"/>
      <c r="AW199" s="55" t="n"/>
      <c r="AX199" s="55" t="n"/>
      <c r="AY199" s="55" t="n"/>
      <c r="AZ199" s="55"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8" t="n"/>
      <c r="FS199" s="55" t="n"/>
      <c r="FT199" s="55"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ez_manage.py:5306 top()</t>
        </is>
      </c>
      <c r="IL199" s="9" t="inlineStr">
        <is>
          <t>v12_quick_engine.py:2869 x2</t>
        </is>
      </c>
    </row>
    <row r="200" ht="11" customHeight="1">
      <c r="A200" s="6" t="inlineStr">
        <is>
          <t>REENTRY_EXHAUSTED_PARTIAL_ENABLED</t>
        </is>
      </c>
      <c r="B200" s="7" t="inlineStr">
        <is>
          <t>False</t>
        </is>
      </c>
      <c r="E200">
        <f>IF(G200="",E199,IF(G200&gt;0,E199+G200,E199))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8" t="n"/>
      <c r="FS200" s="55" t="n"/>
      <c r="FT200" s="55"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55" t="n"/>
      <c r="HO200" s="55" t="n"/>
      <c r="HP200" s="55" t="n"/>
      <c r="HQ200" s="55" t="n"/>
      <c r="HR200" s="55"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ez_manage.py:5308 top()</t>
        </is>
      </c>
      <c r="IL200" s="9" t="inlineStr">
        <is>
          <t>v12_quick_engine.py:2875 x2</t>
        </is>
      </c>
    </row>
    <row r="201" ht="11" customHeight="1">
      <c r="A201" s="10" t="inlineStr">
        <is>
          <t>REENTRY_EXHAUSTED_PARTIAL_ENABLED</t>
        </is>
      </c>
      <c r="B201" s="11" t="inlineStr">
        <is>
          <t>True</t>
        </is>
      </c>
      <c r="E201">
        <f>IF(G201="",E200,IF(G201&gt;0,E200+G201,E200))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8" t="n"/>
      <c r="FS201" s="55" t="n"/>
      <c r="FT201" s="55"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55" t="n"/>
      <c r="HO201" s="55" t="n"/>
      <c r="HP201" s="55" t="n"/>
      <c r="HQ201" s="55" t="n"/>
      <c r="HR201" s="55"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ez_manage.py:5308 top()</t>
        </is>
      </c>
      <c r="IL201" s="9" t="inlineStr">
        <is>
          <t>v12_quick_engine.py:2875 x2</t>
        </is>
      </c>
    </row>
    <row r="202" ht="11" customHeight="1">
      <c r="A202" s="10" t="inlineStr">
        <is>
          <t>REENTRY_EXIT_RECLAIM_BUFFER_PCT</t>
        </is>
      </c>
      <c r="B202" s="11" t="inlineStr">
        <is>
          <t>0</t>
        </is>
      </c>
      <c r="E202">
        <f>IF(G202="",E201,IF(G202&gt;0,E201+G202,E201))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55"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8" t="n"/>
      <c r="FS202" s="55" t="n"/>
      <c r="FT202" s="55"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ez_manage.py:5309 top()</t>
        </is>
      </c>
      <c r="IL202" s="9" t="inlineStr">
        <is>
          <t>v12_quick_engine.py:2876 x3</t>
        </is>
      </c>
    </row>
    <row r="203" ht="11" customHeight="1">
      <c r="A203" s="10" t="inlineStr">
        <is>
          <t>REENTRY_EXIT_RECLAIM_BUFFER_PCT</t>
        </is>
      </c>
      <c r="B203" s="11" t="inlineStr">
        <is>
          <t>0.5</t>
        </is>
      </c>
      <c r="E203">
        <f>IF(G203="",E202,IF(G203&gt;0,E202+G203,E202))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55"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8" t="n"/>
      <c r="FS203" s="55" t="n"/>
      <c r="FT203" s="55"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ez_manage.py:5309 top()</t>
        </is>
      </c>
      <c r="IL203" s="9" t="inlineStr">
        <is>
          <t>v12_quick_engine.py:2876 x3</t>
        </is>
      </c>
    </row>
    <row r="204" ht="11" customHeight="1">
      <c r="A204" s="10" t="inlineStr">
        <is>
          <t>REENTRY_EXIT_RECLAIM_BUFFER_PCT</t>
        </is>
      </c>
      <c r="B204" s="11" t="inlineStr">
        <is>
          <t>1.0</t>
        </is>
      </c>
      <c r="E204">
        <f>IF(G204="",E203,IF(G204&gt;0,E203+G204,E203))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55"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8" t="n"/>
      <c r="FS204" s="55" t="n"/>
      <c r="FT204" s="55"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ez_manage.py:5309 top()</t>
        </is>
      </c>
      <c r="IL204" s="9" t="inlineStr">
        <is>
          <t>v12_quick_engine.py:2876 x3</t>
        </is>
      </c>
    </row>
    <row r="205" ht="11" customHeight="1">
      <c r="A205" s="10" t="inlineStr">
        <is>
          <t>REENTRY_EXIT_RECLAIM_BUFFER_PCT</t>
        </is>
      </c>
      <c r="B205" s="11" t="inlineStr">
        <is>
          <t>2.0</t>
        </is>
      </c>
      <c r="E205">
        <f>IF(G205="",E204,IF(G205&gt;0,E204+G205,E204))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55"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8" t="n"/>
      <c r="FS205" s="55" t="n"/>
      <c r="FT205" s="55"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ez_manage.py:5309 top()</t>
        </is>
      </c>
      <c r="IL205" s="9" t="inlineStr">
        <is>
          <t>v12_quick_engine.py:2876 x3</t>
        </is>
      </c>
    </row>
    <row r="206" ht="11" customHeight="1">
      <c r="A206" s="6" t="inlineStr">
        <is>
          <t>REENTRY_EXIT_RECLAIM_ENABLED</t>
        </is>
      </c>
      <c r="B206" s="7" t="inlineStr">
        <is>
          <t>False</t>
        </is>
      </c>
      <c r="E206">
        <f>IF(G206="",E205,IF(G206&gt;0,E205+G206,E205))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55"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8" t="n"/>
      <c r="FS206" s="55" t="n"/>
      <c r="FT206" s="55"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ez_manage.py:5310 top()</t>
        </is>
      </c>
      <c r="IL206" s="9" t="inlineStr">
        <is>
          <t>v12_quick_engine.py:2877 x3</t>
        </is>
      </c>
    </row>
    <row r="207" ht="11" customHeight="1">
      <c r="A207" s="10" t="inlineStr">
        <is>
          <t>REENTRY_EXIT_RECLAIM_ENABLED</t>
        </is>
      </c>
      <c r="B207" s="11" t="inlineStr">
        <is>
          <t>True</t>
        </is>
      </c>
      <c r="E207">
        <f>IF(G207="",E206,IF(G207&gt;0,E206+G207,E206))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55"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8" t="n"/>
      <c r="FS207" s="55" t="n"/>
      <c r="FT207" s="55"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ez_manage.py:5310 top()</t>
        </is>
      </c>
      <c r="IL207" s="9" t="inlineStr">
        <is>
          <t>v12_quick_engine.py:2877 x3</t>
        </is>
      </c>
    </row>
    <row r="208" ht="11" customHeight="1">
      <c r="A208" s="10" t="inlineStr">
        <is>
          <t>REENTRY_POST_CONSOL_ATR_THRESHOLD</t>
        </is>
      </c>
      <c r="B208" s="11" t="inlineStr">
        <is>
          <t>0</t>
        </is>
      </c>
      <c r="E208">
        <f>IF(G208="",E207,IF(G208&gt;0,E207+G208,E207))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8" t="n"/>
      <c r="FS208" s="55" t="n"/>
      <c r="FT208" s="55"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ez_manage.py:5318 top()</t>
        </is>
      </c>
      <c r="IL208" s="9" t="inlineStr">
        <is>
          <t>v12_quick_engine.py:2896 x3</t>
        </is>
      </c>
    </row>
    <row r="209" ht="11" customHeight="1">
      <c r="A209" s="10" t="inlineStr">
        <is>
          <t>REENTRY_POST_CONSOL_ATR_THRESHOLD</t>
        </is>
      </c>
      <c r="B209" s="11" t="inlineStr">
        <is>
          <t>0.5</t>
        </is>
      </c>
      <c r="E209">
        <f>IF(G209="",E208,IF(G209&gt;0,E208+G209,E208))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8" t="n"/>
      <c r="FS209" s="55" t="n"/>
      <c r="FT209" s="55"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ez_manage.py:5318 top()</t>
        </is>
      </c>
      <c r="IL209" s="9" t="inlineStr">
        <is>
          <t>v12_quick_engine.py:2896 x3</t>
        </is>
      </c>
    </row>
    <row r="210" ht="11" customHeight="1">
      <c r="A210" s="10" t="inlineStr">
        <is>
          <t>REENTRY_POST_CONSOL_ATR_THRESHOLD</t>
        </is>
      </c>
      <c r="B210" s="11" t="inlineStr">
        <is>
          <t>1.0</t>
        </is>
      </c>
      <c r="E210">
        <f>IF(G210="",E209,IF(G210&gt;0,E209+G210,E209))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8" t="n"/>
      <c r="FS210" s="55" t="n"/>
      <c r="FT210" s="55"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ez_manage.py:5318 top()</t>
        </is>
      </c>
      <c r="IL210" s="9" t="inlineStr">
        <is>
          <t>v12_quick_engine.py:2896 x3</t>
        </is>
      </c>
    </row>
    <row r="211" ht="11" customHeight="1">
      <c r="A211" s="10" t="inlineStr">
        <is>
          <t>REENTRY_POST_CONSOL_ATR_THRESHOLD</t>
        </is>
      </c>
      <c r="B211" s="11" t="inlineStr">
        <is>
          <t>2.0</t>
        </is>
      </c>
      <c r="E211">
        <f>IF(G211="",E210,IF(G211&gt;0,E210+G211,E210))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8" t="n"/>
      <c r="FS211" s="55" t="n"/>
      <c r="FT211" s="55"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I211" s="8" t="n"/>
      <c r="IK211" s="9" t="inlineStr">
        <is>
          <t>ez_manage.py:5318 top()</t>
        </is>
      </c>
      <c r="IL211" s="9" t="inlineStr">
        <is>
          <t>v12_quick_engine.py:2896 x3</t>
        </is>
      </c>
    </row>
    <row r="212" ht="11" customHeight="1">
      <c r="A212" s="6" t="inlineStr">
        <is>
          <t>REENTRY_POST_CONSOL_ENABLED</t>
        </is>
      </c>
      <c r="B212" s="7" t="inlineStr">
        <is>
          <t>False</t>
        </is>
      </c>
      <c r="E212">
        <f>IF(G212="",E211,IF(G212&gt;0,E211+G212,E211))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8" t="n"/>
      <c r="FS212" s="55" t="n"/>
      <c r="FT212" s="55"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I212" s="8" t="n"/>
      <c r="IK212" s="9" t="inlineStr">
        <is>
          <t>ez_manage.py:3867 top()</t>
        </is>
      </c>
      <c r="IL212" s="9" t="inlineStr">
        <is>
          <t>v12_quick_engine.py:2897 x3</t>
        </is>
      </c>
    </row>
    <row r="213" ht="11" customHeight="1">
      <c r="A213" s="10" t="inlineStr">
        <is>
          <t>REENTRY_POST_CONSOL_ENABLED</t>
        </is>
      </c>
      <c r="B213" s="11" t="inlineStr">
        <is>
          <t>True</t>
        </is>
      </c>
      <c r="E213">
        <f>IF(G213="",E212,IF(G213&gt;0,E212+G213,E212))</f>
        <v/>
      </c>
      <c r="G213">
        <f>IFERROR(VLOOKUP($A213&amp;"="&amp;$B213,Results_Deltas!$A$2:$P$15000,5,FALSE),"")</f>
        <v/>
      </c>
      <c r="H213">
        <f>IFERROR(VLOOKUP($A213,Results_30d_Deltas!$A$2:$H$5000,7,FALSE)-E212,"")</f>
        <v/>
      </c>
      <c r="I213">
        <f>IFERROR(VLOOKUP($A213,Results_30d_Deltas!$A$2:$H$5000,6,FALSE),"")</f>
        <v/>
      </c>
      <c r="L213">
        <f>IF(B213=C213,"YES","NO")</f>
        <v/>
      </c>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8" t="n"/>
      <c r="FS213" s="55" t="n"/>
      <c r="FT213" s="55"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I213" s="8" t="n"/>
      <c r="IK213" s="9" t="inlineStr">
        <is>
          <t>ez_manage.py:3867 top()</t>
        </is>
      </c>
      <c r="IL213" s="9" t="inlineStr">
        <is>
          <t>v12_quick_engine.py:2897 x3</t>
        </is>
      </c>
    </row>
    <row r="214" ht="11" customHeight="1">
      <c r="A214" s="10" t="inlineStr">
        <is>
          <t>REENTRY_POST_CONSOL_MULT</t>
        </is>
      </c>
      <c r="B214" s="11" t="inlineStr">
        <is>
          <t>0</t>
        </is>
      </c>
      <c r="E214">
        <f>IF(G214="",E213,IF(G214&gt;0,E213+G214,E213))</f>
        <v/>
      </c>
      <c r="G214">
        <f>IFERROR(VLOOKUP($A214&amp;"="&amp;$B214,Results_Deltas!$A$2:$P$15000,5,FALSE),"")</f>
        <v/>
      </c>
      <c r="H214">
        <f>IFERROR(VLOOKUP($A214,Results_30d_Deltas!$A$2:$H$5000,7,FALSE)-E213,"")</f>
        <v/>
      </c>
      <c r="I214">
        <f>IFERROR(VLOOKUP($A214,Results_30d_Deltas!$A$2:$H$5000,6,FALSE),"")</f>
        <v/>
      </c>
      <c r="L214">
        <f>IF(B214=C214,"YES","NO")</f>
        <v/>
      </c>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8" t="n"/>
      <c r="FS214" s="55" t="n"/>
      <c r="FT214" s="55"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I214" s="8" t="n"/>
      <c r="IK214" s="9" t="inlineStr">
        <is>
          <t>ez_manage.py:5319 top()</t>
        </is>
      </c>
      <c r="IL214" s="9" t="inlineStr">
        <is>
          <t>v12_quick_engine.py:2898 x3</t>
        </is>
      </c>
    </row>
    <row r="215" ht="11" customHeight="1">
      <c r="A215" s="10" t="inlineStr">
        <is>
          <t>REENTRY_POST_CONSOL_MULT</t>
        </is>
      </c>
      <c r="B215" s="11" t="inlineStr">
        <is>
          <t>0.5</t>
        </is>
      </c>
      <c r="E215">
        <f>IF(G215="",E214,IF(G215&gt;0,E214+G215,E214))</f>
        <v/>
      </c>
      <c r="G215">
        <f>IFERROR(VLOOKUP($A215&amp;"="&amp;$B215,Results_Deltas!$A$2:$P$15000,5,FALSE),"")</f>
        <v/>
      </c>
      <c r="H215">
        <f>IFERROR(VLOOKUP($A215,Results_30d_Deltas!$A$2:$H$5000,7,FALSE)-E214,"")</f>
        <v/>
      </c>
      <c r="I215">
        <f>IFERROR(VLOOKUP($A215,Results_30d_Deltas!$A$2:$H$5000,6,FALSE),"")</f>
        <v/>
      </c>
      <c r="L215">
        <f>IF(B215=C215,"YES","NO")</f>
        <v/>
      </c>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8" t="n"/>
      <c r="FS215" s="55" t="n"/>
      <c r="FT215" s="55"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I215" s="8" t="n"/>
      <c r="IK215" s="9" t="inlineStr">
        <is>
          <t>ez_manage.py:5319 top()</t>
        </is>
      </c>
      <c r="IL215" s="9" t="inlineStr">
        <is>
          <t>v12_quick_engine.py:2898 x3</t>
        </is>
      </c>
    </row>
    <row r="216" ht="11" customHeight="1">
      <c r="A216" s="10" t="inlineStr">
        <is>
          <t>REENTRY_POST_CONSOL_MULT</t>
        </is>
      </c>
      <c r="B216" s="11" t="inlineStr">
        <is>
          <t>1.0</t>
        </is>
      </c>
      <c r="E216">
        <f>IF(G216="",E215,IF(G216&gt;0,E215+G216,E215))</f>
        <v/>
      </c>
      <c r="G216">
        <f>IFERROR(VLOOKUP($A216&amp;"="&amp;$B216,Results_Deltas!$A$2:$P$15000,5,FALSE),"")</f>
        <v/>
      </c>
      <c r="H216">
        <f>IFERROR(VLOOKUP($A216,Results_30d_Deltas!$A$2:$H$5000,7,FALSE)-E215,"")</f>
        <v/>
      </c>
      <c r="I216">
        <f>IFERROR(VLOOKUP($A216,Results_30d_Deltas!$A$2:$H$5000,6,FALSE),"")</f>
        <v/>
      </c>
      <c r="L216">
        <f>IF(B216=C216,"YES","NO")</f>
        <v/>
      </c>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8" t="n"/>
      <c r="FS216" s="55" t="n"/>
      <c r="FT216" s="55"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I216" s="8" t="n"/>
      <c r="IK216" s="9" t="inlineStr">
        <is>
          <t>ez_manage.py:5319 top()</t>
        </is>
      </c>
      <c r="IL216" s="9" t="inlineStr">
        <is>
          <t>v12_quick_engine.py:2898 x3</t>
        </is>
      </c>
    </row>
    <row r="217" ht="11" customHeight="1">
      <c r="A217" s="10" t="inlineStr">
        <is>
          <t>REENTRY_POST_CONSOL_MULT</t>
        </is>
      </c>
      <c r="B217" s="11" t="inlineStr">
        <is>
          <t>2.0</t>
        </is>
      </c>
      <c r="E217">
        <f>IF(G217="",E216,IF(G217&gt;0,E216+G217,E216))</f>
        <v/>
      </c>
      <c r="G217">
        <f>IFERROR(VLOOKUP($A217&amp;"="&amp;$B217,Results_Deltas!$A$2:$P$15000,5,FALSE),"")</f>
        <v/>
      </c>
      <c r="H217">
        <f>IFERROR(VLOOKUP($A217,Results_30d_Deltas!$A$2:$H$5000,7,FALSE)-E216,"")</f>
        <v/>
      </c>
      <c r="I217">
        <f>IFERROR(VLOOKUP($A217,Results_30d_Deltas!$A$2:$H$5000,6,FALSE),"")</f>
        <v/>
      </c>
      <c r="L217">
        <f>IF(B217=C217,"YES","NO")</f>
        <v/>
      </c>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8" t="n"/>
      <c r="FS217" s="55" t="n"/>
      <c r="FT217" s="55"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I217" s="8" t="n"/>
      <c r="IK217" s="9" t="inlineStr">
        <is>
          <t>ez_manage.py:5319 top()</t>
        </is>
      </c>
      <c r="IL217" s="9" t="inlineStr">
        <is>
          <t>v12_quick_engine.py:2898 x3</t>
        </is>
      </c>
    </row>
    <row r="218" ht="11" customHeight="1">
      <c r="A218" s="10" t="inlineStr">
        <is>
          <t>REENTRY_POST_CONSOL_TFS_REQUIRED</t>
        </is>
      </c>
      <c r="B218" s="11" t="inlineStr">
        <is>
          <t>0</t>
        </is>
      </c>
      <c r="E218">
        <f>IF(G218="",E217,IF(G218&gt;0,E217+G218,E217))</f>
        <v/>
      </c>
      <c r="G218">
        <f>IFERROR(VLOOKUP($A218&amp;"="&amp;$B218,Results_Deltas!$A$2:$P$15000,5,FALSE),"")</f>
        <v/>
      </c>
      <c r="H218">
        <f>IFERROR(VLOOKUP($A218,Results_30d_Deltas!$A$2:$H$5000,7,FALSE)-E217,"")</f>
        <v/>
      </c>
      <c r="I218">
        <f>IFERROR(VLOOKUP($A218,Results_30d_Deltas!$A$2:$H$5000,6,FALSE),"")</f>
        <v/>
      </c>
      <c r="L218">
        <f>IF(B218=C218,"YES","NO")</f>
        <v/>
      </c>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8" t="n"/>
      <c r="FS218" s="55" t="n"/>
      <c r="FT218" s="55"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I218" s="8" t="n"/>
      <c r="IK218" s="9" t="inlineStr">
        <is>
          <t>ez_manage.py:5320 top()</t>
        </is>
      </c>
      <c r="IL218" s="9" t="inlineStr">
        <is>
          <t>v12_quick_engine.py:2899 x3</t>
        </is>
      </c>
    </row>
    <row r="219" ht="11" customHeight="1">
      <c r="A219" s="10" t="inlineStr">
        <is>
          <t>REENTRY_POST_CONSOL_TFS_REQUIRED</t>
        </is>
      </c>
      <c r="B219" s="11" t="inlineStr">
        <is>
          <t>0.5</t>
        </is>
      </c>
      <c r="E219">
        <f>IF(G219="",E218,IF(G219&gt;0,E218+G219,E218))</f>
        <v/>
      </c>
      <c r="G219">
        <f>IFERROR(VLOOKUP($A219&amp;"="&amp;$B219,Results_Deltas!$A$2:$P$15000,5,FALSE),"")</f>
        <v/>
      </c>
      <c r="H219">
        <f>IFERROR(VLOOKUP($A219,Results_30d_Deltas!$A$2:$H$5000,7,FALSE)-E218,"")</f>
        <v/>
      </c>
      <c r="I219">
        <f>IFERROR(VLOOKUP($A219,Results_30d_Deltas!$A$2:$H$5000,6,FALSE),"")</f>
        <v/>
      </c>
      <c r="L219">
        <f>IF(B219=C219,"YES","NO")</f>
        <v/>
      </c>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8" t="n"/>
      <c r="FS219" s="55" t="n"/>
      <c r="FT219" s="55"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I219" s="8" t="n"/>
      <c r="IK219" s="9" t="inlineStr">
        <is>
          <t>ez_manage.py:5320 top()</t>
        </is>
      </c>
      <c r="IL219" s="9" t="inlineStr">
        <is>
          <t>v12_quick_engine.py:2899 x3</t>
        </is>
      </c>
    </row>
    <row r="220" ht="11" customHeight="1">
      <c r="A220" s="10" t="inlineStr">
        <is>
          <t>REENTRY_POST_CONSOL_TFS_REQUIRED</t>
        </is>
      </c>
      <c r="B220" s="11" t="inlineStr">
        <is>
          <t>1.0</t>
        </is>
      </c>
      <c r="E220">
        <f>IF(G220="",E219,IF(G220&gt;0,E219+G220,E219))</f>
        <v/>
      </c>
      <c r="G220">
        <f>IFERROR(VLOOKUP($A220&amp;"="&amp;$B220,Results_Deltas!$A$2:$P$15000,5,FALSE),"")</f>
        <v/>
      </c>
      <c r="H220">
        <f>IFERROR(VLOOKUP($A220,Results_30d_Deltas!$A$2:$H$5000,7,FALSE)-E219,"")</f>
        <v/>
      </c>
      <c r="I220">
        <f>IFERROR(VLOOKUP($A220,Results_30d_Deltas!$A$2:$H$5000,6,FALSE),"")</f>
        <v/>
      </c>
      <c r="L220">
        <f>IF(B220=C220,"YES","NO")</f>
        <v/>
      </c>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8" t="n"/>
      <c r="FS220" s="55" t="n"/>
      <c r="FT220" s="55"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I220" s="8" t="n"/>
      <c r="IK220" s="9" t="inlineStr">
        <is>
          <t>ez_manage.py:5320 top()</t>
        </is>
      </c>
      <c r="IL220" s="9" t="inlineStr">
        <is>
          <t>v12_quick_engine.py:2899 x3</t>
        </is>
      </c>
    </row>
    <row r="221" ht="11" customHeight="1">
      <c r="A221" s="10" t="inlineStr">
        <is>
          <t>REENTRY_POST_CONSOL_TFS_REQUIRED</t>
        </is>
      </c>
      <c r="B221" s="11" t="inlineStr">
        <is>
          <t>2.0</t>
        </is>
      </c>
      <c r="E221">
        <f>IF(G221="",E220,IF(G221&gt;0,E220+G221,E220))</f>
        <v/>
      </c>
      <c r="G221">
        <f>IFERROR(VLOOKUP($A221&amp;"="&amp;$B221,Results_Deltas!$A$2:$P$15000,5,FALSE),"")</f>
        <v/>
      </c>
      <c r="H221">
        <f>IFERROR(VLOOKUP($A221,Results_30d_Deltas!$A$2:$H$5000,7,FALSE)-E220,"")</f>
        <v/>
      </c>
      <c r="I221">
        <f>IFERROR(VLOOKUP($A221,Results_30d_Deltas!$A$2:$H$5000,6,FALSE),"")</f>
        <v/>
      </c>
      <c r="L221">
        <f>IF(B221=C221,"YES","NO")</f>
        <v/>
      </c>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8" t="n"/>
      <c r="FS221" s="55" t="n"/>
      <c r="FT221" s="55"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I221" s="8" t="n"/>
      <c r="IK221" s="9" t="inlineStr">
        <is>
          <t>ez_manage.py:5320 top()</t>
        </is>
      </c>
      <c r="IL221" s="9" t="inlineStr">
        <is>
          <t>v12_quick_engine.py:2899 x3</t>
        </is>
      </c>
    </row>
    <row r="222" ht="11" customHeight="1">
      <c r="A222" s="10" t="inlineStr">
        <is>
          <t>REENTRY_PRICE_IMPROVE_PCT</t>
        </is>
      </c>
      <c r="B222" s="11" t="inlineStr">
        <is>
          <t>0</t>
        </is>
      </c>
      <c r="E222">
        <f>IF(G222="",E221,IF(G222&gt;0,E221+G222,E221))</f>
        <v/>
      </c>
      <c r="G222">
        <f>IFERROR(VLOOKUP($A222&amp;"="&amp;$B222,Results_Deltas!$A$2:$P$15000,5,FALSE),"")</f>
        <v/>
      </c>
      <c r="H222">
        <f>IFERROR(VLOOKUP($A222,Results_30d_Deltas!$A$2:$H$5000,7,FALSE)-E221,"")</f>
        <v/>
      </c>
      <c r="I222">
        <f>IFERROR(VLOOKUP($A222,Results_30d_Deltas!$A$2:$H$5000,6,FALSE),"")</f>
        <v/>
      </c>
      <c r="L222">
        <f>IF(B222=C222,"YES","NO")</f>
        <v/>
      </c>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8" t="n"/>
      <c r="FS222" s="55" t="n"/>
      <c r="FT222" s="55"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I222" s="8" t="n"/>
      <c r="IK222" s="9" t="inlineStr">
        <is>
          <t>ez_manage.py:5321 top()</t>
        </is>
      </c>
      <c r="IL222" s="9" t="inlineStr">
        <is>
          <t>v12_quick_engine.py:2900 x3</t>
        </is>
      </c>
    </row>
    <row r="223" ht="11" customHeight="1">
      <c r="A223" s="10" t="inlineStr">
        <is>
          <t>REENTRY_PRICE_IMPROVE_PCT</t>
        </is>
      </c>
      <c r="B223" s="11" t="inlineStr">
        <is>
          <t>0.5</t>
        </is>
      </c>
      <c r="E223">
        <f>IF(G223="",E222,IF(G223&gt;0,E222+G223,E222))</f>
        <v/>
      </c>
      <c r="G223">
        <f>IFERROR(VLOOKUP($A223&amp;"="&amp;$B223,Results_Deltas!$A$2:$P$15000,5,FALSE),"")</f>
        <v/>
      </c>
      <c r="H223">
        <f>IFERROR(VLOOKUP($A223,Results_30d_Deltas!$A$2:$H$5000,7,FALSE)-E222,"")</f>
        <v/>
      </c>
      <c r="I223">
        <f>IFERROR(VLOOKUP($A223,Results_30d_Deltas!$A$2:$H$5000,6,FALSE),"")</f>
        <v/>
      </c>
      <c r="L223">
        <f>IF(B223=C223,"YES","NO")</f>
        <v/>
      </c>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8" t="n"/>
      <c r="FS223" s="55" t="n"/>
      <c r="FT223" s="55"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I223" s="8" t="n"/>
      <c r="IK223" s="9" t="inlineStr">
        <is>
          <t>ez_manage.py:5321 top()</t>
        </is>
      </c>
      <c r="IL223" s="9" t="inlineStr">
        <is>
          <t>v12_quick_engine.py:2900 x3</t>
        </is>
      </c>
    </row>
    <row r="224" ht="11" customHeight="1">
      <c r="A224" s="10" t="inlineStr">
        <is>
          <t>REENTRY_PRICE_IMPROVE_PCT</t>
        </is>
      </c>
      <c r="B224" s="11" t="inlineStr">
        <is>
          <t>1.0</t>
        </is>
      </c>
      <c r="E224">
        <f>IF(G224="",E223,IF(G224&gt;0,E223+G224,E223))</f>
        <v/>
      </c>
      <c r="G224">
        <f>IFERROR(VLOOKUP($A224&amp;"="&amp;$B224,Results_Deltas!$A$2:$P$15000,5,FALSE),"")</f>
        <v/>
      </c>
      <c r="H224">
        <f>IFERROR(VLOOKUP($A224,Results_30d_Deltas!$A$2:$H$5000,7,FALSE)-E223,"")</f>
        <v/>
      </c>
      <c r="I224">
        <f>IFERROR(VLOOKUP($A224,Results_30d_Deltas!$A$2:$H$5000,6,FALSE),"")</f>
        <v/>
      </c>
      <c r="L224">
        <f>IF(B224=C224,"YES","NO")</f>
        <v/>
      </c>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8" t="n"/>
      <c r="FS224" s="55" t="n"/>
      <c r="FT224" s="55"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I224" s="8" t="n"/>
      <c r="IK224" s="9" t="inlineStr">
        <is>
          <t>ez_manage.py:5321 top()</t>
        </is>
      </c>
      <c r="IL224" s="9" t="inlineStr">
        <is>
          <t>v12_quick_engine.py:2900 x3</t>
        </is>
      </c>
    </row>
    <row r="225" ht="11" customHeight="1">
      <c r="A225" s="10" t="inlineStr">
        <is>
          <t>REENTRY_PRICE_IMPROVE_PCT</t>
        </is>
      </c>
      <c r="B225" s="11" t="inlineStr">
        <is>
          <t>2.0</t>
        </is>
      </c>
      <c r="E225">
        <f>IF(G225="",E224,IF(G225&gt;0,E224+G225,E224))</f>
        <v/>
      </c>
      <c r="G225">
        <f>IFERROR(VLOOKUP($A225&amp;"="&amp;$B225,Results_Deltas!$A$2:$P$15000,5,FALSE),"")</f>
        <v/>
      </c>
      <c r="H225">
        <f>IFERROR(VLOOKUP($A225,Results_30d_Deltas!$A$2:$H$5000,7,FALSE)-E224,"")</f>
        <v/>
      </c>
      <c r="I225">
        <f>IFERROR(VLOOKUP($A225,Results_30d_Deltas!$A$2:$H$5000,6,FALSE),"")</f>
        <v/>
      </c>
      <c r="L225">
        <f>IF(B225=C225,"YES","NO")</f>
        <v/>
      </c>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8" t="n"/>
      <c r="FS225" s="55" t="n"/>
      <c r="FT225" s="55"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I225" s="8" t="n"/>
      <c r="IK225" s="9" t="inlineStr">
        <is>
          <t>ez_manage.py:5321 top()</t>
        </is>
      </c>
      <c r="IL225" s="9" t="inlineStr">
        <is>
          <t>v12_quick_engine.py:2900 x3</t>
        </is>
      </c>
    </row>
    <row r="226" ht="11" customHeight="1">
      <c r="A226" s="10" t="inlineStr">
        <is>
          <t>REENTRY_SIZE_DIP_MULT</t>
        </is>
      </c>
      <c r="B226" s="11" t="inlineStr">
        <is>
          <t>0</t>
        </is>
      </c>
      <c r="E226">
        <f>IF(G226="",E225,IF(G226&gt;0,E225+G226,E225))</f>
        <v/>
      </c>
      <c r="G226">
        <f>IFERROR(VLOOKUP($A226&amp;"="&amp;$B226,Results_Deltas!$A$2:$P$15000,5,FALSE),"")</f>
        <v/>
      </c>
      <c r="H226">
        <f>IFERROR(VLOOKUP($A226,Results_30d_Deltas!$A$2:$H$5000,7,FALSE)-E225,"")</f>
        <v/>
      </c>
      <c r="I226">
        <f>IFERROR(VLOOKUP($A226,Results_30d_Deltas!$A$2:$H$5000,6,FALSE),"")</f>
        <v/>
      </c>
      <c r="L226">
        <f>IF(B226=C226,"YES","NO")</f>
        <v/>
      </c>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8" t="n"/>
      <c r="FS226" s="55" t="n"/>
      <c r="FT226" s="55"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8" t="n"/>
      <c r="HI226" s="55" t="n"/>
      <c r="HJ226" s="55" t="n"/>
      <c r="HK226" s="55" t="n"/>
      <c r="HL226" s="55" t="n"/>
      <c r="HM226" s="55"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I226" s="8" t="n"/>
      <c r="IK226" s="9" t="inlineStr">
        <is>
          <t>ez_manage.py:3871 top()</t>
        </is>
      </c>
      <c r="IL226" s="9" t="inlineStr">
        <is>
          <t>v12_quick_engine.py:2904 x3</t>
        </is>
      </c>
    </row>
    <row r="227" ht="11" customHeight="1">
      <c r="A227" s="10" t="inlineStr">
        <is>
          <t>REENTRY_SIZE_DIP_MULT</t>
        </is>
      </c>
      <c r="B227" s="11" t="inlineStr">
        <is>
          <t>0.5</t>
        </is>
      </c>
      <c r="E227">
        <f>IF(G227="",E226,IF(G227&gt;0,E226+G227,E226))</f>
        <v/>
      </c>
      <c r="G227">
        <f>IFERROR(VLOOKUP($A227&amp;"="&amp;$B227,Results_Deltas!$A$2:$P$15000,5,FALSE),"")</f>
        <v/>
      </c>
      <c r="H227">
        <f>IFERROR(VLOOKUP($A227,Results_30d_Deltas!$A$2:$H$5000,7,FALSE)-E226,"")</f>
        <v/>
      </c>
      <c r="I227">
        <f>IFERROR(VLOOKUP($A227,Results_30d_Deltas!$A$2:$H$5000,6,FALSE),"")</f>
        <v/>
      </c>
      <c r="L227">
        <f>IF(B227=C227,"YES","NO")</f>
        <v/>
      </c>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8" t="n"/>
      <c r="FS227" s="55" t="n"/>
      <c r="FT227" s="55"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8" t="n"/>
      <c r="HI227" s="55" t="n"/>
      <c r="HJ227" s="55" t="n"/>
      <c r="HK227" s="55" t="n"/>
      <c r="HL227" s="55" t="n"/>
      <c r="HM227" s="55"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I227" s="8" t="n"/>
      <c r="IK227" s="9" t="inlineStr">
        <is>
          <t>ez_manage.py:3871 top()</t>
        </is>
      </c>
      <c r="IL227" s="9" t="inlineStr">
        <is>
          <t>v12_quick_engine.py:2904 x3</t>
        </is>
      </c>
    </row>
    <row r="228" ht="11" customHeight="1">
      <c r="A228" s="10" t="inlineStr">
        <is>
          <t>REENTRY_SIZE_DIP_MULT</t>
        </is>
      </c>
      <c r="B228" s="11" t="inlineStr">
        <is>
          <t>1.0</t>
        </is>
      </c>
      <c r="E228">
        <f>IF(G228="",E227,IF(G228&gt;0,E227+G228,E227))</f>
        <v/>
      </c>
      <c r="G228">
        <f>IFERROR(VLOOKUP($A228&amp;"="&amp;$B228,Results_Deltas!$A$2:$P$15000,5,FALSE),"")</f>
        <v/>
      </c>
      <c r="H228">
        <f>IFERROR(VLOOKUP($A228,Results_30d_Deltas!$A$2:$H$5000,7,FALSE)-E227,"")</f>
        <v/>
      </c>
      <c r="I228">
        <f>IFERROR(VLOOKUP($A228,Results_30d_Deltas!$A$2:$H$5000,6,FALSE),"")</f>
        <v/>
      </c>
      <c r="L228">
        <f>IF(B228=C228,"YES","NO")</f>
        <v/>
      </c>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8" t="n"/>
      <c r="FS228" s="55" t="n"/>
      <c r="FT228" s="55"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8" t="n"/>
      <c r="HI228" s="55" t="n"/>
      <c r="HJ228" s="55" t="n"/>
      <c r="HK228" s="55" t="n"/>
      <c r="HL228" s="55" t="n"/>
      <c r="HM228" s="55"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I228" s="8" t="n"/>
      <c r="IK228" s="9" t="inlineStr">
        <is>
          <t>ez_manage.py:3871 top()</t>
        </is>
      </c>
      <c r="IL228" s="9" t="inlineStr">
        <is>
          <t>v12_quick_engine.py:2904 x3</t>
        </is>
      </c>
    </row>
    <row r="229" ht="11" customHeight="1">
      <c r="A229" s="10" t="inlineStr">
        <is>
          <t>REENTRY_SIZE_DIP_MULT</t>
        </is>
      </c>
      <c r="B229" s="11" t="inlineStr">
        <is>
          <t>2.0</t>
        </is>
      </c>
      <c r="E229">
        <f>IF(G229="",E228,IF(G229&gt;0,E228+G229,E228))</f>
        <v/>
      </c>
      <c r="G229">
        <f>IFERROR(VLOOKUP($A229&amp;"="&amp;$B229,Results_Deltas!$A$2:$P$15000,5,FALSE),"")</f>
        <v/>
      </c>
      <c r="H229">
        <f>IFERROR(VLOOKUP($A229,Results_30d_Deltas!$A$2:$H$5000,7,FALSE)-E228,"")</f>
        <v/>
      </c>
      <c r="I229">
        <f>IFERROR(VLOOKUP($A229,Results_30d_Deltas!$A$2:$H$5000,6,FALSE),"")</f>
        <v/>
      </c>
      <c r="L229">
        <f>IF(B229=C229,"YES","NO")</f>
        <v/>
      </c>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8" t="n"/>
      <c r="FS229" s="55" t="n"/>
      <c r="FT229" s="55"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8" t="n"/>
      <c r="HI229" s="55" t="n"/>
      <c r="HJ229" s="55" t="n"/>
      <c r="HK229" s="55" t="n"/>
      <c r="HL229" s="55" t="n"/>
      <c r="HM229" s="55"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I229" s="8" t="n"/>
      <c r="IK229" s="9" t="inlineStr">
        <is>
          <t>ez_manage.py:3871 top()</t>
        </is>
      </c>
      <c r="IL229" s="9" t="inlineStr">
        <is>
          <t>v12_quick_engine.py:2904 x3</t>
        </is>
      </c>
    </row>
    <row r="230" ht="11" customHeight="1">
      <c r="A230" s="10" t="inlineStr">
        <is>
          <t>REENTRY_SIZE_EXTENDED_K1H</t>
        </is>
      </c>
      <c r="B230" s="11" t="inlineStr">
        <is>
          <t>0</t>
        </is>
      </c>
      <c r="E230">
        <f>IF(G230="",E229,IF(G230&gt;0,E229+G230,E229))</f>
        <v/>
      </c>
      <c r="G230">
        <f>IFERROR(VLOOKUP($A230&amp;"="&amp;$B230,Results_Deltas!$A$2:$P$15000,5,FALSE),"")</f>
        <v/>
      </c>
      <c r="H230">
        <f>IFERROR(VLOOKUP($A230,Results_30d_Deltas!$A$2:$H$5000,7,FALSE)-E229,"")</f>
        <v/>
      </c>
      <c r="I230">
        <f>IFERROR(VLOOKUP($A230,Results_30d_Deltas!$A$2:$H$5000,6,FALSE),"")</f>
        <v/>
      </c>
      <c r="L230">
        <f>IF(B230=C230,"YES","NO")</f>
        <v/>
      </c>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8" t="n"/>
      <c r="FS230" s="55" t="n"/>
      <c r="FT230" s="55"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8" t="n"/>
      <c r="HI230" s="55" t="n"/>
      <c r="HJ230" s="55" t="n"/>
      <c r="HK230" s="55" t="n"/>
      <c r="HL230" s="55" t="n"/>
      <c r="HM230" s="55"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I230" s="8" t="n"/>
      <c r="IK230" s="9" t="inlineStr">
        <is>
          <t>ez_manage.py:3872 top()</t>
        </is>
      </c>
      <c r="IL230" s="9" t="inlineStr">
        <is>
          <t>v12_quick_engine.py:2905 x5</t>
        </is>
      </c>
    </row>
    <row r="231" ht="11" customHeight="1">
      <c r="A231" s="10" t="inlineStr">
        <is>
          <t>REENTRY_SIZE_EXTENDED_K1H</t>
        </is>
      </c>
      <c r="B231" s="11" t="inlineStr">
        <is>
          <t>0.5</t>
        </is>
      </c>
      <c r="E231">
        <f>IF(G231="",E230,IF(G231&gt;0,E230+G231,E230))</f>
        <v/>
      </c>
      <c r="G231">
        <f>IFERROR(VLOOKUP($A231&amp;"="&amp;$B231,Results_Deltas!$A$2:$P$15000,5,FALSE),"")</f>
        <v/>
      </c>
      <c r="H231">
        <f>IFERROR(VLOOKUP($A231,Results_30d_Deltas!$A$2:$H$5000,7,FALSE)-E230,"")</f>
        <v/>
      </c>
      <c r="I231">
        <f>IFERROR(VLOOKUP($A231,Results_30d_Deltas!$A$2:$H$5000,6,FALSE),"")</f>
        <v/>
      </c>
      <c r="L231">
        <f>IF(B231=C231,"YES","NO")</f>
        <v/>
      </c>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8" t="n"/>
      <c r="FS231" s="55" t="n"/>
      <c r="FT231" s="55"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8" t="n"/>
      <c r="HI231" s="55" t="n"/>
      <c r="HJ231" s="55" t="n"/>
      <c r="HK231" s="55" t="n"/>
      <c r="HL231" s="55" t="n"/>
      <c r="HM231" s="55"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I231" s="8" t="n"/>
      <c r="IK231" s="9" t="inlineStr">
        <is>
          <t>ez_manage.py:3872 top()</t>
        </is>
      </c>
      <c r="IL231" s="9" t="inlineStr">
        <is>
          <t>v12_quick_engine.py:2905 x5</t>
        </is>
      </c>
    </row>
    <row r="232" ht="11" customHeight="1">
      <c r="A232" s="10" t="inlineStr">
        <is>
          <t>REENTRY_SIZE_EXTENDED_K1H</t>
        </is>
      </c>
      <c r="B232" s="11" t="inlineStr">
        <is>
          <t>1.0</t>
        </is>
      </c>
      <c r="E232">
        <f>IF(G232="",E231,IF(G232&gt;0,E231+G232,E231))</f>
        <v/>
      </c>
      <c r="G232">
        <f>IFERROR(VLOOKUP($A232&amp;"="&amp;$B232,Results_Deltas!$A$2:$P$15000,5,FALSE),"")</f>
        <v/>
      </c>
      <c r="H232">
        <f>IFERROR(VLOOKUP($A232,Results_30d_Deltas!$A$2:$H$5000,7,FALSE)-E231,"")</f>
        <v/>
      </c>
      <c r="I232">
        <f>IFERROR(VLOOKUP($A232,Results_30d_Deltas!$A$2:$H$5000,6,FALSE),"")</f>
        <v/>
      </c>
      <c r="L232">
        <f>IF(B232=C232,"YES","NO")</f>
        <v/>
      </c>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8" t="n"/>
      <c r="FS232" s="55" t="n"/>
      <c r="FT232" s="55"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8" t="n"/>
      <c r="HI232" s="55" t="n"/>
      <c r="HJ232" s="55" t="n"/>
      <c r="HK232" s="55" t="n"/>
      <c r="HL232" s="55" t="n"/>
      <c r="HM232" s="55"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I232" s="8" t="n"/>
      <c r="IK232" s="9" t="inlineStr">
        <is>
          <t>ez_manage.py:3872 top()</t>
        </is>
      </c>
      <c r="IL232" s="9" t="inlineStr">
        <is>
          <t>v12_quick_engine.py:2905 x5</t>
        </is>
      </c>
    </row>
    <row r="233" ht="11" customHeight="1">
      <c r="A233" s="10" t="inlineStr">
        <is>
          <t>REENTRY_SIZE_EXTENDED_K1H</t>
        </is>
      </c>
      <c r="B233" s="11" t="inlineStr">
        <is>
          <t>2.0</t>
        </is>
      </c>
      <c r="E233">
        <f>IF(G233="",E232,IF(G233&gt;0,E232+G233,E232))</f>
        <v/>
      </c>
      <c r="G233">
        <f>IFERROR(VLOOKUP($A233&amp;"="&amp;$B233,Results_Deltas!$A$2:$P$15000,5,FALSE),"")</f>
        <v/>
      </c>
      <c r="H233">
        <f>IFERROR(VLOOKUP($A233,Results_30d_Deltas!$A$2:$H$5000,7,FALSE)-E232,"")</f>
        <v/>
      </c>
      <c r="I233">
        <f>IFERROR(VLOOKUP($A233,Results_30d_Deltas!$A$2:$H$5000,6,FALSE),"")</f>
        <v/>
      </c>
      <c r="L233">
        <f>IF(B233=C233,"YES","NO")</f>
        <v/>
      </c>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8" t="n"/>
      <c r="FS233" s="55" t="n"/>
      <c r="FT233" s="55"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8" t="n"/>
      <c r="HI233" s="55" t="n"/>
      <c r="HJ233" s="55" t="n"/>
      <c r="HK233" s="55" t="n"/>
      <c r="HL233" s="55" t="n"/>
      <c r="HM233" s="55"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I233" s="8" t="n"/>
      <c r="IK233" s="9" t="inlineStr">
        <is>
          <t>ez_manage.py:3872 top()</t>
        </is>
      </c>
      <c r="IL233" s="9" t="inlineStr">
        <is>
          <t>v12_quick_engine.py:2905 x5</t>
        </is>
      </c>
    </row>
    <row r="234" ht="11" customHeight="1">
      <c r="A234" s="10" t="inlineStr">
        <is>
          <t>REENTRY_SIZE_EXTENDED_MULT</t>
        </is>
      </c>
      <c r="B234" s="11" t="inlineStr">
        <is>
          <t>0</t>
        </is>
      </c>
      <c r="E234">
        <f>IF(G234="",E233,IF(G234&gt;0,E233+G234,E233))</f>
        <v/>
      </c>
      <c r="G234">
        <f>IFERROR(VLOOKUP($A234&amp;"="&amp;$B234,Results_Deltas!$A$2:$P$15000,5,FALSE),"")</f>
        <v/>
      </c>
      <c r="H234">
        <f>IFERROR(VLOOKUP($A234,Results_30d_Deltas!$A$2:$H$5000,7,FALSE)-E233,"")</f>
        <v/>
      </c>
      <c r="I234">
        <f>IFERROR(VLOOKUP($A234,Results_30d_Deltas!$A$2:$H$5000,6,FALSE),"")</f>
        <v/>
      </c>
      <c r="L234">
        <f>IF(B234=C234,"YES","NO")</f>
        <v/>
      </c>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8" t="n"/>
      <c r="FS234" s="55" t="n"/>
      <c r="FT234" s="55"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8" t="n"/>
      <c r="HI234" s="55" t="n"/>
      <c r="HJ234" s="55" t="n"/>
      <c r="HK234" s="55" t="n"/>
      <c r="HL234" s="55" t="n"/>
      <c r="HM234" s="55"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I234" s="8" t="n"/>
      <c r="IK234" s="9" t="inlineStr">
        <is>
          <t>ez_manage.py:3873 top()</t>
        </is>
      </c>
      <c r="IL234" s="9" t="inlineStr">
        <is>
          <t>v12_quick_engine.py:2906 x3</t>
        </is>
      </c>
    </row>
    <row r="235" ht="11" customHeight="1">
      <c r="A235" s="10" t="inlineStr">
        <is>
          <t>REENTRY_SIZE_EXTENDED_MULT</t>
        </is>
      </c>
      <c r="B235" s="11" t="inlineStr">
        <is>
          <t>0.5</t>
        </is>
      </c>
      <c r="E235">
        <f>IF(G235="",E234,IF(G235&gt;0,E234+G235,E234))</f>
        <v/>
      </c>
      <c r="G235">
        <f>IFERROR(VLOOKUP($A235&amp;"="&amp;$B235,Results_Deltas!$A$2:$P$15000,5,FALSE),"")</f>
        <v/>
      </c>
      <c r="H235">
        <f>IFERROR(VLOOKUP($A235,Results_30d_Deltas!$A$2:$H$5000,7,FALSE)-E234,"")</f>
        <v/>
      </c>
      <c r="I235">
        <f>IFERROR(VLOOKUP($A235,Results_30d_Deltas!$A$2:$H$5000,6,FALSE),"")</f>
        <v/>
      </c>
      <c r="L235">
        <f>IF(B235=C235,"YES","NO")</f>
        <v/>
      </c>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8" t="n"/>
      <c r="FS235" s="55" t="n"/>
      <c r="FT235" s="55"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8" t="n"/>
      <c r="HI235" s="55" t="n"/>
      <c r="HJ235" s="55" t="n"/>
      <c r="HK235" s="55" t="n"/>
      <c r="HL235" s="55" t="n"/>
      <c r="HM235" s="55"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I235" s="8" t="n"/>
      <c r="IK235" s="9" t="inlineStr">
        <is>
          <t>ez_manage.py:3873 top()</t>
        </is>
      </c>
      <c r="IL235" s="9" t="inlineStr">
        <is>
          <t>v12_quick_engine.py:2906 x3</t>
        </is>
      </c>
    </row>
    <row r="236" ht="11" customHeight="1">
      <c r="A236" s="10" t="inlineStr">
        <is>
          <t>REENTRY_SIZE_EXTENDED_MULT</t>
        </is>
      </c>
      <c r="B236" s="11" t="inlineStr">
        <is>
          <t>1.0</t>
        </is>
      </c>
      <c r="E236">
        <f>IF(G236="",E235,IF(G236&gt;0,E235+G236,E235))</f>
        <v/>
      </c>
      <c r="G236">
        <f>IFERROR(VLOOKUP($A236&amp;"="&amp;$B236,Results_Deltas!$A$2:$P$15000,5,FALSE),"")</f>
        <v/>
      </c>
      <c r="H236">
        <f>IFERROR(VLOOKUP($A236,Results_30d_Deltas!$A$2:$H$5000,7,FALSE)-E235,"")</f>
        <v/>
      </c>
      <c r="I236">
        <f>IFERROR(VLOOKUP($A236,Results_30d_Deltas!$A$2:$H$5000,6,FALSE),"")</f>
        <v/>
      </c>
      <c r="L236">
        <f>IF(B236=C236,"YES","NO")</f>
        <v/>
      </c>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8" t="n"/>
      <c r="FS236" s="55" t="n"/>
      <c r="FT236" s="55"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8" t="n"/>
      <c r="HI236" s="55" t="n"/>
      <c r="HJ236" s="55" t="n"/>
      <c r="HK236" s="55" t="n"/>
      <c r="HL236" s="55" t="n"/>
      <c r="HM236" s="55"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I236" s="8" t="n"/>
      <c r="IK236" s="9" t="inlineStr">
        <is>
          <t>ez_manage.py:3873 top()</t>
        </is>
      </c>
      <c r="IL236" s="9" t="inlineStr">
        <is>
          <t>v12_quick_engine.py:2906 x3</t>
        </is>
      </c>
    </row>
    <row r="237" ht="11" customHeight="1">
      <c r="A237" s="10" t="inlineStr">
        <is>
          <t>REENTRY_SIZE_EXTENDED_MULT</t>
        </is>
      </c>
      <c r="B237" s="11" t="inlineStr">
        <is>
          <t>2.0</t>
        </is>
      </c>
      <c r="E237">
        <f>IF(G237="",E236,IF(G237&gt;0,E236+G237,E236))</f>
        <v/>
      </c>
      <c r="G237">
        <f>IFERROR(VLOOKUP($A237&amp;"="&amp;$B237,Results_Deltas!$A$2:$P$15000,5,FALSE),"")</f>
        <v/>
      </c>
      <c r="H237">
        <f>IFERROR(VLOOKUP($A237,Results_30d_Deltas!$A$2:$H$5000,7,FALSE)-E236,"")</f>
        <v/>
      </c>
      <c r="I237">
        <f>IFERROR(VLOOKUP($A237,Results_30d_Deltas!$A$2:$H$5000,6,FALSE),"")</f>
        <v/>
      </c>
      <c r="L237">
        <f>IF(B237=C237,"YES","NO")</f>
        <v/>
      </c>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8" t="n"/>
      <c r="FS237" s="55" t="n"/>
      <c r="FT237" s="55"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8" t="n"/>
      <c r="HI237" s="55" t="n"/>
      <c r="HJ237" s="55" t="n"/>
      <c r="HK237" s="55" t="n"/>
      <c r="HL237" s="55" t="n"/>
      <c r="HM237" s="55"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I237" s="8" t="n"/>
      <c r="IK237" s="9" t="inlineStr">
        <is>
          <t>ez_manage.py:3873 top()</t>
        </is>
      </c>
      <c r="IL237" s="9" t="inlineStr">
        <is>
          <t>v12_quick_engine.py:2906 x3</t>
        </is>
      </c>
    </row>
    <row r="238" ht="11" customHeight="1">
      <c r="A238" s="10" t="inlineStr">
        <is>
          <t>REENTRY_TIER1_SIZE_MULT</t>
        </is>
      </c>
      <c r="B238" s="11" t="inlineStr">
        <is>
          <t>0</t>
        </is>
      </c>
      <c r="E238">
        <f>IF(G238="",E237,IF(G238&gt;0,E237+G238,E237))</f>
        <v/>
      </c>
      <c r="G238">
        <f>IFERROR(VLOOKUP($A238&amp;"="&amp;$B238,Results_Deltas!$A$2:$P$15000,5,FALSE),"")</f>
        <v/>
      </c>
      <c r="H238">
        <f>IFERROR(VLOOKUP($A238,Results_30d_Deltas!$A$2:$H$5000,7,FALSE)-E237,"")</f>
        <v/>
      </c>
      <c r="I238">
        <f>IFERROR(VLOOKUP($A238,Results_30d_Deltas!$A$2:$H$5000,6,FALSE),"")</f>
        <v/>
      </c>
      <c r="L238">
        <f>IF(B238=C238,"YES","NO")</f>
        <v/>
      </c>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8" t="n"/>
      <c r="FS238" s="55" t="n"/>
      <c r="FT238" s="55"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8" t="n"/>
      <c r="HI238" s="55" t="n"/>
      <c r="HJ238" s="55" t="n"/>
      <c r="HK238" s="55" t="n"/>
      <c r="HL238" s="55" t="n"/>
      <c r="HM238" s="55"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I238" s="8" t="n"/>
      <c r="IK238" s="9" t="inlineStr">
        <is>
          <t>ez_manage.py:3878 top()</t>
        </is>
      </c>
      <c r="IL238" s="9" t="inlineStr">
        <is>
          <t>v12_quick_engine.py:2912 x11</t>
        </is>
      </c>
    </row>
    <row r="239" ht="11" customHeight="1">
      <c r="A239" s="10" t="inlineStr">
        <is>
          <t>REENTRY_TIER1_SIZE_MULT</t>
        </is>
      </c>
      <c r="B239" s="11" t="inlineStr">
        <is>
          <t>0.5</t>
        </is>
      </c>
      <c r="E239">
        <f>IF(G239="",E238,IF(G239&gt;0,E238+G239,E238))</f>
        <v/>
      </c>
      <c r="G239">
        <f>IFERROR(VLOOKUP($A239&amp;"="&amp;$B239,Results_Deltas!$A$2:$P$15000,5,FALSE),"")</f>
        <v/>
      </c>
      <c r="H239">
        <f>IFERROR(VLOOKUP($A239,Results_30d_Deltas!$A$2:$H$5000,7,FALSE)-E238,"")</f>
        <v/>
      </c>
      <c r="I239">
        <f>IFERROR(VLOOKUP($A239,Results_30d_Deltas!$A$2:$H$5000,6,FALSE),"")</f>
        <v/>
      </c>
      <c r="L239">
        <f>IF(B239=C239,"YES","NO")</f>
        <v/>
      </c>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8" t="n"/>
      <c r="FS239" s="55" t="n"/>
      <c r="FT239" s="55"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8" t="n"/>
      <c r="HI239" s="55" t="n"/>
      <c r="HJ239" s="55" t="n"/>
      <c r="HK239" s="55" t="n"/>
      <c r="HL239" s="55" t="n"/>
      <c r="HM239" s="55"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I239" s="8" t="n"/>
      <c r="IK239" s="9" t="inlineStr">
        <is>
          <t>ez_manage.py:3878 top()</t>
        </is>
      </c>
      <c r="IL239" s="9" t="inlineStr">
        <is>
          <t>v12_quick_engine.py:2912 x11</t>
        </is>
      </c>
    </row>
    <row r="240" ht="11" customHeight="1">
      <c r="A240" s="10" t="inlineStr">
        <is>
          <t>REENTRY_TIER1_SIZE_MULT</t>
        </is>
      </c>
      <c r="B240" s="11" t="inlineStr">
        <is>
          <t>1.0</t>
        </is>
      </c>
      <c r="E240">
        <f>IF(G240="",E239,IF(G240&gt;0,E239+G240,E239))</f>
        <v/>
      </c>
      <c r="G240">
        <f>IFERROR(VLOOKUP($A240&amp;"="&amp;$B240,Results_Deltas!$A$2:$P$15000,5,FALSE),"")</f>
        <v/>
      </c>
      <c r="H240">
        <f>IFERROR(VLOOKUP($A240,Results_30d_Deltas!$A$2:$H$5000,7,FALSE)-E239,"")</f>
        <v/>
      </c>
      <c r="I240">
        <f>IFERROR(VLOOKUP($A240,Results_30d_Deltas!$A$2:$H$5000,6,FALSE),"")</f>
        <v/>
      </c>
      <c r="L240">
        <f>IF(B240=C240,"YES","NO")</f>
        <v/>
      </c>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8" t="n"/>
      <c r="FS240" s="55" t="n"/>
      <c r="FT240" s="55"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8" t="n"/>
      <c r="HI240" s="55" t="n"/>
      <c r="HJ240" s="55" t="n"/>
      <c r="HK240" s="55" t="n"/>
      <c r="HL240" s="55" t="n"/>
      <c r="HM240" s="55"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I240" s="8" t="n"/>
      <c r="IK240" s="9" t="inlineStr">
        <is>
          <t>ez_manage.py:3878 top()</t>
        </is>
      </c>
      <c r="IL240" s="9" t="inlineStr">
        <is>
          <t>v12_quick_engine.py:2912 x11</t>
        </is>
      </c>
    </row>
    <row r="241" ht="11" customHeight="1">
      <c r="A241" s="10" t="inlineStr">
        <is>
          <t>REENTRY_TIER1_SIZE_MULT</t>
        </is>
      </c>
      <c r="B241" s="11" t="inlineStr">
        <is>
          <t>2.0</t>
        </is>
      </c>
      <c r="E241">
        <f>IF(G241="",E240,IF(G241&gt;0,E240+G241,E240))</f>
        <v/>
      </c>
      <c r="G241">
        <f>IFERROR(VLOOKUP($A241&amp;"="&amp;$B241,Results_Deltas!$A$2:$P$15000,5,FALSE),"")</f>
        <v/>
      </c>
      <c r="H241">
        <f>IFERROR(VLOOKUP($A241,Results_30d_Deltas!$A$2:$H$5000,7,FALSE)-E240,"")</f>
        <v/>
      </c>
      <c r="I241">
        <f>IFERROR(VLOOKUP($A241,Results_30d_Deltas!$A$2:$H$5000,6,FALSE),"")</f>
        <v/>
      </c>
      <c r="L241">
        <f>IF(B241=C241,"YES","NO")</f>
        <v/>
      </c>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8" t="n"/>
      <c r="FS241" s="55" t="n"/>
      <c r="FT241" s="55"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8" t="n"/>
      <c r="HI241" s="55" t="n"/>
      <c r="HJ241" s="55" t="n"/>
      <c r="HK241" s="55" t="n"/>
      <c r="HL241" s="55" t="n"/>
      <c r="HM241" s="55"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I241" s="8" t="n"/>
      <c r="IK241" s="9" t="inlineStr">
        <is>
          <t>ez_manage.py:3878 top()</t>
        </is>
      </c>
      <c r="IL241" s="9" t="inlineStr">
        <is>
          <t>v12_quick_engine.py:2912 x11</t>
        </is>
      </c>
    </row>
    <row r="242" ht="11" customHeight="1">
      <c r="A242" s="10" t="inlineStr">
        <is>
          <t>REENTRY_TIER2_MAX_MINUTES</t>
        </is>
      </c>
      <c r="B242" s="11" t="inlineStr">
        <is>
          <t>0</t>
        </is>
      </c>
      <c r="E242">
        <f>IF(G242="",E241,IF(G242&gt;0,E241+G242,E241))</f>
        <v/>
      </c>
      <c r="G242">
        <f>IFERROR(VLOOKUP($A242&amp;"="&amp;$B242,Results_Deltas!$A$2:$P$15000,5,FALSE),"")</f>
        <v/>
      </c>
      <c r="H242">
        <f>IFERROR(VLOOKUP($A242,Results_30d_Deltas!$A$2:$H$5000,7,FALSE)-E241,"")</f>
        <v/>
      </c>
      <c r="I242">
        <f>IFERROR(VLOOKUP($A242,Results_30d_Deltas!$A$2:$H$5000,6,FALSE),"")</f>
        <v/>
      </c>
      <c r="L242">
        <f>IF(B242=C242,"YES","NO")</f>
        <v/>
      </c>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8" t="n"/>
      <c r="FS242" s="55" t="n"/>
      <c r="FT242" s="55"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I242" s="8" t="n"/>
      <c r="IK242" s="9" t="inlineStr">
        <is>
          <t>ez_manage.py:3879 top()</t>
        </is>
      </c>
      <c r="IL242" s="9" t="inlineStr">
        <is>
          <t>v12_quick_engine.py:2914 x10</t>
        </is>
      </c>
    </row>
    <row r="243" ht="11" customHeight="1">
      <c r="A243" s="10" t="inlineStr">
        <is>
          <t>REENTRY_TIER2_MAX_MINUTES</t>
        </is>
      </c>
      <c r="B243" s="11" t="inlineStr">
        <is>
          <t>0.5</t>
        </is>
      </c>
      <c r="E243">
        <f>IF(G243="",E242,IF(G243&gt;0,E242+G243,E242))</f>
        <v/>
      </c>
      <c r="G243">
        <f>IFERROR(VLOOKUP($A243&amp;"="&amp;$B243,Results_Deltas!$A$2:$P$15000,5,FALSE),"")</f>
        <v/>
      </c>
      <c r="H243">
        <f>IFERROR(VLOOKUP($A243,Results_30d_Deltas!$A$2:$H$5000,7,FALSE)-E242,"")</f>
        <v/>
      </c>
      <c r="I243">
        <f>IFERROR(VLOOKUP($A243,Results_30d_Deltas!$A$2:$H$5000,6,FALSE),"")</f>
        <v/>
      </c>
      <c r="L243">
        <f>IF(B243=C243,"YES","NO")</f>
        <v/>
      </c>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8" t="n"/>
      <c r="FS243" s="55" t="n"/>
      <c r="FT243" s="55"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I243" s="8" t="n"/>
      <c r="IK243" s="9" t="inlineStr">
        <is>
          <t>ez_manage.py:3879 top()</t>
        </is>
      </c>
      <c r="IL243" s="9" t="inlineStr">
        <is>
          <t>v12_quick_engine.py:2914 x10</t>
        </is>
      </c>
    </row>
    <row r="244" ht="11" customHeight="1">
      <c r="A244" s="10" t="inlineStr">
        <is>
          <t>REENTRY_TIER2_MAX_MINUTES</t>
        </is>
      </c>
      <c r="B244" s="11" t="inlineStr">
        <is>
          <t>1.0</t>
        </is>
      </c>
      <c r="E244">
        <f>IF(G244="",E243,IF(G244&gt;0,E243+G244,E243))</f>
        <v/>
      </c>
      <c r="G244">
        <f>IFERROR(VLOOKUP($A244&amp;"="&amp;$B244,Results_Deltas!$A$2:$P$15000,5,FALSE),"")</f>
        <v/>
      </c>
      <c r="H244">
        <f>IFERROR(VLOOKUP($A244,Results_30d_Deltas!$A$2:$H$5000,7,FALSE)-E243,"")</f>
        <v/>
      </c>
      <c r="I244">
        <f>IFERROR(VLOOKUP($A244,Results_30d_Deltas!$A$2:$H$5000,6,FALSE),"")</f>
        <v/>
      </c>
      <c r="L244">
        <f>IF(B244=C244,"YES","NO")</f>
        <v/>
      </c>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8" t="n"/>
      <c r="FS244" s="55" t="n"/>
      <c r="FT244" s="55"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I244" s="8" t="n"/>
      <c r="IK244" s="9" t="inlineStr">
        <is>
          <t>ez_manage.py:3879 top()</t>
        </is>
      </c>
      <c r="IL244" s="9" t="inlineStr">
        <is>
          <t>v12_quick_engine.py:2914 x10</t>
        </is>
      </c>
    </row>
    <row r="245" ht="11" customHeight="1">
      <c r="A245" s="10" t="inlineStr">
        <is>
          <t>REENTRY_TIER2_MAX_MINUTES</t>
        </is>
      </c>
      <c r="B245" s="11" t="inlineStr">
        <is>
          <t>2.0</t>
        </is>
      </c>
      <c r="E245">
        <f>IF(G245="",E244,IF(G245&gt;0,E244+G245,E244))</f>
        <v/>
      </c>
      <c r="G245">
        <f>IFERROR(VLOOKUP($A245&amp;"="&amp;$B245,Results_Deltas!$A$2:$P$15000,5,FALSE),"")</f>
        <v/>
      </c>
      <c r="H245">
        <f>IFERROR(VLOOKUP($A245,Results_30d_Deltas!$A$2:$H$5000,7,FALSE)-E244,"")</f>
        <v/>
      </c>
      <c r="I245">
        <f>IFERROR(VLOOKUP($A245,Results_30d_Deltas!$A$2:$H$5000,6,FALSE),"")</f>
        <v/>
      </c>
      <c r="L245">
        <f>IF(B245=C245,"YES","NO")</f>
        <v/>
      </c>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8" t="n"/>
      <c r="FS245" s="55" t="n"/>
      <c r="FT245" s="55"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I245" s="8" t="n"/>
      <c r="IK245" s="9" t="inlineStr">
        <is>
          <t>ez_manage.py:3879 top()</t>
        </is>
      </c>
      <c r="IL245" s="9" t="inlineStr">
        <is>
          <t>v12_quick_engine.py:2914 x10</t>
        </is>
      </c>
    </row>
    <row r="246" ht="11" customHeight="1">
      <c r="A246" s="10" t="inlineStr">
        <is>
          <t>REENTRY_WT15M_SIZE_MULT</t>
        </is>
      </c>
      <c r="B246" s="11" t="inlineStr">
        <is>
          <t>0</t>
        </is>
      </c>
      <c r="E246">
        <f>IF(G246="",E245,IF(G246&gt;0,E245+G246,E245))</f>
        <v/>
      </c>
      <c r="G246">
        <f>IFERROR(VLOOKUP($A246&amp;"="&amp;$B246,Results_Deltas!$A$2:$P$15000,5,FALSE),"")</f>
        <v/>
      </c>
      <c r="H246">
        <f>IFERROR(VLOOKUP($A246,Results_30d_Deltas!$A$2:$H$5000,7,FALSE)-E245,"")</f>
        <v/>
      </c>
      <c r="I246">
        <f>IFERROR(VLOOKUP($A246,Results_30d_Deltas!$A$2:$H$5000,6,FALSE),"")</f>
        <v/>
      </c>
      <c r="L246">
        <f>IF(B246=C246,"YES","NO")</f>
        <v/>
      </c>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8" t="n"/>
      <c r="FS246" s="55" t="n"/>
      <c r="FT246" s="55"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8" t="n"/>
      <c r="HI246" s="55" t="n"/>
      <c r="HJ246" s="55" t="n"/>
      <c r="HK246" s="55" t="n"/>
      <c r="HL246" s="55" t="n"/>
      <c r="HM246" s="55"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I246" s="8" t="n"/>
      <c r="IK246" s="9" t="inlineStr">
        <is>
          <t>ez_manage.py:3884 top()</t>
        </is>
      </c>
      <c r="IL246" s="9" t="inlineStr">
        <is>
          <t>v12_quick_engine.py:2926 x5</t>
        </is>
      </c>
    </row>
    <row r="247" ht="11" customHeight="1">
      <c r="A247" s="10" t="inlineStr">
        <is>
          <t>REENTRY_WT15M_SIZE_MULT</t>
        </is>
      </c>
      <c r="B247" s="11" t="inlineStr">
        <is>
          <t>0.5</t>
        </is>
      </c>
      <c r="E247">
        <f>IF(G247="",E246,IF(G247&gt;0,E246+G247,E246))</f>
        <v/>
      </c>
      <c r="G247">
        <f>IFERROR(VLOOKUP($A247&amp;"="&amp;$B247,Results_Deltas!$A$2:$P$15000,5,FALSE),"")</f>
        <v/>
      </c>
      <c r="H247">
        <f>IFERROR(VLOOKUP($A247,Results_30d_Deltas!$A$2:$H$5000,7,FALSE)-E246,"")</f>
        <v/>
      </c>
      <c r="I247">
        <f>IFERROR(VLOOKUP($A247,Results_30d_Deltas!$A$2:$H$5000,6,FALSE),"")</f>
        <v/>
      </c>
      <c r="L247">
        <f>IF(B247=C247,"YES","NO")</f>
        <v/>
      </c>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8" t="n"/>
      <c r="FS247" s="55" t="n"/>
      <c r="FT247" s="55"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8" t="n"/>
      <c r="HI247" s="55" t="n"/>
      <c r="HJ247" s="55" t="n"/>
      <c r="HK247" s="55" t="n"/>
      <c r="HL247" s="55" t="n"/>
      <c r="HM247" s="55"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I247" s="8" t="n"/>
      <c r="IK247" s="9" t="inlineStr">
        <is>
          <t>ez_manage.py:3884 top()</t>
        </is>
      </c>
      <c r="IL247" s="9" t="inlineStr">
        <is>
          <t>v12_quick_engine.py:2926 x5</t>
        </is>
      </c>
    </row>
    <row r="248" ht="11" customHeight="1">
      <c r="A248" s="10" t="inlineStr">
        <is>
          <t>REENTRY_WT15M_SIZE_MULT</t>
        </is>
      </c>
      <c r="B248" s="11" t="inlineStr">
        <is>
          <t>1.0</t>
        </is>
      </c>
      <c r="E248">
        <f>IF(G248="",E247,IF(G248&gt;0,E247+G248,E247))</f>
        <v/>
      </c>
      <c r="G248">
        <f>IFERROR(VLOOKUP($A248&amp;"="&amp;$B248,Results_Deltas!$A$2:$P$15000,5,FALSE),"")</f>
        <v/>
      </c>
      <c r="H248">
        <f>IFERROR(VLOOKUP($A248,Results_30d_Deltas!$A$2:$H$5000,7,FALSE)-E247,"")</f>
        <v/>
      </c>
      <c r="I248">
        <f>IFERROR(VLOOKUP($A248,Results_30d_Deltas!$A$2:$H$5000,6,FALSE),"")</f>
        <v/>
      </c>
      <c r="L248">
        <f>IF(B248=C248,"YES","NO")</f>
        <v/>
      </c>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8" t="n"/>
      <c r="FS248" s="55" t="n"/>
      <c r="FT248" s="55"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8" t="n"/>
      <c r="HI248" s="55" t="n"/>
      <c r="HJ248" s="55" t="n"/>
      <c r="HK248" s="55" t="n"/>
      <c r="HL248" s="55" t="n"/>
      <c r="HM248" s="55"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I248" s="8" t="n"/>
      <c r="IK248" s="9" t="inlineStr">
        <is>
          <t>ez_manage.py:3884 top()</t>
        </is>
      </c>
      <c r="IL248" s="9" t="inlineStr">
        <is>
          <t>v12_quick_engine.py:2926 x5</t>
        </is>
      </c>
    </row>
    <row r="249" ht="11" customHeight="1">
      <c r="A249" s="10" t="inlineStr">
        <is>
          <t>REENTRY_WT15M_SIZE_MULT</t>
        </is>
      </c>
      <c r="B249" s="11" t="inlineStr">
        <is>
          <t>2.0</t>
        </is>
      </c>
      <c r="E249">
        <f>IF(G249="",E248,IF(G249&gt;0,E248+G249,E248))</f>
        <v/>
      </c>
      <c r="G249">
        <f>IFERROR(VLOOKUP($A249&amp;"="&amp;$B249,Results_Deltas!$A$2:$P$15000,5,FALSE),"")</f>
        <v/>
      </c>
      <c r="H249">
        <f>IFERROR(VLOOKUP($A249,Results_30d_Deltas!$A$2:$H$5000,7,FALSE)-E248,"")</f>
        <v/>
      </c>
      <c r="I249">
        <f>IFERROR(VLOOKUP($A249,Results_30d_Deltas!$A$2:$H$5000,6,FALSE),"")</f>
        <v/>
      </c>
      <c r="L249">
        <f>IF(B249=C249,"YES","NO")</f>
        <v/>
      </c>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8" t="n"/>
      <c r="FS249" s="55" t="n"/>
      <c r="FT249" s="55"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8" t="n"/>
      <c r="HI249" s="55" t="n"/>
      <c r="HJ249" s="55" t="n"/>
      <c r="HK249" s="55" t="n"/>
      <c r="HL249" s="55" t="n"/>
      <c r="HM249" s="55"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I249" s="8" t="n"/>
      <c r="IK249" s="9" t="inlineStr">
        <is>
          <t>ez_manage.py:3884 top()</t>
        </is>
      </c>
      <c r="IL249" s="9" t="inlineStr">
        <is>
          <t>v12_quick_engine.py:2926 x5</t>
        </is>
      </c>
    </row>
    <row r="250" ht="11" customHeight="1">
      <c r="A250" s="6" t="inlineStr">
        <is>
          <t>VEC_REENTRY_DC4_EXITPRICE_ENABLED</t>
        </is>
      </c>
      <c r="B250" s="7" t="inlineStr">
        <is>
          <t>False</t>
        </is>
      </c>
      <c r="E250">
        <f>IF(G250="",E249,IF(G250&gt;0,E249+G250,E249))</f>
        <v/>
      </c>
      <c r="G250">
        <f>IFERROR(VLOOKUP($A250&amp;"="&amp;$B250,Results_Deltas!$A$2:$P$15000,5,FALSE),"")</f>
        <v/>
      </c>
      <c r="H250">
        <f>IFERROR(VLOOKUP($A250,Results_30d_Deltas!$A$2:$H$5000,7,FALSE)-E249,"")</f>
        <v/>
      </c>
      <c r="I250">
        <f>IFERROR(VLOOKUP($A250,Results_30d_Deltas!$A$2:$H$5000,6,FALSE),"")</f>
        <v/>
      </c>
      <c r="L250">
        <f>IF(B250=C250,"YES","NO")</f>
        <v/>
      </c>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8" t="n"/>
      <c r="ER250" s="55" t="n"/>
      <c r="ES250" s="55" t="n"/>
      <c r="ET250" s="55" t="n"/>
      <c r="EU250" s="55" t="n"/>
      <c r="EV250" s="55"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8" t="n"/>
      <c r="FS250" s="55" t="n"/>
      <c r="FT250" s="55"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I250" s="8" t="n"/>
      <c r="IK250" s="9" t="inlineStr">
        <is>
          <t>ez_manage.py:6075 top()</t>
        </is>
      </c>
      <c r="IL250" s="9" t="inlineStr">
        <is>
          <t>v12_quick_engine.py:4287 x4</t>
        </is>
      </c>
    </row>
    <row r="251" ht="11" customHeight="1">
      <c r="A251" s="10" t="inlineStr">
        <is>
          <t>VEC_REENTRY_DC4_EXITPRICE_ENABLED</t>
        </is>
      </c>
      <c r="B251" s="11" t="inlineStr">
        <is>
          <t>True</t>
        </is>
      </c>
      <c r="E251">
        <f>IF(G251="",E250,IF(G251&gt;0,E250+G251,E250))</f>
        <v/>
      </c>
      <c r="G251">
        <f>IFERROR(VLOOKUP($A251&amp;"="&amp;$B251,Results_Deltas!$A$2:$P$15000,5,FALSE),"")</f>
        <v/>
      </c>
      <c r="H251">
        <f>IFERROR(VLOOKUP($A251,Results_30d_Deltas!$A$2:$H$5000,7,FALSE)-E250,"")</f>
        <v/>
      </c>
      <c r="I251">
        <f>IFERROR(VLOOKUP($A251,Results_30d_Deltas!$A$2:$H$5000,6,FALSE),"")</f>
        <v/>
      </c>
      <c r="L251">
        <f>IF(B251=C251,"YES","NO")</f>
        <v/>
      </c>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8" t="n"/>
      <c r="ER251" s="55" t="n"/>
      <c r="ES251" s="55" t="n"/>
      <c r="ET251" s="55" t="n"/>
      <c r="EU251" s="55" t="n"/>
      <c r="EV251" s="55"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8" t="n"/>
      <c r="FS251" s="55" t="n"/>
      <c r="FT251" s="55"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I251" s="8" t="n"/>
      <c r="IK251" s="9" t="inlineStr">
        <is>
          <t>ez_manage.py:6075 top()</t>
        </is>
      </c>
      <c r="IL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G253" s="62" t="inlineStr">
        <is>
          <t>Rec</t>
        </is>
      </c>
      <c r="H253" s="62" t="inlineStr">
        <is>
          <t>Tested As</t>
        </is>
      </c>
      <c r="I253" s="62" t="inlineStr">
        <is>
          <t>Notes</t>
        </is>
      </c>
    </row>
    <row r="254">
      <c r="A254" s="63" t="inlineStr">
        <is>
          <t>ADX_RANGING_THRESHOLD</t>
        </is>
      </c>
      <c r="B254" s="56" t="inlineStr">
        <is>
          <t>20</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ADX_RANGING_THRESHOLD</t>
        </is>
      </c>
      <c r="B255" s="56" t="inlineStr">
        <is>
          <t>25</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ADX_RANGING_THRESHOLD</t>
        </is>
      </c>
      <c r="B256" s="56" t="inlineStr">
        <is>
          <t>15</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ADX_RANGING_THRESHOLD</t>
        </is>
      </c>
      <c r="B257" s="56" t="inlineStr">
        <is>
          <t>10</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BANDAID_OFF_LOSER_RECOVER_PCT</t>
        </is>
      </c>
      <c r="B258" s="56" t="inlineStr">
        <is>
          <t>0</t>
        </is>
      </c>
      <c r="C258" s="56" t="n"/>
      <c r="D258" s="56" t="inlineStr">
        <is>
          <t>AUGMENT, ENTRY, EXIT, GLOBAL_CHECK, REDUCE, STOCKS_EXIT</t>
        </is>
      </c>
      <c r="E258" s="56">
        <f>IF(G258="",E257,IF(G258&gt;0,E257+G258,E257))</f>
        <v/>
      </c>
      <c r="G258" s="56">
        <f>IFERROR(VLOOKUP($A258&amp;"="&amp;$B258,Results_Deltas!$A$2:$P$15000,5,FALSE),"")</f>
        <v/>
      </c>
      <c r="H258" s="56" t="inlineStr">
        <is>
          <t>Blanket (page end)</t>
        </is>
      </c>
    </row>
    <row r="259">
      <c r="A259" s="63" t="inlineStr">
        <is>
          <t>BANDAID_OFF_LOSER_RECOVER_PCT</t>
        </is>
      </c>
      <c r="B259" s="56" t="inlineStr">
        <is>
          <t>2.0</t>
        </is>
      </c>
      <c r="C259" s="56" t="n"/>
      <c r="D259" s="56" t="inlineStr">
        <is>
          <t>AUGMENT, ENTRY, EXIT, GLOBAL_CHECK, REDUCE, STOCKS_EXIT</t>
        </is>
      </c>
      <c r="E259" s="56">
        <f>IF(G259="",E258,IF(G259&gt;0,E258+G259,E258))</f>
        <v/>
      </c>
      <c r="G259" s="56">
        <f>IFERROR(VLOOKUP($A259&amp;"="&amp;$B259,Results_Deltas!$A$2:$P$15000,5,FALSE),"")</f>
        <v/>
      </c>
      <c r="H259" s="56" t="inlineStr">
        <is>
          <t>Blanket (page end)</t>
        </is>
      </c>
    </row>
    <row r="260">
      <c r="A260" s="63" t="inlineStr">
        <is>
          <t>BANDAID_OFF_LOSER_RECOVER_PCT</t>
        </is>
      </c>
      <c r="B260" s="56" t="inlineStr">
        <is>
          <t>1.0</t>
        </is>
      </c>
      <c r="C260" s="56" t="n"/>
      <c r="D260" s="56" t="inlineStr">
        <is>
          <t>AUGMENT, ENTRY, EXIT, GLOBAL_CHECK, REDUCE, STOCKS_EXIT</t>
        </is>
      </c>
      <c r="E260" s="56">
        <f>IF(G260="",E259,IF(G260&gt;0,E259+G260,E259))</f>
        <v/>
      </c>
      <c r="G260" s="56">
        <f>IFERROR(VLOOKUP($A260&amp;"="&amp;$B260,Results_Deltas!$A$2:$P$15000,5,FALSE),"")</f>
        <v/>
      </c>
      <c r="H260" s="56" t="inlineStr">
        <is>
          <t>Blanket (page end)</t>
        </is>
      </c>
    </row>
    <row r="261">
      <c r="A261" s="63" t="inlineStr">
        <is>
          <t>BANDAID_OFF_LOSER_RECOVER_PCT</t>
        </is>
      </c>
      <c r="B261" s="56" t="inlineStr">
        <is>
          <t>0.5</t>
        </is>
      </c>
      <c r="C261" s="56" t="n"/>
      <c r="D261" s="56" t="inlineStr">
        <is>
          <t>AUGMENT, ENTRY, EXIT, GLOBAL_CHECK, REDUCE, STOCKS_EXIT</t>
        </is>
      </c>
      <c r="E261" s="56">
        <f>IF(G261="",E260,IF(G261&gt;0,E260+G261,E260))</f>
        <v/>
      </c>
      <c r="G261" s="56">
        <f>IFERROR(VLOOKUP($A261&amp;"="&amp;$B261,Results_Deltas!$A$2:$P$15000,5,FALSE),"")</f>
        <v/>
      </c>
      <c r="H261" s="56" t="inlineStr">
        <is>
          <t>Blanket (page end)</t>
        </is>
      </c>
    </row>
    <row r="262">
      <c r="A262" s="63" t="inlineStr">
        <is>
          <t>BAND_ARROW_ENABLED</t>
        </is>
      </c>
      <c r="B262" s="56" t="inlineStr">
        <is>
          <t>False</t>
        </is>
      </c>
      <c r="C262" s="56" t="n"/>
      <c r="D262" s="56" t="inlineStr">
        <is>
          <t>GLOBAL_CHECK, STOCKS_EXIT</t>
        </is>
      </c>
      <c r="E262" s="56">
        <f>IF(G262="",E261,IF(G262&gt;0,E261+G262,E261))</f>
        <v/>
      </c>
      <c r="G262" s="56">
        <f>IFERROR(VLOOKUP($A262&amp;"="&amp;$B262,Results_Deltas!$A$2:$P$15000,5,FALSE),"")</f>
        <v/>
      </c>
      <c r="H262" s="56" t="inlineStr">
        <is>
          <t>Blanket (page end)</t>
        </is>
      </c>
    </row>
    <row r="263">
      <c r="A263" s="63" t="inlineStr">
        <is>
          <t>BAND_ARROW_ENABLED</t>
        </is>
      </c>
      <c r="B263" s="56" t="inlineStr">
        <is>
          <t>True</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BTC_ACCEL_RAMP_REQUIRE_POSITIVE</t>
        </is>
      </c>
      <c r="B264" s="56" t="inlineStr">
        <is>
          <t>0.0</t>
        </is>
      </c>
      <c r="C264" s="56" t="n"/>
      <c r="D264" s="56" t="inlineStr">
        <is>
          <t>UNIVERSAL (ex-BTC) — ENTRY/EXIT/REENTRY</t>
        </is>
      </c>
      <c r="E264" s="56">
        <f>IF(G264="",E263,IF(G264&gt;0,E263+G264,E263))</f>
        <v/>
      </c>
      <c r="G264" s="56">
        <f>IFERROR(VLOOKUP($A264&amp;"="&amp;$B264,Results_Deltas!$A$2:$P$15000,5,FALSE),"")</f>
        <v/>
      </c>
      <c r="H264" s="56" t="inlineStr">
        <is>
          <t>Blanket (page end)</t>
        </is>
      </c>
    </row>
    <row r="265">
      <c r="A265" s="63" t="inlineStr">
        <is>
          <t>BTC_ACCEL_RAMP_REQUIRE_POSITIVE</t>
        </is>
      </c>
      <c r="B265" s="56" t="inlineStr">
        <is>
          <t>0.0_ALT</t>
        </is>
      </c>
      <c r="C265" s="56" t="n"/>
      <c r="D265" s="56" t="inlineStr">
        <is>
          <t>UNIVERSAL (ex-BTC) — ENTRY/EXIT/REENTRY</t>
        </is>
      </c>
      <c r="E265" s="56">
        <f>IF(G265="",E264,IF(G265&gt;0,E264+G265,E264))</f>
        <v/>
      </c>
      <c r="G265" s="56">
        <f>IFERROR(VLOOKUP($A265&amp;"="&amp;$B265,Results_Deltas!$A$2:$P$15000,5,FALSE),"")</f>
        <v/>
      </c>
      <c r="H265" s="56" t="inlineStr">
        <is>
          <t>Blanket (page end)</t>
        </is>
      </c>
    </row>
    <row r="266">
      <c r="A266" s="63" t="inlineStr">
        <is>
          <t>BTC_HARD_BLOCK_OTHER_ACCOUNTS</t>
        </is>
      </c>
      <c r="B266" s="56" t="inlineStr">
        <is>
          <t>0.0</t>
        </is>
      </c>
      <c r="C266" s="56" t="n"/>
      <c r="D266" s="56" t="inlineStr">
        <is>
          <t>UNIVERSAL (ex-BTC) — ENTRY/EXIT/REENTRY</t>
        </is>
      </c>
      <c r="E266" s="56">
        <f>IF(G266="",E265,IF(G266&gt;0,E265+G266,E265))</f>
        <v/>
      </c>
      <c r="G266" s="56">
        <f>IFERROR(VLOOKUP($A266&amp;"="&amp;$B266,Results_Deltas!$A$2:$P$15000,5,FALSE),"")</f>
        <v/>
      </c>
      <c r="H266" s="56" t="inlineStr">
        <is>
          <t>Blanket (page end)</t>
        </is>
      </c>
    </row>
    <row r="267">
      <c r="A267" s="63" t="inlineStr">
        <is>
          <t>BTC_HARD_BLOCK_OTHER_ACCOUNTS</t>
        </is>
      </c>
      <c r="B267" s="56" t="inlineStr">
        <is>
          <t>0.0_ALT</t>
        </is>
      </c>
      <c r="C267" s="56" t="n"/>
      <c r="D267" s="56" t="inlineStr">
        <is>
          <t>UNIVERSAL (ex-BTC) — ENTRY/EXIT/REENTRY</t>
        </is>
      </c>
      <c r="E267" s="56">
        <f>IF(G267="",E266,IF(G267&gt;0,E266+G267,E266))</f>
        <v/>
      </c>
      <c r="G267" s="56">
        <f>IFERROR(VLOOKUP($A267&amp;"="&amp;$B267,Results_Deltas!$A$2:$P$15000,5,FALSE),"")</f>
        <v/>
      </c>
      <c r="H267" s="56" t="inlineStr">
        <is>
          <t>Blanket (page end)</t>
        </is>
      </c>
    </row>
    <row r="268">
      <c r="A268" s="63" t="inlineStr">
        <is>
          <t>BTC_ROUND_BANDS_EACH_SIDE</t>
        </is>
      </c>
      <c r="B268" s="56" t="inlineStr">
        <is>
          <t>0.0</t>
        </is>
      </c>
      <c r="C268" s="56" t="n"/>
      <c r="D268" s="56" t="inlineStr">
        <is>
          <t>UNIVERSAL (ex-BTC) — ENTRY/EXIT/REENTRY</t>
        </is>
      </c>
      <c r="E268" s="56">
        <f>IF(G268="",E267,IF(G268&gt;0,E267+G268,E267))</f>
        <v/>
      </c>
      <c r="G268" s="56">
        <f>IFERROR(VLOOKUP($A268&amp;"="&amp;$B268,Results_Deltas!$A$2:$P$15000,5,FALSE),"")</f>
        <v/>
      </c>
      <c r="H268" s="56" t="inlineStr">
        <is>
          <t>Blanket (page end)</t>
        </is>
      </c>
    </row>
    <row r="269">
      <c r="A269" s="63" t="inlineStr">
        <is>
          <t>BTC_ROUND_BANDS_EACH_SIDE</t>
        </is>
      </c>
      <c r="B269" s="56" t="inlineStr">
        <is>
          <t>0.0_ALT</t>
        </is>
      </c>
      <c r="C269" s="56" t="n"/>
      <c r="D269" s="56" t="inlineStr">
        <is>
          <t>UNIVERSAL (ex-BTC) — ENTRY/EXIT/REENTRY</t>
        </is>
      </c>
      <c r="E269" s="56">
        <f>IF(G269="",E268,IF(G269&gt;0,E268+G269,E268))</f>
        <v/>
      </c>
      <c r="G269" s="56">
        <f>IFERROR(VLOOKUP($A269&amp;"="&amp;$B269,Results_Deltas!$A$2:$P$15000,5,FALSE),"")</f>
        <v/>
      </c>
      <c r="H269" s="56" t="inlineStr">
        <is>
          <t>Blanket (page end)</t>
        </is>
      </c>
    </row>
    <row r="270">
      <c r="A270" s="63" t="inlineStr">
        <is>
          <t>COOLDOWN_LOCKS_FILTER_TF</t>
        </is>
      </c>
      <c r="B270" s="56" t="inlineStr">
        <is>
          <t>OFF</t>
        </is>
      </c>
      <c r="C270" s="56" t="n"/>
      <c r="D270" s="56" t="inlineStr">
        <is>
          <t>GLOBAL_CHECK</t>
        </is>
      </c>
      <c r="E270" s="56">
        <f>IF(G270="",E269,IF(G270&gt;0,E269+G270,E269))</f>
        <v/>
      </c>
      <c r="G270" s="56">
        <f>IFERROR(VLOOKUP($A270&amp;"="&amp;$B270,Results_Deltas!$A$2:$P$15000,5,FALSE),"")</f>
        <v/>
      </c>
      <c r="H270" s="56" t="inlineStr">
        <is>
          <t>Blanket (page end)</t>
        </is>
      </c>
    </row>
    <row r="271">
      <c r="A271" s="63" t="inlineStr">
        <is>
          <t>COOLDOWN_LOCKS_FILTER_TF</t>
        </is>
      </c>
      <c r="B271" s="56" t="inlineStr">
        <is>
          <t>D</t>
        </is>
      </c>
      <c r="C271" s="56" t="n"/>
      <c r="D271" s="56" t="inlineStr">
        <is>
          <t>GLOBAL_CHECK</t>
        </is>
      </c>
      <c r="E271" s="56">
        <f>IF(G271="",E270,IF(G271&gt;0,E270+G271,E270))</f>
        <v/>
      </c>
      <c r="G271" s="56">
        <f>IFERROR(VLOOKUP($A271&amp;"="&amp;$B271,Results_Deltas!$A$2:$P$15000,5,FALSE),"")</f>
        <v/>
      </c>
      <c r="H271" s="56" t="inlineStr">
        <is>
          <t>Blanket (page end)</t>
        </is>
      </c>
    </row>
    <row r="272">
      <c r="A272" s="63" t="inlineStr">
        <is>
          <t>COOLDOWN_LOCKS_FILTER_TF</t>
        </is>
      </c>
      <c r="B272" s="56" t="inlineStr">
        <is>
          <t>4h</t>
        </is>
      </c>
      <c r="C272" s="56" t="n"/>
      <c r="D272" s="56" t="inlineStr">
        <is>
          <t>GLOBAL_CHECK</t>
        </is>
      </c>
      <c r="E272" s="56">
        <f>IF(G272="",E271,IF(G272&gt;0,E271+G272,E271))</f>
        <v/>
      </c>
      <c r="G272" s="56">
        <f>IFERROR(VLOOKUP($A272&amp;"="&amp;$B272,Results_Deltas!$A$2:$P$15000,5,FALSE),"")</f>
        <v/>
      </c>
      <c r="H272" s="56" t="inlineStr">
        <is>
          <t>Blanket (page end)</t>
        </is>
      </c>
    </row>
    <row r="273">
      <c r="A273" s="63" t="inlineStr">
        <is>
          <t>COOLDOWN_LOCKS_FILTER_TF</t>
        </is>
      </c>
      <c r="B273" s="56" t="inlineStr">
        <is>
          <t>1h</t>
        </is>
      </c>
      <c r="C273" s="56" t="n"/>
      <c r="D273" s="56" t="inlineStr">
        <is>
          <t>GLOBAL_CHECK</t>
        </is>
      </c>
      <c r="E273" s="56">
        <f>IF(G273="",E272,IF(G273&gt;0,E272+G273,E272))</f>
        <v/>
      </c>
      <c r="G273" s="56">
        <f>IFERROR(VLOOKUP($A273&amp;"="&amp;$B273,Results_Deltas!$A$2:$P$15000,5,FALSE),"")</f>
        <v/>
      </c>
      <c r="H273" s="56" t="inlineStr">
        <is>
          <t>Blanket (page end)</t>
        </is>
      </c>
    </row>
    <row r="274">
      <c r="A274" s="63" t="inlineStr">
        <is>
          <t>COOLDOWN_LOCKS_FILTER_TF</t>
        </is>
      </c>
      <c r="B274" s="56" t="inlineStr">
        <is>
          <t>15m</t>
        </is>
      </c>
      <c r="C274" s="56" t="n"/>
      <c r="D274" s="56" t="inlineStr">
        <is>
          <t>GLOBAL_CHECK</t>
        </is>
      </c>
      <c r="E274" s="56">
        <f>IF(G274="",E273,IF(G274&gt;0,E273+G274,E273))</f>
        <v/>
      </c>
      <c r="G274" s="56">
        <f>IFERROR(VLOOKUP($A274&amp;"="&amp;$B274,Results_Deltas!$A$2:$P$15000,5,FALSE),"")</f>
        <v/>
      </c>
      <c r="H274" s="56" t="inlineStr">
        <is>
          <t>Blanket (page end)</t>
        </is>
      </c>
    </row>
    <row r="275">
      <c r="A275" s="63" t="inlineStr">
        <is>
          <t>CRYPTO_SPIKE_FADE_THRESHOLD_PCT</t>
        </is>
      </c>
      <c r="B275" s="56" t="inlineStr">
        <is>
          <t>10</t>
        </is>
      </c>
      <c r="C275" s="56" t="n"/>
      <c r="D275" s="56" t="inlineStr">
        <is>
          <t>GLOBAL_CHECK, STOCKS_EXIT</t>
        </is>
      </c>
      <c r="E275" s="56">
        <f>IF(G275="",E274,IF(G275&gt;0,E274+G275,E274))</f>
        <v/>
      </c>
      <c r="G275" s="56">
        <f>IFERROR(VLOOKUP($A275&amp;"="&amp;$B275,Results_Deltas!$A$2:$P$15000,5,FALSE),"")</f>
        <v/>
      </c>
      <c r="H275" s="56" t="inlineStr">
        <is>
          <t>Blanket (page end)</t>
        </is>
      </c>
    </row>
    <row r="276">
      <c r="A276" s="63" t="inlineStr">
        <is>
          <t>CRYPTO_SPIKE_FADE_THRESHOLD_PCT</t>
        </is>
      </c>
      <c r="B276" s="56" t="inlineStr">
        <is>
          <t>12.5</t>
        </is>
      </c>
      <c r="C276" s="56" t="n"/>
      <c r="D276" s="56" t="inlineStr">
        <is>
          <t>GLOBAL_CHECK, STOCKS_EXIT</t>
        </is>
      </c>
      <c r="E276" s="56">
        <f>IF(G276="",E275,IF(G276&gt;0,E275+G276,E275))</f>
        <v/>
      </c>
      <c r="G276" s="56">
        <f>IFERROR(VLOOKUP($A276&amp;"="&amp;$B276,Results_Deltas!$A$2:$P$15000,5,FALSE),"")</f>
        <v/>
      </c>
      <c r="H276" s="56" t="inlineStr">
        <is>
          <t>Blanket (page end)</t>
        </is>
      </c>
    </row>
    <row r="277">
      <c r="A277" s="63" t="inlineStr">
        <is>
          <t>CRYPTO_SPIKE_FADE_THRESHOLD_PCT</t>
        </is>
      </c>
      <c r="B277" s="56" t="inlineStr">
        <is>
          <t>7.5</t>
        </is>
      </c>
      <c r="C277" s="56" t="n"/>
      <c r="D277" s="56" t="inlineStr">
        <is>
          <t>GLOBAL_CHECK, STOCKS_EXIT</t>
        </is>
      </c>
      <c r="E277" s="56">
        <f>IF(G277="",E276,IF(G277&gt;0,E276+G277,E276))</f>
        <v/>
      </c>
      <c r="G277" s="56">
        <f>IFERROR(VLOOKUP($A277&amp;"="&amp;$B277,Results_Deltas!$A$2:$P$15000,5,FALSE),"")</f>
        <v/>
      </c>
      <c r="H277" s="56" t="inlineStr">
        <is>
          <t>Blanket (page end)</t>
        </is>
      </c>
    </row>
    <row r="278">
      <c r="A278" s="63" t="inlineStr">
        <is>
          <t>CRYPTO_SPIKE_FADE_THRESHOLD_PCT</t>
        </is>
      </c>
      <c r="B278" s="56" t="inlineStr">
        <is>
          <t>5</t>
        </is>
      </c>
      <c r="C278" s="56" t="n"/>
      <c r="D278" s="56" t="inlineStr">
        <is>
          <t>GLOBAL_CHECK, STOCKS_EXIT</t>
        </is>
      </c>
      <c r="E278" s="56">
        <f>IF(G278="",E277,IF(G278&gt;0,E277+G278,E277))</f>
        <v/>
      </c>
      <c r="G278" s="56">
        <f>IFERROR(VLOOKUP($A278&amp;"="&amp;$B278,Results_Deltas!$A$2:$P$15000,5,FALSE),"")</f>
        <v/>
      </c>
      <c r="H278" s="56" t="inlineStr">
        <is>
          <t>Blanket (page end)</t>
        </is>
      </c>
    </row>
    <row r="279">
      <c r="A279" s="63" t="inlineStr">
        <is>
          <t>DC_MOMENT_STRONG_THRESHOLD</t>
        </is>
      </c>
      <c r="B279" s="56" t="inlineStr">
        <is>
          <t>40</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DC_MOMENT_STRONG_THRESHOLD</t>
        </is>
      </c>
      <c r="B280" s="56" t="inlineStr">
        <is>
          <t>50</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DC_MOMENT_STRONG_THRESHOLD</t>
        </is>
      </c>
      <c r="B281" s="56" t="inlineStr">
        <is>
          <t>30</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DC_MOMENT_STRONG_THRESHOLD</t>
        </is>
      </c>
      <c r="B282" s="56" t="inlineStr">
        <is>
          <t>20</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DELTA_HTF_GATE</t>
        </is>
      </c>
      <c r="B283" s="56" t="inlineStr">
        <is>
          <t>4h</t>
        </is>
      </c>
      <c r="C283" s="56" t="n"/>
      <c r="D283" s="56" t="inlineStr">
        <is>
          <t>ENTRY, GLOBAL_CHECK, STOCKS_EXIT</t>
        </is>
      </c>
      <c r="E283" s="56">
        <f>IF(G283="",E282,IF(G283&gt;0,E282+G283,E282))</f>
        <v/>
      </c>
      <c r="G283" s="56">
        <f>IFERROR(VLOOKUP($A283&amp;"="&amp;$B283,Results_Deltas!$A$2:$P$15000,5,FALSE),"")</f>
        <v/>
      </c>
      <c r="H283" s="56" t="inlineStr">
        <is>
          <t>Blanket (page end)</t>
        </is>
      </c>
    </row>
    <row r="284">
      <c r="A284" s="63" t="inlineStr">
        <is>
          <t>DELTA_HTF_GATE</t>
        </is>
      </c>
      <c r="B284" s="56" t="inlineStr">
        <is>
          <t>4h_ALT</t>
        </is>
      </c>
      <c r="C284" s="56" t="n"/>
      <c r="D284" s="56" t="inlineStr">
        <is>
          <t>ENTRY, GLOBAL_CHECK, STOCKS_EXIT</t>
        </is>
      </c>
      <c r="E284" s="56">
        <f>IF(G284="",E283,IF(G284&gt;0,E283+G284,E283))</f>
        <v/>
      </c>
      <c r="G284" s="56">
        <f>IFERROR(VLOOKUP($A284&amp;"="&amp;$B284,Results_Deltas!$A$2:$P$15000,5,FALSE),"")</f>
        <v/>
      </c>
      <c r="H284" s="56" t="inlineStr">
        <is>
          <t>Blanket (page end)</t>
        </is>
      </c>
    </row>
    <row r="285">
      <c r="A285" s="63" t="inlineStr">
        <is>
          <t>DELTA_REENTRY_FILTER_ENABLED</t>
        </is>
      </c>
      <c r="B285" s="56" t="inlineStr">
        <is>
          <t>False</t>
        </is>
      </c>
      <c r="C285" s="56" t="n"/>
      <c r="D285" s="56" t="inlineStr">
        <is>
          <t>ENTRY, GLOBAL_CHECK, STOCKS_EXIT</t>
        </is>
      </c>
      <c r="E285" s="56">
        <f>IF(G285="",E284,IF(G285&gt;0,E284+G285,E284))</f>
        <v/>
      </c>
      <c r="G285" s="56">
        <f>IFERROR(VLOOKUP($A285&amp;"="&amp;$B285,Results_Deltas!$A$2:$P$15000,5,FALSE),"")</f>
        <v/>
      </c>
      <c r="H285" s="56" t="inlineStr">
        <is>
          <t>Blanket (page end)</t>
        </is>
      </c>
    </row>
    <row r="286">
      <c r="A286" s="63" t="inlineStr">
        <is>
          <t>DELTA_REENTRY_FILTER_ENABLED</t>
        </is>
      </c>
      <c r="B286" s="56" t="inlineStr">
        <is>
          <t>True</t>
        </is>
      </c>
      <c r="C286" s="56" t="n"/>
      <c r="D286" s="56" t="inlineStr">
        <is>
          <t>ENTRY, GLOBAL_CHECK, STOCKS_EXIT</t>
        </is>
      </c>
      <c r="E286" s="56">
        <f>IF(G286="",E285,IF(G286&gt;0,E285+G286,E285))</f>
        <v/>
      </c>
      <c r="G286" s="56">
        <f>IFERROR(VLOOKUP($A286&amp;"="&amp;$B286,Results_Deltas!$A$2:$P$15000,5,FALSE),"")</f>
        <v/>
      </c>
      <c r="H286" s="56" t="inlineStr">
        <is>
          <t>Blanket (page end)</t>
        </is>
      </c>
    </row>
    <row r="287">
      <c r="A287" s="63" t="inlineStr">
        <is>
          <t>DUP_GUARD_FILTER_TF</t>
        </is>
      </c>
      <c r="B287" s="56" t="inlineStr">
        <is>
          <t>OFF</t>
        </is>
      </c>
      <c r="C287" s="56" t="n"/>
      <c r="D287" s="56" t="inlineStr">
        <is>
          <t>GLOBAL_CHECK</t>
        </is>
      </c>
      <c r="E287" s="56">
        <f>IF(G287="",E286,IF(G287&gt;0,E286+G287,E286))</f>
        <v/>
      </c>
      <c r="G287" s="56">
        <f>IFERROR(VLOOKUP($A287&amp;"="&amp;$B287,Results_Deltas!$A$2:$P$15000,5,FALSE),"")</f>
        <v/>
      </c>
      <c r="H287" s="56" t="inlineStr">
        <is>
          <t>Blanket (page end)</t>
        </is>
      </c>
    </row>
    <row r="288">
      <c r="A288" s="63" t="inlineStr">
        <is>
          <t>DUP_GUARD_FILTER_TF</t>
        </is>
      </c>
      <c r="B288" s="56" t="inlineStr">
        <is>
          <t>D</t>
        </is>
      </c>
      <c r="C288" s="56" t="n"/>
      <c r="D288" s="56" t="inlineStr">
        <is>
          <t>GLOBAL_CHECK</t>
        </is>
      </c>
      <c r="E288" s="56">
        <f>IF(G288="",E287,IF(G288&gt;0,E287+G288,E287))</f>
        <v/>
      </c>
      <c r="G288" s="56">
        <f>IFERROR(VLOOKUP($A288&amp;"="&amp;$B288,Results_Deltas!$A$2:$P$15000,5,FALSE),"")</f>
        <v/>
      </c>
      <c r="H288" s="56" t="inlineStr">
        <is>
          <t>Blanket (page end)</t>
        </is>
      </c>
    </row>
    <row r="289">
      <c r="A289" s="63" t="inlineStr">
        <is>
          <t>DUP_GUARD_FILTER_TF</t>
        </is>
      </c>
      <c r="B289" s="56" t="inlineStr">
        <is>
          <t>4h</t>
        </is>
      </c>
      <c r="C289" s="56" t="n"/>
      <c r="D289" s="56" t="inlineStr">
        <is>
          <t>GLOBAL_CHECK</t>
        </is>
      </c>
      <c r="E289" s="56">
        <f>IF(G289="",E288,IF(G289&gt;0,E288+G289,E288))</f>
        <v/>
      </c>
      <c r="G289" s="56">
        <f>IFERROR(VLOOKUP($A289&amp;"="&amp;$B289,Results_Deltas!$A$2:$P$15000,5,FALSE),"")</f>
        <v/>
      </c>
      <c r="H289" s="56" t="inlineStr">
        <is>
          <t>Blanket (page end)</t>
        </is>
      </c>
    </row>
    <row r="290">
      <c r="A290" s="63" t="inlineStr">
        <is>
          <t>DUP_GUARD_FILTER_TF</t>
        </is>
      </c>
      <c r="B290" s="56" t="inlineStr">
        <is>
          <t>1h</t>
        </is>
      </c>
      <c r="C290" s="56" t="n"/>
      <c r="D290" s="56" t="inlineStr">
        <is>
          <t>GLOBAL_CHECK</t>
        </is>
      </c>
      <c r="E290" s="56">
        <f>IF(G290="",E289,IF(G290&gt;0,E289+G290,E289))</f>
        <v/>
      </c>
      <c r="G290" s="56">
        <f>IFERROR(VLOOKUP($A290&amp;"="&amp;$B290,Results_Deltas!$A$2:$P$15000,5,FALSE),"")</f>
        <v/>
      </c>
      <c r="H290" s="56" t="inlineStr">
        <is>
          <t>Blanket (page end)</t>
        </is>
      </c>
    </row>
    <row r="291">
      <c r="A291" s="63" t="inlineStr">
        <is>
          <t>DUP_GUARD_FILTER_TF</t>
        </is>
      </c>
      <c r="B291" s="56" t="inlineStr">
        <is>
          <t>15m</t>
        </is>
      </c>
      <c r="C291" s="56" t="n"/>
      <c r="D291" s="56" t="inlineStr">
        <is>
          <t>GLOBAL_CHECK</t>
        </is>
      </c>
      <c r="E291" s="56">
        <f>IF(G291="",E290,IF(G291&gt;0,E290+G291,E290))</f>
        <v/>
      </c>
      <c r="G291" s="56">
        <f>IFERROR(VLOOKUP($A291&amp;"="&amp;$B291,Results_Deltas!$A$2:$P$15000,5,FALSE),"")</f>
        <v/>
      </c>
      <c r="H291" s="56" t="inlineStr">
        <is>
          <t>Blanket (page end)</t>
        </is>
      </c>
    </row>
    <row r="292">
      <c r="A292" s="63" t="inlineStr">
        <is>
          <t>EMA_9_21_FILTER_MIN_TFS</t>
        </is>
      </c>
      <c r="B292" s="56" t="inlineStr">
        <is>
          <t>0</t>
        </is>
      </c>
      <c r="C292" s="56" t="n"/>
      <c r="D292" s="56" t="inlineStr">
        <is>
          <t>GLOBAL_CHECK</t>
        </is>
      </c>
      <c r="E292" s="56">
        <f>IF(G292="",E291,IF(G292&gt;0,E291+G292,E291))</f>
        <v/>
      </c>
      <c r="G292" s="56">
        <f>IFERROR(VLOOKUP($A292&amp;"="&amp;$B292,Results_Deltas!$A$2:$P$15000,5,FALSE),"")</f>
        <v/>
      </c>
      <c r="H292" s="56" t="inlineStr">
        <is>
          <t>Blanket (page end)</t>
        </is>
      </c>
    </row>
    <row r="293">
      <c r="A293" s="63" t="inlineStr">
        <is>
          <t>EMA_9_21_FILTER_MIN_TFS</t>
        </is>
      </c>
      <c r="B293" s="56" t="inlineStr">
        <is>
          <t>2</t>
        </is>
      </c>
      <c r="C293" s="56" t="n"/>
      <c r="D293" s="56" t="inlineStr">
        <is>
          <t>GLOBAL_CHECK</t>
        </is>
      </c>
      <c r="E293" s="56">
        <f>IF(G293="",E292,IF(G293&gt;0,E292+G293,E292))</f>
        <v/>
      </c>
      <c r="G293" s="56">
        <f>IFERROR(VLOOKUP($A293&amp;"="&amp;$B293,Results_Deltas!$A$2:$P$15000,5,FALSE),"")</f>
        <v/>
      </c>
      <c r="H293" s="56" t="inlineStr">
        <is>
          <t>Blanket (page end)</t>
        </is>
      </c>
    </row>
    <row r="294">
      <c r="A294" s="63" t="inlineStr">
        <is>
          <t>EMA_9_21_FILTER_MIN_TFS</t>
        </is>
      </c>
      <c r="B294" s="56" t="inlineStr">
        <is>
          <t>1</t>
        </is>
      </c>
      <c r="C294" s="56" t="n"/>
      <c r="D294" s="56" t="inlineStr">
        <is>
          <t>GLOBAL_CHECK</t>
        </is>
      </c>
      <c r="E294" s="56">
        <f>IF(G294="",E293,IF(G294&gt;0,E293+G294,E293))</f>
        <v/>
      </c>
      <c r="G294" s="56">
        <f>IFERROR(VLOOKUP($A294&amp;"="&amp;$B294,Results_Deltas!$A$2:$P$15000,5,FALSE),"")</f>
        <v/>
      </c>
      <c r="H294" s="56" t="inlineStr">
        <is>
          <t>Blanket (page end)</t>
        </is>
      </c>
    </row>
    <row r="295">
      <c r="A295" s="63" t="inlineStr">
        <is>
          <t>EMA_BLANKET_FILTER_ENABLED</t>
        </is>
      </c>
      <c r="B295" s="56" t="inlineStr">
        <is>
          <t>False</t>
        </is>
      </c>
      <c r="C295" s="56" t="n"/>
      <c r="D295" s="56" t="inlineStr">
        <is>
          <t>GLOBAL_CHECK</t>
        </is>
      </c>
      <c r="E295" s="56">
        <f>IF(G295="",E294,IF(G295&gt;0,E294+G295,E294))</f>
        <v/>
      </c>
      <c r="G295" s="56">
        <f>IFERROR(VLOOKUP($A295&amp;"="&amp;$B295,Results_Deltas!$A$2:$P$15000,5,FALSE),"")</f>
        <v/>
      </c>
      <c r="H295" s="56" t="inlineStr">
        <is>
          <t>Blanket (page end)</t>
        </is>
      </c>
    </row>
    <row r="296">
      <c r="A296" s="63" t="inlineStr">
        <is>
          <t>EMA_BLANKET_FILTER_ENABLED</t>
        </is>
      </c>
      <c r="B296" s="56" t="inlineStr">
        <is>
          <t>True</t>
        </is>
      </c>
      <c r="C296" s="56" t="n"/>
      <c r="D296" s="56" t="inlineStr">
        <is>
          <t>GLOBAL_CHECK</t>
        </is>
      </c>
      <c r="E296" s="56">
        <f>IF(G296="",E295,IF(G296&gt;0,E295+G296,E295))</f>
        <v/>
      </c>
      <c r="G296" s="56">
        <f>IFERROR(VLOOKUP($A296&amp;"="&amp;$B296,Results_Deltas!$A$2:$P$15000,5,FALSE),"")</f>
        <v/>
      </c>
      <c r="H296" s="56" t="inlineStr">
        <is>
          <t>Blanket (page end)</t>
        </is>
      </c>
    </row>
    <row r="297">
      <c r="A297" s="63" t="inlineStr">
        <is>
          <t>EMA_BLANKET_FILTER_MIN_TFS</t>
        </is>
      </c>
      <c r="B297" s="56" t="inlineStr">
        <is>
          <t>0</t>
        </is>
      </c>
      <c r="C297" s="56" t="n"/>
      <c r="D297" s="56" t="inlineStr">
        <is>
          <t>GLOBAL_CHECK</t>
        </is>
      </c>
      <c r="E297" s="56">
        <f>IF(G297="",E296,IF(G297&gt;0,E296+G297,E296))</f>
        <v/>
      </c>
      <c r="G297" s="56">
        <f>IFERROR(VLOOKUP($A297&amp;"="&amp;$B297,Results_Deltas!$A$2:$P$15000,5,FALSE),"")</f>
        <v/>
      </c>
      <c r="H297" s="56" t="inlineStr">
        <is>
          <t>Blanket (page end)</t>
        </is>
      </c>
    </row>
    <row r="298">
      <c r="A298" s="63" t="inlineStr">
        <is>
          <t>EMA_BLANKET_FILTER_MIN_TFS</t>
        </is>
      </c>
      <c r="B298" s="56" t="inlineStr">
        <is>
          <t>2</t>
        </is>
      </c>
      <c r="C298" s="56" t="n"/>
      <c r="D298" s="56" t="inlineStr">
        <is>
          <t>GLOBAL_CHECK</t>
        </is>
      </c>
      <c r="E298" s="56">
        <f>IF(G298="",E297,IF(G298&gt;0,E297+G298,E297))</f>
        <v/>
      </c>
      <c r="G298" s="56">
        <f>IFERROR(VLOOKUP($A298&amp;"="&amp;$B298,Results_Deltas!$A$2:$P$15000,5,FALSE),"")</f>
        <v/>
      </c>
      <c r="H298" s="56" t="inlineStr">
        <is>
          <t>Blanket (page end)</t>
        </is>
      </c>
    </row>
    <row r="299">
      <c r="A299" s="63" t="inlineStr">
        <is>
          <t>EMA_BLANKET_FILTER_MIN_TFS</t>
        </is>
      </c>
      <c r="B299" s="56" t="inlineStr">
        <is>
          <t>1</t>
        </is>
      </c>
      <c r="C299" s="56" t="n"/>
      <c r="D299" s="56" t="inlineStr">
        <is>
          <t>GLOBAL_CHECK</t>
        </is>
      </c>
      <c r="E299" s="56">
        <f>IF(G299="",E298,IF(G299&gt;0,E298+G299,E298))</f>
        <v/>
      </c>
      <c r="G299" s="56">
        <f>IFERROR(VLOOKUP($A299&amp;"="&amp;$B299,Results_Deltas!$A$2:$P$15000,5,FALSE),"")</f>
        <v/>
      </c>
      <c r="H299" s="56" t="inlineStr">
        <is>
          <t>Blanket (page end)</t>
        </is>
      </c>
    </row>
    <row r="300">
      <c r="A300" s="63" t="inlineStr">
        <is>
          <t>EXECUTE_NOW_SINGLE_GATE_ENFORCE</t>
        </is>
      </c>
      <c r="B300" s="56" t="inlineStr">
        <is>
          <t>0.0</t>
        </is>
      </c>
      <c r="C300" s="56" t="n"/>
      <c r="D300" s="56" t="inlineStr">
        <is>
          <t>ENTRY, GLOBAL_CHECK, STOCKS_EXIT</t>
        </is>
      </c>
      <c r="E300" s="56">
        <f>IF(G300="",E299,IF(G300&gt;0,E299+G300,E299))</f>
        <v/>
      </c>
      <c r="G300" s="56">
        <f>IFERROR(VLOOKUP($A300&amp;"="&amp;$B300,Results_Deltas!$A$2:$P$15000,5,FALSE),"")</f>
        <v/>
      </c>
      <c r="H300" s="56" t="inlineStr">
        <is>
          <t>Blanket (page end)</t>
        </is>
      </c>
    </row>
    <row r="301">
      <c r="A301" s="63" t="inlineStr">
        <is>
          <t>EXECUTE_NOW_SINGLE_GATE_ENFORCE</t>
        </is>
      </c>
      <c r="B301" s="56" t="inlineStr">
        <is>
          <t>0.0_ALT</t>
        </is>
      </c>
      <c r="C301" s="56" t="n"/>
      <c r="D301" s="56" t="inlineStr">
        <is>
          <t>ENTRY, GLOBAL_CHECK, STOCKS_EXIT</t>
        </is>
      </c>
      <c r="E301" s="56">
        <f>IF(G301="",E300,IF(G301&gt;0,E300+G301,E300))</f>
        <v/>
      </c>
      <c r="G301" s="56">
        <f>IFERROR(VLOOKUP($A301&amp;"="&amp;$B301,Results_Deltas!$A$2:$P$15000,5,FALSE),"")</f>
        <v/>
      </c>
      <c r="H301" s="56" t="inlineStr">
        <is>
          <t>Blanket (page end)</t>
        </is>
      </c>
    </row>
    <row r="302">
      <c r="A302" s="63" t="inlineStr">
        <is>
          <t>EZ_MANAGE_THROTTLER_RATE</t>
        </is>
      </c>
      <c r="B302" s="56" t="inlineStr">
        <is>
          <t>0.0</t>
        </is>
      </c>
      <c r="C302" s="56" t="n"/>
      <c r="D302" s="56" t="inlineStr">
        <is>
          <t>GLOBAL_CHECK, STOCKS_EXIT</t>
        </is>
      </c>
      <c r="E302" s="56">
        <f>IF(G302="",E301,IF(G302&gt;0,E301+G302,E301))</f>
        <v/>
      </c>
      <c r="G302" s="56">
        <f>IFERROR(VLOOKUP($A302&amp;"="&amp;$B302,Results_Deltas!$A$2:$P$15000,5,FALSE),"")</f>
        <v/>
      </c>
      <c r="H302" s="56" t="inlineStr">
        <is>
          <t>Blanket (page end)</t>
        </is>
      </c>
    </row>
    <row r="303">
      <c r="A303" s="63" t="inlineStr">
        <is>
          <t>EZ_MANAGE_THROTTLER_RATE</t>
        </is>
      </c>
      <c r="B303" s="56" t="inlineStr">
        <is>
          <t>0.0_ALT</t>
        </is>
      </c>
      <c r="C303" s="56" t="n"/>
      <c r="D303" s="56" t="inlineStr">
        <is>
          <t>GLOBAL_CHECK, STOCKS_EXIT</t>
        </is>
      </c>
      <c r="E303" s="56">
        <f>IF(G303="",E302,IF(G303&gt;0,E302+G303,E302))</f>
        <v/>
      </c>
      <c r="G303" s="56">
        <f>IFERROR(VLOOKUP($A303&amp;"="&amp;$B303,Results_Deltas!$A$2:$P$15000,5,FALSE),"")</f>
        <v/>
      </c>
      <c r="H303" s="56" t="inlineStr">
        <is>
          <t>Blanket (page end)</t>
        </is>
      </c>
    </row>
    <row r="304">
      <c r="A304" s="63" t="inlineStr">
        <is>
          <t>FG_FEAR_THRESHOLD</t>
        </is>
      </c>
      <c r="B304" s="56" t="inlineStr">
        <is>
          <t>25</t>
        </is>
      </c>
      <c r="C304" s="56" t="n"/>
      <c r="D304" s="56" t="inlineStr">
        <is>
          <t>GLOBAL_CHECK, STOCKS_EXIT</t>
        </is>
      </c>
      <c r="E304" s="56">
        <f>IF(G304="",E303,IF(G304&gt;0,E303+G304,E303))</f>
        <v/>
      </c>
      <c r="G304" s="56">
        <f>IFERROR(VLOOKUP($A304&amp;"="&amp;$B304,Results_Deltas!$A$2:$P$15000,5,FALSE),"")</f>
        <v/>
      </c>
      <c r="H304" s="56" t="inlineStr">
        <is>
          <t>Blanket (page end)</t>
        </is>
      </c>
    </row>
    <row r="305">
      <c r="A305" s="63" t="inlineStr">
        <is>
          <t>FG_FEAR_THRESHOLD</t>
        </is>
      </c>
      <c r="B305" s="56" t="inlineStr">
        <is>
          <t>31.25</t>
        </is>
      </c>
      <c r="C305" s="56" t="n"/>
      <c r="D305" s="56" t="inlineStr">
        <is>
          <t>GLOBAL_CHECK, STOCKS_EXIT</t>
        </is>
      </c>
      <c r="E305" s="56">
        <f>IF(G305="",E304,IF(G305&gt;0,E304+G305,E304))</f>
        <v/>
      </c>
      <c r="G305" s="56">
        <f>IFERROR(VLOOKUP($A305&amp;"="&amp;$B305,Results_Deltas!$A$2:$P$15000,5,FALSE),"")</f>
        <v/>
      </c>
      <c r="H305" s="56" t="inlineStr">
        <is>
          <t>Blanket (page end)</t>
        </is>
      </c>
    </row>
    <row r="306">
      <c r="A306" s="63" t="inlineStr">
        <is>
          <t>FG_FEAR_THRESHOLD</t>
        </is>
      </c>
      <c r="B306" s="56" t="inlineStr">
        <is>
          <t>18.75</t>
        </is>
      </c>
      <c r="C306" s="56" t="n"/>
      <c r="D306" s="56" t="inlineStr">
        <is>
          <t>GLOBAL_CHECK, STOCKS_EXIT</t>
        </is>
      </c>
      <c r="E306" s="56">
        <f>IF(G306="",E305,IF(G306&gt;0,E305+G306,E305))</f>
        <v/>
      </c>
      <c r="G306" s="56">
        <f>IFERROR(VLOOKUP($A306&amp;"="&amp;$B306,Results_Deltas!$A$2:$P$15000,5,FALSE),"")</f>
        <v/>
      </c>
      <c r="H306" s="56" t="inlineStr">
        <is>
          <t>Blanket (page end)</t>
        </is>
      </c>
    </row>
    <row r="307">
      <c r="A307" s="63" t="inlineStr">
        <is>
          <t>FG_FEAR_THRESHOLD</t>
        </is>
      </c>
      <c r="B307" s="56" t="inlineStr">
        <is>
          <t>12.5</t>
        </is>
      </c>
      <c r="C307" s="56" t="n"/>
      <c r="D307" s="56" t="inlineStr">
        <is>
          <t>GLOBAL_CHECK, STOCKS_EXIT</t>
        </is>
      </c>
      <c r="E307" s="56">
        <f>IF(G307="",E306,IF(G307&gt;0,E306+G307,E306))</f>
        <v/>
      </c>
      <c r="G307" s="56">
        <f>IFERROR(VLOOKUP($A307&amp;"="&amp;$B307,Results_Deltas!$A$2:$P$15000,5,FALSE),"")</f>
        <v/>
      </c>
      <c r="H307" s="56" t="inlineStr">
        <is>
          <t>Blanket (page end)</t>
        </is>
      </c>
    </row>
    <row r="308">
      <c r="A308" s="63" t="inlineStr">
        <is>
          <t>FG_GREED_THRESHOLD</t>
        </is>
      </c>
      <c r="B308" s="56" t="inlineStr">
        <is>
          <t>75</t>
        </is>
      </c>
      <c r="C308" s="56" t="n"/>
      <c r="D308" s="56" t="inlineStr">
        <is>
          <t>GLOBAL_CHECK, STOCKS_EXIT</t>
        </is>
      </c>
      <c r="E308" s="56">
        <f>IF(G308="",E307,IF(G308&gt;0,E307+G308,E307))</f>
        <v/>
      </c>
      <c r="G308" s="56">
        <f>IFERROR(VLOOKUP($A308&amp;"="&amp;$B308,Results_Deltas!$A$2:$P$15000,5,FALSE),"")</f>
        <v/>
      </c>
      <c r="H308" s="56" t="inlineStr">
        <is>
          <t>Blanket (page end)</t>
        </is>
      </c>
    </row>
    <row r="309">
      <c r="A309" s="63" t="inlineStr">
        <is>
          <t>FG_GREED_THRESHOLD</t>
        </is>
      </c>
      <c r="B309" s="56" t="inlineStr">
        <is>
          <t>93.75</t>
        </is>
      </c>
      <c r="C309" s="56" t="n"/>
      <c r="D309" s="56" t="inlineStr">
        <is>
          <t>GLOBAL_CHECK, STOCKS_EXIT</t>
        </is>
      </c>
      <c r="E309" s="56">
        <f>IF(G309="",E308,IF(G309&gt;0,E308+G309,E308))</f>
        <v/>
      </c>
      <c r="G309" s="56">
        <f>IFERROR(VLOOKUP($A309&amp;"="&amp;$B309,Results_Deltas!$A$2:$P$15000,5,FALSE),"")</f>
        <v/>
      </c>
      <c r="H309" s="56" t="inlineStr">
        <is>
          <t>Blanket (page end)</t>
        </is>
      </c>
    </row>
    <row r="310">
      <c r="A310" s="63" t="inlineStr">
        <is>
          <t>FG_GREED_THRESHOLD</t>
        </is>
      </c>
      <c r="B310" s="56" t="inlineStr">
        <is>
          <t>56.25</t>
        </is>
      </c>
      <c r="C310" s="56" t="n"/>
      <c r="D310" s="56" t="inlineStr">
        <is>
          <t>GLOBAL_CHECK, STOCKS_EXIT</t>
        </is>
      </c>
      <c r="E310" s="56">
        <f>IF(G310="",E309,IF(G310&gt;0,E309+G310,E309))</f>
        <v/>
      </c>
      <c r="G310" s="56">
        <f>IFERROR(VLOOKUP($A310&amp;"="&amp;$B310,Results_Deltas!$A$2:$P$15000,5,FALSE),"")</f>
        <v/>
      </c>
      <c r="H310" s="56" t="inlineStr">
        <is>
          <t>Blanket (page end)</t>
        </is>
      </c>
    </row>
    <row r="311">
      <c r="A311" s="63" t="inlineStr">
        <is>
          <t>FG_GREED_THRESHOLD</t>
        </is>
      </c>
      <c r="B311" s="56" t="inlineStr">
        <is>
          <t>37.5</t>
        </is>
      </c>
      <c r="C311" s="56" t="n"/>
      <c r="D311" s="56" t="inlineStr">
        <is>
          <t>GLOBAL_CHECK, STOCKS_EXIT</t>
        </is>
      </c>
      <c r="E311" s="56">
        <f>IF(G311="",E310,IF(G311&gt;0,E310+G311,E310))</f>
        <v/>
      </c>
      <c r="G311" s="56">
        <f>IFERROR(VLOOKUP($A311&amp;"="&amp;$B311,Results_Deltas!$A$2:$P$15000,5,FALSE),"")</f>
        <v/>
      </c>
      <c r="H311" s="56" t="inlineStr">
        <is>
          <t>Blanket (page end)</t>
        </is>
      </c>
    </row>
    <row r="312">
      <c r="A312" s="63" t="inlineStr">
        <is>
          <t>FUNDING_GATE_FILTER_TF</t>
        </is>
      </c>
      <c r="B312" s="56" t="inlineStr">
        <is>
          <t>OFF</t>
        </is>
      </c>
      <c r="C312" s="56" t="n"/>
      <c r="D312" s="56" t="inlineStr">
        <is>
          <t>GLOBAL_CHECK</t>
        </is>
      </c>
      <c r="E312" s="56">
        <f>IF(G312="",E311,IF(G312&gt;0,E311+G312,E311))</f>
        <v/>
      </c>
      <c r="G312" s="56">
        <f>IFERROR(VLOOKUP($A312&amp;"="&amp;$B312,Results_Deltas!$A$2:$P$15000,5,FALSE),"")</f>
        <v/>
      </c>
      <c r="H312" s="56" t="inlineStr">
        <is>
          <t>Blanket (page end)</t>
        </is>
      </c>
    </row>
    <row r="313">
      <c r="A313" s="63" t="inlineStr">
        <is>
          <t>FUNDING_GATE_FILTER_TF</t>
        </is>
      </c>
      <c r="B313" s="56" t="inlineStr">
        <is>
          <t>D</t>
        </is>
      </c>
      <c r="C313" s="56" t="n"/>
      <c r="D313" s="56" t="inlineStr">
        <is>
          <t>GLOBAL_CHECK</t>
        </is>
      </c>
      <c r="E313" s="56">
        <f>IF(G313="",E312,IF(G313&gt;0,E312+G313,E312))</f>
        <v/>
      </c>
      <c r="G313" s="56">
        <f>IFERROR(VLOOKUP($A313&amp;"="&amp;$B313,Results_Deltas!$A$2:$P$15000,5,FALSE),"")</f>
        <v/>
      </c>
      <c r="H313" s="56" t="inlineStr">
        <is>
          <t>Blanket (page end)</t>
        </is>
      </c>
    </row>
    <row r="314">
      <c r="A314" s="63" t="inlineStr">
        <is>
          <t>FUNDING_GATE_FILTER_TF</t>
        </is>
      </c>
      <c r="B314" s="56" t="inlineStr">
        <is>
          <t>4h</t>
        </is>
      </c>
      <c r="C314" s="56" t="n"/>
      <c r="D314" s="56" t="inlineStr">
        <is>
          <t>GLOBAL_CHECK</t>
        </is>
      </c>
      <c r="E314" s="56">
        <f>IF(G314="",E313,IF(G314&gt;0,E313+G314,E313))</f>
        <v/>
      </c>
      <c r="G314" s="56">
        <f>IFERROR(VLOOKUP($A314&amp;"="&amp;$B314,Results_Deltas!$A$2:$P$15000,5,FALSE),"")</f>
        <v/>
      </c>
      <c r="H314" s="56" t="inlineStr">
        <is>
          <t>Blanket (page end)</t>
        </is>
      </c>
    </row>
    <row r="315">
      <c r="A315" s="63" t="inlineStr">
        <is>
          <t>FUNDING_GATE_FILTER_TF</t>
        </is>
      </c>
      <c r="B315" s="56" t="inlineStr">
        <is>
          <t>1h</t>
        </is>
      </c>
      <c r="C315" s="56" t="n"/>
      <c r="D315" s="56" t="inlineStr">
        <is>
          <t>GLOBAL_CHECK</t>
        </is>
      </c>
      <c r="E315" s="56">
        <f>IF(G315="",E314,IF(G315&gt;0,E314+G315,E314))</f>
        <v/>
      </c>
      <c r="G315" s="56">
        <f>IFERROR(VLOOKUP($A315&amp;"="&amp;$B315,Results_Deltas!$A$2:$P$15000,5,FALSE),"")</f>
        <v/>
      </c>
      <c r="H315" s="56" t="inlineStr">
        <is>
          <t>Blanket (page end)</t>
        </is>
      </c>
    </row>
    <row r="316">
      <c r="A316" s="63" t="inlineStr">
        <is>
          <t>FUNDING_GATE_FILTER_TF</t>
        </is>
      </c>
      <c r="B316" s="56" t="inlineStr">
        <is>
          <t>15m</t>
        </is>
      </c>
      <c r="C316" s="56" t="n"/>
      <c r="D316" s="56" t="inlineStr">
        <is>
          <t>GLOBAL_CHECK</t>
        </is>
      </c>
      <c r="E316" s="56">
        <f>IF(G316="",E315,IF(G316&gt;0,E315+G316,E315))</f>
        <v/>
      </c>
      <c r="G316" s="56">
        <f>IFERROR(VLOOKUP($A316&amp;"="&amp;$B316,Results_Deltas!$A$2:$P$15000,5,FALSE),"")</f>
        <v/>
      </c>
      <c r="H316" s="56" t="inlineStr">
        <is>
          <t>Blanket (page end)</t>
        </is>
      </c>
    </row>
    <row r="317">
      <c r="A317" s="63" t="inlineStr">
        <is>
          <t>FUNDING_GATE_LONG_MAX</t>
        </is>
      </c>
      <c r="B317" s="56" t="inlineStr">
        <is>
          <t>0.0</t>
        </is>
      </c>
      <c r="C317" s="56" t="n"/>
      <c r="D317" s="56" t="inlineStr">
        <is>
          <t>ENTRY, GLOBAL_CHECK, STOCKS_EXIT</t>
        </is>
      </c>
      <c r="E317" s="56">
        <f>IF(G317="",E316,IF(G317&gt;0,E316+G317,E316))</f>
        <v/>
      </c>
      <c r="G317" s="56">
        <f>IFERROR(VLOOKUP($A317&amp;"="&amp;$B317,Results_Deltas!$A$2:$P$15000,5,FALSE),"")</f>
        <v/>
      </c>
      <c r="H317" s="56" t="inlineStr">
        <is>
          <t>Blanket (page end)</t>
        </is>
      </c>
    </row>
    <row r="318">
      <c r="A318" s="63" t="inlineStr">
        <is>
          <t>FUNDING_GATE_LONG_MAX</t>
        </is>
      </c>
      <c r="B318" s="56" t="inlineStr">
        <is>
          <t>0.0_ALT</t>
        </is>
      </c>
      <c r="C318" s="56" t="n"/>
      <c r="D318" s="56" t="inlineStr">
        <is>
          <t>ENTRY, GLOBAL_CHECK, STOCKS_EXIT</t>
        </is>
      </c>
      <c r="E318" s="56">
        <f>IF(G318="",E317,IF(G318&gt;0,E317+G318,E317))</f>
        <v/>
      </c>
      <c r="G318" s="56">
        <f>IFERROR(VLOOKUP($A318&amp;"="&amp;$B318,Results_Deltas!$A$2:$P$15000,5,FALSE),"")</f>
        <v/>
      </c>
      <c r="H318" s="56" t="inlineStr">
        <is>
          <t>Blanket (page end)</t>
        </is>
      </c>
    </row>
    <row r="319">
      <c r="A319" s="63" t="inlineStr">
        <is>
          <t>FUNDING_GATE_MTF_REQUIRED</t>
        </is>
      </c>
      <c r="B319" s="56" t="inlineStr">
        <is>
          <t>0.0</t>
        </is>
      </c>
      <c r="C319" s="56" t="n"/>
      <c r="D319" s="56" t="inlineStr">
        <is>
          <t>ENTRY, GLOBAL_CHECK, STOCKS_EXIT</t>
        </is>
      </c>
      <c r="E319" s="56">
        <f>IF(G319="",E318,IF(G319&gt;0,E318+G319,E318))</f>
        <v/>
      </c>
      <c r="G319" s="56">
        <f>IFERROR(VLOOKUP($A319&amp;"="&amp;$B319,Results_Deltas!$A$2:$P$15000,5,FALSE),"")</f>
        <v/>
      </c>
      <c r="H319" s="56" t="inlineStr">
        <is>
          <t>Blanket (page end)</t>
        </is>
      </c>
    </row>
    <row r="320">
      <c r="A320" s="63" t="inlineStr">
        <is>
          <t>FUNDING_GATE_MTF_REQUIRED</t>
        </is>
      </c>
      <c r="B320" s="56" t="inlineStr">
        <is>
          <t>0.0_ALT</t>
        </is>
      </c>
      <c r="C320" s="56" t="n"/>
      <c r="D320" s="56" t="inlineStr">
        <is>
          <t>ENTRY, GLOBAL_CHECK, STOCKS_EXIT</t>
        </is>
      </c>
      <c r="E320" s="56">
        <f>IF(G320="",E319,IF(G320&gt;0,E319+G320,E319))</f>
        <v/>
      </c>
      <c r="G320" s="56">
        <f>IFERROR(VLOOKUP($A320&amp;"="&amp;$B320,Results_Deltas!$A$2:$P$15000,5,FALSE),"")</f>
        <v/>
      </c>
      <c r="H320" s="56" t="inlineStr">
        <is>
          <t>Blanket (page end)</t>
        </is>
      </c>
    </row>
    <row r="321">
      <c r="A321" s="63" t="inlineStr">
        <is>
          <t>FUNDING_GATE_SHORT_MIN</t>
        </is>
      </c>
      <c r="B321" s="56" t="inlineStr">
        <is>
          <t>0.0</t>
        </is>
      </c>
      <c r="C321" s="56" t="n"/>
      <c r="D321" s="56" t="inlineStr">
        <is>
          <t>ENTRY, GLOBAL_CHECK, STOCKS_EXIT</t>
        </is>
      </c>
      <c r="E321" s="56">
        <f>IF(G321="",E320,IF(G321&gt;0,E320+G321,E320))</f>
        <v/>
      </c>
      <c r="G321" s="56">
        <f>IFERROR(VLOOKUP($A321&amp;"="&amp;$B321,Results_Deltas!$A$2:$P$15000,5,FALSE),"")</f>
        <v/>
      </c>
      <c r="H321" s="56" t="inlineStr">
        <is>
          <t>Blanket (page end)</t>
        </is>
      </c>
    </row>
    <row r="322">
      <c r="A322" s="63" t="inlineStr">
        <is>
          <t>FUNDING_GATE_SHORT_MIN</t>
        </is>
      </c>
      <c r="B322" s="56" t="inlineStr">
        <is>
          <t>0.0_ALT</t>
        </is>
      </c>
      <c r="C322" s="56" t="n"/>
      <c r="D322" s="56" t="inlineStr">
        <is>
          <t>ENTRY, GLOBAL_CHECK, STOCKS_EXIT</t>
        </is>
      </c>
      <c r="E322" s="56">
        <f>IF(G322="",E321,IF(G322&gt;0,E321+G322,E321))</f>
        <v/>
      </c>
      <c r="G322" s="56">
        <f>IFERROR(VLOOKUP($A322&amp;"="&amp;$B322,Results_Deltas!$A$2:$P$15000,5,FALSE),"")</f>
        <v/>
      </c>
      <c r="H322" s="56" t="inlineStr">
        <is>
          <t>Blanket (page end)</t>
        </is>
      </c>
    </row>
    <row r="323">
      <c r="A323" s="63" t="inlineStr">
        <is>
          <t>GOLDEN_RULE_BASE_USD</t>
        </is>
      </c>
      <c r="B323" s="56" t="inlineStr">
        <is>
          <t>0.0</t>
        </is>
      </c>
      <c r="C323" s="56" t="n"/>
      <c r="D323" s="56" t="inlineStr">
        <is>
          <t>GLOBAL_CHECK, STOCKS_EXIT</t>
        </is>
      </c>
      <c r="E323" s="56">
        <f>IF(G323="",E322,IF(G323&gt;0,E322+G323,E322))</f>
        <v/>
      </c>
      <c r="G323" s="56">
        <f>IFERROR(VLOOKUP($A323&amp;"="&amp;$B323,Results_Deltas!$A$2:$P$15000,5,FALSE),"")</f>
        <v/>
      </c>
      <c r="H323" s="56" t="inlineStr">
        <is>
          <t>Blanket (page end)</t>
        </is>
      </c>
    </row>
    <row r="324">
      <c r="A324" s="63" t="inlineStr">
        <is>
          <t>GOLDEN_RULE_BASE_USD</t>
        </is>
      </c>
      <c r="B324" s="56" t="inlineStr">
        <is>
          <t>0.0_ALT</t>
        </is>
      </c>
      <c r="C324" s="56" t="n"/>
      <c r="D324" s="56" t="inlineStr">
        <is>
          <t>GLOBAL_CHECK, STOCKS_EXIT</t>
        </is>
      </c>
      <c r="E324" s="56">
        <f>IF(G324="",E323,IF(G324&gt;0,E323+G324,E323))</f>
        <v/>
      </c>
      <c r="G324" s="56">
        <f>IFERROR(VLOOKUP($A324&amp;"="&amp;$B324,Results_Deltas!$A$2:$P$15000,5,FALSE),"")</f>
        <v/>
      </c>
      <c r="H324" s="56" t="inlineStr">
        <is>
          <t>Blanket (page end)</t>
        </is>
      </c>
    </row>
    <row r="325">
      <c r="A325" s="63" t="inlineStr">
        <is>
          <t>GR_FILTER_ALL_ENTRIES</t>
        </is>
      </c>
      <c r="B325" s="56" t="inlineStr">
        <is>
          <t>0.0</t>
        </is>
      </c>
      <c r="C325" s="56" t="n"/>
      <c r="D325" s="56" t="inlineStr">
        <is>
          <t>GLOBAL_CHECK, STOCKS_EXIT</t>
        </is>
      </c>
      <c r="E325" s="56">
        <f>IF(G325="",E324,IF(G325&gt;0,E324+G325,E324))</f>
        <v/>
      </c>
      <c r="G325" s="56">
        <f>IFERROR(VLOOKUP($A325&amp;"="&amp;$B325,Results_Deltas!$A$2:$P$15000,5,FALSE),"")</f>
        <v/>
      </c>
      <c r="H325" s="56" t="inlineStr">
        <is>
          <t>Blanket (page end)</t>
        </is>
      </c>
    </row>
    <row r="326">
      <c r="A326" s="63" t="inlineStr">
        <is>
          <t>GR_FILTER_ALL_ENTRIES</t>
        </is>
      </c>
      <c r="B326" s="56" t="inlineStr">
        <is>
          <t>0.0_ALT</t>
        </is>
      </c>
      <c r="C326" s="56" t="n"/>
      <c r="D326" s="56" t="inlineStr">
        <is>
          <t>GLOBAL_CHECK, STOCKS_EXIT</t>
        </is>
      </c>
      <c r="E326" s="56">
        <f>IF(G326="",E325,IF(G326&gt;0,E325+G326,E325))</f>
        <v/>
      </c>
      <c r="G326" s="56">
        <f>IFERROR(VLOOKUP($A326&amp;"="&amp;$B326,Results_Deltas!$A$2:$P$15000,5,FALSE),"")</f>
        <v/>
      </c>
      <c r="H326" s="56" t="inlineStr">
        <is>
          <t>Blanket (page end)</t>
        </is>
      </c>
    </row>
    <row r="327">
      <c r="A327" s="63" t="inlineStr">
        <is>
          <t>GR_FILTER_VEC_ENABLED</t>
        </is>
      </c>
      <c r="B327" s="56" t="inlineStr">
        <is>
          <t>False</t>
        </is>
      </c>
      <c r="C327" s="56" t="n"/>
      <c r="D327" s="56" t="inlineStr">
        <is>
          <t>GLOBAL_CHECK</t>
        </is>
      </c>
      <c r="E327" s="56">
        <f>IF(G327="",E326,IF(G327&gt;0,E326+G327,E326))</f>
        <v/>
      </c>
      <c r="G327" s="56">
        <f>IFERROR(VLOOKUP($A327&amp;"="&amp;$B327,Results_Deltas!$A$2:$P$15000,5,FALSE),"")</f>
        <v/>
      </c>
      <c r="H327" s="56" t="inlineStr">
        <is>
          <t>Blanket (page end)</t>
        </is>
      </c>
    </row>
    <row r="328">
      <c r="A328" s="63" t="inlineStr">
        <is>
          <t>GR_FILTER_VEC_ENABLED</t>
        </is>
      </c>
      <c r="B328" s="56" t="inlineStr">
        <is>
          <t>True</t>
        </is>
      </c>
      <c r="C328" s="56" t="n"/>
      <c r="D328" s="56" t="inlineStr">
        <is>
          <t>GLOBAL_CHECK</t>
        </is>
      </c>
      <c r="E328" s="56">
        <f>IF(G328="",E327,IF(G328&gt;0,E327+G328,E327))</f>
        <v/>
      </c>
      <c r="G328" s="56">
        <f>IFERROR(VLOOKUP($A328&amp;"="&amp;$B328,Results_Deltas!$A$2:$P$15000,5,FALSE),"")</f>
        <v/>
      </c>
      <c r="H328" s="56" t="inlineStr">
        <is>
          <t>Blanket (page end)</t>
        </is>
      </c>
    </row>
    <row r="329">
      <c r="A329" s="63" t="inlineStr">
        <is>
          <t>GR_FILTER_VEC_MIN_TFS</t>
        </is>
      </c>
      <c r="B329" s="56" t="inlineStr">
        <is>
          <t>0</t>
        </is>
      </c>
      <c r="C329" s="56" t="n"/>
      <c r="D329" s="56" t="inlineStr">
        <is>
          <t>GLOBAL_CHECK</t>
        </is>
      </c>
      <c r="E329" s="56">
        <f>IF(G329="",E328,IF(G329&gt;0,E328+G329,E328))</f>
        <v/>
      </c>
      <c r="G329" s="56">
        <f>IFERROR(VLOOKUP($A329&amp;"="&amp;$B329,Results_Deltas!$A$2:$P$15000,5,FALSE),"")</f>
        <v/>
      </c>
      <c r="H329" s="56" t="inlineStr">
        <is>
          <t>Blanket (page end)</t>
        </is>
      </c>
    </row>
    <row r="330">
      <c r="A330" s="63" t="inlineStr">
        <is>
          <t>GR_FILTER_VEC_MIN_TFS</t>
        </is>
      </c>
      <c r="B330" s="56" t="inlineStr">
        <is>
          <t>2</t>
        </is>
      </c>
      <c r="C330" s="56" t="n"/>
      <c r="D330" s="56" t="inlineStr">
        <is>
          <t>GLOBAL_CHECK</t>
        </is>
      </c>
      <c r="E330" s="56">
        <f>IF(G330="",E329,IF(G330&gt;0,E329+G330,E329))</f>
        <v/>
      </c>
      <c r="G330" s="56">
        <f>IFERROR(VLOOKUP($A330&amp;"="&amp;$B330,Results_Deltas!$A$2:$P$15000,5,FALSE),"")</f>
        <v/>
      </c>
      <c r="H330" s="56" t="inlineStr">
        <is>
          <t>Blanket (page end)</t>
        </is>
      </c>
    </row>
    <row r="331">
      <c r="A331" s="63" t="inlineStr">
        <is>
          <t>GR_FILTER_VEC_MIN_TFS</t>
        </is>
      </c>
      <c r="B331" s="56" t="inlineStr">
        <is>
          <t>1</t>
        </is>
      </c>
      <c r="C331" s="56" t="n"/>
      <c r="D331" s="56" t="inlineStr">
        <is>
          <t>GLOBAL_CHECK</t>
        </is>
      </c>
      <c r="E331" s="56">
        <f>IF(G331="",E330,IF(G331&gt;0,E330+G331,E330))</f>
        <v/>
      </c>
      <c r="G331" s="56">
        <f>IFERROR(VLOOKUP($A331&amp;"="&amp;$B331,Results_Deltas!$A$2:$P$15000,5,FALSE),"")</f>
        <v/>
      </c>
      <c r="H331" s="56" t="inlineStr">
        <is>
          <t>Blanket (page end)</t>
        </is>
      </c>
    </row>
    <row r="332">
      <c r="A332" s="63" t="inlineStr">
        <is>
          <t>HA_WICK_QUALITY_ENABLED</t>
        </is>
      </c>
      <c r="B332" s="56" t="inlineStr">
        <is>
          <t>False</t>
        </is>
      </c>
      <c r="C332" s="56" t="n"/>
      <c r="D332" s="56" t="inlineStr">
        <is>
          <t>ENTRY, GLOBAL_CHECK, STOCKS_EXIT</t>
        </is>
      </c>
      <c r="E332" s="56">
        <f>IF(G332="",E331,IF(G332&gt;0,E331+G332,E331))</f>
        <v/>
      </c>
      <c r="G332" s="56">
        <f>IFERROR(VLOOKUP($A332&amp;"="&amp;$B332,Results_Deltas!$A$2:$P$15000,5,FALSE),"")</f>
        <v/>
      </c>
      <c r="H332" s="56" t="inlineStr">
        <is>
          <t>Blanket (page end)</t>
        </is>
      </c>
    </row>
    <row r="333">
      <c r="A333" s="63" t="inlineStr">
        <is>
          <t>HA_WICK_QUALITY_ENABLED</t>
        </is>
      </c>
      <c r="B333" s="56" t="inlineStr">
        <is>
          <t>True</t>
        </is>
      </c>
      <c r="C333" s="56" t="n"/>
      <c r="D333" s="56" t="inlineStr">
        <is>
          <t>ENTRY, GLOBAL_CHECK, STOCKS_EXIT</t>
        </is>
      </c>
      <c r="E333" s="56">
        <f>IF(G333="",E332,IF(G333&gt;0,E332+G333,E332))</f>
        <v/>
      </c>
      <c r="G333" s="56">
        <f>IFERROR(VLOOKUP($A333&amp;"="&amp;$B333,Results_Deltas!$A$2:$P$15000,5,FALSE),"")</f>
        <v/>
      </c>
      <c r="H333" s="56" t="inlineStr">
        <is>
          <t>Blanket (page end)</t>
        </is>
      </c>
    </row>
    <row r="334">
      <c r="A334" s="63" t="inlineStr">
        <is>
          <t>HA_WICK_QUALITY_SCORE</t>
        </is>
      </c>
      <c r="B334" s="56" t="inlineStr">
        <is>
          <t>15</t>
        </is>
      </c>
      <c r="C334" s="56" t="n"/>
      <c r="D334" s="56" t="inlineStr">
        <is>
          <t>ENTRY, GLOBAL_CHECK, STOCKS_EXIT</t>
        </is>
      </c>
      <c r="E334" s="56">
        <f>IF(G334="",E333,IF(G334&gt;0,E333+G334,E333))</f>
        <v/>
      </c>
      <c r="G334" s="56">
        <f>IFERROR(VLOOKUP($A334&amp;"="&amp;$B334,Results_Deltas!$A$2:$P$15000,5,FALSE),"")</f>
        <v/>
      </c>
      <c r="H334" s="56" t="inlineStr">
        <is>
          <t>Blanket (page end)</t>
        </is>
      </c>
    </row>
    <row r="335">
      <c r="A335" s="63" t="inlineStr">
        <is>
          <t>HA_WICK_QUALITY_SCORE</t>
        </is>
      </c>
      <c r="B335" s="56" t="inlineStr">
        <is>
          <t>15_ALT</t>
        </is>
      </c>
      <c r="C335" s="56" t="n"/>
      <c r="D335" s="56" t="inlineStr">
        <is>
          <t>ENTRY, GLOBAL_CHECK, STOCKS_EXIT</t>
        </is>
      </c>
      <c r="E335" s="56">
        <f>IF(G335="",E334,IF(G335&gt;0,E334+G335,E334))</f>
        <v/>
      </c>
      <c r="G335" s="56">
        <f>IFERROR(VLOOKUP($A335&amp;"="&amp;$B335,Results_Deltas!$A$2:$P$15000,5,FALSE),"")</f>
        <v/>
      </c>
      <c r="H335" s="56" t="inlineStr">
        <is>
          <t>Blanket (page end)</t>
        </is>
      </c>
    </row>
    <row r="336">
      <c r="A336" s="63" t="inlineStr">
        <is>
          <t>HA_WICK_QUALITY_TF</t>
        </is>
      </c>
      <c r="B336" s="56" t="inlineStr">
        <is>
          <t>OFF</t>
        </is>
      </c>
      <c r="C336" s="56" t="n"/>
      <c r="D336" s="56" t="inlineStr">
        <is>
          <t>ENTRY, GLOBAL_CHECK, STOCKS_EXIT</t>
        </is>
      </c>
      <c r="E336" s="56">
        <f>IF(G336="",E335,IF(G336&gt;0,E335+G336,E335))</f>
        <v/>
      </c>
      <c r="G336" s="56">
        <f>IFERROR(VLOOKUP($A336&amp;"="&amp;$B336,Results_Deltas!$A$2:$P$15000,5,FALSE),"")</f>
        <v/>
      </c>
      <c r="H336" s="56" t="inlineStr">
        <is>
          <t>Blanket (page end)</t>
        </is>
      </c>
    </row>
    <row r="337">
      <c r="A337" s="63" t="inlineStr">
        <is>
          <t>HA_WICK_QUALITY_TF</t>
        </is>
      </c>
      <c r="B337" s="56" t="inlineStr">
        <is>
          <t>D</t>
        </is>
      </c>
      <c r="C337" s="56" t="n"/>
      <c r="D337" s="56" t="inlineStr">
        <is>
          <t>ENTRY, GLOBAL_CHECK, STOCKS_EXIT</t>
        </is>
      </c>
      <c r="E337" s="56">
        <f>IF(G337="",E336,IF(G337&gt;0,E336+G337,E336))</f>
        <v/>
      </c>
      <c r="G337" s="56">
        <f>IFERROR(VLOOKUP($A337&amp;"="&amp;$B337,Results_Deltas!$A$2:$P$15000,5,FALSE),"")</f>
        <v/>
      </c>
      <c r="H337" s="56" t="inlineStr">
        <is>
          <t>Blanket (page end)</t>
        </is>
      </c>
    </row>
    <row r="338">
      <c r="A338" s="63" t="inlineStr">
        <is>
          <t>HA_WICK_QUALITY_TF</t>
        </is>
      </c>
      <c r="B338" s="56" t="inlineStr">
        <is>
          <t>4h</t>
        </is>
      </c>
      <c r="C338" s="56" t="n"/>
      <c r="D338" s="56" t="inlineStr">
        <is>
          <t>ENTRY, GLOBAL_CHECK, STOCKS_EXIT</t>
        </is>
      </c>
      <c r="E338" s="56">
        <f>IF(G338="",E337,IF(G338&gt;0,E337+G338,E337))</f>
        <v/>
      </c>
      <c r="G338" s="56">
        <f>IFERROR(VLOOKUP($A338&amp;"="&amp;$B338,Results_Deltas!$A$2:$P$15000,5,FALSE),"")</f>
        <v/>
      </c>
      <c r="H338" s="56" t="inlineStr">
        <is>
          <t>Blanket (page end)</t>
        </is>
      </c>
    </row>
    <row r="339">
      <c r="A339" s="63" t="inlineStr">
        <is>
          <t>HA_WICK_QUALITY_TF</t>
        </is>
      </c>
      <c r="B339" s="56" t="inlineStr">
        <is>
          <t>1h</t>
        </is>
      </c>
      <c r="C339" s="56" t="n"/>
      <c r="D339" s="56" t="inlineStr">
        <is>
          <t>ENTRY, GLOBAL_CHECK, STOCKS_EXIT</t>
        </is>
      </c>
      <c r="E339" s="56">
        <f>IF(G339="",E338,IF(G339&gt;0,E338+G339,E338))</f>
        <v/>
      </c>
      <c r="G339" s="56">
        <f>IFERROR(VLOOKUP($A339&amp;"="&amp;$B339,Results_Deltas!$A$2:$P$15000,5,FALSE),"")</f>
        <v/>
      </c>
      <c r="H339" s="56" t="inlineStr">
        <is>
          <t>Blanket (page end)</t>
        </is>
      </c>
    </row>
    <row r="340">
      <c r="A340" s="63" t="inlineStr">
        <is>
          <t>HA_WICK_QUALITY_TF</t>
        </is>
      </c>
      <c r="B340" s="56" t="inlineStr">
        <is>
          <t>15m</t>
        </is>
      </c>
      <c r="C340" s="56" t="n"/>
      <c r="D340" s="56" t="inlineStr">
        <is>
          <t>ENTRY, GLOBAL_CHECK, STOCKS_EXIT</t>
        </is>
      </c>
      <c r="E340" s="56">
        <f>IF(G340="",E339,IF(G340&gt;0,E339+G340,E339))</f>
        <v/>
      </c>
      <c r="G340" s="56">
        <f>IFERROR(VLOOKUP($A340&amp;"="&amp;$B340,Results_Deltas!$A$2:$P$15000,5,FALSE),"")</f>
        <v/>
      </c>
      <c r="H340" s="56" t="inlineStr">
        <is>
          <t>Blanket (page end)</t>
        </is>
      </c>
    </row>
    <row r="341">
      <c r="A341" s="63" t="inlineStr">
        <is>
          <t>HLR_SMA_BAND_PCT</t>
        </is>
      </c>
      <c r="B341" s="56" t="inlineStr">
        <is>
          <t>0</t>
        </is>
      </c>
      <c r="C341" s="56" t="n"/>
      <c r="D341" s="56" t="inlineStr">
        <is>
          <t>ENTRY, GLOBAL_CHECK, STOCKS_EXIT</t>
        </is>
      </c>
      <c r="E341" s="56">
        <f>IF(G341="",E340,IF(G341&gt;0,E340+G341,E340))</f>
        <v/>
      </c>
      <c r="G341" s="56">
        <f>IFERROR(VLOOKUP($A341&amp;"="&amp;$B341,Results_Deltas!$A$2:$P$15000,5,FALSE),"")</f>
        <v/>
      </c>
      <c r="H341" s="56" t="inlineStr">
        <is>
          <t>Blanket (page end)</t>
        </is>
      </c>
    </row>
    <row r="342">
      <c r="A342" s="63" t="inlineStr">
        <is>
          <t>HLR_SMA_BAND_PCT</t>
        </is>
      </c>
      <c r="B342" s="56" t="inlineStr">
        <is>
          <t>2.0</t>
        </is>
      </c>
      <c r="C342" s="56" t="n"/>
      <c r="D342" s="56" t="inlineStr">
        <is>
          <t>ENTRY, GLOBAL_CHECK, STOCKS_EXIT</t>
        </is>
      </c>
      <c r="E342" s="56">
        <f>IF(G342="",E341,IF(G342&gt;0,E341+G342,E341))</f>
        <v/>
      </c>
      <c r="G342" s="56">
        <f>IFERROR(VLOOKUP($A342&amp;"="&amp;$B342,Results_Deltas!$A$2:$P$15000,5,FALSE),"")</f>
        <v/>
      </c>
      <c r="H342" s="56" t="inlineStr">
        <is>
          <t>Blanket (page end)</t>
        </is>
      </c>
    </row>
    <row r="343">
      <c r="A343" s="63" t="inlineStr">
        <is>
          <t>HLR_SMA_BAND_PCT</t>
        </is>
      </c>
      <c r="B343" s="56" t="inlineStr">
        <is>
          <t>1.0</t>
        </is>
      </c>
      <c r="C343" s="56" t="n"/>
      <c r="D343" s="56" t="inlineStr">
        <is>
          <t>ENTRY, GLOBAL_CHECK, STOCKS_EXIT</t>
        </is>
      </c>
      <c r="E343" s="56">
        <f>IF(G343="",E342,IF(G343&gt;0,E342+G343,E342))</f>
        <v/>
      </c>
      <c r="G343" s="56">
        <f>IFERROR(VLOOKUP($A343&amp;"="&amp;$B343,Results_Deltas!$A$2:$P$15000,5,FALSE),"")</f>
        <v/>
      </c>
      <c r="H343" s="56" t="inlineStr">
        <is>
          <t>Blanket (page end)</t>
        </is>
      </c>
    </row>
    <row r="344">
      <c r="A344" s="63" t="inlineStr">
        <is>
          <t>HLR_SMA_BAND_PCT</t>
        </is>
      </c>
      <c r="B344" s="56" t="inlineStr">
        <is>
          <t>0.5</t>
        </is>
      </c>
      <c r="C344" s="56" t="n"/>
      <c r="D344" s="56" t="inlineStr">
        <is>
          <t>ENTRY, GLOBAL_CHECK, STOCKS_EXIT</t>
        </is>
      </c>
      <c r="E344" s="56">
        <f>IF(G344="",E343,IF(G344&gt;0,E343+G344,E343))</f>
        <v/>
      </c>
      <c r="G344" s="56">
        <f>IFERROR(VLOOKUP($A344&amp;"="&amp;$B344,Results_Deltas!$A$2:$P$15000,5,FALSE),"")</f>
        <v/>
      </c>
      <c r="H344" s="56" t="inlineStr">
        <is>
          <t>Blanket (page end)</t>
        </is>
      </c>
    </row>
    <row r="345">
      <c r="A345" s="63" t="inlineStr">
        <is>
          <t>HLR_TOP_MIN_TFS</t>
        </is>
      </c>
      <c r="B345" s="56" t="inlineStr">
        <is>
          <t>0</t>
        </is>
      </c>
      <c r="C345" s="56" t="n"/>
      <c r="D345" s="56" t="inlineStr">
        <is>
          <t>GLOBAL_CHECK, REENTRY, STOCKS_EXIT</t>
        </is>
      </c>
      <c r="E345" s="56">
        <f>IF(G345="",E344,IF(G345&gt;0,E344+G345,E344))</f>
        <v/>
      </c>
      <c r="G345" s="56">
        <f>IFERROR(VLOOKUP($A345&amp;"="&amp;$B345,Results_Deltas!$A$2:$P$15000,5,FALSE),"")</f>
        <v/>
      </c>
      <c r="H345" s="56" t="inlineStr">
        <is>
          <t>Blanket (page end)</t>
        </is>
      </c>
    </row>
    <row r="346">
      <c r="A346" s="63" t="inlineStr">
        <is>
          <t>HLR_TOP_MIN_TFS</t>
        </is>
      </c>
      <c r="B346" s="56" t="inlineStr">
        <is>
          <t>2</t>
        </is>
      </c>
      <c r="C346" s="56" t="n"/>
      <c r="D346" s="56" t="inlineStr">
        <is>
          <t>GLOBAL_CHECK, REENTRY, STOCKS_EXIT</t>
        </is>
      </c>
      <c r="E346" s="56">
        <f>IF(G346="",E345,IF(G346&gt;0,E345+G346,E345))</f>
        <v/>
      </c>
      <c r="G346" s="56">
        <f>IFERROR(VLOOKUP($A346&amp;"="&amp;$B346,Results_Deltas!$A$2:$P$15000,5,FALSE),"")</f>
        <v/>
      </c>
      <c r="H346" s="56" t="inlineStr">
        <is>
          <t>Blanket (page end)</t>
        </is>
      </c>
    </row>
    <row r="347">
      <c r="A347" s="63" t="inlineStr">
        <is>
          <t>HLR_TOP_MIN_TFS</t>
        </is>
      </c>
      <c r="B347" s="56" t="inlineStr">
        <is>
          <t>1</t>
        </is>
      </c>
      <c r="C347" s="56" t="n"/>
      <c r="D347" s="56" t="inlineStr">
        <is>
          <t>GLOBAL_CHECK, REENTRY, STOCKS_EXIT</t>
        </is>
      </c>
      <c r="E347" s="56">
        <f>IF(G347="",E346,IF(G347&gt;0,E346+G347,E346))</f>
        <v/>
      </c>
      <c r="G347" s="56">
        <f>IFERROR(VLOOKUP($A347&amp;"="&amp;$B347,Results_Deltas!$A$2:$P$15000,5,FALSE),"")</f>
        <v/>
      </c>
      <c r="H347" s="56" t="inlineStr">
        <is>
          <t>Blanket (page end)</t>
        </is>
      </c>
    </row>
    <row r="348">
      <c r="A348" s="63" t="inlineStr">
        <is>
          <t>HTF4_CONF</t>
        </is>
      </c>
      <c r="B348" s="56" t="inlineStr">
        <is>
          <t>False</t>
        </is>
      </c>
      <c r="C348" s="56" t="n"/>
      <c r="D348" s="56" t="inlineStr">
        <is>
          <t>GLOBAL_CHECK, STOCKS_EXIT</t>
        </is>
      </c>
      <c r="E348" s="56">
        <f>IF(G348="",E347,IF(G348&gt;0,E347+G348,E347))</f>
        <v/>
      </c>
      <c r="G348" s="56">
        <f>IFERROR(VLOOKUP($A348&amp;"="&amp;$B348,Results_Deltas!$A$2:$P$15000,5,FALSE),"")</f>
        <v/>
      </c>
      <c r="H348" s="56" t="inlineStr">
        <is>
          <t>Blanket (page end)</t>
        </is>
      </c>
    </row>
    <row r="349">
      <c r="A349" s="63" t="inlineStr">
        <is>
          <t>HTF4_CONF</t>
        </is>
      </c>
      <c r="B349" s="56" t="inlineStr">
        <is>
          <t>False_ALT</t>
        </is>
      </c>
      <c r="C349" s="56" t="n"/>
      <c r="D349" s="56" t="inlineStr">
        <is>
          <t>GLOBAL_CHECK, STOCKS_EXIT</t>
        </is>
      </c>
      <c r="E349" s="56">
        <f>IF(G349="",E348,IF(G349&gt;0,E348+G349,E348))</f>
        <v/>
      </c>
      <c r="G349" s="56">
        <f>IFERROR(VLOOKUP($A349&amp;"="&amp;$B349,Results_Deltas!$A$2:$P$15000,5,FALSE),"")</f>
        <v/>
      </c>
      <c r="H349" s="56" t="inlineStr">
        <is>
          <t>Blanket (page end)</t>
        </is>
      </c>
    </row>
    <row r="350">
      <c r="A350" s="63" t="inlineStr">
        <is>
          <t>HTF_DIRECTION_GATE_ENABLED</t>
        </is>
      </c>
      <c r="B350" s="56" t="inlineStr">
        <is>
          <t>False</t>
        </is>
      </c>
      <c r="C350" s="56" t="n"/>
      <c r="D350" s="56" t="inlineStr">
        <is>
          <t>ENTRY, GLOBAL_CHECK, STOCKS_EXIT</t>
        </is>
      </c>
      <c r="E350" s="56">
        <f>IF(G350="",E349,IF(G350&gt;0,E349+G350,E349))</f>
        <v/>
      </c>
      <c r="G350" s="56">
        <f>IFERROR(VLOOKUP($A350&amp;"="&amp;$B350,Results_Deltas!$A$2:$P$15000,5,FALSE),"")</f>
        <v/>
      </c>
      <c r="H350" s="56" t="inlineStr">
        <is>
          <t>Blanket (page end)</t>
        </is>
      </c>
    </row>
    <row r="351">
      <c r="A351" s="63" t="inlineStr">
        <is>
          <t>HTF_DIRECTION_GATE_ENABLED</t>
        </is>
      </c>
      <c r="B351" s="56" t="inlineStr">
        <is>
          <t>True</t>
        </is>
      </c>
      <c r="C351" s="56" t="n"/>
      <c r="D351" s="56" t="inlineStr">
        <is>
          <t>ENTRY, GLOBAL_CHECK, STOCKS_EXIT</t>
        </is>
      </c>
      <c r="E351" s="56">
        <f>IF(G351="",E350,IF(G351&gt;0,E350+G351,E350))</f>
        <v/>
      </c>
      <c r="G351" s="56">
        <f>IFERROR(VLOOKUP($A351&amp;"="&amp;$B351,Results_Deltas!$A$2:$P$15000,5,FALSE),"")</f>
        <v/>
      </c>
      <c r="H351" s="56" t="inlineStr">
        <is>
          <t>Blanket (page end)</t>
        </is>
      </c>
    </row>
    <row r="352">
      <c r="A352" s="63" t="inlineStr">
        <is>
          <t>HTF_GATE_BYPASS_RZ</t>
        </is>
      </c>
      <c r="B352" s="56" t="inlineStr">
        <is>
          <t>0.0</t>
        </is>
      </c>
      <c r="C352" s="56" t="n"/>
      <c r="D352" s="56" t="inlineStr">
        <is>
          <t>ENTRY, GLOBAL_CHECK, STOCKS_EXIT</t>
        </is>
      </c>
      <c r="E352" s="56">
        <f>IF(G352="",E351,IF(G352&gt;0,E351+G352,E351))</f>
        <v/>
      </c>
      <c r="G352" s="56">
        <f>IFERROR(VLOOKUP($A352&amp;"="&amp;$B352,Results_Deltas!$A$2:$P$15000,5,FALSE),"")</f>
        <v/>
      </c>
      <c r="H352" s="56" t="inlineStr">
        <is>
          <t>Blanket (page end)</t>
        </is>
      </c>
    </row>
    <row r="353">
      <c r="A353" s="63" t="inlineStr">
        <is>
          <t>HTF_GATE_BYPASS_RZ</t>
        </is>
      </c>
      <c r="B353" s="56" t="inlineStr">
        <is>
          <t>0.0_ALT</t>
        </is>
      </c>
      <c r="C353" s="56" t="n"/>
      <c r="D353" s="56" t="inlineStr">
        <is>
          <t>ENTRY, GLOBAL_CHECK, STOCKS_EXIT</t>
        </is>
      </c>
      <c r="E353" s="56">
        <f>IF(G353="",E352,IF(G353&gt;0,E352+G353,E352))</f>
        <v/>
      </c>
      <c r="G353" s="56">
        <f>IFERROR(VLOOKUP($A353&amp;"="&amp;$B353,Results_Deltas!$A$2:$P$15000,5,FALSE),"")</f>
        <v/>
      </c>
      <c r="H353" s="56" t="inlineStr">
        <is>
          <t>Blanket (page end)</t>
        </is>
      </c>
    </row>
    <row r="354">
      <c r="A354" s="63" t="inlineStr">
        <is>
          <t>HTF_GATE_D_MANDATORY</t>
        </is>
      </c>
      <c r="B354" s="56" t="inlineStr">
        <is>
          <t>0.0</t>
        </is>
      </c>
      <c r="C354" s="56" t="n"/>
      <c r="D354" s="56" t="inlineStr">
        <is>
          <t>ENTRY, GLOBAL_CHECK, STOCKS_EXIT</t>
        </is>
      </c>
      <c r="E354" s="56">
        <f>IF(G354="",E353,IF(G354&gt;0,E353+G354,E353))</f>
        <v/>
      </c>
      <c r="G354" s="56">
        <f>IFERROR(VLOOKUP($A354&amp;"="&amp;$B354,Results_Deltas!$A$2:$P$15000,5,FALSE),"")</f>
        <v/>
      </c>
      <c r="H354" s="56" t="inlineStr">
        <is>
          <t>Blanket (page end)</t>
        </is>
      </c>
    </row>
    <row r="355">
      <c r="A355" s="63" t="inlineStr">
        <is>
          <t>HTF_GATE_D_MANDATORY</t>
        </is>
      </c>
      <c r="B355" s="56" t="inlineStr">
        <is>
          <t>0.0_ALT</t>
        </is>
      </c>
      <c r="C355" s="56" t="n"/>
      <c r="D355" s="56" t="inlineStr">
        <is>
          <t>ENTRY, GLOBAL_CHECK, STOCKS_EXIT</t>
        </is>
      </c>
      <c r="E355" s="56">
        <f>IF(G355="",E354,IF(G355&gt;0,E354+G355,E354))</f>
        <v/>
      </c>
      <c r="G355" s="56">
        <f>IFERROR(VLOOKUP($A355&amp;"="&amp;$B355,Results_Deltas!$A$2:$P$15000,5,FALSE),"")</f>
        <v/>
      </c>
      <c r="H355" s="56" t="inlineStr">
        <is>
          <t>Blanket (page end)</t>
        </is>
      </c>
    </row>
    <row r="356">
      <c r="A356" s="63" t="inlineStr">
        <is>
          <t>HTF_GATE_MIN_CONFIRMATIONS</t>
        </is>
      </c>
      <c r="B356" s="56" t="inlineStr">
        <is>
          <t>0.0</t>
        </is>
      </c>
      <c r="C356" s="56" t="n"/>
      <c r="D356" s="56" t="inlineStr">
        <is>
          <t>ENTRY, GLOBAL_CHECK, STOCKS_EXIT</t>
        </is>
      </c>
      <c r="E356" s="56">
        <f>IF(G356="",E355,IF(G356&gt;0,E355+G356,E355))</f>
        <v/>
      </c>
      <c r="G356" s="56">
        <f>IFERROR(VLOOKUP($A356&amp;"="&amp;$B356,Results_Deltas!$A$2:$P$15000,5,FALSE),"")</f>
        <v/>
      </c>
      <c r="H356" s="56" t="inlineStr">
        <is>
          <t>Blanket (page end)</t>
        </is>
      </c>
    </row>
    <row r="357">
      <c r="A357" s="63" t="inlineStr">
        <is>
          <t>HTF_GATE_MIN_CONFIRMATIONS</t>
        </is>
      </c>
      <c r="B357" s="56" t="inlineStr">
        <is>
          <t>0.0_ALT</t>
        </is>
      </c>
      <c r="C357" s="56" t="n"/>
      <c r="D357" s="56" t="inlineStr">
        <is>
          <t>ENTRY, GLOBAL_CHECK, STOCKS_EXIT</t>
        </is>
      </c>
      <c r="E357" s="56">
        <f>IF(G357="",E356,IF(G357&gt;0,E356+G357,E356))</f>
        <v/>
      </c>
      <c r="G357" s="56">
        <f>IFERROR(VLOOKUP($A357&amp;"="&amp;$B357,Results_Deltas!$A$2:$P$15000,5,FALSE),"")</f>
        <v/>
      </c>
      <c r="H357" s="56" t="inlineStr">
        <is>
          <t>Blanket (page end)</t>
        </is>
      </c>
    </row>
    <row r="358">
      <c r="A358" s="63" t="inlineStr">
        <is>
          <t>HTF_TREND_VETO_BYPASS_ENABLED</t>
        </is>
      </c>
      <c r="B358" s="56" t="inlineStr">
        <is>
          <t>False</t>
        </is>
      </c>
      <c r="C358" s="56" t="n"/>
      <c r="D358" s="56" t="inlineStr">
        <is>
          <t>GLOBAL_CHECK, STOCKS_EXIT</t>
        </is>
      </c>
      <c r="E358" s="56">
        <f>IF(G358="",E357,IF(G358&gt;0,E357+G358,E357))</f>
        <v/>
      </c>
      <c r="G358" s="56">
        <f>IFERROR(VLOOKUP($A358&amp;"="&amp;$B358,Results_Deltas!$A$2:$P$15000,5,FALSE),"")</f>
        <v/>
      </c>
      <c r="H358" s="56" t="inlineStr">
        <is>
          <t>Blanket (page end)</t>
        </is>
      </c>
    </row>
    <row r="359">
      <c r="A359" s="63" t="inlineStr">
        <is>
          <t>HTF_TREND_VETO_BYPASS_ENABLED</t>
        </is>
      </c>
      <c r="B359" s="56" t="inlineStr">
        <is>
          <t>True</t>
        </is>
      </c>
      <c r="C359" s="56" t="n"/>
      <c r="D359" s="56" t="inlineStr">
        <is>
          <t>GLOBAL_CHECK, STOCKS_EXIT</t>
        </is>
      </c>
      <c r="E359" s="56">
        <f>IF(G359="",E358,IF(G359&gt;0,E358+G359,E358))</f>
        <v/>
      </c>
      <c r="G359" s="56">
        <f>IFERROR(VLOOKUP($A359&amp;"="&amp;$B359,Results_Deltas!$A$2:$P$15000,5,FALSE),"")</f>
        <v/>
      </c>
      <c r="H359" s="56" t="inlineStr">
        <is>
          <t>Blanket (page end)</t>
        </is>
      </c>
    </row>
    <row r="360">
      <c r="A360" s="63" t="inlineStr">
        <is>
          <t>HTF_TREND_VETO_BYPASS_REASONS</t>
        </is>
      </c>
      <c r="B360" s="56" t="inlineStr">
        <is>
          <t>0.0</t>
        </is>
      </c>
      <c r="C360" s="56" t="n"/>
      <c r="D360" s="56" t="inlineStr">
        <is>
          <t>GLOBAL_CHECK, STOCKS_EXIT</t>
        </is>
      </c>
      <c r="E360" s="56">
        <f>IF(G360="",E359,IF(G360&gt;0,E359+G360,E359))</f>
        <v/>
      </c>
      <c r="G360" s="56">
        <f>IFERROR(VLOOKUP($A360&amp;"="&amp;$B360,Results_Deltas!$A$2:$P$15000,5,FALSE),"")</f>
        <v/>
      </c>
      <c r="H360" s="56" t="inlineStr">
        <is>
          <t>Blanket (page end)</t>
        </is>
      </c>
    </row>
    <row r="361">
      <c r="A361" s="63" t="inlineStr">
        <is>
          <t>HTF_TREND_VETO_BYPASS_REASONS</t>
        </is>
      </c>
      <c r="B361" s="56" t="inlineStr">
        <is>
          <t>0.0_ALT</t>
        </is>
      </c>
      <c r="C361" s="56" t="n"/>
      <c r="D361" s="56" t="inlineStr">
        <is>
          <t>GLOBAL_CHECK, STOCKS_EXIT</t>
        </is>
      </c>
      <c r="E361" s="56">
        <f>IF(G361="",E360,IF(G361&gt;0,E360+G361,E360))</f>
        <v/>
      </c>
      <c r="G361" s="56">
        <f>IFERROR(VLOOKUP($A361&amp;"="&amp;$B361,Results_Deltas!$A$2:$P$15000,5,FALSE),"")</f>
        <v/>
      </c>
      <c r="H361" s="56" t="inlineStr">
        <is>
          <t>Blanket (page end)</t>
        </is>
      </c>
    </row>
    <row r="362">
      <c r="A362" s="63" t="inlineStr">
        <is>
          <t>LEADERBOARD_FILTER</t>
        </is>
      </c>
      <c r="B362" s="56" t="inlineStr">
        <is>
          <t>False</t>
        </is>
      </c>
      <c r="C362" s="56" t="n"/>
      <c r="D362" s="56" t="inlineStr">
        <is>
          <t>AUGMENT, ENTRY, EXIT, GLOBAL_CHECK, REDUCE, STOCKS_EXIT</t>
        </is>
      </c>
      <c r="E362" s="56">
        <f>IF(G362="",E361,IF(G362&gt;0,E361+G362,E361))</f>
        <v/>
      </c>
      <c r="G362" s="56">
        <f>IFERROR(VLOOKUP($A362&amp;"="&amp;$B362,Results_Deltas!$A$2:$P$15000,5,FALSE),"")</f>
        <v/>
      </c>
      <c r="H362" s="56" t="inlineStr">
        <is>
          <t>Blanket (page end)</t>
        </is>
      </c>
    </row>
    <row r="363">
      <c r="A363" s="63" t="inlineStr">
        <is>
          <t>LEADERBOARD_FILTER</t>
        </is>
      </c>
      <c r="B363" s="56" t="inlineStr">
        <is>
          <t>False_ALT</t>
        </is>
      </c>
      <c r="C363" s="56" t="n"/>
      <c r="D363" s="56" t="inlineStr">
        <is>
          <t>AUGMENT, ENTRY, EXIT, GLOBAL_CHECK, REDUCE, STOCKS_EXIT</t>
        </is>
      </c>
      <c r="E363" s="56">
        <f>IF(G363="",E362,IF(G363&gt;0,E362+G363,E362))</f>
        <v/>
      </c>
      <c r="G363" s="56">
        <f>IFERROR(VLOOKUP($A363&amp;"="&amp;$B363,Results_Deltas!$A$2:$P$15000,5,FALSE),"")</f>
        <v/>
      </c>
      <c r="H363" s="56" t="inlineStr">
        <is>
          <t>Blanket (page end)</t>
        </is>
      </c>
    </row>
    <row r="364">
      <c r="A364" s="63" t="inlineStr">
        <is>
          <t>LH_HL_FILTER_ENABLED</t>
        </is>
      </c>
      <c r="B364" s="56" t="inlineStr">
        <is>
          <t>False</t>
        </is>
      </c>
      <c r="C364" s="56" t="n"/>
      <c r="D364" s="56" t="inlineStr">
        <is>
          <t>ENTRY, GLOBAL_CHECK, STOCKS_EXIT</t>
        </is>
      </c>
      <c r="E364" s="56">
        <f>IF(G364="",E363,IF(G364&gt;0,E363+G364,E363))</f>
        <v/>
      </c>
      <c r="G364" s="56">
        <f>IFERROR(VLOOKUP($A364&amp;"="&amp;$B364,Results_Deltas!$A$2:$P$15000,5,FALSE),"")</f>
        <v/>
      </c>
      <c r="H364" s="56" t="inlineStr">
        <is>
          <t>Blanket (page end)</t>
        </is>
      </c>
    </row>
    <row r="365">
      <c r="A365" s="63" t="inlineStr">
        <is>
          <t>LH_HL_FILTER_ENABLED</t>
        </is>
      </c>
      <c r="B365" s="56" t="inlineStr">
        <is>
          <t>True</t>
        </is>
      </c>
      <c r="C365" s="56" t="n"/>
      <c r="D365" s="56" t="inlineStr">
        <is>
          <t>ENTRY, GLOBAL_CHECK, STOCKS_EXIT</t>
        </is>
      </c>
      <c r="E365" s="56">
        <f>IF(G365="",E364,IF(G365&gt;0,E364+G365,E364))</f>
        <v/>
      </c>
      <c r="G365" s="56">
        <f>IFERROR(VLOOKUP($A365&amp;"="&amp;$B365,Results_Deltas!$A$2:$P$15000,5,FALSE),"")</f>
        <v/>
      </c>
      <c r="H365" s="56" t="inlineStr">
        <is>
          <t>Blanket (page end)</t>
        </is>
      </c>
    </row>
    <row r="366">
      <c r="A366" s="63" t="inlineStr">
        <is>
          <t>LH_HL_FILTER_MODE</t>
        </is>
      </c>
      <c r="B366" s="56" t="inlineStr">
        <is>
          <t>STRICT_2BAR</t>
        </is>
      </c>
      <c r="C366" s="56" t="n"/>
      <c r="D366" s="56" t="inlineStr">
        <is>
          <t>ENTRY, GLOBAL_CHECK, STOCKS_EXIT</t>
        </is>
      </c>
      <c r="E366" s="56">
        <f>IF(G366="",E365,IF(G366&gt;0,E365+G366,E365))</f>
        <v/>
      </c>
      <c r="G366" s="56">
        <f>IFERROR(VLOOKUP($A366&amp;"="&amp;$B366,Results_Deltas!$A$2:$P$15000,5,FALSE),"")</f>
        <v/>
      </c>
      <c r="H366" s="56" t="inlineStr">
        <is>
          <t>Blanket (page end)</t>
        </is>
      </c>
    </row>
    <row r="367">
      <c r="A367" s="63" t="inlineStr">
        <is>
          <t>LH_HL_FILTER_MODE</t>
        </is>
      </c>
      <c r="B367" s="56" t="inlineStr">
        <is>
          <t>STRICT_2BAR_ALT</t>
        </is>
      </c>
      <c r="C367" s="56" t="n"/>
      <c r="D367" s="56" t="inlineStr">
        <is>
          <t>ENTRY, GLOBAL_CHECK, STOCKS_EXIT</t>
        </is>
      </c>
      <c r="E367" s="56">
        <f>IF(G367="",E366,IF(G367&gt;0,E366+G367,E366))</f>
        <v/>
      </c>
      <c r="G367" s="56">
        <f>IFERROR(VLOOKUP($A367&amp;"="&amp;$B367,Results_Deltas!$A$2:$P$15000,5,FALSE),"")</f>
        <v/>
      </c>
      <c r="H367" s="56" t="inlineStr">
        <is>
          <t>Blanket (page end)</t>
        </is>
      </c>
    </row>
    <row r="368">
      <c r="A368" s="63" t="inlineStr">
        <is>
          <t>LH_HL_FILTER_REQUIRE_BOTH</t>
        </is>
      </c>
      <c r="B368" s="56" t="inlineStr">
        <is>
          <t>False</t>
        </is>
      </c>
      <c r="C368" s="56" t="n"/>
      <c r="D368" s="56" t="inlineStr">
        <is>
          <t>ENTRY, GLOBAL_CHECK, STOCKS_EXIT</t>
        </is>
      </c>
      <c r="E368" s="56">
        <f>IF(G368="",E367,IF(G368&gt;0,E367+G368,E367))</f>
        <v/>
      </c>
      <c r="G368" s="56">
        <f>IFERROR(VLOOKUP($A368&amp;"="&amp;$B368,Results_Deltas!$A$2:$P$15000,5,FALSE),"")</f>
        <v/>
      </c>
      <c r="H368" s="56" t="inlineStr">
        <is>
          <t>Blanket (page end)</t>
        </is>
      </c>
    </row>
    <row r="369">
      <c r="A369" s="63" t="inlineStr">
        <is>
          <t>LH_HL_FILTER_REQUIRE_BOTH</t>
        </is>
      </c>
      <c r="B369" s="56" t="inlineStr">
        <is>
          <t>False_ALT</t>
        </is>
      </c>
      <c r="C369" s="56" t="n"/>
      <c r="D369" s="56" t="inlineStr">
        <is>
          <t>ENTRY, GLOBAL_CHECK, STOCKS_EXIT</t>
        </is>
      </c>
      <c r="E369" s="56">
        <f>IF(G369="",E368,IF(G369&gt;0,E368+G369,E368))</f>
        <v/>
      </c>
      <c r="G369" s="56">
        <f>IFERROR(VLOOKUP($A369&amp;"="&amp;$B369,Results_Deltas!$A$2:$P$15000,5,FALSE),"")</f>
        <v/>
      </c>
      <c r="H369" s="56" t="inlineStr">
        <is>
          <t>Blanket (page end)</t>
        </is>
      </c>
    </row>
    <row r="370">
      <c r="A370" s="63" t="inlineStr">
        <is>
          <t>LIVE_VEC_EMERGENCY_BRAKE_ENABLED</t>
        </is>
      </c>
      <c r="B370" s="56" t="inlineStr">
        <is>
          <t>False</t>
        </is>
      </c>
      <c r="C370" s="56" t="n"/>
      <c r="D370" s="56" t="inlineStr">
        <is>
          <t>GLOBAL_CHECK, STOCKS_EXIT</t>
        </is>
      </c>
      <c r="E370" s="56">
        <f>IF(G370="",E369,IF(G370&gt;0,E369+G370,E369))</f>
        <v/>
      </c>
      <c r="G370" s="56">
        <f>IFERROR(VLOOKUP($A370&amp;"="&amp;$B370,Results_Deltas!$A$2:$P$15000,5,FALSE),"")</f>
        <v/>
      </c>
      <c r="H370" s="56" t="inlineStr">
        <is>
          <t>Blanket (page end)</t>
        </is>
      </c>
    </row>
    <row r="371">
      <c r="A371" s="63" t="inlineStr">
        <is>
          <t>LIVE_VEC_EMERGENCY_BRAKE_ENABLED</t>
        </is>
      </c>
      <c r="B371" s="56" t="inlineStr">
        <is>
          <t>True</t>
        </is>
      </c>
      <c r="C371" s="56" t="n"/>
      <c r="D371" s="56" t="inlineStr">
        <is>
          <t>GLOBAL_CHECK, STOCKS_EXIT</t>
        </is>
      </c>
      <c r="E371" s="56">
        <f>IF(G371="",E370,IF(G371&gt;0,E370+G371,E370))</f>
        <v/>
      </c>
      <c r="G371" s="56">
        <f>IFERROR(VLOOKUP($A371&amp;"="&amp;$B371,Results_Deltas!$A$2:$P$15000,5,FALSE),"")</f>
        <v/>
      </c>
      <c r="H371" s="56" t="inlineStr">
        <is>
          <t>Blanket (page end)</t>
        </is>
      </c>
    </row>
    <row r="372">
      <c r="A372" s="63" t="inlineStr">
        <is>
          <t>LR_BAND_LADDER_STOCH_EXTREME</t>
        </is>
      </c>
      <c r="B372" s="56" t="inlineStr">
        <is>
          <t>30.0</t>
        </is>
      </c>
      <c r="C372" s="56" t="n"/>
      <c r="D372" s="56" t="inlineStr">
        <is>
          <t>GLOBAL_CHECK, STOCKS_EXIT</t>
        </is>
      </c>
      <c r="E372" s="56">
        <f>IF(G372="",E371,IF(G372&gt;0,E371+G372,E371))</f>
        <v/>
      </c>
      <c r="G372" s="56">
        <f>IFERROR(VLOOKUP($A372&amp;"="&amp;$B372,Results_Deltas!$A$2:$P$15000,5,FALSE),"")</f>
        <v/>
      </c>
      <c r="H372" s="56" t="inlineStr">
        <is>
          <t>Blanket (page end)</t>
        </is>
      </c>
    </row>
    <row r="373">
      <c r="A373" s="63" t="inlineStr">
        <is>
          <t>LR_BAND_LADDER_STOCH_EXTREME</t>
        </is>
      </c>
      <c r="B373" s="56" t="inlineStr">
        <is>
          <t>30.0_ALT</t>
        </is>
      </c>
      <c r="C373" s="56" t="n"/>
      <c r="D373" s="56" t="inlineStr">
        <is>
          <t>GLOBAL_CHECK, STOCKS_EXIT</t>
        </is>
      </c>
      <c r="E373" s="56">
        <f>IF(G373="",E372,IF(G373&gt;0,E372+G373,E372))</f>
        <v/>
      </c>
      <c r="G373" s="56">
        <f>IFERROR(VLOOKUP($A373&amp;"="&amp;$B373,Results_Deltas!$A$2:$P$15000,5,FALSE),"")</f>
        <v/>
      </c>
      <c r="H373" s="56" t="inlineStr">
        <is>
          <t>Blanket (page end)</t>
        </is>
      </c>
    </row>
    <row r="374">
      <c r="A374" s="63" t="inlineStr">
        <is>
          <t>LR_BAND_LADDER_TF_BOTTOM</t>
        </is>
      </c>
      <c r="B374" s="56" t="inlineStr">
        <is>
          <t>0</t>
        </is>
      </c>
      <c r="C374" s="56" t="n"/>
      <c r="D374" s="56" t="inlineStr">
        <is>
          <t>GLOBAL_CHECK, STOCKS_EXIT</t>
        </is>
      </c>
      <c r="E374" s="56">
        <f>IF(G374="",E373,IF(G374&gt;0,E373+G374,E373))</f>
        <v/>
      </c>
      <c r="G374" s="56">
        <f>IFERROR(VLOOKUP($A374&amp;"="&amp;$B374,Results_Deltas!$A$2:$P$15000,5,FALSE),"")</f>
        <v/>
      </c>
      <c r="H374" s="56" t="inlineStr">
        <is>
          <t>Blanket (page end)</t>
        </is>
      </c>
    </row>
    <row r="375">
      <c r="A375" s="63" t="inlineStr">
        <is>
          <t>LR_BAND_LADDER_TF_BOTTOM</t>
        </is>
      </c>
      <c r="B375" s="56" t="inlineStr">
        <is>
          <t>1</t>
        </is>
      </c>
      <c r="C375" s="56" t="n"/>
      <c r="D375" s="56" t="inlineStr">
        <is>
          <t>GLOBAL_CHECK, STOCKS_EXIT</t>
        </is>
      </c>
      <c r="E375" s="56">
        <f>IF(G375="",E374,IF(G375&gt;0,E374+G375,E374))</f>
        <v/>
      </c>
      <c r="G375" s="56">
        <f>IFERROR(VLOOKUP($A375&amp;"="&amp;$B375,Results_Deltas!$A$2:$P$15000,5,FALSE),"")</f>
        <v/>
      </c>
      <c r="H375" s="56" t="inlineStr">
        <is>
          <t>Blanket (page end)</t>
        </is>
      </c>
    </row>
    <row r="376">
      <c r="A376" s="63" t="inlineStr">
        <is>
          <t>LR_BAND_LADDER_TF_TOP</t>
        </is>
      </c>
      <c r="B376" s="56" t="inlineStr">
        <is>
          <t>0</t>
        </is>
      </c>
      <c r="C376" s="56" t="n"/>
      <c r="D376" s="56" t="inlineStr">
        <is>
          <t>GLOBAL_CHECK, STOCKS_EXIT</t>
        </is>
      </c>
      <c r="E376" s="56">
        <f>IF(G376="",E375,IF(G376&gt;0,E375+G376,E375))</f>
        <v/>
      </c>
      <c r="G376" s="56">
        <f>IFERROR(VLOOKUP($A376&amp;"="&amp;$B376,Results_Deltas!$A$2:$P$15000,5,FALSE),"")</f>
        <v/>
      </c>
      <c r="H376" s="56" t="inlineStr">
        <is>
          <t>Blanket (page end)</t>
        </is>
      </c>
    </row>
    <row r="377">
      <c r="A377" s="63" t="inlineStr">
        <is>
          <t>LR_BAND_LADDER_TF_TOP</t>
        </is>
      </c>
      <c r="B377" s="56" t="inlineStr">
        <is>
          <t>1</t>
        </is>
      </c>
      <c r="C377" s="56" t="n"/>
      <c r="D377" s="56" t="inlineStr">
        <is>
          <t>GLOBAL_CHECK, STOCKS_EXIT</t>
        </is>
      </c>
      <c r="E377" s="56">
        <f>IF(G377="",E376,IF(G377&gt;0,E376+G377,E376))</f>
        <v/>
      </c>
      <c r="G377" s="56">
        <f>IFERROR(VLOOKUP($A377&amp;"="&amp;$B377,Results_Deltas!$A$2:$P$15000,5,FALSE),"")</f>
        <v/>
      </c>
      <c r="H377" s="56" t="inlineStr">
        <is>
          <t>Blanket (page end)</t>
        </is>
      </c>
    </row>
    <row r="378">
      <c r="A378" s="63" t="inlineStr">
        <is>
          <t>MANDATORY_REENTRY_WT_FILTER_MIN_TFS</t>
        </is>
      </c>
      <c r="B378" s="56" t="inlineStr">
        <is>
          <t>1</t>
        </is>
      </c>
      <c r="C378" s="56" t="n"/>
      <c r="D378" s="56" t="inlineStr">
        <is>
          <t>GLOBAL_CHECK, STOCKS_EXIT</t>
        </is>
      </c>
      <c r="E378" s="56">
        <f>IF(G378="",E377,IF(G378&gt;0,E377+G378,E377))</f>
        <v/>
      </c>
      <c r="G378" s="56">
        <f>IFERROR(VLOOKUP($A378&amp;"="&amp;$B378,Results_Deltas!$A$2:$P$15000,5,FALSE),"")</f>
        <v/>
      </c>
      <c r="H378" s="56" t="inlineStr">
        <is>
          <t>Blanket (page end)</t>
        </is>
      </c>
    </row>
    <row r="379">
      <c r="A379" s="63" t="inlineStr">
        <is>
          <t>MANDATORY_REENTRY_WT_FILTER_MIN_TFS</t>
        </is>
      </c>
      <c r="B379" s="56" t="inlineStr">
        <is>
          <t>3</t>
        </is>
      </c>
      <c r="C379" s="56" t="n"/>
      <c r="D379" s="56" t="inlineStr">
        <is>
          <t>GLOBAL_CHECK, STOCKS_EXIT</t>
        </is>
      </c>
      <c r="E379" s="56">
        <f>IF(G379="",E378,IF(G379&gt;0,E378+G379,E378))</f>
        <v/>
      </c>
      <c r="G379" s="56">
        <f>IFERROR(VLOOKUP($A379&amp;"="&amp;$B379,Results_Deltas!$A$2:$P$15000,5,FALSE),"")</f>
        <v/>
      </c>
      <c r="H379" s="56" t="inlineStr">
        <is>
          <t>Blanket (page end)</t>
        </is>
      </c>
    </row>
    <row r="380">
      <c r="A380" s="63" t="inlineStr">
        <is>
          <t>MANDATORY_REENTRY_WT_FILTER_MIN_TFS</t>
        </is>
      </c>
      <c r="B380" s="56" t="inlineStr">
        <is>
          <t>2</t>
        </is>
      </c>
      <c r="C380" s="56" t="n"/>
      <c r="D380" s="56" t="inlineStr">
        <is>
          <t>GLOBAL_CHECK, STOCKS_EXIT</t>
        </is>
      </c>
      <c r="E380" s="56">
        <f>IF(G380="",E379,IF(G380&gt;0,E379+G380,E379))</f>
        <v/>
      </c>
      <c r="G380" s="56">
        <f>IFERROR(VLOOKUP($A380&amp;"="&amp;$B380,Results_Deltas!$A$2:$P$15000,5,FALSE),"")</f>
        <v/>
      </c>
      <c r="H380" s="56" t="inlineStr">
        <is>
          <t>Blanket (page end)</t>
        </is>
      </c>
    </row>
    <row r="381">
      <c r="A381" s="63" t="inlineStr">
        <is>
          <t>MANDATORY_REENTRY_WT_FILTER_MIN_VELOCITY</t>
        </is>
      </c>
      <c r="B381" s="56" t="inlineStr">
        <is>
          <t>0.0</t>
        </is>
      </c>
      <c r="C381" s="56" t="n"/>
      <c r="D381" s="56" t="inlineStr">
        <is>
          <t>GLOBAL_CHECK, STOCKS_EXIT</t>
        </is>
      </c>
      <c r="E381" s="56">
        <f>IF(G381="",E380,IF(G381&gt;0,E380+G381,E380))</f>
        <v/>
      </c>
      <c r="G381" s="56">
        <f>IFERROR(VLOOKUP($A381&amp;"="&amp;$B381,Results_Deltas!$A$2:$P$15000,5,FALSE),"")</f>
        <v/>
      </c>
      <c r="H381" s="56" t="inlineStr">
        <is>
          <t>Blanket (page end)</t>
        </is>
      </c>
    </row>
    <row r="382">
      <c r="A382" s="63" t="inlineStr">
        <is>
          <t>MANDATORY_REENTRY_WT_FILTER_MIN_VELOCITY</t>
        </is>
      </c>
      <c r="B382" s="56" t="inlineStr">
        <is>
          <t>0.0_ALT</t>
        </is>
      </c>
      <c r="C382" s="56" t="n"/>
      <c r="D382" s="56" t="inlineStr">
        <is>
          <t>GLOBAL_CHECK, STOCKS_EXIT</t>
        </is>
      </c>
      <c r="E382" s="56">
        <f>IF(G382="",E381,IF(G382&gt;0,E381+G382,E381))</f>
        <v/>
      </c>
      <c r="G382" s="56">
        <f>IFERROR(VLOOKUP($A382&amp;"="&amp;$B382,Results_Deltas!$A$2:$P$15000,5,FALSE),"")</f>
        <v/>
      </c>
      <c r="H382" s="56" t="inlineStr">
        <is>
          <t>Blanket (page end)</t>
        </is>
      </c>
    </row>
    <row r="383">
      <c r="A383" s="63" t="inlineStr">
        <is>
          <t>MANDATORY_REENTRY_WT_FILTER_REQUIRE_FLIP</t>
        </is>
      </c>
      <c r="B383" s="56" t="inlineStr">
        <is>
          <t>False</t>
        </is>
      </c>
      <c r="C383" s="56" t="n"/>
      <c r="D383" s="56" t="inlineStr">
        <is>
          <t>GLOBAL_CHECK, STOCKS_EXIT</t>
        </is>
      </c>
      <c r="E383" s="56">
        <f>IF(G383="",E382,IF(G383&gt;0,E382+G383,E382))</f>
        <v/>
      </c>
      <c r="G383" s="56">
        <f>IFERROR(VLOOKUP($A383&amp;"="&amp;$B383,Results_Deltas!$A$2:$P$15000,5,FALSE),"")</f>
        <v/>
      </c>
      <c r="H383" s="56" t="inlineStr">
        <is>
          <t>Blanket (page end)</t>
        </is>
      </c>
    </row>
    <row r="384">
      <c r="A384" s="63" t="inlineStr">
        <is>
          <t>MANDATORY_REENTRY_WT_FILTER_REQUIRE_FLIP</t>
        </is>
      </c>
      <c r="B384" s="56" t="inlineStr">
        <is>
          <t>False_ALT</t>
        </is>
      </c>
      <c r="C384" s="56" t="n"/>
      <c r="D384" s="56" t="inlineStr">
        <is>
          <t>GLOBAL_CHECK, STOCKS_EXIT</t>
        </is>
      </c>
      <c r="E384" s="56">
        <f>IF(G384="",E383,IF(G384&gt;0,E383+G384,E383))</f>
        <v/>
      </c>
      <c r="G384" s="56">
        <f>IFERROR(VLOOKUP($A384&amp;"="&amp;$B384,Results_Deltas!$A$2:$P$15000,5,FALSE),"")</f>
        <v/>
      </c>
      <c r="H384" s="56" t="inlineStr">
        <is>
          <t>Blanket (page end)</t>
        </is>
      </c>
    </row>
    <row r="385">
      <c r="A385" s="63" t="inlineStr">
        <is>
          <t>MANDATORY_REENTRY_WT_FILTER_VELOCITY_RATIO</t>
        </is>
      </c>
      <c r="B385" s="56" t="inlineStr">
        <is>
          <t>0.90</t>
        </is>
      </c>
      <c r="C385" s="56" t="n"/>
      <c r="D385" s="56" t="inlineStr">
        <is>
          <t>GLOBAL_CHECK, STOCKS_EXIT</t>
        </is>
      </c>
      <c r="E385" s="56">
        <f>IF(G385="",E384,IF(G385&gt;0,E384+G385,E384))</f>
        <v/>
      </c>
      <c r="G385" s="56">
        <f>IFERROR(VLOOKUP($A385&amp;"="&amp;$B385,Results_Deltas!$A$2:$P$15000,5,FALSE),"")</f>
        <v/>
      </c>
      <c r="H385" s="56" t="inlineStr">
        <is>
          <t>Blanket (page end)</t>
        </is>
      </c>
    </row>
    <row r="386">
      <c r="A386" s="63" t="inlineStr">
        <is>
          <t>MANDATORY_REENTRY_WT_FILTER_VELOCITY_RATIO</t>
        </is>
      </c>
      <c r="B386" s="56" t="inlineStr">
        <is>
          <t>0.90_ALT</t>
        </is>
      </c>
      <c r="C386" s="56" t="n"/>
      <c r="D386" s="56" t="inlineStr">
        <is>
          <t>GLOBAL_CHECK, STOCKS_EXIT</t>
        </is>
      </c>
      <c r="E386" s="56">
        <f>IF(G386="",E385,IF(G386&gt;0,E385+G386,E385))</f>
        <v/>
      </c>
      <c r="G386" s="56">
        <f>IFERROR(VLOOKUP($A386&amp;"="&amp;$B386,Results_Deltas!$A$2:$P$15000,5,FALSE),"")</f>
        <v/>
      </c>
      <c r="H386" s="56" t="inlineStr">
        <is>
          <t>Blanket (page end)</t>
        </is>
      </c>
    </row>
    <row r="387">
      <c r="A387" s="63" t="inlineStr">
        <is>
          <t>MARKET_QUALITY_SCORE_ENABLED</t>
        </is>
      </c>
      <c r="B387" s="56" t="inlineStr">
        <is>
          <t>False</t>
        </is>
      </c>
      <c r="C387" s="56" t="n"/>
      <c r="D387" s="56" t="inlineStr">
        <is>
          <t>ENTRY, GLOBAL_CHECK, STOCKS_EXIT</t>
        </is>
      </c>
      <c r="E387" s="56">
        <f>IF(G387="",E386,IF(G387&gt;0,E386+G387,E386))</f>
        <v/>
      </c>
      <c r="G387" s="56">
        <f>IFERROR(VLOOKUP($A387&amp;"="&amp;$B387,Results_Deltas!$A$2:$P$15000,5,FALSE),"")</f>
        <v/>
      </c>
      <c r="H387" s="56" t="inlineStr">
        <is>
          <t>Blanket (page end)</t>
        </is>
      </c>
    </row>
    <row r="388">
      <c r="A388" s="63" t="inlineStr">
        <is>
          <t>MARKET_QUALITY_SCORE_ENABLED</t>
        </is>
      </c>
      <c r="B388" s="56" t="inlineStr">
        <is>
          <t>True</t>
        </is>
      </c>
      <c r="C388" s="56" t="n"/>
      <c r="D388" s="56" t="inlineStr">
        <is>
          <t>ENTRY, GLOBAL_CHECK, STOCKS_EXIT</t>
        </is>
      </c>
      <c r="E388" s="56">
        <f>IF(G388="",E387,IF(G388&gt;0,E387+G388,E387))</f>
        <v/>
      </c>
      <c r="G388" s="56">
        <f>IFERROR(VLOOKUP($A388&amp;"="&amp;$B388,Results_Deltas!$A$2:$P$15000,5,FALSE),"")</f>
        <v/>
      </c>
      <c r="H388" s="56" t="inlineStr">
        <is>
          <t>Blanket (page end)</t>
        </is>
      </c>
    </row>
    <row r="389">
      <c r="A389" s="63" t="inlineStr">
        <is>
          <t>MI_TF_AGREE_MIN</t>
        </is>
      </c>
      <c r="B389" s="56" t="inlineStr">
        <is>
          <t>0.0</t>
        </is>
      </c>
      <c r="C389" s="56" t="n"/>
      <c r="D389" s="56" t="inlineStr">
        <is>
          <t>ENTRY, GLOBAL_CHECK, STOCKS_EXIT</t>
        </is>
      </c>
      <c r="E389" s="56">
        <f>IF(G389="",E388,IF(G389&gt;0,E388+G389,E388))</f>
        <v/>
      </c>
      <c r="G389" s="56">
        <f>IFERROR(VLOOKUP($A389&amp;"="&amp;$B389,Results_Deltas!$A$2:$P$15000,5,FALSE),"")</f>
        <v/>
      </c>
      <c r="H389" s="56" t="inlineStr">
        <is>
          <t>Blanket (page end)</t>
        </is>
      </c>
    </row>
    <row r="390">
      <c r="A390" s="63" t="inlineStr">
        <is>
          <t>MI_TF_AGREE_MIN</t>
        </is>
      </c>
      <c r="B390" s="56" t="inlineStr">
        <is>
          <t>0.0_ALT</t>
        </is>
      </c>
      <c r="C390" s="56" t="n"/>
      <c r="D390" s="56" t="inlineStr">
        <is>
          <t>ENTRY, GLOBAL_CHECK, STOCKS_EXIT</t>
        </is>
      </c>
      <c r="E390" s="56">
        <f>IF(G390="",E389,IF(G390&gt;0,E389+G390,E389))</f>
        <v/>
      </c>
      <c r="G390" s="56">
        <f>IFERROR(VLOOKUP($A390&amp;"="&amp;$B390,Results_Deltas!$A$2:$P$15000,5,FALSE),"")</f>
        <v/>
      </c>
      <c r="H390" s="56" t="inlineStr">
        <is>
          <t>Blanket (page end)</t>
        </is>
      </c>
    </row>
    <row r="391">
      <c r="A391" s="63" t="inlineStr">
        <is>
          <t>MOVER_THRESHOLD</t>
        </is>
      </c>
      <c r="B391" s="56" t="inlineStr">
        <is>
          <t>5</t>
        </is>
      </c>
      <c r="C391" s="56" t="n"/>
      <c r="D391" s="56" t="inlineStr">
        <is>
          <t>ENTRY, GLOBAL_CHECK, STOCKS_EXIT</t>
        </is>
      </c>
      <c r="E391" s="56">
        <f>IF(G391="",E390,IF(G391&gt;0,E390+G391,E390))</f>
        <v/>
      </c>
      <c r="G391" s="56">
        <f>IFERROR(VLOOKUP($A391&amp;"="&amp;$B391,Results_Deltas!$A$2:$P$15000,5,FALSE),"")</f>
        <v/>
      </c>
      <c r="H391" s="56" t="inlineStr">
        <is>
          <t>Blanket (page end)</t>
        </is>
      </c>
    </row>
    <row r="392">
      <c r="A392" s="63" t="inlineStr">
        <is>
          <t>MOVER_THRESHOLD</t>
        </is>
      </c>
      <c r="B392" s="56" t="inlineStr">
        <is>
          <t>6.25</t>
        </is>
      </c>
      <c r="C392" s="56" t="n"/>
      <c r="D392" s="56" t="inlineStr">
        <is>
          <t>ENTRY, GLOBAL_CHECK, STOCKS_EXIT</t>
        </is>
      </c>
      <c r="E392" s="56">
        <f>IF(G392="",E391,IF(G392&gt;0,E391+G392,E391))</f>
        <v/>
      </c>
      <c r="G392" s="56">
        <f>IFERROR(VLOOKUP($A392&amp;"="&amp;$B392,Results_Deltas!$A$2:$P$15000,5,FALSE),"")</f>
        <v/>
      </c>
      <c r="H392" s="56" t="inlineStr">
        <is>
          <t>Blanket (page end)</t>
        </is>
      </c>
    </row>
    <row r="393">
      <c r="A393" s="63" t="inlineStr">
        <is>
          <t>MOVER_THRESHOLD</t>
        </is>
      </c>
      <c r="B393" s="56" t="inlineStr">
        <is>
          <t>3.75</t>
        </is>
      </c>
      <c r="C393" s="56" t="n"/>
      <c r="D393" s="56" t="inlineStr">
        <is>
          <t>ENTRY, GLOBAL_CHECK, STOCKS_EXIT</t>
        </is>
      </c>
      <c r="E393" s="56">
        <f>IF(G393="",E392,IF(G393&gt;0,E392+G393,E392))</f>
        <v/>
      </c>
      <c r="G393" s="56">
        <f>IFERROR(VLOOKUP($A393&amp;"="&amp;$B393,Results_Deltas!$A$2:$P$15000,5,FALSE),"")</f>
        <v/>
      </c>
      <c r="H393" s="56" t="inlineStr">
        <is>
          <t>Blanket (page end)</t>
        </is>
      </c>
    </row>
    <row r="394">
      <c r="A394" s="63" t="inlineStr">
        <is>
          <t>MOVER_THRESHOLD</t>
        </is>
      </c>
      <c r="B394" s="56" t="inlineStr">
        <is>
          <t>2.5</t>
        </is>
      </c>
      <c r="C394" s="56" t="n"/>
      <c r="D394" s="56" t="inlineStr">
        <is>
          <t>ENTRY, GLOBAL_CHECK, STOCKS_EXIT</t>
        </is>
      </c>
      <c r="E394" s="56">
        <f>IF(G394="",E393,IF(G394&gt;0,E393+G394,E393))</f>
        <v/>
      </c>
      <c r="G394" s="56">
        <f>IFERROR(VLOOKUP($A394&amp;"="&amp;$B394,Results_Deltas!$A$2:$P$15000,5,FALSE),"")</f>
        <v/>
      </c>
      <c r="H394" s="56" t="inlineStr">
        <is>
          <t>Blanket (page end)</t>
        </is>
      </c>
    </row>
    <row r="395">
      <c r="A395" s="63" t="inlineStr">
        <is>
          <t>MTF_FILTER_STRONG_BUY_QUICK_BYPASS</t>
        </is>
      </c>
      <c r="B395" s="56" t="inlineStr">
        <is>
          <t>0.0</t>
        </is>
      </c>
      <c r="C395" s="56" t="n"/>
      <c r="D395" s="56" t="inlineStr">
        <is>
          <t>GLOBAL_CHECK, STOCKS_EXIT</t>
        </is>
      </c>
      <c r="E395" s="56">
        <f>IF(G395="",E394,IF(G395&gt;0,E394+G395,E394))</f>
        <v/>
      </c>
      <c r="G395" s="56">
        <f>IFERROR(VLOOKUP($A395&amp;"="&amp;$B395,Results_Deltas!$A$2:$P$15000,5,FALSE),"")</f>
        <v/>
      </c>
      <c r="H395" s="56" t="inlineStr">
        <is>
          <t>Blanket (page end)</t>
        </is>
      </c>
    </row>
    <row r="396">
      <c r="A396" s="63" t="inlineStr">
        <is>
          <t>MTF_FILTER_STRONG_BUY_QUICK_BYPASS</t>
        </is>
      </c>
      <c r="B396" s="56" t="inlineStr">
        <is>
          <t>0.0_ALT</t>
        </is>
      </c>
      <c r="C396" s="56" t="n"/>
      <c r="D396" s="56" t="inlineStr">
        <is>
          <t>GLOBAL_CHECK, STOCKS_EXIT</t>
        </is>
      </c>
      <c r="E396" s="56">
        <f>IF(G396="",E395,IF(G396&gt;0,E395+G396,E395))</f>
        <v/>
      </c>
      <c r="G396" s="56">
        <f>IFERROR(VLOOKUP($A396&amp;"="&amp;$B396,Results_Deltas!$A$2:$P$15000,5,FALSE),"")</f>
        <v/>
      </c>
      <c r="H396" s="56" t="inlineStr">
        <is>
          <t>Blanket (page end)</t>
        </is>
      </c>
    </row>
    <row r="397">
      <c r="A397" s="63" t="inlineStr">
        <is>
          <t>MTF_GR_MIN_IND</t>
        </is>
      </c>
      <c r="B397" s="56" t="inlineStr">
        <is>
          <t>5</t>
        </is>
      </c>
      <c r="C397" s="56" t="n"/>
      <c r="D397" s="56" t="inlineStr">
        <is>
          <t>GLOBAL_CHECK, STOCKS_EXIT</t>
        </is>
      </c>
      <c r="E397" s="56">
        <f>IF(G397="",E396,IF(G397&gt;0,E396+G397,E396))</f>
        <v/>
      </c>
      <c r="G397" s="56">
        <f>IFERROR(VLOOKUP($A397&amp;"="&amp;$B397,Results_Deltas!$A$2:$P$15000,5,FALSE),"")</f>
        <v/>
      </c>
      <c r="H397" s="56" t="inlineStr">
        <is>
          <t>Blanket (page end)</t>
        </is>
      </c>
    </row>
    <row r="398">
      <c r="A398" s="63" t="inlineStr">
        <is>
          <t>MTF_GR_MIN_IND</t>
        </is>
      </c>
      <c r="B398" s="56" t="inlineStr">
        <is>
          <t>5_ALT</t>
        </is>
      </c>
      <c r="C398" s="56" t="n"/>
      <c r="D398" s="56" t="inlineStr">
        <is>
          <t>GLOBAL_CHECK, STOCKS_EXIT</t>
        </is>
      </c>
      <c r="E398" s="56">
        <f>IF(G398="",E397,IF(G398&gt;0,E397+G398,E397))</f>
        <v/>
      </c>
      <c r="G398" s="56">
        <f>IFERROR(VLOOKUP($A398&amp;"="&amp;$B398,Results_Deltas!$A$2:$P$15000,5,FALSE),"")</f>
        <v/>
      </c>
      <c r="H398" s="56" t="inlineStr">
        <is>
          <t>Blanket (page end)</t>
        </is>
      </c>
    </row>
    <row r="399">
      <c r="A399" s="63" t="inlineStr">
        <is>
          <t>MTS_BOTTOM_BONUS_THRESHOLD</t>
        </is>
      </c>
      <c r="B399" s="56" t="inlineStr">
        <is>
          <t>25</t>
        </is>
      </c>
      <c r="C399" s="56" t="n"/>
      <c r="D399" s="56" t="inlineStr">
        <is>
          <t>ENTRY, GLOBAL_CHECK, STOCKS_EXIT</t>
        </is>
      </c>
      <c r="E399" s="56">
        <f>IF(G399="",E398,IF(G399&gt;0,E398+G399,E398))</f>
        <v/>
      </c>
      <c r="G399" s="56">
        <f>IFERROR(VLOOKUP($A399&amp;"="&amp;$B399,Results_Deltas!$A$2:$P$15000,5,FALSE),"")</f>
        <v/>
      </c>
      <c r="H399" s="56" t="inlineStr">
        <is>
          <t>Blanket (page end)</t>
        </is>
      </c>
    </row>
    <row r="400">
      <c r="A400" s="63" t="inlineStr">
        <is>
          <t>MTS_BOTTOM_BONUS_THRESHOLD</t>
        </is>
      </c>
      <c r="B400" s="56" t="inlineStr">
        <is>
          <t>31.25</t>
        </is>
      </c>
      <c r="C400" s="56" t="n"/>
      <c r="D400" s="56" t="inlineStr">
        <is>
          <t>ENTRY, GLOBAL_CHECK, STOCKS_EXIT</t>
        </is>
      </c>
      <c r="E400" s="56">
        <f>IF(G400="",E399,IF(G400&gt;0,E399+G400,E399))</f>
        <v/>
      </c>
      <c r="G400" s="56">
        <f>IFERROR(VLOOKUP($A400&amp;"="&amp;$B400,Results_Deltas!$A$2:$P$15000,5,FALSE),"")</f>
        <v/>
      </c>
      <c r="H400" s="56" t="inlineStr">
        <is>
          <t>Blanket (page end)</t>
        </is>
      </c>
    </row>
    <row r="401">
      <c r="A401" s="63" t="inlineStr">
        <is>
          <t>MTS_BOTTOM_BONUS_THRESHOLD</t>
        </is>
      </c>
      <c r="B401" s="56" t="inlineStr">
        <is>
          <t>18.75</t>
        </is>
      </c>
      <c r="C401" s="56" t="n"/>
      <c r="D401" s="56" t="inlineStr">
        <is>
          <t>ENTRY, GLOBAL_CHECK, STOCKS_EXIT</t>
        </is>
      </c>
      <c r="E401" s="56">
        <f>IF(G401="",E400,IF(G401&gt;0,E400+G401,E400))</f>
        <v/>
      </c>
      <c r="G401" s="56">
        <f>IFERROR(VLOOKUP($A401&amp;"="&amp;$B401,Results_Deltas!$A$2:$P$15000,5,FALSE),"")</f>
        <v/>
      </c>
      <c r="H401" s="56" t="inlineStr">
        <is>
          <t>Blanket (page end)</t>
        </is>
      </c>
    </row>
    <row r="402">
      <c r="A402" s="63" t="inlineStr">
        <is>
          <t>MTS_BOTTOM_BONUS_THRESHOLD</t>
        </is>
      </c>
      <c r="B402" s="56" t="inlineStr">
        <is>
          <t>12.5</t>
        </is>
      </c>
      <c r="C402" s="56" t="n"/>
      <c r="D402" s="56" t="inlineStr">
        <is>
          <t>ENTRY, GLOBAL_CHECK, STOCKS_EXIT</t>
        </is>
      </c>
      <c r="E402" s="56">
        <f>IF(G402="",E401,IF(G402&gt;0,E401+G402,E401))</f>
        <v/>
      </c>
      <c r="G402" s="56">
        <f>IFERROR(VLOOKUP($A402&amp;"="&amp;$B402,Results_Deltas!$A$2:$P$15000,5,FALSE),"")</f>
        <v/>
      </c>
      <c r="H402" s="56" t="inlineStr">
        <is>
          <t>Blanket (page end)</t>
        </is>
      </c>
    </row>
    <row r="403">
      <c r="A403" s="63" t="inlineStr">
        <is>
          <t>MTS_BOTTOM_STRONG_THRESHOLD</t>
        </is>
      </c>
      <c r="B403" s="56" t="inlineStr">
        <is>
          <t>40</t>
        </is>
      </c>
      <c r="C403" s="56" t="n"/>
      <c r="D403" s="56" t="inlineStr">
        <is>
          <t>ENTRY, GLOBAL_CHECK, STOCKS_EXIT</t>
        </is>
      </c>
      <c r="E403" s="56">
        <f>IF(G403="",E402,IF(G403&gt;0,E402+G403,E402))</f>
        <v/>
      </c>
      <c r="G403" s="56">
        <f>IFERROR(VLOOKUP($A403&amp;"="&amp;$B403,Results_Deltas!$A$2:$P$15000,5,FALSE),"")</f>
        <v/>
      </c>
      <c r="H403" s="56" t="inlineStr">
        <is>
          <t>Blanket (page end)</t>
        </is>
      </c>
    </row>
    <row r="404">
      <c r="A404" s="63" t="inlineStr">
        <is>
          <t>MTS_BOTTOM_STRONG_THRESHOLD</t>
        </is>
      </c>
      <c r="B404" s="56" t="inlineStr">
        <is>
          <t>50</t>
        </is>
      </c>
      <c r="C404" s="56" t="n"/>
      <c r="D404" s="56" t="inlineStr">
        <is>
          <t>ENTRY, GLOBAL_CHECK, STOCKS_EXIT</t>
        </is>
      </c>
      <c r="E404" s="56">
        <f>IF(G404="",E403,IF(G404&gt;0,E403+G404,E403))</f>
        <v/>
      </c>
      <c r="G404" s="56">
        <f>IFERROR(VLOOKUP($A404&amp;"="&amp;$B404,Results_Deltas!$A$2:$P$15000,5,FALSE),"")</f>
        <v/>
      </c>
      <c r="H404" s="56" t="inlineStr">
        <is>
          <t>Blanket (page end)</t>
        </is>
      </c>
    </row>
    <row r="405">
      <c r="A405" s="63" t="inlineStr">
        <is>
          <t>MTS_BOTTOM_STRONG_THRESHOLD</t>
        </is>
      </c>
      <c r="B405" s="56" t="inlineStr">
        <is>
          <t>30</t>
        </is>
      </c>
      <c r="C405" s="56" t="n"/>
      <c r="D405" s="56" t="inlineStr">
        <is>
          <t>ENTRY, GLOBAL_CHECK, STOCKS_EXIT</t>
        </is>
      </c>
      <c r="E405" s="56">
        <f>IF(G405="",E404,IF(G405&gt;0,E404+G405,E404))</f>
        <v/>
      </c>
      <c r="G405" s="56">
        <f>IFERROR(VLOOKUP($A405&amp;"="&amp;$B405,Results_Deltas!$A$2:$P$15000,5,FALSE),"")</f>
        <v/>
      </c>
      <c r="H405" s="56" t="inlineStr">
        <is>
          <t>Blanket (page end)</t>
        </is>
      </c>
    </row>
    <row r="406">
      <c r="A406" s="63" t="inlineStr">
        <is>
          <t>MTS_BOTTOM_STRONG_THRESHOLD</t>
        </is>
      </c>
      <c r="B406" s="56" t="inlineStr">
        <is>
          <t>20</t>
        </is>
      </c>
      <c r="C406" s="56" t="n"/>
      <c r="D406" s="56" t="inlineStr">
        <is>
          <t>ENTRY, GLOBAL_CHECK, STOCKS_EXIT</t>
        </is>
      </c>
      <c r="E406" s="56">
        <f>IF(G406="",E405,IF(G406&gt;0,E405+G406,E405))</f>
        <v/>
      </c>
      <c r="G406" s="56">
        <f>IFERROR(VLOOKUP($A406&amp;"="&amp;$B406,Results_Deltas!$A$2:$P$15000,5,FALSE),"")</f>
        <v/>
      </c>
      <c r="H406" s="56" t="inlineStr">
        <is>
          <t>Blanket (page end)</t>
        </is>
      </c>
    </row>
    <row r="407">
      <c r="A407" s="63" t="inlineStr">
        <is>
          <t>MTS_GATE_ENABLED</t>
        </is>
      </c>
      <c r="B407" s="56" t="inlineStr">
        <is>
          <t>False</t>
        </is>
      </c>
      <c r="C407" s="56" t="n"/>
      <c r="D407" s="56" t="inlineStr">
        <is>
          <t>ENTRY, GLOBAL_CHECK, STOCKS_EXIT</t>
        </is>
      </c>
      <c r="E407" s="56">
        <f>IF(G407="",E406,IF(G407&gt;0,E406+G407,E406))</f>
        <v/>
      </c>
      <c r="G407" s="56">
        <f>IFERROR(VLOOKUP($A407&amp;"="&amp;$B407,Results_Deltas!$A$2:$P$15000,5,FALSE),"")</f>
        <v/>
      </c>
      <c r="H407" s="56" t="inlineStr">
        <is>
          <t>Blanket (page end)</t>
        </is>
      </c>
    </row>
    <row r="408">
      <c r="A408" s="63" t="inlineStr">
        <is>
          <t>MTS_GATE_ENABLED</t>
        </is>
      </c>
      <c r="B408" s="56" t="inlineStr">
        <is>
          <t>True</t>
        </is>
      </c>
      <c r="C408" s="56" t="n"/>
      <c r="D408" s="56" t="inlineStr">
        <is>
          <t>ENTRY, GLOBAL_CHECK, STOCKS_EXIT</t>
        </is>
      </c>
      <c r="E408" s="56">
        <f>IF(G408="",E407,IF(G408&gt;0,E407+G408,E407))</f>
        <v/>
      </c>
      <c r="G408" s="56">
        <f>IFERROR(VLOOKUP($A408&amp;"="&amp;$B408,Results_Deltas!$A$2:$P$15000,5,FALSE),"")</f>
        <v/>
      </c>
      <c r="H408" s="56" t="inlineStr">
        <is>
          <t>Blanket (page end)</t>
        </is>
      </c>
    </row>
    <row r="409">
      <c r="A409" s="63" t="inlineStr">
        <is>
          <t>NEWBORN_LOSS_KILL_GAIN_THRESHOLD_PCT</t>
        </is>
      </c>
      <c r="B409" s="56" t="inlineStr">
        <is>
          <t>0</t>
        </is>
      </c>
      <c r="C409" s="56" t="n"/>
      <c r="D409" s="56" t="inlineStr">
        <is>
          <t>AUGMENT, EXIT, GLOBAL_CHECK, REDUCE, STOCKS_EXIT</t>
        </is>
      </c>
      <c r="E409" s="56">
        <f>IF(G409="",E408,IF(G409&gt;0,E408+G409,E408))</f>
        <v/>
      </c>
      <c r="G409" s="56">
        <f>IFERROR(VLOOKUP($A409&amp;"="&amp;$B409,Results_Deltas!$A$2:$P$15000,5,FALSE),"")</f>
        <v/>
      </c>
      <c r="H409" s="56" t="inlineStr">
        <is>
          <t>Blanket (page end)</t>
        </is>
      </c>
    </row>
    <row r="410">
      <c r="A410" s="63" t="inlineStr">
        <is>
          <t>NEWBORN_LOSS_KILL_GAIN_THRESHOLD_PCT</t>
        </is>
      </c>
      <c r="B410" s="56" t="inlineStr">
        <is>
          <t>2.0</t>
        </is>
      </c>
      <c r="C410" s="56" t="n"/>
      <c r="D410" s="56" t="inlineStr">
        <is>
          <t>AUGMENT, EXIT, GLOBAL_CHECK, REDUCE, STOCKS_EXIT</t>
        </is>
      </c>
      <c r="E410" s="56">
        <f>IF(G410="",E409,IF(G410&gt;0,E409+G410,E409))</f>
        <v/>
      </c>
      <c r="G410" s="56">
        <f>IFERROR(VLOOKUP($A410&amp;"="&amp;$B410,Results_Deltas!$A$2:$P$15000,5,FALSE),"")</f>
        <v/>
      </c>
      <c r="H410" s="56" t="inlineStr">
        <is>
          <t>Blanket (page end)</t>
        </is>
      </c>
    </row>
    <row r="411">
      <c r="A411" s="63" t="inlineStr">
        <is>
          <t>NEWBORN_LOSS_KILL_GAIN_THRESHOLD_PCT</t>
        </is>
      </c>
      <c r="B411" s="56" t="inlineStr">
        <is>
          <t>1.0</t>
        </is>
      </c>
      <c r="C411" s="56" t="n"/>
      <c r="D411" s="56" t="inlineStr">
        <is>
          <t>AUGMENT, EXIT, GLOBAL_CHECK, REDUCE, STOCKS_EXIT</t>
        </is>
      </c>
      <c r="E411" s="56">
        <f>IF(G411="",E410,IF(G411&gt;0,E410+G411,E410))</f>
        <v/>
      </c>
      <c r="G411" s="56">
        <f>IFERROR(VLOOKUP($A411&amp;"="&amp;$B411,Results_Deltas!$A$2:$P$15000,5,FALSE),"")</f>
        <v/>
      </c>
      <c r="H411" s="56" t="inlineStr">
        <is>
          <t>Blanket (page end)</t>
        </is>
      </c>
    </row>
    <row r="412">
      <c r="A412" s="63" t="inlineStr">
        <is>
          <t>NEWBORN_LOSS_KILL_GAIN_THRESHOLD_PCT</t>
        </is>
      </c>
      <c r="B412" s="56" t="inlineStr">
        <is>
          <t>0.5</t>
        </is>
      </c>
      <c r="C412" s="56" t="n"/>
      <c r="D412" s="56" t="inlineStr">
        <is>
          <t>AUGMENT, EXIT, GLOBAL_CHECK, REDUCE, STOCKS_EXIT</t>
        </is>
      </c>
      <c r="E412" s="56">
        <f>IF(G412="",E411,IF(G412&gt;0,E411+G412,E411))</f>
        <v/>
      </c>
      <c r="G412" s="56">
        <f>IFERROR(VLOOKUP($A412&amp;"="&amp;$B412,Results_Deltas!$A$2:$P$15000,5,FALSE),"")</f>
        <v/>
      </c>
      <c r="H412" s="56" t="inlineStr">
        <is>
          <t>Blanket (page end)</t>
        </is>
      </c>
    </row>
    <row r="413">
      <c r="A413" s="63" t="inlineStr">
        <is>
          <t>NEWBORN_LOSS_KILL_REQUIRE_VEL_AGAINST</t>
        </is>
      </c>
      <c r="B413" s="56" t="inlineStr">
        <is>
          <t>0.0</t>
        </is>
      </c>
      <c r="C413" s="56" t="n"/>
      <c r="D413" s="56" t="inlineStr">
        <is>
          <t>AUGMENT, EXIT, GLOBAL_CHECK, REDUCE, STOCKS_EXIT</t>
        </is>
      </c>
      <c r="E413" s="56">
        <f>IF(G413="",E412,IF(G413&gt;0,E412+G413,E412))</f>
        <v/>
      </c>
      <c r="G413" s="56">
        <f>IFERROR(VLOOKUP($A413&amp;"="&amp;$B413,Results_Deltas!$A$2:$P$15000,5,FALSE),"")</f>
        <v/>
      </c>
      <c r="H413" s="56" t="inlineStr">
        <is>
          <t>Blanket (page end)</t>
        </is>
      </c>
    </row>
    <row r="414">
      <c r="A414" s="63" t="inlineStr">
        <is>
          <t>NEWBORN_LOSS_KILL_REQUIRE_VEL_AGAINST</t>
        </is>
      </c>
      <c r="B414" s="56" t="inlineStr">
        <is>
          <t>0.0_ALT</t>
        </is>
      </c>
      <c r="C414" s="56" t="n"/>
      <c r="D414" s="56" t="inlineStr">
        <is>
          <t>AUGMENT, EXIT, GLOBAL_CHECK, REDUCE, STOCKS_EXIT</t>
        </is>
      </c>
      <c r="E414" s="56">
        <f>IF(G414="",E413,IF(G414&gt;0,E413+G414,E413))</f>
        <v/>
      </c>
      <c r="G414" s="56">
        <f>IFERROR(VLOOKUP($A414&amp;"="&amp;$B414,Results_Deltas!$A$2:$P$15000,5,FALSE),"")</f>
        <v/>
      </c>
      <c r="H414" s="56" t="inlineStr">
        <is>
          <t>Blanket (page end)</t>
        </is>
      </c>
    </row>
    <row r="415">
      <c r="A415" s="63" t="inlineStr">
        <is>
          <t>NEW_POSITION_MAX_LOSS_THRESHOLD</t>
        </is>
      </c>
      <c r="B415" s="56" t="inlineStr">
        <is>
          <t>0</t>
        </is>
      </c>
      <c r="C415" s="56" t="n"/>
      <c r="D415" s="56" t="inlineStr">
        <is>
          <t>AUGMENT, EXIT, GLOBAL_CHECK, REDUCE, STOCKS_EXIT</t>
        </is>
      </c>
      <c r="E415" s="56">
        <f>IF(G415="",E414,IF(G415&gt;0,E414+G415,E414))</f>
        <v/>
      </c>
      <c r="G415" s="56">
        <f>IFERROR(VLOOKUP($A415&amp;"="&amp;$B415,Results_Deltas!$A$2:$P$15000,5,FALSE),"")</f>
        <v/>
      </c>
      <c r="H415" s="56" t="inlineStr">
        <is>
          <t>Blanket (page end)</t>
        </is>
      </c>
    </row>
    <row r="416">
      <c r="A416" s="63" t="inlineStr">
        <is>
          <t>NEW_POSITION_MAX_LOSS_THRESHOLD</t>
        </is>
      </c>
      <c r="B416" s="56" t="inlineStr">
        <is>
          <t>2.0</t>
        </is>
      </c>
      <c r="C416" s="56" t="n"/>
      <c r="D416" s="56" t="inlineStr">
        <is>
          <t>AUGMENT, EXIT, GLOBAL_CHECK, REDUCE, STOCKS_EXIT</t>
        </is>
      </c>
      <c r="E416" s="56">
        <f>IF(G416="",E415,IF(G416&gt;0,E415+G416,E415))</f>
        <v/>
      </c>
      <c r="G416" s="56">
        <f>IFERROR(VLOOKUP($A416&amp;"="&amp;$B416,Results_Deltas!$A$2:$P$15000,5,FALSE),"")</f>
        <v/>
      </c>
      <c r="H416" s="56" t="inlineStr">
        <is>
          <t>Blanket (page end)</t>
        </is>
      </c>
    </row>
    <row r="417">
      <c r="A417" s="63" t="inlineStr">
        <is>
          <t>NEW_POSITION_MAX_LOSS_THRESHOLD</t>
        </is>
      </c>
      <c r="B417" s="56" t="inlineStr">
        <is>
          <t>1.0</t>
        </is>
      </c>
      <c r="C417" s="56" t="n"/>
      <c r="D417" s="56" t="inlineStr">
        <is>
          <t>AUGMENT, EXIT, GLOBAL_CHECK, REDUCE, STOCKS_EXIT</t>
        </is>
      </c>
      <c r="E417" s="56">
        <f>IF(G417="",E416,IF(G417&gt;0,E416+G417,E416))</f>
        <v/>
      </c>
      <c r="G417" s="56">
        <f>IFERROR(VLOOKUP($A417&amp;"="&amp;$B417,Results_Deltas!$A$2:$P$15000,5,FALSE),"")</f>
        <v/>
      </c>
      <c r="H417" s="56" t="inlineStr">
        <is>
          <t>Blanket (page end)</t>
        </is>
      </c>
    </row>
    <row r="418">
      <c r="A418" s="63" t="inlineStr">
        <is>
          <t>NEW_POSITION_MAX_LOSS_THRESHOLD</t>
        </is>
      </c>
      <c r="B418" s="56" t="inlineStr">
        <is>
          <t>0.5</t>
        </is>
      </c>
      <c r="C418" s="56" t="n"/>
      <c r="D418" s="56" t="inlineStr">
        <is>
          <t>AUGMENT, EXIT, GLOBAL_CHECK, REDUCE, STOCKS_EXIT</t>
        </is>
      </c>
      <c r="E418" s="56">
        <f>IF(G418="",E417,IF(G418&gt;0,E417+G418,E417))</f>
        <v/>
      </c>
      <c r="G418" s="56">
        <f>IFERROR(VLOOKUP($A418&amp;"="&amp;$B418,Results_Deltas!$A$2:$P$15000,5,FALSE),"")</f>
        <v/>
      </c>
      <c r="H418" s="56" t="inlineStr">
        <is>
          <t>Blanket (page end)</t>
        </is>
      </c>
    </row>
    <row r="419">
      <c r="A419" s="63" t="inlineStr">
        <is>
          <t>OI_CONFIRM_ENABLED</t>
        </is>
      </c>
      <c r="B419" s="56" t="inlineStr">
        <is>
          <t>False</t>
        </is>
      </c>
      <c r="C419" s="56" t="n"/>
      <c r="D419" s="56" t="inlineStr">
        <is>
          <t>ENTRY, GLOBAL_CHECK, STOCKS_EXIT</t>
        </is>
      </c>
      <c r="E419" s="56">
        <f>IF(G419="",E418,IF(G419&gt;0,E418+G419,E418))</f>
        <v/>
      </c>
      <c r="G419" s="56">
        <f>IFERROR(VLOOKUP($A419&amp;"="&amp;$B419,Results_Deltas!$A$2:$P$15000,5,FALSE),"")</f>
        <v/>
      </c>
      <c r="H419" s="56" t="inlineStr">
        <is>
          <t>Blanket (page end)</t>
        </is>
      </c>
    </row>
    <row r="420">
      <c r="A420" s="63" t="inlineStr">
        <is>
          <t>OI_CONFIRM_ENABLED</t>
        </is>
      </c>
      <c r="B420" s="56" t="inlineStr">
        <is>
          <t>True</t>
        </is>
      </c>
      <c r="C420" s="56" t="n"/>
      <c r="D420" s="56" t="inlineStr">
        <is>
          <t>ENTRY, GLOBAL_CHECK, STOCKS_EXIT</t>
        </is>
      </c>
      <c r="E420" s="56">
        <f>IF(G420="",E419,IF(G420&gt;0,E419+G420,E419))</f>
        <v/>
      </c>
      <c r="G420" s="56">
        <f>IFERROR(VLOOKUP($A420&amp;"="&amp;$B420,Results_Deltas!$A$2:$P$15000,5,FALSE),"")</f>
        <v/>
      </c>
      <c r="H420" s="56" t="inlineStr">
        <is>
          <t>Blanket (page end)</t>
        </is>
      </c>
    </row>
    <row r="421">
      <c r="A421" s="63" t="inlineStr">
        <is>
          <t>OI_CONFIRM_MIN_CHANGE_PCT</t>
        </is>
      </c>
      <c r="B421" s="56" t="inlineStr">
        <is>
          <t>0</t>
        </is>
      </c>
      <c r="C421" s="56" t="n"/>
      <c r="D421" s="56" t="inlineStr">
        <is>
          <t>ENTRY, GLOBAL_CHECK, STOCKS_EXIT</t>
        </is>
      </c>
      <c r="E421" s="56">
        <f>IF(G421="",E420,IF(G421&gt;0,E420+G421,E420))</f>
        <v/>
      </c>
      <c r="G421" s="56">
        <f>IFERROR(VLOOKUP($A421&amp;"="&amp;$B421,Results_Deltas!$A$2:$P$15000,5,FALSE),"")</f>
        <v/>
      </c>
      <c r="H421" s="56" t="inlineStr">
        <is>
          <t>Blanket (page end)</t>
        </is>
      </c>
    </row>
    <row r="422">
      <c r="A422" s="63" t="inlineStr">
        <is>
          <t>OI_CONFIRM_MIN_CHANGE_PCT</t>
        </is>
      </c>
      <c r="B422" s="56" t="inlineStr">
        <is>
          <t>2.0</t>
        </is>
      </c>
      <c r="C422" s="56" t="n"/>
      <c r="D422" s="56" t="inlineStr">
        <is>
          <t>ENTRY, GLOBAL_CHECK, STOCKS_EXIT</t>
        </is>
      </c>
      <c r="E422" s="56">
        <f>IF(G422="",E421,IF(G422&gt;0,E421+G422,E421))</f>
        <v/>
      </c>
      <c r="G422" s="56">
        <f>IFERROR(VLOOKUP($A422&amp;"="&amp;$B422,Results_Deltas!$A$2:$P$15000,5,FALSE),"")</f>
        <v/>
      </c>
      <c r="H422" s="56" t="inlineStr">
        <is>
          <t>Blanket (page end)</t>
        </is>
      </c>
    </row>
    <row r="423">
      <c r="A423" s="63" t="inlineStr">
        <is>
          <t>OI_CONFIRM_MIN_CHANGE_PCT</t>
        </is>
      </c>
      <c r="B423" s="56" t="inlineStr">
        <is>
          <t>1.0</t>
        </is>
      </c>
      <c r="C423" s="56" t="n"/>
      <c r="D423" s="56" t="inlineStr">
        <is>
          <t>ENTRY, GLOBAL_CHECK, STOCKS_EXIT</t>
        </is>
      </c>
      <c r="E423" s="56">
        <f>IF(G423="",E422,IF(G423&gt;0,E422+G423,E422))</f>
        <v/>
      </c>
      <c r="G423" s="56">
        <f>IFERROR(VLOOKUP($A423&amp;"="&amp;$B423,Results_Deltas!$A$2:$P$15000,5,FALSE),"")</f>
        <v/>
      </c>
      <c r="H423" s="56" t="inlineStr">
        <is>
          <t>Blanket (page end)</t>
        </is>
      </c>
    </row>
    <row r="424">
      <c r="A424" s="63" t="inlineStr">
        <is>
          <t>OI_CONFIRM_MIN_CHANGE_PCT</t>
        </is>
      </c>
      <c r="B424" s="56" t="inlineStr">
        <is>
          <t>0.5</t>
        </is>
      </c>
      <c r="C424" s="56" t="n"/>
      <c r="D424" s="56" t="inlineStr">
        <is>
          <t>ENTRY, GLOBAL_CHECK, STOCKS_EXIT</t>
        </is>
      </c>
      <c r="E424" s="56">
        <f>IF(G424="",E423,IF(G424&gt;0,E423+G424,E423))</f>
        <v/>
      </c>
      <c r="G424" s="56">
        <f>IFERROR(VLOOKUP($A424&amp;"="&amp;$B424,Results_Deltas!$A$2:$P$15000,5,FALSE),"")</f>
        <v/>
      </c>
      <c r="H424" s="56" t="inlineStr">
        <is>
          <t>Blanket (page end)</t>
        </is>
      </c>
    </row>
    <row r="425">
      <c r="A425" s="63" t="inlineStr">
        <is>
          <t>OI_CONFIRM_MIN_PRICE_PCT</t>
        </is>
      </c>
      <c r="B425" s="56" t="inlineStr">
        <is>
          <t>0</t>
        </is>
      </c>
      <c r="C425" s="56" t="n"/>
      <c r="D425" s="56" t="inlineStr">
        <is>
          <t>ENTRY, GLOBAL_CHECK, STOCKS_EXIT</t>
        </is>
      </c>
      <c r="E425" s="56">
        <f>IF(G425="",E424,IF(G425&gt;0,E424+G425,E424))</f>
        <v/>
      </c>
      <c r="G425" s="56">
        <f>IFERROR(VLOOKUP($A425&amp;"="&amp;$B425,Results_Deltas!$A$2:$P$15000,5,FALSE),"")</f>
        <v/>
      </c>
      <c r="H425" s="56" t="inlineStr">
        <is>
          <t>Blanket (page end)</t>
        </is>
      </c>
    </row>
    <row r="426">
      <c r="A426" s="63" t="inlineStr">
        <is>
          <t>OI_CONFIRM_MIN_PRICE_PCT</t>
        </is>
      </c>
      <c r="B426" s="56" t="inlineStr">
        <is>
          <t>2.0</t>
        </is>
      </c>
      <c r="C426" s="56" t="n"/>
      <c r="D426" s="56" t="inlineStr">
        <is>
          <t>ENTRY, GLOBAL_CHECK, STOCKS_EXIT</t>
        </is>
      </c>
      <c r="E426" s="56">
        <f>IF(G426="",E425,IF(G426&gt;0,E425+G426,E425))</f>
        <v/>
      </c>
      <c r="G426" s="56">
        <f>IFERROR(VLOOKUP($A426&amp;"="&amp;$B426,Results_Deltas!$A$2:$P$15000,5,FALSE),"")</f>
        <v/>
      </c>
      <c r="H426" s="56" t="inlineStr">
        <is>
          <t>Blanket (page end)</t>
        </is>
      </c>
    </row>
    <row r="427">
      <c r="A427" s="63" t="inlineStr">
        <is>
          <t>OI_CONFIRM_MIN_PRICE_PCT</t>
        </is>
      </c>
      <c r="B427" s="56" t="inlineStr">
        <is>
          <t>1.0</t>
        </is>
      </c>
      <c r="C427" s="56" t="n"/>
      <c r="D427" s="56" t="inlineStr">
        <is>
          <t>ENTRY, GLOBAL_CHECK, STOCKS_EXIT</t>
        </is>
      </c>
      <c r="E427" s="56">
        <f>IF(G427="",E426,IF(G427&gt;0,E426+G427,E426))</f>
        <v/>
      </c>
      <c r="G427" s="56">
        <f>IFERROR(VLOOKUP($A427&amp;"="&amp;$B427,Results_Deltas!$A$2:$P$15000,5,FALSE),"")</f>
        <v/>
      </c>
      <c r="H427" s="56" t="inlineStr">
        <is>
          <t>Blanket (page end)</t>
        </is>
      </c>
    </row>
    <row r="428">
      <c r="A428" s="63" t="inlineStr">
        <is>
          <t>OI_CONFIRM_MIN_PRICE_PCT</t>
        </is>
      </c>
      <c r="B428" s="56" t="inlineStr">
        <is>
          <t>0.5</t>
        </is>
      </c>
      <c r="C428" s="56" t="n"/>
      <c r="D428" s="56" t="inlineStr">
        <is>
          <t>ENTRY, GLOBAL_CHECK, STOCKS_EXIT</t>
        </is>
      </c>
      <c r="E428" s="56">
        <f>IF(G428="",E427,IF(G428&gt;0,E427+G428,E427))</f>
        <v/>
      </c>
      <c r="G428" s="56">
        <f>IFERROR(VLOOKUP($A428&amp;"="&amp;$B428,Results_Deltas!$A$2:$P$15000,5,FALSE),"")</f>
        <v/>
      </c>
      <c r="H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M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HLR_REENTRY_MULT_1H</t>
        </is>
      </c>
      <c r="B3" s="11" t="inlineStr">
        <is>
          <t>0.75</t>
        </is>
      </c>
      <c r="E3">
        <f>MAX('REENTRY_WINDOWED'!E:E)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ez_manage.py:4846 top()</t>
        </is>
      </c>
      <c r="IL3" s="9" t="inlineStr">
        <is>
          <t>v12_quick_engine.py:2026 x7</t>
        </is>
      </c>
    </row>
    <row r="4" ht="11" customHeight="1">
      <c r="A4" s="10" t="inlineStr">
        <is>
          <t>HLR_REENTRY_MULT_1H</t>
        </is>
      </c>
      <c r="B4" s="11" t="inlineStr">
        <is>
          <t>1.125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ez_manage.py:4846 top()</t>
        </is>
      </c>
      <c r="IL4" s="9" t="inlineStr">
        <is>
          <t>v12_quick_engine.py:2026 x7</t>
        </is>
      </c>
    </row>
    <row r="5" ht="11" customHeight="1">
      <c r="A5" s="6" t="inlineStr">
        <is>
          <t>HLR_REENTRY_MULT_1H</t>
        </is>
      </c>
      <c r="B5" s="7" t="inlineStr">
        <is>
          <t>1.5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ez_manage.py:4846 top()</t>
        </is>
      </c>
      <c r="IL5" s="9" t="inlineStr">
        <is>
          <t>v12_quick_engine.py:2026 x7</t>
        </is>
      </c>
    </row>
    <row r="6" ht="11" customHeight="1">
      <c r="A6" s="10" t="inlineStr">
        <is>
          <t>HLR_REENTRY_MULT_1H</t>
        </is>
      </c>
      <c r="B6" s="11" t="inlineStr">
        <is>
          <t>1.875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ez_manage.py:4846 top()</t>
        </is>
      </c>
      <c r="IL6" s="9" t="inlineStr">
        <is>
          <t>v12_quick_engine.py:2026 x7</t>
        </is>
      </c>
    </row>
    <row r="7" ht="11" customHeight="1">
      <c r="A7" s="10" t="inlineStr">
        <is>
          <t>HLR_REENTRY_MULT_1H</t>
        </is>
      </c>
      <c r="B7" s="11" t="inlineStr">
        <is>
          <t>2.25</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ez_manage.py:4846 top()</t>
        </is>
      </c>
      <c r="IL7" s="9" t="inlineStr">
        <is>
          <t>v12_quick_engine.py:2026 x7</t>
        </is>
      </c>
    </row>
    <row r="8" ht="11" customHeight="1">
      <c r="A8" s="6" t="inlineStr">
        <is>
          <t>CHANNEL_REENTRY_STOP_ENABLED</t>
        </is>
      </c>
      <c r="B8" s="7" t="inlineStr">
        <is>
          <t>False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55" t="n"/>
      <c r="ED8" s="55" t="n"/>
      <c r="EE8" s="55" t="n"/>
      <c r="EF8" s="55" t="n"/>
      <c r="EG8" s="55"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ez_manage.py:5968 top()</t>
        </is>
      </c>
      <c r="IL8" s="9" t="inlineStr">
        <is>
          <t>v12_quick_engine.py:482 x8</t>
        </is>
      </c>
    </row>
    <row r="9" ht="11" customHeight="1">
      <c r="A9" s="10" t="inlineStr">
        <is>
          <t>CHANNEL_REENTRY_STOP_ENABLED</t>
        </is>
      </c>
      <c r="B9" s="11" t="inlineStr">
        <is>
          <t>True</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55" t="n"/>
      <c r="ED9" s="55" t="n"/>
      <c r="EE9" s="55" t="n"/>
      <c r="EF9" s="55" t="n"/>
      <c r="EG9" s="55"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ez_manage.py:5968 top()</t>
        </is>
      </c>
      <c r="IL9" s="9" t="inlineStr">
        <is>
          <t>v12_quick_engine.py:482 x8</t>
        </is>
      </c>
    </row>
    <row r="10" ht="11" customHeight="1">
      <c r="A10" s="6" t="inlineStr">
        <is>
          <t>DAEMON_REENTRY_STALE_EXIT_ENABLED</t>
        </is>
      </c>
      <c r="B10" s="7" t="inlineStr">
        <is>
          <t>False</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ez_manage.py:4561 top()</t>
        </is>
      </c>
      <c r="IL10" s="9" t="inlineStr">
        <is>
          <t>v12_quick_engine.py:519 x9</t>
        </is>
      </c>
    </row>
    <row r="11" ht="11" customHeight="1">
      <c r="A11" s="10" t="inlineStr">
        <is>
          <t>DAEMON_REENTRY_STALE_EXIT_ENABLED</t>
        </is>
      </c>
      <c r="B11" s="11" t="inlineStr">
        <is>
          <t>True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ez_manage.py:4561 top()</t>
        </is>
      </c>
      <c r="IL11" s="9" t="inlineStr">
        <is>
          <t>v12_quick_engine.py:519 x9</t>
        </is>
      </c>
    </row>
    <row r="12" ht="11" customHeight="1">
      <c r="A12" s="10" t="inlineStr">
        <is>
          <t>BREAKOUT_LEASH_REENTRY_MULT</t>
        </is>
      </c>
      <c r="B12" s="11" t="inlineStr">
        <is>
          <t>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ez_manage.py:2999 top()</t>
        </is>
      </c>
      <c r="IL12" s="9" t="inlineStr">
        <is>
          <t>v12_quick_engine.py:371 x12</t>
        </is>
      </c>
    </row>
    <row r="13" ht="11" customHeight="1">
      <c r="A13" s="10" t="inlineStr">
        <is>
          <t>BREAKOUT_LEASH_REENTRY_MULT</t>
        </is>
      </c>
      <c r="B13" s="11" t="inlineStr">
        <is>
          <t>0.5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ez_manage.py:2999 top()</t>
        </is>
      </c>
      <c r="IL13" s="9" t="inlineStr">
        <is>
          <t>v12_quick_engine.py:371 x12</t>
        </is>
      </c>
    </row>
    <row r="14" ht="11" customHeight="1">
      <c r="A14" s="10" t="inlineStr">
        <is>
          <t>BREAKOUT_LEASH_REENTRY_MULT</t>
        </is>
      </c>
      <c r="B14" s="11" t="inlineStr">
        <is>
          <t>1.0</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ez_manage.py:2999 top()</t>
        </is>
      </c>
      <c r="IL14" s="9" t="inlineStr">
        <is>
          <t>v12_quick_engine.py:371 x12</t>
        </is>
      </c>
    </row>
    <row r="15" ht="11" customHeight="1">
      <c r="A15" s="10" t="inlineStr">
        <is>
          <t>BREAKOUT_LEASH_REENTRY_MULT</t>
        </is>
      </c>
      <c r="B15" s="11" t="inlineStr">
        <is>
          <t>2.0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ez_manage.py:2999 top()</t>
        </is>
      </c>
      <c r="IL15" s="9" t="inlineStr">
        <is>
          <t>v12_quick_engine.py:371 x12</t>
        </is>
      </c>
    </row>
    <row r="16" ht="11" customHeight="1">
      <c r="A16" s="6" t="inlineStr">
        <is>
          <t>DAEMON_REENTRY_SHORT_WT_XUNDER_GATE_ENABLED</t>
        </is>
      </c>
      <c r="B16" s="7" t="inlineStr">
        <is>
          <t>False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ez_manage.py:4560 top()</t>
        </is>
      </c>
      <c r="IL16" s="9" t="inlineStr">
        <is>
          <t>v12_quick_engine.py:513 x9</t>
        </is>
      </c>
    </row>
    <row r="17" ht="11" customHeight="1">
      <c r="A17" s="10" t="inlineStr">
        <is>
          <t>DAEMON_REENTRY_SHORT_WT_XUNDER_GATE_ENABLED</t>
        </is>
      </c>
      <c r="B17" s="11" t="inlineStr">
        <is>
          <t>True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ez_manage.py:4560 top()</t>
        </is>
      </c>
      <c r="IL17" s="9" t="inlineStr">
        <is>
          <t>v12_quick_engine.py:513 x9</t>
        </is>
      </c>
    </row>
    <row r="18" ht="11" customHeight="1">
      <c r="A18" s="10" t="inlineStr">
        <is>
          <t>HLR_REENTRY_MAX_AGE_S</t>
        </is>
      </c>
      <c r="B18" s="11" t="inlineStr">
        <is>
          <t>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ez_manage.py:4844 top()</t>
        </is>
      </c>
      <c r="IL18" s="9" t="inlineStr">
        <is>
          <t>v12_quick_engine.py:2024 x4</t>
        </is>
      </c>
    </row>
    <row r="19" ht="11" customHeight="1">
      <c r="A19" s="10" t="inlineStr">
        <is>
          <t>HLR_REENTRY_MAX_AGE_S</t>
        </is>
      </c>
      <c r="B19" s="11" t="inlineStr">
        <is>
          <t>0.5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ez_manage.py:4844 top()</t>
        </is>
      </c>
      <c r="IL19" s="9" t="inlineStr">
        <is>
          <t>v12_quick_engine.py:2024 x4</t>
        </is>
      </c>
    </row>
    <row r="20" ht="11" customHeight="1">
      <c r="A20" s="10" t="inlineStr">
        <is>
          <t>HLR_REENTRY_MAX_AGE_S</t>
        </is>
      </c>
      <c r="B20" s="11" t="inlineStr">
        <is>
          <t>1.0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ez_manage.py:4844 top()</t>
        </is>
      </c>
      <c r="IL20" s="9" t="inlineStr">
        <is>
          <t>v12_quick_engine.py:2024 x4</t>
        </is>
      </c>
    </row>
    <row r="21" ht="11" customHeight="1">
      <c r="A21" s="10" t="inlineStr">
        <is>
          <t>HLR_REENTRY_MAX_AGE_S</t>
        </is>
      </c>
      <c r="B21" s="11" t="inlineStr">
        <is>
          <t>2.0</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ez_manage.py:4844 top()</t>
        </is>
      </c>
      <c r="IL21" s="9" t="inlineStr">
        <is>
          <t>v12_quick_engine.py:2024 x4</t>
        </is>
      </c>
    </row>
    <row r="22" ht="11" customHeight="1">
      <c r="A22" s="10" t="inlineStr">
        <is>
          <t>HLR_REENTRY_MULT_4H</t>
        </is>
      </c>
      <c r="B22" s="11" t="inlineStr">
        <is>
          <t>1.0</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ez_manage.py:4847 top()</t>
        </is>
      </c>
      <c r="IL22" s="9" t="inlineStr">
        <is>
          <t>v12_quick_engine.py:2027 x6</t>
        </is>
      </c>
    </row>
    <row r="23" ht="11" customHeight="1">
      <c r="A23" s="10" t="inlineStr">
        <is>
          <t>HLR_REENTRY_MULT_4H</t>
        </is>
      </c>
      <c r="B23" s="11" t="inlineStr">
        <is>
          <t>1.5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ez_manage.py:4847 top()</t>
        </is>
      </c>
      <c r="IL23" s="9" t="inlineStr">
        <is>
          <t>v12_quick_engine.py:2027 x6</t>
        </is>
      </c>
    </row>
    <row r="24" ht="11" customHeight="1">
      <c r="A24" s="6" t="inlineStr">
        <is>
          <t>HLR_REENTRY_MULT_4H</t>
        </is>
      </c>
      <c r="B24" s="7" t="inlineStr">
        <is>
          <t>2.0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ez_manage.py:4847 top()</t>
        </is>
      </c>
      <c r="IL24" s="9" t="inlineStr">
        <is>
          <t>v12_quick_engine.py:2027 x6</t>
        </is>
      </c>
    </row>
    <row r="25" ht="11" customHeight="1">
      <c r="A25" s="10" t="inlineStr">
        <is>
          <t>HLR_REENTRY_MULT_4H</t>
        </is>
      </c>
      <c r="B25" s="11" t="inlineStr">
        <is>
          <t>2.5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ez_manage.py:4847 top()</t>
        </is>
      </c>
      <c r="IL25" s="9" t="inlineStr">
        <is>
          <t>v12_quick_engine.py:2027 x6</t>
        </is>
      </c>
    </row>
    <row r="26" ht="11" customHeight="1">
      <c r="A26" s="10" t="inlineStr">
        <is>
          <t>HLR_REENTRY_MULT_4H</t>
        </is>
      </c>
      <c r="B26" s="11" t="inlineStr">
        <is>
          <t>3.0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ez_manage.py:4847 top()</t>
        </is>
      </c>
      <c r="IL26" s="9" t="inlineStr">
        <is>
          <t>v12_quick_engine.py:2027 x6</t>
        </is>
      </c>
    </row>
    <row r="27" ht="11" customHeight="1">
      <c r="A27" s="10" t="inlineStr">
        <is>
          <t>HLR_REENTRY_MULT_D</t>
        </is>
      </c>
      <c r="B27" s="11" t="inlineStr">
        <is>
          <t>1.25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ez_manage.py:4848 top()</t>
        </is>
      </c>
      <c r="IL27" s="9" t="inlineStr">
        <is>
          <t>v12_quick_engine.py:2028 x4</t>
        </is>
      </c>
    </row>
    <row r="28" ht="11" customHeight="1">
      <c r="A28" s="10" t="inlineStr">
        <is>
          <t>HLR_REENTRY_MULT_D</t>
        </is>
      </c>
      <c r="B28" s="11" t="inlineStr">
        <is>
          <t>1.875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ez_manage.py:4848 top()</t>
        </is>
      </c>
      <c r="IL28" s="9" t="inlineStr">
        <is>
          <t>v12_quick_engine.py:2028 x4</t>
        </is>
      </c>
    </row>
    <row r="29" ht="11" customHeight="1">
      <c r="A29" s="6" t="inlineStr">
        <is>
          <t>HLR_REENTRY_MULT_D</t>
        </is>
      </c>
      <c r="B29" s="7" t="inlineStr">
        <is>
          <t>2.5</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ez_manage.py:4848 top()</t>
        </is>
      </c>
      <c r="IL29" s="9" t="inlineStr">
        <is>
          <t>v12_quick_engine.py:2028 x4</t>
        </is>
      </c>
    </row>
    <row r="30" ht="11" customHeight="1">
      <c r="A30" s="10" t="inlineStr">
        <is>
          <t>HLR_REENTRY_MULT_D</t>
        </is>
      </c>
      <c r="B30" s="11" t="inlineStr">
        <is>
          <t>3.125</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ez_manage.py:4848 top()</t>
        </is>
      </c>
      <c r="IL30" s="9" t="inlineStr">
        <is>
          <t>v12_quick_engine.py:2028 x4</t>
        </is>
      </c>
    </row>
    <row r="31" ht="11" customHeight="1">
      <c r="A31" s="10" t="inlineStr">
        <is>
          <t>HLR_REENTRY_MULT_D</t>
        </is>
      </c>
      <c r="B31" s="11" t="inlineStr">
        <is>
          <t>3.75</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ez_manage.py:4848 top()</t>
        </is>
      </c>
      <c r="IL31" s="9" t="inlineStr">
        <is>
          <t>v12_quick_engine.py:2028 x4</t>
        </is>
      </c>
    </row>
    <row r="32" ht="11" customHeight="1">
      <c r="A32" s="10" t="inlineStr">
        <is>
          <t>HLR_REENTRY_MULT_W</t>
        </is>
      </c>
      <c r="B32" s="11" t="inlineStr">
        <is>
          <t>1.5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ez_manage.py:4849 top()</t>
        </is>
      </c>
      <c r="IL32" s="9" t="inlineStr">
        <is>
          <t>v12_quick_engine.py:2029 x4</t>
        </is>
      </c>
    </row>
    <row r="33" ht="11" customHeight="1">
      <c r="A33" s="10" t="inlineStr">
        <is>
          <t>HLR_REENTRY_MULT_W</t>
        </is>
      </c>
      <c r="B33" s="11" t="inlineStr">
        <is>
          <t>2.25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ez_manage.py:4849 top()</t>
        </is>
      </c>
      <c r="IL33" s="9" t="inlineStr">
        <is>
          <t>v12_quick_engine.py:2029 x4</t>
        </is>
      </c>
    </row>
    <row r="34" ht="11" customHeight="1">
      <c r="A34" s="6" t="inlineStr">
        <is>
          <t>HLR_REENTRY_MULT_W</t>
        </is>
      </c>
      <c r="B34" s="7" t="inlineStr">
        <is>
          <t>3.0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ez_manage.py:4849 top()</t>
        </is>
      </c>
      <c r="IL34" s="9" t="inlineStr">
        <is>
          <t>v12_quick_engine.py:2029 x4</t>
        </is>
      </c>
    </row>
    <row r="35" ht="11" customHeight="1">
      <c r="A35" s="10" t="inlineStr">
        <is>
          <t>HLR_REENTRY_MULT_W</t>
        </is>
      </c>
      <c r="B35" s="11" t="inlineStr">
        <is>
          <t>3.75</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ez_manage.py:4849 top()</t>
        </is>
      </c>
      <c r="IL35" s="9" t="inlineStr">
        <is>
          <t>v12_quick_engine.py:2029 x4</t>
        </is>
      </c>
    </row>
    <row r="36" ht="11" customHeight="1">
      <c r="A36" s="10" t="inlineStr">
        <is>
          <t>HLR_REENTRY_MULT_W</t>
        </is>
      </c>
      <c r="B36" s="11" t="inlineStr">
        <is>
          <t>4.5</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ez_manage.py:4849 top()</t>
        </is>
      </c>
      <c r="IL36" s="9" t="inlineStr">
        <is>
          <t>v12_quick_engine.py:2029 x4</t>
        </is>
      </c>
    </row>
    <row r="37" ht="11" customHeight="1">
      <c r="A37" s="10" t="inlineStr">
        <is>
          <t>REENTRY_SIZE_BREAKOUT_MULT</t>
        </is>
      </c>
      <c r="B37" s="11" t="inlineStr">
        <is>
          <t>0</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55" t="n"/>
      <c r="AR37" s="55" t="n"/>
      <c r="AS37" s="55" t="n"/>
      <c r="AT37" s="55" t="n"/>
      <c r="AU37" s="55"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55" t="n"/>
      <c r="BQ37" s="55" t="n"/>
      <c r="BR37" s="55" t="n"/>
      <c r="BS37" s="55" t="n"/>
      <c r="BT37" s="55"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55" t="n"/>
      <c r="CZ37" s="55" t="n"/>
      <c r="DA37" s="55" t="n"/>
      <c r="DB37" s="55" t="n"/>
      <c r="DC37" s="55"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55" t="n"/>
      <c r="GA37" s="55" t="n"/>
      <c r="GB37" s="55" t="n"/>
      <c r="GC37" s="55" t="n"/>
      <c r="GD37" s="55"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55" t="n"/>
      <c r="HJ37" s="55" t="n"/>
      <c r="HK37" s="55" t="n"/>
      <c r="HL37" s="55" t="n"/>
      <c r="HM37" s="55"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ez_manage.py:3870 top()</t>
        </is>
      </c>
      <c r="IL37" s="9" t="inlineStr">
        <is>
          <t>v12_quick_engine.py:2903 x3</t>
        </is>
      </c>
    </row>
    <row r="38" ht="11" customHeight="1">
      <c r="A38" s="10" t="inlineStr">
        <is>
          <t>REENTRY_SIZE_BREAKOUT_MULT</t>
        </is>
      </c>
      <c r="B38" s="11" t="inlineStr">
        <is>
          <t>0.5</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55" t="n"/>
      <c r="AR38" s="55" t="n"/>
      <c r="AS38" s="55" t="n"/>
      <c r="AT38" s="55" t="n"/>
      <c r="AU38" s="55"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55" t="n"/>
      <c r="BQ38" s="55" t="n"/>
      <c r="BR38" s="55" t="n"/>
      <c r="BS38" s="55" t="n"/>
      <c r="BT38" s="55"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55" t="n"/>
      <c r="CZ38" s="55" t="n"/>
      <c r="DA38" s="55" t="n"/>
      <c r="DB38" s="55" t="n"/>
      <c r="DC38" s="55"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55" t="n"/>
      <c r="GA38" s="55" t="n"/>
      <c r="GB38" s="55" t="n"/>
      <c r="GC38" s="55" t="n"/>
      <c r="GD38" s="55"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55" t="n"/>
      <c r="HJ38" s="55" t="n"/>
      <c r="HK38" s="55" t="n"/>
      <c r="HL38" s="55" t="n"/>
      <c r="HM38" s="55"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ez_manage.py:3870 top()</t>
        </is>
      </c>
      <c r="IL38" s="9" t="inlineStr">
        <is>
          <t>v12_quick_engine.py:2903 x3</t>
        </is>
      </c>
    </row>
    <row r="39" ht="11" customHeight="1">
      <c r="A39" s="10" t="inlineStr">
        <is>
          <t>REENTRY_SIZE_BREAKOUT_MULT</t>
        </is>
      </c>
      <c r="B39" s="11" t="inlineStr">
        <is>
          <t>1.0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55" t="n"/>
      <c r="AR39" s="55" t="n"/>
      <c r="AS39" s="55" t="n"/>
      <c r="AT39" s="55" t="n"/>
      <c r="AU39" s="55"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55" t="n"/>
      <c r="BQ39" s="55" t="n"/>
      <c r="BR39" s="55" t="n"/>
      <c r="BS39" s="55" t="n"/>
      <c r="BT39" s="55"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55" t="n"/>
      <c r="CZ39" s="55" t="n"/>
      <c r="DA39" s="55" t="n"/>
      <c r="DB39" s="55" t="n"/>
      <c r="DC39" s="55"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55" t="n"/>
      <c r="GA39" s="55" t="n"/>
      <c r="GB39" s="55" t="n"/>
      <c r="GC39" s="55" t="n"/>
      <c r="GD39" s="55"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55" t="n"/>
      <c r="HJ39" s="55" t="n"/>
      <c r="HK39" s="55" t="n"/>
      <c r="HL39" s="55" t="n"/>
      <c r="HM39" s="55"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ez_manage.py:3870 top()</t>
        </is>
      </c>
      <c r="IL39" s="9" t="inlineStr">
        <is>
          <t>v12_quick_engine.py:2903 x3</t>
        </is>
      </c>
    </row>
    <row r="40" ht="11" customHeight="1">
      <c r="A40" s="10" t="inlineStr">
        <is>
          <t>REENTRY_SIZE_BREAKOUT_MULT</t>
        </is>
      </c>
      <c r="B40" s="11" t="inlineStr">
        <is>
          <t>2.0</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55" t="n"/>
      <c r="AR40" s="55" t="n"/>
      <c r="AS40" s="55" t="n"/>
      <c r="AT40" s="55" t="n"/>
      <c r="AU40" s="55"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55" t="n"/>
      <c r="BQ40" s="55" t="n"/>
      <c r="BR40" s="55" t="n"/>
      <c r="BS40" s="55" t="n"/>
      <c r="BT40" s="55"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55" t="n"/>
      <c r="CZ40" s="55" t="n"/>
      <c r="DA40" s="55" t="n"/>
      <c r="DB40" s="55" t="n"/>
      <c r="DC40" s="55"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55" t="n"/>
      <c r="GA40" s="55" t="n"/>
      <c r="GB40" s="55" t="n"/>
      <c r="GC40" s="55" t="n"/>
      <c r="GD40" s="55"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55" t="n"/>
      <c r="HJ40" s="55" t="n"/>
      <c r="HK40" s="55" t="n"/>
      <c r="HL40" s="55" t="n"/>
      <c r="HM40" s="55"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ez_manage.py:3870 top()</t>
        </is>
      </c>
      <c r="IL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G42" s="62" t="inlineStr">
        <is>
          <t>Rec</t>
        </is>
      </c>
      <c r="H42" s="62" t="inlineStr">
        <is>
          <t>Tested As</t>
        </is>
      </c>
      <c r="I42" s="62" t="inlineStr">
        <is>
          <t>Notes</t>
        </is>
      </c>
    </row>
    <row r="43">
      <c r="A43" s="63" t="inlineStr">
        <is>
          <t>ADX_RANGING_THRESHOLD</t>
        </is>
      </c>
      <c r="B43" s="56" t="inlineStr">
        <is>
          <t>20</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ADX_RANGING_THRESHOLD</t>
        </is>
      </c>
      <c r="B44" s="56" t="inlineStr">
        <is>
          <t>25</t>
        </is>
      </c>
      <c r="C44" s="56" t="n"/>
      <c r="D44" s="56" t="inlineStr">
        <is>
          <t>ENTRY, GLOBAL_CHECK, STOCKS_EXIT</t>
        </is>
      </c>
      <c r="E44" s="56">
        <f>IF(G44="",E43,IF(G44&gt;0,E43+G44,E43))</f>
        <v/>
      </c>
      <c r="G44" s="56">
        <f>IFERROR(VLOOKUP($A44&amp;"="&amp;$B44,Results_Deltas!$A$2:$P$15000,5,FALSE),"")</f>
        <v/>
      </c>
      <c r="H44" s="56" t="inlineStr">
        <is>
          <t>Blanket (page end)</t>
        </is>
      </c>
    </row>
    <row r="45">
      <c r="A45" s="63" t="inlineStr">
        <is>
          <t>ADX_RANGING_THRESHOLD</t>
        </is>
      </c>
      <c r="B45" s="56" t="inlineStr">
        <is>
          <t>15</t>
        </is>
      </c>
      <c r="C45" s="56" t="n"/>
      <c r="D45" s="56" t="inlineStr">
        <is>
          <t>ENTRY, GLOBAL_CHECK, STOCKS_EXIT</t>
        </is>
      </c>
      <c r="E45" s="56">
        <f>IF(G45="",E44,IF(G45&gt;0,E44+G45,E44))</f>
        <v/>
      </c>
      <c r="G45" s="56">
        <f>IFERROR(VLOOKUP($A45&amp;"="&amp;$B45,Results_Deltas!$A$2:$P$15000,5,FALSE),"")</f>
        <v/>
      </c>
      <c r="H45" s="56" t="inlineStr">
        <is>
          <t>Blanket (page end)</t>
        </is>
      </c>
    </row>
    <row r="46">
      <c r="A46" s="63" t="inlineStr">
        <is>
          <t>ADX_RANGING_THRESHOLD</t>
        </is>
      </c>
      <c r="B46" s="56" t="inlineStr">
        <is>
          <t>10</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BANDAID_OFF_LOSER_RECOVER_PCT</t>
        </is>
      </c>
      <c r="B47" s="56" t="inlineStr">
        <is>
          <t>0</t>
        </is>
      </c>
      <c r="C47" s="56" t="n"/>
      <c r="D47" s="56" t="inlineStr">
        <is>
          <t>AUGMENT, ENTRY, EXIT, GLOBAL_CHECK, REDUCE, STOCKS_EXIT</t>
        </is>
      </c>
      <c r="E47" s="56">
        <f>IF(G47="",E46,IF(G47&gt;0,E46+G47,E46))</f>
        <v/>
      </c>
      <c r="G47" s="56">
        <f>IFERROR(VLOOKUP($A47&amp;"="&amp;$B47,Results_Deltas!$A$2:$P$15000,5,FALSE),"")</f>
        <v/>
      </c>
      <c r="H47" s="56" t="inlineStr">
        <is>
          <t>Blanket (page end)</t>
        </is>
      </c>
    </row>
    <row r="48">
      <c r="A48" s="63" t="inlineStr">
        <is>
          <t>BANDAID_OFF_LOSER_RECOVER_PCT</t>
        </is>
      </c>
      <c r="B48" s="56" t="inlineStr">
        <is>
          <t>2.0</t>
        </is>
      </c>
      <c r="C48" s="56" t="n"/>
      <c r="D48" s="56" t="inlineStr">
        <is>
          <t>AUGMENT, ENTRY, EXIT, GLOBAL_CHECK, REDUCE, STOCKS_EXIT</t>
        </is>
      </c>
      <c r="E48" s="56">
        <f>IF(G48="",E47,IF(G48&gt;0,E47+G48,E47))</f>
        <v/>
      </c>
      <c r="G48" s="56">
        <f>IFERROR(VLOOKUP($A48&amp;"="&amp;$B48,Results_Deltas!$A$2:$P$15000,5,FALSE),"")</f>
        <v/>
      </c>
      <c r="H48" s="56" t="inlineStr">
        <is>
          <t>Blanket (page end)</t>
        </is>
      </c>
    </row>
    <row r="49">
      <c r="A49" s="63" t="inlineStr">
        <is>
          <t>BANDAID_OFF_LOSER_RECOVER_PCT</t>
        </is>
      </c>
      <c r="B49" s="56" t="inlineStr">
        <is>
          <t>1.0</t>
        </is>
      </c>
      <c r="C49" s="56" t="n"/>
      <c r="D49" s="56" t="inlineStr">
        <is>
          <t>AUGMENT, ENTRY, EXIT, GLOBAL_CHECK, REDUCE, STOCKS_EXIT</t>
        </is>
      </c>
      <c r="E49" s="56">
        <f>IF(G49="",E48,IF(G49&gt;0,E48+G49,E48))</f>
        <v/>
      </c>
      <c r="G49" s="56">
        <f>IFERROR(VLOOKUP($A49&amp;"="&amp;$B49,Results_Deltas!$A$2:$P$15000,5,FALSE),"")</f>
        <v/>
      </c>
      <c r="H49" s="56" t="inlineStr">
        <is>
          <t>Blanket (page end)</t>
        </is>
      </c>
    </row>
    <row r="50">
      <c r="A50" s="63" t="inlineStr">
        <is>
          <t>BANDAID_OFF_LOSER_RECOVER_PCT</t>
        </is>
      </c>
      <c r="B50" s="56" t="inlineStr">
        <is>
          <t>0.5</t>
        </is>
      </c>
      <c r="C50" s="56" t="n"/>
      <c r="D50" s="56" t="inlineStr">
        <is>
          <t>AUGMENT, ENTRY, EXIT, GLOBAL_CHECK, REDUCE, STOCKS_EXIT</t>
        </is>
      </c>
      <c r="E50" s="56">
        <f>IF(G50="",E49,IF(G50&gt;0,E49+G50,E49))</f>
        <v/>
      </c>
      <c r="G50" s="56">
        <f>IFERROR(VLOOKUP($A50&amp;"="&amp;$B50,Results_Deltas!$A$2:$P$15000,5,FALSE),"")</f>
        <v/>
      </c>
      <c r="H50" s="56" t="inlineStr">
        <is>
          <t>Blanket (page end)</t>
        </is>
      </c>
    </row>
    <row r="51">
      <c r="A51" s="63" t="inlineStr">
        <is>
          <t>BAND_ARROW_ENABLED</t>
        </is>
      </c>
      <c r="B51" s="56" t="inlineStr">
        <is>
          <t>False</t>
        </is>
      </c>
      <c r="C51" s="56" t="n"/>
      <c r="D51" s="56" t="inlineStr">
        <is>
          <t>GLOBAL_CHECK, STOCKS_EXIT</t>
        </is>
      </c>
      <c r="E51" s="56">
        <f>IF(G51="",E50,IF(G51&gt;0,E50+G51,E50))</f>
        <v/>
      </c>
      <c r="G51" s="56">
        <f>IFERROR(VLOOKUP($A51&amp;"="&amp;$B51,Results_Deltas!$A$2:$P$15000,5,FALSE),"")</f>
        <v/>
      </c>
      <c r="H51" s="56" t="inlineStr">
        <is>
          <t>Blanket (page end)</t>
        </is>
      </c>
    </row>
    <row r="52">
      <c r="A52" s="63" t="inlineStr">
        <is>
          <t>BAND_ARROW_ENABLED</t>
        </is>
      </c>
      <c r="B52" s="56" t="inlineStr">
        <is>
          <t>True</t>
        </is>
      </c>
      <c r="C52" s="56" t="n"/>
      <c r="D52" s="56" t="inlineStr">
        <is>
          <t>GLOBAL_CHECK, STOCKS_EXIT</t>
        </is>
      </c>
      <c r="E52" s="56">
        <f>IF(G52="",E51,IF(G52&gt;0,E51+G52,E51))</f>
        <v/>
      </c>
      <c r="G52" s="56">
        <f>IFERROR(VLOOKUP($A52&amp;"="&amp;$B52,Results_Deltas!$A$2:$P$15000,5,FALSE),"")</f>
        <v/>
      </c>
      <c r="H52" s="56" t="inlineStr">
        <is>
          <t>Blanket (page end)</t>
        </is>
      </c>
    </row>
    <row r="53">
      <c r="A53" s="63" t="inlineStr">
        <is>
          <t>BTC_ACCEL_RAMP_REQUIRE_POSITIVE</t>
        </is>
      </c>
      <c r="B53" s="56" t="inlineStr">
        <is>
          <t>0.0</t>
        </is>
      </c>
      <c r="C53" s="56" t="n"/>
      <c r="D53" s="56" t="inlineStr">
        <is>
          <t>UNIVERSAL (ex-BTC) — ENTRY/EXIT/REENTRY</t>
        </is>
      </c>
      <c r="E53" s="56">
        <f>IF(G53="",E52,IF(G53&gt;0,E52+G53,E52))</f>
        <v/>
      </c>
      <c r="G53" s="56">
        <f>IFERROR(VLOOKUP($A53&amp;"="&amp;$B53,Results_Deltas!$A$2:$P$15000,5,FALSE),"")</f>
        <v/>
      </c>
      <c r="H53" s="56" t="inlineStr">
        <is>
          <t>Blanket (page end)</t>
        </is>
      </c>
    </row>
    <row r="54">
      <c r="A54" s="63" t="inlineStr">
        <is>
          <t>BTC_ACCEL_RAMP_REQUIRE_POSITIVE</t>
        </is>
      </c>
      <c r="B54" s="56" t="inlineStr">
        <is>
          <t>0.0_ALT</t>
        </is>
      </c>
      <c r="C54" s="56" t="n"/>
      <c r="D54" s="56" t="inlineStr">
        <is>
          <t>UNIVERSAL (ex-BTC) — ENTRY/EXIT/REENTRY</t>
        </is>
      </c>
      <c r="E54" s="56">
        <f>IF(G54="",E53,IF(G54&gt;0,E53+G54,E53))</f>
        <v/>
      </c>
      <c r="G54" s="56">
        <f>IFERROR(VLOOKUP($A54&amp;"="&amp;$B54,Results_Deltas!$A$2:$P$15000,5,FALSE),"")</f>
        <v/>
      </c>
      <c r="H54" s="56" t="inlineStr">
        <is>
          <t>Blanket (page end)</t>
        </is>
      </c>
    </row>
    <row r="55">
      <c r="A55" s="63" t="inlineStr">
        <is>
          <t>BTC_HARD_BLOCK_OTHER_ACCOUNTS</t>
        </is>
      </c>
      <c r="B55" s="56" t="inlineStr">
        <is>
          <t>0.0</t>
        </is>
      </c>
      <c r="C55" s="56" t="n"/>
      <c r="D55" s="56" t="inlineStr">
        <is>
          <t>UNIVERSAL (ex-BTC) — ENTRY/EXIT/REENTRY</t>
        </is>
      </c>
      <c r="E55" s="56">
        <f>IF(G55="",E54,IF(G55&gt;0,E54+G55,E54))</f>
        <v/>
      </c>
      <c r="G55" s="56">
        <f>IFERROR(VLOOKUP($A55&amp;"="&amp;$B55,Results_Deltas!$A$2:$P$15000,5,FALSE),"")</f>
        <v/>
      </c>
      <c r="H55" s="56" t="inlineStr">
        <is>
          <t>Blanket (page end)</t>
        </is>
      </c>
    </row>
    <row r="56">
      <c r="A56" s="63" t="inlineStr">
        <is>
          <t>BTC_HARD_BLOCK_OTHER_ACCOUNTS</t>
        </is>
      </c>
      <c r="B56" s="56" t="inlineStr">
        <is>
          <t>0.0_ALT</t>
        </is>
      </c>
      <c r="C56" s="56" t="n"/>
      <c r="D56" s="56" t="inlineStr">
        <is>
          <t>UNIVERSAL (ex-BTC) — ENTRY/EXIT/REENTRY</t>
        </is>
      </c>
      <c r="E56" s="56">
        <f>IF(G56="",E55,IF(G56&gt;0,E55+G56,E55))</f>
        <v/>
      </c>
      <c r="G56" s="56">
        <f>IFERROR(VLOOKUP($A56&amp;"="&amp;$B56,Results_Deltas!$A$2:$P$15000,5,FALSE),"")</f>
        <v/>
      </c>
      <c r="H56" s="56" t="inlineStr">
        <is>
          <t>Blanket (page end)</t>
        </is>
      </c>
    </row>
    <row r="57">
      <c r="A57" s="63" t="inlineStr">
        <is>
          <t>BTC_ROUND_BANDS_EACH_SIDE</t>
        </is>
      </c>
      <c r="B57" s="56" t="inlineStr">
        <is>
          <t>0.0</t>
        </is>
      </c>
      <c r="C57" s="56" t="n"/>
      <c r="D57" s="56" t="inlineStr">
        <is>
          <t>UNIVERSAL (ex-BTC) — ENTRY/EXIT/REENTRY</t>
        </is>
      </c>
      <c r="E57" s="56">
        <f>IF(G57="",E56,IF(G57&gt;0,E56+G57,E56))</f>
        <v/>
      </c>
      <c r="G57" s="56">
        <f>IFERROR(VLOOKUP($A57&amp;"="&amp;$B57,Results_Deltas!$A$2:$P$15000,5,FALSE),"")</f>
        <v/>
      </c>
      <c r="H57" s="56" t="inlineStr">
        <is>
          <t>Blanket (page end)</t>
        </is>
      </c>
    </row>
    <row r="58">
      <c r="A58" s="63" t="inlineStr">
        <is>
          <t>BTC_ROUND_BANDS_EACH_SIDE</t>
        </is>
      </c>
      <c r="B58" s="56" t="inlineStr">
        <is>
          <t>0.0_ALT</t>
        </is>
      </c>
      <c r="C58" s="56" t="n"/>
      <c r="D58" s="56" t="inlineStr">
        <is>
          <t>UNIVERSAL (ex-BTC) — ENTRY/EXIT/REENTRY</t>
        </is>
      </c>
      <c r="E58" s="56">
        <f>IF(G58="",E57,IF(G58&gt;0,E57+G58,E57))</f>
        <v/>
      </c>
      <c r="G58" s="56">
        <f>IFERROR(VLOOKUP($A58&amp;"="&amp;$B58,Results_Deltas!$A$2:$P$15000,5,FALSE),"")</f>
        <v/>
      </c>
      <c r="H58" s="56" t="inlineStr">
        <is>
          <t>Blanket (page end)</t>
        </is>
      </c>
    </row>
    <row r="59">
      <c r="A59" s="63" t="inlineStr">
        <is>
          <t>COOLDOWN_LOCKS_FILTER_TF</t>
        </is>
      </c>
      <c r="B59" s="56" t="inlineStr">
        <is>
          <t>OFF</t>
        </is>
      </c>
      <c r="C59" s="56" t="n"/>
      <c r="D59" s="56" t="inlineStr">
        <is>
          <t>GLOBAL_CHECK</t>
        </is>
      </c>
      <c r="E59" s="56">
        <f>IF(G59="",E58,IF(G59&gt;0,E58+G59,E58))</f>
        <v/>
      </c>
      <c r="G59" s="56">
        <f>IFERROR(VLOOKUP($A59&amp;"="&amp;$B59,Results_Deltas!$A$2:$P$15000,5,FALSE),"")</f>
        <v/>
      </c>
      <c r="H59" s="56" t="inlineStr">
        <is>
          <t>Blanket (page end)</t>
        </is>
      </c>
    </row>
    <row r="60">
      <c r="A60" s="63" t="inlineStr">
        <is>
          <t>COOLDOWN_LOCKS_FILTER_TF</t>
        </is>
      </c>
      <c r="B60" s="56" t="inlineStr">
        <is>
          <t>D</t>
        </is>
      </c>
      <c r="C60" s="56" t="n"/>
      <c r="D60" s="56" t="inlineStr">
        <is>
          <t>GLOBAL_CHECK</t>
        </is>
      </c>
      <c r="E60" s="56">
        <f>IF(G60="",E59,IF(G60&gt;0,E59+G60,E59))</f>
        <v/>
      </c>
      <c r="G60" s="56">
        <f>IFERROR(VLOOKUP($A60&amp;"="&amp;$B60,Results_Deltas!$A$2:$P$15000,5,FALSE),"")</f>
        <v/>
      </c>
      <c r="H60" s="56" t="inlineStr">
        <is>
          <t>Blanket (page end)</t>
        </is>
      </c>
    </row>
    <row r="61">
      <c r="A61" s="63" t="inlineStr">
        <is>
          <t>COOLDOWN_LOCKS_FILTER_TF</t>
        </is>
      </c>
      <c r="B61" s="56" t="inlineStr">
        <is>
          <t>4h</t>
        </is>
      </c>
      <c r="C61" s="56" t="n"/>
      <c r="D61" s="56" t="inlineStr">
        <is>
          <t>GLOBAL_CHECK</t>
        </is>
      </c>
      <c r="E61" s="56">
        <f>IF(G61="",E60,IF(G61&gt;0,E60+G61,E60))</f>
        <v/>
      </c>
      <c r="G61" s="56">
        <f>IFERROR(VLOOKUP($A61&amp;"="&amp;$B61,Results_Deltas!$A$2:$P$15000,5,FALSE),"")</f>
        <v/>
      </c>
      <c r="H61" s="56" t="inlineStr">
        <is>
          <t>Blanket (page end)</t>
        </is>
      </c>
    </row>
    <row r="62">
      <c r="A62" s="63" t="inlineStr">
        <is>
          <t>COOLDOWN_LOCKS_FILTER_TF</t>
        </is>
      </c>
      <c r="B62" s="56" t="inlineStr">
        <is>
          <t>1h</t>
        </is>
      </c>
      <c r="C62" s="56" t="n"/>
      <c r="D62" s="56" t="inlineStr">
        <is>
          <t>GLOBAL_CHECK</t>
        </is>
      </c>
      <c r="E62" s="56">
        <f>IF(G62="",E61,IF(G62&gt;0,E61+G62,E61))</f>
        <v/>
      </c>
      <c r="G62" s="56">
        <f>IFERROR(VLOOKUP($A62&amp;"="&amp;$B62,Results_Deltas!$A$2:$P$15000,5,FALSE),"")</f>
        <v/>
      </c>
      <c r="H62" s="56" t="inlineStr">
        <is>
          <t>Blanket (page end)</t>
        </is>
      </c>
    </row>
    <row r="63">
      <c r="A63" s="63" t="inlineStr">
        <is>
          <t>COOLDOWN_LOCKS_FILTER_TF</t>
        </is>
      </c>
      <c r="B63" s="56" t="inlineStr">
        <is>
          <t>15m</t>
        </is>
      </c>
      <c r="C63" s="56" t="n"/>
      <c r="D63" s="56" t="inlineStr">
        <is>
          <t>GLOBAL_CHECK</t>
        </is>
      </c>
      <c r="E63" s="56">
        <f>IF(G63="",E62,IF(G63&gt;0,E62+G63,E62))</f>
        <v/>
      </c>
      <c r="G63" s="56">
        <f>IFERROR(VLOOKUP($A63&amp;"="&amp;$B63,Results_Deltas!$A$2:$P$15000,5,FALSE),"")</f>
        <v/>
      </c>
      <c r="H63" s="56" t="inlineStr">
        <is>
          <t>Blanket (page end)</t>
        </is>
      </c>
    </row>
    <row r="64">
      <c r="A64" s="63" t="inlineStr">
        <is>
          <t>CRYPTO_SPIKE_FADE_THRESHOLD_PCT</t>
        </is>
      </c>
      <c r="B64" s="56" t="inlineStr">
        <is>
          <t>10</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CRYPTO_SPIKE_FADE_THRESHOLD_PCT</t>
        </is>
      </c>
      <c r="B65" s="56" t="inlineStr">
        <is>
          <t>12.5</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CRYPTO_SPIKE_FADE_THRESHOLD_PCT</t>
        </is>
      </c>
      <c r="B66" s="56" t="inlineStr">
        <is>
          <t>7.5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CRYPTO_SPIKE_FADE_THRESHOLD_PCT</t>
        </is>
      </c>
      <c r="B67" s="56" t="inlineStr">
        <is>
          <t>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DC_MOMENT_STRONG_THRESHOLD</t>
        </is>
      </c>
      <c r="B68" s="56" t="inlineStr">
        <is>
          <t>40</t>
        </is>
      </c>
      <c r="C68" s="56" t="n"/>
      <c r="D68" s="56" t="inlineStr">
        <is>
          <t>ENTRY, GLOBAL_CHECK, STOCKS_EXIT</t>
        </is>
      </c>
      <c r="E68" s="56">
        <f>IF(G68="",E67,IF(G68&gt;0,E67+G68,E67))</f>
        <v/>
      </c>
      <c r="G68" s="56">
        <f>IFERROR(VLOOKUP($A68&amp;"="&amp;$B68,Results_Deltas!$A$2:$P$15000,5,FALSE),"")</f>
        <v/>
      </c>
      <c r="H68" s="56" t="inlineStr">
        <is>
          <t>Blanket (page end)</t>
        </is>
      </c>
    </row>
    <row r="69">
      <c r="A69" s="63" t="inlineStr">
        <is>
          <t>DC_MOMENT_STRONG_THRESHOLD</t>
        </is>
      </c>
      <c r="B69" s="56" t="inlineStr">
        <is>
          <t>50</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DC_MOMENT_STRONG_THRESHOLD</t>
        </is>
      </c>
      <c r="B70" s="56" t="inlineStr">
        <is>
          <t>30</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DC_MOMENT_STRONG_THRESHOLD</t>
        </is>
      </c>
      <c r="B71" s="56" t="inlineStr">
        <is>
          <t>20</t>
        </is>
      </c>
      <c r="C71" s="56" t="n"/>
      <c r="D71" s="56" t="inlineStr">
        <is>
          <t>ENTRY, GLOBAL_CHECK, STOCKS_EXIT</t>
        </is>
      </c>
      <c r="E71" s="56">
        <f>IF(G71="",E70,IF(G71&gt;0,E70+G71,E70))</f>
        <v/>
      </c>
      <c r="G71" s="56">
        <f>IFERROR(VLOOKUP($A71&amp;"="&amp;$B71,Results_Deltas!$A$2:$P$15000,5,FALSE),"")</f>
        <v/>
      </c>
      <c r="H71" s="56" t="inlineStr">
        <is>
          <t>Blanket (page end)</t>
        </is>
      </c>
    </row>
    <row r="72">
      <c r="A72" s="63" t="inlineStr">
        <is>
          <t>DELTA_HTF_GATE</t>
        </is>
      </c>
      <c r="B72" s="56" t="inlineStr">
        <is>
          <t>4h</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DELTA_HTF_GATE</t>
        </is>
      </c>
      <c r="B73" s="56" t="inlineStr">
        <is>
          <t>4h_ALT</t>
        </is>
      </c>
      <c r="C73" s="56" t="n"/>
      <c r="D73" s="56" t="inlineStr">
        <is>
          <t>ENTRY, GLOBAL_CHECK, STOCKS_EXIT</t>
        </is>
      </c>
      <c r="E73" s="56">
        <f>IF(G73="",E72,IF(G73&gt;0,E72+G73,E72))</f>
        <v/>
      </c>
      <c r="G73" s="56">
        <f>IFERROR(VLOOKUP($A73&amp;"="&amp;$B73,Results_Deltas!$A$2:$P$15000,5,FALSE),"")</f>
        <v/>
      </c>
      <c r="H73" s="56" t="inlineStr">
        <is>
          <t>Blanket (page end)</t>
        </is>
      </c>
    </row>
    <row r="74">
      <c r="A74" s="63" t="inlineStr">
        <is>
          <t>DELTA_REENTRY_FILTER_ENABLED</t>
        </is>
      </c>
      <c r="B74" s="56" t="inlineStr">
        <is>
          <t>False</t>
        </is>
      </c>
      <c r="C74" s="56" t="n"/>
      <c r="D74" s="56" t="inlineStr">
        <is>
          <t>ENTRY, GLOBAL_CHECK, STOCKS_EXIT</t>
        </is>
      </c>
      <c r="E74" s="56">
        <f>IF(G74="",E73,IF(G74&gt;0,E73+G74,E73))</f>
        <v/>
      </c>
      <c r="G74" s="56">
        <f>IFERROR(VLOOKUP($A74&amp;"="&amp;$B74,Results_Deltas!$A$2:$P$15000,5,FALSE),"")</f>
        <v/>
      </c>
      <c r="H74" s="56" t="inlineStr">
        <is>
          <t>Blanket (page end)</t>
        </is>
      </c>
    </row>
    <row r="75">
      <c r="A75" s="63" t="inlineStr">
        <is>
          <t>DELTA_REENTRY_FILTER_ENABLED</t>
        </is>
      </c>
      <c r="B75" s="56" t="inlineStr">
        <is>
          <t>True</t>
        </is>
      </c>
      <c r="C75" s="56" t="n"/>
      <c r="D75" s="56" t="inlineStr">
        <is>
          <t>ENTRY, GLOBAL_CHECK, STOCKS_EXIT</t>
        </is>
      </c>
      <c r="E75" s="56">
        <f>IF(G75="",E74,IF(G75&gt;0,E74+G75,E74))</f>
        <v/>
      </c>
      <c r="G75" s="56">
        <f>IFERROR(VLOOKUP($A75&amp;"="&amp;$B75,Results_Deltas!$A$2:$P$15000,5,FALSE),"")</f>
        <v/>
      </c>
      <c r="H75" s="56" t="inlineStr">
        <is>
          <t>Blanket (page end)</t>
        </is>
      </c>
    </row>
    <row r="76">
      <c r="A76" s="63" t="inlineStr">
        <is>
          <t>DUP_GUARD_FILTER_TF</t>
        </is>
      </c>
      <c r="B76" s="56" t="inlineStr">
        <is>
          <t>OFF</t>
        </is>
      </c>
      <c r="C76" s="56" t="n"/>
      <c r="D76" s="56" t="inlineStr">
        <is>
          <t>GLOBAL_CHECK</t>
        </is>
      </c>
      <c r="E76" s="56">
        <f>IF(G76="",E75,IF(G76&gt;0,E75+G76,E75))</f>
        <v/>
      </c>
      <c r="G76" s="56">
        <f>IFERROR(VLOOKUP($A76&amp;"="&amp;$B76,Results_Deltas!$A$2:$P$15000,5,FALSE),"")</f>
        <v/>
      </c>
      <c r="H76" s="56" t="inlineStr">
        <is>
          <t>Blanket (page end)</t>
        </is>
      </c>
    </row>
    <row r="77">
      <c r="A77" s="63" t="inlineStr">
        <is>
          <t>DUP_GUARD_FILTER_TF</t>
        </is>
      </c>
      <c r="B77" s="56" t="inlineStr">
        <is>
          <t>D</t>
        </is>
      </c>
      <c r="C77" s="56" t="n"/>
      <c r="D77" s="56" t="inlineStr">
        <is>
          <t>GLOBAL_CHECK</t>
        </is>
      </c>
      <c r="E77" s="56">
        <f>IF(G77="",E76,IF(G77&gt;0,E76+G77,E76))</f>
        <v/>
      </c>
      <c r="G77" s="56">
        <f>IFERROR(VLOOKUP($A77&amp;"="&amp;$B77,Results_Deltas!$A$2:$P$15000,5,FALSE),"")</f>
        <v/>
      </c>
      <c r="H77" s="56" t="inlineStr">
        <is>
          <t>Blanket (page end)</t>
        </is>
      </c>
    </row>
    <row r="78">
      <c r="A78" s="63" t="inlineStr">
        <is>
          <t>DUP_GUARD_FILTER_TF</t>
        </is>
      </c>
      <c r="B78" s="56" t="inlineStr">
        <is>
          <t>4h</t>
        </is>
      </c>
      <c r="C78" s="56" t="n"/>
      <c r="D78" s="56" t="inlineStr">
        <is>
          <t>GLOBAL_CHECK</t>
        </is>
      </c>
      <c r="E78" s="56">
        <f>IF(G78="",E77,IF(G78&gt;0,E77+G78,E77))</f>
        <v/>
      </c>
      <c r="G78" s="56">
        <f>IFERROR(VLOOKUP($A78&amp;"="&amp;$B78,Results_Deltas!$A$2:$P$15000,5,FALSE),"")</f>
        <v/>
      </c>
      <c r="H78" s="56" t="inlineStr">
        <is>
          <t>Blanket (page end)</t>
        </is>
      </c>
    </row>
    <row r="79">
      <c r="A79" s="63" t="inlineStr">
        <is>
          <t>DUP_GUARD_FILTER_TF</t>
        </is>
      </c>
      <c r="B79" s="56" t="inlineStr">
        <is>
          <t>1h</t>
        </is>
      </c>
      <c r="C79" s="56" t="n"/>
      <c r="D79" s="56" t="inlineStr">
        <is>
          <t>GLOBAL_CHECK</t>
        </is>
      </c>
      <c r="E79" s="56">
        <f>IF(G79="",E78,IF(G79&gt;0,E78+G79,E78))</f>
        <v/>
      </c>
      <c r="G79" s="56">
        <f>IFERROR(VLOOKUP($A79&amp;"="&amp;$B79,Results_Deltas!$A$2:$P$15000,5,FALSE),"")</f>
        <v/>
      </c>
      <c r="H79" s="56" t="inlineStr">
        <is>
          <t>Blanket (page end)</t>
        </is>
      </c>
    </row>
    <row r="80">
      <c r="A80" s="63" t="inlineStr">
        <is>
          <t>DUP_GUARD_FILTER_TF</t>
        </is>
      </c>
      <c r="B80" s="56" t="inlineStr">
        <is>
          <t>15m</t>
        </is>
      </c>
      <c r="C80" s="56" t="n"/>
      <c r="D80" s="56" t="inlineStr">
        <is>
          <t>GLOBAL_CHECK</t>
        </is>
      </c>
      <c r="E80" s="56">
        <f>IF(G80="",E79,IF(G80&gt;0,E79+G80,E79))</f>
        <v/>
      </c>
      <c r="G80" s="56">
        <f>IFERROR(VLOOKUP($A80&amp;"="&amp;$B80,Results_Deltas!$A$2:$P$15000,5,FALSE),"")</f>
        <v/>
      </c>
      <c r="H80" s="56" t="inlineStr">
        <is>
          <t>Blanket (page end)</t>
        </is>
      </c>
    </row>
    <row r="81">
      <c r="A81" s="63" t="inlineStr">
        <is>
          <t>EMA_9_21_FILTER_MIN_TFS</t>
        </is>
      </c>
      <c r="B81" s="56" t="inlineStr">
        <is>
          <t>0</t>
        </is>
      </c>
      <c r="C81" s="56" t="n"/>
      <c r="D81" s="56" t="inlineStr">
        <is>
          <t>GLOBAL_CHECK</t>
        </is>
      </c>
      <c r="E81" s="56">
        <f>IF(G81="",E80,IF(G81&gt;0,E80+G81,E80))</f>
        <v/>
      </c>
      <c r="G81" s="56">
        <f>IFERROR(VLOOKUP($A81&amp;"="&amp;$B81,Results_Deltas!$A$2:$P$15000,5,FALSE),"")</f>
        <v/>
      </c>
      <c r="H81" s="56" t="inlineStr">
        <is>
          <t>Blanket (page end)</t>
        </is>
      </c>
    </row>
    <row r="82">
      <c r="A82" s="63" t="inlineStr">
        <is>
          <t>EMA_9_21_FILTER_MIN_TFS</t>
        </is>
      </c>
      <c r="B82" s="56" t="inlineStr">
        <is>
          <t>2</t>
        </is>
      </c>
      <c r="C82" s="56" t="n"/>
      <c r="D82" s="56" t="inlineStr">
        <is>
          <t>GLOBAL_CHECK</t>
        </is>
      </c>
      <c r="E82" s="56">
        <f>IF(G82="",E81,IF(G82&gt;0,E81+G82,E81))</f>
        <v/>
      </c>
      <c r="G82" s="56">
        <f>IFERROR(VLOOKUP($A82&amp;"="&amp;$B82,Results_Deltas!$A$2:$P$15000,5,FALSE),"")</f>
        <v/>
      </c>
      <c r="H82" s="56" t="inlineStr">
        <is>
          <t>Blanket (page end)</t>
        </is>
      </c>
    </row>
    <row r="83">
      <c r="A83" s="63" t="inlineStr">
        <is>
          <t>EMA_9_21_FILTER_MIN_TFS</t>
        </is>
      </c>
      <c r="B83" s="56" t="inlineStr">
        <is>
          <t>1</t>
        </is>
      </c>
      <c r="C83" s="56" t="n"/>
      <c r="D83" s="56" t="inlineStr">
        <is>
          <t>GLOBAL_CHECK</t>
        </is>
      </c>
      <c r="E83" s="56">
        <f>IF(G83="",E82,IF(G83&gt;0,E82+G83,E82))</f>
        <v/>
      </c>
      <c r="G83" s="56">
        <f>IFERROR(VLOOKUP($A83&amp;"="&amp;$B83,Results_Deltas!$A$2:$P$15000,5,FALSE),"")</f>
        <v/>
      </c>
      <c r="H83" s="56" t="inlineStr">
        <is>
          <t>Blanket (page end)</t>
        </is>
      </c>
    </row>
    <row r="84">
      <c r="A84" s="63" t="inlineStr">
        <is>
          <t>EMA_BLANKET_FILTER_ENABLED</t>
        </is>
      </c>
      <c r="B84" s="56" t="inlineStr">
        <is>
          <t>False</t>
        </is>
      </c>
      <c r="C84" s="56" t="n"/>
      <c r="D84" s="56" t="inlineStr">
        <is>
          <t>GLOBAL_CHECK</t>
        </is>
      </c>
      <c r="E84" s="56">
        <f>IF(G84="",E83,IF(G84&gt;0,E83+G84,E83))</f>
        <v/>
      </c>
      <c r="G84" s="56">
        <f>IFERROR(VLOOKUP($A84&amp;"="&amp;$B84,Results_Deltas!$A$2:$P$15000,5,FALSE),"")</f>
        <v/>
      </c>
      <c r="H84" s="56" t="inlineStr">
        <is>
          <t>Blanket (page end)</t>
        </is>
      </c>
    </row>
    <row r="85">
      <c r="A85" s="63" t="inlineStr">
        <is>
          <t>EMA_BLANKET_FILTER_ENABLED</t>
        </is>
      </c>
      <c r="B85" s="56" t="inlineStr">
        <is>
          <t>True</t>
        </is>
      </c>
      <c r="C85" s="56" t="n"/>
      <c r="D85" s="56" t="inlineStr">
        <is>
          <t>GLOBAL_CHECK</t>
        </is>
      </c>
      <c r="E85" s="56">
        <f>IF(G85="",E84,IF(G85&gt;0,E84+G85,E84))</f>
        <v/>
      </c>
      <c r="G85" s="56">
        <f>IFERROR(VLOOKUP($A85&amp;"="&amp;$B85,Results_Deltas!$A$2:$P$15000,5,FALSE),"")</f>
        <v/>
      </c>
      <c r="H85" s="56" t="inlineStr">
        <is>
          <t>Blanket (page end)</t>
        </is>
      </c>
    </row>
    <row r="86">
      <c r="A86" s="63" t="inlineStr">
        <is>
          <t>EMA_BLANKET_FILTER_MIN_TFS</t>
        </is>
      </c>
      <c r="B86" s="56" t="inlineStr">
        <is>
          <t>0</t>
        </is>
      </c>
      <c r="C86" s="56" t="n"/>
      <c r="D86" s="56" t="inlineStr">
        <is>
          <t>GLOBAL_CHECK</t>
        </is>
      </c>
      <c r="E86" s="56">
        <f>IF(G86="",E85,IF(G86&gt;0,E85+G86,E85))</f>
        <v/>
      </c>
      <c r="G86" s="56">
        <f>IFERROR(VLOOKUP($A86&amp;"="&amp;$B86,Results_Deltas!$A$2:$P$15000,5,FALSE),"")</f>
        <v/>
      </c>
      <c r="H86" s="56" t="inlineStr">
        <is>
          <t>Blanket (page end)</t>
        </is>
      </c>
    </row>
    <row r="87">
      <c r="A87" s="63" t="inlineStr">
        <is>
          <t>EMA_BLANKET_FILTER_MIN_TFS</t>
        </is>
      </c>
      <c r="B87" s="56" t="inlineStr">
        <is>
          <t>2</t>
        </is>
      </c>
      <c r="C87" s="56" t="n"/>
      <c r="D87" s="56" t="inlineStr">
        <is>
          <t>GLOBAL_CHECK</t>
        </is>
      </c>
      <c r="E87" s="56">
        <f>IF(G87="",E86,IF(G87&gt;0,E86+G87,E86))</f>
        <v/>
      </c>
      <c r="G87" s="56">
        <f>IFERROR(VLOOKUP($A87&amp;"="&amp;$B87,Results_Deltas!$A$2:$P$15000,5,FALSE),"")</f>
        <v/>
      </c>
      <c r="H87" s="56" t="inlineStr">
        <is>
          <t>Blanket (page end)</t>
        </is>
      </c>
    </row>
    <row r="88">
      <c r="A88" s="63" t="inlineStr">
        <is>
          <t>EMA_BLANKET_FILTER_MIN_TFS</t>
        </is>
      </c>
      <c r="B88" s="56" t="inlineStr">
        <is>
          <t>1</t>
        </is>
      </c>
      <c r="C88" s="56" t="n"/>
      <c r="D88" s="56" t="inlineStr">
        <is>
          <t>GLOBAL_CHECK</t>
        </is>
      </c>
      <c r="E88" s="56">
        <f>IF(G88="",E87,IF(G88&gt;0,E87+G88,E87))</f>
        <v/>
      </c>
      <c r="G88" s="56">
        <f>IFERROR(VLOOKUP($A88&amp;"="&amp;$B88,Results_Deltas!$A$2:$P$15000,5,FALSE),"")</f>
        <v/>
      </c>
      <c r="H88" s="56" t="inlineStr">
        <is>
          <t>Blanket (page end)</t>
        </is>
      </c>
    </row>
    <row r="89">
      <c r="A89" s="63" t="inlineStr">
        <is>
          <t>EXECUTE_NOW_SINGLE_GATE_ENFORCE</t>
        </is>
      </c>
      <c r="B89" s="56" t="inlineStr">
        <is>
          <t>0.0</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EXECUTE_NOW_SINGLE_GATE_ENFORCE</t>
        </is>
      </c>
      <c r="B90" s="56" t="inlineStr">
        <is>
          <t>0.0_ALT</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EZ_MANAGE_THROTTLER_RATE</t>
        </is>
      </c>
      <c r="B91" s="56" t="inlineStr">
        <is>
          <t>0.0</t>
        </is>
      </c>
      <c r="C91" s="56" t="n"/>
      <c r="D91" s="56" t="inlineStr">
        <is>
          <t>GLOBAL_CHECK, STOCKS_EXIT</t>
        </is>
      </c>
      <c r="E91" s="56">
        <f>IF(G91="",E90,IF(G91&gt;0,E90+G91,E90))</f>
        <v/>
      </c>
      <c r="G91" s="56">
        <f>IFERROR(VLOOKUP($A91&amp;"="&amp;$B91,Results_Deltas!$A$2:$P$15000,5,FALSE),"")</f>
        <v/>
      </c>
      <c r="H91" s="56" t="inlineStr">
        <is>
          <t>Blanket (page end)</t>
        </is>
      </c>
    </row>
    <row r="92">
      <c r="A92" s="63" t="inlineStr">
        <is>
          <t>EZ_MANAGE_THROTTLER_RATE</t>
        </is>
      </c>
      <c r="B92" s="56" t="inlineStr">
        <is>
          <t>0.0_ALT</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FG_FEAR_THRESHOLD</t>
        </is>
      </c>
      <c r="B93" s="56" t="inlineStr">
        <is>
          <t>25</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FG_FEAR_THRESHOLD</t>
        </is>
      </c>
      <c r="B94" s="56" t="inlineStr">
        <is>
          <t>31.25</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FG_FEAR_THRESHOLD</t>
        </is>
      </c>
      <c r="B95" s="56" t="inlineStr">
        <is>
          <t>18.75</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FG_FEAR_THRESHOLD</t>
        </is>
      </c>
      <c r="B96" s="56" t="inlineStr">
        <is>
          <t>12.5</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FG_GREED_THRESHOLD</t>
        </is>
      </c>
      <c r="B97" s="56" t="inlineStr">
        <is>
          <t>75</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FG_GREED_THRESHOLD</t>
        </is>
      </c>
      <c r="B98" s="56" t="inlineStr">
        <is>
          <t>93.75</t>
        </is>
      </c>
      <c r="C98" s="56" t="n"/>
      <c r="D98" s="56" t="inlineStr">
        <is>
          <t>GLOBAL_CHECK, STOCKS_EXIT</t>
        </is>
      </c>
      <c r="E98" s="56">
        <f>IF(G98="",E97,IF(G98&gt;0,E97+G98,E97))</f>
        <v/>
      </c>
      <c r="G98" s="56">
        <f>IFERROR(VLOOKUP($A98&amp;"="&amp;$B98,Results_Deltas!$A$2:$P$15000,5,FALSE),"")</f>
        <v/>
      </c>
      <c r="H98" s="56" t="inlineStr">
        <is>
          <t>Blanket (page end)</t>
        </is>
      </c>
    </row>
    <row r="99">
      <c r="A99" s="63" t="inlineStr">
        <is>
          <t>FG_GREED_THRESHOLD</t>
        </is>
      </c>
      <c r="B99" s="56" t="inlineStr">
        <is>
          <t>56.25</t>
        </is>
      </c>
      <c r="C99" s="56" t="n"/>
      <c r="D99" s="56" t="inlineStr">
        <is>
          <t>GLOBAL_CHECK, STOCKS_EXIT</t>
        </is>
      </c>
      <c r="E99" s="56">
        <f>IF(G99="",E98,IF(G99&gt;0,E98+G99,E98))</f>
        <v/>
      </c>
      <c r="G99" s="56">
        <f>IFERROR(VLOOKUP($A99&amp;"="&amp;$B99,Results_Deltas!$A$2:$P$15000,5,FALSE),"")</f>
        <v/>
      </c>
      <c r="H99" s="56" t="inlineStr">
        <is>
          <t>Blanket (page end)</t>
        </is>
      </c>
    </row>
    <row r="100">
      <c r="A100" s="63" t="inlineStr">
        <is>
          <t>FG_GREED_THRESHOLD</t>
        </is>
      </c>
      <c r="B100" s="56" t="inlineStr">
        <is>
          <t>37.5</t>
        </is>
      </c>
      <c r="C100" s="56" t="n"/>
      <c r="D100" s="56" t="inlineStr">
        <is>
          <t>GLOBAL_CHECK, STOCKS_EXIT</t>
        </is>
      </c>
      <c r="E100" s="56">
        <f>IF(G100="",E99,IF(G100&gt;0,E99+G100,E99))</f>
        <v/>
      </c>
      <c r="G100" s="56">
        <f>IFERROR(VLOOKUP($A100&amp;"="&amp;$B100,Results_Deltas!$A$2:$P$15000,5,FALSE),"")</f>
        <v/>
      </c>
      <c r="H100" s="56" t="inlineStr">
        <is>
          <t>Blanket (page end)</t>
        </is>
      </c>
    </row>
    <row r="101">
      <c r="A101" s="63" t="inlineStr">
        <is>
          <t>FUNDING_GATE_FILTER_TF</t>
        </is>
      </c>
      <c r="B101" s="56" t="inlineStr">
        <is>
          <t>OFF</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FUNDING_GATE_FILTER_TF</t>
        </is>
      </c>
      <c r="B102" s="56" t="inlineStr">
        <is>
          <t>D</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FUNDING_GATE_FILTER_TF</t>
        </is>
      </c>
      <c r="B103" s="56" t="inlineStr">
        <is>
          <t>4h</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FUNDING_GATE_FILTER_TF</t>
        </is>
      </c>
      <c r="B104" s="56" t="inlineStr">
        <is>
          <t>1h</t>
        </is>
      </c>
      <c r="C104" s="56" t="n"/>
      <c r="D104" s="56" t="inlineStr">
        <is>
          <t>GLOBAL_CHECK</t>
        </is>
      </c>
      <c r="E104" s="56">
        <f>IF(G104="",E103,IF(G104&gt;0,E103+G104,E103))</f>
        <v/>
      </c>
      <c r="G104" s="56">
        <f>IFERROR(VLOOKUP($A104&amp;"="&amp;$B104,Results_Deltas!$A$2:$P$15000,5,FALSE),"")</f>
        <v/>
      </c>
      <c r="H104" s="56" t="inlineStr">
        <is>
          <t>Blanket (page end)</t>
        </is>
      </c>
    </row>
    <row r="105">
      <c r="A105" s="63" t="inlineStr">
        <is>
          <t>FUNDING_GATE_FILTER_TF</t>
        </is>
      </c>
      <c r="B105" s="56" t="inlineStr">
        <is>
          <t>15m</t>
        </is>
      </c>
      <c r="C105" s="56" t="n"/>
      <c r="D105" s="56" t="inlineStr">
        <is>
          <t>GLOBAL_CHECK</t>
        </is>
      </c>
      <c r="E105" s="56">
        <f>IF(G105="",E104,IF(G105&gt;0,E104+G105,E104))</f>
        <v/>
      </c>
      <c r="G105" s="56">
        <f>IFERROR(VLOOKUP($A105&amp;"="&amp;$B105,Results_Deltas!$A$2:$P$15000,5,FALSE),"")</f>
        <v/>
      </c>
      <c r="H105" s="56" t="inlineStr">
        <is>
          <t>Blanket (page end)</t>
        </is>
      </c>
    </row>
    <row r="106">
      <c r="A106" s="63" t="inlineStr">
        <is>
          <t>FUNDING_GATE_LONG_MAX</t>
        </is>
      </c>
      <c r="B106" s="56" t="inlineStr">
        <is>
          <t>0.0</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FUNDING_GATE_LONG_MAX</t>
        </is>
      </c>
      <c r="B107" s="56" t="inlineStr">
        <is>
          <t>0.0_ALT</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FUNDING_GATE_MTF_REQUIRED</t>
        </is>
      </c>
      <c r="B108" s="56" t="inlineStr">
        <is>
          <t>0.0</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FUNDING_GATE_MTF_REQUIRED</t>
        </is>
      </c>
      <c r="B109" s="56" t="inlineStr">
        <is>
          <t>0.0_ALT</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FUNDING_GATE_SHORT_MIN</t>
        </is>
      </c>
      <c r="B110" s="56" t="inlineStr">
        <is>
          <t>0.0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FUNDING_GATE_SHORT_MIN</t>
        </is>
      </c>
      <c r="B111" s="56" t="inlineStr">
        <is>
          <t>0.0_ALT</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GOLDEN_RULE_BASE_USD</t>
        </is>
      </c>
      <c r="B112" s="56" t="inlineStr">
        <is>
          <t>0.0</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GOLDEN_RULE_BASE_USD</t>
        </is>
      </c>
      <c r="B113" s="56" t="inlineStr">
        <is>
          <t>0.0_ALT</t>
        </is>
      </c>
      <c r="C113" s="56" t="n"/>
      <c r="D113" s="56" t="inlineStr">
        <is>
          <t>GLOBAL_CHECK, STOCKS_EXIT</t>
        </is>
      </c>
      <c r="E113" s="56">
        <f>IF(G113="",E112,IF(G113&gt;0,E112+G113,E112))</f>
        <v/>
      </c>
      <c r="G113" s="56">
        <f>IFERROR(VLOOKUP($A113&amp;"="&amp;$B113,Results_Deltas!$A$2:$P$15000,5,FALSE),"")</f>
        <v/>
      </c>
      <c r="H113" s="56" t="inlineStr">
        <is>
          <t>Blanket (page end)</t>
        </is>
      </c>
    </row>
    <row r="114">
      <c r="A114" s="63" t="inlineStr">
        <is>
          <t>GR_FILTER_ALL_ENTRIES</t>
        </is>
      </c>
      <c r="B114" s="56" t="inlineStr">
        <is>
          <t>0.0</t>
        </is>
      </c>
      <c r="C114" s="56" t="n"/>
      <c r="D114" s="56" t="inlineStr">
        <is>
          <t>GLOBAL_CHECK, STOCKS_EXIT</t>
        </is>
      </c>
      <c r="E114" s="56">
        <f>IF(G114="",E113,IF(G114&gt;0,E113+G114,E113))</f>
        <v/>
      </c>
      <c r="G114" s="56">
        <f>IFERROR(VLOOKUP($A114&amp;"="&amp;$B114,Results_Deltas!$A$2:$P$15000,5,FALSE),"")</f>
        <v/>
      </c>
      <c r="H114" s="56" t="inlineStr">
        <is>
          <t>Blanket (page end)</t>
        </is>
      </c>
    </row>
    <row r="115">
      <c r="A115" s="63" t="inlineStr">
        <is>
          <t>GR_FILTER_ALL_ENTRIES</t>
        </is>
      </c>
      <c r="B115" s="56" t="inlineStr">
        <is>
          <t>0.0_ALT</t>
        </is>
      </c>
      <c r="C115" s="56" t="n"/>
      <c r="D115" s="56" t="inlineStr">
        <is>
          <t>GLOBAL_CHECK, STOCKS_EXIT</t>
        </is>
      </c>
      <c r="E115" s="56">
        <f>IF(G115="",E114,IF(G115&gt;0,E114+G115,E114))</f>
        <v/>
      </c>
      <c r="G115" s="56">
        <f>IFERROR(VLOOKUP($A115&amp;"="&amp;$B115,Results_Deltas!$A$2:$P$15000,5,FALSE),"")</f>
        <v/>
      </c>
      <c r="H115" s="56" t="inlineStr">
        <is>
          <t>Blanket (page end)</t>
        </is>
      </c>
    </row>
    <row r="116">
      <c r="A116" s="63" t="inlineStr">
        <is>
          <t>GR_FILTER_VEC_ENABLED</t>
        </is>
      </c>
      <c r="B116" s="56" t="inlineStr">
        <is>
          <t>False</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GR_FILTER_VEC_ENABLED</t>
        </is>
      </c>
      <c r="B117" s="56" t="inlineStr">
        <is>
          <t>True</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GR_FILTER_VEC_MIN_TFS</t>
        </is>
      </c>
      <c r="B118" s="56" t="inlineStr">
        <is>
          <t>0</t>
        </is>
      </c>
      <c r="C118" s="56" t="n"/>
      <c r="D118" s="56" t="inlineStr">
        <is>
          <t>GLOBAL_CHECK</t>
        </is>
      </c>
      <c r="E118" s="56">
        <f>IF(G118="",E117,IF(G118&gt;0,E117+G118,E117))</f>
        <v/>
      </c>
      <c r="G118" s="56">
        <f>IFERROR(VLOOKUP($A118&amp;"="&amp;$B118,Results_Deltas!$A$2:$P$15000,5,FALSE),"")</f>
        <v/>
      </c>
      <c r="H118" s="56" t="inlineStr">
        <is>
          <t>Blanket (page end)</t>
        </is>
      </c>
    </row>
    <row r="119">
      <c r="A119" s="63" t="inlineStr">
        <is>
          <t>GR_FILTER_VEC_MIN_TFS</t>
        </is>
      </c>
      <c r="B119" s="56" t="inlineStr">
        <is>
          <t>2</t>
        </is>
      </c>
      <c r="C119" s="56" t="n"/>
      <c r="D119" s="56" t="inlineStr">
        <is>
          <t>GLOBAL_CHECK</t>
        </is>
      </c>
      <c r="E119" s="56">
        <f>IF(G119="",E118,IF(G119&gt;0,E118+G119,E118))</f>
        <v/>
      </c>
      <c r="G119" s="56">
        <f>IFERROR(VLOOKUP($A119&amp;"="&amp;$B119,Results_Deltas!$A$2:$P$15000,5,FALSE),"")</f>
        <v/>
      </c>
      <c r="H119" s="56" t="inlineStr">
        <is>
          <t>Blanket (page end)</t>
        </is>
      </c>
    </row>
    <row r="120">
      <c r="A120" s="63" t="inlineStr">
        <is>
          <t>GR_FILTER_VEC_MIN_TFS</t>
        </is>
      </c>
      <c r="B120" s="56" t="inlineStr">
        <is>
          <t>1</t>
        </is>
      </c>
      <c r="C120" s="56" t="n"/>
      <c r="D120" s="56" t="inlineStr">
        <is>
          <t>GLOBAL_CHECK</t>
        </is>
      </c>
      <c r="E120" s="56">
        <f>IF(G120="",E119,IF(G120&gt;0,E119+G120,E119))</f>
        <v/>
      </c>
      <c r="G120" s="56">
        <f>IFERROR(VLOOKUP($A120&amp;"="&amp;$B120,Results_Deltas!$A$2:$P$15000,5,FALSE),"")</f>
        <v/>
      </c>
      <c r="H120" s="56" t="inlineStr">
        <is>
          <t>Blanket (page end)</t>
        </is>
      </c>
    </row>
    <row r="121">
      <c r="A121" s="63" t="inlineStr">
        <is>
          <t>HA_WICK_QUALITY_ENABLED</t>
        </is>
      </c>
      <c r="B121" s="56" t="inlineStr">
        <is>
          <t>False</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HA_WICK_QUALITY_ENABLED</t>
        </is>
      </c>
      <c r="B122" s="56" t="inlineStr">
        <is>
          <t>True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HA_WICK_QUALITY_SCORE</t>
        </is>
      </c>
      <c r="B123" s="56" t="inlineStr">
        <is>
          <t>15</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HA_WICK_QUALITY_SCORE</t>
        </is>
      </c>
      <c r="B124" s="56" t="inlineStr">
        <is>
          <t>15_ALT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HA_WICK_QUALITY_TF</t>
        </is>
      </c>
      <c r="B125" s="56" t="inlineStr">
        <is>
          <t>OFF</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HA_WICK_QUALITY_TF</t>
        </is>
      </c>
      <c r="B126" s="56" t="inlineStr">
        <is>
          <t>D</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HA_WICK_QUALITY_TF</t>
        </is>
      </c>
      <c r="B127" s="56" t="inlineStr">
        <is>
          <t>4h</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HA_WICK_QUALITY_TF</t>
        </is>
      </c>
      <c r="B128" s="56" t="inlineStr">
        <is>
          <t>1h</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HA_WICK_QUALITY_TF</t>
        </is>
      </c>
      <c r="B129" s="56" t="inlineStr">
        <is>
          <t>15m</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HLR_SMA_BAND_PCT</t>
        </is>
      </c>
      <c r="B130" s="56" t="inlineStr">
        <is>
          <t>0</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HLR_SMA_BAND_PCT</t>
        </is>
      </c>
      <c r="B131" s="56" t="inlineStr">
        <is>
          <t>2.0</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HLR_SMA_BAND_PCT</t>
        </is>
      </c>
      <c r="B132" s="56" t="inlineStr">
        <is>
          <t>1.0</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HLR_SMA_BAND_PCT</t>
        </is>
      </c>
      <c r="B133" s="56" t="inlineStr">
        <is>
          <t>0.5</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HLR_TOP_MIN_TFS</t>
        </is>
      </c>
      <c r="B134" s="56" t="inlineStr">
        <is>
          <t>0</t>
        </is>
      </c>
      <c r="C134" s="56" t="n"/>
      <c r="D134" s="56" t="inlineStr">
        <is>
          <t>GLOBAL_CHECK, REENTRY, STOCKS_EXIT</t>
        </is>
      </c>
      <c r="E134" s="56">
        <f>IF(G134="",E133,IF(G134&gt;0,E133+G134,E133))</f>
        <v/>
      </c>
      <c r="G134" s="56">
        <f>IFERROR(VLOOKUP($A134&amp;"="&amp;$B134,Results_Deltas!$A$2:$P$15000,5,FALSE),"")</f>
        <v/>
      </c>
      <c r="H134" s="56" t="inlineStr">
        <is>
          <t>Blanket (page end)</t>
        </is>
      </c>
    </row>
    <row r="135">
      <c r="A135" s="63" t="inlineStr">
        <is>
          <t>HLR_TOP_MIN_TFS</t>
        </is>
      </c>
      <c r="B135" s="56" t="inlineStr">
        <is>
          <t>2</t>
        </is>
      </c>
      <c r="C135" s="56" t="n"/>
      <c r="D135" s="56" t="inlineStr">
        <is>
          <t>GLOBAL_CHECK, REENTRY, STOCKS_EXIT</t>
        </is>
      </c>
      <c r="E135" s="56">
        <f>IF(G135="",E134,IF(G135&gt;0,E134+G135,E134))</f>
        <v/>
      </c>
      <c r="G135" s="56">
        <f>IFERROR(VLOOKUP($A135&amp;"="&amp;$B135,Results_Deltas!$A$2:$P$15000,5,FALSE),"")</f>
        <v/>
      </c>
      <c r="H135" s="56" t="inlineStr">
        <is>
          <t>Blanket (page end)</t>
        </is>
      </c>
    </row>
    <row r="136">
      <c r="A136" s="63" t="inlineStr">
        <is>
          <t>HLR_TOP_MIN_TFS</t>
        </is>
      </c>
      <c r="B136" s="56" t="inlineStr">
        <is>
          <t>1</t>
        </is>
      </c>
      <c r="C136" s="56" t="n"/>
      <c r="D136" s="56" t="inlineStr">
        <is>
          <t>GLOBAL_CHECK, REENTRY, STOCKS_EXIT</t>
        </is>
      </c>
      <c r="E136" s="56">
        <f>IF(G136="",E135,IF(G136&gt;0,E135+G136,E135))</f>
        <v/>
      </c>
      <c r="G136" s="56">
        <f>IFERROR(VLOOKUP($A136&amp;"="&amp;$B136,Results_Deltas!$A$2:$P$15000,5,FALSE),"")</f>
        <v/>
      </c>
      <c r="H136" s="56" t="inlineStr">
        <is>
          <t>Blanket (page end)</t>
        </is>
      </c>
    </row>
    <row r="137">
      <c r="A137" s="63" t="inlineStr">
        <is>
          <t>HTF4_CONF</t>
        </is>
      </c>
      <c r="B137" s="56" t="inlineStr">
        <is>
          <t>False</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HTF4_CONF</t>
        </is>
      </c>
      <c r="B138" s="56" t="inlineStr">
        <is>
          <t>False_ALT</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HTF_DIRECTION_GATE_ENABLED</t>
        </is>
      </c>
      <c r="B139" s="56" t="inlineStr">
        <is>
          <t>False</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HTF_DIRECTION_GATE_ENABLED</t>
        </is>
      </c>
      <c r="B140" s="56" t="inlineStr">
        <is>
          <t>True</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HTF_GATE_BYPASS_RZ</t>
        </is>
      </c>
      <c r="B141" s="56" t="inlineStr">
        <is>
          <t>0.0</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HTF_GATE_BYPASS_RZ</t>
        </is>
      </c>
      <c r="B142" s="56" t="inlineStr">
        <is>
          <t>0.0_ALT</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HTF_GATE_D_MANDATORY</t>
        </is>
      </c>
      <c r="B143" s="56" t="inlineStr">
        <is>
          <t>0.0</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HTF_GATE_D_MANDATORY</t>
        </is>
      </c>
      <c r="B144" s="56" t="inlineStr">
        <is>
          <t>0.0_ALT</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HTF_GATE_MIN_CONFIRMATIONS</t>
        </is>
      </c>
      <c r="B145" s="56" t="inlineStr">
        <is>
          <t>0.0</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HTF_GATE_MIN_CONFIRMATIONS</t>
        </is>
      </c>
      <c r="B146" s="56" t="inlineStr">
        <is>
          <t>0.0_ALT</t>
        </is>
      </c>
      <c r="C146" s="56" t="n"/>
      <c r="D146" s="56" t="inlineStr">
        <is>
          <t>ENTRY, GLOBAL_CHECK, STOCKS_EXIT</t>
        </is>
      </c>
      <c r="E146" s="56">
        <f>IF(G146="",E145,IF(G146&gt;0,E145+G146,E145))</f>
        <v/>
      </c>
      <c r="G146" s="56">
        <f>IFERROR(VLOOKUP($A146&amp;"="&amp;$B146,Results_Deltas!$A$2:$P$15000,5,FALSE),"")</f>
        <v/>
      </c>
      <c r="H146" s="56" t="inlineStr">
        <is>
          <t>Blanket (page end)</t>
        </is>
      </c>
    </row>
    <row r="147">
      <c r="A147" s="63" t="inlineStr">
        <is>
          <t>HTF_TREND_VETO_BYPASS_ENABLED</t>
        </is>
      </c>
      <c r="B147" s="56" t="inlineStr">
        <is>
          <t>False</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HTF_TREND_VETO_BYPASS_ENABLED</t>
        </is>
      </c>
      <c r="B148" s="56" t="inlineStr">
        <is>
          <t>True</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HTF_TREND_VETO_BYPASS_REASONS</t>
        </is>
      </c>
      <c r="B149" s="56" t="inlineStr">
        <is>
          <t>0.0</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HTF_TREND_VETO_BYPASS_REASONS</t>
        </is>
      </c>
      <c r="B150" s="56" t="inlineStr">
        <is>
          <t>0.0_ALT</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LEADERBOARD_FILTER</t>
        </is>
      </c>
      <c r="B151" s="56" t="inlineStr">
        <is>
          <t>False</t>
        </is>
      </c>
      <c r="C151" s="56" t="n"/>
      <c r="D151" s="56" t="inlineStr">
        <is>
          <t>AUGMENT, ENTRY, EXIT, GLOBAL_CHECK, REDUCE, STOCKS_EXIT</t>
        </is>
      </c>
      <c r="E151" s="56">
        <f>IF(G151="",E150,IF(G151&gt;0,E150+G151,E150))</f>
        <v/>
      </c>
      <c r="G151" s="56">
        <f>IFERROR(VLOOKUP($A151&amp;"="&amp;$B151,Results_Deltas!$A$2:$P$15000,5,FALSE),"")</f>
        <v/>
      </c>
      <c r="H151" s="56" t="inlineStr">
        <is>
          <t>Blanket (page end)</t>
        </is>
      </c>
    </row>
    <row r="152">
      <c r="A152" s="63" t="inlineStr">
        <is>
          <t>LEADERBOARD_FILTER</t>
        </is>
      </c>
      <c r="B152" s="56" t="inlineStr">
        <is>
          <t>False_ALT</t>
        </is>
      </c>
      <c r="C152" s="56" t="n"/>
      <c r="D152" s="56" t="inlineStr">
        <is>
          <t>AUGMENT, ENTRY, EXIT, GLOBAL_CHECK, REDUCE, STOCKS_EXIT</t>
        </is>
      </c>
      <c r="E152" s="56">
        <f>IF(G152="",E151,IF(G152&gt;0,E151+G152,E151))</f>
        <v/>
      </c>
      <c r="G152" s="56">
        <f>IFERROR(VLOOKUP($A152&amp;"="&amp;$B152,Results_Deltas!$A$2:$P$15000,5,FALSE),"")</f>
        <v/>
      </c>
      <c r="H152" s="56" t="inlineStr">
        <is>
          <t>Blanket (page end)</t>
        </is>
      </c>
    </row>
    <row r="153">
      <c r="A153" s="63" t="inlineStr">
        <is>
          <t>LH_HL_FILTER_ENABLED</t>
        </is>
      </c>
      <c r="B153" s="56" t="inlineStr">
        <is>
          <t>False</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LH_HL_FILTER_ENABLED</t>
        </is>
      </c>
      <c r="B154" s="56" t="inlineStr">
        <is>
          <t>True</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LH_HL_FILTER_MODE</t>
        </is>
      </c>
      <c r="B155" s="56" t="inlineStr">
        <is>
          <t>STRICT_2BAR</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LH_HL_FILTER_MODE</t>
        </is>
      </c>
      <c r="B156" s="56" t="inlineStr">
        <is>
          <t>STRICT_2BAR_ALT</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LH_HL_FILTER_REQUIRE_BOTH</t>
        </is>
      </c>
      <c r="B157" s="56" t="inlineStr">
        <is>
          <t>False</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LH_HL_FILTER_REQUIRE_BOTH</t>
        </is>
      </c>
      <c r="B158" s="56" t="inlineStr">
        <is>
          <t>False_ALT</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LIVE_VEC_EMERGENCY_BRAKE_ENABLED</t>
        </is>
      </c>
      <c r="B159" s="56" t="inlineStr">
        <is>
          <t>False</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LIVE_VEC_EMERGENCY_BRAKE_ENABLED</t>
        </is>
      </c>
      <c r="B160" s="56" t="inlineStr">
        <is>
          <t>True</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LR_BAND_LADDER_STOCH_EXTREME</t>
        </is>
      </c>
      <c r="B161" s="56" t="inlineStr">
        <is>
          <t>30.0</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LR_BAND_LADDER_STOCH_EXTREME</t>
        </is>
      </c>
      <c r="B162" s="56" t="inlineStr">
        <is>
          <t>30.0_ALT</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LR_BAND_LADDER_TF_BOTTOM</t>
        </is>
      </c>
      <c r="B163" s="56" t="inlineStr">
        <is>
          <t>0</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LR_BAND_LADDER_TF_BOTTOM</t>
        </is>
      </c>
      <c r="B164" s="56" t="inlineStr">
        <is>
          <t>1</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LR_BAND_LADDER_TF_TOP</t>
        </is>
      </c>
      <c r="B165" s="56" t="inlineStr">
        <is>
          <t>0</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LR_BAND_LADDER_TF_TOP</t>
        </is>
      </c>
      <c r="B166" s="56" t="inlineStr">
        <is>
          <t>1</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MANDATORY_REENTRY_WT_FILTER_MIN_TFS</t>
        </is>
      </c>
      <c r="B167" s="56" t="inlineStr">
        <is>
          <t>1</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MANDATORY_REENTRY_WT_FILTER_MIN_TFS</t>
        </is>
      </c>
      <c r="B168" s="56" t="inlineStr">
        <is>
          <t>3</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MANDATORY_REENTRY_WT_FILTER_MIN_TFS</t>
        </is>
      </c>
      <c r="B169" s="56" t="inlineStr">
        <is>
          <t>2</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MANDATORY_REENTRY_WT_FILTER_MIN_VELOCITY</t>
        </is>
      </c>
      <c r="B170" s="56" t="inlineStr">
        <is>
          <t>0.0</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MANDATORY_REENTRY_WT_FILTER_MIN_VELOCITY</t>
        </is>
      </c>
      <c r="B171" s="56" t="inlineStr">
        <is>
          <t>0.0_ALT</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MANDATORY_REENTRY_WT_FILTER_REQUIRE_FLIP</t>
        </is>
      </c>
      <c r="B172" s="56" t="inlineStr">
        <is>
          <t>False</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MANDATORY_REENTRY_WT_FILTER_REQUIRE_FLIP</t>
        </is>
      </c>
      <c r="B173" s="56" t="inlineStr">
        <is>
          <t>False_ALT</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MANDATORY_REENTRY_WT_FILTER_VELOCITY_RATIO</t>
        </is>
      </c>
      <c r="B174" s="56" t="inlineStr">
        <is>
          <t>0.90</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MANDATORY_REENTRY_WT_FILTER_VELOCITY_RATIO</t>
        </is>
      </c>
      <c r="B175" s="56" t="inlineStr">
        <is>
          <t>0.90_ALT</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MARKET_QUALITY_SCORE_ENABLED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MARKET_QUALITY_SCORE_ENABLED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MI_TF_AGREE_MIN</t>
        </is>
      </c>
      <c r="B178" s="56" t="inlineStr">
        <is>
          <t>0.0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MI_TF_AGREE_MIN</t>
        </is>
      </c>
      <c r="B179" s="56" t="inlineStr">
        <is>
          <t>0.0_ALT</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MOVER_THRESHOLD</t>
        </is>
      </c>
      <c r="B180" s="56" t="inlineStr">
        <is>
          <t>5</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MOVER_THRESHOLD</t>
        </is>
      </c>
      <c r="B181" s="56" t="inlineStr">
        <is>
          <t>6.25</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MOVER_THRESHOLD</t>
        </is>
      </c>
      <c r="B182" s="56" t="inlineStr">
        <is>
          <t>3.75</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MOVER_THRESHOLD</t>
        </is>
      </c>
      <c r="B183" s="56" t="inlineStr">
        <is>
          <t>2.5</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MTF_FILTER_STRONG_BUY_QUICK_BYPASS</t>
        </is>
      </c>
      <c r="B184" s="56" t="inlineStr">
        <is>
          <t>0.0</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MTF_FILTER_STRONG_BUY_QUICK_BYPASS</t>
        </is>
      </c>
      <c r="B185" s="56" t="inlineStr">
        <is>
          <t>0.0_ALT</t>
        </is>
      </c>
      <c r="C185" s="56" t="n"/>
      <c r="D185" s="56" t="inlineStr">
        <is>
          <t>GLOBAL_CHECK, STOCKS_EXIT</t>
        </is>
      </c>
      <c r="E185" s="56">
        <f>IF(G185="",E184,IF(G185&gt;0,E184+G185,E184))</f>
        <v/>
      </c>
      <c r="G185" s="56">
        <f>IFERROR(VLOOKUP($A185&amp;"="&amp;$B185,Results_Deltas!$A$2:$P$15000,5,FALSE),"")</f>
        <v/>
      </c>
      <c r="H185" s="56" t="inlineStr">
        <is>
          <t>Blanket (page end)</t>
        </is>
      </c>
    </row>
    <row r="186">
      <c r="A186" s="63" t="inlineStr">
        <is>
          <t>MTF_GR_MIN_IND</t>
        </is>
      </c>
      <c r="B186" s="56" t="inlineStr">
        <is>
          <t>5</t>
        </is>
      </c>
      <c r="C186" s="56" t="n"/>
      <c r="D186" s="56" t="inlineStr">
        <is>
          <t>GLOBAL_CHECK, STOCKS_EXIT</t>
        </is>
      </c>
      <c r="E186" s="56">
        <f>IF(G186="",E185,IF(G186&gt;0,E185+G186,E185))</f>
        <v/>
      </c>
      <c r="G186" s="56">
        <f>IFERROR(VLOOKUP($A186&amp;"="&amp;$B186,Results_Deltas!$A$2:$P$15000,5,FALSE),"")</f>
        <v/>
      </c>
      <c r="H186" s="56" t="inlineStr">
        <is>
          <t>Blanket (page end)</t>
        </is>
      </c>
    </row>
    <row r="187">
      <c r="A187" s="63" t="inlineStr">
        <is>
          <t>MTF_GR_MIN_IND</t>
        </is>
      </c>
      <c r="B187" s="56" t="inlineStr">
        <is>
          <t>5_ALT</t>
        </is>
      </c>
      <c r="C187" s="56" t="n"/>
      <c r="D187" s="56" t="inlineStr">
        <is>
          <t>GLOBAL_CHECK, STOCKS_EXIT</t>
        </is>
      </c>
      <c r="E187" s="56">
        <f>IF(G187="",E186,IF(G187&gt;0,E186+G187,E186))</f>
        <v/>
      </c>
      <c r="G187" s="56">
        <f>IFERROR(VLOOKUP($A187&amp;"="&amp;$B187,Results_Deltas!$A$2:$P$15000,5,FALSE),"")</f>
        <v/>
      </c>
      <c r="H187" s="56" t="inlineStr">
        <is>
          <t>Blanket (page end)</t>
        </is>
      </c>
    </row>
    <row r="188">
      <c r="A188" s="63" t="inlineStr">
        <is>
          <t>MTS_BOTTOM_BONUS_THRESHOLD</t>
        </is>
      </c>
      <c r="B188" s="56" t="inlineStr">
        <is>
          <t>25</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MTS_BOTTOM_BONUS_THRESHOLD</t>
        </is>
      </c>
      <c r="B189" s="56" t="inlineStr">
        <is>
          <t>31.25</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MTS_BOTTOM_BONUS_THRESHOLD</t>
        </is>
      </c>
      <c r="B190" s="56" t="inlineStr">
        <is>
          <t>18.75</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MTS_BOTTOM_BONUS_THRESHOLD</t>
        </is>
      </c>
      <c r="B191" s="56" t="inlineStr">
        <is>
          <t>12.5</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MTS_BOTTOM_STRONG_THRESHOLD</t>
        </is>
      </c>
      <c r="B192" s="56" t="inlineStr">
        <is>
          <t>40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MTS_BOTTOM_STRONG_THRESHOLD</t>
        </is>
      </c>
      <c r="B193" s="56" t="inlineStr">
        <is>
          <t>50</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MTS_BOTTOM_STRONG_THRESHOLD</t>
        </is>
      </c>
      <c r="B194" s="56" t="inlineStr">
        <is>
          <t>30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MTS_BOTTOM_STRONG_THRESHOLD</t>
        </is>
      </c>
      <c r="B195" s="56" t="inlineStr">
        <is>
          <t>20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MTS_GATE_ENABLED</t>
        </is>
      </c>
      <c r="B196" s="56" t="inlineStr">
        <is>
          <t>False</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MTS_GATE_ENABLED</t>
        </is>
      </c>
      <c r="B197" s="56" t="inlineStr">
        <is>
          <t>True</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NEWBORN_LOSS_KILL_GAIN_THRESHOLD_PCT</t>
        </is>
      </c>
      <c r="B198" s="56" t="inlineStr">
        <is>
          <t>0</t>
        </is>
      </c>
      <c r="C198" s="56" t="n"/>
      <c r="D198" s="56" t="inlineStr">
        <is>
          <t>AUGMENT, EXIT, GLOBAL_CHECK, REDUCE, STOCKS_EXIT</t>
        </is>
      </c>
      <c r="E198" s="56">
        <f>IF(G198="",E197,IF(G198&gt;0,E197+G198,E197))</f>
        <v/>
      </c>
      <c r="G198" s="56">
        <f>IFERROR(VLOOKUP($A198&amp;"="&amp;$B198,Results_Deltas!$A$2:$P$15000,5,FALSE),"")</f>
        <v/>
      </c>
      <c r="H198" s="56" t="inlineStr">
        <is>
          <t>Blanket (page end)</t>
        </is>
      </c>
    </row>
    <row r="199">
      <c r="A199" s="63" t="inlineStr">
        <is>
          <t>NEWBORN_LOSS_KILL_GAIN_THRESHOLD_PCT</t>
        </is>
      </c>
      <c r="B199" s="56" t="inlineStr">
        <is>
          <t>2.0</t>
        </is>
      </c>
      <c r="C199" s="56" t="n"/>
      <c r="D199" s="56" t="inlineStr">
        <is>
          <t>AUGMENT, EXIT, GLOBAL_CHECK, REDUCE, STOCKS_EXIT</t>
        </is>
      </c>
      <c r="E199" s="56">
        <f>IF(G199="",E198,IF(G199&gt;0,E198+G199,E198))</f>
        <v/>
      </c>
      <c r="G199" s="56">
        <f>IFERROR(VLOOKUP($A199&amp;"="&amp;$B199,Results_Deltas!$A$2:$P$15000,5,FALSE),"")</f>
        <v/>
      </c>
      <c r="H199" s="56" t="inlineStr">
        <is>
          <t>Blanket (page end)</t>
        </is>
      </c>
    </row>
    <row r="200">
      <c r="A200" s="63" t="inlineStr">
        <is>
          <t>NEWBORN_LOSS_KILL_GAIN_THRESHOLD_PCT</t>
        </is>
      </c>
      <c r="B200" s="56" t="inlineStr">
        <is>
          <t>1.0</t>
        </is>
      </c>
      <c r="C200" s="56" t="n"/>
      <c r="D200" s="56" t="inlineStr">
        <is>
          <t>AUGMENT, EXIT, GLOBAL_CHECK, REDUCE, STOCKS_EXIT</t>
        </is>
      </c>
      <c r="E200" s="56">
        <f>IF(G200="",E199,IF(G200&gt;0,E199+G200,E199))</f>
        <v/>
      </c>
      <c r="G200" s="56">
        <f>IFERROR(VLOOKUP($A200&amp;"="&amp;$B200,Results_Deltas!$A$2:$P$15000,5,FALSE),"")</f>
        <v/>
      </c>
      <c r="H200" s="56" t="inlineStr">
        <is>
          <t>Blanket (page end)</t>
        </is>
      </c>
    </row>
    <row r="201">
      <c r="A201" s="63" t="inlineStr">
        <is>
          <t>NEWBORN_LOSS_KILL_GAIN_THRESHOLD_PCT</t>
        </is>
      </c>
      <c r="B201" s="56" t="inlineStr">
        <is>
          <t>0.5</t>
        </is>
      </c>
      <c r="C201" s="56" t="n"/>
      <c r="D201" s="56" t="inlineStr">
        <is>
          <t>AUGMENT, EXIT, GLOBAL_CHECK, REDUCE, STOCKS_EXIT</t>
        </is>
      </c>
      <c r="E201" s="56">
        <f>IF(G201="",E200,IF(G201&gt;0,E200+G201,E200))</f>
        <v/>
      </c>
      <c r="G201" s="56">
        <f>IFERROR(VLOOKUP($A201&amp;"="&amp;$B201,Results_Deltas!$A$2:$P$15000,5,FALSE),"")</f>
        <v/>
      </c>
      <c r="H201" s="56" t="inlineStr">
        <is>
          <t>Blanket (page end)</t>
        </is>
      </c>
    </row>
    <row r="202">
      <c r="A202" s="63" t="inlineStr">
        <is>
          <t>NEWBORN_LOSS_KILL_REQUIRE_VEL_AGAINST</t>
        </is>
      </c>
      <c r="B202" s="56" t="inlineStr">
        <is>
          <t>0.0</t>
        </is>
      </c>
      <c r="C202" s="56" t="n"/>
      <c r="D202" s="56" t="inlineStr">
        <is>
          <t>AUGMENT, EXIT, GLOBAL_CHECK, REDUCE, STOCKS_EXIT</t>
        </is>
      </c>
      <c r="E202" s="56">
        <f>IF(G202="",E201,IF(G202&gt;0,E201+G202,E201))</f>
        <v/>
      </c>
      <c r="G202" s="56">
        <f>IFERROR(VLOOKUP($A202&amp;"="&amp;$B202,Results_Deltas!$A$2:$P$15000,5,FALSE),"")</f>
        <v/>
      </c>
      <c r="H202" s="56" t="inlineStr">
        <is>
          <t>Blanket (page end)</t>
        </is>
      </c>
    </row>
    <row r="203">
      <c r="A203" s="63" t="inlineStr">
        <is>
          <t>NEWBORN_LOSS_KILL_REQUIRE_VEL_AGAINST</t>
        </is>
      </c>
      <c r="B203" s="56" t="inlineStr">
        <is>
          <t>0.0_ALT</t>
        </is>
      </c>
      <c r="C203" s="56" t="n"/>
      <c r="D203" s="56" t="inlineStr">
        <is>
          <t>AUGMENT, EXIT, GLOBAL_CHECK, REDUCE, STOCKS_EXIT</t>
        </is>
      </c>
      <c r="E203" s="56">
        <f>IF(G203="",E202,IF(G203&gt;0,E202+G203,E202))</f>
        <v/>
      </c>
      <c r="G203" s="56">
        <f>IFERROR(VLOOKUP($A203&amp;"="&amp;$B203,Results_Deltas!$A$2:$P$15000,5,FALSE),"")</f>
        <v/>
      </c>
      <c r="H203" s="56" t="inlineStr">
        <is>
          <t>Blanket (page end)</t>
        </is>
      </c>
    </row>
    <row r="204">
      <c r="A204" s="63" t="inlineStr">
        <is>
          <t>NEW_POSITION_MAX_LOSS_THRESHOLD</t>
        </is>
      </c>
      <c r="B204" s="56" t="inlineStr">
        <is>
          <t>0</t>
        </is>
      </c>
      <c r="C204" s="56" t="n"/>
      <c r="D204" s="56" t="inlineStr">
        <is>
          <t>AUGMENT, EXIT, GLOBAL_CHECK, REDUCE, STOCKS_EXIT</t>
        </is>
      </c>
      <c r="E204" s="56">
        <f>IF(G204="",E203,IF(G204&gt;0,E203+G204,E203))</f>
        <v/>
      </c>
      <c r="G204" s="56">
        <f>IFERROR(VLOOKUP($A204&amp;"="&amp;$B204,Results_Deltas!$A$2:$P$15000,5,FALSE),"")</f>
        <v/>
      </c>
      <c r="H204" s="56" t="inlineStr">
        <is>
          <t>Blanket (page end)</t>
        </is>
      </c>
    </row>
    <row r="205">
      <c r="A205" s="63" t="inlineStr">
        <is>
          <t>NEW_POSITION_MAX_LOSS_THRESHOLD</t>
        </is>
      </c>
      <c r="B205" s="56" t="inlineStr">
        <is>
          <t>2.0</t>
        </is>
      </c>
      <c r="C205" s="56" t="n"/>
      <c r="D205" s="56" t="inlineStr">
        <is>
          <t>AUGMENT, EXIT, GLOBAL_CHECK, REDUCE, STOCKS_EXIT</t>
        </is>
      </c>
      <c r="E205" s="56">
        <f>IF(G205="",E204,IF(G205&gt;0,E204+G205,E204))</f>
        <v/>
      </c>
      <c r="G205" s="56">
        <f>IFERROR(VLOOKUP($A205&amp;"="&amp;$B205,Results_Deltas!$A$2:$P$15000,5,FALSE),"")</f>
        <v/>
      </c>
      <c r="H205" s="56" t="inlineStr">
        <is>
          <t>Blanket (page end)</t>
        </is>
      </c>
    </row>
    <row r="206">
      <c r="A206" s="63" t="inlineStr">
        <is>
          <t>NEW_POSITION_MAX_LOSS_THRESHOLD</t>
        </is>
      </c>
      <c r="B206" s="56" t="inlineStr">
        <is>
          <t>1.0</t>
        </is>
      </c>
      <c r="C206" s="56" t="n"/>
      <c r="D206" s="56" t="inlineStr">
        <is>
          <t>AUGMENT, EXIT, GLOBAL_CHECK, REDUCE, STOCKS_EXIT</t>
        </is>
      </c>
      <c r="E206" s="56">
        <f>IF(G206="",E205,IF(G206&gt;0,E205+G206,E205))</f>
        <v/>
      </c>
      <c r="G206" s="56">
        <f>IFERROR(VLOOKUP($A206&amp;"="&amp;$B206,Results_Deltas!$A$2:$P$15000,5,FALSE),"")</f>
        <v/>
      </c>
      <c r="H206" s="56" t="inlineStr">
        <is>
          <t>Blanket (page end)</t>
        </is>
      </c>
    </row>
    <row r="207">
      <c r="A207" s="63" t="inlineStr">
        <is>
          <t>NEW_POSITION_MAX_LOSS_THRESHOLD</t>
        </is>
      </c>
      <c r="B207" s="56" t="inlineStr">
        <is>
          <t>0.5</t>
        </is>
      </c>
      <c r="C207" s="56" t="n"/>
      <c r="D207" s="56" t="inlineStr">
        <is>
          <t>AUGMENT, EXIT, GLOBAL_CHECK, REDUCE, STOCKS_EXIT</t>
        </is>
      </c>
      <c r="E207" s="56">
        <f>IF(G207="",E206,IF(G207&gt;0,E206+G207,E206))</f>
        <v/>
      </c>
      <c r="G207" s="56">
        <f>IFERROR(VLOOKUP($A207&amp;"="&amp;$B207,Results_Deltas!$A$2:$P$15000,5,FALSE),"")</f>
        <v/>
      </c>
      <c r="H207" s="56" t="inlineStr">
        <is>
          <t>Blanket (page end)</t>
        </is>
      </c>
    </row>
    <row r="208">
      <c r="A208" s="63" t="inlineStr">
        <is>
          <t>OI_CONFIRM_ENABLED</t>
        </is>
      </c>
      <c r="B208" s="56" t="inlineStr">
        <is>
          <t>False</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OI_CONFIRM_ENABLED</t>
        </is>
      </c>
      <c r="B209" s="56" t="inlineStr">
        <is>
          <t>True</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OI_CONFIRM_MIN_CHANGE_PCT</t>
        </is>
      </c>
      <c r="B210" s="56" t="inlineStr">
        <is>
          <t>0</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OI_CONFIRM_MIN_CHANGE_PCT</t>
        </is>
      </c>
      <c r="B211" s="56" t="inlineStr">
        <is>
          <t>2.0</t>
        </is>
      </c>
      <c r="C211" s="56" t="n"/>
      <c r="D211" s="56" t="inlineStr">
        <is>
          <t>ENTRY, GLOBAL_CHECK, STOCKS_EXIT</t>
        </is>
      </c>
      <c r="E211" s="56">
        <f>IF(G211="",E210,IF(G211&gt;0,E210+G211,E210))</f>
        <v/>
      </c>
      <c r="G211" s="56">
        <f>IFERROR(VLOOKUP($A211&amp;"="&amp;$B211,Results_Deltas!$A$2:$P$15000,5,FALSE),"")</f>
        <v/>
      </c>
      <c r="H211" s="56" t="inlineStr">
        <is>
          <t>Blanket (page end)</t>
        </is>
      </c>
    </row>
    <row r="212">
      <c r="A212" s="63" t="inlineStr">
        <is>
          <t>OI_CONFIRM_MIN_CHANGE_PCT</t>
        </is>
      </c>
      <c r="B212" s="56" t="inlineStr">
        <is>
          <t>1.0</t>
        </is>
      </c>
      <c r="C212" s="56" t="n"/>
      <c r="D212" s="56" t="inlineStr">
        <is>
          <t>ENTRY, GLOBAL_CHECK, STOCKS_EXIT</t>
        </is>
      </c>
      <c r="E212" s="56">
        <f>IF(G212="",E211,IF(G212&gt;0,E211+G212,E211))</f>
        <v/>
      </c>
      <c r="G212" s="56">
        <f>IFERROR(VLOOKUP($A212&amp;"="&amp;$B212,Results_Deltas!$A$2:$P$15000,5,FALSE),"")</f>
        <v/>
      </c>
      <c r="H212" s="56" t="inlineStr">
        <is>
          <t>Blanket (page end)</t>
        </is>
      </c>
    </row>
    <row r="213">
      <c r="A213" s="63" t="inlineStr">
        <is>
          <t>OI_CONFIRM_MIN_CHANGE_PCT</t>
        </is>
      </c>
      <c r="B213" s="56" t="inlineStr">
        <is>
          <t>0.5</t>
        </is>
      </c>
      <c r="C213" s="56" t="n"/>
      <c r="D213" s="56" t="inlineStr">
        <is>
          <t>ENTRY, GLOBAL_CHECK, STOCKS_EXIT</t>
        </is>
      </c>
      <c r="E213" s="56">
        <f>IF(G213="",E212,IF(G213&gt;0,E212+G213,E212))</f>
        <v/>
      </c>
      <c r="G213" s="56">
        <f>IFERROR(VLOOKUP($A213&amp;"="&amp;$B213,Results_Deltas!$A$2:$P$15000,5,FALSE),"")</f>
        <v/>
      </c>
      <c r="H213" s="56" t="inlineStr">
        <is>
          <t>Blanket (page end)</t>
        </is>
      </c>
    </row>
    <row r="214">
      <c r="A214" s="63" t="inlineStr">
        <is>
          <t>OI_CONFIRM_MIN_PRICE_PCT</t>
        </is>
      </c>
      <c r="B214" s="56" t="inlineStr">
        <is>
          <t>0</t>
        </is>
      </c>
      <c r="C214" s="56" t="n"/>
      <c r="D214" s="56" t="inlineStr">
        <is>
          <t>ENTRY, GLOBAL_CHECK, STOCKS_EXIT</t>
        </is>
      </c>
      <c r="E214" s="56">
        <f>IF(G214="",E213,IF(G214&gt;0,E213+G214,E213))</f>
        <v/>
      </c>
      <c r="G214" s="56">
        <f>IFERROR(VLOOKUP($A214&amp;"="&amp;$B214,Results_Deltas!$A$2:$P$15000,5,FALSE),"")</f>
        <v/>
      </c>
      <c r="H214" s="56" t="inlineStr">
        <is>
          <t>Blanket (page end)</t>
        </is>
      </c>
    </row>
    <row r="215">
      <c r="A215" s="63" t="inlineStr">
        <is>
          <t>OI_CONFIRM_MIN_PRICE_PCT</t>
        </is>
      </c>
      <c r="B215" s="56" t="inlineStr">
        <is>
          <t>2.0</t>
        </is>
      </c>
      <c r="C215" s="56" t="n"/>
      <c r="D215" s="56" t="inlineStr">
        <is>
          <t>ENTRY, GLOBAL_CHECK, STOCKS_EXIT</t>
        </is>
      </c>
      <c r="E215" s="56">
        <f>IF(G215="",E214,IF(G215&gt;0,E214+G215,E214))</f>
        <v/>
      </c>
      <c r="G215" s="56">
        <f>IFERROR(VLOOKUP($A215&amp;"="&amp;$B215,Results_Deltas!$A$2:$P$15000,5,FALSE),"")</f>
        <v/>
      </c>
      <c r="H215" s="56" t="inlineStr">
        <is>
          <t>Blanket (page end)</t>
        </is>
      </c>
    </row>
    <row r="216">
      <c r="A216" s="63" t="inlineStr">
        <is>
          <t>OI_CONFIRM_MIN_PRICE_PCT</t>
        </is>
      </c>
      <c r="B216" s="56" t="inlineStr">
        <is>
          <t>1.0</t>
        </is>
      </c>
      <c r="C216" s="56" t="n"/>
      <c r="D216" s="56" t="inlineStr">
        <is>
          <t>ENTRY, GLOBAL_CHECK, STOCKS_EXIT</t>
        </is>
      </c>
      <c r="E216" s="56">
        <f>IF(G216="",E215,IF(G216&gt;0,E215+G216,E215))</f>
        <v/>
      </c>
      <c r="G216" s="56">
        <f>IFERROR(VLOOKUP($A216&amp;"="&amp;$B216,Results_Deltas!$A$2:$P$15000,5,FALSE),"")</f>
        <v/>
      </c>
      <c r="H216" s="56" t="inlineStr">
        <is>
          <t>Blanket (page end)</t>
        </is>
      </c>
    </row>
    <row r="217">
      <c r="A217" s="63" t="inlineStr">
        <is>
          <t>OI_CONFIRM_MIN_PRICE_PCT</t>
        </is>
      </c>
      <c r="B217" s="56" t="inlineStr">
        <is>
          <t>0.5</t>
        </is>
      </c>
      <c r="C217" s="56" t="n"/>
      <c r="D217" s="56" t="inlineStr">
        <is>
          <t>ENTRY, GLOBAL_CHECK, STOCKS_EXIT</t>
        </is>
      </c>
      <c r="E217" s="56">
        <f>IF(G217="",E216,IF(G217&gt;0,E216+G217,E216))</f>
        <v/>
      </c>
      <c r="G217" s="56">
        <f>IFERROR(VLOOKUP($A217&amp;"="&amp;$B217,Results_Deltas!$A$2:$P$15000,5,FALSE),"")</f>
        <v/>
      </c>
      <c r="H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M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AUGMENT_MIN_GAIN_PCT</t>
        </is>
      </c>
      <c r="B3" s="11" t="inlineStr">
        <is>
          <t>0.25</t>
        </is>
      </c>
      <c r="E3">
        <f>MAX('REENTRY_ADAPTIVE'!E:E)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55" t="n"/>
      <c r="AM3" s="55" t="n"/>
      <c r="AN3" s="55" t="n"/>
      <c r="AO3" s="55" t="n"/>
      <c r="AP3" s="55"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ez_manage.py:30417 top()</t>
        </is>
      </c>
      <c r="IL3" s="9" t="inlineStr">
        <is>
          <t>v12_quick_engine.py:4874 x5</t>
        </is>
      </c>
    </row>
    <row r="4" ht="11" customHeight="1">
      <c r="A4" s="10" t="inlineStr">
        <is>
          <t>AUGMENT_MIN_GAIN_PCT</t>
        </is>
      </c>
      <c r="B4" s="11" t="inlineStr">
        <is>
          <t>0.375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55" t="n"/>
      <c r="AM4" s="55" t="n"/>
      <c r="AN4" s="55" t="n"/>
      <c r="AO4" s="55" t="n"/>
      <c r="AP4" s="55"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ez_manage.py:30417 top()</t>
        </is>
      </c>
      <c r="IL4" s="9" t="inlineStr">
        <is>
          <t>v12_quick_engine.py:4874 x5</t>
        </is>
      </c>
    </row>
    <row r="5" ht="11" customHeight="1">
      <c r="A5" s="6" t="inlineStr">
        <is>
          <t>AUGMENT_MIN_GAIN_PCT</t>
        </is>
      </c>
      <c r="B5" s="7" t="inlineStr">
        <is>
          <t>0.5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55" t="n"/>
      <c r="AM5" s="55" t="n"/>
      <c r="AN5" s="55" t="n"/>
      <c r="AO5" s="55" t="n"/>
      <c r="AP5" s="55"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ez_manage.py:30417 top()</t>
        </is>
      </c>
      <c r="IL5" s="9" t="inlineStr">
        <is>
          <t>v12_quick_engine.py:4874 x5</t>
        </is>
      </c>
    </row>
    <row r="6" ht="11" customHeight="1">
      <c r="A6" s="10" t="inlineStr">
        <is>
          <t>AUGMENT_MIN_GAIN_PCT</t>
        </is>
      </c>
      <c r="B6" s="11" t="inlineStr">
        <is>
          <t>0.625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55" t="n"/>
      <c r="AM6" s="55" t="n"/>
      <c r="AN6" s="55" t="n"/>
      <c r="AO6" s="55" t="n"/>
      <c r="AP6" s="55"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ez_manage.py:30417 top()</t>
        </is>
      </c>
      <c r="IL6" s="9" t="inlineStr">
        <is>
          <t>v12_quick_engine.py:4874 x5</t>
        </is>
      </c>
    </row>
    <row r="7" ht="11" customHeight="1">
      <c r="A7" s="10" t="inlineStr">
        <is>
          <t>AUGMENT_MIN_GAIN_PCT</t>
        </is>
      </c>
      <c r="B7" s="11" t="inlineStr">
        <is>
          <t>0.75</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55" t="n"/>
      <c r="AM7" s="55" t="n"/>
      <c r="AN7" s="55" t="n"/>
      <c r="AO7" s="55" t="n"/>
      <c r="AP7" s="55"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ez_manage.py:30417 top()</t>
        </is>
      </c>
      <c r="IL7" s="9" t="inlineStr">
        <is>
          <t>v12_quick_engine.py:4874 x5</t>
        </is>
      </c>
    </row>
    <row r="8" ht="11" customHeight="1">
      <c r="A8" s="10" t="inlineStr">
        <is>
          <t>BOUNCE_AUGMENT_MIN_LOSS_PCT</t>
        </is>
      </c>
      <c r="B8" s="11" t="inlineStr">
        <is>
          <t>-0.75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55" t="n"/>
      <c r="GU8" s="55" t="n"/>
      <c r="GV8" s="55" t="n"/>
      <c r="GW8" s="55" t="n"/>
      <c r="GX8" s="55"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ez_manage.py:4390 top()</t>
        </is>
      </c>
      <c r="IL8" s="9" t="inlineStr">
        <is>
          <t>v12_quick_engine.py:1310 x9</t>
        </is>
      </c>
    </row>
    <row r="9" ht="11" customHeight="1">
      <c r="A9" s="10" t="inlineStr">
        <is>
          <t>BOUNCE_AUGMENT_MIN_LOSS_PCT</t>
        </is>
      </c>
      <c r="B9" s="11" t="inlineStr">
        <is>
          <t>-0.625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55" t="n"/>
      <c r="GU9" s="55" t="n"/>
      <c r="GV9" s="55" t="n"/>
      <c r="GW9" s="55" t="n"/>
      <c r="GX9" s="55"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ez_manage.py:4390 top()</t>
        </is>
      </c>
      <c r="IL9" s="9" t="inlineStr">
        <is>
          <t>v12_quick_engine.py:1310 x9</t>
        </is>
      </c>
    </row>
    <row r="10" ht="11" customHeight="1">
      <c r="A10" s="6" t="inlineStr">
        <is>
          <t>BOUNCE_AUGMENT_MIN_LOSS_PCT</t>
        </is>
      </c>
      <c r="B10" s="7" t="inlineStr">
        <is>
          <t>-0.5</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55" t="n"/>
      <c r="GU10" s="55" t="n"/>
      <c r="GV10" s="55" t="n"/>
      <c r="GW10" s="55" t="n"/>
      <c r="GX10" s="55"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ez_manage.py:4390 top()</t>
        </is>
      </c>
      <c r="IL10" s="9" t="inlineStr">
        <is>
          <t>v12_quick_engine.py:1310 x9</t>
        </is>
      </c>
    </row>
    <row r="11" ht="11" customHeight="1">
      <c r="A11" s="10" t="inlineStr">
        <is>
          <t>BOUNCE_AUGMENT_MIN_LOSS_PCT</t>
        </is>
      </c>
      <c r="B11" s="11" t="inlineStr">
        <is>
          <t>-0.375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55" t="n"/>
      <c r="GU11" s="55" t="n"/>
      <c r="GV11" s="55" t="n"/>
      <c r="GW11" s="55" t="n"/>
      <c r="GX11" s="55"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ez_manage.py:4390 top()</t>
        </is>
      </c>
      <c r="IL11" s="9" t="inlineStr">
        <is>
          <t>v12_quick_engine.py:1310 x9</t>
        </is>
      </c>
    </row>
    <row r="12" ht="11" customHeight="1">
      <c r="A12" s="10" t="inlineStr">
        <is>
          <t>BOUNCE_AUGMENT_MIN_LOSS_PCT</t>
        </is>
      </c>
      <c r="B12" s="11" t="inlineStr">
        <is>
          <t>-0.25</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ez_manage.py:4390 top()</t>
        </is>
      </c>
      <c r="IL12" s="9" t="inlineStr">
        <is>
          <t>v12_quick_engine.py:1310 x9</t>
        </is>
      </c>
    </row>
    <row r="13" ht="11" customHeight="1">
      <c r="A13" s="10" t="inlineStr">
        <is>
          <t>AUGMENT_BOUNCE_MIN_GAIN_PCT</t>
        </is>
      </c>
      <c r="B13" s="11" t="inlineStr">
        <is>
          <t>0.25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55" t="n"/>
      <c r="AM13" s="55" t="n"/>
      <c r="AN13" s="55" t="n"/>
      <c r="AO13" s="55" t="n"/>
      <c r="AP13" s="55"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ez_manage.py:56856 top()</t>
        </is>
      </c>
      <c r="IL13" s="9" t="inlineStr">
        <is>
          <t>v12_quick_engine.py:4872 x2</t>
        </is>
      </c>
    </row>
    <row r="14" ht="11" customHeight="1">
      <c r="A14" s="10" t="inlineStr">
        <is>
          <t>AUGMENT_BOUNCE_MIN_GAIN_PCT</t>
        </is>
      </c>
      <c r="B14" s="11" t="inlineStr">
        <is>
          <t>0.375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ez_manage.py:56856 top()</t>
        </is>
      </c>
      <c r="IL14" s="9" t="inlineStr">
        <is>
          <t>v12_quick_engine.py:4872 x2</t>
        </is>
      </c>
    </row>
    <row r="15" ht="11" customHeight="1">
      <c r="A15" s="6" t="inlineStr">
        <is>
          <t>AUGMENT_BOUNCE_MIN_GAIN_PCT</t>
        </is>
      </c>
      <c r="B15" s="7" t="inlineStr">
        <is>
          <t>0.5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ez_manage.py:56856 top()</t>
        </is>
      </c>
      <c r="IL15" s="9" t="inlineStr">
        <is>
          <t>v12_quick_engine.py:4872 x2</t>
        </is>
      </c>
    </row>
    <row r="16" ht="11" customHeight="1">
      <c r="A16" s="10" t="inlineStr">
        <is>
          <t>AUGMENT_BOUNCE_MIN_GAIN_PCT</t>
        </is>
      </c>
      <c r="B16" s="11" t="inlineStr">
        <is>
          <t>0.625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ez_manage.py:56856 top()</t>
        </is>
      </c>
      <c r="IL16" s="9" t="inlineStr">
        <is>
          <t>v12_quick_engine.py:4872 x2</t>
        </is>
      </c>
    </row>
    <row r="17" ht="11" customHeight="1">
      <c r="A17" s="10" t="inlineStr">
        <is>
          <t>AUGMENT_BOUNCE_MIN_GAIN_PCT</t>
        </is>
      </c>
      <c r="B17" s="11" t="inlineStr">
        <is>
          <t>0.75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ez_manage.py:56856 top()</t>
        </is>
      </c>
      <c r="IL17" s="9" t="inlineStr">
        <is>
          <t>v12_quick_engine.py:4872 x2</t>
        </is>
      </c>
    </row>
    <row r="18" ht="11" customHeight="1">
      <c r="A18" s="10" t="inlineStr">
        <is>
          <t>AUGMENT_BREAKOUT_MIN_GAIN_PCT</t>
        </is>
      </c>
      <c r="B18" s="11" t="inlineStr">
        <is>
          <t>0.25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ez_manage.py:56860 top()</t>
        </is>
      </c>
      <c r="IL18" s="9" t="inlineStr">
        <is>
          <t>v12_quick_engine.py:4873 x2</t>
        </is>
      </c>
    </row>
    <row r="19" ht="11" customHeight="1">
      <c r="A19" s="10" t="inlineStr">
        <is>
          <t>AUGMENT_BREAKOUT_MIN_GAIN_PCT</t>
        </is>
      </c>
      <c r="B19" s="11" t="inlineStr">
        <is>
          <t>0.375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ez_manage.py:56860 top()</t>
        </is>
      </c>
      <c r="IL19" s="9" t="inlineStr">
        <is>
          <t>v12_quick_engine.py:4873 x2</t>
        </is>
      </c>
    </row>
    <row r="20" ht="11" customHeight="1">
      <c r="A20" s="6" t="inlineStr">
        <is>
          <t>AUGMENT_BREAKOUT_MIN_GAIN_PCT</t>
        </is>
      </c>
      <c r="B20" s="7" t="inlineStr">
        <is>
          <t>0.5</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ez_manage.py:56860 top()</t>
        </is>
      </c>
      <c r="IL20" s="9" t="inlineStr">
        <is>
          <t>v12_quick_engine.py:4873 x2</t>
        </is>
      </c>
    </row>
    <row r="21" ht="11" customHeight="1">
      <c r="A21" s="10" t="inlineStr">
        <is>
          <t>AUGMENT_BREAKOUT_MIN_GAIN_PCT</t>
        </is>
      </c>
      <c r="B21" s="11" t="inlineStr">
        <is>
          <t>0.625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ez_manage.py:56860 top()</t>
        </is>
      </c>
      <c r="IL21" s="9" t="inlineStr">
        <is>
          <t>v12_quick_engine.py:4873 x2</t>
        </is>
      </c>
    </row>
    <row r="22" ht="11" customHeight="1">
      <c r="A22" s="10" t="inlineStr">
        <is>
          <t>AUGMENT_BREAKOUT_MIN_GAIN_PCT</t>
        </is>
      </c>
      <c r="B22" s="11" t="inlineStr">
        <is>
          <t>0.75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ez_manage.py:56860 top()</t>
        </is>
      </c>
      <c r="IL22" s="9" t="inlineStr">
        <is>
          <t>v12_quick_engine.py:4873 x2</t>
        </is>
      </c>
    </row>
    <row r="23" ht="11" customHeight="1">
      <c r="A23" s="10" t="inlineStr">
        <is>
          <t>HTF_GATE_APPLY_TO_AUGMENT</t>
        </is>
      </c>
      <c r="B23" s="11" t="inlineStr">
        <is>
          <t>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55" t="n"/>
      <c r="EN23" s="55" t="n"/>
      <c r="EO23" s="55" t="n"/>
      <c r="EP23" s="55" t="n"/>
      <c r="EQ23" s="55"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ez_manage.py:4876 top()</t>
        </is>
      </c>
      <c r="IL23" s="9" t="inlineStr">
        <is>
          <t>v12_quick_engine.py:2052 x6</t>
        </is>
      </c>
    </row>
    <row r="24" ht="11" customHeight="1">
      <c r="A24" s="10" t="inlineStr">
        <is>
          <t>HTF_GATE_APPLY_TO_AUGMENT</t>
        </is>
      </c>
      <c r="B24" s="11" t="inlineStr">
        <is>
          <t>0.5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55" t="n"/>
      <c r="EN24" s="55" t="n"/>
      <c r="EO24" s="55" t="n"/>
      <c r="EP24" s="55" t="n"/>
      <c r="EQ24" s="55"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ez_manage.py:4876 top()</t>
        </is>
      </c>
      <c r="IL24" s="9" t="inlineStr">
        <is>
          <t>v12_quick_engine.py:2052 x6</t>
        </is>
      </c>
    </row>
    <row r="25" ht="11" customHeight="1">
      <c r="A25" s="10" t="inlineStr">
        <is>
          <t>HTF_GATE_APPLY_TO_AUGMENT</t>
        </is>
      </c>
      <c r="B25" s="11" t="inlineStr">
        <is>
          <t>1.0</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55" t="n"/>
      <c r="EN25" s="55" t="n"/>
      <c r="EO25" s="55" t="n"/>
      <c r="EP25" s="55" t="n"/>
      <c r="EQ25" s="55"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ez_manage.py:4876 top()</t>
        </is>
      </c>
      <c r="IL25" s="9" t="inlineStr">
        <is>
          <t>v12_quick_engine.py:2052 x6</t>
        </is>
      </c>
    </row>
    <row r="26" ht="11" customHeight="1">
      <c r="A26" s="10" t="inlineStr">
        <is>
          <t>HTF_GATE_APPLY_TO_AUGMENT</t>
        </is>
      </c>
      <c r="B26" s="11" t="inlineStr">
        <is>
          <t>2.0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55" t="n"/>
      <c r="EN26" s="55" t="n"/>
      <c r="EO26" s="55" t="n"/>
      <c r="EP26" s="55" t="n"/>
      <c r="EQ26" s="55"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ez_manage.py:4876 top()</t>
        </is>
      </c>
      <c r="IL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G28" s="62" t="inlineStr">
        <is>
          <t>Rec</t>
        </is>
      </c>
      <c r="H28" s="62" t="inlineStr">
        <is>
          <t>Tested As</t>
        </is>
      </c>
      <c r="I28" s="62" t="inlineStr">
        <is>
          <t>Notes</t>
        </is>
      </c>
    </row>
    <row r="29">
      <c r="A29" s="63" t="inlineStr">
        <is>
          <t>ADX_RANGING_THRESHOLD</t>
        </is>
      </c>
      <c r="B29" s="56" t="inlineStr">
        <is>
          <t>20</t>
        </is>
      </c>
      <c r="C29" s="56" t="n"/>
      <c r="D29" s="56" t="inlineStr">
        <is>
          <t>ENTRY, GLOBAL_CHECK, STOCKS_EXIT</t>
        </is>
      </c>
      <c r="E29" s="56">
        <f>IF(G29="",E28,IF(G29&gt;0,E28+G29,E28))</f>
        <v/>
      </c>
      <c r="G29" s="56">
        <f>IFERROR(VLOOKUP($A29&amp;"="&amp;$B29,Results_Deltas!$A$2:$P$15000,5,FALSE),"")</f>
        <v/>
      </c>
      <c r="H29" s="56" t="inlineStr">
        <is>
          <t>Blanket (page end)</t>
        </is>
      </c>
    </row>
    <row r="30">
      <c r="A30" s="63" t="inlineStr">
        <is>
          <t>ADX_RANGING_THRESHOLD</t>
        </is>
      </c>
      <c r="B30" s="56" t="inlineStr">
        <is>
          <t>25</t>
        </is>
      </c>
      <c r="C30" s="56" t="n"/>
      <c r="D30" s="56" t="inlineStr">
        <is>
          <t>ENTRY, GLOBAL_CHECK, STOCKS_EXIT</t>
        </is>
      </c>
      <c r="E30" s="56">
        <f>IF(G30="",E29,IF(G30&gt;0,E29+G30,E29))</f>
        <v/>
      </c>
      <c r="G30" s="56">
        <f>IFERROR(VLOOKUP($A30&amp;"="&amp;$B30,Results_Deltas!$A$2:$P$15000,5,FALSE),"")</f>
        <v/>
      </c>
      <c r="H30" s="56" t="inlineStr">
        <is>
          <t>Blanket (page end)</t>
        </is>
      </c>
    </row>
    <row r="31">
      <c r="A31" s="63" t="inlineStr">
        <is>
          <t>ADX_RANGING_THRESHOLD</t>
        </is>
      </c>
      <c r="B31" s="56" t="inlineStr">
        <is>
          <t>15</t>
        </is>
      </c>
      <c r="C31" s="56" t="n"/>
      <c r="D31" s="56" t="inlineStr">
        <is>
          <t>ENTRY, GLOBAL_CHECK, STOCKS_EXIT</t>
        </is>
      </c>
      <c r="E31" s="56">
        <f>IF(G31="",E30,IF(G31&gt;0,E30+G31,E30))</f>
        <v/>
      </c>
      <c r="G31" s="56">
        <f>IFERROR(VLOOKUP($A31&amp;"="&amp;$B31,Results_Deltas!$A$2:$P$15000,5,FALSE),"")</f>
        <v/>
      </c>
      <c r="H31" s="56" t="inlineStr">
        <is>
          <t>Blanket (page end)</t>
        </is>
      </c>
    </row>
    <row r="32">
      <c r="A32" s="63" t="inlineStr">
        <is>
          <t>ADX_RANGING_THRESHOLD</t>
        </is>
      </c>
      <c r="B32" s="56" t="inlineStr">
        <is>
          <t>10</t>
        </is>
      </c>
      <c r="C32" s="56" t="n"/>
      <c r="D32" s="56" t="inlineStr">
        <is>
          <t>ENTRY, GLOBAL_CHECK, STOCKS_EXIT</t>
        </is>
      </c>
      <c r="E32" s="56">
        <f>IF(G32="",E31,IF(G32&gt;0,E31+G32,E31))</f>
        <v/>
      </c>
      <c r="G32" s="56">
        <f>IFERROR(VLOOKUP($A32&amp;"="&amp;$B32,Results_Deltas!$A$2:$P$15000,5,FALSE),"")</f>
        <v/>
      </c>
      <c r="H32" s="56" t="inlineStr">
        <is>
          <t>Blanket (page end)</t>
        </is>
      </c>
    </row>
    <row r="33">
      <c r="A33" s="63" t="inlineStr">
        <is>
          <t>BANDAID_OFF_LOSER_RECOVER_PCT</t>
        </is>
      </c>
      <c r="B33" s="56" t="inlineStr">
        <is>
          <t>0</t>
        </is>
      </c>
      <c r="C33" s="56" t="n"/>
      <c r="D33" s="56" t="inlineStr">
        <is>
          <t>AUGMENT, ENTRY, EXIT, GLOBAL_CHECK, REDUCE, STOCKS_EXIT</t>
        </is>
      </c>
      <c r="E33" s="56">
        <f>IF(G33="",E32,IF(G33&gt;0,E32+G33,E32))</f>
        <v/>
      </c>
      <c r="G33" s="56">
        <f>IFERROR(VLOOKUP($A33&amp;"="&amp;$B33,Results_Deltas!$A$2:$P$15000,5,FALSE),"")</f>
        <v/>
      </c>
      <c r="H33" s="56" t="inlineStr">
        <is>
          <t>Blanket (page end)</t>
        </is>
      </c>
    </row>
    <row r="34">
      <c r="A34" s="63" t="inlineStr">
        <is>
          <t>BANDAID_OFF_LOSER_RECOVER_PCT</t>
        </is>
      </c>
      <c r="B34" s="56" t="inlineStr">
        <is>
          <t>2.0</t>
        </is>
      </c>
      <c r="C34" s="56" t="n"/>
      <c r="D34" s="56" t="inlineStr">
        <is>
          <t>AUGMENT, ENTRY, EXIT, GLOBAL_CHECK, REDUCE, STOCKS_EXIT</t>
        </is>
      </c>
      <c r="E34" s="56">
        <f>IF(G34="",E33,IF(G34&gt;0,E33+G34,E33))</f>
        <v/>
      </c>
      <c r="G34" s="56">
        <f>IFERROR(VLOOKUP($A34&amp;"="&amp;$B34,Results_Deltas!$A$2:$P$15000,5,FALSE),"")</f>
        <v/>
      </c>
      <c r="H34" s="56" t="inlineStr">
        <is>
          <t>Blanket (page end)</t>
        </is>
      </c>
    </row>
    <row r="35">
      <c r="A35" s="63" t="inlineStr">
        <is>
          <t>BANDAID_OFF_LOSER_RECOVER_PCT</t>
        </is>
      </c>
      <c r="B35" s="56" t="inlineStr">
        <is>
          <t>1.0</t>
        </is>
      </c>
      <c r="C35" s="56" t="n"/>
      <c r="D35" s="56" t="inlineStr">
        <is>
          <t>AUGMENT, ENTRY, EXIT, GLOBAL_CHECK, REDUCE, STOCKS_EXIT</t>
        </is>
      </c>
      <c r="E35" s="56">
        <f>IF(G35="",E34,IF(G35&gt;0,E34+G35,E34))</f>
        <v/>
      </c>
      <c r="G35" s="56">
        <f>IFERROR(VLOOKUP($A35&amp;"="&amp;$B35,Results_Deltas!$A$2:$P$15000,5,FALSE),"")</f>
        <v/>
      </c>
      <c r="H35" s="56" t="inlineStr">
        <is>
          <t>Blanket (page end)</t>
        </is>
      </c>
    </row>
    <row r="36">
      <c r="A36" s="63" t="inlineStr">
        <is>
          <t>BANDAID_OFF_LOSER_RECOVER_PCT</t>
        </is>
      </c>
      <c r="B36" s="56" t="inlineStr">
        <is>
          <t>0.5</t>
        </is>
      </c>
      <c r="C36" s="56" t="n"/>
      <c r="D36" s="56" t="inlineStr">
        <is>
          <t>AUGMENT, ENTRY, EXIT, GLOBAL_CHECK, REDUCE, STOCKS_EXIT</t>
        </is>
      </c>
      <c r="E36" s="56">
        <f>IF(G36="",E35,IF(G36&gt;0,E35+G36,E35))</f>
        <v/>
      </c>
      <c r="G36" s="56">
        <f>IFERROR(VLOOKUP($A36&amp;"="&amp;$B36,Results_Deltas!$A$2:$P$15000,5,FALSE),"")</f>
        <v/>
      </c>
      <c r="H36" s="56" t="inlineStr">
        <is>
          <t>Blanket (page end)</t>
        </is>
      </c>
    </row>
    <row r="37">
      <c r="A37" s="63" t="inlineStr">
        <is>
          <t>BAND_ARROW_ENABLED</t>
        </is>
      </c>
      <c r="B37" s="56" t="inlineStr">
        <is>
          <t>False</t>
        </is>
      </c>
      <c r="C37" s="56" t="n"/>
      <c r="D37" s="56" t="inlineStr">
        <is>
          <t>GLOBAL_CHECK, STOCKS_EXIT</t>
        </is>
      </c>
      <c r="E37" s="56">
        <f>IF(G37="",E36,IF(G37&gt;0,E36+G37,E36))</f>
        <v/>
      </c>
      <c r="G37" s="56">
        <f>IFERROR(VLOOKUP($A37&amp;"="&amp;$B37,Results_Deltas!$A$2:$P$15000,5,FALSE),"")</f>
        <v/>
      </c>
      <c r="H37" s="56" t="inlineStr">
        <is>
          <t>Blanket (page end)</t>
        </is>
      </c>
    </row>
    <row r="38">
      <c r="A38" s="63" t="inlineStr">
        <is>
          <t>BAND_ARROW_ENABLED</t>
        </is>
      </c>
      <c r="B38" s="56" t="inlineStr">
        <is>
          <t>True</t>
        </is>
      </c>
      <c r="C38" s="56" t="n"/>
      <c r="D38" s="56" t="inlineStr">
        <is>
          <t>GLOBAL_CHECK, STOCKS_EXIT</t>
        </is>
      </c>
      <c r="E38" s="56">
        <f>IF(G38="",E37,IF(G38&gt;0,E37+G38,E37))</f>
        <v/>
      </c>
      <c r="G38" s="56">
        <f>IFERROR(VLOOKUP($A38&amp;"="&amp;$B38,Results_Deltas!$A$2:$P$15000,5,FALSE),"")</f>
        <v/>
      </c>
      <c r="H38" s="56" t="inlineStr">
        <is>
          <t>Blanket (page end)</t>
        </is>
      </c>
    </row>
    <row r="39">
      <c r="A39" s="63" t="inlineStr">
        <is>
          <t>COOLDOWN_LOCKS_FILTER_TF</t>
        </is>
      </c>
      <c r="B39" s="56" t="inlineStr">
        <is>
          <t>OFF</t>
        </is>
      </c>
      <c r="C39" s="56" t="n"/>
      <c r="D39" s="56" t="inlineStr">
        <is>
          <t>GLOBAL_CHECK</t>
        </is>
      </c>
      <c r="E39" s="56">
        <f>IF(G39="",E38,IF(G39&gt;0,E38+G39,E38))</f>
        <v/>
      </c>
      <c r="G39" s="56">
        <f>IFERROR(VLOOKUP($A39&amp;"="&amp;$B39,Results_Deltas!$A$2:$P$15000,5,FALSE),"")</f>
        <v/>
      </c>
      <c r="H39" s="56" t="inlineStr">
        <is>
          <t>Blanket (page end)</t>
        </is>
      </c>
    </row>
    <row r="40">
      <c r="A40" s="63" t="inlineStr">
        <is>
          <t>COOLDOWN_LOCKS_FILTER_TF</t>
        </is>
      </c>
      <c r="B40" s="56" t="inlineStr">
        <is>
          <t>D</t>
        </is>
      </c>
      <c r="C40" s="56" t="n"/>
      <c r="D40" s="56" t="inlineStr">
        <is>
          <t>GLOBAL_CHECK</t>
        </is>
      </c>
      <c r="E40" s="56">
        <f>IF(G40="",E39,IF(G40&gt;0,E39+G40,E39))</f>
        <v/>
      </c>
      <c r="G40" s="56">
        <f>IFERROR(VLOOKUP($A40&amp;"="&amp;$B40,Results_Deltas!$A$2:$P$15000,5,FALSE),"")</f>
        <v/>
      </c>
      <c r="H40" s="56" t="inlineStr">
        <is>
          <t>Blanket (page end)</t>
        </is>
      </c>
    </row>
    <row r="41">
      <c r="A41" s="63" t="inlineStr">
        <is>
          <t>COOLDOWN_LOCKS_FILTER_TF</t>
        </is>
      </c>
      <c r="B41" s="56" t="inlineStr">
        <is>
          <t>4h</t>
        </is>
      </c>
      <c r="C41" s="56" t="n"/>
      <c r="D41" s="56" t="inlineStr">
        <is>
          <t>GLOBAL_CHECK</t>
        </is>
      </c>
      <c r="E41" s="56">
        <f>IF(G41="",E40,IF(G41&gt;0,E40+G41,E40))</f>
        <v/>
      </c>
      <c r="G41" s="56">
        <f>IFERROR(VLOOKUP($A41&amp;"="&amp;$B41,Results_Deltas!$A$2:$P$15000,5,FALSE),"")</f>
        <v/>
      </c>
      <c r="H41" s="56" t="inlineStr">
        <is>
          <t>Blanket (page end)</t>
        </is>
      </c>
    </row>
    <row r="42">
      <c r="A42" s="63" t="inlineStr">
        <is>
          <t>COOLDOWN_LOCKS_FILTER_TF</t>
        </is>
      </c>
      <c r="B42" s="56" t="inlineStr">
        <is>
          <t>1h</t>
        </is>
      </c>
      <c r="C42" s="56" t="n"/>
      <c r="D42" s="56" t="inlineStr">
        <is>
          <t>GLOBAL_CHECK</t>
        </is>
      </c>
      <c r="E42" s="56">
        <f>IF(G42="",E41,IF(G42&gt;0,E41+G42,E41))</f>
        <v/>
      </c>
      <c r="G42" s="56">
        <f>IFERROR(VLOOKUP($A42&amp;"="&amp;$B42,Results_Deltas!$A$2:$P$15000,5,FALSE),"")</f>
        <v/>
      </c>
      <c r="H42" s="56" t="inlineStr">
        <is>
          <t>Blanket (page end)</t>
        </is>
      </c>
    </row>
    <row r="43">
      <c r="A43" s="63" t="inlineStr">
        <is>
          <t>COOLDOWN_LOCKS_FILTER_TF</t>
        </is>
      </c>
      <c r="B43" s="56" t="inlineStr">
        <is>
          <t>15m</t>
        </is>
      </c>
      <c r="C43" s="56" t="n"/>
      <c r="D43" s="56" t="inlineStr">
        <is>
          <t>GLOBAL_CHECK</t>
        </is>
      </c>
      <c r="E43" s="56">
        <f>IF(G43="",E42,IF(G43&gt;0,E42+G43,E42))</f>
        <v/>
      </c>
      <c r="G43" s="56">
        <f>IFERROR(VLOOKUP($A43&amp;"="&amp;$B43,Results_Deltas!$A$2:$P$15000,5,FALSE),"")</f>
        <v/>
      </c>
      <c r="H43" s="56" t="inlineStr">
        <is>
          <t>Blanket (page end)</t>
        </is>
      </c>
    </row>
    <row r="44">
      <c r="A44" s="63" t="inlineStr">
        <is>
          <t>CRYPTO_SPIKE_FADE_THRESHOLD_PCT</t>
        </is>
      </c>
      <c r="B44" s="56" t="inlineStr">
        <is>
          <t>10</t>
        </is>
      </c>
      <c r="C44" s="56" t="n"/>
      <c r="D44" s="56" t="inlineStr">
        <is>
          <t>GLOBAL_CHECK, STOCKS_EXIT</t>
        </is>
      </c>
      <c r="E44" s="56">
        <f>IF(G44="",E43,IF(G44&gt;0,E43+G44,E43))</f>
        <v/>
      </c>
      <c r="G44" s="56">
        <f>IFERROR(VLOOKUP($A44&amp;"="&amp;$B44,Results_Deltas!$A$2:$P$15000,5,FALSE),"")</f>
        <v/>
      </c>
      <c r="H44" s="56" t="inlineStr">
        <is>
          <t>Blanket (page end)</t>
        </is>
      </c>
    </row>
    <row r="45">
      <c r="A45" s="63" t="inlineStr">
        <is>
          <t>CRYPTO_SPIKE_FADE_THRESHOLD_PCT</t>
        </is>
      </c>
      <c r="B45" s="56" t="inlineStr">
        <is>
          <t>12.5</t>
        </is>
      </c>
      <c r="C45" s="56" t="n"/>
      <c r="D45" s="56" t="inlineStr">
        <is>
          <t>GLOBAL_CHECK, STOCKS_EXIT</t>
        </is>
      </c>
      <c r="E45" s="56">
        <f>IF(G45="",E44,IF(G45&gt;0,E44+G45,E44))</f>
        <v/>
      </c>
      <c r="G45" s="56">
        <f>IFERROR(VLOOKUP($A45&amp;"="&amp;$B45,Results_Deltas!$A$2:$P$15000,5,FALSE),"")</f>
        <v/>
      </c>
      <c r="H45" s="56" t="inlineStr">
        <is>
          <t>Blanket (page end)</t>
        </is>
      </c>
    </row>
    <row r="46">
      <c r="A46" s="63" t="inlineStr">
        <is>
          <t>CRYPTO_SPIKE_FADE_THRESHOLD_PCT</t>
        </is>
      </c>
      <c r="B46" s="56" t="inlineStr">
        <is>
          <t>7.5</t>
        </is>
      </c>
      <c r="C46" s="56" t="n"/>
      <c r="D46" s="56" t="inlineStr">
        <is>
          <t>GLOBAL_CHECK, STOCKS_EXIT</t>
        </is>
      </c>
      <c r="E46" s="56">
        <f>IF(G46="",E45,IF(G46&gt;0,E45+G46,E45))</f>
        <v/>
      </c>
      <c r="G46" s="56">
        <f>IFERROR(VLOOKUP($A46&amp;"="&amp;$B46,Results_Deltas!$A$2:$P$15000,5,FALSE),"")</f>
        <v/>
      </c>
      <c r="H46" s="56" t="inlineStr">
        <is>
          <t>Blanket (page end)</t>
        </is>
      </c>
    </row>
    <row r="47">
      <c r="A47" s="63" t="inlineStr">
        <is>
          <t>CRYPTO_SPIKE_FADE_THRESHOLD_PCT</t>
        </is>
      </c>
      <c r="B47" s="56" t="inlineStr">
        <is>
          <t>5</t>
        </is>
      </c>
      <c r="C47" s="56" t="n"/>
      <c r="D47" s="56" t="inlineStr">
        <is>
          <t>GLOBAL_CHECK, STOCKS_EXIT</t>
        </is>
      </c>
      <c r="E47" s="56">
        <f>IF(G47="",E46,IF(G47&gt;0,E46+G47,E46))</f>
        <v/>
      </c>
      <c r="G47" s="56">
        <f>IFERROR(VLOOKUP($A47&amp;"="&amp;$B47,Results_Deltas!$A$2:$P$15000,5,FALSE),"")</f>
        <v/>
      </c>
      <c r="H47" s="56" t="inlineStr">
        <is>
          <t>Blanket (page end)</t>
        </is>
      </c>
    </row>
    <row r="48">
      <c r="A48" s="63" t="inlineStr">
        <is>
          <t>DC_MOMENT_STRONG_THRESHOLD</t>
        </is>
      </c>
      <c r="B48" s="56" t="inlineStr">
        <is>
          <t>40</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DC_MOMENT_STRONG_THRESHOLD</t>
        </is>
      </c>
      <c r="B49" s="56" t="inlineStr">
        <is>
          <t>50</t>
        </is>
      </c>
      <c r="C49" s="56" t="n"/>
      <c r="D49" s="56" t="inlineStr">
        <is>
          <t>ENTRY, GLOBAL_CHECK, STOCKS_EXIT</t>
        </is>
      </c>
      <c r="E49" s="56">
        <f>IF(G49="",E48,IF(G49&gt;0,E48+G49,E48))</f>
        <v/>
      </c>
      <c r="G49" s="56">
        <f>IFERROR(VLOOKUP($A49&amp;"="&amp;$B49,Results_Deltas!$A$2:$P$15000,5,FALSE),"")</f>
        <v/>
      </c>
      <c r="H49" s="56" t="inlineStr">
        <is>
          <t>Blanket (page end)</t>
        </is>
      </c>
    </row>
    <row r="50">
      <c r="A50" s="63" t="inlineStr">
        <is>
          <t>DC_MOMENT_STRONG_THRESHOLD</t>
        </is>
      </c>
      <c r="B50" s="56" t="inlineStr">
        <is>
          <t>30</t>
        </is>
      </c>
      <c r="C50" s="56" t="n"/>
      <c r="D50" s="56" t="inlineStr">
        <is>
          <t>ENTRY, GLOBAL_CHECK, STOCKS_EXIT</t>
        </is>
      </c>
      <c r="E50" s="56">
        <f>IF(G50="",E49,IF(G50&gt;0,E49+G50,E49))</f>
        <v/>
      </c>
      <c r="G50" s="56">
        <f>IFERROR(VLOOKUP($A50&amp;"="&amp;$B50,Results_Deltas!$A$2:$P$15000,5,FALSE),"")</f>
        <v/>
      </c>
      <c r="H50" s="56" t="inlineStr">
        <is>
          <t>Blanket (page end)</t>
        </is>
      </c>
    </row>
    <row r="51">
      <c r="A51" s="63" t="inlineStr">
        <is>
          <t>DC_MOMENT_STRONG_THRESHOLD</t>
        </is>
      </c>
      <c r="B51" s="56" t="inlineStr">
        <is>
          <t>20</t>
        </is>
      </c>
      <c r="C51" s="56" t="n"/>
      <c r="D51" s="56" t="inlineStr">
        <is>
          <t>ENTRY, GLOBAL_CHECK, STOCKS_EXIT</t>
        </is>
      </c>
      <c r="E51" s="56">
        <f>IF(G51="",E50,IF(G51&gt;0,E50+G51,E50))</f>
        <v/>
      </c>
      <c r="G51" s="56">
        <f>IFERROR(VLOOKUP($A51&amp;"="&amp;$B51,Results_Deltas!$A$2:$P$15000,5,FALSE),"")</f>
        <v/>
      </c>
      <c r="H51" s="56" t="inlineStr">
        <is>
          <t>Blanket (page end)</t>
        </is>
      </c>
    </row>
    <row r="52">
      <c r="A52" s="63" t="inlineStr">
        <is>
          <t>DELTA_HTF_GATE</t>
        </is>
      </c>
      <c r="B52" s="56" t="inlineStr">
        <is>
          <t>4h</t>
        </is>
      </c>
      <c r="C52" s="56" t="n"/>
      <c r="D52" s="56" t="inlineStr">
        <is>
          <t>ENTRY, GLOBAL_CHECK, STOCKS_EXIT</t>
        </is>
      </c>
      <c r="E52" s="56">
        <f>IF(G52="",E51,IF(G52&gt;0,E51+G52,E51))</f>
        <v/>
      </c>
      <c r="G52" s="56">
        <f>IFERROR(VLOOKUP($A52&amp;"="&amp;$B52,Results_Deltas!$A$2:$P$15000,5,FALSE),"")</f>
        <v/>
      </c>
      <c r="H52" s="56" t="inlineStr">
        <is>
          <t>Blanket (page end)</t>
        </is>
      </c>
    </row>
    <row r="53">
      <c r="A53" s="63" t="inlineStr">
        <is>
          <t>DELTA_HTF_GATE</t>
        </is>
      </c>
      <c r="B53" s="56" t="inlineStr">
        <is>
          <t>4h_ALT</t>
        </is>
      </c>
      <c r="C53" s="56" t="n"/>
      <c r="D53" s="56" t="inlineStr">
        <is>
          <t>ENTRY, GLOBAL_CHECK, STOCKS_EXIT</t>
        </is>
      </c>
      <c r="E53" s="56">
        <f>IF(G53="",E52,IF(G53&gt;0,E52+G53,E52))</f>
        <v/>
      </c>
      <c r="G53" s="56">
        <f>IFERROR(VLOOKUP($A53&amp;"="&amp;$B53,Results_Deltas!$A$2:$P$15000,5,FALSE),"")</f>
        <v/>
      </c>
      <c r="H53" s="56" t="inlineStr">
        <is>
          <t>Blanket (page end)</t>
        </is>
      </c>
    </row>
    <row r="54">
      <c r="A54" s="63" t="inlineStr">
        <is>
          <t>DELTA_REENTRY_FILTER_ENABLED</t>
        </is>
      </c>
      <c r="B54" s="56" t="inlineStr">
        <is>
          <t>False</t>
        </is>
      </c>
      <c r="C54" s="56" t="n"/>
      <c r="D54" s="56" t="inlineStr">
        <is>
          <t>ENTRY, GLOBAL_CHECK, STOCKS_EXIT</t>
        </is>
      </c>
      <c r="E54" s="56">
        <f>IF(G54="",E53,IF(G54&gt;0,E53+G54,E53))</f>
        <v/>
      </c>
      <c r="G54" s="56">
        <f>IFERROR(VLOOKUP($A54&amp;"="&amp;$B54,Results_Deltas!$A$2:$P$15000,5,FALSE),"")</f>
        <v/>
      </c>
      <c r="H54" s="56" t="inlineStr">
        <is>
          <t>Blanket (page end)</t>
        </is>
      </c>
    </row>
    <row r="55">
      <c r="A55" s="63" t="inlineStr">
        <is>
          <t>DELTA_REENTRY_FILTER_ENABLED</t>
        </is>
      </c>
      <c r="B55" s="56" t="inlineStr">
        <is>
          <t>True</t>
        </is>
      </c>
      <c r="C55" s="56" t="n"/>
      <c r="D55" s="56" t="inlineStr">
        <is>
          <t>ENTRY, GLOBAL_CHECK, STOCKS_EXIT</t>
        </is>
      </c>
      <c r="E55" s="56">
        <f>IF(G55="",E54,IF(G55&gt;0,E54+G55,E54))</f>
        <v/>
      </c>
      <c r="G55" s="56">
        <f>IFERROR(VLOOKUP($A55&amp;"="&amp;$B55,Results_Deltas!$A$2:$P$15000,5,FALSE),"")</f>
        <v/>
      </c>
      <c r="H55" s="56" t="inlineStr">
        <is>
          <t>Blanket (page end)</t>
        </is>
      </c>
    </row>
    <row r="56">
      <c r="A56" s="63" t="inlineStr">
        <is>
          <t>DUP_GUARD_FILTER_TF</t>
        </is>
      </c>
      <c r="B56" s="56" t="inlineStr">
        <is>
          <t>OFF</t>
        </is>
      </c>
      <c r="C56" s="56" t="n"/>
      <c r="D56" s="56" t="inlineStr">
        <is>
          <t>GLOBAL_CHECK</t>
        </is>
      </c>
      <c r="E56" s="56">
        <f>IF(G56="",E55,IF(G56&gt;0,E55+G56,E55))</f>
        <v/>
      </c>
      <c r="G56" s="56">
        <f>IFERROR(VLOOKUP($A56&amp;"="&amp;$B56,Results_Deltas!$A$2:$P$15000,5,FALSE),"")</f>
        <v/>
      </c>
      <c r="H56" s="56" t="inlineStr">
        <is>
          <t>Blanket (page end)</t>
        </is>
      </c>
    </row>
    <row r="57">
      <c r="A57" s="63" t="inlineStr">
        <is>
          <t>DUP_GUARD_FILTER_TF</t>
        </is>
      </c>
      <c r="B57" s="56" t="inlineStr">
        <is>
          <t>D</t>
        </is>
      </c>
      <c r="C57" s="56" t="n"/>
      <c r="D57" s="56" t="inlineStr">
        <is>
          <t>GLOBAL_CHECK</t>
        </is>
      </c>
      <c r="E57" s="56">
        <f>IF(G57="",E56,IF(G57&gt;0,E56+G57,E56))</f>
        <v/>
      </c>
      <c r="G57" s="56">
        <f>IFERROR(VLOOKUP($A57&amp;"="&amp;$B57,Results_Deltas!$A$2:$P$15000,5,FALSE),"")</f>
        <v/>
      </c>
      <c r="H57" s="56" t="inlineStr">
        <is>
          <t>Blanket (page end)</t>
        </is>
      </c>
    </row>
    <row r="58">
      <c r="A58" s="63" t="inlineStr">
        <is>
          <t>DUP_GUARD_FILTER_TF</t>
        </is>
      </c>
      <c r="B58" s="56" t="inlineStr">
        <is>
          <t>4h</t>
        </is>
      </c>
      <c r="C58" s="56" t="n"/>
      <c r="D58" s="56" t="inlineStr">
        <is>
          <t>GLOBAL_CHECK</t>
        </is>
      </c>
      <c r="E58" s="56">
        <f>IF(G58="",E57,IF(G58&gt;0,E57+G58,E57))</f>
        <v/>
      </c>
      <c r="G58" s="56">
        <f>IFERROR(VLOOKUP($A58&amp;"="&amp;$B58,Results_Deltas!$A$2:$P$15000,5,FALSE),"")</f>
        <v/>
      </c>
      <c r="H58" s="56" t="inlineStr">
        <is>
          <t>Blanket (page end)</t>
        </is>
      </c>
    </row>
    <row r="59">
      <c r="A59" s="63" t="inlineStr">
        <is>
          <t>DUP_GUARD_FILTER_TF</t>
        </is>
      </c>
      <c r="B59" s="56" t="inlineStr">
        <is>
          <t>1h</t>
        </is>
      </c>
      <c r="C59" s="56" t="n"/>
      <c r="D59" s="56" t="inlineStr">
        <is>
          <t>GLOBAL_CHECK</t>
        </is>
      </c>
      <c r="E59" s="56">
        <f>IF(G59="",E58,IF(G59&gt;0,E58+G59,E58))</f>
        <v/>
      </c>
      <c r="G59" s="56">
        <f>IFERROR(VLOOKUP($A59&amp;"="&amp;$B59,Results_Deltas!$A$2:$P$15000,5,FALSE),"")</f>
        <v/>
      </c>
      <c r="H59" s="56" t="inlineStr">
        <is>
          <t>Blanket (page end)</t>
        </is>
      </c>
    </row>
    <row r="60">
      <c r="A60" s="63" t="inlineStr">
        <is>
          <t>DUP_GUARD_FILTER_TF</t>
        </is>
      </c>
      <c r="B60" s="56" t="inlineStr">
        <is>
          <t>15m</t>
        </is>
      </c>
      <c r="C60" s="56" t="n"/>
      <c r="D60" s="56" t="inlineStr">
        <is>
          <t>GLOBAL_CHECK</t>
        </is>
      </c>
      <c r="E60" s="56">
        <f>IF(G60="",E59,IF(G60&gt;0,E59+G60,E59))</f>
        <v/>
      </c>
      <c r="G60" s="56">
        <f>IFERROR(VLOOKUP($A60&amp;"="&amp;$B60,Results_Deltas!$A$2:$P$15000,5,FALSE),"")</f>
        <v/>
      </c>
      <c r="H60" s="56" t="inlineStr">
        <is>
          <t>Blanket (page end)</t>
        </is>
      </c>
    </row>
    <row r="61">
      <c r="A61" s="63" t="inlineStr">
        <is>
          <t>EMA_9_21_FILTER_MIN_TFS</t>
        </is>
      </c>
      <c r="B61" s="56" t="inlineStr">
        <is>
          <t>0</t>
        </is>
      </c>
      <c r="C61" s="56" t="n"/>
      <c r="D61" s="56" t="inlineStr">
        <is>
          <t>GLOBAL_CHECK</t>
        </is>
      </c>
      <c r="E61" s="56">
        <f>IF(G61="",E60,IF(G61&gt;0,E60+G61,E60))</f>
        <v/>
      </c>
      <c r="G61" s="56">
        <f>IFERROR(VLOOKUP($A61&amp;"="&amp;$B61,Results_Deltas!$A$2:$P$15000,5,FALSE),"")</f>
        <v/>
      </c>
      <c r="H61" s="56" t="inlineStr">
        <is>
          <t>Blanket (page end)</t>
        </is>
      </c>
    </row>
    <row r="62">
      <c r="A62" s="63" t="inlineStr">
        <is>
          <t>EMA_9_21_FILTER_MIN_TFS</t>
        </is>
      </c>
      <c r="B62" s="56" t="inlineStr">
        <is>
          <t>2</t>
        </is>
      </c>
      <c r="C62" s="56" t="n"/>
      <c r="D62" s="56" t="inlineStr">
        <is>
          <t>GLOBAL_CHECK</t>
        </is>
      </c>
      <c r="E62" s="56">
        <f>IF(G62="",E61,IF(G62&gt;0,E61+G62,E61))</f>
        <v/>
      </c>
      <c r="G62" s="56">
        <f>IFERROR(VLOOKUP($A62&amp;"="&amp;$B62,Results_Deltas!$A$2:$P$15000,5,FALSE),"")</f>
        <v/>
      </c>
      <c r="H62" s="56" t="inlineStr">
        <is>
          <t>Blanket (page end)</t>
        </is>
      </c>
    </row>
    <row r="63">
      <c r="A63" s="63" t="inlineStr">
        <is>
          <t>EMA_9_21_FILTER_MIN_TFS</t>
        </is>
      </c>
      <c r="B63" s="56" t="inlineStr">
        <is>
          <t>1</t>
        </is>
      </c>
      <c r="C63" s="56" t="n"/>
      <c r="D63" s="56" t="inlineStr">
        <is>
          <t>GLOBAL_CHECK</t>
        </is>
      </c>
      <c r="E63" s="56">
        <f>IF(G63="",E62,IF(G63&gt;0,E62+G63,E62))</f>
        <v/>
      </c>
      <c r="G63" s="56">
        <f>IFERROR(VLOOKUP($A63&amp;"="&amp;$B63,Results_Deltas!$A$2:$P$15000,5,FALSE),"")</f>
        <v/>
      </c>
      <c r="H63" s="56" t="inlineStr">
        <is>
          <t>Blanket (page end)</t>
        </is>
      </c>
    </row>
    <row r="64">
      <c r="A64" s="63" t="inlineStr">
        <is>
          <t>EMA_BLANKET_FILTER_ENABLED</t>
        </is>
      </c>
      <c r="B64" s="56" t="inlineStr">
        <is>
          <t>False</t>
        </is>
      </c>
      <c r="C64" s="56" t="n"/>
      <c r="D64" s="56" t="inlineStr">
        <is>
          <t>GLOBAL_CHECK</t>
        </is>
      </c>
      <c r="E64" s="56">
        <f>IF(G64="",E63,IF(G64&gt;0,E63+G64,E63))</f>
        <v/>
      </c>
      <c r="G64" s="56">
        <f>IFERROR(VLOOKUP($A64&amp;"="&amp;$B64,Results_Deltas!$A$2:$P$15000,5,FALSE),"")</f>
        <v/>
      </c>
      <c r="H64" s="56" t="inlineStr">
        <is>
          <t>Blanket (page end)</t>
        </is>
      </c>
    </row>
    <row r="65">
      <c r="A65" s="63" t="inlineStr">
        <is>
          <t>EMA_BLANKET_FILTER_ENABLED</t>
        </is>
      </c>
      <c r="B65" s="56" t="inlineStr">
        <is>
          <t>True</t>
        </is>
      </c>
      <c r="C65" s="56" t="n"/>
      <c r="D65" s="56" t="inlineStr">
        <is>
          <t>GLOBAL_CHECK</t>
        </is>
      </c>
      <c r="E65" s="56">
        <f>IF(G65="",E64,IF(G65&gt;0,E64+G65,E64))</f>
        <v/>
      </c>
      <c r="G65" s="56">
        <f>IFERROR(VLOOKUP($A65&amp;"="&amp;$B65,Results_Deltas!$A$2:$P$15000,5,FALSE),"")</f>
        <v/>
      </c>
      <c r="H65" s="56" t="inlineStr">
        <is>
          <t>Blanket (page end)</t>
        </is>
      </c>
    </row>
    <row r="66">
      <c r="A66" s="63" t="inlineStr">
        <is>
          <t>EMA_BLANKET_FILTER_MIN_TFS</t>
        </is>
      </c>
      <c r="B66" s="56" t="inlineStr">
        <is>
          <t>0</t>
        </is>
      </c>
      <c r="C66" s="56" t="n"/>
      <c r="D66" s="56" t="inlineStr">
        <is>
          <t>GLOBAL_CHECK</t>
        </is>
      </c>
      <c r="E66" s="56">
        <f>IF(G66="",E65,IF(G66&gt;0,E65+G66,E65))</f>
        <v/>
      </c>
      <c r="G66" s="56">
        <f>IFERROR(VLOOKUP($A66&amp;"="&amp;$B66,Results_Deltas!$A$2:$P$15000,5,FALSE),"")</f>
        <v/>
      </c>
      <c r="H66" s="56" t="inlineStr">
        <is>
          <t>Blanket (page end)</t>
        </is>
      </c>
    </row>
    <row r="67">
      <c r="A67" s="63" t="inlineStr">
        <is>
          <t>EMA_BLANKET_FILTER_MIN_TFS</t>
        </is>
      </c>
      <c r="B67" s="56" t="inlineStr">
        <is>
          <t>2</t>
        </is>
      </c>
      <c r="C67" s="56" t="n"/>
      <c r="D67" s="56" t="inlineStr">
        <is>
          <t>GLOBAL_CHECK</t>
        </is>
      </c>
      <c r="E67" s="56">
        <f>IF(G67="",E66,IF(G67&gt;0,E66+G67,E66))</f>
        <v/>
      </c>
      <c r="G67" s="56">
        <f>IFERROR(VLOOKUP($A67&amp;"="&amp;$B67,Results_Deltas!$A$2:$P$15000,5,FALSE),"")</f>
        <v/>
      </c>
      <c r="H67" s="56" t="inlineStr">
        <is>
          <t>Blanket (page end)</t>
        </is>
      </c>
    </row>
    <row r="68">
      <c r="A68" s="63" t="inlineStr">
        <is>
          <t>EMA_BLANKET_FILTER_MIN_TFS</t>
        </is>
      </c>
      <c r="B68" s="56" t="inlineStr">
        <is>
          <t>1</t>
        </is>
      </c>
      <c r="C68" s="56" t="n"/>
      <c r="D68" s="56" t="inlineStr">
        <is>
          <t>GLOBAL_CHECK</t>
        </is>
      </c>
      <c r="E68" s="56">
        <f>IF(G68="",E67,IF(G68&gt;0,E67+G68,E67))</f>
        <v/>
      </c>
      <c r="G68" s="56">
        <f>IFERROR(VLOOKUP($A68&amp;"="&amp;$B68,Results_Deltas!$A$2:$P$15000,5,FALSE),"")</f>
        <v/>
      </c>
      <c r="H68" s="56" t="inlineStr">
        <is>
          <t>Blanket (page end)</t>
        </is>
      </c>
    </row>
    <row r="69">
      <c r="A69" s="63" t="inlineStr">
        <is>
          <t>EXECUTE_NOW_SINGLE_GATE_ENFORCE</t>
        </is>
      </c>
      <c r="B69" s="56" t="inlineStr">
        <is>
          <t>0.0</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EXECUTE_NOW_SINGLE_GATE_ENFORCE</t>
        </is>
      </c>
      <c r="B70" s="56" t="inlineStr">
        <is>
          <t>0.0_ALT</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EZ_MANAGE_THROTTLER_RATE</t>
        </is>
      </c>
      <c r="B71" s="56" t="inlineStr">
        <is>
          <t>0.0</t>
        </is>
      </c>
      <c r="C71" s="56" t="n"/>
      <c r="D71" s="56" t="inlineStr">
        <is>
          <t>GLOBAL_CHECK, STOCKS_EXIT</t>
        </is>
      </c>
      <c r="E71" s="56">
        <f>IF(G71="",E70,IF(G71&gt;0,E70+G71,E70))</f>
        <v/>
      </c>
      <c r="G71" s="56">
        <f>IFERROR(VLOOKUP($A71&amp;"="&amp;$B71,Results_Deltas!$A$2:$P$15000,5,FALSE),"")</f>
        <v/>
      </c>
      <c r="H71" s="56" t="inlineStr">
        <is>
          <t>Blanket (page end)</t>
        </is>
      </c>
    </row>
    <row r="72">
      <c r="A72" s="63" t="inlineStr">
        <is>
          <t>EZ_MANAGE_THROTTLER_RATE</t>
        </is>
      </c>
      <c r="B72" s="56" t="inlineStr">
        <is>
          <t>0.0_ALT</t>
        </is>
      </c>
      <c r="C72" s="56" t="n"/>
      <c r="D72" s="56" t="inlineStr">
        <is>
          <t>GLOBAL_CHECK, STOCKS_EXIT</t>
        </is>
      </c>
      <c r="E72" s="56">
        <f>IF(G72="",E71,IF(G72&gt;0,E71+G72,E71))</f>
        <v/>
      </c>
      <c r="G72" s="56">
        <f>IFERROR(VLOOKUP($A72&amp;"="&amp;$B72,Results_Deltas!$A$2:$P$15000,5,FALSE),"")</f>
        <v/>
      </c>
      <c r="H72" s="56" t="inlineStr">
        <is>
          <t>Blanket (page end)</t>
        </is>
      </c>
    </row>
    <row r="73">
      <c r="A73" s="63" t="inlineStr">
        <is>
          <t>FG_FEAR_THRESHOLD</t>
        </is>
      </c>
      <c r="B73" s="56" t="inlineStr">
        <is>
          <t>25</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FG_FEAR_THRESHOLD</t>
        </is>
      </c>
      <c r="B74" s="56" t="inlineStr">
        <is>
          <t>31.25</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FG_FEAR_THRESHOLD</t>
        </is>
      </c>
      <c r="B75" s="56" t="inlineStr">
        <is>
          <t>18.75</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FG_FEAR_THRESHOLD</t>
        </is>
      </c>
      <c r="B76" s="56" t="inlineStr">
        <is>
          <t>12.5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FG_GREED_THRESHOLD</t>
        </is>
      </c>
      <c r="B77" s="56" t="inlineStr">
        <is>
          <t>75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FG_GREED_THRESHOLD</t>
        </is>
      </c>
      <c r="B78" s="56" t="inlineStr">
        <is>
          <t>93.75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FG_GREED_THRESHOLD</t>
        </is>
      </c>
      <c r="B79" s="56" t="inlineStr">
        <is>
          <t>56.25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FG_GREED_THRESHOLD</t>
        </is>
      </c>
      <c r="B80" s="56" t="inlineStr">
        <is>
          <t>37.5</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FUNDING_GATE_FILTER_TF</t>
        </is>
      </c>
      <c r="B81" s="56" t="inlineStr">
        <is>
          <t>OFF</t>
        </is>
      </c>
      <c r="C81" s="56" t="n"/>
      <c r="D81" s="56" t="inlineStr">
        <is>
          <t>GLOBAL_CHECK</t>
        </is>
      </c>
      <c r="E81" s="56">
        <f>IF(G81="",E80,IF(G81&gt;0,E80+G81,E80))</f>
        <v/>
      </c>
      <c r="G81" s="56">
        <f>IFERROR(VLOOKUP($A81&amp;"="&amp;$B81,Results_Deltas!$A$2:$P$15000,5,FALSE),"")</f>
        <v/>
      </c>
      <c r="H81" s="56" t="inlineStr">
        <is>
          <t>Blanket (page end)</t>
        </is>
      </c>
    </row>
    <row r="82">
      <c r="A82" s="63" t="inlineStr">
        <is>
          <t>FUNDING_GATE_FILTER_TF</t>
        </is>
      </c>
      <c r="B82" s="56" t="inlineStr">
        <is>
          <t>D</t>
        </is>
      </c>
      <c r="C82" s="56" t="n"/>
      <c r="D82" s="56" t="inlineStr">
        <is>
          <t>GLOBAL_CHECK</t>
        </is>
      </c>
      <c r="E82" s="56">
        <f>IF(G82="",E81,IF(G82&gt;0,E81+G82,E81))</f>
        <v/>
      </c>
      <c r="G82" s="56">
        <f>IFERROR(VLOOKUP($A82&amp;"="&amp;$B82,Results_Deltas!$A$2:$P$15000,5,FALSE),"")</f>
        <v/>
      </c>
      <c r="H82" s="56" t="inlineStr">
        <is>
          <t>Blanket (page end)</t>
        </is>
      </c>
    </row>
    <row r="83">
      <c r="A83" s="63" t="inlineStr">
        <is>
          <t>FUNDING_GATE_FILTER_TF</t>
        </is>
      </c>
      <c r="B83" s="56" t="inlineStr">
        <is>
          <t>4h</t>
        </is>
      </c>
      <c r="C83" s="56" t="n"/>
      <c r="D83" s="56" t="inlineStr">
        <is>
          <t>GLOBAL_CHECK</t>
        </is>
      </c>
      <c r="E83" s="56">
        <f>IF(G83="",E82,IF(G83&gt;0,E82+G83,E82))</f>
        <v/>
      </c>
      <c r="G83" s="56">
        <f>IFERROR(VLOOKUP($A83&amp;"="&amp;$B83,Results_Deltas!$A$2:$P$15000,5,FALSE),"")</f>
        <v/>
      </c>
      <c r="H83" s="56" t="inlineStr">
        <is>
          <t>Blanket (page end)</t>
        </is>
      </c>
    </row>
    <row r="84">
      <c r="A84" s="63" t="inlineStr">
        <is>
          <t>FUNDING_GATE_FILTER_TF</t>
        </is>
      </c>
      <c r="B84" s="56" t="inlineStr">
        <is>
          <t>1h</t>
        </is>
      </c>
      <c r="C84" s="56" t="n"/>
      <c r="D84" s="56" t="inlineStr">
        <is>
          <t>GLOBAL_CHECK</t>
        </is>
      </c>
      <c r="E84" s="56">
        <f>IF(G84="",E83,IF(G84&gt;0,E83+G84,E83))</f>
        <v/>
      </c>
      <c r="G84" s="56">
        <f>IFERROR(VLOOKUP($A84&amp;"="&amp;$B84,Results_Deltas!$A$2:$P$15000,5,FALSE),"")</f>
        <v/>
      </c>
      <c r="H84" s="56" t="inlineStr">
        <is>
          <t>Blanket (page end)</t>
        </is>
      </c>
    </row>
    <row r="85">
      <c r="A85" s="63" t="inlineStr">
        <is>
          <t>FUNDING_GATE_FILTER_TF</t>
        </is>
      </c>
      <c r="B85" s="56" t="inlineStr">
        <is>
          <t>15m</t>
        </is>
      </c>
      <c r="C85" s="56" t="n"/>
      <c r="D85" s="56" t="inlineStr">
        <is>
          <t>GLOBAL_CHECK</t>
        </is>
      </c>
      <c r="E85" s="56">
        <f>IF(G85="",E84,IF(G85&gt;0,E84+G85,E84))</f>
        <v/>
      </c>
      <c r="G85" s="56">
        <f>IFERROR(VLOOKUP($A85&amp;"="&amp;$B85,Results_Deltas!$A$2:$P$15000,5,FALSE),"")</f>
        <v/>
      </c>
      <c r="H85" s="56" t="inlineStr">
        <is>
          <t>Blanket (page end)</t>
        </is>
      </c>
    </row>
    <row r="86">
      <c r="A86" s="63" t="inlineStr">
        <is>
          <t>FUNDING_GATE_LONG_MAX</t>
        </is>
      </c>
      <c r="B86" s="56" t="inlineStr">
        <is>
          <t>0.0</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FUNDING_GATE_LONG_MAX</t>
        </is>
      </c>
      <c r="B87" s="56" t="inlineStr">
        <is>
          <t>0.0_ALT</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FUNDING_GATE_MTF_REQUIRED</t>
        </is>
      </c>
      <c r="B88" s="56" t="inlineStr">
        <is>
          <t>0.0</t>
        </is>
      </c>
      <c r="C88" s="56" t="n"/>
      <c r="D88" s="56" t="inlineStr">
        <is>
          <t>ENTRY, GLOBAL_CHECK, STOCKS_EXIT</t>
        </is>
      </c>
      <c r="E88" s="56">
        <f>IF(G88="",E87,IF(G88&gt;0,E87+G88,E87))</f>
        <v/>
      </c>
      <c r="G88" s="56">
        <f>IFERROR(VLOOKUP($A88&amp;"="&amp;$B88,Results_Deltas!$A$2:$P$15000,5,FALSE),"")</f>
        <v/>
      </c>
      <c r="H88" s="56" t="inlineStr">
        <is>
          <t>Blanket (page end)</t>
        </is>
      </c>
    </row>
    <row r="89">
      <c r="A89" s="63" t="inlineStr">
        <is>
          <t>FUNDING_GATE_MTF_REQUIRED</t>
        </is>
      </c>
      <c r="B89" s="56" t="inlineStr">
        <is>
          <t>0.0_ALT</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FUNDING_GATE_SHORT_MIN</t>
        </is>
      </c>
      <c r="B90" s="56" t="inlineStr">
        <is>
          <t>0.0</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FUNDING_GATE_SHORT_MIN</t>
        </is>
      </c>
      <c r="B91" s="56" t="inlineStr">
        <is>
          <t>0.0_ALT</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GOLDEN_RULE_BASE_USD</t>
        </is>
      </c>
      <c r="B92" s="56" t="inlineStr">
        <is>
          <t>0.0</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GOLDEN_RULE_BASE_USD</t>
        </is>
      </c>
      <c r="B93" s="56" t="inlineStr">
        <is>
          <t>0.0_ALT</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GR_FILTER_ALL_ENTRIES</t>
        </is>
      </c>
      <c r="B94" s="56" t="inlineStr">
        <is>
          <t>0.0</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GR_FILTER_ALL_ENTRIES</t>
        </is>
      </c>
      <c r="B95" s="56" t="inlineStr">
        <is>
          <t>0.0_ALT</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GR_FILTER_VEC_ENABLED</t>
        </is>
      </c>
      <c r="B96" s="56" t="inlineStr">
        <is>
          <t>False</t>
        </is>
      </c>
      <c r="C96" s="56" t="n"/>
      <c r="D96" s="56" t="inlineStr">
        <is>
          <t>GLOBAL_CHECK</t>
        </is>
      </c>
      <c r="E96" s="56">
        <f>IF(G96="",E95,IF(G96&gt;0,E95+G96,E95))</f>
        <v/>
      </c>
      <c r="G96" s="56">
        <f>IFERROR(VLOOKUP($A96&amp;"="&amp;$B96,Results_Deltas!$A$2:$P$15000,5,FALSE),"")</f>
        <v/>
      </c>
      <c r="H96" s="56" t="inlineStr">
        <is>
          <t>Blanket (page end)</t>
        </is>
      </c>
    </row>
    <row r="97">
      <c r="A97" s="63" t="inlineStr">
        <is>
          <t>GR_FILTER_VEC_ENABLED</t>
        </is>
      </c>
      <c r="B97" s="56" t="inlineStr">
        <is>
          <t>True</t>
        </is>
      </c>
      <c r="C97" s="56" t="n"/>
      <c r="D97" s="56" t="inlineStr">
        <is>
          <t>GLOBAL_CHECK</t>
        </is>
      </c>
      <c r="E97" s="56">
        <f>IF(G97="",E96,IF(G97&gt;0,E96+G97,E96))</f>
        <v/>
      </c>
      <c r="G97" s="56">
        <f>IFERROR(VLOOKUP($A97&amp;"="&amp;$B97,Results_Deltas!$A$2:$P$15000,5,FALSE),"")</f>
        <v/>
      </c>
      <c r="H97" s="56" t="inlineStr">
        <is>
          <t>Blanket (page end)</t>
        </is>
      </c>
    </row>
    <row r="98">
      <c r="A98" s="63" t="inlineStr">
        <is>
          <t>GR_FILTER_VEC_MIN_TFS</t>
        </is>
      </c>
      <c r="B98" s="56" t="inlineStr">
        <is>
          <t>0</t>
        </is>
      </c>
      <c r="C98" s="56" t="n"/>
      <c r="D98" s="56" t="inlineStr">
        <is>
          <t>GLOBAL_CHECK</t>
        </is>
      </c>
      <c r="E98" s="56">
        <f>IF(G98="",E97,IF(G98&gt;0,E97+G98,E97))</f>
        <v/>
      </c>
      <c r="G98" s="56">
        <f>IFERROR(VLOOKUP($A98&amp;"="&amp;$B98,Results_Deltas!$A$2:$P$15000,5,FALSE),"")</f>
        <v/>
      </c>
      <c r="H98" s="56" t="inlineStr">
        <is>
          <t>Blanket (page end)</t>
        </is>
      </c>
    </row>
    <row r="99">
      <c r="A99" s="63" t="inlineStr">
        <is>
          <t>GR_FILTER_VEC_MIN_TFS</t>
        </is>
      </c>
      <c r="B99" s="56" t="inlineStr">
        <is>
          <t>2</t>
        </is>
      </c>
      <c r="C99" s="56" t="n"/>
      <c r="D99" s="56" t="inlineStr">
        <is>
          <t>GLOBAL_CHECK</t>
        </is>
      </c>
      <c r="E99" s="56">
        <f>IF(G99="",E98,IF(G99&gt;0,E98+G99,E98))</f>
        <v/>
      </c>
      <c r="G99" s="56">
        <f>IFERROR(VLOOKUP($A99&amp;"="&amp;$B99,Results_Deltas!$A$2:$P$15000,5,FALSE),"")</f>
        <v/>
      </c>
      <c r="H99" s="56" t="inlineStr">
        <is>
          <t>Blanket (page end)</t>
        </is>
      </c>
    </row>
    <row r="100">
      <c r="A100" s="63" t="inlineStr">
        <is>
          <t>GR_FILTER_VEC_MIN_TFS</t>
        </is>
      </c>
      <c r="B100" s="56" t="inlineStr">
        <is>
          <t>1</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HA_WICK_QUALITY_ENABLED</t>
        </is>
      </c>
      <c r="B101" s="56" t="inlineStr">
        <is>
          <t>False</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HA_WICK_QUALITY_ENABLED</t>
        </is>
      </c>
      <c r="B102" s="56" t="inlineStr">
        <is>
          <t>True</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HA_WICK_QUALITY_SCORE</t>
        </is>
      </c>
      <c r="B103" s="56" t="inlineStr">
        <is>
          <t>15</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HA_WICK_QUALITY_SCORE</t>
        </is>
      </c>
      <c r="B104" s="56" t="inlineStr">
        <is>
          <t>15_ALT</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HA_WICK_QUALITY_TF</t>
        </is>
      </c>
      <c r="B105" s="56" t="inlineStr">
        <is>
          <t>OFF</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HA_WICK_QUALITY_TF</t>
        </is>
      </c>
      <c r="B106" s="56" t="inlineStr">
        <is>
          <t>D</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HA_WICK_QUALITY_TF</t>
        </is>
      </c>
      <c r="B107" s="56" t="inlineStr">
        <is>
          <t>4h</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HA_WICK_QUALITY_TF</t>
        </is>
      </c>
      <c r="B108" s="56" t="inlineStr">
        <is>
          <t>1h</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HA_WICK_QUALITY_TF</t>
        </is>
      </c>
      <c r="B109" s="56" t="inlineStr">
        <is>
          <t>15m</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HLR_SMA_BAND_PCT</t>
        </is>
      </c>
      <c r="B110" s="56" t="inlineStr">
        <is>
          <t>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HLR_SMA_BAND_PCT</t>
        </is>
      </c>
      <c r="B111" s="56" t="inlineStr">
        <is>
          <t>2.0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HLR_SMA_BAND_PCT</t>
        </is>
      </c>
      <c r="B112" s="56" t="inlineStr">
        <is>
          <t>1.0</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HLR_SMA_BAND_PCT</t>
        </is>
      </c>
      <c r="B113" s="56" t="inlineStr">
        <is>
          <t>0.5</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HLR_TOP_MIN_TFS</t>
        </is>
      </c>
      <c r="B114" s="56" t="inlineStr">
        <is>
          <t>0</t>
        </is>
      </c>
      <c r="C114" s="56" t="n"/>
      <c r="D114" s="56" t="inlineStr">
        <is>
          <t>GLOBAL_CHECK, REENTRY, STOCKS_EXIT</t>
        </is>
      </c>
      <c r="E114" s="56">
        <f>IF(G114="",E113,IF(G114&gt;0,E113+G114,E113))</f>
        <v/>
      </c>
      <c r="G114" s="56">
        <f>IFERROR(VLOOKUP($A114&amp;"="&amp;$B114,Results_Deltas!$A$2:$P$15000,5,FALSE),"")</f>
        <v/>
      </c>
      <c r="H114" s="56" t="inlineStr">
        <is>
          <t>Blanket (page end)</t>
        </is>
      </c>
    </row>
    <row r="115">
      <c r="A115" s="63" t="inlineStr">
        <is>
          <t>HLR_TOP_MIN_TFS</t>
        </is>
      </c>
      <c r="B115" s="56" t="inlineStr">
        <is>
          <t>2</t>
        </is>
      </c>
      <c r="C115" s="56" t="n"/>
      <c r="D115" s="56" t="inlineStr">
        <is>
          <t>GLOBAL_CHECK, REENTRY, STOCKS_EXIT</t>
        </is>
      </c>
      <c r="E115" s="56">
        <f>IF(G115="",E114,IF(G115&gt;0,E114+G115,E114))</f>
        <v/>
      </c>
      <c r="G115" s="56">
        <f>IFERROR(VLOOKUP($A115&amp;"="&amp;$B115,Results_Deltas!$A$2:$P$15000,5,FALSE),"")</f>
        <v/>
      </c>
      <c r="H115" s="56" t="inlineStr">
        <is>
          <t>Blanket (page end)</t>
        </is>
      </c>
    </row>
    <row r="116">
      <c r="A116" s="63" t="inlineStr">
        <is>
          <t>HLR_TOP_MIN_TFS</t>
        </is>
      </c>
      <c r="B116" s="56" t="inlineStr">
        <is>
          <t>1</t>
        </is>
      </c>
      <c r="C116" s="56" t="n"/>
      <c r="D116" s="56" t="inlineStr">
        <is>
          <t>GLOBAL_CHECK, REENTRY, STOCKS_EXIT</t>
        </is>
      </c>
      <c r="E116" s="56">
        <f>IF(G116="",E115,IF(G116&gt;0,E115+G116,E115))</f>
        <v/>
      </c>
      <c r="G116" s="56">
        <f>IFERROR(VLOOKUP($A116&amp;"="&amp;$B116,Results_Deltas!$A$2:$P$15000,5,FALSE),"")</f>
        <v/>
      </c>
      <c r="H116" s="56" t="inlineStr">
        <is>
          <t>Blanket (page end)</t>
        </is>
      </c>
    </row>
    <row r="117">
      <c r="A117" s="63" t="inlineStr">
        <is>
          <t>HTF4_CONF</t>
        </is>
      </c>
      <c r="B117" s="56" t="inlineStr">
        <is>
          <t>False</t>
        </is>
      </c>
      <c r="C117" s="56" t="n"/>
      <c r="D117" s="56" t="inlineStr">
        <is>
          <t>GLOBAL_CHECK, STOCKS_EXIT</t>
        </is>
      </c>
      <c r="E117" s="56">
        <f>IF(G117="",E116,IF(G117&gt;0,E116+G117,E116))</f>
        <v/>
      </c>
      <c r="G117" s="56">
        <f>IFERROR(VLOOKUP($A117&amp;"="&amp;$B117,Results_Deltas!$A$2:$P$15000,5,FALSE),"")</f>
        <v/>
      </c>
      <c r="H117" s="56" t="inlineStr">
        <is>
          <t>Blanket (page end)</t>
        </is>
      </c>
    </row>
    <row r="118">
      <c r="A118" s="63" t="inlineStr">
        <is>
          <t>HTF4_CONF</t>
        </is>
      </c>
      <c r="B118" s="56" t="inlineStr">
        <is>
          <t>False_ALT</t>
        </is>
      </c>
      <c r="C118" s="56" t="n"/>
      <c r="D118" s="56" t="inlineStr">
        <is>
          <t>GLOBAL_CHECK, STOCKS_EXIT</t>
        </is>
      </c>
      <c r="E118" s="56">
        <f>IF(G118="",E117,IF(G118&gt;0,E117+G118,E117))</f>
        <v/>
      </c>
      <c r="G118" s="56">
        <f>IFERROR(VLOOKUP($A118&amp;"="&amp;$B118,Results_Deltas!$A$2:$P$15000,5,FALSE),"")</f>
        <v/>
      </c>
      <c r="H118" s="56" t="inlineStr">
        <is>
          <t>Blanket (page end)</t>
        </is>
      </c>
    </row>
    <row r="119">
      <c r="A119" s="63" t="inlineStr">
        <is>
          <t>HTF_DIRECTION_GATE_ENABLED</t>
        </is>
      </c>
      <c r="B119" s="56" t="inlineStr">
        <is>
          <t>False</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HTF_DIRECTION_GATE_ENABLED</t>
        </is>
      </c>
      <c r="B120" s="56" t="inlineStr">
        <is>
          <t>True</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HTF_GATE_BYPASS_RZ</t>
        </is>
      </c>
      <c r="B121" s="56" t="inlineStr">
        <is>
          <t>0.0</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HTF_GATE_BYPASS_RZ</t>
        </is>
      </c>
      <c r="B122" s="56" t="inlineStr">
        <is>
          <t>0.0_ALT</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HTF_GATE_D_MANDATORY</t>
        </is>
      </c>
      <c r="B123" s="56" t="inlineStr">
        <is>
          <t>0.0</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HTF_GATE_D_MANDATORY</t>
        </is>
      </c>
      <c r="B124" s="56" t="inlineStr">
        <is>
          <t>0.0_ALT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HTF_GATE_MIN_CONFIRMATIONS</t>
        </is>
      </c>
      <c r="B125" s="56" t="inlineStr">
        <is>
          <t>0.0</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HTF_GATE_MIN_CONFIRMATIONS</t>
        </is>
      </c>
      <c r="B126" s="56" t="inlineStr">
        <is>
          <t>0.0_ALT</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HTF_TREND_VETO_BYPASS_ENABLED</t>
        </is>
      </c>
      <c r="B127" s="56" t="inlineStr">
        <is>
          <t>False</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HTF_TREND_VETO_BYPASS_ENABLED</t>
        </is>
      </c>
      <c r="B128" s="56" t="inlineStr">
        <is>
          <t>True</t>
        </is>
      </c>
      <c r="C128" s="56" t="n"/>
      <c r="D128" s="56" t="inlineStr">
        <is>
          <t>GLOBAL_CHECK, STOCKS_EXIT</t>
        </is>
      </c>
      <c r="E128" s="56">
        <f>IF(G128="",E127,IF(G128&gt;0,E127+G128,E127))</f>
        <v/>
      </c>
      <c r="G128" s="56">
        <f>IFERROR(VLOOKUP($A128&amp;"="&amp;$B128,Results_Deltas!$A$2:$P$15000,5,FALSE),"")</f>
        <v/>
      </c>
      <c r="H128" s="56" t="inlineStr">
        <is>
          <t>Blanket (page end)</t>
        </is>
      </c>
    </row>
    <row r="129">
      <c r="A129" s="63" t="inlineStr">
        <is>
          <t>HTF_TREND_VETO_BYPASS_REASONS</t>
        </is>
      </c>
      <c r="B129" s="56" t="inlineStr">
        <is>
          <t>0.0</t>
        </is>
      </c>
      <c r="C129" s="56" t="n"/>
      <c r="D129" s="56" t="inlineStr">
        <is>
          <t>GLOBAL_CHECK, STOCKS_EXIT</t>
        </is>
      </c>
      <c r="E129" s="56">
        <f>IF(G129="",E128,IF(G129&gt;0,E128+G129,E128))</f>
        <v/>
      </c>
      <c r="G129" s="56">
        <f>IFERROR(VLOOKUP($A129&amp;"="&amp;$B129,Results_Deltas!$A$2:$P$15000,5,FALSE),"")</f>
        <v/>
      </c>
      <c r="H129" s="56" t="inlineStr">
        <is>
          <t>Blanket (page end)</t>
        </is>
      </c>
    </row>
    <row r="130">
      <c r="A130" s="63" t="inlineStr">
        <is>
          <t>HTF_TREND_VETO_BYPASS_REASONS</t>
        </is>
      </c>
      <c r="B130" s="56" t="inlineStr">
        <is>
          <t>0.0_ALT</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LEADERBOARD_FILTER</t>
        </is>
      </c>
      <c r="B131" s="56" t="inlineStr">
        <is>
          <t>False</t>
        </is>
      </c>
      <c r="C131" s="56" t="n"/>
      <c r="D131" s="56" t="inlineStr">
        <is>
          <t>AUGMENT, ENTRY, EXIT, GLOBAL_CHECK, REDUCE, STOCKS_EXIT</t>
        </is>
      </c>
      <c r="E131" s="56">
        <f>IF(G131="",E130,IF(G131&gt;0,E130+G131,E130))</f>
        <v/>
      </c>
      <c r="G131" s="56">
        <f>IFERROR(VLOOKUP($A131&amp;"="&amp;$B131,Results_Deltas!$A$2:$P$15000,5,FALSE),"")</f>
        <v/>
      </c>
      <c r="H131" s="56" t="inlineStr">
        <is>
          <t>Blanket (page end)</t>
        </is>
      </c>
    </row>
    <row r="132">
      <c r="A132" s="63" t="inlineStr">
        <is>
          <t>LEADERBOARD_FILTER</t>
        </is>
      </c>
      <c r="B132" s="56" t="inlineStr">
        <is>
          <t>False_ALT</t>
        </is>
      </c>
      <c r="C132" s="56" t="n"/>
      <c r="D132" s="56" t="inlineStr">
        <is>
          <t>AUGMENT, ENTRY, EXIT, GLOBAL_CHECK, REDUCE, STOCKS_EXIT</t>
        </is>
      </c>
      <c r="E132" s="56">
        <f>IF(G132="",E131,IF(G132&gt;0,E131+G132,E131))</f>
        <v/>
      </c>
      <c r="G132" s="56">
        <f>IFERROR(VLOOKUP($A132&amp;"="&amp;$B132,Results_Deltas!$A$2:$P$15000,5,FALSE),"")</f>
        <v/>
      </c>
      <c r="H132" s="56" t="inlineStr">
        <is>
          <t>Blanket (page end)</t>
        </is>
      </c>
    </row>
    <row r="133">
      <c r="A133" s="63" t="inlineStr">
        <is>
          <t>LH_HL_FILTER_ENABLED</t>
        </is>
      </c>
      <c r="B133" s="56" t="inlineStr">
        <is>
          <t>False</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LH_HL_FILTER_ENABLED</t>
        </is>
      </c>
      <c r="B134" s="56" t="inlineStr">
        <is>
          <t>True</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LH_HL_FILTER_MODE</t>
        </is>
      </c>
      <c r="B135" s="56" t="inlineStr">
        <is>
          <t>STRICT_2BAR</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LH_HL_FILTER_MODE</t>
        </is>
      </c>
      <c r="B136" s="56" t="inlineStr">
        <is>
          <t>STRICT_2BAR_ALT</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LH_HL_FILTER_REQUIRE_BOTH</t>
        </is>
      </c>
      <c r="B137" s="56" t="inlineStr">
        <is>
          <t>False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LH_HL_FILTER_REQUIRE_BOTH</t>
        </is>
      </c>
      <c r="B138" s="56" t="inlineStr">
        <is>
          <t>False_ALT</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LIVE_VEC_EMERGENCY_BRAKE_ENABLED</t>
        </is>
      </c>
      <c r="B139" s="56" t="inlineStr">
        <is>
          <t>False</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LIVE_VEC_EMERGENCY_BRAKE_ENABLED</t>
        </is>
      </c>
      <c r="B140" s="56" t="inlineStr">
        <is>
          <t>True</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LR_BAND_LADDER_STOCH_EXTREME</t>
        </is>
      </c>
      <c r="B141" s="56" t="inlineStr">
        <is>
          <t>30.0</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LR_BAND_LADDER_STOCH_EXTREME</t>
        </is>
      </c>
      <c r="B142" s="56" t="inlineStr">
        <is>
          <t>30.0_ALT</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LR_BAND_LADDER_TF_BOTTOM</t>
        </is>
      </c>
      <c r="B143" s="56" t="inlineStr">
        <is>
          <t>0</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LR_BAND_LADDER_TF_BOTTOM</t>
        </is>
      </c>
      <c r="B144" s="56" t="inlineStr">
        <is>
          <t>1</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LR_BAND_LADDER_TF_TOP</t>
        </is>
      </c>
      <c r="B145" s="56" t="inlineStr">
        <is>
          <t>0</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LR_BAND_LADDER_TF_TOP</t>
        </is>
      </c>
      <c r="B146" s="56" t="inlineStr">
        <is>
          <t>1</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MANDATORY_REENTRY_WT_FILTER_MIN_TFS</t>
        </is>
      </c>
      <c r="B147" s="56" t="inlineStr">
        <is>
          <t>1</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MANDATORY_REENTRY_WT_FILTER_MIN_TFS</t>
        </is>
      </c>
      <c r="B148" s="56" t="inlineStr">
        <is>
          <t>3</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MANDATORY_REENTRY_WT_FILTER_MIN_TFS</t>
        </is>
      </c>
      <c r="B149" s="56" t="inlineStr">
        <is>
          <t>2</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MANDATORY_REENTRY_WT_FILTER_MIN_VELOCITY</t>
        </is>
      </c>
      <c r="B150" s="56" t="inlineStr">
        <is>
          <t>0.0</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MANDATORY_REENTRY_WT_FILTER_MIN_VELOCITY</t>
        </is>
      </c>
      <c r="B151" s="56" t="inlineStr">
        <is>
          <t>0.0_ALT</t>
        </is>
      </c>
      <c r="C151" s="56" t="n"/>
      <c r="D151" s="56" t="inlineStr">
        <is>
          <t>GLOBAL_CHECK, STOCKS_EXIT</t>
        </is>
      </c>
      <c r="E151" s="56">
        <f>IF(G151="",E150,IF(G151&gt;0,E150+G151,E150))</f>
        <v/>
      </c>
      <c r="G151" s="56">
        <f>IFERROR(VLOOKUP($A151&amp;"="&amp;$B151,Results_Deltas!$A$2:$P$15000,5,FALSE),"")</f>
        <v/>
      </c>
      <c r="H151" s="56" t="inlineStr">
        <is>
          <t>Blanket (page end)</t>
        </is>
      </c>
    </row>
    <row r="152">
      <c r="A152" s="63" t="inlineStr">
        <is>
          <t>MANDATORY_REENTRY_WT_FILTER_REQUIRE_FLIP</t>
        </is>
      </c>
      <c r="B152" s="56" t="inlineStr">
        <is>
          <t>False</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MANDATORY_REENTRY_WT_FILTER_REQUIRE_FLIP</t>
        </is>
      </c>
      <c r="B153" s="56" t="inlineStr">
        <is>
          <t>False_ALT</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MANDATORY_REENTRY_WT_FILTER_VELOCITY_RATIO</t>
        </is>
      </c>
      <c r="B154" s="56" t="inlineStr">
        <is>
          <t>0.90</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MANDATORY_REENTRY_WT_FILTER_VELOCITY_RATIO</t>
        </is>
      </c>
      <c r="B155" s="56" t="inlineStr">
        <is>
          <t>0.90_ALT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MARKET_QUALITY_SCORE_ENABLED</t>
        </is>
      </c>
      <c r="B156" s="56" t="inlineStr">
        <is>
          <t>False</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MARKET_QUALITY_SCORE_ENABLED</t>
        </is>
      </c>
      <c r="B157" s="56" t="inlineStr">
        <is>
          <t>True</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MI_TF_AGREE_MIN</t>
        </is>
      </c>
      <c r="B158" s="56" t="inlineStr">
        <is>
          <t>0.0</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MI_TF_AGREE_MIN</t>
        </is>
      </c>
      <c r="B159" s="56" t="inlineStr">
        <is>
          <t>0.0_ALT</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MOVER_THRESHOLD</t>
        </is>
      </c>
      <c r="B160" s="56" t="inlineStr">
        <is>
          <t>5</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MOVER_THRESHOLD</t>
        </is>
      </c>
      <c r="B161" s="56" t="inlineStr">
        <is>
          <t>6.25</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MOVER_THRESHOLD</t>
        </is>
      </c>
      <c r="B162" s="56" t="inlineStr">
        <is>
          <t>3.75</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MOVER_THRESHOLD</t>
        </is>
      </c>
      <c r="B163" s="56" t="inlineStr">
        <is>
          <t>2.5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MTF_FILTER_STRONG_BUY_QUICK_BYPASS</t>
        </is>
      </c>
      <c r="B164" s="56" t="inlineStr">
        <is>
          <t>0.0</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MTF_FILTER_STRONG_BUY_QUICK_BYPASS</t>
        </is>
      </c>
      <c r="B165" s="56" t="inlineStr">
        <is>
          <t>0.0_ALT</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MTF_GR_MIN_IND</t>
        </is>
      </c>
      <c r="B166" s="56" t="inlineStr">
        <is>
          <t>5</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MTF_GR_MIN_IND</t>
        </is>
      </c>
      <c r="B167" s="56" t="inlineStr">
        <is>
          <t>5_ALT</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MTS_BOTTOM_BONUS_THRESHOLD</t>
        </is>
      </c>
      <c r="B168" s="56" t="inlineStr">
        <is>
          <t>25</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MTS_BOTTOM_BONUS_THRESHOLD</t>
        </is>
      </c>
      <c r="B169" s="56" t="inlineStr">
        <is>
          <t>31.25</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MTS_BOTTOM_BONUS_THRESHOLD</t>
        </is>
      </c>
      <c r="B170" s="56" t="inlineStr">
        <is>
          <t>18.75</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MTS_BOTTOM_BONUS_THRESHOLD</t>
        </is>
      </c>
      <c r="B171" s="56" t="inlineStr">
        <is>
          <t>12.5</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MTS_BOTTOM_STRONG_THRESHOLD</t>
        </is>
      </c>
      <c r="B172" s="56" t="inlineStr">
        <is>
          <t>40</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MTS_BOTTOM_STRONG_THRESHOLD</t>
        </is>
      </c>
      <c r="B173" s="56" t="inlineStr">
        <is>
          <t>50</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MTS_BOTTOM_STRONG_THRESHOLD</t>
        </is>
      </c>
      <c r="B174" s="56" t="inlineStr">
        <is>
          <t>30</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MTS_BOTTOM_STRONG_THRESHOLD</t>
        </is>
      </c>
      <c r="B175" s="56" t="inlineStr">
        <is>
          <t>20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MTS_GATE_ENABLED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MTS_GATE_ENABLED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NEWBORN_LOSS_KILL_GAIN_THRESHOLD_PCT</t>
        </is>
      </c>
      <c r="B178" s="56" t="inlineStr">
        <is>
          <t>0</t>
        </is>
      </c>
      <c r="C178" s="56" t="n"/>
      <c r="D178" s="56" t="inlineStr">
        <is>
          <t>AUGMENT, EXIT, GLOBAL_CHECK, REDUCE, STOCKS_EXIT</t>
        </is>
      </c>
      <c r="E178" s="56">
        <f>IF(G178="",E177,IF(G178&gt;0,E177+G178,E177))</f>
        <v/>
      </c>
      <c r="G178" s="56">
        <f>IFERROR(VLOOKUP($A178&amp;"="&amp;$B178,Results_Deltas!$A$2:$P$15000,5,FALSE),"")</f>
        <v/>
      </c>
      <c r="H178" s="56" t="inlineStr">
        <is>
          <t>Blanket (page end)</t>
        </is>
      </c>
    </row>
    <row r="179">
      <c r="A179" s="63" t="inlineStr">
        <is>
          <t>NEWBORN_LOSS_KILL_GAIN_THRESHOLD_PCT</t>
        </is>
      </c>
      <c r="B179" s="56" t="inlineStr">
        <is>
          <t>2.0</t>
        </is>
      </c>
      <c r="C179" s="56" t="n"/>
      <c r="D179" s="56" t="inlineStr">
        <is>
          <t>AUGMENT, EXIT, GLOBAL_CHECK, REDUCE, STOCKS_EXIT</t>
        </is>
      </c>
      <c r="E179" s="56">
        <f>IF(G179="",E178,IF(G179&gt;0,E178+G179,E178))</f>
        <v/>
      </c>
      <c r="G179" s="56">
        <f>IFERROR(VLOOKUP($A179&amp;"="&amp;$B179,Results_Deltas!$A$2:$P$15000,5,FALSE),"")</f>
        <v/>
      </c>
      <c r="H179" s="56" t="inlineStr">
        <is>
          <t>Blanket (page end)</t>
        </is>
      </c>
    </row>
    <row r="180">
      <c r="A180" s="63" t="inlineStr">
        <is>
          <t>NEWBORN_LOSS_KILL_GAIN_THRESHOLD_PCT</t>
        </is>
      </c>
      <c r="B180" s="56" t="inlineStr">
        <is>
          <t>1.0</t>
        </is>
      </c>
      <c r="C180" s="56" t="n"/>
      <c r="D180" s="56" t="inlineStr">
        <is>
          <t>AUGMENT, EXIT, GLOBAL_CHECK, REDUCE, STOCKS_EXIT</t>
        </is>
      </c>
      <c r="E180" s="56">
        <f>IF(G180="",E179,IF(G180&gt;0,E179+G180,E179))</f>
        <v/>
      </c>
      <c r="G180" s="56">
        <f>IFERROR(VLOOKUP($A180&amp;"="&amp;$B180,Results_Deltas!$A$2:$P$15000,5,FALSE),"")</f>
        <v/>
      </c>
      <c r="H180" s="56" t="inlineStr">
        <is>
          <t>Blanket (page end)</t>
        </is>
      </c>
    </row>
    <row r="181">
      <c r="A181" s="63" t="inlineStr">
        <is>
          <t>NEWBORN_LOSS_KILL_GAIN_THRESHOLD_PCT</t>
        </is>
      </c>
      <c r="B181" s="56" t="inlineStr">
        <is>
          <t>0.5</t>
        </is>
      </c>
      <c r="C181" s="56" t="n"/>
      <c r="D181" s="56" t="inlineStr">
        <is>
          <t>AUGMENT, EXIT, GLOBAL_CHECK, REDUCE, STOCKS_EXIT</t>
        </is>
      </c>
      <c r="E181" s="56">
        <f>IF(G181="",E180,IF(G181&gt;0,E180+G181,E180))</f>
        <v/>
      </c>
      <c r="G181" s="56">
        <f>IFERROR(VLOOKUP($A181&amp;"="&amp;$B181,Results_Deltas!$A$2:$P$15000,5,FALSE),"")</f>
        <v/>
      </c>
      <c r="H181" s="56" t="inlineStr">
        <is>
          <t>Blanket (page end)</t>
        </is>
      </c>
    </row>
    <row r="182">
      <c r="A182" s="63" t="inlineStr">
        <is>
          <t>NEWBORN_LOSS_KILL_REQUIRE_VEL_AGAINST</t>
        </is>
      </c>
      <c r="B182" s="56" t="inlineStr">
        <is>
          <t>0.0</t>
        </is>
      </c>
      <c r="C182" s="56" t="n"/>
      <c r="D182" s="56" t="inlineStr">
        <is>
          <t>AUGMENT, EXIT, GLOBAL_CHECK, REDUCE, STOCKS_EXIT</t>
        </is>
      </c>
      <c r="E182" s="56">
        <f>IF(G182="",E181,IF(G182&gt;0,E181+G182,E181))</f>
        <v/>
      </c>
      <c r="G182" s="56">
        <f>IFERROR(VLOOKUP($A182&amp;"="&amp;$B182,Results_Deltas!$A$2:$P$15000,5,FALSE),"")</f>
        <v/>
      </c>
      <c r="H182" s="56" t="inlineStr">
        <is>
          <t>Blanket (page end)</t>
        </is>
      </c>
    </row>
    <row r="183">
      <c r="A183" s="63" t="inlineStr">
        <is>
          <t>NEWBORN_LOSS_KILL_REQUIRE_VEL_AGAINST</t>
        </is>
      </c>
      <c r="B183" s="56" t="inlineStr">
        <is>
          <t>0.0_ALT</t>
        </is>
      </c>
      <c r="C183" s="56" t="n"/>
      <c r="D183" s="56" t="inlineStr">
        <is>
          <t>AUGMENT, EXIT, GLOBAL_CHECK, REDUCE, STOCKS_EXIT</t>
        </is>
      </c>
      <c r="E183" s="56">
        <f>IF(G183="",E182,IF(G183&gt;0,E182+G183,E182))</f>
        <v/>
      </c>
      <c r="G183" s="56">
        <f>IFERROR(VLOOKUP($A183&amp;"="&amp;$B183,Results_Deltas!$A$2:$P$15000,5,FALSE),"")</f>
        <v/>
      </c>
      <c r="H183" s="56" t="inlineStr">
        <is>
          <t>Blanket (page end)</t>
        </is>
      </c>
    </row>
    <row r="184">
      <c r="A184" s="63" t="inlineStr">
        <is>
          <t>NEW_POSITION_MAX_LOSS_THRESHOLD</t>
        </is>
      </c>
      <c r="B184" s="56" t="inlineStr">
        <is>
          <t>0</t>
        </is>
      </c>
      <c r="C184" s="56" t="n"/>
      <c r="D184" s="56" t="inlineStr">
        <is>
          <t>AUGMENT, EXIT, GLOBAL_CHECK, REDUCE, STOCKS_EXIT</t>
        </is>
      </c>
      <c r="E184" s="56">
        <f>IF(G184="",E183,IF(G184&gt;0,E183+G184,E183))</f>
        <v/>
      </c>
      <c r="G184" s="56">
        <f>IFERROR(VLOOKUP($A184&amp;"="&amp;$B184,Results_Deltas!$A$2:$P$15000,5,FALSE),"")</f>
        <v/>
      </c>
      <c r="H184" s="56" t="inlineStr">
        <is>
          <t>Blanket (page end)</t>
        </is>
      </c>
    </row>
    <row r="185">
      <c r="A185" s="63" t="inlineStr">
        <is>
          <t>NEW_POSITION_MAX_LOSS_THRESHOLD</t>
        </is>
      </c>
      <c r="B185" s="56" t="inlineStr">
        <is>
          <t>2.0</t>
        </is>
      </c>
      <c r="C185" s="56" t="n"/>
      <c r="D185" s="56" t="inlineStr">
        <is>
          <t>AUGMENT, EXIT, GLOBAL_CHECK, REDUCE, STOCKS_EXIT</t>
        </is>
      </c>
      <c r="E185" s="56">
        <f>IF(G185="",E184,IF(G185&gt;0,E184+G185,E184))</f>
        <v/>
      </c>
      <c r="G185" s="56">
        <f>IFERROR(VLOOKUP($A185&amp;"="&amp;$B185,Results_Deltas!$A$2:$P$15000,5,FALSE),"")</f>
        <v/>
      </c>
      <c r="H185" s="56" t="inlineStr">
        <is>
          <t>Blanket (page end)</t>
        </is>
      </c>
    </row>
    <row r="186">
      <c r="A186" s="63" t="inlineStr">
        <is>
          <t>NEW_POSITION_MAX_LOSS_THRESHOLD</t>
        </is>
      </c>
      <c r="B186" s="56" t="inlineStr">
        <is>
          <t>1.0</t>
        </is>
      </c>
      <c r="C186" s="56" t="n"/>
      <c r="D186" s="56" t="inlineStr">
        <is>
          <t>AUGMENT, EXIT, GLOBAL_CHECK, REDUCE, STOCKS_EXIT</t>
        </is>
      </c>
      <c r="E186" s="56">
        <f>IF(G186="",E185,IF(G186&gt;0,E185+G186,E185))</f>
        <v/>
      </c>
      <c r="G186" s="56">
        <f>IFERROR(VLOOKUP($A186&amp;"="&amp;$B186,Results_Deltas!$A$2:$P$15000,5,FALSE),"")</f>
        <v/>
      </c>
      <c r="H186" s="56" t="inlineStr">
        <is>
          <t>Blanket (page end)</t>
        </is>
      </c>
    </row>
    <row r="187">
      <c r="A187" s="63" t="inlineStr">
        <is>
          <t>NEW_POSITION_MAX_LOSS_THRESHOLD</t>
        </is>
      </c>
      <c r="B187" s="56" t="inlineStr">
        <is>
          <t>0.5</t>
        </is>
      </c>
      <c r="C187" s="56" t="n"/>
      <c r="D187" s="56" t="inlineStr">
        <is>
          <t>AUGMENT, EXIT, GLOBAL_CHECK, REDUCE, STOCKS_EXIT</t>
        </is>
      </c>
      <c r="E187" s="56">
        <f>IF(G187="",E186,IF(G187&gt;0,E186+G187,E186))</f>
        <v/>
      </c>
      <c r="G187" s="56">
        <f>IFERROR(VLOOKUP($A187&amp;"="&amp;$B187,Results_Deltas!$A$2:$P$15000,5,FALSE),"")</f>
        <v/>
      </c>
      <c r="H187" s="56" t="inlineStr">
        <is>
          <t>Blanket (page end)</t>
        </is>
      </c>
    </row>
    <row r="188">
      <c r="A188" s="63" t="inlineStr">
        <is>
          <t>OI_CONFIRM_ENABLED</t>
        </is>
      </c>
      <c r="B188" s="56" t="inlineStr">
        <is>
          <t>False</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OI_CONFIRM_ENABLED</t>
        </is>
      </c>
      <c r="B189" s="56" t="inlineStr">
        <is>
          <t>True</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OI_CONFIRM_MIN_CHANGE_PCT</t>
        </is>
      </c>
      <c r="B190" s="56" t="inlineStr">
        <is>
          <t>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OI_CONFIRM_MIN_CHANGE_PCT</t>
        </is>
      </c>
      <c r="B191" s="56" t="inlineStr">
        <is>
          <t>2.0</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OI_CONFIRM_MIN_CHANGE_PCT</t>
        </is>
      </c>
      <c r="B192" s="56" t="inlineStr">
        <is>
          <t>1.0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OI_CONFIRM_MIN_CHANGE_PCT</t>
        </is>
      </c>
      <c r="B193" s="56" t="inlineStr">
        <is>
          <t>0.5</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OI_CONFIRM_MIN_PRICE_PCT</t>
        </is>
      </c>
      <c r="B194" s="56" t="inlineStr">
        <is>
          <t>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OI_CONFIRM_MIN_PRICE_PCT</t>
        </is>
      </c>
      <c r="B195" s="56" t="inlineStr">
        <is>
          <t>2.0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OI_CONFIRM_MIN_PRICE_PCT</t>
        </is>
      </c>
      <c r="B196" s="56" t="inlineStr">
        <is>
          <t>1.0</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OI_CONFIRM_MIN_PRICE_PCT</t>
        </is>
      </c>
      <c r="B197" s="56" t="inlineStr">
        <is>
          <t>0.5</t>
        </is>
      </c>
      <c r="C197" s="56" t="n"/>
      <c r="D197" s="56" t="inlineStr">
        <is>
          <t>ENTRY, GLOBAL_CHECK, STOCKS_EXIT</t>
        </is>
      </c>
      <c r="E197" s="56">
        <f>IF(G197="",E196,IF(G197&gt;0,E196+G197,E196))</f>
        <v/>
      </c>
      <c r="G197" s="56">
        <f>IFERROR(VLOOKUP($A197&amp;"="&amp;$B197,Results_Deltas!$A$2:$P$15000,5,FALSE),"")</f>
        <v/>
      </c>
      <c r="H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M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DD_BOUNCE_ENABLED</t>
        </is>
      </c>
      <c r="B3" s="11" t="inlineStr">
        <is>
          <t>True</t>
        </is>
      </c>
      <c r="E3">
        <f>MAX('AUGMENT_TREND'!E:E)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ez_manage.py:4586 top()</t>
        </is>
      </c>
      <c r="IL3" s="9" t="inlineStr">
        <is>
          <t>v12_quick_engine.py:567 x9</t>
        </is>
      </c>
    </row>
    <row r="4" ht="11" customHeight="1">
      <c r="A4" s="10" t="inlineStr">
        <is>
          <t>MAX_AUGMENTS_PER_POSITION</t>
        </is>
      </c>
      <c r="B4" s="11" t="inlineStr">
        <is>
          <t>0</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ez_manage.py:3521 top()</t>
        </is>
      </c>
      <c r="IL4" s="9" t="inlineStr">
        <is>
          <t>v12_quick_engine.py:2267 x7</t>
        </is>
      </c>
    </row>
    <row r="5" ht="11" customHeight="1">
      <c r="A5" s="10" t="inlineStr">
        <is>
          <t>MAX_AUGMENTS_PER_POSITION</t>
        </is>
      </c>
      <c r="B5" s="11" t="inlineStr">
        <is>
          <t>0.5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ez_manage.py:3521 top()</t>
        </is>
      </c>
      <c r="IL5" s="9" t="inlineStr">
        <is>
          <t>v12_quick_engine.py:2267 x7</t>
        </is>
      </c>
    </row>
    <row r="6" ht="11" customHeight="1">
      <c r="A6" s="10" t="inlineStr">
        <is>
          <t>MAX_AUGMENTS_PER_POSITION</t>
        </is>
      </c>
      <c r="B6" s="11" t="inlineStr">
        <is>
          <t>1.0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ez_manage.py:3521 top()</t>
        </is>
      </c>
      <c r="IL6" s="9" t="inlineStr">
        <is>
          <t>v12_quick_engine.py:2267 x7</t>
        </is>
      </c>
    </row>
    <row r="7" ht="11" customHeight="1">
      <c r="A7" s="10" t="inlineStr">
        <is>
          <t>MAX_AUGMENTS_PER_POSITION</t>
        </is>
      </c>
      <c r="B7" s="11" t="inlineStr">
        <is>
          <t>2.0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ez_manage.py:3521 top()</t>
        </is>
      </c>
      <c r="IL7" s="9" t="inlineStr">
        <is>
          <t>v12_quick_engine.py:2267 x7</t>
        </is>
      </c>
    </row>
    <row r="8" ht="11" customHeight="1">
      <c r="A8" s="10" t="inlineStr">
        <is>
          <t>AUGMENTED_POSITIONS_GUARD_FLOOR_MULT</t>
        </is>
      </c>
      <c r="B8" s="11" t="inlineStr">
        <is>
          <t>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ez_manage.py:4336 top()</t>
        </is>
      </c>
      <c r="IL8" s="9" t="inlineStr">
        <is>
          <t>v12_quick_engine.py:221 x13</t>
        </is>
      </c>
    </row>
    <row r="9" ht="11" customHeight="1">
      <c r="A9" s="10" t="inlineStr">
        <is>
          <t>AUGMENTED_POSITIONS_GUARD_FLOOR_MULT</t>
        </is>
      </c>
      <c r="B9" s="11" t="inlineStr">
        <is>
          <t>0.5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ez_manage.py:4336 top()</t>
        </is>
      </c>
      <c r="IL9" s="9" t="inlineStr">
        <is>
          <t>v12_quick_engine.py:221 x13</t>
        </is>
      </c>
    </row>
    <row r="10" ht="11" customHeight="1">
      <c r="A10" s="10" t="inlineStr">
        <is>
          <t>AUGMENTED_POSITIONS_GUARD_FLOOR_MULT</t>
        </is>
      </c>
      <c r="B10" s="11" t="inlineStr">
        <is>
          <t>1.0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ez_manage.py:4336 top()</t>
        </is>
      </c>
      <c r="IL10" s="9" t="inlineStr">
        <is>
          <t>v12_quick_engine.py:221 x13</t>
        </is>
      </c>
    </row>
    <row r="11" ht="11" customHeight="1">
      <c r="A11" s="10" t="inlineStr">
        <is>
          <t>AUGMENTED_POSITIONS_GUARD_FLOOR_MULT</t>
        </is>
      </c>
      <c r="B11" s="11" t="inlineStr">
        <is>
          <t>2.0</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ez_manage.py:4336 top()</t>
        </is>
      </c>
      <c r="IL11" s="9" t="inlineStr">
        <is>
          <t>v12_quick_engine.py:221 x13</t>
        </is>
      </c>
    </row>
    <row r="12" ht="11" customHeight="1">
      <c r="A12" s="6" t="inlineStr">
        <is>
          <t>AUGMENT_AT_LOSS_ENABLED</t>
        </is>
      </c>
      <c r="B12" s="7" t="inlineStr">
        <is>
          <t>False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ez_manage.py:5956 top()</t>
        </is>
      </c>
      <c r="IL12" s="9" t="inlineStr">
        <is>
          <t>v12_quick_engine.py:228 x5</t>
        </is>
      </c>
    </row>
    <row r="13" ht="11" customHeight="1">
      <c r="A13" s="10" t="inlineStr">
        <is>
          <t>AUGMENT_AT_LOSS_ENABLED</t>
        </is>
      </c>
      <c r="B13" s="11" t="inlineStr">
        <is>
          <t>True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55" t="n"/>
      <c r="GU13" s="55" t="n"/>
      <c r="GV13" s="55" t="n"/>
      <c r="GW13" s="55" t="n"/>
      <c r="GX13" s="55"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ez_manage.py:5956 top()</t>
        </is>
      </c>
      <c r="IL13" s="9" t="inlineStr">
        <is>
          <t>v12_quick_engine.py:228 x5</t>
        </is>
      </c>
    </row>
    <row r="14" ht="11" customHeight="1">
      <c r="A14" s="10" t="inlineStr">
        <is>
          <t>AUGMENT_FALLBACK_GAIN_PCT</t>
        </is>
      </c>
      <c r="B14" s="11" t="inlineStr">
        <is>
          <t>0.5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ez_manage.py:56864 top()</t>
        </is>
      </c>
      <c r="IL14" s="9" t="inlineStr">
        <is>
          <t>v12_quick_engine.py:4990 x4</t>
        </is>
      </c>
    </row>
    <row r="15" ht="11" customHeight="1">
      <c r="A15" s="10" t="inlineStr">
        <is>
          <t>AUGMENT_FALLBACK_GAIN_PCT</t>
        </is>
      </c>
      <c r="B15" s="11" t="inlineStr">
        <is>
          <t>0.75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ez_manage.py:56864 top()</t>
        </is>
      </c>
      <c r="IL15" s="9" t="inlineStr">
        <is>
          <t>v12_quick_engine.py:4990 x4</t>
        </is>
      </c>
    </row>
    <row r="16" ht="11" customHeight="1">
      <c r="A16" s="6" t="inlineStr">
        <is>
          <t>AUGMENT_FALLBACK_GAIN_PCT</t>
        </is>
      </c>
      <c r="B16" s="7" t="inlineStr">
        <is>
          <t>1.0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ez_manage.py:56864 top()</t>
        </is>
      </c>
      <c r="IL16" s="9" t="inlineStr">
        <is>
          <t>v12_quick_engine.py:4990 x4</t>
        </is>
      </c>
    </row>
    <row r="17" ht="11" customHeight="1">
      <c r="A17" s="10" t="inlineStr">
        <is>
          <t>AUGMENT_FALLBACK_GAIN_PCT</t>
        </is>
      </c>
      <c r="B17" s="11" t="inlineStr">
        <is>
          <t>1.25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ez_manage.py:56864 top()</t>
        </is>
      </c>
      <c r="IL17" s="9" t="inlineStr">
        <is>
          <t>v12_quick_engine.py:4990 x4</t>
        </is>
      </c>
    </row>
    <row r="18" ht="11" customHeight="1">
      <c r="A18" s="10" t="inlineStr">
        <is>
          <t>AUGMENT_FALLBACK_GAIN_PCT</t>
        </is>
      </c>
      <c r="B18" s="11" t="inlineStr">
        <is>
          <t>1.5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ez_manage.py:56864 top()</t>
        </is>
      </c>
      <c r="IL18" s="9" t="inlineStr">
        <is>
          <t>v12_quick_engine.py:4990 x4</t>
        </is>
      </c>
    </row>
    <row r="19" ht="11" customHeight="1">
      <c r="A19" s="6" t="inlineStr">
        <is>
          <t>AUGMENT_FALLBACK_REDUCE_ENABLED</t>
        </is>
      </c>
      <c r="B19" s="7" t="inlineStr">
        <is>
          <t>False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55" t="n"/>
      <c r="BL19" s="55" t="n"/>
      <c r="BM19" s="55" t="n"/>
      <c r="BN19" s="55" t="n"/>
      <c r="BO19" s="55"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ez_manage.py:56872 top()</t>
        </is>
      </c>
      <c r="IL19" s="9" t="inlineStr">
        <is>
          <t>v12_quick_engine.py:4988 x3</t>
        </is>
      </c>
    </row>
    <row r="20" ht="11" customHeight="1">
      <c r="A20" s="10" t="inlineStr">
        <is>
          <t>AUGMENT_FALLBACK_REDUCE_ENABLED</t>
        </is>
      </c>
      <c r="B20" s="11" t="inlineStr">
        <is>
          <t>True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55" t="n"/>
      <c r="BL20" s="55" t="n"/>
      <c r="BM20" s="55" t="n"/>
      <c r="BN20" s="55" t="n"/>
      <c r="BO20" s="55"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55" t="n"/>
      <c r="DJ20" s="55" t="n"/>
      <c r="DK20" s="55" t="n"/>
      <c r="DL20" s="55" t="n"/>
      <c r="DM20" s="55"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ez_manage.py:56872 top()</t>
        </is>
      </c>
      <c r="IL20" s="9" t="inlineStr">
        <is>
          <t>v12_quick_engine.py:4988 x3</t>
        </is>
      </c>
    </row>
    <row r="21" ht="11" customHeight="1">
      <c r="A21" s="10" t="inlineStr">
        <is>
          <t>AUGMENT_FALLBACK_REDUCE_PCT</t>
        </is>
      </c>
      <c r="B21" s="11" t="inlineStr">
        <is>
          <t>0.25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55" t="n"/>
      <c r="BL21" s="55" t="n"/>
      <c r="BM21" s="55" t="n"/>
      <c r="BN21" s="55" t="n"/>
      <c r="BO21" s="55"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55" t="n"/>
      <c r="DJ21" s="55" t="n"/>
      <c r="DK21" s="55" t="n"/>
      <c r="DL21" s="55" t="n"/>
      <c r="DM21" s="55"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ez_manage.py:56876 top()</t>
        </is>
      </c>
      <c r="IL21" s="9" t="inlineStr">
        <is>
          <t>v12_quick_engine.py:4989 x3</t>
        </is>
      </c>
    </row>
    <row r="22" ht="11" customHeight="1">
      <c r="A22" s="10" t="inlineStr">
        <is>
          <t>AUGMENT_FALLBACK_REDUCE_PCT</t>
        </is>
      </c>
      <c r="B22" s="11" t="inlineStr">
        <is>
          <t>0.375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55" t="n"/>
      <c r="BL22" s="55" t="n"/>
      <c r="BM22" s="55" t="n"/>
      <c r="BN22" s="55" t="n"/>
      <c r="BO22" s="55"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ez_manage.py:56876 top()</t>
        </is>
      </c>
      <c r="IL22" s="9" t="inlineStr">
        <is>
          <t>v12_quick_engine.py:4989 x3</t>
        </is>
      </c>
    </row>
    <row r="23" ht="11" customHeight="1">
      <c r="A23" s="6" t="inlineStr">
        <is>
          <t>AUGMENT_FALLBACK_REDUCE_PCT</t>
        </is>
      </c>
      <c r="B23" s="7" t="inlineStr">
        <is>
          <t>0.5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55" t="n"/>
      <c r="BL23" s="55" t="n"/>
      <c r="BM23" s="55" t="n"/>
      <c r="BN23" s="55" t="n"/>
      <c r="BO23" s="55"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ez_manage.py:56876 top()</t>
        </is>
      </c>
      <c r="IL23" s="9" t="inlineStr">
        <is>
          <t>v12_quick_engine.py:4989 x3</t>
        </is>
      </c>
    </row>
    <row r="24" ht="11" customHeight="1">
      <c r="A24" s="10" t="inlineStr">
        <is>
          <t>AUGMENT_FALLBACK_REDUCE_PCT</t>
        </is>
      </c>
      <c r="B24" s="11" t="inlineStr">
        <is>
          <t>0.625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55" t="n"/>
      <c r="BL24" s="55" t="n"/>
      <c r="BM24" s="55" t="n"/>
      <c r="BN24" s="55" t="n"/>
      <c r="BO24" s="55"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55" t="n"/>
      <c r="DJ24" s="55" t="n"/>
      <c r="DK24" s="55" t="n"/>
      <c r="DL24" s="55" t="n"/>
      <c r="DM24" s="55"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ez_manage.py:56876 top()</t>
        </is>
      </c>
      <c r="IL24" s="9" t="inlineStr">
        <is>
          <t>v12_quick_engine.py:4989 x3</t>
        </is>
      </c>
    </row>
    <row r="25" ht="11" customHeight="1">
      <c r="A25" s="10" t="inlineStr">
        <is>
          <t>AUGMENT_FALLBACK_REDUCE_PCT</t>
        </is>
      </c>
      <c r="B25" s="11" t="inlineStr">
        <is>
          <t>0.75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55" t="n"/>
      <c r="BL25" s="55" t="n"/>
      <c r="BM25" s="55" t="n"/>
      <c r="BN25" s="55" t="n"/>
      <c r="BO25" s="55"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55" t="n"/>
      <c r="DJ25" s="55" t="n"/>
      <c r="DK25" s="55" t="n"/>
      <c r="DL25" s="55" t="n"/>
      <c r="DM25" s="55"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ez_manage.py:56876 top()</t>
        </is>
      </c>
      <c r="IL25" s="9" t="inlineStr">
        <is>
          <t>v12_quick_engine.py:4989 x3</t>
        </is>
      </c>
    </row>
    <row r="26" ht="11" customHeight="1">
      <c r="A26" s="10" t="inlineStr">
        <is>
          <t>AUGMENT_ONLY_WHEN_PROFITABLE</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55" t="n"/>
      <c r="FO26" s="55" t="n"/>
      <c r="FP26" s="55" t="n"/>
      <c r="FQ26" s="55" t="n"/>
      <c r="FR26" s="55"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ez_manage.py:2943 top()</t>
        </is>
      </c>
      <c r="IL26" s="9" t="inlineStr">
        <is>
          <t>v12_quick_engine.py:235 x18</t>
        </is>
      </c>
    </row>
    <row r="27" ht="11" customHeight="1">
      <c r="A27" s="10" t="inlineStr">
        <is>
          <t>AUGMENT_ONLY_WHEN_PROFITABLE</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55" t="n"/>
      <c r="FO27" s="55" t="n"/>
      <c r="FP27" s="55" t="n"/>
      <c r="FQ27" s="55" t="n"/>
      <c r="FR27" s="55"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ez_manage.py:2943 top()</t>
        </is>
      </c>
      <c r="IL27" s="9" t="inlineStr">
        <is>
          <t>v12_quick_engine.py:235 x18</t>
        </is>
      </c>
    </row>
    <row r="28" ht="11" customHeight="1">
      <c r="A28" s="10" t="inlineStr">
        <is>
          <t>AUGMENT_ONLY_WHEN_PROFITABLE</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55" t="n"/>
      <c r="FO28" s="55" t="n"/>
      <c r="FP28" s="55" t="n"/>
      <c r="FQ28" s="55" t="n"/>
      <c r="FR28" s="55"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ez_manage.py:2943 top()</t>
        </is>
      </c>
      <c r="IL28" s="9" t="inlineStr">
        <is>
          <t>v12_quick_engine.py:235 x18</t>
        </is>
      </c>
    </row>
    <row r="29" ht="11" customHeight="1">
      <c r="A29" s="10" t="inlineStr">
        <is>
          <t>AUGMENT_ONLY_WHEN_PROFITABLE</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55" t="n"/>
      <c r="FO29" s="55" t="n"/>
      <c r="FP29" s="55" t="n"/>
      <c r="FQ29" s="55" t="n"/>
      <c r="FR29" s="55"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ez_manage.py:2943 top()</t>
        </is>
      </c>
      <c r="IL29" s="9" t="inlineStr">
        <is>
          <t>v12_quick_engine.py:235 x18</t>
        </is>
      </c>
    </row>
    <row r="30" ht="11" customHeight="1">
      <c r="A30" s="6" t="inlineStr">
        <is>
          <t>AUGMENT_WT_4H_BOUNCE_ENABLED</t>
        </is>
      </c>
      <c r="B30" s="7" t="inlineStr">
        <is>
          <t>False</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ez_manage.py:5957 top()</t>
        </is>
      </c>
      <c r="IL30" s="9" t="inlineStr">
        <is>
          <t>v12_quick_engine.py:242 x9</t>
        </is>
      </c>
    </row>
    <row r="31" ht="11" customHeight="1">
      <c r="A31" s="10" t="inlineStr">
        <is>
          <t>AUGMENT_WT_4H_BOUNCE_ENABLED</t>
        </is>
      </c>
      <c r="B31" s="11" t="inlineStr">
        <is>
          <t>True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ez_manage.py:5957 top()</t>
        </is>
      </c>
      <c r="IL31" s="9" t="inlineStr">
        <is>
          <t>v12_quick_engine.py:242 x9</t>
        </is>
      </c>
    </row>
    <row r="32" ht="11" customHeight="1">
      <c r="A32" s="10" t="inlineStr">
        <is>
          <t>DELTA_PYRAMID_MAX</t>
        </is>
      </c>
      <c r="B32" s="11" t="inlineStr">
        <is>
          <t>0</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55" t="n"/>
      <c r="CA32" s="55" t="n"/>
      <c r="CB32" s="55" t="n"/>
      <c r="CC32" s="55" t="n"/>
      <c r="CD32" s="55"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ez_manage.py:3153 top()</t>
        </is>
      </c>
      <c r="IL32" s="9" t="inlineStr">
        <is>
          <t>v12_quick_engine.py:591 x16</t>
        </is>
      </c>
    </row>
    <row r="33" ht="11" customHeight="1">
      <c r="A33" s="10" t="inlineStr">
        <is>
          <t>DELTA_PYRAMID_MAX</t>
        </is>
      </c>
      <c r="B33" s="11" t="inlineStr">
        <is>
          <t>0.5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55" t="n"/>
      <c r="CA33" s="55" t="n"/>
      <c r="CB33" s="55" t="n"/>
      <c r="CC33" s="55" t="n"/>
      <c r="CD33" s="55"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ez_manage.py:3153 top()</t>
        </is>
      </c>
      <c r="IL33" s="9" t="inlineStr">
        <is>
          <t>v12_quick_engine.py:591 x16</t>
        </is>
      </c>
    </row>
    <row r="34" ht="11" customHeight="1">
      <c r="A34" s="10" t="inlineStr">
        <is>
          <t>DELTA_PYRAMID_MAX</t>
        </is>
      </c>
      <c r="B34" s="11" t="inlineStr">
        <is>
          <t>1.0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55" t="n"/>
      <c r="CA34" s="55" t="n"/>
      <c r="CB34" s="55" t="n"/>
      <c r="CC34" s="55" t="n"/>
      <c r="CD34" s="55"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ez_manage.py:3153 top()</t>
        </is>
      </c>
      <c r="IL34" s="9" t="inlineStr">
        <is>
          <t>v12_quick_engine.py:591 x16</t>
        </is>
      </c>
    </row>
    <row r="35" ht="11" customHeight="1">
      <c r="A35" s="10" t="inlineStr">
        <is>
          <t>DELTA_PYRAMID_MAX</t>
        </is>
      </c>
      <c r="B35" s="11" t="inlineStr">
        <is>
          <t>2.0</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55" t="n"/>
      <c r="CA35" s="55" t="n"/>
      <c r="CB35" s="55" t="n"/>
      <c r="CC35" s="55" t="n"/>
      <c r="CD35" s="55"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ez_manage.py:3153 top()</t>
        </is>
      </c>
      <c r="IL35" s="9" t="inlineStr">
        <is>
          <t>v12_quick_engine.py:591 x16</t>
        </is>
      </c>
    </row>
    <row r="36" ht="11" customHeight="1">
      <c r="A36" s="10" t="inlineStr">
        <is>
          <t>DELTA_PYRAMID_PRICE_TOL</t>
        </is>
      </c>
      <c r="B36" s="11" t="inlineStr">
        <is>
          <t>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ez_manage.py:3155 top()</t>
        </is>
      </c>
      <c r="IL36" s="9" t="inlineStr">
        <is>
          <t>v12_quick_engine.py:597 x16</t>
        </is>
      </c>
    </row>
    <row r="37" ht="11" customHeight="1">
      <c r="A37" s="10" t="inlineStr">
        <is>
          <t>DELTA_PYRAMID_PRICE_TOL</t>
        </is>
      </c>
      <c r="B37" s="11" t="inlineStr">
        <is>
          <t>0.5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ez_manage.py:3155 top()</t>
        </is>
      </c>
      <c r="IL37" s="9" t="inlineStr">
        <is>
          <t>v12_quick_engine.py:597 x16</t>
        </is>
      </c>
    </row>
    <row r="38" ht="11" customHeight="1">
      <c r="A38" s="10" t="inlineStr">
        <is>
          <t>DELTA_PYRAMID_PRICE_TOL</t>
        </is>
      </c>
      <c r="B38" s="11"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ez_manage.py:3155 top()</t>
        </is>
      </c>
      <c r="IL38" s="9" t="inlineStr">
        <is>
          <t>v12_quick_engine.py:597 x16</t>
        </is>
      </c>
    </row>
    <row r="39" ht="11" customHeight="1">
      <c r="A39" s="10" t="inlineStr">
        <is>
          <t>DELTA_PYRAMID_PRICE_TOL</t>
        </is>
      </c>
      <c r="B39" s="11" t="inlineStr">
        <is>
          <t>2.0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ez_manage.py:3155 top()</t>
        </is>
      </c>
      <c r="IL39" s="9" t="inlineStr">
        <is>
          <t>v12_quick_engine.py:597 x16</t>
        </is>
      </c>
    </row>
    <row r="40" ht="11" customHeight="1">
      <c r="A40" s="6" t="inlineStr">
        <is>
          <t>DYNAMIC_SCORE_AUGMENT_ENABLED</t>
        </is>
      </c>
      <c r="B40" s="7" t="inlineStr">
        <is>
          <t>False</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ez_manage.py:5978 top()</t>
        </is>
      </c>
      <c r="IL40" s="9" t="inlineStr">
        <is>
          <t>v12_quick_engine.py:983 x9</t>
        </is>
      </c>
    </row>
    <row r="41" ht="11" customHeight="1">
      <c r="A41" s="10" t="inlineStr">
        <is>
          <t>DYNAMIC_SCORE_AUGMENT_ENABLED</t>
        </is>
      </c>
      <c r="B41" s="11" t="inlineStr">
        <is>
          <t>True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ez_manage.py:5978 top()</t>
        </is>
      </c>
      <c r="IL41" s="9" t="inlineStr">
        <is>
          <t>v12_quick_engine.py:983 x9</t>
        </is>
      </c>
    </row>
    <row r="42" ht="11" customHeight="1">
      <c r="A42" s="10" t="inlineStr">
        <is>
          <t>HIGH_GAIN_AUGMENTATION_MIN_SIZE</t>
        </is>
      </c>
      <c r="B42" s="11" t="inlineStr">
        <is>
          <t>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55" t="n"/>
      <c r="AM42" s="55" t="n"/>
      <c r="AN42" s="55" t="n"/>
      <c r="AO42" s="55" t="n"/>
      <c r="AP42" s="55"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55" t="n"/>
      <c r="HJ42" s="55" t="n"/>
      <c r="HK42" s="55" t="n"/>
      <c r="HL42" s="55" t="n"/>
      <c r="HM42" s="55"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ez_manage.py:3366 top()</t>
        </is>
      </c>
      <c r="IL42" s="9" t="inlineStr">
        <is>
          <t>v12_quick_engine.py:2019 x10</t>
        </is>
      </c>
    </row>
    <row r="43" ht="11" customHeight="1">
      <c r="A43" s="10" t="inlineStr">
        <is>
          <t>HIGH_GAIN_AUGMENTATION_MIN_SIZE</t>
        </is>
      </c>
      <c r="B43" s="11" t="inlineStr">
        <is>
          <t>0.5</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55" t="n"/>
      <c r="AM43" s="55" t="n"/>
      <c r="AN43" s="55" t="n"/>
      <c r="AO43" s="55" t="n"/>
      <c r="AP43" s="55"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55" t="n"/>
      <c r="HJ43" s="55" t="n"/>
      <c r="HK43" s="55" t="n"/>
      <c r="HL43" s="55" t="n"/>
      <c r="HM43" s="55"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ez_manage.py:3366 top()</t>
        </is>
      </c>
      <c r="IL43" s="9" t="inlineStr">
        <is>
          <t>v12_quick_engine.py:2019 x10</t>
        </is>
      </c>
    </row>
    <row r="44" ht="11" customHeight="1">
      <c r="A44" s="10" t="inlineStr">
        <is>
          <t>HIGH_GAIN_AUGMENTATION_MIN_SIZE</t>
        </is>
      </c>
      <c r="B44" s="11" t="inlineStr">
        <is>
          <t>1.0</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55" t="n"/>
      <c r="AM44" s="55" t="n"/>
      <c r="AN44" s="55" t="n"/>
      <c r="AO44" s="55" t="n"/>
      <c r="AP44" s="55"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55" t="n"/>
      <c r="HJ44" s="55" t="n"/>
      <c r="HK44" s="55" t="n"/>
      <c r="HL44" s="55" t="n"/>
      <c r="HM44" s="55"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ez_manage.py:3366 top()</t>
        </is>
      </c>
      <c r="IL44" s="9" t="inlineStr">
        <is>
          <t>v12_quick_engine.py:2019 x10</t>
        </is>
      </c>
    </row>
    <row r="45" ht="11" customHeight="1">
      <c r="A45" s="10" t="inlineStr">
        <is>
          <t>HIGH_GAIN_AUGMENTATION_MIN_SIZE</t>
        </is>
      </c>
      <c r="B45" s="11" t="inlineStr">
        <is>
          <t>2.0</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55" t="n"/>
      <c r="AM45" s="55" t="n"/>
      <c r="AN45" s="55" t="n"/>
      <c r="AO45" s="55" t="n"/>
      <c r="AP45" s="55"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55" t="n"/>
      <c r="HJ45" s="55" t="n"/>
      <c r="HK45" s="55" t="n"/>
      <c r="HL45" s="55" t="n"/>
      <c r="HM45" s="55"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ez_manage.py:3366 top()</t>
        </is>
      </c>
      <c r="IL45" s="9" t="inlineStr">
        <is>
          <t>v12_quick_engine.py:2019 x10</t>
        </is>
      </c>
    </row>
    <row r="46" ht="11" customHeight="1">
      <c r="A46" s="10" t="inlineStr">
        <is>
          <t>PYRAMID_MIN_WT_VEL_1H</t>
        </is>
      </c>
      <c r="B46" s="11" t="inlineStr">
        <is>
          <t>1.0</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ez_manage.py:5196 top()</t>
        </is>
      </c>
      <c r="IL46" s="9" t="inlineStr">
        <is>
          <t>v12_quick_engine.py:2727 x10</t>
        </is>
      </c>
    </row>
    <row r="47" ht="11" customHeight="1">
      <c r="A47" s="10" t="inlineStr">
        <is>
          <t>PYRAMID_MIN_WT_VEL_1H</t>
        </is>
      </c>
      <c r="B47" s="11" t="inlineStr">
        <is>
          <t>1.5</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ez_manage.py:5196 top()</t>
        </is>
      </c>
      <c r="IL47" s="9" t="inlineStr">
        <is>
          <t>v12_quick_engine.py:2727 x10</t>
        </is>
      </c>
    </row>
    <row r="48" ht="11" customHeight="1">
      <c r="A48" s="6" t="inlineStr">
        <is>
          <t>PYRAMID_MIN_WT_VEL_1H</t>
        </is>
      </c>
      <c r="B48" s="7" t="inlineStr">
        <is>
          <t>2.0</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ez_manage.py:5196 top()</t>
        </is>
      </c>
      <c r="IL48" s="9" t="inlineStr">
        <is>
          <t>v12_quick_engine.py:2727 x10</t>
        </is>
      </c>
    </row>
    <row r="49" ht="11" customHeight="1">
      <c r="A49" s="10" t="inlineStr">
        <is>
          <t>PYRAMID_MIN_WT_VEL_1H</t>
        </is>
      </c>
      <c r="B49" s="11" t="inlineStr">
        <is>
          <t>2.5</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ez_manage.py:5196 top()</t>
        </is>
      </c>
      <c r="IL49" s="9" t="inlineStr">
        <is>
          <t>v12_quick_engine.py:2727 x10</t>
        </is>
      </c>
    </row>
    <row r="50" ht="11" customHeight="1">
      <c r="A50" s="10" t="inlineStr">
        <is>
          <t>PYRAMID_MIN_WT_VEL_1H</t>
        </is>
      </c>
      <c r="B50" s="11" t="inlineStr">
        <is>
          <t>3.0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ez_manage.py:5196 top()</t>
        </is>
      </c>
      <c r="IL50" s="9" t="inlineStr">
        <is>
          <t>v12_quick_engine.py:2727 x10</t>
        </is>
      </c>
    </row>
    <row r="51" ht="11" customHeight="1">
      <c r="A51" s="6" t="inlineStr">
        <is>
          <t>SCALP_V3_AUG_BE_STOP_ENABLED</t>
        </is>
      </c>
      <c r="B51" s="7" t="inlineStr">
        <is>
          <t>False</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55" t="n"/>
      <c r="ED51" s="55" t="n"/>
      <c r="EE51" s="55" t="n"/>
      <c r="EF51" s="55" t="n"/>
      <c r="EG51" s="55"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ez_manage.py:5494 top()</t>
        </is>
      </c>
      <c r="IL51" s="9" t="inlineStr">
        <is>
          <t>v12_quick_engine.py:3136 x8</t>
        </is>
      </c>
    </row>
    <row r="52" ht="11" customHeight="1">
      <c r="A52" s="10" t="inlineStr">
        <is>
          <t>SCALP_V3_AUG_BE_STOP_ENABLED</t>
        </is>
      </c>
      <c r="B52" s="11" t="inlineStr">
        <is>
          <t>True</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55" t="n"/>
      <c r="ED52" s="55" t="n"/>
      <c r="EE52" s="55" t="n"/>
      <c r="EF52" s="55" t="n"/>
      <c r="EG52" s="55"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ez_manage.py:5494 top()</t>
        </is>
      </c>
      <c r="IL52" s="9" t="inlineStr">
        <is>
          <t>v12_quick_engine.py:3136 x8</t>
        </is>
      </c>
    </row>
    <row r="53" ht="11" customHeight="1">
      <c r="A53" s="10" t="inlineStr">
        <is>
          <t>SCALP_V3_AUG_BE_STOP_PCT</t>
        </is>
      </c>
      <c r="B53" s="11" t="inlineStr">
        <is>
          <t>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55" t="n"/>
      <c r="ED53" s="55" t="n"/>
      <c r="EE53" s="55" t="n"/>
      <c r="EF53" s="55" t="n"/>
      <c r="EG53" s="55"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ez_manage.py:5495 top()</t>
        </is>
      </c>
      <c r="IL53" s="9" t="inlineStr">
        <is>
          <t>v12_quick_engine.py:4074 x7</t>
        </is>
      </c>
    </row>
    <row r="54" ht="11" customHeight="1">
      <c r="A54" s="10" t="inlineStr">
        <is>
          <t>SCALP_V3_AUG_BE_STOP_PCT</t>
        </is>
      </c>
      <c r="B54" s="11" t="inlineStr">
        <is>
          <t>0.5</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55" t="n"/>
      <c r="ED54" s="55" t="n"/>
      <c r="EE54" s="55" t="n"/>
      <c r="EF54" s="55" t="n"/>
      <c r="EG54" s="55"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ez_manage.py:5495 top()</t>
        </is>
      </c>
      <c r="IL54" s="9" t="inlineStr">
        <is>
          <t>v12_quick_engine.py:4074 x7</t>
        </is>
      </c>
    </row>
    <row r="55" ht="11" customHeight="1">
      <c r="A55" s="10" t="inlineStr">
        <is>
          <t>SCALP_V3_AUG_BE_STOP_PCT</t>
        </is>
      </c>
      <c r="B55" s="11" t="inlineStr">
        <is>
          <t>1.0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55" t="n"/>
      <c r="ED55" s="55" t="n"/>
      <c r="EE55" s="55" t="n"/>
      <c r="EF55" s="55" t="n"/>
      <c r="EG55" s="55"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ez_manage.py:5495 top()</t>
        </is>
      </c>
      <c r="IL55" s="9" t="inlineStr">
        <is>
          <t>v12_quick_engine.py:4074 x7</t>
        </is>
      </c>
    </row>
    <row r="56" ht="11" customHeight="1">
      <c r="A56" s="10" t="inlineStr">
        <is>
          <t>SCALP_V3_AUG_BE_STOP_PCT</t>
        </is>
      </c>
      <c r="B56" s="11" t="inlineStr">
        <is>
          <t>2.0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55" t="n"/>
      <c r="ED56" s="55" t="n"/>
      <c r="EE56" s="55" t="n"/>
      <c r="EF56" s="55" t="n"/>
      <c r="EG56" s="55"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ez_manage.py:5495 top()</t>
        </is>
      </c>
      <c r="IL56" s="9" t="inlineStr">
        <is>
          <t>v12_quick_engine.py:4074 x7</t>
        </is>
      </c>
    </row>
    <row r="57" ht="11" customHeight="1">
      <c r="A57" s="6" t="inlineStr">
        <is>
          <t>UNIVERSAL_AUGMENT_GAIN_GATE_ENABLED</t>
        </is>
      </c>
      <c r="B57" s="7"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55" t="n"/>
      <c r="AM57" s="55" t="n"/>
      <c r="AN57" s="55" t="n"/>
      <c r="AO57" s="55" t="n"/>
      <c r="AP57" s="55"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ez_manage.py:5804 top()</t>
        </is>
      </c>
      <c r="IL57" s="9" t="inlineStr">
        <is>
          <t>v12_quick_engine.py:3581 x3</t>
        </is>
      </c>
    </row>
    <row r="58" ht="11" customHeight="1">
      <c r="A58" s="10" t="inlineStr">
        <is>
          <t>UNIVERSAL_AUGMENT_GAIN_GATE_ENABLED</t>
        </is>
      </c>
      <c r="B58" s="11"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55" t="n"/>
      <c r="AM58" s="55" t="n"/>
      <c r="AN58" s="55" t="n"/>
      <c r="AO58" s="55" t="n"/>
      <c r="AP58" s="55"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ez_manage.py:5804 top()</t>
        </is>
      </c>
      <c r="IL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G60" s="62" t="inlineStr">
        <is>
          <t>Rec</t>
        </is>
      </c>
      <c r="H60" s="62" t="inlineStr">
        <is>
          <t>Tested As</t>
        </is>
      </c>
      <c r="I60" s="62" t="inlineStr">
        <is>
          <t>Notes</t>
        </is>
      </c>
    </row>
    <row r="61">
      <c r="A61" s="63" t="inlineStr">
        <is>
          <t>ADX_RANGING_THRESHOLD</t>
        </is>
      </c>
      <c r="B61" s="56" t="inlineStr">
        <is>
          <t>20</t>
        </is>
      </c>
      <c r="C61" s="56" t="n"/>
      <c r="D61" s="56" t="inlineStr">
        <is>
          <t>ENTRY, GLOBAL_CHECK, STOCKS_EXIT</t>
        </is>
      </c>
      <c r="E61" s="56">
        <f>IF(G61="",E60,IF(G61&gt;0,E60+G61,E60))</f>
        <v/>
      </c>
      <c r="G61" s="56">
        <f>IFERROR(VLOOKUP($A61&amp;"="&amp;$B61,Results_Deltas!$A$2:$P$15000,5,FALSE),"")</f>
        <v/>
      </c>
      <c r="H61" s="56" t="inlineStr">
        <is>
          <t>Blanket (page end)</t>
        </is>
      </c>
    </row>
    <row r="62">
      <c r="A62" s="63" t="inlineStr">
        <is>
          <t>ADX_RANGING_THRESHOLD</t>
        </is>
      </c>
      <c r="B62" s="56" t="inlineStr">
        <is>
          <t>25</t>
        </is>
      </c>
      <c r="C62" s="56" t="n"/>
      <c r="D62" s="56" t="inlineStr">
        <is>
          <t>ENTRY, GLOBAL_CHECK, STOCKS_EXIT</t>
        </is>
      </c>
      <c r="E62" s="56">
        <f>IF(G62="",E61,IF(G62&gt;0,E61+G62,E61))</f>
        <v/>
      </c>
      <c r="G62" s="56">
        <f>IFERROR(VLOOKUP($A62&amp;"="&amp;$B62,Results_Deltas!$A$2:$P$15000,5,FALSE),"")</f>
        <v/>
      </c>
      <c r="H62" s="56" t="inlineStr">
        <is>
          <t>Blanket (page end)</t>
        </is>
      </c>
    </row>
    <row r="63">
      <c r="A63" s="63" t="inlineStr">
        <is>
          <t>ADX_RANGING_THRESHOLD</t>
        </is>
      </c>
      <c r="B63" s="56" t="inlineStr">
        <is>
          <t>15</t>
        </is>
      </c>
      <c r="C63" s="56" t="n"/>
      <c r="D63" s="56" t="inlineStr">
        <is>
          <t>ENTRY, GLOBAL_CHECK, STOCKS_EXIT</t>
        </is>
      </c>
      <c r="E63" s="56">
        <f>IF(G63="",E62,IF(G63&gt;0,E62+G63,E62))</f>
        <v/>
      </c>
      <c r="G63" s="56">
        <f>IFERROR(VLOOKUP($A63&amp;"="&amp;$B63,Results_Deltas!$A$2:$P$15000,5,FALSE),"")</f>
        <v/>
      </c>
      <c r="H63" s="56" t="inlineStr">
        <is>
          <t>Blanket (page end)</t>
        </is>
      </c>
    </row>
    <row r="64">
      <c r="A64" s="63" t="inlineStr">
        <is>
          <t>ADX_RANGING_THRESHOLD</t>
        </is>
      </c>
      <c r="B64" s="56" t="inlineStr">
        <is>
          <t>10</t>
        </is>
      </c>
      <c r="C64" s="56" t="n"/>
      <c r="D64" s="56" t="inlineStr">
        <is>
          <t>ENTRY, GLOBAL_CHECK, STOCKS_EXIT</t>
        </is>
      </c>
      <c r="E64" s="56">
        <f>IF(G64="",E63,IF(G64&gt;0,E63+G64,E63))</f>
        <v/>
      </c>
      <c r="G64" s="56">
        <f>IFERROR(VLOOKUP($A64&amp;"="&amp;$B64,Results_Deltas!$A$2:$P$15000,5,FALSE),"")</f>
        <v/>
      </c>
      <c r="H64" s="56" t="inlineStr">
        <is>
          <t>Blanket (page end)</t>
        </is>
      </c>
    </row>
    <row r="65">
      <c r="A65" s="63" t="inlineStr">
        <is>
          <t>BANDAID_OFF_LOSER_RECOVER_PCT</t>
        </is>
      </c>
      <c r="B65" s="56" t="inlineStr">
        <is>
          <t>0</t>
        </is>
      </c>
      <c r="C65" s="56" t="n"/>
      <c r="D65" s="56" t="inlineStr">
        <is>
          <t>AUGMENT, ENTRY, EXIT, GLOBAL_CHECK, REDUCE, STOCKS_EXIT</t>
        </is>
      </c>
      <c r="E65" s="56">
        <f>IF(G65="",E64,IF(G65&gt;0,E64+G65,E64))</f>
        <v/>
      </c>
      <c r="G65" s="56">
        <f>IFERROR(VLOOKUP($A65&amp;"="&amp;$B65,Results_Deltas!$A$2:$P$15000,5,FALSE),"")</f>
        <v/>
      </c>
      <c r="H65" s="56" t="inlineStr">
        <is>
          <t>Blanket (page end)</t>
        </is>
      </c>
    </row>
    <row r="66">
      <c r="A66" s="63" t="inlineStr">
        <is>
          <t>BANDAID_OFF_LOSER_RECOVER_PCT</t>
        </is>
      </c>
      <c r="B66" s="56" t="inlineStr">
        <is>
          <t>2.0</t>
        </is>
      </c>
      <c r="C66" s="56" t="n"/>
      <c r="D66" s="56" t="inlineStr">
        <is>
          <t>AUGMENT, ENTRY, EXIT, GLOBAL_CHECK, REDUCE, STOCKS_EXIT</t>
        </is>
      </c>
      <c r="E66" s="56">
        <f>IF(G66="",E65,IF(G66&gt;0,E65+G66,E65))</f>
        <v/>
      </c>
      <c r="G66" s="56">
        <f>IFERROR(VLOOKUP($A66&amp;"="&amp;$B66,Results_Deltas!$A$2:$P$15000,5,FALSE),"")</f>
        <v/>
      </c>
      <c r="H66" s="56" t="inlineStr">
        <is>
          <t>Blanket (page end)</t>
        </is>
      </c>
    </row>
    <row r="67">
      <c r="A67" s="63" t="inlineStr">
        <is>
          <t>BANDAID_OFF_LOSER_RECOVER_PCT</t>
        </is>
      </c>
      <c r="B67" s="56" t="inlineStr">
        <is>
          <t>1.0</t>
        </is>
      </c>
      <c r="C67" s="56" t="n"/>
      <c r="D67" s="56" t="inlineStr">
        <is>
          <t>AUGMENT, ENTRY, EXIT, GLOBAL_CHECK, REDUCE, STOCKS_EXIT</t>
        </is>
      </c>
      <c r="E67" s="56">
        <f>IF(G67="",E66,IF(G67&gt;0,E66+G67,E66))</f>
        <v/>
      </c>
      <c r="G67" s="56">
        <f>IFERROR(VLOOKUP($A67&amp;"="&amp;$B67,Results_Deltas!$A$2:$P$15000,5,FALSE),"")</f>
        <v/>
      </c>
      <c r="H67" s="56" t="inlineStr">
        <is>
          <t>Blanket (page end)</t>
        </is>
      </c>
    </row>
    <row r="68">
      <c r="A68" s="63" t="inlineStr">
        <is>
          <t>BANDAID_OFF_LOSER_RECOVER_PCT</t>
        </is>
      </c>
      <c r="B68" s="56" t="inlineStr">
        <is>
          <t>0.5</t>
        </is>
      </c>
      <c r="C68" s="56" t="n"/>
      <c r="D68" s="56" t="inlineStr">
        <is>
          <t>AUGMENT, ENTRY, EXIT, GLOBAL_CHECK, REDUCE, STOCKS_EXIT</t>
        </is>
      </c>
      <c r="E68" s="56">
        <f>IF(G68="",E67,IF(G68&gt;0,E67+G68,E67))</f>
        <v/>
      </c>
      <c r="G68" s="56">
        <f>IFERROR(VLOOKUP($A68&amp;"="&amp;$B68,Results_Deltas!$A$2:$P$15000,5,FALSE),"")</f>
        <v/>
      </c>
      <c r="H68" s="56" t="inlineStr">
        <is>
          <t>Blanket (page end)</t>
        </is>
      </c>
    </row>
    <row r="69">
      <c r="A69" s="63" t="inlineStr">
        <is>
          <t>BAND_ARROW_ENABLED</t>
        </is>
      </c>
      <c r="B69" s="56" t="inlineStr">
        <is>
          <t>False</t>
        </is>
      </c>
      <c r="C69" s="56" t="n"/>
      <c r="D69" s="56" t="inlineStr">
        <is>
          <t>GLOBAL_CHECK, STOCKS_EXIT</t>
        </is>
      </c>
      <c r="E69" s="56">
        <f>IF(G69="",E68,IF(G69&gt;0,E68+G69,E68))</f>
        <v/>
      </c>
      <c r="G69" s="56">
        <f>IFERROR(VLOOKUP($A69&amp;"="&amp;$B69,Results_Deltas!$A$2:$P$15000,5,FALSE),"")</f>
        <v/>
      </c>
      <c r="H69" s="56" t="inlineStr">
        <is>
          <t>Blanket (page end)</t>
        </is>
      </c>
    </row>
    <row r="70">
      <c r="A70" s="63" t="inlineStr">
        <is>
          <t>BAND_ARROW_ENABLED</t>
        </is>
      </c>
      <c r="B70" s="56" t="inlineStr">
        <is>
          <t>True</t>
        </is>
      </c>
      <c r="C70" s="56" t="n"/>
      <c r="D70" s="56" t="inlineStr">
        <is>
          <t>GLOBAL_CHECK, STOCKS_EXIT</t>
        </is>
      </c>
      <c r="E70" s="56">
        <f>IF(G70="",E69,IF(G70&gt;0,E69+G70,E69))</f>
        <v/>
      </c>
      <c r="G70" s="56">
        <f>IFERROR(VLOOKUP($A70&amp;"="&amp;$B70,Results_Deltas!$A$2:$P$15000,5,FALSE),"")</f>
        <v/>
      </c>
      <c r="H70" s="56" t="inlineStr">
        <is>
          <t>Blanket (page end)</t>
        </is>
      </c>
    </row>
    <row r="71">
      <c r="A71" s="63" t="inlineStr">
        <is>
          <t>COOLDOWN_LOCKS_FILTER_TF</t>
        </is>
      </c>
      <c r="B71" s="56" t="inlineStr">
        <is>
          <t>OFF</t>
        </is>
      </c>
      <c r="C71" s="56" t="n"/>
      <c r="D71" s="56" t="inlineStr">
        <is>
          <t>GLOBAL_CHECK</t>
        </is>
      </c>
      <c r="E71" s="56">
        <f>IF(G71="",E70,IF(G71&gt;0,E70+G71,E70))</f>
        <v/>
      </c>
      <c r="G71" s="56">
        <f>IFERROR(VLOOKUP($A71&amp;"="&amp;$B71,Results_Deltas!$A$2:$P$15000,5,FALSE),"")</f>
        <v/>
      </c>
      <c r="H71" s="56" t="inlineStr">
        <is>
          <t>Blanket (page end)</t>
        </is>
      </c>
    </row>
    <row r="72">
      <c r="A72" s="63" t="inlineStr">
        <is>
          <t>COOLDOWN_LOCKS_FILTER_TF</t>
        </is>
      </c>
      <c r="B72" s="56" t="inlineStr">
        <is>
          <t>D</t>
        </is>
      </c>
      <c r="C72" s="56" t="n"/>
      <c r="D72" s="56" t="inlineStr">
        <is>
          <t>GLOBAL_CHECK</t>
        </is>
      </c>
      <c r="E72" s="56">
        <f>IF(G72="",E71,IF(G72&gt;0,E71+G72,E71))</f>
        <v/>
      </c>
      <c r="G72" s="56">
        <f>IFERROR(VLOOKUP($A72&amp;"="&amp;$B72,Results_Deltas!$A$2:$P$15000,5,FALSE),"")</f>
        <v/>
      </c>
      <c r="H72" s="56" t="inlineStr">
        <is>
          <t>Blanket (page end)</t>
        </is>
      </c>
    </row>
    <row r="73">
      <c r="A73" s="63" t="inlineStr">
        <is>
          <t>COOLDOWN_LOCKS_FILTER_TF</t>
        </is>
      </c>
      <c r="B73" s="56" t="inlineStr">
        <is>
          <t>4h</t>
        </is>
      </c>
      <c r="C73" s="56" t="n"/>
      <c r="D73" s="56" t="inlineStr">
        <is>
          <t>GLOBAL_CHECK</t>
        </is>
      </c>
      <c r="E73" s="56">
        <f>IF(G73="",E72,IF(G73&gt;0,E72+G73,E72))</f>
        <v/>
      </c>
      <c r="G73" s="56">
        <f>IFERROR(VLOOKUP($A73&amp;"="&amp;$B73,Results_Deltas!$A$2:$P$15000,5,FALSE),"")</f>
        <v/>
      </c>
      <c r="H73" s="56" t="inlineStr">
        <is>
          <t>Blanket (page end)</t>
        </is>
      </c>
    </row>
    <row r="74">
      <c r="A74" s="63" t="inlineStr">
        <is>
          <t>COOLDOWN_LOCKS_FILTER_TF</t>
        </is>
      </c>
      <c r="B74" s="56" t="inlineStr">
        <is>
          <t>1h</t>
        </is>
      </c>
      <c r="C74" s="56" t="n"/>
      <c r="D74" s="56" t="inlineStr">
        <is>
          <t>GLOBAL_CHECK</t>
        </is>
      </c>
      <c r="E74" s="56">
        <f>IF(G74="",E73,IF(G74&gt;0,E73+G74,E73))</f>
        <v/>
      </c>
      <c r="G74" s="56">
        <f>IFERROR(VLOOKUP($A74&amp;"="&amp;$B74,Results_Deltas!$A$2:$P$15000,5,FALSE),"")</f>
        <v/>
      </c>
      <c r="H74" s="56" t="inlineStr">
        <is>
          <t>Blanket (page end)</t>
        </is>
      </c>
    </row>
    <row r="75">
      <c r="A75" s="63" t="inlineStr">
        <is>
          <t>COOLDOWN_LOCKS_FILTER_TF</t>
        </is>
      </c>
      <c r="B75" s="56" t="inlineStr">
        <is>
          <t>15m</t>
        </is>
      </c>
      <c r="C75" s="56" t="n"/>
      <c r="D75" s="56" t="inlineStr">
        <is>
          <t>GLOBAL_CHECK</t>
        </is>
      </c>
      <c r="E75" s="56">
        <f>IF(G75="",E74,IF(G75&gt;0,E74+G75,E74))</f>
        <v/>
      </c>
      <c r="G75" s="56">
        <f>IFERROR(VLOOKUP($A75&amp;"="&amp;$B75,Results_Deltas!$A$2:$P$15000,5,FALSE),"")</f>
        <v/>
      </c>
      <c r="H75" s="56" t="inlineStr">
        <is>
          <t>Blanket (page end)</t>
        </is>
      </c>
    </row>
    <row r="76">
      <c r="A76" s="63" t="inlineStr">
        <is>
          <t>CRYPTO_SPIKE_FADE_THRESHOLD_PCT</t>
        </is>
      </c>
      <c r="B76" s="56" t="inlineStr">
        <is>
          <t>10</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CRYPTO_SPIKE_FADE_THRESHOLD_PCT</t>
        </is>
      </c>
      <c r="B77" s="56" t="inlineStr">
        <is>
          <t>12.5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CRYPTO_SPIKE_FADE_THRESHOLD_PCT</t>
        </is>
      </c>
      <c r="B78" s="56" t="inlineStr">
        <is>
          <t>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CRYPTO_SPIKE_FADE_THRESHOLD_PCT</t>
        </is>
      </c>
      <c r="B79" s="56" t="inlineStr">
        <is>
          <t>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DC_MOMENT_STRONG_THRESHOLD</t>
        </is>
      </c>
      <c r="B80" s="56" t="inlineStr">
        <is>
          <t>40</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DC_MOMENT_STRONG_THRESHOLD</t>
        </is>
      </c>
      <c r="B81" s="56" t="inlineStr">
        <is>
          <t>50</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DC_MOMENT_STRONG_THRESHOLD</t>
        </is>
      </c>
      <c r="B82" s="56" t="inlineStr">
        <is>
          <t>30</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DC_MOMENT_STRONG_THRESHOLD</t>
        </is>
      </c>
      <c r="B83" s="56" t="inlineStr">
        <is>
          <t>20</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DELTA_HTF_GATE</t>
        </is>
      </c>
      <c r="B84" s="56" t="inlineStr">
        <is>
          <t>4h</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DELTA_HTF_GATE</t>
        </is>
      </c>
      <c r="B85" s="56" t="inlineStr">
        <is>
          <t>4h_ALT</t>
        </is>
      </c>
      <c r="C85" s="56" t="n"/>
      <c r="D85" s="56" t="inlineStr">
        <is>
          <t>ENTRY, GLOBAL_CHECK, STOCKS_EXIT</t>
        </is>
      </c>
      <c r="E85" s="56">
        <f>IF(G85="",E84,IF(G85&gt;0,E84+G85,E84))</f>
        <v/>
      </c>
      <c r="G85" s="56">
        <f>IFERROR(VLOOKUP($A85&amp;"="&amp;$B85,Results_Deltas!$A$2:$P$15000,5,FALSE),"")</f>
        <v/>
      </c>
      <c r="H85" s="56" t="inlineStr">
        <is>
          <t>Blanket (page end)</t>
        </is>
      </c>
    </row>
    <row r="86">
      <c r="A86" s="63" t="inlineStr">
        <is>
          <t>DELTA_REENTRY_FILTER_ENABLED</t>
        </is>
      </c>
      <c r="B86" s="56" t="inlineStr">
        <is>
          <t>False</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DELTA_REENTRY_FILTER_ENABLED</t>
        </is>
      </c>
      <c r="B87" s="56" t="inlineStr">
        <is>
          <t>True</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DUP_GUARD_FILTER_TF</t>
        </is>
      </c>
      <c r="B88" s="56" t="inlineStr">
        <is>
          <t>OFF</t>
        </is>
      </c>
      <c r="C88" s="56" t="n"/>
      <c r="D88" s="56" t="inlineStr">
        <is>
          <t>GLOBAL_CHECK</t>
        </is>
      </c>
      <c r="E88" s="56">
        <f>IF(G88="",E87,IF(G88&gt;0,E87+G88,E87))</f>
        <v/>
      </c>
      <c r="G88" s="56">
        <f>IFERROR(VLOOKUP($A88&amp;"="&amp;$B88,Results_Deltas!$A$2:$P$15000,5,FALSE),"")</f>
        <v/>
      </c>
      <c r="H88" s="56" t="inlineStr">
        <is>
          <t>Blanket (page end)</t>
        </is>
      </c>
    </row>
    <row r="89">
      <c r="A89" s="63" t="inlineStr">
        <is>
          <t>DUP_GUARD_FILTER_TF</t>
        </is>
      </c>
      <c r="B89" s="56" t="inlineStr">
        <is>
          <t>D</t>
        </is>
      </c>
      <c r="C89" s="56" t="n"/>
      <c r="D89" s="56" t="inlineStr">
        <is>
          <t>GLOBAL_CHECK</t>
        </is>
      </c>
      <c r="E89" s="56">
        <f>IF(G89="",E88,IF(G89&gt;0,E88+G89,E88))</f>
        <v/>
      </c>
      <c r="G89" s="56">
        <f>IFERROR(VLOOKUP($A89&amp;"="&amp;$B89,Results_Deltas!$A$2:$P$15000,5,FALSE),"")</f>
        <v/>
      </c>
      <c r="H89" s="56" t="inlineStr">
        <is>
          <t>Blanket (page end)</t>
        </is>
      </c>
    </row>
    <row r="90">
      <c r="A90" s="63" t="inlineStr">
        <is>
          <t>DUP_GUARD_FILTER_TF</t>
        </is>
      </c>
      <c r="B90" s="56" t="inlineStr">
        <is>
          <t>4h</t>
        </is>
      </c>
      <c r="C90" s="56" t="n"/>
      <c r="D90" s="56" t="inlineStr">
        <is>
          <t>GLOBAL_CHECK</t>
        </is>
      </c>
      <c r="E90" s="56">
        <f>IF(G90="",E89,IF(G90&gt;0,E89+G90,E89))</f>
        <v/>
      </c>
      <c r="G90" s="56">
        <f>IFERROR(VLOOKUP($A90&amp;"="&amp;$B90,Results_Deltas!$A$2:$P$15000,5,FALSE),"")</f>
        <v/>
      </c>
      <c r="H90" s="56" t="inlineStr">
        <is>
          <t>Blanket (page end)</t>
        </is>
      </c>
    </row>
    <row r="91">
      <c r="A91" s="63" t="inlineStr">
        <is>
          <t>DUP_GUARD_FILTER_TF</t>
        </is>
      </c>
      <c r="B91" s="56" t="inlineStr">
        <is>
          <t>1h</t>
        </is>
      </c>
      <c r="C91" s="56" t="n"/>
      <c r="D91" s="56" t="inlineStr">
        <is>
          <t>GLOBAL_CHECK</t>
        </is>
      </c>
      <c r="E91" s="56">
        <f>IF(G91="",E90,IF(G91&gt;0,E90+G91,E90))</f>
        <v/>
      </c>
      <c r="G91" s="56">
        <f>IFERROR(VLOOKUP($A91&amp;"="&amp;$B91,Results_Deltas!$A$2:$P$15000,5,FALSE),"")</f>
        <v/>
      </c>
      <c r="H91" s="56" t="inlineStr">
        <is>
          <t>Blanket (page end)</t>
        </is>
      </c>
    </row>
    <row r="92">
      <c r="A92" s="63" t="inlineStr">
        <is>
          <t>DUP_GUARD_FILTER_TF</t>
        </is>
      </c>
      <c r="B92" s="56" t="inlineStr">
        <is>
          <t>15m</t>
        </is>
      </c>
      <c r="C92" s="56" t="n"/>
      <c r="D92" s="56" t="inlineStr">
        <is>
          <t>GLOBAL_CHECK</t>
        </is>
      </c>
      <c r="E92" s="56">
        <f>IF(G92="",E91,IF(G92&gt;0,E91+G92,E91))</f>
        <v/>
      </c>
      <c r="G92" s="56">
        <f>IFERROR(VLOOKUP($A92&amp;"="&amp;$B92,Results_Deltas!$A$2:$P$15000,5,FALSE),"")</f>
        <v/>
      </c>
      <c r="H92" s="56" t="inlineStr">
        <is>
          <t>Blanket (page end)</t>
        </is>
      </c>
    </row>
    <row r="93">
      <c r="A93" s="63" t="inlineStr">
        <is>
          <t>EMA_9_21_FILTER_MIN_TFS</t>
        </is>
      </c>
      <c r="B93" s="56" t="inlineStr">
        <is>
          <t>0</t>
        </is>
      </c>
      <c r="C93" s="56" t="n"/>
      <c r="D93" s="56" t="inlineStr">
        <is>
          <t>GLOBAL_CHECK</t>
        </is>
      </c>
      <c r="E93" s="56">
        <f>IF(G93="",E92,IF(G93&gt;0,E92+G93,E92))</f>
        <v/>
      </c>
      <c r="G93" s="56">
        <f>IFERROR(VLOOKUP($A93&amp;"="&amp;$B93,Results_Deltas!$A$2:$P$15000,5,FALSE),"")</f>
        <v/>
      </c>
      <c r="H93" s="56" t="inlineStr">
        <is>
          <t>Blanket (page end)</t>
        </is>
      </c>
    </row>
    <row r="94">
      <c r="A94" s="63" t="inlineStr">
        <is>
          <t>EMA_9_21_FILTER_MIN_TFS</t>
        </is>
      </c>
      <c r="B94" s="56" t="inlineStr">
        <is>
          <t>2</t>
        </is>
      </c>
      <c r="C94" s="56" t="n"/>
      <c r="D94" s="56" t="inlineStr">
        <is>
          <t>GLOBAL_CHECK</t>
        </is>
      </c>
      <c r="E94" s="56">
        <f>IF(G94="",E93,IF(G94&gt;0,E93+G94,E93))</f>
        <v/>
      </c>
      <c r="G94" s="56">
        <f>IFERROR(VLOOKUP($A94&amp;"="&amp;$B94,Results_Deltas!$A$2:$P$15000,5,FALSE),"")</f>
        <v/>
      </c>
      <c r="H94" s="56" t="inlineStr">
        <is>
          <t>Blanket (page end)</t>
        </is>
      </c>
    </row>
    <row r="95">
      <c r="A95" s="63" t="inlineStr">
        <is>
          <t>EMA_9_21_FILTER_MIN_TFS</t>
        </is>
      </c>
      <c r="B95" s="56" t="inlineStr">
        <is>
          <t>1</t>
        </is>
      </c>
      <c r="C95" s="56" t="n"/>
      <c r="D95" s="56" t="inlineStr">
        <is>
          <t>GLOBAL_CHECK</t>
        </is>
      </c>
      <c r="E95" s="56">
        <f>IF(G95="",E94,IF(G95&gt;0,E94+G95,E94))</f>
        <v/>
      </c>
      <c r="G95" s="56">
        <f>IFERROR(VLOOKUP($A95&amp;"="&amp;$B95,Results_Deltas!$A$2:$P$15000,5,FALSE),"")</f>
        <v/>
      </c>
      <c r="H95" s="56" t="inlineStr">
        <is>
          <t>Blanket (page end)</t>
        </is>
      </c>
    </row>
    <row r="96">
      <c r="A96" s="63" t="inlineStr">
        <is>
          <t>EMA_BLANKET_FILTER_ENABLED</t>
        </is>
      </c>
      <c r="B96" s="56" t="inlineStr">
        <is>
          <t>False</t>
        </is>
      </c>
      <c r="C96" s="56" t="n"/>
      <c r="D96" s="56" t="inlineStr">
        <is>
          <t>GLOBAL_CHECK</t>
        </is>
      </c>
      <c r="E96" s="56">
        <f>IF(G96="",E95,IF(G96&gt;0,E95+G96,E95))</f>
        <v/>
      </c>
      <c r="G96" s="56">
        <f>IFERROR(VLOOKUP($A96&amp;"="&amp;$B96,Results_Deltas!$A$2:$P$15000,5,FALSE),"")</f>
        <v/>
      </c>
      <c r="H96" s="56" t="inlineStr">
        <is>
          <t>Blanket (page end)</t>
        </is>
      </c>
    </row>
    <row r="97">
      <c r="A97" s="63" t="inlineStr">
        <is>
          <t>EMA_BLANKET_FILTER_ENABLED</t>
        </is>
      </c>
      <c r="B97" s="56" t="inlineStr">
        <is>
          <t>True</t>
        </is>
      </c>
      <c r="C97" s="56" t="n"/>
      <c r="D97" s="56" t="inlineStr">
        <is>
          <t>GLOBAL_CHECK</t>
        </is>
      </c>
      <c r="E97" s="56">
        <f>IF(G97="",E96,IF(G97&gt;0,E96+G97,E96))</f>
        <v/>
      </c>
      <c r="G97" s="56">
        <f>IFERROR(VLOOKUP($A97&amp;"="&amp;$B97,Results_Deltas!$A$2:$P$15000,5,FALSE),"")</f>
        <v/>
      </c>
      <c r="H97" s="56" t="inlineStr">
        <is>
          <t>Blanket (page end)</t>
        </is>
      </c>
    </row>
    <row r="98">
      <c r="A98" s="63" t="inlineStr">
        <is>
          <t>EMA_BLANKET_FILTER_MIN_TFS</t>
        </is>
      </c>
      <c r="B98" s="56" t="inlineStr">
        <is>
          <t>0</t>
        </is>
      </c>
      <c r="C98" s="56" t="n"/>
      <c r="D98" s="56" t="inlineStr">
        <is>
          <t>GLOBAL_CHECK</t>
        </is>
      </c>
      <c r="E98" s="56">
        <f>IF(G98="",E97,IF(G98&gt;0,E97+G98,E97))</f>
        <v/>
      </c>
      <c r="G98" s="56">
        <f>IFERROR(VLOOKUP($A98&amp;"="&amp;$B98,Results_Deltas!$A$2:$P$15000,5,FALSE),"")</f>
        <v/>
      </c>
      <c r="H98" s="56" t="inlineStr">
        <is>
          <t>Blanket (page end)</t>
        </is>
      </c>
    </row>
    <row r="99">
      <c r="A99" s="63" t="inlineStr">
        <is>
          <t>EMA_BLANKET_FILTER_MIN_TFS</t>
        </is>
      </c>
      <c r="B99" s="56" t="inlineStr">
        <is>
          <t>2</t>
        </is>
      </c>
      <c r="C99" s="56" t="n"/>
      <c r="D99" s="56" t="inlineStr">
        <is>
          <t>GLOBAL_CHECK</t>
        </is>
      </c>
      <c r="E99" s="56">
        <f>IF(G99="",E98,IF(G99&gt;0,E98+G99,E98))</f>
        <v/>
      </c>
      <c r="G99" s="56">
        <f>IFERROR(VLOOKUP($A99&amp;"="&amp;$B99,Results_Deltas!$A$2:$P$15000,5,FALSE),"")</f>
        <v/>
      </c>
      <c r="H99" s="56" t="inlineStr">
        <is>
          <t>Blanket (page end)</t>
        </is>
      </c>
    </row>
    <row r="100">
      <c r="A100" s="63" t="inlineStr">
        <is>
          <t>EMA_BLANKET_FILTER_MIN_TFS</t>
        </is>
      </c>
      <c r="B100" s="56" t="inlineStr">
        <is>
          <t>1</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EXECUTE_NOW_SINGLE_GATE_ENFORCE</t>
        </is>
      </c>
      <c r="B101" s="56" t="inlineStr">
        <is>
          <t>0.0</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EXECUTE_NOW_SINGLE_GATE_ENFORCE</t>
        </is>
      </c>
      <c r="B102" s="56" t="inlineStr">
        <is>
          <t>0.0_ALT</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EZ_MANAGE_THROTTLER_RATE</t>
        </is>
      </c>
      <c r="B103" s="56" t="inlineStr">
        <is>
          <t>0.0</t>
        </is>
      </c>
      <c r="C103" s="56" t="n"/>
      <c r="D103" s="56" t="inlineStr">
        <is>
          <t>GLOBAL_CHECK, STOCKS_EXIT</t>
        </is>
      </c>
      <c r="E103" s="56">
        <f>IF(G103="",E102,IF(G103&gt;0,E102+G103,E102))</f>
        <v/>
      </c>
      <c r="G103" s="56">
        <f>IFERROR(VLOOKUP($A103&amp;"="&amp;$B103,Results_Deltas!$A$2:$P$15000,5,FALSE),"")</f>
        <v/>
      </c>
      <c r="H103" s="56" t="inlineStr">
        <is>
          <t>Blanket (page end)</t>
        </is>
      </c>
    </row>
    <row r="104">
      <c r="A104" s="63" t="inlineStr">
        <is>
          <t>EZ_MANAGE_THROTTLER_RATE</t>
        </is>
      </c>
      <c r="B104" s="56" t="inlineStr">
        <is>
          <t>0.0_ALT</t>
        </is>
      </c>
      <c r="C104" s="56" t="n"/>
      <c r="D104" s="56" t="inlineStr">
        <is>
          <t>GLOBAL_CHECK, STOCKS_EXIT</t>
        </is>
      </c>
      <c r="E104" s="56">
        <f>IF(G104="",E103,IF(G104&gt;0,E103+G104,E103))</f>
        <v/>
      </c>
      <c r="G104" s="56">
        <f>IFERROR(VLOOKUP($A104&amp;"="&amp;$B104,Results_Deltas!$A$2:$P$15000,5,FALSE),"")</f>
        <v/>
      </c>
      <c r="H104" s="56" t="inlineStr">
        <is>
          <t>Blanket (page end)</t>
        </is>
      </c>
    </row>
    <row r="105">
      <c r="A105" s="63" t="inlineStr">
        <is>
          <t>FG_FEAR_THRESHOLD</t>
        </is>
      </c>
      <c r="B105" s="56" t="inlineStr">
        <is>
          <t>25</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FG_FEAR_THRESHOLD</t>
        </is>
      </c>
      <c r="B106" s="56" t="inlineStr">
        <is>
          <t>31.25</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FG_FEAR_THRESHOLD</t>
        </is>
      </c>
      <c r="B107" s="56" t="inlineStr">
        <is>
          <t>18.75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FG_FEAR_THRESHOLD</t>
        </is>
      </c>
      <c r="B108" s="56" t="inlineStr">
        <is>
          <t>12.5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FG_GREED_THRESHOLD</t>
        </is>
      </c>
      <c r="B109" s="56" t="inlineStr">
        <is>
          <t>75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FG_GREED_THRESHOLD</t>
        </is>
      </c>
      <c r="B110" s="56" t="inlineStr">
        <is>
          <t>93.75</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FG_GREED_THRESHOLD</t>
        </is>
      </c>
      <c r="B111" s="56" t="inlineStr">
        <is>
          <t>56.25</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FG_GREED_THRESHOLD</t>
        </is>
      </c>
      <c r="B112" s="56" t="inlineStr">
        <is>
          <t>37.5</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FUNDING_GATE_FILTER_TF</t>
        </is>
      </c>
      <c r="B113" s="56" t="inlineStr">
        <is>
          <t>OFF</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FUNDING_GATE_FILTER_TF</t>
        </is>
      </c>
      <c r="B114" s="56" t="inlineStr">
        <is>
          <t>D</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FUNDING_GATE_FILTER_TF</t>
        </is>
      </c>
      <c r="B115" s="56" t="inlineStr">
        <is>
          <t>4h</t>
        </is>
      </c>
      <c r="C115" s="56" t="n"/>
      <c r="D115" s="56" t="inlineStr">
        <is>
          <t>GLOBAL_CHECK</t>
        </is>
      </c>
      <c r="E115" s="56">
        <f>IF(G115="",E114,IF(G115&gt;0,E114+G115,E114))</f>
        <v/>
      </c>
      <c r="G115" s="56">
        <f>IFERROR(VLOOKUP($A115&amp;"="&amp;$B115,Results_Deltas!$A$2:$P$15000,5,FALSE),"")</f>
        <v/>
      </c>
      <c r="H115" s="56" t="inlineStr">
        <is>
          <t>Blanket (page end)</t>
        </is>
      </c>
    </row>
    <row r="116">
      <c r="A116" s="63" t="inlineStr">
        <is>
          <t>FUNDING_GATE_FILTER_TF</t>
        </is>
      </c>
      <c r="B116" s="56" t="inlineStr">
        <is>
          <t>1h</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FUNDING_GATE_FILTER_TF</t>
        </is>
      </c>
      <c r="B117" s="56" t="inlineStr">
        <is>
          <t>15m</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FUNDING_GATE_LONG_MAX</t>
        </is>
      </c>
      <c r="B118" s="56" t="inlineStr">
        <is>
          <t>0.0</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FUNDING_GATE_LONG_MAX</t>
        </is>
      </c>
      <c r="B119" s="56" t="inlineStr">
        <is>
          <t>0.0_ALT</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FUNDING_GATE_MTF_REQUIRED</t>
        </is>
      </c>
      <c r="B120" s="56" t="inlineStr">
        <is>
          <t>0.0</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FUNDING_GATE_MTF_REQUIRED</t>
        </is>
      </c>
      <c r="B121" s="56" t="inlineStr">
        <is>
          <t>0.0_ALT</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FUNDING_GATE_SHORT_MIN</t>
        </is>
      </c>
      <c r="B122" s="56" t="inlineStr">
        <is>
          <t>0.0</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FUNDING_GATE_SHORT_MIN</t>
        </is>
      </c>
      <c r="B123" s="56" t="inlineStr">
        <is>
          <t>0.0_ALT</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GOLDEN_RULE_BASE_USD</t>
        </is>
      </c>
      <c r="B124" s="56" t="inlineStr">
        <is>
          <t>0.0</t>
        </is>
      </c>
      <c r="C124" s="56" t="n"/>
      <c r="D124" s="56" t="inlineStr">
        <is>
          <t>GLOBAL_CHECK, STOCKS_EXIT</t>
        </is>
      </c>
      <c r="E124" s="56">
        <f>IF(G124="",E123,IF(G124&gt;0,E123+G124,E123))</f>
        <v/>
      </c>
      <c r="G124" s="56">
        <f>IFERROR(VLOOKUP($A124&amp;"="&amp;$B124,Results_Deltas!$A$2:$P$15000,5,FALSE),"")</f>
        <v/>
      </c>
      <c r="H124" s="56" t="inlineStr">
        <is>
          <t>Blanket (page end)</t>
        </is>
      </c>
    </row>
    <row r="125">
      <c r="A125" s="63" t="inlineStr">
        <is>
          <t>GOLDEN_RULE_BASE_USD</t>
        </is>
      </c>
      <c r="B125" s="56" t="inlineStr">
        <is>
          <t>0.0_ALT</t>
        </is>
      </c>
      <c r="C125" s="56" t="n"/>
      <c r="D125" s="56" t="inlineStr">
        <is>
          <t>GLOBAL_CHECK, STOCKS_EXIT</t>
        </is>
      </c>
      <c r="E125" s="56">
        <f>IF(G125="",E124,IF(G125&gt;0,E124+G125,E124))</f>
        <v/>
      </c>
      <c r="G125" s="56">
        <f>IFERROR(VLOOKUP($A125&amp;"="&amp;$B125,Results_Deltas!$A$2:$P$15000,5,FALSE),"")</f>
        <v/>
      </c>
      <c r="H125" s="56" t="inlineStr">
        <is>
          <t>Blanket (page end)</t>
        </is>
      </c>
    </row>
    <row r="126">
      <c r="A126" s="63" t="inlineStr">
        <is>
          <t>GR_FILTER_ALL_ENTRIES</t>
        </is>
      </c>
      <c r="B126" s="56" t="inlineStr">
        <is>
          <t>0.0</t>
        </is>
      </c>
      <c r="C126" s="56" t="n"/>
      <c r="D126" s="56" t="inlineStr">
        <is>
          <t>GLOBAL_CHECK, STOCKS_EXIT</t>
        </is>
      </c>
      <c r="E126" s="56">
        <f>IF(G126="",E125,IF(G126&gt;0,E125+G126,E125))</f>
        <v/>
      </c>
      <c r="G126" s="56">
        <f>IFERROR(VLOOKUP($A126&amp;"="&amp;$B126,Results_Deltas!$A$2:$P$15000,5,FALSE),"")</f>
        <v/>
      </c>
      <c r="H126" s="56" t="inlineStr">
        <is>
          <t>Blanket (page end)</t>
        </is>
      </c>
    </row>
    <row r="127">
      <c r="A127" s="63" t="inlineStr">
        <is>
          <t>GR_FILTER_ALL_ENTRIES</t>
        </is>
      </c>
      <c r="B127" s="56" t="inlineStr">
        <is>
          <t>0.0_ALT</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GR_FILTER_VEC_ENABLED</t>
        </is>
      </c>
      <c r="B128" s="56" t="inlineStr">
        <is>
          <t>False</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GR_FILTER_VEC_ENABLED</t>
        </is>
      </c>
      <c r="B129" s="56" t="inlineStr">
        <is>
          <t>True</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GR_FILTER_VEC_MIN_TFS</t>
        </is>
      </c>
      <c r="B130" s="56" t="inlineStr">
        <is>
          <t>0</t>
        </is>
      </c>
      <c r="C130" s="56" t="n"/>
      <c r="D130" s="56" t="inlineStr">
        <is>
          <t>GLOBAL_CHECK</t>
        </is>
      </c>
      <c r="E130" s="56">
        <f>IF(G130="",E129,IF(G130&gt;0,E129+G130,E129))</f>
        <v/>
      </c>
      <c r="G130" s="56">
        <f>IFERROR(VLOOKUP($A130&amp;"="&amp;$B130,Results_Deltas!$A$2:$P$15000,5,FALSE),"")</f>
        <v/>
      </c>
      <c r="H130" s="56" t="inlineStr">
        <is>
          <t>Blanket (page end)</t>
        </is>
      </c>
    </row>
    <row r="131">
      <c r="A131" s="63" t="inlineStr">
        <is>
          <t>GR_FILTER_VEC_MIN_TFS</t>
        </is>
      </c>
      <c r="B131" s="56" t="inlineStr">
        <is>
          <t>2</t>
        </is>
      </c>
      <c r="C131" s="56" t="n"/>
      <c r="D131" s="56" t="inlineStr">
        <is>
          <t>GLOBAL_CHECK</t>
        </is>
      </c>
      <c r="E131" s="56">
        <f>IF(G131="",E130,IF(G131&gt;0,E130+G131,E130))</f>
        <v/>
      </c>
      <c r="G131" s="56">
        <f>IFERROR(VLOOKUP($A131&amp;"="&amp;$B131,Results_Deltas!$A$2:$P$15000,5,FALSE),"")</f>
        <v/>
      </c>
      <c r="H131" s="56" t="inlineStr">
        <is>
          <t>Blanket (page end)</t>
        </is>
      </c>
    </row>
    <row r="132">
      <c r="A132" s="63" t="inlineStr">
        <is>
          <t>GR_FILTER_VEC_MIN_TFS</t>
        </is>
      </c>
      <c r="B132" s="56" t="inlineStr">
        <is>
          <t>1</t>
        </is>
      </c>
      <c r="C132" s="56" t="n"/>
      <c r="D132" s="56" t="inlineStr">
        <is>
          <t>GLOBAL_CHECK</t>
        </is>
      </c>
      <c r="E132" s="56">
        <f>IF(G132="",E131,IF(G132&gt;0,E131+G132,E131))</f>
        <v/>
      </c>
      <c r="G132" s="56">
        <f>IFERROR(VLOOKUP($A132&amp;"="&amp;$B132,Results_Deltas!$A$2:$P$15000,5,FALSE),"")</f>
        <v/>
      </c>
      <c r="H132" s="56" t="inlineStr">
        <is>
          <t>Blanket (page end)</t>
        </is>
      </c>
    </row>
    <row r="133">
      <c r="A133" s="63" t="inlineStr">
        <is>
          <t>HA_WICK_QUALITY_ENABLED</t>
        </is>
      </c>
      <c r="B133" s="56" t="inlineStr">
        <is>
          <t>False</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HA_WICK_QUALITY_ENABLED</t>
        </is>
      </c>
      <c r="B134" s="56" t="inlineStr">
        <is>
          <t>True</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HA_WICK_QUALITY_SCORE</t>
        </is>
      </c>
      <c r="B135" s="56" t="inlineStr">
        <is>
          <t>15</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HA_WICK_QUALITY_SCORE</t>
        </is>
      </c>
      <c r="B136" s="56" t="inlineStr">
        <is>
          <t>15_ALT</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HA_WICK_QUALITY_TF</t>
        </is>
      </c>
      <c r="B137" s="56" t="inlineStr">
        <is>
          <t>OFF</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HA_WICK_QUALITY_TF</t>
        </is>
      </c>
      <c r="B138" s="56" t="inlineStr">
        <is>
          <t>D</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HA_WICK_QUALITY_TF</t>
        </is>
      </c>
      <c r="B139" s="56" t="inlineStr">
        <is>
          <t>4h</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HA_WICK_QUALITY_TF</t>
        </is>
      </c>
      <c r="B140" s="56" t="inlineStr">
        <is>
          <t>1h</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HA_WICK_QUALITY_TF</t>
        </is>
      </c>
      <c r="B141" s="56" t="inlineStr">
        <is>
          <t>15m</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HLR_SMA_BAND_PCT</t>
        </is>
      </c>
      <c r="B142" s="56" t="inlineStr">
        <is>
          <t>0</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HLR_SMA_BAND_PCT</t>
        </is>
      </c>
      <c r="B143" s="56" t="inlineStr">
        <is>
          <t>2.0</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HLR_SMA_BAND_PCT</t>
        </is>
      </c>
      <c r="B144" s="56" t="inlineStr">
        <is>
          <t>1.0</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HLR_SMA_BAND_PCT</t>
        </is>
      </c>
      <c r="B145" s="56" t="inlineStr">
        <is>
          <t>0.5</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HLR_TOP_MIN_TFS</t>
        </is>
      </c>
      <c r="B146" s="56" t="inlineStr">
        <is>
          <t>0</t>
        </is>
      </c>
      <c r="C146" s="56" t="n"/>
      <c r="D146" s="56" t="inlineStr">
        <is>
          <t>GLOBAL_CHECK, REENTRY, STOCKS_EXIT</t>
        </is>
      </c>
      <c r="E146" s="56">
        <f>IF(G146="",E145,IF(G146&gt;0,E145+G146,E145))</f>
        <v/>
      </c>
      <c r="G146" s="56">
        <f>IFERROR(VLOOKUP($A146&amp;"="&amp;$B146,Results_Deltas!$A$2:$P$15000,5,FALSE),"")</f>
        <v/>
      </c>
      <c r="H146" s="56" t="inlineStr">
        <is>
          <t>Blanket (page end)</t>
        </is>
      </c>
    </row>
    <row r="147">
      <c r="A147" s="63" t="inlineStr">
        <is>
          <t>HLR_TOP_MIN_TFS</t>
        </is>
      </c>
      <c r="B147" s="56" t="inlineStr">
        <is>
          <t>2</t>
        </is>
      </c>
      <c r="C147" s="56" t="n"/>
      <c r="D147" s="56" t="inlineStr">
        <is>
          <t>GLOBAL_CHECK, REENTRY, STOCKS_EXIT</t>
        </is>
      </c>
      <c r="E147" s="56">
        <f>IF(G147="",E146,IF(G147&gt;0,E146+G147,E146))</f>
        <v/>
      </c>
      <c r="G147" s="56">
        <f>IFERROR(VLOOKUP($A147&amp;"="&amp;$B147,Results_Deltas!$A$2:$P$15000,5,FALSE),"")</f>
        <v/>
      </c>
      <c r="H147" s="56" t="inlineStr">
        <is>
          <t>Blanket (page end)</t>
        </is>
      </c>
    </row>
    <row r="148">
      <c r="A148" s="63" t="inlineStr">
        <is>
          <t>HLR_TOP_MIN_TFS</t>
        </is>
      </c>
      <c r="B148" s="56" t="inlineStr">
        <is>
          <t>1</t>
        </is>
      </c>
      <c r="C148" s="56" t="n"/>
      <c r="D148" s="56" t="inlineStr">
        <is>
          <t>GLOBAL_CHECK, REENTRY, STOCKS_EXIT</t>
        </is>
      </c>
      <c r="E148" s="56">
        <f>IF(G148="",E147,IF(G148&gt;0,E147+G148,E147))</f>
        <v/>
      </c>
      <c r="G148" s="56">
        <f>IFERROR(VLOOKUP($A148&amp;"="&amp;$B148,Results_Deltas!$A$2:$P$15000,5,FALSE),"")</f>
        <v/>
      </c>
      <c r="H148" s="56" t="inlineStr">
        <is>
          <t>Blanket (page end)</t>
        </is>
      </c>
    </row>
    <row r="149">
      <c r="A149" s="63" t="inlineStr">
        <is>
          <t>HTF4_CONF</t>
        </is>
      </c>
      <c r="B149" s="56" t="inlineStr">
        <is>
          <t>False</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HTF4_CONF</t>
        </is>
      </c>
      <c r="B150" s="56" t="inlineStr">
        <is>
          <t>False_ALT</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HTF_DIRECTION_GATE_ENABLED</t>
        </is>
      </c>
      <c r="B151" s="56" t="inlineStr">
        <is>
          <t>False</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HTF_DIRECTION_GATE_ENABLED</t>
        </is>
      </c>
      <c r="B152" s="56" t="inlineStr">
        <is>
          <t>True</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HTF_GATE_BYPASS_RZ</t>
        </is>
      </c>
      <c r="B153" s="56" t="inlineStr">
        <is>
          <t>0.0</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HTF_GATE_BYPASS_RZ</t>
        </is>
      </c>
      <c r="B154" s="56" t="inlineStr">
        <is>
          <t>0.0_ALT</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HTF_GATE_D_MANDATORY</t>
        </is>
      </c>
      <c r="B155" s="56" t="inlineStr">
        <is>
          <t>0.0</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HTF_GATE_D_MANDATORY</t>
        </is>
      </c>
      <c r="B156" s="56" t="inlineStr">
        <is>
          <t>0.0_ALT</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HTF_GATE_MIN_CONFIRMATIONS</t>
        </is>
      </c>
      <c r="B157" s="56" t="inlineStr">
        <is>
          <t>0.0</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HTF_GATE_MIN_CONFIRMATIONS</t>
        </is>
      </c>
      <c r="B158" s="56" t="inlineStr">
        <is>
          <t>0.0_ALT</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HTF_TREND_VETO_BYPASS_ENABLED</t>
        </is>
      </c>
      <c r="B159" s="56" t="inlineStr">
        <is>
          <t>False</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HTF_TREND_VETO_BYPASS_ENABLED</t>
        </is>
      </c>
      <c r="B160" s="56" t="inlineStr">
        <is>
          <t>True</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HTF_TREND_VETO_BYPASS_REASONS</t>
        </is>
      </c>
      <c r="B161" s="56" t="inlineStr">
        <is>
          <t>0.0</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HTF_TREND_VETO_BYPASS_REASONS</t>
        </is>
      </c>
      <c r="B162" s="56" t="inlineStr">
        <is>
          <t>0.0_ALT</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LEADERBOARD_FILTER</t>
        </is>
      </c>
      <c r="B163" s="56" t="inlineStr">
        <is>
          <t>False</t>
        </is>
      </c>
      <c r="C163" s="56" t="n"/>
      <c r="D163" s="56" t="inlineStr">
        <is>
          <t>AUGMENT, ENTRY, EXIT, GLOBAL_CHECK, REDUCE, STOCKS_EXIT</t>
        </is>
      </c>
      <c r="E163" s="56">
        <f>IF(G163="",E162,IF(G163&gt;0,E162+G163,E162))</f>
        <v/>
      </c>
      <c r="G163" s="56">
        <f>IFERROR(VLOOKUP($A163&amp;"="&amp;$B163,Results_Deltas!$A$2:$P$15000,5,FALSE),"")</f>
        <v/>
      </c>
      <c r="H163" s="56" t="inlineStr">
        <is>
          <t>Blanket (page end)</t>
        </is>
      </c>
    </row>
    <row r="164">
      <c r="A164" s="63" t="inlineStr">
        <is>
          <t>LEADERBOARD_FILTER</t>
        </is>
      </c>
      <c r="B164" s="56" t="inlineStr">
        <is>
          <t>False_ALT</t>
        </is>
      </c>
      <c r="C164" s="56" t="n"/>
      <c r="D164" s="56" t="inlineStr">
        <is>
          <t>AUGMENT, ENTRY, EXIT, GLOBAL_CHECK, REDUCE, STOCKS_EXIT</t>
        </is>
      </c>
      <c r="E164" s="56">
        <f>IF(G164="",E163,IF(G164&gt;0,E163+G164,E163))</f>
        <v/>
      </c>
      <c r="G164" s="56">
        <f>IFERROR(VLOOKUP($A164&amp;"="&amp;$B164,Results_Deltas!$A$2:$P$15000,5,FALSE),"")</f>
        <v/>
      </c>
      <c r="H164" s="56" t="inlineStr">
        <is>
          <t>Blanket (page end)</t>
        </is>
      </c>
    </row>
    <row r="165">
      <c r="A165" s="63" t="inlineStr">
        <is>
          <t>LH_HL_FILTER_ENABLED</t>
        </is>
      </c>
      <c r="B165" s="56" t="inlineStr">
        <is>
          <t>False</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LH_HL_FILTER_ENABLED</t>
        </is>
      </c>
      <c r="B166" s="56" t="inlineStr">
        <is>
          <t>True</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LH_HL_FILTER_MODE</t>
        </is>
      </c>
      <c r="B167" s="56" t="inlineStr">
        <is>
          <t>STRICT_2BAR</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LH_HL_FILTER_MODE</t>
        </is>
      </c>
      <c r="B168" s="56" t="inlineStr">
        <is>
          <t>STRICT_2BAR_ALT</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LH_HL_FILTER_REQUIRE_BOTH</t>
        </is>
      </c>
      <c r="B169" s="56" t="inlineStr">
        <is>
          <t>False</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LH_HL_FILTER_REQUIRE_BOTH</t>
        </is>
      </c>
      <c r="B170" s="56" t="inlineStr">
        <is>
          <t>False_ALT</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LIVE_VEC_EMERGENCY_BRAKE_ENABLED</t>
        </is>
      </c>
      <c r="B171" s="56" t="inlineStr">
        <is>
          <t>False</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LIVE_VEC_EMERGENCY_BRAKE_ENABLED</t>
        </is>
      </c>
      <c r="B172" s="56" t="inlineStr">
        <is>
          <t>True</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LR_BAND_LADDER_STOCH_EXTREME</t>
        </is>
      </c>
      <c r="B173" s="56" t="inlineStr">
        <is>
          <t>30.0</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LR_BAND_LADDER_STOCH_EXTREME</t>
        </is>
      </c>
      <c r="B174" s="56" t="inlineStr">
        <is>
          <t>30.0_ALT</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LR_BAND_LADDER_TF_BOTTOM</t>
        </is>
      </c>
      <c r="B175" s="56" t="inlineStr">
        <is>
          <t>0</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LR_BAND_LADDER_TF_BOTTOM</t>
        </is>
      </c>
      <c r="B176" s="56" t="inlineStr">
        <is>
          <t>1</t>
        </is>
      </c>
      <c r="C176" s="56" t="n"/>
      <c r="D176" s="56" t="inlineStr">
        <is>
          <t>GLOBAL_CHECK, STOCKS_EXIT</t>
        </is>
      </c>
      <c r="E176" s="56">
        <f>IF(G176="",E175,IF(G176&gt;0,E175+G176,E175))</f>
        <v/>
      </c>
      <c r="G176" s="56">
        <f>IFERROR(VLOOKUP($A176&amp;"="&amp;$B176,Results_Deltas!$A$2:$P$15000,5,FALSE),"")</f>
        <v/>
      </c>
      <c r="H176" s="56" t="inlineStr">
        <is>
          <t>Blanket (page end)</t>
        </is>
      </c>
    </row>
    <row r="177">
      <c r="A177" s="63" t="inlineStr">
        <is>
          <t>LR_BAND_LADDER_TF_TOP</t>
        </is>
      </c>
      <c r="B177" s="56" t="inlineStr">
        <is>
          <t>0</t>
        </is>
      </c>
      <c r="C177" s="56" t="n"/>
      <c r="D177" s="56" t="inlineStr">
        <is>
          <t>GLOBAL_CHECK, STOCKS_EXIT</t>
        </is>
      </c>
      <c r="E177" s="56">
        <f>IF(G177="",E176,IF(G177&gt;0,E176+G177,E176))</f>
        <v/>
      </c>
      <c r="G177" s="56">
        <f>IFERROR(VLOOKUP($A177&amp;"="&amp;$B177,Results_Deltas!$A$2:$P$15000,5,FALSE),"")</f>
        <v/>
      </c>
      <c r="H177" s="56" t="inlineStr">
        <is>
          <t>Blanket (page end)</t>
        </is>
      </c>
    </row>
    <row r="178">
      <c r="A178" s="63" t="inlineStr">
        <is>
          <t>LR_BAND_LADDER_TF_TOP</t>
        </is>
      </c>
      <c r="B178" s="56" t="inlineStr">
        <is>
          <t>1</t>
        </is>
      </c>
      <c r="C178" s="56" t="n"/>
      <c r="D178" s="56" t="inlineStr">
        <is>
          <t>GLOBAL_CHECK, STOCKS_EXIT</t>
        </is>
      </c>
      <c r="E178" s="56">
        <f>IF(G178="",E177,IF(G178&gt;0,E177+G178,E177))</f>
        <v/>
      </c>
      <c r="G178" s="56">
        <f>IFERROR(VLOOKUP($A178&amp;"="&amp;$B178,Results_Deltas!$A$2:$P$15000,5,FALSE),"")</f>
        <v/>
      </c>
      <c r="H178" s="56" t="inlineStr">
        <is>
          <t>Blanket (page end)</t>
        </is>
      </c>
    </row>
    <row r="179">
      <c r="A179" s="63" t="inlineStr">
        <is>
          <t>MANDATORY_REENTRY_WT_FILTER_MIN_TFS</t>
        </is>
      </c>
      <c r="B179" s="56" t="inlineStr">
        <is>
          <t>1</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MANDATORY_REENTRY_WT_FILTER_MIN_TFS</t>
        </is>
      </c>
      <c r="B180" s="56" t="inlineStr">
        <is>
          <t>3</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MANDATORY_REENTRY_WT_FILTER_MIN_TFS</t>
        </is>
      </c>
      <c r="B181" s="56" t="inlineStr">
        <is>
          <t>2</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MANDATORY_REENTRY_WT_FILTER_MIN_VELOCITY</t>
        </is>
      </c>
      <c r="B182" s="56" t="inlineStr">
        <is>
          <t>0.0</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MANDATORY_REENTRY_WT_FILTER_MIN_VELOCITY</t>
        </is>
      </c>
      <c r="B183" s="56" t="inlineStr">
        <is>
          <t>0.0_ALT</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MANDATORY_REENTRY_WT_FILTER_REQUIRE_FLIP</t>
        </is>
      </c>
      <c r="B184" s="56" t="inlineStr">
        <is>
          <t>False</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MANDATORY_REENTRY_WT_FILTER_REQUIRE_FLIP</t>
        </is>
      </c>
      <c r="B185" s="56" t="inlineStr">
        <is>
          <t>False_ALT</t>
        </is>
      </c>
      <c r="C185" s="56" t="n"/>
      <c r="D185" s="56" t="inlineStr">
        <is>
          <t>GLOBAL_CHECK, STOCKS_EXIT</t>
        </is>
      </c>
      <c r="E185" s="56">
        <f>IF(G185="",E184,IF(G185&gt;0,E184+G185,E184))</f>
        <v/>
      </c>
      <c r="G185" s="56">
        <f>IFERROR(VLOOKUP($A185&amp;"="&amp;$B185,Results_Deltas!$A$2:$P$15000,5,FALSE),"")</f>
        <v/>
      </c>
      <c r="H185" s="56" t="inlineStr">
        <is>
          <t>Blanket (page end)</t>
        </is>
      </c>
    </row>
    <row r="186">
      <c r="A186" s="63" t="inlineStr">
        <is>
          <t>MANDATORY_REENTRY_WT_FILTER_VELOCITY_RATIO</t>
        </is>
      </c>
      <c r="B186" s="56" t="inlineStr">
        <is>
          <t>0.90</t>
        </is>
      </c>
      <c r="C186" s="56" t="n"/>
      <c r="D186" s="56" t="inlineStr">
        <is>
          <t>GLOBAL_CHECK, STOCKS_EXIT</t>
        </is>
      </c>
      <c r="E186" s="56">
        <f>IF(G186="",E185,IF(G186&gt;0,E185+G186,E185))</f>
        <v/>
      </c>
      <c r="G186" s="56">
        <f>IFERROR(VLOOKUP($A186&amp;"="&amp;$B186,Results_Deltas!$A$2:$P$15000,5,FALSE),"")</f>
        <v/>
      </c>
      <c r="H186" s="56" t="inlineStr">
        <is>
          <t>Blanket (page end)</t>
        </is>
      </c>
    </row>
    <row r="187">
      <c r="A187" s="63" t="inlineStr">
        <is>
          <t>MANDATORY_REENTRY_WT_FILTER_VELOCITY_RATIO</t>
        </is>
      </c>
      <c r="B187" s="56" t="inlineStr">
        <is>
          <t>0.90_ALT</t>
        </is>
      </c>
      <c r="C187" s="56" t="n"/>
      <c r="D187" s="56" t="inlineStr">
        <is>
          <t>GLOBAL_CHECK, STOCKS_EXIT</t>
        </is>
      </c>
      <c r="E187" s="56">
        <f>IF(G187="",E186,IF(G187&gt;0,E186+G187,E186))</f>
        <v/>
      </c>
      <c r="G187" s="56">
        <f>IFERROR(VLOOKUP($A187&amp;"="&amp;$B187,Results_Deltas!$A$2:$P$15000,5,FALSE),"")</f>
        <v/>
      </c>
      <c r="H187" s="56" t="inlineStr">
        <is>
          <t>Blanket (page end)</t>
        </is>
      </c>
    </row>
    <row r="188">
      <c r="A188" s="63" t="inlineStr">
        <is>
          <t>MARKET_QUALITY_SCORE_ENABLED</t>
        </is>
      </c>
      <c r="B188" s="56" t="inlineStr">
        <is>
          <t>False</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MARKET_QUALITY_SCORE_ENABLED</t>
        </is>
      </c>
      <c r="B189" s="56" t="inlineStr">
        <is>
          <t>True</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MI_TF_AGREE_MIN</t>
        </is>
      </c>
      <c r="B190" s="56" t="inlineStr">
        <is>
          <t>0.0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MI_TF_AGREE_MIN</t>
        </is>
      </c>
      <c r="B191" s="56" t="inlineStr">
        <is>
          <t>0.0_ALT</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MOVER_THRESHOLD</t>
        </is>
      </c>
      <c r="B192" s="56" t="inlineStr">
        <is>
          <t>5</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MOVER_THRESHOLD</t>
        </is>
      </c>
      <c r="B193" s="56" t="inlineStr">
        <is>
          <t>6.25</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MOVER_THRESHOLD</t>
        </is>
      </c>
      <c r="B194" s="56" t="inlineStr">
        <is>
          <t>3.75</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MOVER_THRESHOLD</t>
        </is>
      </c>
      <c r="B195" s="56" t="inlineStr">
        <is>
          <t>2.5</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MTF_FILTER_STRONG_BUY_QUICK_BYPASS</t>
        </is>
      </c>
      <c r="B196" s="56" t="inlineStr">
        <is>
          <t>0.0</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MTF_FILTER_STRONG_BUY_QUICK_BYPASS</t>
        </is>
      </c>
      <c r="B197" s="56" t="inlineStr">
        <is>
          <t>0.0_ALT</t>
        </is>
      </c>
      <c r="C197" s="56" t="n"/>
      <c r="D197" s="56" t="inlineStr">
        <is>
          <t>GLOBAL_CHECK, STOCKS_EXIT</t>
        </is>
      </c>
      <c r="E197" s="56">
        <f>IF(G197="",E196,IF(G197&gt;0,E196+G197,E196))</f>
        <v/>
      </c>
      <c r="G197" s="56">
        <f>IFERROR(VLOOKUP($A197&amp;"="&amp;$B197,Results_Deltas!$A$2:$P$15000,5,FALSE),"")</f>
        <v/>
      </c>
      <c r="H197" s="56" t="inlineStr">
        <is>
          <t>Blanket (page end)</t>
        </is>
      </c>
    </row>
    <row r="198">
      <c r="A198" s="63" t="inlineStr">
        <is>
          <t>MTF_GR_MIN_IND</t>
        </is>
      </c>
      <c r="B198" s="56" t="inlineStr">
        <is>
          <t>5</t>
        </is>
      </c>
      <c r="C198" s="56" t="n"/>
      <c r="D198" s="56" t="inlineStr">
        <is>
          <t>GLOBAL_CHECK, STOCKS_EXIT</t>
        </is>
      </c>
      <c r="E198" s="56">
        <f>IF(G198="",E197,IF(G198&gt;0,E197+G198,E197))</f>
        <v/>
      </c>
      <c r="G198" s="56">
        <f>IFERROR(VLOOKUP($A198&amp;"="&amp;$B198,Results_Deltas!$A$2:$P$15000,5,FALSE),"")</f>
        <v/>
      </c>
      <c r="H198" s="56" t="inlineStr">
        <is>
          <t>Blanket (page end)</t>
        </is>
      </c>
    </row>
    <row r="199">
      <c r="A199" s="63" t="inlineStr">
        <is>
          <t>MTF_GR_MIN_IND</t>
        </is>
      </c>
      <c r="B199" s="56" t="inlineStr">
        <is>
          <t>5_ALT</t>
        </is>
      </c>
      <c r="C199" s="56" t="n"/>
      <c r="D199" s="56" t="inlineStr">
        <is>
          <t>GLOBAL_CHECK, STOCKS_EXIT</t>
        </is>
      </c>
      <c r="E199" s="56">
        <f>IF(G199="",E198,IF(G199&gt;0,E198+G199,E198))</f>
        <v/>
      </c>
      <c r="G199" s="56">
        <f>IFERROR(VLOOKUP($A199&amp;"="&amp;$B199,Results_Deltas!$A$2:$P$15000,5,FALSE),"")</f>
        <v/>
      </c>
      <c r="H199" s="56" t="inlineStr">
        <is>
          <t>Blanket (page end)</t>
        </is>
      </c>
    </row>
    <row r="200">
      <c r="A200" s="63" t="inlineStr">
        <is>
          <t>MTS_BOTTOM_BONUS_THRESHOLD</t>
        </is>
      </c>
      <c r="B200" s="56" t="inlineStr">
        <is>
          <t>25</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MTS_BOTTOM_BONUS_THRESHOLD</t>
        </is>
      </c>
      <c r="B201" s="56" t="inlineStr">
        <is>
          <t>31.25</t>
        </is>
      </c>
      <c r="C201" s="56" t="n"/>
      <c r="D201" s="56" t="inlineStr">
        <is>
          <t>ENTRY, GLOBAL_CHECK, STOCKS_EXIT</t>
        </is>
      </c>
      <c r="E201" s="56">
        <f>IF(G201="",E200,IF(G201&gt;0,E200+G201,E200))</f>
        <v/>
      </c>
      <c r="G201" s="56">
        <f>IFERROR(VLOOKUP($A201&amp;"="&amp;$B201,Results_Deltas!$A$2:$P$15000,5,FALSE),"")</f>
        <v/>
      </c>
      <c r="H201" s="56" t="inlineStr">
        <is>
          <t>Blanket (page end)</t>
        </is>
      </c>
    </row>
    <row r="202">
      <c r="A202" s="63" t="inlineStr">
        <is>
          <t>MTS_BOTTOM_BONUS_THRESHOLD</t>
        </is>
      </c>
      <c r="B202" s="56" t="inlineStr">
        <is>
          <t>18.75</t>
        </is>
      </c>
      <c r="C202" s="56" t="n"/>
      <c r="D202" s="56" t="inlineStr">
        <is>
          <t>ENTRY, GLOBAL_CHECK, STOCKS_EXIT</t>
        </is>
      </c>
      <c r="E202" s="56">
        <f>IF(G202="",E201,IF(G202&gt;0,E201+G202,E201))</f>
        <v/>
      </c>
      <c r="G202" s="56">
        <f>IFERROR(VLOOKUP($A202&amp;"="&amp;$B202,Results_Deltas!$A$2:$P$15000,5,FALSE),"")</f>
        <v/>
      </c>
      <c r="H202" s="56" t="inlineStr">
        <is>
          <t>Blanket (page end)</t>
        </is>
      </c>
    </row>
    <row r="203">
      <c r="A203" s="63" t="inlineStr">
        <is>
          <t>MTS_BOTTOM_BONUS_THRESHOLD</t>
        </is>
      </c>
      <c r="B203" s="56" t="inlineStr">
        <is>
          <t>12.5</t>
        </is>
      </c>
      <c r="C203" s="56" t="n"/>
      <c r="D203" s="56" t="inlineStr">
        <is>
          <t>ENTRY, GLOBAL_CHECK, STOCKS_EXIT</t>
        </is>
      </c>
      <c r="E203" s="56">
        <f>IF(G203="",E202,IF(G203&gt;0,E202+G203,E202))</f>
        <v/>
      </c>
      <c r="G203" s="56">
        <f>IFERROR(VLOOKUP($A203&amp;"="&amp;$B203,Results_Deltas!$A$2:$P$15000,5,FALSE),"")</f>
        <v/>
      </c>
      <c r="H203" s="56" t="inlineStr">
        <is>
          <t>Blanket (page end)</t>
        </is>
      </c>
    </row>
    <row r="204">
      <c r="A204" s="63" t="inlineStr">
        <is>
          <t>MTS_BOTTOM_STRONG_THRESHOLD</t>
        </is>
      </c>
      <c r="B204" s="56" t="inlineStr">
        <is>
          <t>40</t>
        </is>
      </c>
      <c r="C204" s="56" t="n"/>
      <c r="D204" s="56" t="inlineStr">
        <is>
          <t>ENTRY, GLOBAL_CHECK, STOCKS_EXIT</t>
        </is>
      </c>
      <c r="E204" s="56">
        <f>IF(G204="",E203,IF(G204&gt;0,E203+G204,E203))</f>
        <v/>
      </c>
      <c r="G204" s="56">
        <f>IFERROR(VLOOKUP($A204&amp;"="&amp;$B204,Results_Deltas!$A$2:$P$15000,5,FALSE),"")</f>
        <v/>
      </c>
      <c r="H204" s="56" t="inlineStr">
        <is>
          <t>Blanket (page end)</t>
        </is>
      </c>
    </row>
    <row r="205">
      <c r="A205" s="63" t="inlineStr">
        <is>
          <t>MTS_BOTTOM_STRONG_THRESHOLD</t>
        </is>
      </c>
      <c r="B205" s="56" t="inlineStr">
        <is>
          <t>50</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MTS_BOTTOM_STRONG_THRESHOLD</t>
        </is>
      </c>
      <c r="B206" s="56" t="inlineStr">
        <is>
          <t>30</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MTS_BOTTOM_STRONG_THRESHOLD</t>
        </is>
      </c>
      <c r="B207" s="56" t="inlineStr">
        <is>
          <t>20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MTS_GATE_ENABLED</t>
        </is>
      </c>
      <c r="B208" s="56" t="inlineStr">
        <is>
          <t>False</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MTS_GATE_ENABLED</t>
        </is>
      </c>
      <c r="B209" s="56" t="inlineStr">
        <is>
          <t>True</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NEWBORN_LOSS_KILL_GAIN_THRESHOLD_PCT</t>
        </is>
      </c>
      <c r="B210" s="56" t="inlineStr">
        <is>
          <t>0</t>
        </is>
      </c>
      <c r="C210" s="56" t="n"/>
      <c r="D210" s="56" t="inlineStr">
        <is>
          <t>AUGMENT, EXIT, GLOBAL_CHECK, REDUCE, STOCKS_EXIT</t>
        </is>
      </c>
      <c r="E210" s="56">
        <f>IF(G210="",E209,IF(G210&gt;0,E209+G210,E209))</f>
        <v/>
      </c>
      <c r="G210" s="56">
        <f>IFERROR(VLOOKUP($A210&amp;"="&amp;$B210,Results_Deltas!$A$2:$P$15000,5,FALSE),"")</f>
        <v/>
      </c>
      <c r="H210" s="56" t="inlineStr">
        <is>
          <t>Blanket (page end)</t>
        </is>
      </c>
    </row>
    <row r="211">
      <c r="A211" s="63" t="inlineStr">
        <is>
          <t>NEWBORN_LOSS_KILL_GAIN_THRESHOLD_PCT</t>
        </is>
      </c>
      <c r="B211" s="56" t="inlineStr">
        <is>
          <t>2.0</t>
        </is>
      </c>
      <c r="C211" s="56" t="n"/>
      <c r="D211" s="56" t="inlineStr">
        <is>
          <t>AUGMENT, EXIT, GLOBAL_CHECK, REDUCE, STOCKS_EXIT</t>
        </is>
      </c>
      <c r="E211" s="56">
        <f>IF(G211="",E210,IF(G211&gt;0,E210+G211,E210))</f>
        <v/>
      </c>
      <c r="G211" s="56">
        <f>IFERROR(VLOOKUP($A211&amp;"="&amp;$B211,Results_Deltas!$A$2:$P$15000,5,FALSE),"")</f>
        <v/>
      </c>
      <c r="H211" s="56" t="inlineStr">
        <is>
          <t>Blanket (page end)</t>
        </is>
      </c>
    </row>
    <row r="212">
      <c r="A212" s="63" t="inlineStr">
        <is>
          <t>NEWBORN_LOSS_KILL_GAIN_THRESHOLD_PCT</t>
        </is>
      </c>
      <c r="B212" s="56" t="inlineStr">
        <is>
          <t>1.0</t>
        </is>
      </c>
      <c r="C212" s="56" t="n"/>
      <c r="D212" s="56" t="inlineStr">
        <is>
          <t>AUGMENT, EXIT, GLOBAL_CHECK, REDUCE, STOCKS_EXIT</t>
        </is>
      </c>
      <c r="E212" s="56">
        <f>IF(G212="",E211,IF(G212&gt;0,E211+G212,E211))</f>
        <v/>
      </c>
      <c r="G212" s="56">
        <f>IFERROR(VLOOKUP($A212&amp;"="&amp;$B212,Results_Deltas!$A$2:$P$15000,5,FALSE),"")</f>
        <v/>
      </c>
      <c r="H212" s="56" t="inlineStr">
        <is>
          <t>Blanket (page end)</t>
        </is>
      </c>
    </row>
    <row r="213">
      <c r="A213" s="63" t="inlineStr">
        <is>
          <t>NEWBORN_LOSS_KILL_GAIN_THRESHOLD_PCT</t>
        </is>
      </c>
      <c r="B213" s="56" t="inlineStr">
        <is>
          <t>0.5</t>
        </is>
      </c>
      <c r="C213" s="56" t="n"/>
      <c r="D213" s="56" t="inlineStr">
        <is>
          <t>AUGMENT, EXIT, GLOBAL_CHECK, REDUCE, STOCKS_EXIT</t>
        </is>
      </c>
      <c r="E213" s="56">
        <f>IF(G213="",E212,IF(G213&gt;0,E212+G213,E212))</f>
        <v/>
      </c>
      <c r="G213" s="56">
        <f>IFERROR(VLOOKUP($A213&amp;"="&amp;$B213,Results_Deltas!$A$2:$P$15000,5,FALSE),"")</f>
        <v/>
      </c>
      <c r="H213" s="56" t="inlineStr">
        <is>
          <t>Blanket (page end)</t>
        </is>
      </c>
    </row>
    <row r="214">
      <c r="A214" s="63" t="inlineStr">
        <is>
          <t>NEWBORN_LOSS_KILL_REQUIRE_VEL_AGAINST</t>
        </is>
      </c>
      <c r="B214" s="56" t="inlineStr">
        <is>
          <t>0.0</t>
        </is>
      </c>
      <c r="C214" s="56" t="n"/>
      <c r="D214" s="56" t="inlineStr">
        <is>
          <t>AUGMENT, EXIT, GLOBAL_CHECK, REDUCE, STOCKS_EXIT</t>
        </is>
      </c>
      <c r="E214" s="56">
        <f>IF(G214="",E213,IF(G214&gt;0,E213+G214,E213))</f>
        <v/>
      </c>
      <c r="G214" s="56">
        <f>IFERROR(VLOOKUP($A214&amp;"="&amp;$B214,Results_Deltas!$A$2:$P$15000,5,FALSE),"")</f>
        <v/>
      </c>
      <c r="H214" s="56" t="inlineStr">
        <is>
          <t>Blanket (page end)</t>
        </is>
      </c>
    </row>
    <row r="215">
      <c r="A215" s="63" t="inlineStr">
        <is>
          <t>NEWBORN_LOSS_KILL_REQUIRE_VEL_AGAINST</t>
        </is>
      </c>
      <c r="B215" s="56" t="inlineStr">
        <is>
          <t>0.0_ALT</t>
        </is>
      </c>
      <c r="C215" s="56" t="n"/>
      <c r="D215" s="56" t="inlineStr">
        <is>
          <t>AUGMENT, EXIT, GLOBAL_CHECK, REDUCE, STOCKS_EXIT</t>
        </is>
      </c>
      <c r="E215" s="56">
        <f>IF(G215="",E214,IF(G215&gt;0,E214+G215,E214))</f>
        <v/>
      </c>
      <c r="G215" s="56">
        <f>IFERROR(VLOOKUP($A215&amp;"="&amp;$B215,Results_Deltas!$A$2:$P$15000,5,FALSE),"")</f>
        <v/>
      </c>
      <c r="H215" s="56" t="inlineStr">
        <is>
          <t>Blanket (page end)</t>
        </is>
      </c>
    </row>
    <row r="216">
      <c r="A216" s="63" t="inlineStr">
        <is>
          <t>NEW_POSITION_MAX_LOSS_THRESHOLD</t>
        </is>
      </c>
      <c r="B216" s="56" t="inlineStr">
        <is>
          <t>0</t>
        </is>
      </c>
      <c r="C216" s="56" t="n"/>
      <c r="D216" s="56" t="inlineStr">
        <is>
          <t>AUGMENT, EXIT, GLOBAL_CHECK, REDUCE, STOCKS_EXIT</t>
        </is>
      </c>
      <c r="E216" s="56">
        <f>IF(G216="",E215,IF(G216&gt;0,E215+G216,E215))</f>
        <v/>
      </c>
      <c r="G216" s="56">
        <f>IFERROR(VLOOKUP($A216&amp;"="&amp;$B216,Results_Deltas!$A$2:$P$15000,5,FALSE),"")</f>
        <v/>
      </c>
      <c r="H216" s="56" t="inlineStr">
        <is>
          <t>Blanket (page end)</t>
        </is>
      </c>
    </row>
    <row r="217">
      <c r="A217" s="63" t="inlineStr">
        <is>
          <t>NEW_POSITION_MAX_LOSS_THRESHOLD</t>
        </is>
      </c>
      <c r="B217" s="56" t="inlineStr">
        <is>
          <t>2.0</t>
        </is>
      </c>
      <c r="C217" s="56" t="n"/>
      <c r="D217" s="56" t="inlineStr">
        <is>
          <t>AUGMENT, EXIT, GLOBAL_CHECK, REDUCE, STOCKS_EXIT</t>
        </is>
      </c>
      <c r="E217" s="56">
        <f>IF(G217="",E216,IF(G217&gt;0,E216+G217,E216))</f>
        <v/>
      </c>
      <c r="G217" s="56">
        <f>IFERROR(VLOOKUP($A217&amp;"="&amp;$B217,Results_Deltas!$A$2:$P$15000,5,FALSE),"")</f>
        <v/>
      </c>
      <c r="H217" s="56" t="inlineStr">
        <is>
          <t>Blanket (page end)</t>
        </is>
      </c>
    </row>
    <row r="218">
      <c r="A218" s="63" t="inlineStr">
        <is>
          <t>NEW_POSITION_MAX_LOSS_THRESHOLD</t>
        </is>
      </c>
      <c r="B218" s="56" t="inlineStr">
        <is>
          <t>1.0</t>
        </is>
      </c>
      <c r="C218" s="56" t="n"/>
      <c r="D218" s="56" t="inlineStr">
        <is>
          <t>AUGMENT, EXIT, GLOBAL_CHECK, REDUCE, STOCKS_EXIT</t>
        </is>
      </c>
      <c r="E218" s="56">
        <f>IF(G218="",E217,IF(G218&gt;0,E217+G218,E217))</f>
        <v/>
      </c>
      <c r="G218" s="56">
        <f>IFERROR(VLOOKUP($A218&amp;"="&amp;$B218,Results_Deltas!$A$2:$P$15000,5,FALSE),"")</f>
        <v/>
      </c>
      <c r="H218" s="56" t="inlineStr">
        <is>
          <t>Blanket (page end)</t>
        </is>
      </c>
    </row>
    <row r="219">
      <c r="A219" s="63" t="inlineStr">
        <is>
          <t>NEW_POSITION_MAX_LOSS_THRESHOLD</t>
        </is>
      </c>
      <c r="B219" s="56" t="inlineStr">
        <is>
          <t>0.5</t>
        </is>
      </c>
      <c r="C219" s="56" t="n"/>
      <c r="D219" s="56" t="inlineStr">
        <is>
          <t>AUGMENT, EXIT, GLOBAL_CHECK, REDUCE, STOCKS_EXIT</t>
        </is>
      </c>
      <c r="E219" s="56">
        <f>IF(G219="",E218,IF(G219&gt;0,E218+G219,E218))</f>
        <v/>
      </c>
      <c r="G219" s="56">
        <f>IFERROR(VLOOKUP($A219&amp;"="&amp;$B219,Results_Deltas!$A$2:$P$15000,5,FALSE),"")</f>
        <v/>
      </c>
      <c r="H219" s="56" t="inlineStr">
        <is>
          <t>Blanket (page end)</t>
        </is>
      </c>
    </row>
    <row r="220">
      <c r="A220" s="63" t="inlineStr">
        <is>
          <t>OI_CONFIRM_ENABLED</t>
        </is>
      </c>
      <c r="B220" s="56" t="inlineStr">
        <is>
          <t>False</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OI_CONFIRM_ENABLED</t>
        </is>
      </c>
      <c r="B221" s="56" t="inlineStr">
        <is>
          <t>True</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OI_CONFIRM_MIN_CHANGE_PCT</t>
        </is>
      </c>
      <c r="B222" s="56" t="inlineStr">
        <is>
          <t>0</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OI_CONFIRM_MIN_CHANGE_PCT</t>
        </is>
      </c>
      <c r="B223" s="56" t="inlineStr">
        <is>
          <t>2.0</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OI_CONFIRM_MIN_CHANGE_PCT</t>
        </is>
      </c>
      <c r="B224" s="56" t="inlineStr">
        <is>
          <t>1.0</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OI_CONFIRM_MIN_CHANGE_PCT</t>
        </is>
      </c>
      <c r="B225" s="56" t="inlineStr">
        <is>
          <t>0.5</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OI_CONFIRM_MIN_PRICE_PCT</t>
        </is>
      </c>
      <c r="B226" s="56" t="inlineStr">
        <is>
          <t>0</t>
        </is>
      </c>
      <c r="C226" s="56" t="n"/>
      <c r="D226" s="56" t="inlineStr">
        <is>
          <t>ENTRY, GLOBAL_CHECK, STOCKS_EXIT</t>
        </is>
      </c>
      <c r="E226" s="56">
        <f>IF(G226="",E225,IF(G226&gt;0,E225+G226,E225))</f>
        <v/>
      </c>
      <c r="G226" s="56">
        <f>IFERROR(VLOOKUP($A226&amp;"="&amp;$B226,Results_Deltas!$A$2:$P$15000,5,FALSE),"")</f>
        <v/>
      </c>
      <c r="H226" s="56" t="inlineStr">
        <is>
          <t>Blanket (page end)</t>
        </is>
      </c>
    </row>
    <row r="227">
      <c r="A227" s="63" t="inlineStr">
        <is>
          <t>OI_CONFIRM_MIN_PRICE_PCT</t>
        </is>
      </c>
      <c r="B227" s="56" t="inlineStr">
        <is>
          <t>2.0</t>
        </is>
      </c>
      <c r="C227" s="56" t="n"/>
      <c r="D227" s="56" t="inlineStr">
        <is>
          <t>ENTRY, GLOBAL_CHECK, STOCKS_EXIT</t>
        </is>
      </c>
      <c r="E227" s="56">
        <f>IF(G227="",E226,IF(G227&gt;0,E226+G227,E226))</f>
        <v/>
      </c>
      <c r="G227" s="56">
        <f>IFERROR(VLOOKUP($A227&amp;"="&amp;$B227,Results_Deltas!$A$2:$P$15000,5,FALSE),"")</f>
        <v/>
      </c>
      <c r="H227" s="56" t="inlineStr">
        <is>
          <t>Blanket (page end)</t>
        </is>
      </c>
    </row>
    <row r="228">
      <c r="A228" s="63" t="inlineStr">
        <is>
          <t>OI_CONFIRM_MIN_PRICE_PCT</t>
        </is>
      </c>
      <c r="B228" s="56" t="inlineStr">
        <is>
          <t>1.0</t>
        </is>
      </c>
      <c r="C228" s="56" t="n"/>
      <c r="D228" s="56" t="inlineStr">
        <is>
          <t>ENTRY, GLOBAL_CHECK, STOCKS_EXIT</t>
        </is>
      </c>
      <c r="E228" s="56">
        <f>IF(G228="",E227,IF(G228&gt;0,E227+G228,E227))</f>
        <v/>
      </c>
      <c r="G228" s="56">
        <f>IFERROR(VLOOKUP($A228&amp;"="&amp;$B228,Results_Deltas!$A$2:$P$15000,5,FALSE),"")</f>
        <v/>
      </c>
      <c r="H228" s="56" t="inlineStr">
        <is>
          <t>Blanket (page end)</t>
        </is>
      </c>
    </row>
    <row r="229">
      <c r="A229" s="63" t="inlineStr">
        <is>
          <t>OI_CONFIRM_MIN_PRICE_PCT</t>
        </is>
      </c>
      <c r="B229" s="56" t="inlineStr">
        <is>
          <t>0.5</t>
        </is>
      </c>
      <c r="C229" s="56" t="n"/>
      <c r="D229" s="56" t="inlineStr">
        <is>
          <t>ENTRY, GLOBAL_CHECK, STOCKS_EXIT</t>
        </is>
      </c>
      <c r="E229" s="56">
        <f>IF(G229="",E228,IF(G229&gt;0,E228+G229,E228))</f>
        <v/>
      </c>
      <c r="G229" s="56">
        <f>IFERROR(VLOOKUP($A229&amp;"="&amp;$B229,Results_Deltas!$A$2:$P$15000,5,FALSE),"")</f>
        <v/>
      </c>
      <c r="H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M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PEAK_GIVEBACK_DROP_TRIGGER_ENABLED</t>
        </is>
      </c>
      <c r="B3" s="7" t="inlineStr">
        <is>
          <t>False</t>
        </is>
      </c>
      <c r="E3">
        <f>MAX('AUGMENT_RISK_SIZING'!E:E)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55" t="n"/>
      <c r="HT3" s="55" t="n"/>
      <c r="HU3" s="55" t="n"/>
      <c r="HV3" s="55" t="n"/>
      <c r="HW3" s="55" t="n"/>
      <c r="HX3" s="8" t="n"/>
      <c r="HY3" s="8" t="n"/>
      <c r="HZ3" s="8" t="n"/>
      <c r="IA3" s="8" t="n"/>
      <c r="IB3" s="8" t="n"/>
      <c r="IC3" s="8" t="n"/>
      <c r="ID3" s="8" t="n"/>
      <c r="IE3" s="8" t="n"/>
      <c r="IF3" s="8" t="n"/>
      <c r="IG3" s="8" t="n"/>
      <c r="IH3" s="8" t="n"/>
      <c r="II3" s="8" t="n"/>
      <c r="IK3" s="9" t="inlineStr">
        <is>
          <t>ez_manage.py:5168 top()</t>
        </is>
      </c>
      <c r="IL3" s="9" t="inlineStr">
        <is>
          <t>v12_quick_engine.py:2682 x3</t>
        </is>
      </c>
    </row>
    <row r="4" ht="11" customHeight="1">
      <c r="A4" s="10" t="inlineStr">
        <is>
          <t>PEAK_GIVEBACK_DROP_TRIGGER_ENABLED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55" t="n"/>
      <c r="HT4" s="55" t="n"/>
      <c r="HU4" s="55" t="n"/>
      <c r="HV4" s="55" t="n"/>
      <c r="HW4" s="55" t="n"/>
      <c r="HX4" s="8" t="n"/>
      <c r="HY4" s="8" t="n"/>
      <c r="HZ4" s="8" t="n"/>
      <c r="IA4" s="8" t="n"/>
      <c r="IB4" s="8" t="n"/>
      <c r="IC4" s="8" t="n"/>
      <c r="ID4" s="8" t="n"/>
      <c r="IE4" s="8" t="n"/>
      <c r="IF4" s="8" t="n"/>
      <c r="IG4" s="8" t="n"/>
      <c r="IH4" s="8" t="n"/>
      <c r="II4" s="8" t="n"/>
      <c r="IK4" s="9" t="inlineStr">
        <is>
          <t>ez_manage.py:5168 top()</t>
        </is>
      </c>
      <c r="IL4" s="9" t="inlineStr">
        <is>
          <t>v12_quick_engine.py:2682 x3</t>
        </is>
      </c>
    </row>
    <row r="5" ht="11" customHeight="1">
      <c r="A5" s="10" t="inlineStr">
        <is>
          <t>PARTIAL_PROFIT_LOCK_FRAC</t>
        </is>
      </c>
      <c r="B5" s="11" t="inlineStr">
        <is>
          <t>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55" t="n"/>
      <c r="HO5" s="55" t="n"/>
      <c r="HP5" s="55" t="n"/>
      <c r="HQ5" s="55" t="n"/>
      <c r="HR5" s="55" t="n"/>
      <c r="HS5" s="8" t="n"/>
      <c r="HT5" s="8" t="n"/>
      <c r="HU5" s="8" t="n"/>
      <c r="HV5" s="8" t="n"/>
      <c r="HW5" s="8" t="n"/>
      <c r="HX5" s="8" t="n"/>
      <c r="HY5" s="8" t="n"/>
      <c r="HZ5" s="8" t="n"/>
      <c r="IA5" s="8" t="n"/>
      <c r="IB5" s="8" t="n"/>
      <c r="IC5" s="8" t="n"/>
      <c r="ID5" s="8" t="n"/>
      <c r="IE5" s="8" t="n"/>
      <c r="IF5" s="8" t="n"/>
      <c r="IG5" s="8" t="n"/>
      <c r="IH5" s="8" t="n"/>
      <c r="II5" s="8" t="n"/>
      <c r="IK5" s="9" t="inlineStr">
        <is>
          <t>ez_manage.py:5158 top()</t>
        </is>
      </c>
      <c r="IL5" s="9" t="inlineStr">
        <is>
          <t>v12_quick_engine.py:2674 x7</t>
        </is>
      </c>
    </row>
    <row r="6" ht="11" customHeight="1">
      <c r="A6" s="10" t="inlineStr">
        <is>
          <t>PARTIAL_PROFIT_LOCK_FRAC</t>
        </is>
      </c>
      <c r="B6" s="11" t="inlineStr">
        <is>
          <t>0.5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55" t="n"/>
      <c r="HO6" s="55" t="n"/>
      <c r="HP6" s="55" t="n"/>
      <c r="HQ6" s="55" t="n"/>
      <c r="HR6" s="55" t="n"/>
      <c r="HS6" s="8" t="n"/>
      <c r="HT6" s="8" t="n"/>
      <c r="HU6" s="8" t="n"/>
      <c r="HV6" s="8" t="n"/>
      <c r="HW6" s="8" t="n"/>
      <c r="HX6" s="8" t="n"/>
      <c r="HY6" s="8" t="n"/>
      <c r="HZ6" s="8" t="n"/>
      <c r="IA6" s="8" t="n"/>
      <c r="IB6" s="8" t="n"/>
      <c r="IC6" s="8" t="n"/>
      <c r="ID6" s="8" t="n"/>
      <c r="IE6" s="8" t="n"/>
      <c r="IF6" s="8" t="n"/>
      <c r="IG6" s="8" t="n"/>
      <c r="IH6" s="8" t="n"/>
      <c r="II6" s="8" t="n"/>
      <c r="IK6" s="9" t="inlineStr">
        <is>
          <t>ez_manage.py:5158 top()</t>
        </is>
      </c>
      <c r="IL6" s="9" t="inlineStr">
        <is>
          <t>v12_quick_engine.py:2674 x7</t>
        </is>
      </c>
    </row>
    <row r="7" ht="11" customHeight="1">
      <c r="A7" s="10" t="inlineStr">
        <is>
          <t>PARTIAL_PROFIT_LOCK_FRAC</t>
        </is>
      </c>
      <c r="B7" s="11" t="inlineStr">
        <is>
          <t>1.0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55" t="n"/>
      <c r="HO7" s="55" t="n"/>
      <c r="HP7" s="55" t="n"/>
      <c r="HQ7" s="55" t="n"/>
      <c r="HR7" s="55" t="n"/>
      <c r="HS7" s="8" t="n"/>
      <c r="HT7" s="8" t="n"/>
      <c r="HU7" s="8" t="n"/>
      <c r="HV7" s="8" t="n"/>
      <c r="HW7" s="8" t="n"/>
      <c r="HX7" s="8" t="n"/>
      <c r="HY7" s="8" t="n"/>
      <c r="HZ7" s="8" t="n"/>
      <c r="IA7" s="8" t="n"/>
      <c r="IB7" s="8" t="n"/>
      <c r="IC7" s="8" t="n"/>
      <c r="ID7" s="8" t="n"/>
      <c r="IE7" s="8" t="n"/>
      <c r="IF7" s="8" t="n"/>
      <c r="IG7" s="8" t="n"/>
      <c r="IH7" s="8" t="n"/>
      <c r="II7" s="8" t="n"/>
      <c r="IK7" s="9" t="inlineStr">
        <is>
          <t>ez_manage.py:5158 top()</t>
        </is>
      </c>
      <c r="IL7" s="9" t="inlineStr">
        <is>
          <t>v12_quick_engine.py:2674 x7</t>
        </is>
      </c>
    </row>
    <row r="8" ht="11" customHeight="1">
      <c r="A8" s="10" t="inlineStr">
        <is>
          <t>PARTIAL_PROFIT_LOCK_FRAC</t>
        </is>
      </c>
      <c r="B8" s="11" t="inlineStr">
        <is>
          <t>2.0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55" t="n"/>
      <c r="HO8" s="55" t="n"/>
      <c r="HP8" s="55" t="n"/>
      <c r="HQ8" s="55" t="n"/>
      <c r="HR8" s="55" t="n"/>
      <c r="HS8" s="8" t="n"/>
      <c r="HT8" s="8" t="n"/>
      <c r="HU8" s="8" t="n"/>
      <c r="HV8" s="8" t="n"/>
      <c r="HW8" s="8" t="n"/>
      <c r="HX8" s="8" t="n"/>
      <c r="HY8" s="8" t="n"/>
      <c r="HZ8" s="8" t="n"/>
      <c r="IA8" s="8" t="n"/>
      <c r="IB8" s="8" t="n"/>
      <c r="IC8" s="8" t="n"/>
      <c r="ID8" s="8" t="n"/>
      <c r="IE8" s="8" t="n"/>
      <c r="IF8" s="8" t="n"/>
      <c r="IG8" s="8" t="n"/>
      <c r="IH8" s="8" t="n"/>
      <c r="II8" s="8" t="n"/>
      <c r="IK8" s="9" t="inlineStr">
        <is>
          <t>ez_manage.py:5158 top()</t>
        </is>
      </c>
      <c r="IL8" s="9" t="inlineStr">
        <is>
          <t>v12_quick_engine.py:2674 x7</t>
        </is>
      </c>
    </row>
    <row r="9" ht="11" customHeight="1">
      <c r="A9" s="10" t="inlineStr">
        <is>
          <t>MIN_HOLD_BARS_BEFORE_EXIT</t>
        </is>
      </c>
      <c r="B9" s="11" t="inlineStr">
        <is>
          <t>16</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ez_manage.py:4990 top()</t>
        </is>
      </c>
      <c r="IL9" s="9" t="inlineStr">
        <is>
          <t>v12_quick_engine.py:2309 x7</t>
        </is>
      </c>
    </row>
    <row r="10" ht="11" customHeight="1">
      <c r="A10" s="10" t="inlineStr">
        <is>
          <t>MIN_HOLD_BARS_BEFORE_EXIT</t>
        </is>
      </c>
      <c r="B10" s="11" t="inlineStr">
        <is>
          <t>24</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ez_manage.py:4990 top()</t>
        </is>
      </c>
      <c r="IL10" s="9" t="inlineStr">
        <is>
          <t>v12_quick_engine.py:2309 x7</t>
        </is>
      </c>
    </row>
    <row r="11" ht="11" customHeight="1">
      <c r="A11" s="6" t="inlineStr">
        <is>
          <t>MIN_HOLD_BARS_BEFORE_EXIT</t>
        </is>
      </c>
      <c r="B11" s="7" t="inlineStr">
        <is>
          <t>32</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ez_manage.py:4990 top()</t>
        </is>
      </c>
      <c r="IL11" s="9" t="inlineStr">
        <is>
          <t>v12_quick_engine.py:2309 x7</t>
        </is>
      </c>
    </row>
    <row r="12" ht="11" customHeight="1">
      <c r="A12" s="10" t="inlineStr">
        <is>
          <t>MIN_HOLD_BARS_BEFORE_EXIT</t>
        </is>
      </c>
      <c r="B12" s="11" t="inlineStr">
        <is>
          <t>40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ez_manage.py:4990 top()</t>
        </is>
      </c>
      <c r="IL12" s="9" t="inlineStr">
        <is>
          <t>v12_quick_engine.py:2309 x7</t>
        </is>
      </c>
    </row>
    <row r="13" ht="11" customHeight="1">
      <c r="A13" s="10" t="inlineStr">
        <is>
          <t>MIN_HOLD_BARS_BEFORE_EXIT</t>
        </is>
      </c>
      <c r="B13" s="11" t="inlineStr">
        <is>
          <t>48</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ez_manage.py:4990 top()</t>
        </is>
      </c>
      <c r="IL13" s="9" t="inlineStr">
        <is>
          <t>v12_quick_engine.py:2309 x7</t>
        </is>
      </c>
    </row>
    <row r="14" ht="11" customHeight="1">
      <c r="A14" s="6" t="inlineStr">
        <is>
          <t>BREAKEVEN_GAIN_EROSION_ENABLED</t>
        </is>
      </c>
      <c r="B14" s="7" t="inlineStr">
        <is>
          <t>False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55" t="n"/>
      <c r="HT14" s="55" t="n"/>
      <c r="HU14" s="55" t="n"/>
      <c r="HV14" s="55" t="n"/>
      <c r="HW14" s="55" t="n"/>
      <c r="HX14" s="8" t="n"/>
      <c r="HY14" s="8" t="n"/>
      <c r="HZ14" s="8" t="n"/>
      <c r="IA14" s="8" t="n"/>
      <c r="IB14" s="8" t="n"/>
      <c r="IC14" s="8" t="n"/>
      <c r="ID14" s="8" t="n"/>
      <c r="IE14" s="8" t="n"/>
      <c r="IF14" s="8" t="n"/>
      <c r="IG14" s="8" t="n"/>
      <c r="IH14" s="8" t="n"/>
      <c r="II14" s="8" t="n"/>
      <c r="IK14" s="9" t="inlineStr">
        <is>
          <t>ez_manage.py:4400 top()</t>
        </is>
      </c>
      <c r="IL14" s="9" t="inlineStr">
        <is>
          <t>v12_quick_engine.py:341 x8</t>
        </is>
      </c>
    </row>
    <row r="15" ht="11" customHeight="1">
      <c r="A15" s="10" t="inlineStr">
        <is>
          <t>BREAKEVEN_GAIN_EROSION_ENABLED</t>
        </is>
      </c>
      <c r="B15" s="11" t="inlineStr">
        <is>
          <t>True</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55" t="n"/>
      <c r="HT15" s="55" t="n"/>
      <c r="HU15" s="55" t="n"/>
      <c r="HV15" s="55" t="n"/>
      <c r="HW15" s="55" t="n"/>
      <c r="HX15" s="8" t="n"/>
      <c r="HY15" s="8" t="n"/>
      <c r="HZ15" s="8" t="n"/>
      <c r="IA15" s="8" t="n"/>
      <c r="IB15" s="8" t="n"/>
      <c r="IC15" s="8" t="n"/>
      <c r="ID15" s="8" t="n"/>
      <c r="IE15" s="8" t="n"/>
      <c r="IF15" s="8" t="n"/>
      <c r="IG15" s="8" t="n"/>
      <c r="IH15" s="8" t="n"/>
      <c r="II15" s="8" t="n"/>
      <c r="IK15" s="9" t="inlineStr">
        <is>
          <t>ez_manage.py:4400 top()</t>
        </is>
      </c>
      <c r="IL15" s="9" t="inlineStr">
        <is>
          <t>v12_quick_engine.py:341 x8</t>
        </is>
      </c>
    </row>
    <row r="16" ht="11" customHeight="1">
      <c r="A16" s="10" t="inlineStr">
        <is>
          <t>BREAKEVEN_GAIN_EROSION_MIN_GAIN</t>
        </is>
      </c>
      <c r="B16" s="11" t="inlineStr">
        <is>
          <t>25.0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55" t="n"/>
      <c r="HT16" s="55" t="n"/>
      <c r="HU16" s="55" t="n"/>
      <c r="HV16" s="55" t="n"/>
      <c r="HW16" s="55" t="n"/>
      <c r="HX16" s="8" t="n"/>
      <c r="HY16" s="8" t="n"/>
      <c r="HZ16" s="8" t="n"/>
      <c r="IA16" s="8" t="n"/>
      <c r="IB16" s="8" t="n"/>
      <c r="IC16" s="8" t="n"/>
      <c r="ID16" s="8" t="n"/>
      <c r="IE16" s="8" t="n"/>
      <c r="IF16" s="8" t="n"/>
      <c r="IG16" s="8" t="n"/>
      <c r="IH16" s="8" t="n"/>
      <c r="II16" s="8" t="n"/>
      <c r="IK16" s="9" t="inlineStr">
        <is>
          <t>ez_manage.py:4401 top()</t>
        </is>
      </c>
      <c r="IL16" s="9" t="inlineStr">
        <is>
          <t>v12_quick_engine.py:357 x14</t>
        </is>
      </c>
    </row>
    <row r="17" ht="11" customHeight="1">
      <c r="A17" s="10" t="inlineStr">
        <is>
          <t>BREAKEVEN_GAIN_EROSION_MIN_GAIN</t>
        </is>
      </c>
      <c r="B17" s="11" t="inlineStr">
        <is>
          <t>37.5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55" t="n"/>
      <c r="HT17" s="55" t="n"/>
      <c r="HU17" s="55" t="n"/>
      <c r="HV17" s="55" t="n"/>
      <c r="HW17" s="55" t="n"/>
      <c r="HX17" s="8" t="n"/>
      <c r="HY17" s="8" t="n"/>
      <c r="HZ17" s="8" t="n"/>
      <c r="IA17" s="8" t="n"/>
      <c r="IB17" s="8" t="n"/>
      <c r="IC17" s="8" t="n"/>
      <c r="ID17" s="8" t="n"/>
      <c r="IE17" s="8" t="n"/>
      <c r="IF17" s="8" t="n"/>
      <c r="IG17" s="8" t="n"/>
      <c r="IH17" s="8" t="n"/>
      <c r="II17" s="8" t="n"/>
      <c r="IK17" s="9" t="inlineStr">
        <is>
          <t>ez_manage.py:4401 top()</t>
        </is>
      </c>
      <c r="IL17" s="9" t="inlineStr">
        <is>
          <t>v12_quick_engine.py:357 x14</t>
        </is>
      </c>
    </row>
    <row r="18" ht="11" customHeight="1">
      <c r="A18" s="6" t="inlineStr">
        <is>
          <t>BREAKEVEN_GAIN_EROSION_MIN_GAIN</t>
        </is>
      </c>
      <c r="B18" s="7" t="inlineStr">
        <is>
          <t>50.0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55" t="n"/>
      <c r="HT18" s="55" t="n"/>
      <c r="HU18" s="55" t="n"/>
      <c r="HV18" s="55" t="n"/>
      <c r="HW18" s="55" t="n"/>
      <c r="HX18" s="8" t="n"/>
      <c r="HY18" s="8" t="n"/>
      <c r="HZ18" s="8" t="n"/>
      <c r="IA18" s="8" t="n"/>
      <c r="IB18" s="8" t="n"/>
      <c r="IC18" s="8" t="n"/>
      <c r="ID18" s="8" t="n"/>
      <c r="IE18" s="8" t="n"/>
      <c r="IF18" s="8" t="n"/>
      <c r="IG18" s="8" t="n"/>
      <c r="IH18" s="8" t="n"/>
      <c r="II18" s="8" t="n"/>
      <c r="IK18" s="9" t="inlineStr">
        <is>
          <t>ez_manage.py:4401 top()</t>
        </is>
      </c>
      <c r="IL18" s="9" t="inlineStr">
        <is>
          <t>v12_quick_engine.py:357 x14</t>
        </is>
      </c>
    </row>
    <row r="19" ht="11" customHeight="1">
      <c r="A19" s="10" t="inlineStr">
        <is>
          <t>BREAKEVEN_GAIN_EROSION_MIN_GAIN</t>
        </is>
      </c>
      <c r="B19" s="11" t="inlineStr">
        <is>
          <t>62.5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55" t="n"/>
      <c r="HT19" s="55" t="n"/>
      <c r="HU19" s="55" t="n"/>
      <c r="HV19" s="55" t="n"/>
      <c r="HW19" s="55" t="n"/>
      <c r="HX19" s="8" t="n"/>
      <c r="HY19" s="8" t="n"/>
      <c r="HZ19" s="8" t="n"/>
      <c r="IA19" s="8" t="n"/>
      <c r="IB19" s="8" t="n"/>
      <c r="IC19" s="8" t="n"/>
      <c r="ID19" s="8" t="n"/>
      <c r="IE19" s="8" t="n"/>
      <c r="IF19" s="8" t="n"/>
      <c r="IG19" s="8" t="n"/>
      <c r="IH19" s="8" t="n"/>
      <c r="II19" s="8" t="n"/>
      <c r="IK19" s="9" t="inlineStr">
        <is>
          <t>ez_manage.py:4401 top()</t>
        </is>
      </c>
      <c r="IL19" s="9" t="inlineStr">
        <is>
          <t>v12_quick_engine.py:357 x14</t>
        </is>
      </c>
    </row>
    <row r="20" ht="11" customHeight="1">
      <c r="A20" s="10" t="inlineStr">
        <is>
          <t>BREAKEVEN_GAIN_EROSION_MIN_GAIN</t>
        </is>
      </c>
      <c r="B20" s="11" t="inlineStr">
        <is>
          <t>75.0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55" t="n"/>
      <c r="HT20" s="55" t="n"/>
      <c r="HU20" s="55" t="n"/>
      <c r="HV20" s="55" t="n"/>
      <c r="HW20" s="55" t="n"/>
      <c r="HX20" s="8" t="n"/>
      <c r="HY20" s="8" t="n"/>
      <c r="HZ20" s="8" t="n"/>
      <c r="IA20" s="8" t="n"/>
      <c r="IB20" s="8" t="n"/>
      <c r="IC20" s="8" t="n"/>
      <c r="ID20" s="8" t="n"/>
      <c r="IE20" s="8" t="n"/>
      <c r="IF20" s="8" t="n"/>
      <c r="IG20" s="8" t="n"/>
      <c r="IH20" s="8" t="n"/>
      <c r="II20" s="8" t="n"/>
      <c r="IK20" s="9" t="inlineStr">
        <is>
          <t>ez_manage.py:4401 top()</t>
        </is>
      </c>
      <c r="IL20" s="9" t="inlineStr">
        <is>
          <t>v12_quick_engine.py:357 x14</t>
        </is>
      </c>
    </row>
    <row r="21" ht="11" customHeight="1">
      <c r="A21" s="10" t="inlineStr">
        <is>
          <t>BREAKEVEN_GAIN_EROSION_REQUIRE_PROFIT</t>
        </is>
      </c>
      <c r="B21" s="11" t="inlineStr">
        <is>
          <t>False</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55" t="n"/>
      <c r="HO21" s="55" t="n"/>
      <c r="HP21" s="55" t="n"/>
      <c r="HQ21" s="55" t="n"/>
      <c r="HR21" s="55"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ez_manage.py:4402 top()</t>
        </is>
      </c>
      <c r="IL21" s="9" t="inlineStr">
        <is>
          <t>v12_quick_engine.py:364 x13</t>
        </is>
      </c>
    </row>
    <row r="22" ht="11" customHeight="1">
      <c r="A22" s="6" t="inlineStr">
        <is>
          <t>BREAKEVEN_GAIN_EROSION_REQUIRE_PROFIT</t>
        </is>
      </c>
      <c r="B22" s="7" t="inlineStr">
        <is>
          <t>True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55" t="n"/>
      <c r="HO22" s="55" t="n"/>
      <c r="HP22" s="55" t="n"/>
      <c r="HQ22" s="55" t="n"/>
      <c r="HR22" s="55"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ez_manage.py:4402 top()</t>
        </is>
      </c>
      <c r="IL22" s="9" t="inlineStr">
        <is>
          <t>v12_quick_engine.py:364 x13</t>
        </is>
      </c>
    </row>
    <row r="23" ht="11" customHeight="1">
      <c r="A23" s="6" t="inlineStr">
        <is>
          <t>FUNDING_GATE_LONG_MAX</t>
        </is>
      </c>
      <c r="B23" s="7" t="inlineStr">
        <is>
          <t>0.0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ez_manage.py:4730 top()</t>
        </is>
      </c>
      <c r="IL23" s="9" t="inlineStr">
        <is>
          <t>v12_quick_engine.py:1864 x6</t>
        </is>
      </c>
    </row>
    <row r="24" ht="11" customHeight="1">
      <c r="A24" s="10" t="inlineStr">
        <is>
          <t>FUNDING_GATE_LONG_MAX</t>
        </is>
      </c>
      <c r="B24" s="11" t="inlineStr">
        <is>
          <t>0.0_ALT</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ez_manage.py:4730 top()</t>
        </is>
      </c>
      <c r="IL24" s="9" t="inlineStr">
        <is>
          <t>v12_quick_engine.py:1864 x6</t>
        </is>
      </c>
    </row>
    <row r="25" ht="11" customHeight="1">
      <c r="A25" s="6" t="inlineStr">
        <is>
          <t>FUNDING_GATE_MTF_REQUIRED</t>
        </is>
      </c>
      <c r="B25" s="7" t="inlineStr">
        <is>
          <t>0.0</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55" t="n"/>
      <c r="GF25" s="55" t="n"/>
      <c r="GG25" s="55" t="n"/>
      <c r="GH25" s="55" t="n"/>
      <c r="GI25" s="55" t="n"/>
      <c r="GJ25" s="8" t="n"/>
      <c r="GK25" s="8" t="n"/>
      <c r="GL25" s="8" t="n"/>
      <c r="GM25" s="8" t="n"/>
      <c r="GN25" s="8" t="n"/>
      <c r="GO25" s="55" t="n"/>
      <c r="GP25" s="55" t="n"/>
      <c r="GQ25" s="55" t="n"/>
      <c r="GR25" s="55" t="n"/>
      <c r="GS25" s="55"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ez_manage.py:4732 top()</t>
        </is>
      </c>
      <c r="IL25" s="9" t="inlineStr">
        <is>
          <t>v12_quick_engine.py:1866 x5</t>
        </is>
      </c>
    </row>
    <row r="26" ht="11" customHeight="1">
      <c r="A26" s="10" t="inlineStr">
        <is>
          <t>FUNDING_GATE_MTF_REQUIRED</t>
        </is>
      </c>
      <c r="B26" s="11" t="inlineStr">
        <is>
          <t>0.0_ALT</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55" t="n"/>
      <c r="GF26" s="55" t="n"/>
      <c r="GG26" s="55" t="n"/>
      <c r="GH26" s="55" t="n"/>
      <c r="GI26" s="55" t="n"/>
      <c r="GJ26" s="8" t="n"/>
      <c r="GK26" s="8" t="n"/>
      <c r="GL26" s="8" t="n"/>
      <c r="GM26" s="8" t="n"/>
      <c r="GN26" s="8" t="n"/>
      <c r="GO26" s="55" t="n"/>
      <c r="GP26" s="55" t="n"/>
      <c r="GQ26" s="55" t="n"/>
      <c r="GR26" s="55" t="n"/>
      <c r="GS26" s="55"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ez_manage.py:4732 top()</t>
        </is>
      </c>
      <c r="IL26" s="9" t="inlineStr">
        <is>
          <t>v12_quick_engine.py:1866 x5</t>
        </is>
      </c>
    </row>
    <row r="27" ht="11" customHeight="1">
      <c r="A27" s="6" t="inlineStr">
        <is>
          <t>FUNDING_GATE_SHORT_MIN</t>
        </is>
      </c>
      <c r="B27" s="7" t="inlineStr">
        <is>
          <t>0.0</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ez_manage.py:4734 top()</t>
        </is>
      </c>
      <c r="IL27" s="9" t="inlineStr">
        <is>
          <t>v12_quick_engine.py:1870 x6</t>
        </is>
      </c>
    </row>
    <row r="28" ht="11" customHeight="1">
      <c r="A28" s="10" t="inlineStr">
        <is>
          <t>FUNDING_GATE_SHORT_MIN</t>
        </is>
      </c>
      <c r="B28" s="11" t="inlineStr">
        <is>
          <t>0.0_ALT</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ez_manage.py:4734 top()</t>
        </is>
      </c>
      <c r="IL28" s="9" t="inlineStr">
        <is>
          <t>v12_quick_engine.py:1870 x6</t>
        </is>
      </c>
    </row>
    <row r="29" ht="11" customHeight="1">
      <c r="A29" s="6" t="inlineStr">
        <is>
          <t>HTF4_CONF</t>
        </is>
      </c>
      <c r="B29" s="7" t="inlineStr">
        <is>
          <t>False</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ez_manage.py:3370 top()</t>
        </is>
      </c>
      <c r="IL29" s="9" t="inlineStr">
        <is>
          <t>v12_quick_engine.py:2038 x7</t>
        </is>
      </c>
    </row>
    <row r="30" ht="11" customHeight="1">
      <c r="A30" s="10" t="inlineStr">
        <is>
          <t>HTF4_CONF</t>
        </is>
      </c>
      <c r="B30" s="11" t="inlineStr">
        <is>
          <t>False_ALT</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ez_manage.py:3370 top()</t>
        </is>
      </c>
      <c r="IL30" s="9" t="inlineStr">
        <is>
          <t>v12_quick_engine.py:2038 x7</t>
        </is>
      </c>
    </row>
    <row r="31" ht="11" customHeight="1">
      <c r="A31" s="6" t="inlineStr">
        <is>
          <t>HTF_DIRECTION_GATE_ENABLED</t>
        </is>
      </c>
      <c r="B31" s="7" t="inlineStr">
        <is>
          <t>False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55" t="n"/>
      <c r="EN31" s="55" t="n"/>
      <c r="EO31" s="55" t="n"/>
      <c r="EP31" s="55" t="n"/>
      <c r="EQ31" s="55"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ez_manage.py:4872 top()</t>
        </is>
      </c>
      <c r="IL31" s="9" t="inlineStr">
        <is>
          <t>v12_quick_engine.py:2048 x2</t>
        </is>
      </c>
    </row>
    <row r="32" ht="11" customHeight="1">
      <c r="A32" s="10" t="inlineStr">
        <is>
          <t>HTF_DIRECTION_GATE_ENABLED</t>
        </is>
      </c>
      <c r="B32" s="11" t="inlineStr">
        <is>
          <t>True</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55" t="n"/>
      <c r="EN32" s="55" t="n"/>
      <c r="EO32" s="55" t="n"/>
      <c r="EP32" s="55" t="n"/>
      <c r="EQ32" s="55"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ez_manage.py:4872 top()</t>
        </is>
      </c>
      <c r="IL32" s="9" t="inlineStr">
        <is>
          <t>v12_quick_engine.py:2048 x2</t>
        </is>
      </c>
    </row>
    <row r="33" ht="11" customHeight="1">
      <c r="A33" s="10" t="inlineStr">
        <is>
          <t>HTF_GATE_APPLY_TO_OPEN</t>
        </is>
      </c>
      <c r="B33" s="11" t="inlineStr">
        <is>
          <t>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55" t="n"/>
      <c r="DY33" s="55" t="n"/>
      <c r="DZ33" s="55" t="n"/>
      <c r="EA33" s="55" t="n"/>
      <c r="EB33" s="55" t="n"/>
      <c r="EC33" s="8" t="n"/>
      <c r="ED33" s="8" t="n"/>
      <c r="EE33" s="8" t="n"/>
      <c r="EF33" s="8" t="n"/>
      <c r="EG33" s="8" t="n"/>
      <c r="EH33" s="8" t="n"/>
      <c r="EI33" s="8" t="n"/>
      <c r="EJ33" s="8" t="n"/>
      <c r="EK33" s="8" t="n"/>
      <c r="EL33" s="8" t="n"/>
      <c r="EM33" s="55" t="n"/>
      <c r="EN33" s="55" t="n"/>
      <c r="EO33" s="55" t="n"/>
      <c r="EP33" s="55" t="n"/>
      <c r="EQ33" s="55"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55" t="n"/>
      <c r="HJ33" s="55" t="n"/>
      <c r="HK33" s="55" t="n"/>
      <c r="HL33" s="55" t="n"/>
      <c r="HM33" s="55"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ez_manage.py:4877 top()</t>
        </is>
      </c>
      <c r="IL33" s="9" t="inlineStr">
        <is>
          <t>v12_quick_engine.py:2053 x4</t>
        </is>
      </c>
    </row>
    <row r="34" ht="11" customHeight="1">
      <c r="A34" s="10" t="inlineStr">
        <is>
          <t>HTF_GATE_APPLY_TO_OPEN</t>
        </is>
      </c>
      <c r="B34" s="11" t="inlineStr">
        <is>
          <t>0.5</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55" t="n"/>
      <c r="DY34" s="55" t="n"/>
      <c r="DZ34" s="55" t="n"/>
      <c r="EA34" s="55" t="n"/>
      <c r="EB34" s="55" t="n"/>
      <c r="EC34" s="8" t="n"/>
      <c r="ED34" s="8" t="n"/>
      <c r="EE34" s="8" t="n"/>
      <c r="EF34" s="8" t="n"/>
      <c r="EG34" s="8" t="n"/>
      <c r="EH34" s="8" t="n"/>
      <c r="EI34" s="8" t="n"/>
      <c r="EJ34" s="8" t="n"/>
      <c r="EK34" s="8" t="n"/>
      <c r="EL34" s="8" t="n"/>
      <c r="EM34" s="55" t="n"/>
      <c r="EN34" s="55" t="n"/>
      <c r="EO34" s="55" t="n"/>
      <c r="EP34" s="55" t="n"/>
      <c r="EQ34" s="55"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55" t="n"/>
      <c r="HJ34" s="55" t="n"/>
      <c r="HK34" s="55" t="n"/>
      <c r="HL34" s="55" t="n"/>
      <c r="HM34" s="55"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ez_manage.py:4877 top()</t>
        </is>
      </c>
      <c r="IL34" s="9" t="inlineStr">
        <is>
          <t>v12_quick_engine.py:2053 x4</t>
        </is>
      </c>
    </row>
    <row r="35" ht="11" customHeight="1">
      <c r="A35" s="10" t="inlineStr">
        <is>
          <t>HTF_GATE_APPLY_TO_OPEN</t>
        </is>
      </c>
      <c r="B35" s="11" t="inlineStr">
        <is>
          <t>1.0</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55" t="n"/>
      <c r="DY35" s="55" t="n"/>
      <c r="DZ35" s="55" t="n"/>
      <c r="EA35" s="55" t="n"/>
      <c r="EB35" s="55" t="n"/>
      <c r="EC35" s="8" t="n"/>
      <c r="ED35" s="8" t="n"/>
      <c r="EE35" s="8" t="n"/>
      <c r="EF35" s="8" t="n"/>
      <c r="EG35" s="8" t="n"/>
      <c r="EH35" s="8" t="n"/>
      <c r="EI35" s="8" t="n"/>
      <c r="EJ35" s="8" t="n"/>
      <c r="EK35" s="8" t="n"/>
      <c r="EL35" s="8" t="n"/>
      <c r="EM35" s="55" t="n"/>
      <c r="EN35" s="55" t="n"/>
      <c r="EO35" s="55" t="n"/>
      <c r="EP35" s="55" t="n"/>
      <c r="EQ35" s="55"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55" t="n"/>
      <c r="HJ35" s="55" t="n"/>
      <c r="HK35" s="55" t="n"/>
      <c r="HL35" s="55" t="n"/>
      <c r="HM35" s="55"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ez_manage.py:4877 top()</t>
        </is>
      </c>
      <c r="IL35" s="9" t="inlineStr">
        <is>
          <t>v12_quick_engine.py:2053 x4</t>
        </is>
      </c>
    </row>
    <row r="36" ht="11" customHeight="1">
      <c r="A36" s="10" t="inlineStr">
        <is>
          <t>HTF_GATE_APPLY_TO_OPEN</t>
        </is>
      </c>
      <c r="B36" s="11" t="inlineStr">
        <is>
          <t>2.0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55" t="n"/>
      <c r="DY36" s="55" t="n"/>
      <c r="DZ36" s="55" t="n"/>
      <c r="EA36" s="55" t="n"/>
      <c r="EB36" s="55" t="n"/>
      <c r="EC36" s="8" t="n"/>
      <c r="ED36" s="8" t="n"/>
      <c r="EE36" s="8" t="n"/>
      <c r="EF36" s="8" t="n"/>
      <c r="EG36" s="8" t="n"/>
      <c r="EH36" s="8" t="n"/>
      <c r="EI36" s="8" t="n"/>
      <c r="EJ36" s="8" t="n"/>
      <c r="EK36" s="8" t="n"/>
      <c r="EL36" s="8" t="n"/>
      <c r="EM36" s="55" t="n"/>
      <c r="EN36" s="55" t="n"/>
      <c r="EO36" s="55" t="n"/>
      <c r="EP36" s="55" t="n"/>
      <c r="EQ36" s="55"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55" t="n"/>
      <c r="HJ36" s="55" t="n"/>
      <c r="HK36" s="55" t="n"/>
      <c r="HL36" s="55" t="n"/>
      <c r="HM36" s="55"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ez_manage.py:4877 top()</t>
        </is>
      </c>
      <c r="IL36" s="9" t="inlineStr">
        <is>
          <t>v12_quick_engine.py:2053 x4</t>
        </is>
      </c>
    </row>
    <row r="37" ht="11" customHeight="1">
      <c r="A37" s="6" t="inlineStr">
        <is>
          <t>HTF_GATE_BYPASS_RZ</t>
        </is>
      </c>
      <c r="B37" s="7" t="inlineStr">
        <is>
          <t>0.0</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55" t="n"/>
      <c r="EN37" s="55" t="n"/>
      <c r="EO37" s="55" t="n"/>
      <c r="EP37" s="55" t="n"/>
      <c r="EQ37" s="55"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55" t="n"/>
      <c r="HE37" s="55" t="n"/>
      <c r="HF37" s="55" t="n"/>
      <c r="HG37" s="55" t="n"/>
      <c r="HH37" s="55"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ez_manage.py:4878 top()</t>
        </is>
      </c>
      <c r="IL37" s="9" t="inlineStr">
        <is>
          <t>v12_quick_engine.py:2054 x4</t>
        </is>
      </c>
    </row>
    <row r="38" ht="11" customHeight="1">
      <c r="A38" s="10" t="inlineStr">
        <is>
          <t>HTF_GATE_BYPASS_RZ</t>
        </is>
      </c>
      <c r="B38" s="11" t="inlineStr">
        <is>
          <t>0.0_ALT</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55" t="n"/>
      <c r="HE38" s="55" t="n"/>
      <c r="HF38" s="55" t="n"/>
      <c r="HG38" s="55" t="n"/>
      <c r="HH38" s="55"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ez_manage.py:4878 top()</t>
        </is>
      </c>
      <c r="IL38" s="9" t="inlineStr">
        <is>
          <t>v12_quick_engine.py:2054 x4</t>
        </is>
      </c>
    </row>
    <row r="39" ht="11" customHeight="1">
      <c r="A39" s="6" t="inlineStr">
        <is>
          <t>HTF_GATE_D_MANDATORY</t>
        </is>
      </c>
      <c r="B39" s="7" t="inlineStr">
        <is>
          <t>0.0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ez_manage.py:4879 top()</t>
        </is>
      </c>
      <c r="IL39" s="9" t="inlineStr">
        <is>
          <t>v12_quick_engine.py:2055 x5</t>
        </is>
      </c>
    </row>
    <row r="40" ht="11" customHeight="1">
      <c r="A40" s="10" t="inlineStr">
        <is>
          <t>HTF_GATE_D_MANDATORY</t>
        </is>
      </c>
      <c r="B40" s="11" t="inlineStr">
        <is>
          <t>0.0_ALT</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ez_manage.py:4879 top()</t>
        </is>
      </c>
      <c r="IL40" s="9" t="inlineStr">
        <is>
          <t>v12_quick_engine.py:2055 x5</t>
        </is>
      </c>
    </row>
    <row r="41" ht="11" customHeight="1">
      <c r="A41" s="6" t="inlineStr">
        <is>
          <t>HTF_GATE_MIN_CONFIRMATIONS</t>
        </is>
      </c>
      <c r="B41" s="7" t="inlineStr">
        <is>
          <t>0.0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ez_manage.py:4880 top()</t>
        </is>
      </c>
      <c r="IL41" s="9" t="inlineStr">
        <is>
          <t>v12_quick_engine.py:2056 x6</t>
        </is>
      </c>
    </row>
    <row r="42" ht="11" customHeight="1">
      <c r="A42" s="10" t="inlineStr">
        <is>
          <t>HTF_GATE_MIN_CONFIRMATIONS</t>
        </is>
      </c>
      <c r="B42" s="11" t="inlineStr">
        <is>
          <t>0.0_ALT</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ez_manage.py:4880 top()</t>
        </is>
      </c>
      <c r="IL42" s="9" t="inlineStr">
        <is>
          <t>v12_quick_engine.py:2056 x6</t>
        </is>
      </c>
    </row>
    <row r="43" ht="11" customHeight="1">
      <c r="A43" s="6" t="inlineStr">
        <is>
          <t>MARKET_QUALITY_SCORE_ENABLED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ez_manage.py:3518 top()</t>
        </is>
      </c>
      <c r="IL43" s="9" t="inlineStr">
        <is>
          <t>v12_quick_engine.py:2263 x8</t>
        </is>
      </c>
    </row>
    <row r="44" ht="11" customHeight="1">
      <c r="A44" s="10" t="inlineStr">
        <is>
          <t>MARKET_QUALITY_SCORE_ENABLED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ez_manage.py:3518 top()</t>
        </is>
      </c>
      <c r="IL44" s="9" t="inlineStr">
        <is>
          <t>v12_quick_engine.py:2263 x8</t>
        </is>
      </c>
    </row>
    <row r="45" ht="11" customHeight="1">
      <c r="A45" s="10" t="inlineStr">
        <is>
          <t>NOLOSS_BYPASS_WT_5OF5_MIN_TFS</t>
        </is>
      </c>
      <c r="B45" s="11" t="inlineStr">
        <is>
          <t>2</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55" t="n"/>
      <c r="HE45" s="55" t="n"/>
      <c r="HF45" s="55" t="n"/>
      <c r="HG45" s="55" t="n"/>
      <c r="HH45" s="55"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ez_manage.py:5095 top()</t>
        </is>
      </c>
      <c r="IL45" s="9" t="inlineStr">
        <is>
          <t>v12_quick_engine.py:860 x7</t>
        </is>
      </c>
    </row>
    <row r="46" ht="11" customHeight="1">
      <c r="A46" s="10" t="inlineStr">
        <is>
          <t>NOLOSS_BYPASS_WT_5OF5_MIN_TFS</t>
        </is>
      </c>
      <c r="B46" s="11" t="inlineStr">
        <is>
          <t>4</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55" t="n"/>
      <c r="HE46" s="55" t="n"/>
      <c r="HF46" s="55" t="n"/>
      <c r="HG46" s="55" t="n"/>
      <c r="HH46" s="55"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ez_manage.py:5095 top()</t>
        </is>
      </c>
      <c r="IL46" s="9" t="inlineStr">
        <is>
          <t>v12_quick_engine.py:860 x7</t>
        </is>
      </c>
    </row>
    <row r="47" ht="11" customHeight="1">
      <c r="A47" s="6" t="inlineStr">
        <is>
          <t>NOLOSS_BYPASS_WT_5OF5_MIN_TFS</t>
        </is>
      </c>
      <c r="B47" s="64" t="n">
        <v>3</v>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55" t="n"/>
      <c r="HE47" s="55" t="n"/>
      <c r="HF47" s="55" t="n"/>
      <c r="HG47" s="55" t="n"/>
      <c r="HH47" s="55"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ez_manage.py:5095 top()</t>
        </is>
      </c>
      <c r="IL47" s="9" t="inlineStr">
        <is>
          <t>v12_quick_engine.py:860 x7</t>
        </is>
      </c>
    </row>
    <row r="48" ht="11" customHeight="1">
      <c r="A48" s="10" t="inlineStr">
        <is>
          <t>NOLOSS_BYPASS_WT_5OF5_MIN_TFS</t>
        </is>
      </c>
      <c r="B48" s="11" t="inlineStr">
        <is>
          <t>6</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55" t="n"/>
      <c r="HE48" s="55" t="n"/>
      <c r="HF48" s="55" t="n"/>
      <c r="HG48" s="55" t="n"/>
      <c r="HH48" s="55"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ez_manage.py:5095 top()</t>
        </is>
      </c>
      <c r="IL48" s="9" t="inlineStr">
        <is>
          <t>v12_quick_engine.py:860 x7</t>
        </is>
      </c>
    </row>
    <row r="49" ht="11" customHeight="1">
      <c r="A49" s="10" t="inlineStr">
        <is>
          <t>NOLOSS_BYPASS_WT_5OF5_MIN_TFS</t>
        </is>
      </c>
      <c r="B49" s="11" t="inlineStr">
        <is>
          <t>8</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55" t="n"/>
      <c r="HE49" s="55" t="n"/>
      <c r="HF49" s="55" t="n"/>
      <c r="HG49" s="55" t="n"/>
      <c r="HH49" s="55"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ez_manage.py:5095 top()</t>
        </is>
      </c>
      <c r="IL49" s="9" t="inlineStr">
        <is>
          <t>v12_quick_engine.py:860 x7</t>
        </is>
      </c>
    </row>
    <row r="50" ht="11" customHeight="1">
      <c r="A50" s="6" t="inlineStr">
        <is>
          <t>SIMPLE_TP_EXIT_ENABLED</t>
        </is>
      </c>
      <c r="B50" s="7" t="inlineStr">
        <is>
          <t>False</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ez_manage.py:4001 top()</t>
        </is>
      </c>
      <c r="IL50" s="9" t="inlineStr">
        <is>
          <t>v12_quick_engine.py:3227 x2</t>
        </is>
      </c>
    </row>
    <row r="51" ht="11" customHeight="1">
      <c r="A51" s="10" t="inlineStr">
        <is>
          <t>SIMPLE_TP_EXIT_ENABLED</t>
        </is>
      </c>
      <c r="B51" s="11" t="inlineStr">
        <is>
          <t>True</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ez_manage.py:4001 top()</t>
        </is>
      </c>
      <c r="IL51" s="9" t="inlineStr">
        <is>
          <t>v12_quick_engine.py:3227 x2</t>
        </is>
      </c>
    </row>
    <row r="52" ht="11" customHeight="1">
      <c r="A52" s="10" t="inlineStr">
        <is>
          <t>SIMPLE_TP_PCT</t>
        </is>
      </c>
      <c r="B52" s="11" t="inlineStr">
        <is>
          <t>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ez_manage.py:4002 top()</t>
        </is>
      </c>
      <c r="IL52" s="9" t="inlineStr">
        <is>
          <t>v12_quick_engine.py:3228 x2</t>
        </is>
      </c>
    </row>
    <row r="53" ht="11" customHeight="1">
      <c r="A53" s="10" t="inlineStr">
        <is>
          <t>SIMPLE_TP_PCT</t>
        </is>
      </c>
      <c r="B53" s="11" t="inlineStr">
        <is>
          <t>0.5</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ez_manage.py:4002 top()</t>
        </is>
      </c>
      <c r="IL53" s="9" t="inlineStr">
        <is>
          <t>v12_quick_engine.py:3228 x2</t>
        </is>
      </c>
    </row>
    <row r="54" ht="11" customHeight="1">
      <c r="A54" s="10" t="inlineStr">
        <is>
          <t>SIMPLE_TP_PCT</t>
        </is>
      </c>
      <c r="B54" s="11" t="inlineStr">
        <is>
          <t>1.0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ez_manage.py:4002 top()</t>
        </is>
      </c>
      <c r="IL54" s="9" t="inlineStr">
        <is>
          <t>v12_quick_engine.py:3228 x2</t>
        </is>
      </c>
    </row>
    <row r="55" ht="11" customHeight="1">
      <c r="A55" s="10" t="inlineStr">
        <is>
          <t>SIMPLE_TP_PCT</t>
        </is>
      </c>
      <c r="B55" s="11" t="inlineStr">
        <is>
          <t>2.0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ez_manage.py:4002 top()</t>
        </is>
      </c>
      <c r="IL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G57" s="62" t="inlineStr">
        <is>
          <t>Rec</t>
        </is>
      </c>
      <c r="H57" s="62" t="inlineStr">
        <is>
          <t>Tested As</t>
        </is>
      </c>
      <c r="I57" s="62" t="inlineStr">
        <is>
          <t>Notes</t>
        </is>
      </c>
    </row>
    <row r="58">
      <c r="A58" s="63" t="inlineStr">
        <is>
          <t>ADX_RANGING_THRESHOLD</t>
        </is>
      </c>
      <c r="B58" s="56" t="inlineStr">
        <is>
          <t>20</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ADX_RANGING_THRESHOLD</t>
        </is>
      </c>
      <c r="B59" s="56" t="inlineStr">
        <is>
          <t>25</t>
        </is>
      </c>
      <c r="C59" s="56" t="n"/>
      <c r="D59" s="56" t="inlineStr">
        <is>
          <t>ENTRY, GLOBAL_CHECK, STOCKS_EXIT</t>
        </is>
      </c>
      <c r="E59" s="56">
        <f>IF(G59="",E58,IF(G59&gt;0,E58+G59,E58))</f>
        <v/>
      </c>
      <c r="G59" s="56">
        <f>IFERROR(VLOOKUP($A59&amp;"="&amp;$B59,Results_Deltas!$A$2:$P$15000,5,FALSE),"")</f>
        <v/>
      </c>
      <c r="H59" s="56" t="inlineStr">
        <is>
          <t>Blanket (page end)</t>
        </is>
      </c>
    </row>
    <row r="60">
      <c r="A60" s="63" t="inlineStr">
        <is>
          <t>ADX_RANGING_THRESHOLD</t>
        </is>
      </c>
      <c r="B60" s="56" t="inlineStr">
        <is>
          <t>15</t>
        </is>
      </c>
      <c r="C60" s="56" t="n"/>
      <c r="D60" s="56" t="inlineStr">
        <is>
          <t>ENTRY, GLOBAL_CHECK, STOCKS_EXIT</t>
        </is>
      </c>
      <c r="E60" s="56">
        <f>IF(G60="",E59,IF(G60&gt;0,E59+G60,E59))</f>
        <v/>
      </c>
      <c r="G60" s="56">
        <f>IFERROR(VLOOKUP($A60&amp;"="&amp;$B60,Results_Deltas!$A$2:$P$15000,5,FALSE),"")</f>
        <v/>
      </c>
      <c r="H60" s="56" t="inlineStr">
        <is>
          <t>Blanket (page end)</t>
        </is>
      </c>
    </row>
    <row r="61">
      <c r="A61" s="63" t="inlineStr">
        <is>
          <t>ADX_RANGING_THRESHOLD</t>
        </is>
      </c>
      <c r="B61" s="56" t="inlineStr">
        <is>
          <t>10</t>
        </is>
      </c>
      <c r="C61" s="56" t="n"/>
      <c r="D61" s="56" t="inlineStr">
        <is>
          <t>ENTRY, GLOBAL_CHECK, STOCKS_EXIT</t>
        </is>
      </c>
      <c r="E61" s="56">
        <f>IF(G61="",E60,IF(G61&gt;0,E60+G61,E60))</f>
        <v/>
      </c>
      <c r="G61" s="56">
        <f>IFERROR(VLOOKUP($A61&amp;"="&amp;$B61,Results_Deltas!$A$2:$P$15000,5,FALSE),"")</f>
        <v/>
      </c>
      <c r="H61" s="56" t="inlineStr">
        <is>
          <t>Blanket (page end)</t>
        </is>
      </c>
    </row>
    <row r="62">
      <c r="A62" s="63" t="inlineStr">
        <is>
          <t>BANDAID_OFF_LOSER_RECOVER_PCT</t>
        </is>
      </c>
      <c r="B62" s="56" t="inlineStr">
        <is>
          <t>0</t>
        </is>
      </c>
      <c r="C62" s="56" t="n"/>
      <c r="D62" s="56" t="inlineStr">
        <is>
          <t>AUGMENT, ENTRY, EXIT, GLOBAL_CHECK, REDUCE, STOCKS_EXIT</t>
        </is>
      </c>
      <c r="E62" s="56">
        <f>IF(G62="",E61,IF(G62&gt;0,E61+G62,E61))</f>
        <v/>
      </c>
      <c r="G62" s="56">
        <f>IFERROR(VLOOKUP($A62&amp;"="&amp;$B62,Results_Deltas!$A$2:$P$15000,5,FALSE),"")</f>
        <v/>
      </c>
      <c r="H62" s="56" t="inlineStr">
        <is>
          <t>Blanket (page end)</t>
        </is>
      </c>
    </row>
    <row r="63">
      <c r="A63" s="63" t="inlineStr">
        <is>
          <t>BANDAID_OFF_LOSER_RECOVER_PCT</t>
        </is>
      </c>
      <c r="B63" s="56" t="inlineStr">
        <is>
          <t>2.0</t>
        </is>
      </c>
      <c r="C63" s="56" t="n"/>
      <c r="D63" s="56" t="inlineStr">
        <is>
          <t>AUGMENT, ENTRY, EXIT, GLOBAL_CHECK, REDUCE, STOCKS_EXIT</t>
        </is>
      </c>
      <c r="E63" s="56">
        <f>IF(G63="",E62,IF(G63&gt;0,E62+G63,E62))</f>
        <v/>
      </c>
      <c r="G63" s="56">
        <f>IFERROR(VLOOKUP($A63&amp;"="&amp;$B63,Results_Deltas!$A$2:$P$15000,5,FALSE),"")</f>
        <v/>
      </c>
      <c r="H63" s="56" t="inlineStr">
        <is>
          <t>Blanket (page end)</t>
        </is>
      </c>
    </row>
    <row r="64">
      <c r="A64" s="63" t="inlineStr">
        <is>
          <t>BANDAID_OFF_LOSER_RECOVER_PCT</t>
        </is>
      </c>
      <c r="B64" s="56" t="inlineStr">
        <is>
          <t>1.0</t>
        </is>
      </c>
      <c r="C64" s="56" t="n"/>
      <c r="D64" s="56" t="inlineStr">
        <is>
          <t>AUGMENT, ENTRY, EXIT, GLOBAL_CHECK, REDUCE, STOCKS_EXIT</t>
        </is>
      </c>
      <c r="E64" s="56">
        <f>IF(G64="",E63,IF(G64&gt;0,E63+G64,E63))</f>
        <v/>
      </c>
      <c r="G64" s="56">
        <f>IFERROR(VLOOKUP($A64&amp;"="&amp;$B64,Results_Deltas!$A$2:$P$15000,5,FALSE),"")</f>
        <v/>
      </c>
      <c r="H64" s="56" t="inlineStr">
        <is>
          <t>Blanket (page end)</t>
        </is>
      </c>
    </row>
    <row r="65">
      <c r="A65" s="63" t="inlineStr">
        <is>
          <t>BANDAID_OFF_LOSER_RECOVER_PCT</t>
        </is>
      </c>
      <c r="B65" s="56" t="inlineStr">
        <is>
          <t>0.5</t>
        </is>
      </c>
      <c r="C65" s="56" t="n"/>
      <c r="D65" s="56" t="inlineStr">
        <is>
          <t>AUGMENT, ENTRY, EXIT, GLOBAL_CHECK, REDUCE, STOCKS_EXIT</t>
        </is>
      </c>
      <c r="E65" s="56">
        <f>IF(G65="",E64,IF(G65&gt;0,E64+G65,E64))</f>
        <v/>
      </c>
      <c r="G65" s="56">
        <f>IFERROR(VLOOKUP($A65&amp;"="&amp;$B65,Results_Deltas!$A$2:$P$15000,5,FALSE),"")</f>
        <v/>
      </c>
      <c r="H65" s="56" t="inlineStr">
        <is>
          <t>Blanket (page end)</t>
        </is>
      </c>
    </row>
    <row r="66">
      <c r="A66" s="63" t="inlineStr">
        <is>
          <t>BAND_ARROW_ENABLED</t>
        </is>
      </c>
      <c r="B66" s="56" t="inlineStr">
        <is>
          <t>False</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BAND_ARROW_ENABLED</t>
        </is>
      </c>
      <c r="B67" s="56" t="inlineStr">
        <is>
          <t>True</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COOLDOWN_LOCKS_FILTER_TF</t>
        </is>
      </c>
      <c r="B68" s="56" t="inlineStr">
        <is>
          <t>OFF</t>
        </is>
      </c>
      <c r="C68" s="56" t="n"/>
      <c r="D68" s="56" t="inlineStr">
        <is>
          <t>GLOBAL_CHECK</t>
        </is>
      </c>
      <c r="E68" s="56">
        <f>IF(G68="",E67,IF(G68&gt;0,E67+G68,E67))</f>
        <v/>
      </c>
      <c r="G68" s="56">
        <f>IFERROR(VLOOKUP($A68&amp;"="&amp;$B68,Results_Deltas!$A$2:$P$15000,5,FALSE),"")</f>
        <v/>
      </c>
      <c r="H68" s="56" t="inlineStr">
        <is>
          <t>Blanket (page end)</t>
        </is>
      </c>
    </row>
    <row r="69">
      <c r="A69" s="63" t="inlineStr">
        <is>
          <t>COOLDOWN_LOCKS_FILTER_TF</t>
        </is>
      </c>
      <c r="B69" s="56" t="inlineStr">
        <is>
          <t>D</t>
        </is>
      </c>
      <c r="C69" s="56" t="n"/>
      <c r="D69" s="56" t="inlineStr">
        <is>
          <t>GLOBAL_CHECK</t>
        </is>
      </c>
      <c r="E69" s="56">
        <f>IF(G69="",E68,IF(G69&gt;0,E68+G69,E68))</f>
        <v/>
      </c>
      <c r="G69" s="56">
        <f>IFERROR(VLOOKUP($A69&amp;"="&amp;$B69,Results_Deltas!$A$2:$P$15000,5,FALSE),"")</f>
        <v/>
      </c>
      <c r="H69" s="56" t="inlineStr">
        <is>
          <t>Blanket (page end)</t>
        </is>
      </c>
    </row>
    <row r="70">
      <c r="A70" s="63" t="inlineStr">
        <is>
          <t>COOLDOWN_LOCKS_FILTER_TF</t>
        </is>
      </c>
      <c r="B70" s="56" t="inlineStr">
        <is>
          <t>4h</t>
        </is>
      </c>
      <c r="C70" s="56" t="n"/>
      <c r="D70" s="56" t="inlineStr">
        <is>
          <t>GLOBAL_CHECK</t>
        </is>
      </c>
      <c r="E70" s="56">
        <f>IF(G70="",E69,IF(G70&gt;0,E69+G70,E69))</f>
        <v/>
      </c>
      <c r="G70" s="56">
        <f>IFERROR(VLOOKUP($A70&amp;"="&amp;$B70,Results_Deltas!$A$2:$P$15000,5,FALSE),"")</f>
        <v/>
      </c>
      <c r="H70" s="56" t="inlineStr">
        <is>
          <t>Blanket (page end)</t>
        </is>
      </c>
    </row>
    <row r="71">
      <c r="A71" s="63" t="inlineStr">
        <is>
          <t>COOLDOWN_LOCKS_FILTER_TF</t>
        </is>
      </c>
      <c r="B71" s="56" t="inlineStr">
        <is>
          <t>1h</t>
        </is>
      </c>
      <c r="C71" s="56" t="n"/>
      <c r="D71" s="56" t="inlineStr">
        <is>
          <t>GLOBAL_CHECK</t>
        </is>
      </c>
      <c r="E71" s="56">
        <f>IF(G71="",E70,IF(G71&gt;0,E70+G71,E70))</f>
        <v/>
      </c>
      <c r="G71" s="56">
        <f>IFERROR(VLOOKUP($A71&amp;"="&amp;$B71,Results_Deltas!$A$2:$P$15000,5,FALSE),"")</f>
        <v/>
      </c>
      <c r="H71" s="56" t="inlineStr">
        <is>
          <t>Blanket (page end)</t>
        </is>
      </c>
    </row>
    <row r="72">
      <c r="A72" s="63" t="inlineStr">
        <is>
          <t>COOLDOWN_LOCKS_FILTER_TF</t>
        </is>
      </c>
      <c r="B72" s="56" t="inlineStr">
        <is>
          <t>15m</t>
        </is>
      </c>
      <c r="C72" s="56" t="n"/>
      <c r="D72" s="56" t="inlineStr">
        <is>
          <t>GLOBAL_CHECK</t>
        </is>
      </c>
      <c r="E72" s="56">
        <f>IF(G72="",E71,IF(G72&gt;0,E71+G72,E71))</f>
        <v/>
      </c>
      <c r="G72" s="56">
        <f>IFERROR(VLOOKUP($A72&amp;"="&amp;$B72,Results_Deltas!$A$2:$P$15000,5,FALSE),"")</f>
        <v/>
      </c>
      <c r="H72" s="56" t="inlineStr">
        <is>
          <t>Blanket (page end)</t>
        </is>
      </c>
    </row>
    <row r="73">
      <c r="A73" s="63" t="inlineStr">
        <is>
          <t>CRYPTO_SPIKE_FADE_THRESHOLD_PCT</t>
        </is>
      </c>
      <c r="B73" s="56" t="inlineStr">
        <is>
          <t>10</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CRYPTO_SPIKE_FADE_THRESHOLD_PCT</t>
        </is>
      </c>
      <c r="B74" s="56" t="inlineStr">
        <is>
          <t>12.5</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CRYPTO_SPIKE_FADE_THRESHOLD_PCT</t>
        </is>
      </c>
      <c r="B75" s="56" t="inlineStr">
        <is>
          <t>7.5</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CRYPTO_SPIKE_FADE_THRESHOLD_PCT</t>
        </is>
      </c>
      <c r="B76" s="56" t="inlineStr">
        <is>
          <t>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DC_MOMENT_STRONG_THRESHOLD</t>
        </is>
      </c>
      <c r="B77" s="56" t="inlineStr">
        <is>
          <t>40</t>
        </is>
      </c>
      <c r="C77" s="56" t="n"/>
      <c r="D77" s="56" t="inlineStr">
        <is>
          <t>ENTRY, GLOBAL_CHECK, STOCKS_EXIT</t>
        </is>
      </c>
      <c r="E77" s="56">
        <f>IF(G77="",E76,IF(G77&gt;0,E76+G77,E76))</f>
        <v/>
      </c>
      <c r="G77" s="56">
        <f>IFERROR(VLOOKUP($A77&amp;"="&amp;$B77,Results_Deltas!$A$2:$P$15000,5,FALSE),"")</f>
        <v/>
      </c>
      <c r="H77" s="56" t="inlineStr">
        <is>
          <t>Blanket (page end)</t>
        </is>
      </c>
    </row>
    <row r="78">
      <c r="A78" s="63" t="inlineStr">
        <is>
          <t>DC_MOMENT_STRONG_THRESHOLD</t>
        </is>
      </c>
      <c r="B78" s="56" t="inlineStr">
        <is>
          <t>50</t>
        </is>
      </c>
      <c r="C78" s="56" t="n"/>
      <c r="D78" s="56" t="inlineStr">
        <is>
          <t>ENTRY, GLOBAL_CHECK, STOCKS_EXIT</t>
        </is>
      </c>
      <c r="E78" s="56">
        <f>IF(G78="",E77,IF(G78&gt;0,E77+G78,E77))</f>
        <v/>
      </c>
      <c r="G78" s="56">
        <f>IFERROR(VLOOKUP($A78&amp;"="&amp;$B78,Results_Deltas!$A$2:$P$15000,5,FALSE),"")</f>
        <v/>
      </c>
      <c r="H78" s="56" t="inlineStr">
        <is>
          <t>Blanket (page end)</t>
        </is>
      </c>
    </row>
    <row r="79">
      <c r="A79" s="63" t="inlineStr">
        <is>
          <t>DC_MOMENT_STRONG_THRESHOLD</t>
        </is>
      </c>
      <c r="B79" s="56" t="inlineStr">
        <is>
          <t>30</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DC_MOMENT_STRONG_THRESHOLD</t>
        </is>
      </c>
      <c r="B80" s="56" t="inlineStr">
        <is>
          <t>20</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DELTA_HTF_GATE</t>
        </is>
      </c>
      <c r="B81" s="56" t="inlineStr">
        <is>
          <t>4h</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DELTA_HTF_GATE</t>
        </is>
      </c>
      <c r="B82" s="56" t="inlineStr">
        <is>
          <t>4h_ALT</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DELTA_REENTRY_FILTER_ENABLED</t>
        </is>
      </c>
      <c r="B83" s="56" t="inlineStr">
        <is>
          <t>False</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DELTA_REENTRY_FILTER_ENABLED</t>
        </is>
      </c>
      <c r="B84" s="56" t="inlineStr">
        <is>
          <t>True</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DUP_GUARD_FILTER_TF</t>
        </is>
      </c>
      <c r="B85" s="56" t="inlineStr">
        <is>
          <t>OFF</t>
        </is>
      </c>
      <c r="C85" s="56" t="n"/>
      <c r="D85" s="56" t="inlineStr">
        <is>
          <t>GLOBAL_CHECK</t>
        </is>
      </c>
      <c r="E85" s="56">
        <f>IF(G85="",E84,IF(G85&gt;0,E84+G85,E84))</f>
        <v/>
      </c>
      <c r="G85" s="56">
        <f>IFERROR(VLOOKUP($A85&amp;"="&amp;$B85,Results_Deltas!$A$2:$P$15000,5,FALSE),"")</f>
        <v/>
      </c>
      <c r="H85" s="56" t="inlineStr">
        <is>
          <t>Blanket (page end)</t>
        </is>
      </c>
    </row>
    <row r="86">
      <c r="A86" s="63" t="inlineStr">
        <is>
          <t>DUP_GUARD_FILTER_TF</t>
        </is>
      </c>
      <c r="B86" s="56" t="inlineStr">
        <is>
          <t>D</t>
        </is>
      </c>
      <c r="C86" s="56" t="n"/>
      <c r="D86" s="56" t="inlineStr">
        <is>
          <t>GLOBAL_CHECK</t>
        </is>
      </c>
      <c r="E86" s="56">
        <f>IF(G86="",E85,IF(G86&gt;0,E85+G86,E85))</f>
        <v/>
      </c>
      <c r="G86" s="56">
        <f>IFERROR(VLOOKUP($A86&amp;"="&amp;$B86,Results_Deltas!$A$2:$P$15000,5,FALSE),"")</f>
        <v/>
      </c>
      <c r="H86" s="56" t="inlineStr">
        <is>
          <t>Blanket (page end)</t>
        </is>
      </c>
    </row>
    <row r="87">
      <c r="A87" s="63" t="inlineStr">
        <is>
          <t>DUP_GUARD_FILTER_TF</t>
        </is>
      </c>
      <c r="B87" s="56" t="inlineStr">
        <is>
          <t>4h</t>
        </is>
      </c>
      <c r="C87" s="56" t="n"/>
      <c r="D87" s="56" t="inlineStr">
        <is>
          <t>GLOBAL_CHECK</t>
        </is>
      </c>
      <c r="E87" s="56">
        <f>IF(G87="",E86,IF(G87&gt;0,E86+G87,E86))</f>
        <v/>
      </c>
      <c r="G87" s="56">
        <f>IFERROR(VLOOKUP($A87&amp;"="&amp;$B87,Results_Deltas!$A$2:$P$15000,5,FALSE),"")</f>
        <v/>
      </c>
      <c r="H87" s="56" t="inlineStr">
        <is>
          <t>Blanket (page end)</t>
        </is>
      </c>
    </row>
    <row r="88">
      <c r="A88" s="63" t="inlineStr">
        <is>
          <t>DUP_GUARD_FILTER_TF</t>
        </is>
      </c>
      <c r="B88" s="56" t="inlineStr">
        <is>
          <t>1h</t>
        </is>
      </c>
      <c r="C88" s="56" t="n"/>
      <c r="D88" s="56" t="inlineStr">
        <is>
          <t>GLOBAL_CHECK</t>
        </is>
      </c>
      <c r="E88" s="56">
        <f>IF(G88="",E87,IF(G88&gt;0,E87+G88,E87))</f>
        <v/>
      </c>
      <c r="G88" s="56">
        <f>IFERROR(VLOOKUP($A88&amp;"="&amp;$B88,Results_Deltas!$A$2:$P$15000,5,FALSE),"")</f>
        <v/>
      </c>
      <c r="H88" s="56" t="inlineStr">
        <is>
          <t>Blanket (page end)</t>
        </is>
      </c>
    </row>
    <row r="89">
      <c r="A89" s="63" t="inlineStr">
        <is>
          <t>DUP_GUARD_FILTER_TF</t>
        </is>
      </c>
      <c r="B89" s="56" t="inlineStr">
        <is>
          <t>15m</t>
        </is>
      </c>
      <c r="C89" s="56" t="n"/>
      <c r="D89" s="56" t="inlineStr">
        <is>
          <t>GLOBAL_CHECK</t>
        </is>
      </c>
      <c r="E89" s="56">
        <f>IF(G89="",E88,IF(G89&gt;0,E88+G89,E88))</f>
        <v/>
      </c>
      <c r="G89" s="56">
        <f>IFERROR(VLOOKUP($A89&amp;"="&amp;$B89,Results_Deltas!$A$2:$P$15000,5,FALSE),"")</f>
        <v/>
      </c>
      <c r="H89" s="56" t="inlineStr">
        <is>
          <t>Blanket (page end)</t>
        </is>
      </c>
    </row>
    <row r="90">
      <c r="A90" s="63" t="inlineStr">
        <is>
          <t>EMA_9_21_FILTER_MIN_TFS</t>
        </is>
      </c>
      <c r="B90" s="56" t="inlineStr">
        <is>
          <t>0</t>
        </is>
      </c>
      <c r="C90" s="56" t="n"/>
      <c r="D90" s="56" t="inlineStr">
        <is>
          <t>GLOBAL_CHECK</t>
        </is>
      </c>
      <c r="E90" s="56">
        <f>IF(G90="",E89,IF(G90&gt;0,E89+G90,E89))</f>
        <v/>
      </c>
      <c r="G90" s="56">
        <f>IFERROR(VLOOKUP($A90&amp;"="&amp;$B90,Results_Deltas!$A$2:$P$15000,5,FALSE),"")</f>
        <v/>
      </c>
      <c r="H90" s="56" t="inlineStr">
        <is>
          <t>Blanket (page end)</t>
        </is>
      </c>
    </row>
    <row r="91">
      <c r="A91" s="63" t="inlineStr">
        <is>
          <t>EMA_9_21_FILTER_MIN_TFS</t>
        </is>
      </c>
      <c r="B91" s="56" t="inlineStr">
        <is>
          <t>2</t>
        </is>
      </c>
      <c r="C91" s="56" t="n"/>
      <c r="D91" s="56" t="inlineStr">
        <is>
          <t>GLOBAL_CHECK</t>
        </is>
      </c>
      <c r="E91" s="56">
        <f>IF(G91="",E90,IF(G91&gt;0,E90+G91,E90))</f>
        <v/>
      </c>
      <c r="G91" s="56">
        <f>IFERROR(VLOOKUP($A91&amp;"="&amp;$B91,Results_Deltas!$A$2:$P$15000,5,FALSE),"")</f>
        <v/>
      </c>
      <c r="H91" s="56" t="inlineStr">
        <is>
          <t>Blanket (page end)</t>
        </is>
      </c>
    </row>
    <row r="92">
      <c r="A92" s="63" t="inlineStr">
        <is>
          <t>EMA_9_21_FILTER_MIN_TFS</t>
        </is>
      </c>
      <c r="B92" s="56" t="inlineStr">
        <is>
          <t>1</t>
        </is>
      </c>
      <c r="C92" s="56" t="n"/>
      <c r="D92" s="56" t="inlineStr">
        <is>
          <t>GLOBAL_CHECK</t>
        </is>
      </c>
      <c r="E92" s="56">
        <f>IF(G92="",E91,IF(G92&gt;0,E91+G92,E91))</f>
        <v/>
      </c>
      <c r="G92" s="56">
        <f>IFERROR(VLOOKUP($A92&amp;"="&amp;$B92,Results_Deltas!$A$2:$P$15000,5,FALSE),"")</f>
        <v/>
      </c>
      <c r="H92" s="56" t="inlineStr">
        <is>
          <t>Blanket (page end)</t>
        </is>
      </c>
    </row>
    <row r="93">
      <c r="A93" s="63" t="inlineStr">
        <is>
          <t>EMA_BLANKET_FILTER_ENABLED</t>
        </is>
      </c>
      <c r="B93" s="56" t="inlineStr">
        <is>
          <t>False</t>
        </is>
      </c>
      <c r="C93" s="56" t="n"/>
      <c r="D93" s="56" t="inlineStr">
        <is>
          <t>GLOBAL_CHECK</t>
        </is>
      </c>
      <c r="E93" s="56">
        <f>IF(G93="",E92,IF(G93&gt;0,E92+G93,E92))</f>
        <v/>
      </c>
      <c r="G93" s="56">
        <f>IFERROR(VLOOKUP($A93&amp;"="&amp;$B93,Results_Deltas!$A$2:$P$15000,5,FALSE),"")</f>
        <v/>
      </c>
      <c r="H93" s="56" t="inlineStr">
        <is>
          <t>Blanket (page end)</t>
        </is>
      </c>
    </row>
    <row r="94">
      <c r="A94" s="63" t="inlineStr">
        <is>
          <t>EMA_BLANKET_FILTER_ENABLED</t>
        </is>
      </c>
      <c r="B94" s="56" t="inlineStr">
        <is>
          <t>True</t>
        </is>
      </c>
      <c r="C94" s="56" t="n"/>
      <c r="D94" s="56" t="inlineStr">
        <is>
          <t>GLOBAL_CHECK</t>
        </is>
      </c>
      <c r="E94" s="56">
        <f>IF(G94="",E93,IF(G94&gt;0,E93+G94,E93))</f>
        <v/>
      </c>
      <c r="G94" s="56">
        <f>IFERROR(VLOOKUP($A94&amp;"="&amp;$B94,Results_Deltas!$A$2:$P$15000,5,FALSE),"")</f>
        <v/>
      </c>
      <c r="H94" s="56" t="inlineStr">
        <is>
          <t>Blanket (page end)</t>
        </is>
      </c>
    </row>
    <row r="95">
      <c r="A95" s="63" t="inlineStr">
        <is>
          <t>EMA_BLANKET_FILTER_MIN_TFS</t>
        </is>
      </c>
      <c r="B95" s="56" t="inlineStr">
        <is>
          <t>0</t>
        </is>
      </c>
      <c r="C95" s="56" t="n"/>
      <c r="D95" s="56" t="inlineStr">
        <is>
          <t>GLOBAL_CHECK</t>
        </is>
      </c>
      <c r="E95" s="56">
        <f>IF(G95="",E94,IF(G95&gt;0,E94+G95,E94))</f>
        <v/>
      </c>
      <c r="G95" s="56">
        <f>IFERROR(VLOOKUP($A95&amp;"="&amp;$B95,Results_Deltas!$A$2:$P$15000,5,FALSE),"")</f>
        <v/>
      </c>
      <c r="H95" s="56" t="inlineStr">
        <is>
          <t>Blanket (page end)</t>
        </is>
      </c>
    </row>
    <row r="96">
      <c r="A96" s="63" t="inlineStr">
        <is>
          <t>EMA_BLANKET_FILTER_MIN_TFS</t>
        </is>
      </c>
      <c r="B96" s="56" t="inlineStr">
        <is>
          <t>2</t>
        </is>
      </c>
      <c r="C96" s="56" t="n"/>
      <c r="D96" s="56" t="inlineStr">
        <is>
          <t>GLOBAL_CHECK</t>
        </is>
      </c>
      <c r="E96" s="56">
        <f>IF(G96="",E95,IF(G96&gt;0,E95+G96,E95))</f>
        <v/>
      </c>
      <c r="G96" s="56">
        <f>IFERROR(VLOOKUP($A96&amp;"="&amp;$B96,Results_Deltas!$A$2:$P$15000,5,FALSE),"")</f>
        <v/>
      </c>
      <c r="H96" s="56" t="inlineStr">
        <is>
          <t>Blanket (page end)</t>
        </is>
      </c>
    </row>
    <row r="97">
      <c r="A97" s="63" t="inlineStr">
        <is>
          <t>EMA_BLANKET_FILTER_MIN_TFS</t>
        </is>
      </c>
      <c r="B97" s="56" t="inlineStr">
        <is>
          <t>1</t>
        </is>
      </c>
      <c r="C97" s="56" t="n"/>
      <c r="D97" s="56" t="inlineStr">
        <is>
          <t>GLOBAL_CHECK</t>
        </is>
      </c>
      <c r="E97" s="56">
        <f>IF(G97="",E96,IF(G97&gt;0,E96+G97,E96))</f>
        <v/>
      </c>
      <c r="G97" s="56">
        <f>IFERROR(VLOOKUP($A97&amp;"="&amp;$B97,Results_Deltas!$A$2:$P$15000,5,FALSE),"")</f>
        <v/>
      </c>
      <c r="H97" s="56" t="inlineStr">
        <is>
          <t>Blanket (page end)</t>
        </is>
      </c>
    </row>
    <row r="98">
      <c r="A98" s="63" t="inlineStr">
        <is>
          <t>EXECUTE_NOW_SINGLE_GATE_ENFORCE</t>
        </is>
      </c>
      <c r="B98" s="56" t="inlineStr">
        <is>
          <t>0.0</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EXECUTE_NOW_SINGLE_GATE_ENFORCE</t>
        </is>
      </c>
      <c r="B99" s="56" t="inlineStr">
        <is>
          <t>0.0_ALT</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EZ_MANAGE_THROTTLER_RATE</t>
        </is>
      </c>
      <c r="B100" s="56" t="inlineStr">
        <is>
          <t>0.0</t>
        </is>
      </c>
      <c r="C100" s="56" t="n"/>
      <c r="D100" s="56" t="inlineStr">
        <is>
          <t>GLOBAL_CHECK, STOCKS_EXIT</t>
        </is>
      </c>
      <c r="E100" s="56">
        <f>IF(G100="",E99,IF(G100&gt;0,E99+G100,E99))</f>
        <v/>
      </c>
      <c r="G100" s="56">
        <f>IFERROR(VLOOKUP($A100&amp;"="&amp;$B100,Results_Deltas!$A$2:$P$15000,5,FALSE),"")</f>
        <v/>
      </c>
      <c r="H100" s="56" t="inlineStr">
        <is>
          <t>Blanket (page end)</t>
        </is>
      </c>
    </row>
    <row r="101">
      <c r="A101" s="63" t="inlineStr">
        <is>
          <t>EZ_MANAGE_THROTTLER_RATE</t>
        </is>
      </c>
      <c r="B101" s="56" t="inlineStr">
        <is>
          <t>0.0_ALT</t>
        </is>
      </c>
      <c r="C101" s="56" t="n"/>
      <c r="D101" s="56" t="inlineStr">
        <is>
          <t>GLOBAL_CHECK, STOCKS_EXIT</t>
        </is>
      </c>
      <c r="E101" s="56">
        <f>IF(G101="",E100,IF(G101&gt;0,E100+G101,E100))</f>
        <v/>
      </c>
      <c r="G101" s="56">
        <f>IFERROR(VLOOKUP($A101&amp;"="&amp;$B101,Results_Deltas!$A$2:$P$15000,5,FALSE),"")</f>
        <v/>
      </c>
      <c r="H101" s="56" t="inlineStr">
        <is>
          <t>Blanket (page end)</t>
        </is>
      </c>
    </row>
    <row r="102">
      <c r="A102" s="63" t="inlineStr">
        <is>
          <t>FG_FEAR_THRESHOLD</t>
        </is>
      </c>
      <c r="B102" s="56" t="inlineStr">
        <is>
          <t>25</t>
        </is>
      </c>
      <c r="C102" s="56" t="n"/>
      <c r="D102" s="56" t="inlineStr">
        <is>
          <t>GLOBAL_CHECK, STOCKS_EXIT</t>
        </is>
      </c>
      <c r="E102" s="56">
        <f>IF(G102="",E101,IF(G102&gt;0,E101+G102,E101))</f>
        <v/>
      </c>
      <c r="G102" s="56">
        <f>IFERROR(VLOOKUP($A102&amp;"="&amp;$B102,Results_Deltas!$A$2:$P$15000,5,FALSE),"")</f>
        <v/>
      </c>
      <c r="H102" s="56" t="inlineStr">
        <is>
          <t>Blanket (page end)</t>
        </is>
      </c>
    </row>
    <row r="103">
      <c r="A103" s="63" t="inlineStr">
        <is>
          <t>FG_FEAR_THRESHOLD</t>
        </is>
      </c>
      <c r="B103" s="56" t="inlineStr">
        <is>
          <t>31.25</t>
        </is>
      </c>
      <c r="C103" s="56" t="n"/>
      <c r="D103" s="56" t="inlineStr">
        <is>
          <t>GLOBAL_CHECK, STOCKS_EXIT</t>
        </is>
      </c>
      <c r="E103" s="56">
        <f>IF(G103="",E102,IF(G103&gt;0,E102+G103,E102))</f>
        <v/>
      </c>
      <c r="G103" s="56">
        <f>IFERROR(VLOOKUP($A103&amp;"="&amp;$B103,Results_Deltas!$A$2:$P$15000,5,FALSE),"")</f>
        <v/>
      </c>
      <c r="H103" s="56" t="inlineStr">
        <is>
          <t>Blanket (page end)</t>
        </is>
      </c>
    </row>
    <row r="104">
      <c r="A104" s="63" t="inlineStr">
        <is>
          <t>FG_FEAR_THRESHOLD</t>
        </is>
      </c>
      <c r="B104" s="56" t="inlineStr">
        <is>
          <t>18.75</t>
        </is>
      </c>
      <c r="C104" s="56" t="n"/>
      <c r="D104" s="56" t="inlineStr">
        <is>
          <t>GLOBAL_CHECK, STOCKS_EXIT</t>
        </is>
      </c>
      <c r="E104" s="56">
        <f>IF(G104="",E103,IF(G104&gt;0,E103+G104,E103))</f>
        <v/>
      </c>
      <c r="G104" s="56">
        <f>IFERROR(VLOOKUP($A104&amp;"="&amp;$B104,Results_Deltas!$A$2:$P$15000,5,FALSE),"")</f>
        <v/>
      </c>
      <c r="H104" s="56" t="inlineStr">
        <is>
          <t>Blanket (page end)</t>
        </is>
      </c>
    </row>
    <row r="105">
      <c r="A105" s="63" t="inlineStr">
        <is>
          <t>FG_FEAR_THRESHOLD</t>
        </is>
      </c>
      <c r="B105" s="56" t="inlineStr">
        <is>
          <t>12.5</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FG_GREED_THRESHOLD</t>
        </is>
      </c>
      <c r="B106" s="56" t="inlineStr">
        <is>
          <t>75</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FG_GREED_THRESHOLD</t>
        </is>
      </c>
      <c r="B107" s="56" t="inlineStr">
        <is>
          <t>93.75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FG_GREED_THRESHOLD</t>
        </is>
      </c>
      <c r="B108" s="56" t="inlineStr">
        <is>
          <t>56.25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FG_GREED_THRESHOLD</t>
        </is>
      </c>
      <c r="B109" s="56" t="inlineStr">
        <is>
          <t>37.5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FUNDING_GATE_FILTER_TF</t>
        </is>
      </c>
      <c r="B110" s="56" t="inlineStr">
        <is>
          <t>OFF</t>
        </is>
      </c>
      <c r="C110" s="56" t="n"/>
      <c r="D110" s="56" t="inlineStr">
        <is>
          <t>GLOBAL_CHECK</t>
        </is>
      </c>
      <c r="E110" s="56">
        <f>IF(G110="",E109,IF(G110&gt;0,E109+G110,E109))</f>
        <v/>
      </c>
      <c r="G110" s="56">
        <f>IFERROR(VLOOKUP($A110&amp;"="&amp;$B110,Results_Deltas!$A$2:$P$15000,5,FALSE),"")</f>
        <v/>
      </c>
      <c r="H110" s="56" t="inlineStr">
        <is>
          <t>Blanket (page end)</t>
        </is>
      </c>
    </row>
    <row r="111">
      <c r="A111" s="63" t="inlineStr">
        <is>
          <t>FUNDING_GATE_FILTER_TF</t>
        </is>
      </c>
      <c r="B111" s="56" t="inlineStr">
        <is>
          <t>D</t>
        </is>
      </c>
      <c r="C111" s="56" t="n"/>
      <c r="D111" s="56" t="inlineStr">
        <is>
          <t>GLOBAL_CHECK</t>
        </is>
      </c>
      <c r="E111" s="56">
        <f>IF(G111="",E110,IF(G111&gt;0,E110+G111,E110))</f>
        <v/>
      </c>
      <c r="G111" s="56">
        <f>IFERROR(VLOOKUP($A111&amp;"="&amp;$B111,Results_Deltas!$A$2:$P$15000,5,FALSE),"")</f>
        <v/>
      </c>
      <c r="H111" s="56" t="inlineStr">
        <is>
          <t>Blanket (page end)</t>
        </is>
      </c>
    </row>
    <row r="112">
      <c r="A112" s="63" t="inlineStr">
        <is>
          <t>FUNDING_GATE_FILTER_TF</t>
        </is>
      </c>
      <c r="B112" s="56" t="inlineStr">
        <is>
          <t>4h</t>
        </is>
      </c>
      <c r="C112" s="56" t="n"/>
      <c r="D112" s="56" t="inlineStr">
        <is>
          <t>GLOBAL_CHECK</t>
        </is>
      </c>
      <c r="E112" s="56">
        <f>IF(G112="",E111,IF(G112&gt;0,E111+G112,E111))</f>
        <v/>
      </c>
      <c r="G112" s="56">
        <f>IFERROR(VLOOKUP($A112&amp;"="&amp;$B112,Results_Deltas!$A$2:$P$15000,5,FALSE),"")</f>
        <v/>
      </c>
      <c r="H112" s="56" t="inlineStr">
        <is>
          <t>Blanket (page end)</t>
        </is>
      </c>
    </row>
    <row r="113">
      <c r="A113" s="63" t="inlineStr">
        <is>
          <t>FUNDING_GATE_FILTER_TF</t>
        </is>
      </c>
      <c r="B113" s="56" t="inlineStr">
        <is>
          <t>1h</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FUNDING_GATE_FILTER_TF</t>
        </is>
      </c>
      <c r="B114" s="56" t="inlineStr">
        <is>
          <t>15m</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FUNDING_GATE_LONG_MAX</t>
        </is>
      </c>
      <c r="B115" s="56" t="inlineStr">
        <is>
          <t>0.0</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FUNDING_GATE_LONG_MAX</t>
        </is>
      </c>
      <c r="B116" s="56" t="inlineStr">
        <is>
          <t>0.0_ALT</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FUNDING_GATE_MTF_REQUIRED</t>
        </is>
      </c>
      <c r="B117" s="56" t="inlineStr">
        <is>
          <t>0.0</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FUNDING_GATE_MTF_REQUIRED</t>
        </is>
      </c>
      <c r="B118" s="56" t="inlineStr">
        <is>
          <t>0.0_ALT</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FUNDING_GATE_SHORT_MIN</t>
        </is>
      </c>
      <c r="B119" s="56" t="inlineStr">
        <is>
          <t>0.0</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FUNDING_GATE_SHORT_MIN</t>
        </is>
      </c>
      <c r="B120" s="56" t="inlineStr">
        <is>
          <t>0.0_ALT</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GOLDEN_RULE_BASE_USD</t>
        </is>
      </c>
      <c r="B121" s="56" t="inlineStr">
        <is>
          <t>0.0</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GOLDEN_RULE_BASE_USD</t>
        </is>
      </c>
      <c r="B122" s="56" t="inlineStr">
        <is>
          <t>0.0_ALT</t>
        </is>
      </c>
      <c r="C122" s="56" t="n"/>
      <c r="D122" s="56" t="inlineStr">
        <is>
          <t>GLOBAL_CHECK, STOCKS_EXIT</t>
        </is>
      </c>
      <c r="E122" s="56">
        <f>IF(G122="",E121,IF(G122&gt;0,E121+G122,E121))</f>
        <v/>
      </c>
      <c r="G122" s="56">
        <f>IFERROR(VLOOKUP($A122&amp;"="&amp;$B122,Results_Deltas!$A$2:$P$15000,5,FALSE),"")</f>
        <v/>
      </c>
      <c r="H122" s="56" t="inlineStr">
        <is>
          <t>Blanket (page end)</t>
        </is>
      </c>
    </row>
    <row r="123">
      <c r="A123" s="63" t="inlineStr">
        <is>
          <t>GR_FILTER_ALL_ENTRIES</t>
        </is>
      </c>
      <c r="B123" s="56" t="inlineStr">
        <is>
          <t>0.0</t>
        </is>
      </c>
      <c r="C123" s="56" t="n"/>
      <c r="D123" s="56" t="inlineStr">
        <is>
          <t>GLOBAL_CHECK, STOCKS_EXIT</t>
        </is>
      </c>
      <c r="E123" s="56">
        <f>IF(G123="",E122,IF(G123&gt;0,E122+G123,E122))</f>
        <v/>
      </c>
      <c r="G123" s="56">
        <f>IFERROR(VLOOKUP($A123&amp;"="&amp;$B123,Results_Deltas!$A$2:$P$15000,5,FALSE),"")</f>
        <v/>
      </c>
      <c r="H123" s="56" t="inlineStr">
        <is>
          <t>Blanket (page end)</t>
        </is>
      </c>
    </row>
    <row r="124">
      <c r="A124" s="63" t="inlineStr">
        <is>
          <t>GR_FILTER_ALL_ENTRIES</t>
        </is>
      </c>
      <c r="B124" s="56" t="inlineStr">
        <is>
          <t>0.0_ALT</t>
        </is>
      </c>
      <c r="C124" s="56" t="n"/>
      <c r="D124" s="56" t="inlineStr">
        <is>
          <t>GLOBAL_CHECK, STOCKS_EXIT</t>
        </is>
      </c>
      <c r="E124" s="56">
        <f>IF(G124="",E123,IF(G124&gt;0,E123+G124,E123))</f>
        <v/>
      </c>
      <c r="G124" s="56">
        <f>IFERROR(VLOOKUP($A124&amp;"="&amp;$B124,Results_Deltas!$A$2:$P$15000,5,FALSE),"")</f>
        <v/>
      </c>
      <c r="H124" s="56" t="inlineStr">
        <is>
          <t>Blanket (page end)</t>
        </is>
      </c>
    </row>
    <row r="125">
      <c r="A125" s="63" t="inlineStr">
        <is>
          <t>GR_FILTER_VEC_ENABLED</t>
        </is>
      </c>
      <c r="B125" s="56" t="inlineStr">
        <is>
          <t>False</t>
        </is>
      </c>
      <c r="C125" s="56" t="n"/>
      <c r="D125" s="56" t="inlineStr">
        <is>
          <t>GLOBAL_CHECK</t>
        </is>
      </c>
      <c r="E125" s="56">
        <f>IF(G125="",E124,IF(G125&gt;0,E124+G125,E124))</f>
        <v/>
      </c>
      <c r="G125" s="56">
        <f>IFERROR(VLOOKUP($A125&amp;"="&amp;$B125,Results_Deltas!$A$2:$P$15000,5,FALSE),"")</f>
        <v/>
      </c>
      <c r="H125" s="56" t="inlineStr">
        <is>
          <t>Blanket (page end)</t>
        </is>
      </c>
    </row>
    <row r="126">
      <c r="A126" s="63" t="inlineStr">
        <is>
          <t>GR_FILTER_VEC_ENABLED</t>
        </is>
      </c>
      <c r="B126" s="56" t="inlineStr">
        <is>
          <t>True</t>
        </is>
      </c>
      <c r="C126" s="56" t="n"/>
      <c r="D126" s="56" t="inlineStr">
        <is>
          <t>GLOBAL_CHECK</t>
        </is>
      </c>
      <c r="E126" s="56">
        <f>IF(G126="",E125,IF(G126&gt;0,E125+G126,E125))</f>
        <v/>
      </c>
      <c r="G126" s="56">
        <f>IFERROR(VLOOKUP($A126&amp;"="&amp;$B126,Results_Deltas!$A$2:$P$15000,5,FALSE),"")</f>
        <v/>
      </c>
      <c r="H126" s="56" t="inlineStr">
        <is>
          <t>Blanket (page end)</t>
        </is>
      </c>
    </row>
    <row r="127">
      <c r="A127" s="63" t="inlineStr">
        <is>
          <t>GR_FILTER_VEC_MIN_TFS</t>
        </is>
      </c>
      <c r="B127" s="56" t="inlineStr">
        <is>
          <t>0</t>
        </is>
      </c>
      <c r="C127" s="56" t="n"/>
      <c r="D127" s="56" t="inlineStr">
        <is>
          <t>GLOBAL_CHECK</t>
        </is>
      </c>
      <c r="E127" s="56">
        <f>IF(G127="",E126,IF(G127&gt;0,E126+G127,E126))</f>
        <v/>
      </c>
      <c r="G127" s="56">
        <f>IFERROR(VLOOKUP($A127&amp;"="&amp;$B127,Results_Deltas!$A$2:$P$15000,5,FALSE),"")</f>
        <v/>
      </c>
      <c r="H127" s="56" t="inlineStr">
        <is>
          <t>Blanket (page end)</t>
        </is>
      </c>
    </row>
    <row r="128">
      <c r="A128" s="63" t="inlineStr">
        <is>
          <t>GR_FILTER_VEC_MIN_TFS</t>
        </is>
      </c>
      <c r="B128" s="56" t="inlineStr">
        <is>
          <t>2</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GR_FILTER_VEC_MIN_TFS</t>
        </is>
      </c>
      <c r="B129" s="56" t="inlineStr">
        <is>
          <t>1</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HA_WICK_QUALITY_ENABLED</t>
        </is>
      </c>
      <c r="B130" s="56" t="inlineStr">
        <is>
          <t>False</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HA_WICK_QUALITY_ENABLED</t>
        </is>
      </c>
      <c r="B131" s="56" t="inlineStr">
        <is>
          <t>True</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HA_WICK_QUALITY_SCORE</t>
        </is>
      </c>
      <c r="B132" s="56" t="inlineStr">
        <is>
          <t>15</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HA_WICK_QUALITY_SCORE</t>
        </is>
      </c>
      <c r="B133" s="56" t="inlineStr">
        <is>
          <t>15_ALT</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HA_WICK_QUALITY_TF</t>
        </is>
      </c>
      <c r="B134" s="56" t="inlineStr">
        <is>
          <t>OFF</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HA_WICK_QUALITY_TF</t>
        </is>
      </c>
      <c r="B135" s="56" t="inlineStr">
        <is>
          <t>D</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HA_WICK_QUALITY_TF</t>
        </is>
      </c>
      <c r="B136" s="56" t="inlineStr">
        <is>
          <t>4h</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HA_WICK_QUALITY_TF</t>
        </is>
      </c>
      <c r="B137" s="56" t="inlineStr">
        <is>
          <t>1h</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HA_WICK_QUALITY_TF</t>
        </is>
      </c>
      <c r="B138" s="56" t="inlineStr">
        <is>
          <t>15m</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HLR_SMA_BAND_PCT</t>
        </is>
      </c>
      <c r="B139" s="56" t="inlineStr">
        <is>
          <t>0</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HLR_SMA_BAND_PCT</t>
        </is>
      </c>
      <c r="B140" s="56" t="inlineStr">
        <is>
          <t>2.0</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HLR_SMA_BAND_PCT</t>
        </is>
      </c>
      <c r="B141" s="56" t="inlineStr">
        <is>
          <t>1.0</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HLR_SMA_BAND_PCT</t>
        </is>
      </c>
      <c r="B142" s="56" t="inlineStr">
        <is>
          <t>0.5</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HLR_TOP_MIN_TFS</t>
        </is>
      </c>
      <c r="B143" s="56" t="inlineStr">
        <is>
          <t>0</t>
        </is>
      </c>
      <c r="C143" s="56" t="n"/>
      <c r="D143" s="56" t="inlineStr">
        <is>
          <t>GLOBAL_CHECK, REENTRY, STOCKS_EXIT</t>
        </is>
      </c>
      <c r="E143" s="56">
        <f>IF(G143="",E142,IF(G143&gt;0,E142+G143,E142))</f>
        <v/>
      </c>
      <c r="G143" s="56">
        <f>IFERROR(VLOOKUP($A143&amp;"="&amp;$B143,Results_Deltas!$A$2:$P$15000,5,FALSE),"")</f>
        <v/>
      </c>
      <c r="H143" s="56" t="inlineStr">
        <is>
          <t>Blanket (page end)</t>
        </is>
      </c>
    </row>
    <row r="144">
      <c r="A144" s="63" t="inlineStr">
        <is>
          <t>HLR_TOP_MIN_TFS</t>
        </is>
      </c>
      <c r="B144" s="56" t="inlineStr">
        <is>
          <t>2</t>
        </is>
      </c>
      <c r="C144" s="56" t="n"/>
      <c r="D144" s="56" t="inlineStr">
        <is>
          <t>GLOBAL_CHECK, REENTRY, STOCKS_EXIT</t>
        </is>
      </c>
      <c r="E144" s="56">
        <f>IF(G144="",E143,IF(G144&gt;0,E143+G144,E143))</f>
        <v/>
      </c>
      <c r="G144" s="56">
        <f>IFERROR(VLOOKUP($A144&amp;"="&amp;$B144,Results_Deltas!$A$2:$P$15000,5,FALSE),"")</f>
        <v/>
      </c>
      <c r="H144" s="56" t="inlineStr">
        <is>
          <t>Blanket (page end)</t>
        </is>
      </c>
    </row>
    <row r="145">
      <c r="A145" s="63" t="inlineStr">
        <is>
          <t>HLR_TOP_MIN_TFS</t>
        </is>
      </c>
      <c r="B145" s="56" t="inlineStr">
        <is>
          <t>1</t>
        </is>
      </c>
      <c r="C145" s="56" t="n"/>
      <c r="D145" s="56" t="inlineStr">
        <is>
          <t>GLOBAL_CHECK, REENTRY, STOCKS_EXIT</t>
        </is>
      </c>
      <c r="E145" s="56">
        <f>IF(G145="",E144,IF(G145&gt;0,E144+G145,E144))</f>
        <v/>
      </c>
      <c r="G145" s="56">
        <f>IFERROR(VLOOKUP($A145&amp;"="&amp;$B145,Results_Deltas!$A$2:$P$15000,5,FALSE),"")</f>
        <v/>
      </c>
      <c r="H145" s="56" t="inlineStr">
        <is>
          <t>Blanket (page end)</t>
        </is>
      </c>
    </row>
    <row r="146">
      <c r="A146" s="63" t="inlineStr">
        <is>
          <t>HTF4_CONF</t>
        </is>
      </c>
      <c r="B146" s="56" t="inlineStr">
        <is>
          <t>False</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HTF4_CONF</t>
        </is>
      </c>
      <c r="B147" s="56" t="inlineStr">
        <is>
          <t>False_ALT</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HTF_DIRECTION_GATE_ENABLED</t>
        </is>
      </c>
      <c r="B148" s="56" t="inlineStr">
        <is>
          <t>False</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HTF_DIRECTION_GATE_ENABLED</t>
        </is>
      </c>
      <c r="B149" s="56" t="inlineStr">
        <is>
          <t>True</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HTF_GATE_BYPASS_RZ</t>
        </is>
      </c>
      <c r="B150" s="56" t="inlineStr">
        <is>
          <t>0.0</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HTF_GATE_BYPASS_RZ</t>
        </is>
      </c>
      <c r="B151" s="56" t="inlineStr">
        <is>
          <t>0.0_ALT</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HTF_GATE_D_MANDATORY</t>
        </is>
      </c>
      <c r="B152" s="56" t="inlineStr">
        <is>
          <t>0.0</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HTF_GATE_D_MANDATORY</t>
        </is>
      </c>
      <c r="B153" s="56" t="inlineStr">
        <is>
          <t>0.0_ALT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HTF_GATE_MIN_CONFIRMATIONS</t>
        </is>
      </c>
      <c r="B154" s="56" t="inlineStr">
        <is>
          <t>0.0</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HTF_GATE_MIN_CONFIRMATIONS</t>
        </is>
      </c>
      <c r="B155" s="56" t="inlineStr">
        <is>
          <t>0.0_ALT</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HTF_TREND_VETO_BYPASS_ENABLED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HTF_TREND_VETO_BYPASS_ENABLED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HTF_TREND_VETO_BYPASS_REASONS</t>
        </is>
      </c>
      <c r="B158" s="56" t="inlineStr">
        <is>
          <t>0.0</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HTF_TREND_VETO_BYPASS_REASONS</t>
        </is>
      </c>
      <c r="B159" s="56" t="inlineStr">
        <is>
          <t>0.0_ALT</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LEADERBOARD_FILTER</t>
        </is>
      </c>
      <c r="B160" s="56" t="inlineStr">
        <is>
          <t>False</t>
        </is>
      </c>
      <c r="C160" s="56" t="n"/>
      <c r="D160" s="56" t="inlineStr">
        <is>
          <t>AUGMENT, ENTRY, EXIT, GLOBAL_CHECK, REDUCE, STOCKS_EXIT</t>
        </is>
      </c>
      <c r="E160" s="56">
        <f>IF(G160="",E159,IF(G160&gt;0,E159+G160,E159))</f>
        <v/>
      </c>
      <c r="G160" s="56">
        <f>IFERROR(VLOOKUP($A160&amp;"="&amp;$B160,Results_Deltas!$A$2:$P$15000,5,FALSE),"")</f>
        <v/>
      </c>
      <c r="H160" s="56" t="inlineStr">
        <is>
          <t>Blanket (page end)</t>
        </is>
      </c>
    </row>
    <row r="161">
      <c r="A161" s="63" t="inlineStr">
        <is>
          <t>LEADERBOARD_FILTER</t>
        </is>
      </c>
      <c r="B161" s="56" t="inlineStr">
        <is>
          <t>False_ALT</t>
        </is>
      </c>
      <c r="C161" s="56" t="n"/>
      <c r="D161" s="56" t="inlineStr">
        <is>
          <t>AUGMENT, ENTRY, EXIT, GLOBAL_CHECK, REDUCE, STOCKS_EXIT</t>
        </is>
      </c>
      <c r="E161" s="56">
        <f>IF(G161="",E160,IF(G161&gt;0,E160+G161,E160))</f>
        <v/>
      </c>
      <c r="G161" s="56">
        <f>IFERROR(VLOOKUP($A161&amp;"="&amp;$B161,Results_Deltas!$A$2:$P$15000,5,FALSE),"")</f>
        <v/>
      </c>
      <c r="H161" s="56" t="inlineStr">
        <is>
          <t>Blanket (page end)</t>
        </is>
      </c>
    </row>
    <row r="162">
      <c r="A162" s="63" t="inlineStr">
        <is>
          <t>LH_HL_FILTER_ENABLED</t>
        </is>
      </c>
      <c r="B162" s="56" t="inlineStr">
        <is>
          <t>False</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LH_HL_FILTER_ENABLED</t>
        </is>
      </c>
      <c r="B163" s="56" t="inlineStr">
        <is>
          <t>True</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LH_HL_FILTER_MODE</t>
        </is>
      </c>
      <c r="B164" s="56" t="inlineStr">
        <is>
          <t>STRICT_2BAR</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LH_HL_FILTER_MODE</t>
        </is>
      </c>
      <c r="B165" s="56" t="inlineStr">
        <is>
          <t>STRICT_2BAR_ALT</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LH_HL_FILTER_REQUIRE_BOTH</t>
        </is>
      </c>
      <c r="B166" s="56" t="inlineStr">
        <is>
          <t>False</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LH_HL_FILTER_REQUIRE_BOTH</t>
        </is>
      </c>
      <c r="B167" s="56" t="inlineStr">
        <is>
          <t>False_ALT</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LIVE_VEC_EMERGENCY_BRAKE_ENABLED</t>
        </is>
      </c>
      <c r="B168" s="56" t="inlineStr">
        <is>
          <t>False</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LIVE_VEC_EMERGENCY_BRAKE_ENABLED</t>
        </is>
      </c>
      <c r="B169" s="56" t="inlineStr">
        <is>
          <t>True</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LR_BAND_LADDER_STOCH_EXTREME</t>
        </is>
      </c>
      <c r="B170" s="56" t="inlineStr">
        <is>
          <t>30.0</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LR_BAND_LADDER_STOCH_EXTREME</t>
        </is>
      </c>
      <c r="B171" s="56" t="inlineStr">
        <is>
          <t>30.0_ALT</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LR_BAND_LADDER_TF_BOTTOM</t>
        </is>
      </c>
      <c r="B172" s="56" t="inlineStr">
        <is>
          <t>0</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LR_BAND_LADDER_TF_BOTTOM</t>
        </is>
      </c>
      <c r="B173" s="56" t="inlineStr">
        <is>
          <t>1</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LR_BAND_LADDER_TF_TOP</t>
        </is>
      </c>
      <c r="B174" s="56" t="inlineStr">
        <is>
          <t>0</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LR_BAND_LADDER_TF_TOP</t>
        </is>
      </c>
      <c r="B175" s="56" t="inlineStr">
        <is>
          <t>1</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MANDATORY_REENTRY_WT_FILTER_MIN_TFS</t>
        </is>
      </c>
      <c r="B176" s="56" t="inlineStr">
        <is>
          <t>1</t>
        </is>
      </c>
      <c r="C176" s="56" t="n"/>
      <c r="D176" s="56" t="inlineStr">
        <is>
          <t>GLOBAL_CHECK, STOCKS_EXIT</t>
        </is>
      </c>
      <c r="E176" s="56">
        <f>IF(G176="",E175,IF(G176&gt;0,E175+G176,E175))</f>
        <v/>
      </c>
      <c r="G176" s="56">
        <f>IFERROR(VLOOKUP($A176&amp;"="&amp;$B176,Results_Deltas!$A$2:$P$15000,5,FALSE),"")</f>
        <v/>
      </c>
      <c r="H176" s="56" t="inlineStr">
        <is>
          <t>Blanket (page end)</t>
        </is>
      </c>
    </row>
    <row r="177">
      <c r="A177" s="63" t="inlineStr">
        <is>
          <t>MANDATORY_REENTRY_WT_FILTER_MIN_TFS</t>
        </is>
      </c>
      <c r="B177" s="56" t="inlineStr">
        <is>
          <t>3</t>
        </is>
      </c>
      <c r="C177" s="56" t="n"/>
      <c r="D177" s="56" t="inlineStr">
        <is>
          <t>GLOBAL_CHECK, STOCKS_EXIT</t>
        </is>
      </c>
      <c r="E177" s="56">
        <f>IF(G177="",E176,IF(G177&gt;0,E176+G177,E176))</f>
        <v/>
      </c>
      <c r="G177" s="56">
        <f>IFERROR(VLOOKUP($A177&amp;"="&amp;$B177,Results_Deltas!$A$2:$P$15000,5,FALSE),"")</f>
        <v/>
      </c>
      <c r="H177" s="56" t="inlineStr">
        <is>
          <t>Blanket (page end)</t>
        </is>
      </c>
    </row>
    <row r="178">
      <c r="A178" s="63" t="inlineStr">
        <is>
          <t>MANDATORY_REENTRY_WT_FILTER_MIN_TFS</t>
        </is>
      </c>
      <c r="B178" s="56" t="inlineStr">
        <is>
          <t>2</t>
        </is>
      </c>
      <c r="C178" s="56" t="n"/>
      <c r="D178" s="56" t="inlineStr">
        <is>
          <t>GLOBAL_CHECK, STOCKS_EXIT</t>
        </is>
      </c>
      <c r="E178" s="56">
        <f>IF(G178="",E177,IF(G178&gt;0,E177+G178,E177))</f>
        <v/>
      </c>
      <c r="G178" s="56">
        <f>IFERROR(VLOOKUP($A178&amp;"="&amp;$B178,Results_Deltas!$A$2:$P$15000,5,FALSE),"")</f>
        <v/>
      </c>
      <c r="H178" s="56" t="inlineStr">
        <is>
          <t>Blanket (page end)</t>
        </is>
      </c>
    </row>
    <row r="179">
      <c r="A179" s="63" t="inlineStr">
        <is>
          <t>MANDATORY_REENTRY_WT_FILTER_MIN_VELOCITY</t>
        </is>
      </c>
      <c r="B179" s="56" t="inlineStr">
        <is>
          <t>0.0</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MANDATORY_REENTRY_WT_FILTER_MIN_VELOCITY</t>
        </is>
      </c>
      <c r="B180" s="56" t="inlineStr">
        <is>
          <t>0.0_ALT</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MANDATORY_REENTRY_WT_FILTER_REQUIRE_FLIP</t>
        </is>
      </c>
      <c r="B181" s="56" t="inlineStr">
        <is>
          <t>False</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MANDATORY_REENTRY_WT_FILTER_REQUIRE_FLIP</t>
        </is>
      </c>
      <c r="B182" s="56" t="inlineStr">
        <is>
          <t>False_ALT</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MANDATORY_REENTRY_WT_FILTER_VELOCITY_RATIO</t>
        </is>
      </c>
      <c r="B183" s="56" t="inlineStr">
        <is>
          <t>0.90</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MANDATORY_REENTRY_WT_FILTER_VELOCITY_RATIO</t>
        </is>
      </c>
      <c r="B184" s="56" t="inlineStr">
        <is>
          <t>0.90_ALT</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MARKET_QUALITY_SCORE_ENABLED</t>
        </is>
      </c>
      <c r="B185" s="56" t="inlineStr">
        <is>
          <t>False</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MARKET_QUALITY_SCORE_ENABLED</t>
        </is>
      </c>
      <c r="B186" s="56" t="inlineStr">
        <is>
          <t>True</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MI_TF_AGREE_MIN</t>
        </is>
      </c>
      <c r="B187" s="56" t="inlineStr">
        <is>
          <t>0.0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MI_TF_AGREE_MIN</t>
        </is>
      </c>
      <c r="B188" s="56" t="inlineStr">
        <is>
          <t>0.0_ALT</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MOVER_THRESHOLD</t>
        </is>
      </c>
      <c r="B189" s="56" t="inlineStr">
        <is>
          <t>5</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MOVER_THRESHOLD</t>
        </is>
      </c>
      <c r="B190" s="56" t="inlineStr">
        <is>
          <t>6.25</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MOVER_THRESHOLD</t>
        </is>
      </c>
      <c r="B191" s="56" t="inlineStr">
        <is>
          <t>3.75</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MOVER_THRESHOLD</t>
        </is>
      </c>
      <c r="B192" s="56" t="inlineStr">
        <is>
          <t>2.5</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MTF_FILTER_STRONG_BUY_QUICK_BYPASS</t>
        </is>
      </c>
      <c r="B193" s="56" t="inlineStr">
        <is>
          <t>0.0</t>
        </is>
      </c>
      <c r="C193" s="56" t="n"/>
      <c r="D193" s="56" t="inlineStr">
        <is>
          <t>GLOBAL_CHECK, STOCKS_EXIT</t>
        </is>
      </c>
      <c r="E193" s="56">
        <f>IF(G193="",E192,IF(G193&gt;0,E192+G193,E192))</f>
        <v/>
      </c>
      <c r="G193" s="56">
        <f>IFERROR(VLOOKUP($A193&amp;"="&amp;$B193,Results_Deltas!$A$2:$P$15000,5,FALSE),"")</f>
        <v/>
      </c>
      <c r="H193" s="56" t="inlineStr">
        <is>
          <t>Blanket (page end)</t>
        </is>
      </c>
    </row>
    <row r="194">
      <c r="A194" s="63" t="inlineStr">
        <is>
          <t>MTF_FILTER_STRONG_BUY_QUICK_BYPASS</t>
        </is>
      </c>
      <c r="B194" s="56" t="inlineStr">
        <is>
          <t>0.0_ALT</t>
        </is>
      </c>
      <c r="C194" s="56" t="n"/>
      <c r="D194" s="56" t="inlineStr">
        <is>
          <t>GLOBAL_CHECK, STOCKS_EXIT</t>
        </is>
      </c>
      <c r="E194" s="56">
        <f>IF(G194="",E193,IF(G194&gt;0,E193+G194,E193))</f>
        <v/>
      </c>
      <c r="G194" s="56">
        <f>IFERROR(VLOOKUP($A194&amp;"="&amp;$B194,Results_Deltas!$A$2:$P$15000,5,FALSE),"")</f>
        <v/>
      </c>
      <c r="H194" s="56" t="inlineStr">
        <is>
          <t>Blanket (page end)</t>
        </is>
      </c>
    </row>
    <row r="195">
      <c r="A195" s="63" t="inlineStr">
        <is>
          <t>MTF_GR_MIN_IND</t>
        </is>
      </c>
      <c r="B195" s="56" t="inlineStr">
        <is>
          <t>5</t>
        </is>
      </c>
      <c r="C195" s="56" t="n"/>
      <c r="D195" s="56" t="inlineStr">
        <is>
          <t>GLOBAL_CHECK, STOCKS_EXIT</t>
        </is>
      </c>
      <c r="E195" s="56">
        <f>IF(G195="",E194,IF(G195&gt;0,E194+G195,E194))</f>
        <v/>
      </c>
      <c r="G195" s="56">
        <f>IFERROR(VLOOKUP($A195&amp;"="&amp;$B195,Results_Deltas!$A$2:$P$15000,5,FALSE),"")</f>
        <v/>
      </c>
      <c r="H195" s="56" t="inlineStr">
        <is>
          <t>Blanket (page end)</t>
        </is>
      </c>
    </row>
    <row r="196">
      <c r="A196" s="63" t="inlineStr">
        <is>
          <t>MTF_GR_MIN_IND</t>
        </is>
      </c>
      <c r="B196" s="56" t="inlineStr">
        <is>
          <t>5_ALT</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MTS_BOTTOM_BONUS_THRESHOLD</t>
        </is>
      </c>
      <c r="B197" s="56" t="inlineStr">
        <is>
          <t>25</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MTS_BOTTOM_BONUS_THRESHOLD</t>
        </is>
      </c>
      <c r="B198" s="56" t="inlineStr">
        <is>
          <t>31.25</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MTS_BOTTOM_BONUS_THRESHOLD</t>
        </is>
      </c>
      <c r="B199" s="56" t="inlineStr">
        <is>
          <t>18.75</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MTS_BOTTOM_BONUS_THRESHOLD</t>
        </is>
      </c>
      <c r="B200" s="56" t="inlineStr">
        <is>
          <t>12.5</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MTS_BOTTOM_STRONG_THRESHOLD</t>
        </is>
      </c>
      <c r="B201" s="56" t="inlineStr">
        <is>
          <t>40</t>
        </is>
      </c>
      <c r="C201" s="56" t="n"/>
      <c r="D201" s="56" t="inlineStr">
        <is>
          <t>ENTRY, GLOBAL_CHECK, STOCKS_EXIT</t>
        </is>
      </c>
      <c r="E201" s="56">
        <f>IF(G201="",E200,IF(G201&gt;0,E200+G201,E200))</f>
        <v/>
      </c>
      <c r="G201" s="56">
        <f>IFERROR(VLOOKUP($A201&amp;"="&amp;$B201,Results_Deltas!$A$2:$P$15000,5,FALSE),"")</f>
        <v/>
      </c>
      <c r="H201" s="56" t="inlineStr">
        <is>
          <t>Blanket (page end)</t>
        </is>
      </c>
    </row>
    <row r="202">
      <c r="A202" s="63" t="inlineStr">
        <is>
          <t>MTS_BOTTOM_STRONG_THRESHOLD</t>
        </is>
      </c>
      <c r="B202" s="56" t="inlineStr">
        <is>
          <t>50</t>
        </is>
      </c>
      <c r="C202" s="56" t="n"/>
      <c r="D202" s="56" t="inlineStr">
        <is>
          <t>ENTRY, GLOBAL_CHECK, STOCKS_EXIT</t>
        </is>
      </c>
      <c r="E202" s="56">
        <f>IF(G202="",E201,IF(G202&gt;0,E201+G202,E201))</f>
        <v/>
      </c>
      <c r="G202" s="56">
        <f>IFERROR(VLOOKUP($A202&amp;"="&amp;$B202,Results_Deltas!$A$2:$P$15000,5,FALSE),"")</f>
        <v/>
      </c>
      <c r="H202" s="56" t="inlineStr">
        <is>
          <t>Blanket (page end)</t>
        </is>
      </c>
    </row>
    <row r="203">
      <c r="A203" s="63" t="inlineStr">
        <is>
          <t>MTS_BOTTOM_STRONG_THRESHOLD</t>
        </is>
      </c>
      <c r="B203" s="56" t="inlineStr">
        <is>
          <t>30</t>
        </is>
      </c>
      <c r="C203" s="56" t="n"/>
      <c r="D203" s="56" t="inlineStr">
        <is>
          <t>ENTRY, GLOBAL_CHECK, STOCKS_EXIT</t>
        </is>
      </c>
      <c r="E203" s="56">
        <f>IF(G203="",E202,IF(G203&gt;0,E202+G203,E202))</f>
        <v/>
      </c>
      <c r="G203" s="56">
        <f>IFERROR(VLOOKUP($A203&amp;"="&amp;$B203,Results_Deltas!$A$2:$P$15000,5,FALSE),"")</f>
        <v/>
      </c>
      <c r="H203" s="56" t="inlineStr">
        <is>
          <t>Blanket (page end)</t>
        </is>
      </c>
    </row>
    <row r="204">
      <c r="A204" s="63" t="inlineStr">
        <is>
          <t>MTS_BOTTOM_STRONG_THRESHOLD</t>
        </is>
      </c>
      <c r="B204" s="56" t="inlineStr">
        <is>
          <t>20</t>
        </is>
      </c>
      <c r="C204" s="56" t="n"/>
      <c r="D204" s="56" t="inlineStr">
        <is>
          <t>ENTRY, GLOBAL_CHECK, STOCKS_EXIT</t>
        </is>
      </c>
      <c r="E204" s="56">
        <f>IF(G204="",E203,IF(G204&gt;0,E203+G204,E203))</f>
        <v/>
      </c>
      <c r="G204" s="56">
        <f>IFERROR(VLOOKUP($A204&amp;"="&amp;$B204,Results_Deltas!$A$2:$P$15000,5,FALSE),"")</f>
        <v/>
      </c>
      <c r="H204" s="56" t="inlineStr">
        <is>
          <t>Blanket (page end)</t>
        </is>
      </c>
    </row>
    <row r="205">
      <c r="A205" s="63" t="inlineStr">
        <is>
          <t>MTS_GATE_ENABLED</t>
        </is>
      </c>
      <c r="B205" s="56" t="inlineStr">
        <is>
          <t>False</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MTS_GATE_ENABLED</t>
        </is>
      </c>
      <c r="B206" s="56" t="inlineStr">
        <is>
          <t>True</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NEWBORN_LOSS_KILL_GAIN_THRESHOLD_PCT</t>
        </is>
      </c>
      <c r="B207" s="56" t="inlineStr">
        <is>
          <t>0</t>
        </is>
      </c>
      <c r="C207" s="56" t="n"/>
      <c r="D207" s="56" t="inlineStr">
        <is>
          <t>AUGMENT, EXIT, GLOBAL_CHECK, REDUCE, STOCKS_EXIT</t>
        </is>
      </c>
      <c r="E207" s="56">
        <f>IF(G207="",E206,IF(G207&gt;0,E206+G207,E206))</f>
        <v/>
      </c>
      <c r="G207" s="56">
        <f>IFERROR(VLOOKUP($A207&amp;"="&amp;$B207,Results_Deltas!$A$2:$P$15000,5,FALSE),"")</f>
        <v/>
      </c>
      <c r="H207" s="56" t="inlineStr">
        <is>
          <t>Blanket (page end)</t>
        </is>
      </c>
    </row>
    <row r="208">
      <c r="A208" s="63" t="inlineStr">
        <is>
          <t>NEWBORN_LOSS_KILL_GAIN_THRESHOLD_PCT</t>
        </is>
      </c>
      <c r="B208" s="56" t="inlineStr">
        <is>
          <t>2.0</t>
        </is>
      </c>
      <c r="C208" s="56" t="n"/>
      <c r="D208" s="56" t="inlineStr">
        <is>
          <t>AUGMENT, EXIT, GLOBAL_CHECK, REDUCE, STOCKS_EXIT</t>
        </is>
      </c>
      <c r="E208" s="56">
        <f>IF(G208="",E207,IF(G208&gt;0,E207+G208,E207))</f>
        <v/>
      </c>
      <c r="G208" s="56">
        <f>IFERROR(VLOOKUP($A208&amp;"="&amp;$B208,Results_Deltas!$A$2:$P$15000,5,FALSE),"")</f>
        <v/>
      </c>
      <c r="H208" s="56" t="inlineStr">
        <is>
          <t>Blanket (page end)</t>
        </is>
      </c>
    </row>
    <row r="209">
      <c r="A209" s="63" t="inlineStr">
        <is>
          <t>NEWBORN_LOSS_KILL_GAIN_THRESHOLD_PCT</t>
        </is>
      </c>
      <c r="B209" s="56" t="inlineStr">
        <is>
          <t>1.0</t>
        </is>
      </c>
      <c r="C209" s="56" t="n"/>
      <c r="D209" s="56" t="inlineStr">
        <is>
          <t>AUGMENT, EXIT, GLOBAL_CHECK, REDUCE, STOCKS_EXIT</t>
        </is>
      </c>
      <c r="E209" s="56">
        <f>IF(G209="",E208,IF(G209&gt;0,E208+G209,E208))</f>
        <v/>
      </c>
      <c r="G209" s="56">
        <f>IFERROR(VLOOKUP($A209&amp;"="&amp;$B209,Results_Deltas!$A$2:$P$15000,5,FALSE),"")</f>
        <v/>
      </c>
      <c r="H209" s="56" t="inlineStr">
        <is>
          <t>Blanket (page end)</t>
        </is>
      </c>
    </row>
    <row r="210">
      <c r="A210" s="63" t="inlineStr">
        <is>
          <t>NEWBORN_LOSS_KILL_GAIN_THRESHOLD_PCT</t>
        </is>
      </c>
      <c r="B210" s="56" t="inlineStr">
        <is>
          <t>0.5</t>
        </is>
      </c>
      <c r="C210" s="56" t="n"/>
      <c r="D210" s="56" t="inlineStr">
        <is>
          <t>AUGMENT, EXIT, GLOBAL_CHECK, REDUCE, STOCKS_EXIT</t>
        </is>
      </c>
      <c r="E210" s="56">
        <f>IF(G210="",E209,IF(G210&gt;0,E209+G210,E209))</f>
        <v/>
      </c>
      <c r="G210" s="56">
        <f>IFERROR(VLOOKUP($A210&amp;"="&amp;$B210,Results_Deltas!$A$2:$P$15000,5,FALSE),"")</f>
        <v/>
      </c>
      <c r="H210" s="56" t="inlineStr">
        <is>
          <t>Blanket (page end)</t>
        </is>
      </c>
    </row>
    <row r="211">
      <c r="A211" s="63" t="inlineStr">
        <is>
          <t>NEWBORN_LOSS_KILL_REQUIRE_VEL_AGAINST</t>
        </is>
      </c>
      <c r="B211" s="56" t="inlineStr">
        <is>
          <t>0.0</t>
        </is>
      </c>
      <c r="C211" s="56" t="n"/>
      <c r="D211" s="56" t="inlineStr">
        <is>
          <t>AUGMENT, EXIT, GLOBAL_CHECK, REDUCE, STOCKS_EXIT</t>
        </is>
      </c>
      <c r="E211" s="56">
        <f>IF(G211="",E210,IF(G211&gt;0,E210+G211,E210))</f>
        <v/>
      </c>
      <c r="G211" s="56">
        <f>IFERROR(VLOOKUP($A211&amp;"="&amp;$B211,Results_Deltas!$A$2:$P$15000,5,FALSE),"")</f>
        <v/>
      </c>
      <c r="H211" s="56" t="inlineStr">
        <is>
          <t>Blanket (page end)</t>
        </is>
      </c>
    </row>
    <row r="212">
      <c r="A212" s="63" t="inlineStr">
        <is>
          <t>NEWBORN_LOSS_KILL_REQUIRE_VEL_AGAINST</t>
        </is>
      </c>
      <c r="B212" s="56" t="inlineStr">
        <is>
          <t>0.0_ALT</t>
        </is>
      </c>
      <c r="C212" s="56" t="n"/>
      <c r="D212" s="56" t="inlineStr">
        <is>
          <t>AUGMENT, EXIT, GLOBAL_CHECK, REDUCE, STOCKS_EXIT</t>
        </is>
      </c>
      <c r="E212" s="56">
        <f>IF(G212="",E211,IF(G212&gt;0,E211+G212,E211))</f>
        <v/>
      </c>
      <c r="G212" s="56">
        <f>IFERROR(VLOOKUP($A212&amp;"="&amp;$B212,Results_Deltas!$A$2:$P$15000,5,FALSE),"")</f>
        <v/>
      </c>
      <c r="H212" s="56" t="inlineStr">
        <is>
          <t>Blanket (page end)</t>
        </is>
      </c>
    </row>
    <row r="213">
      <c r="A213" s="63" t="inlineStr">
        <is>
          <t>NEW_POSITION_MAX_LOSS_THRESHOLD</t>
        </is>
      </c>
      <c r="B213" s="56" t="inlineStr">
        <is>
          <t>0</t>
        </is>
      </c>
      <c r="C213" s="56" t="n"/>
      <c r="D213" s="56" t="inlineStr">
        <is>
          <t>AUGMENT, EXIT, GLOBAL_CHECK, REDUCE, STOCKS_EXIT</t>
        </is>
      </c>
      <c r="E213" s="56">
        <f>IF(G213="",E212,IF(G213&gt;0,E212+G213,E212))</f>
        <v/>
      </c>
      <c r="G213" s="56">
        <f>IFERROR(VLOOKUP($A213&amp;"="&amp;$B213,Results_Deltas!$A$2:$P$15000,5,FALSE),"")</f>
        <v/>
      </c>
      <c r="H213" s="56" t="inlineStr">
        <is>
          <t>Blanket (page end)</t>
        </is>
      </c>
    </row>
    <row r="214">
      <c r="A214" s="63" t="inlineStr">
        <is>
          <t>NEW_POSITION_MAX_LOSS_THRESHOLD</t>
        </is>
      </c>
      <c r="B214" s="56" t="inlineStr">
        <is>
          <t>2.0</t>
        </is>
      </c>
      <c r="C214" s="56" t="n"/>
      <c r="D214" s="56" t="inlineStr">
        <is>
          <t>AUGMENT, EXIT, GLOBAL_CHECK, REDUCE, STOCKS_EXIT</t>
        </is>
      </c>
      <c r="E214" s="56">
        <f>IF(G214="",E213,IF(G214&gt;0,E213+G214,E213))</f>
        <v/>
      </c>
      <c r="G214" s="56">
        <f>IFERROR(VLOOKUP($A214&amp;"="&amp;$B214,Results_Deltas!$A$2:$P$15000,5,FALSE),"")</f>
        <v/>
      </c>
      <c r="H214" s="56" t="inlineStr">
        <is>
          <t>Blanket (page end)</t>
        </is>
      </c>
    </row>
    <row r="215">
      <c r="A215" s="63" t="inlineStr">
        <is>
          <t>NEW_POSITION_MAX_LOSS_THRESHOLD</t>
        </is>
      </c>
      <c r="B215" s="56" t="inlineStr">
        <is>
          <t>1.0</t>
        </is>
      </c>
      <c r="C215" s="56" t="n"/>
      <c r="D215" s="56" t="inlineStr">
        <is>
          <t>AUGMENT, EXIT, GLOBAL_CHECK, REDUCE, STOCKS_EXIT</t>
        </is>
      </c>
      <c r="E215" s="56">
        <f>IF(G215="",E214,IF(G215&gt;0,E214+G215,E214))</f>
        <v/>
      </c>
      <c r="G215" s="56">
        <f>IFERROR(VLOOKUP($A215&amp;"="&amp;$B215,Results_Deltas!$A$2:$P$15000,5,FALSE),"")</f>
        <v/>
      </c>
      <c r="H215" s="56" t="inlineStr">
        <is>
          <t>Blanket (page end)</t>
        </is>
      </c>
    </row>
    <row r="216">
      <c r="A216" s="63" t="inlineStr">
        <is>
          <t>NEW_POSITION_MAX_LOSS_THRESHOLD</t>
        </is>
      </c>
      <c r="B216" s="56" t="inlineStr">
        <is>
          <t>0.5</t>
        </is>
      </c>
      <c r="C216" s="56" t="n"/>
      <c r="D216" s="56" t="inlineStr">
        <is>
          <t>AUGMENT, EXIT, GLOBAL_CHECK, REDUCE, STOCKS_EXIT</t>
        </is>
      </c>
      <c r="E216" s="56">
        <f>IF(G216="",E215,IF(G216&gt;0,E215+G216,E215))</f>
        <v/>
      </c>
      <c r="G216" s="56">
        <f>IFERROR(VLOOKUP($A216&amp;"="&amp;$B216,Results_Deltas!$A$2:$P$15000,5,FALSE),"")</f>
        <v/>
      </c>
      <c r="H216" s="56" t="inlineStr">
        <is>
          <t>Blanket (page end)</t>
        </is>
      </c>
    </row>
    <row r="217">
      <c r="A217" s="63" t="inlineStr">
        <is>
          <t>OI_CONFIRM_ENABLED</t>
        </is>
      </c>
      <c r="B217" s="56" t="inlineStr">
        <is>
          <t>False</t>
        </is>
      </c>
      <c r="C217" s="56" t="n"/>
      <c r="D217" s="56" t="inlineStr">
        <is>
          <t>ENTRY, GLOBAL_CHECK, STOCKS_EXIT</t>
        </is>
      </c>
      <c r="E217" s="56">
        <f>IF(G217="",E216,IF(G217&gt;0,E216+G217,E216))</f>
        <v/>
      </c>
      <c r="G217" s="56">
        <f>IFERROR(VLOOKUP($A217&amp;"="&amp;$B217,Results_Deltas!$A$2:$P$15000,5,FALSE),"")</f>
        <v/>
      </c>
      <c r="H217" s="56" t="inlineStr">
        <is>
          <t>Blanket (page end)</t>
        </is>
      </c>
    </row>
    <row r="218">
      <c r="A218" s="63" t="inlineStr">
        <is>
          <t>OI_CONFIRM_ENABLED</t>
        </is>
      </c>
      <c r="B218" s="56" t="inlineStr">
        <is>
          <t>True</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OI_CONFIRM_MIN_CHANGE_PCT</t>
        </is>
      </c>
      <c r="B219" s="56" t="inlineStr">
        <is>
          <t>0</t>
        </is>
      </c>
      <c r="C219" s="56" t="n"/>
      <c r="D219" s="56" t="inlineStr">
        <is>
          <t>ENTRY, GLOBAL_CHECK, STOCKS_EXIT</t>
        </is>
      </c>
      <c r="E219" s="56">
        <f>IF(G219="",E218,IF(G219&gt;0,E218+G219,E218))</f>
        <v/>
      </c>
      <c r="G219" s="56">
        <f>IFERROR(VLOOKUP($A219&amp;"="&amp;$B219,Results_Deltas!$A$2:$P$15000,5,FALSE),"")</f>
        <v/>
      </c>
      <c r="H219" s="56" t="inlineStr">
        <is>
          <t>Blanket (page end)</t>
        </is>
      </c>
    </row>
    <row r="220">
      <c r="A220" s="63" t="inlineStr">
        <is>
          <t>OI_CONFIRM_MIN_CHANGE_PCT</t>
        </is>
      </c>
      <c r="B220" s="56" t="inlineStr">
        <is>
          <t>2.0</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OI_CONFIRM_MIN_CHANGE_PCT</t>
        </is>
      </c>
      <c r="B221" s="56" t="inlineStr">
        <is>
          <t>1.0</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OI_CONFIRM_MIN_CHANGE_PCT</t>
        </is>
      </c>
      <c r="B222" s="56" t="inlineStr">
        <is>
          <t>0.5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OI_CONFIRM_MIN_PRICE_PCT</t>
        </is>
      </c>
      <c r="B223" s="56" t="inlineStr">
        <is>
          <t>0</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OI_CONFIRM_MIN_PRICE_PCT</t>
        </is>
      </c>
      <c r="B224" s="56" t="inlineStr">
        <is>
          <t>2.0</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OI_CONFIRM_MIN_PRICE_PCT</t>
        </is>
      </c>
      <c r="B225" s="56" t="inlineStr">
        <is>
          <t>1.0</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OI_CONFIRM_MIN_PRICE_PCT</t>
        </is>
      </c>
      <c r="B226" s="56" t="inlineStr">
        <is>
          <t>0.5</t>
        </is>
      </c>
      <c r="C226" s="56" t="n"/>
      <c r="D226" s="56" t="inlineStr">
        <is>
          <t>ENTRY, GLOBAL_CHECK, STOCKS_EXIT</t>
        </is>
      </c>
      <c r="E226" s="56">
        <f>IF(G226="",E225,IF(G226&gt;0,E225+G226,E225))</f>
        <v/>
      </c>
      <c r="G226" s="56">
        <f>IFERROR(VLOOKUP($A226&amp;"="&amp;$B226,Results_Deltas!$A$2:$P$15000,5,FALSE),"")</f>
        <v/>
      </c>
      <c r="H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M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QUICK_REDUCE_TECHNICAL_ONLY</t>
        </is>
      </c>
      <c r="B3" s="11" t="inlineStr">
        <is>
          <t>0</t>
        </is>
      </c>
      <c r="E3">
        <f>MAX('REDUCE_PROFIT_LOCK'!E:E)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55" t="n"/>
      <c r="BL3" s="55" t="n"/>
      <c r="BM3" s="55" t="n"/>
      <c r="BN3" s="55" t="n"/>
      <c r="BO3" s="55"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55" t="n"/>
      <c r="FO3" s="55" t="n"/>
      <c r="FP3" s="55" t="n"/>
      <c r="FQ3" s="55" t="n"/>
      <c r="FR3" s="55"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ez_manage.py:5218 top()</t>
        </is>
      </c>
      <c r="IL3" s="9" t="inlineStr">
        <is>
          <t>v12_quick_engine.py:2747 x2</t>
        </is>
      </c>
    </row>
    <row r="4" ht="11" customHeight="1">
      <c r="A4" s="10" t="inlineStr">
        <is>
          <t>QUICK_REDUCE_TECHNICAL_ONLY</t>
        </is>
      </c>
      <c r="B4" s="11" t="inlineStr">
        <is>
          <t>0.5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55" t="n"/>
      <c r="BL4" s="55" t="n"/>
      <c r="BM4" s="55" t="n"/>
      <c r="BN4" s="55" t="n"/>
      <c r="BO4" s="55"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55" t="n"/>
      <c r="FO4" s="55" t="n"/>
      <c r="FP4" s="55" t="n"/>
      <c r="FQ4" s="55" t="n"/>
      <c r="FR4" s="55"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ez_manage.py:5218 top()</t>
        </is>
      </c>
      <c r="IL4" s="9" t="inlineStr">
        <is>
          <t>v12_quick_engine.py:2747 x2</t>
        </is>
      </c>
    </row>
    <row r="5" ht="11" customHeight="1">
      <c r="A5" s="10" t="inlineStr">
        <is>
          <t>QUICK_REDUCE_TECHNICAL_ONLY</t>
        </is>
      </c>
      <c r="B5" s="11" t="inlineStr">
        <is>
          <t>1.0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55" t="n"/>
      <c r="BL5" s="55" t="n"/>
      <c r="BM5" s="55" t="n"/>
      <c r="BN5" s="55" t="n"/>
      <c r="BO5" s="55"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55" t="n"/>
      <c r="FO5" s="55" t="n"/>
      <c r="FP5" s="55" t="n"/>
      <c r="FQ5" s="55" t="n"/>
      <c r="FR5" s="55"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ez_manage.py:5218 top()</t>
        </is>
      </c>
      <c r="IL5" s="9" t="inlineStr">
        <is>
          <t>v12_quick_engine.py:2747 x2</t>
        </is>
      </c>
    </row>
    <row r="6" ht="11" customHeight="1">
      <c r="A6" s="10" t="inlineStr">
        <is>
          <t>QUICK_REDUCE_TECHNICAL_ONLY</t>
        </is>
      </c>
      <c r="B6" s="11" t="inlineStr">
        <is>
          <t>2.0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55" t="n"/>
      <c r="BL6" s="55" t="n"/>
      <c r="BM6" s="55" t="n"/>
      <c r="BN6" s="55" t="n"/>
      <c r="BO6" s="55"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55" t="n"/>
      <c r="FO6" s="55" t="n"/>
      <c r="FP6" s="55" t="n"/>
      <c r="FQ6" s="55" t="n"/>
      <c r="FR6" s="55"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ez_manage.py:5218 top()</t>
        </is>
      </c>
      <c r="IL6" s="9" t="inlineStr">
        <is>
          <t>v12_quick_engine.py:2747 x2</t>
        </is>
      </c>
    </row>
    <row r="7" ht="11" customHeight="1">
      <c r="A7" s="10" t="inlineStr">
        <is>
          <t>ALL_TF_AGAINST_CLOSE_MIN_TFS</t>
        </is>
      </c>
      <c r="B7" s="11" t="inlineStr">
        <is>
          <t>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ez_manage.py:2932 top()</t>
        </is>
      </c>
      <c r="IL7" s="9" t="inlineStr">
        <is>
          <t>v12_quick_engine.py:181 x11</t>
        </is>
      </c>
    </row>
    <row r="8" ht="11" customHeight="1">
      <c r="A8" s="10" t="inlineStr">
        <is>
          <t>ALL_TF_AGAINST_CLOSE_MIN_TFS</t>
        </is>
      </c>
      <c r="B8" s="11" t="inlineStr">
        <is>
          <t>0.5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ez_manage.py:2932 top()</t>
        </is>
      </c>
      <c r="IL8" s="9" t="inlineStr">
        <is>
          <t>v12_quick_engine.py:181 x11</t>
        </is>
      </c>
    </row>
    <row r="9" ht="11" customHeight="1">
      <c r="A9" s="10" t="inlineStr">
        <is>
          <t>ALL_TF_AGAINST_CLOSE_MIN_TFS</t>
        </is>
      </c>
      <c r="B9" s="11" t="inlineStr">
        <is>
          <t>1.0</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ez_manage.py:2932 top()</t>
        </is>
      </c>
      <c r="IL9" s="9" t="inlineStr">
        <is>
          <t>v12_quick_engine.py:181 x11</t>
        </is>
      </c>
    </row>
    <row r="10" ht="11" customHeight="1">
      <c r="A10" s="10" t="inlineStr">
        <is>
          <t>ALL_TF_AGAINST_CLOSE_MIN_TFS</t>
        </is>
      </c>
      <c r="B10" s="11"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ez_manage.py:2932 top()</t>
        </is>
      </c>
      <c r="IL10" s="9" t="inlineStr">
        <is>
          <t>v12_quick_engine.py:181 x11</t>
        </is>
      </c>
    </row>
    <row r="11" ht="11" customHeight="1">
      <c r="A11" s="10" t="inlineStr">
        <is>
          <t>SATOSHIT_EXIT_LONG_RSI_MIN_TRADIER</t>
        </is>
      </c>
      <c r="B11" s="11" t="inlineStr">
        <is>
          <t>27.5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ez_manage.py:5452 top()</t>
        </is>
      </c>
      <c r="IL11" s="9" t="inlineStr">
        <is>
          <t>v12_quick_engine.py:3061 x7</t>
        </is>
      </c>
    </row>
    <row r="12" ht="11" customHeight="1">
      <c r="A12" s="10" t="inlineStr">
        <is>
          <t>SATOSHIT_EXIT_LONG_RSI_MIN_TRADIER</t>
        </is>
      </c>
      <c r="B12" s="11" t="inlineStr">
        <is>
          <t>41.25</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ez_manage.py:5452 top()</t>
        </is>
      </c>
      <c r="IL12" s="9" t="inlineStr">
        <is>
          <t>v12_quick_engine.py:3061 x7</t>
        </is>
      </c>
    </row>
    <row r="13" ht="11" customHeight="1">
      <c r="A13" s="6" t="inlineStr">
        <is>
          <t>SATOSHIT_EXIT_LONG_RSI_MIN_TRADIER</t>
        </is>
      </c>
      <c r="B13" s="7" t="inlineStr">
        <is>
          <t>55.0</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ez_manage.py:5452 top()</t>
        </is>
      </c>
      <c r="IL13" s="9" t="inlineStr">
        <is>
          <t>v12_quick_engine.py:3061 x7</t>
        </is>
      </c>
    </row>
    <row r="14" ht="11" customHeight="1">
      <c r="A14" s="10" t="inlineStr">
        <is>
          <t>SATOSHIT_EXIT_LONG_RSI_MIN_TRADIER</t>
        </is>
      </c>
      <c r="B14" s="11" t="inlineStr">
        <is>
          <t>68.75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ez_manage.py:5452 top()</t>
        </is>
      </c>
      <c r="IL14" s="9" t="inlineStr">
        <is>
          <t>v12_quick_engine.py:3061 x7</t>
        </is>
      </c>
    </row>
    <row r="15" ht="11" customHeight="1">
      <c r="A15" s="10" t="inlineStr">
        <is>
          <t>SATOSHIT_EXIT_LONG_RSI_MIN_TRADIER</t>
        </is>
      </c>
      <c r="B15" s="11" t="inlineStr">
        <is>
          <t>82.5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ez_manage.py:5452 top()</t>
        </is>
      </c>
      <c r="IL15" s="9" t="inlineStr">
        <is>
          <t>v12_quick_engine.py:3061 x7</t>
        </is>
      </c>
    </row>
    <row r="16" ht="11" customHeight="1">
      <c r="A16" s="6" t="inlineStr">
        <is>
          <t>DC_HOPELESS_EXIT_ENABLED</t>
        </is>
      </c>
      <c r="B16" s="7" t="inlineStr">
        <is>
          <t>False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ez_manage.py:4572 top()</t>
        </is>
      </c>
      <c r="IL16" s="9" t="inlineStr">
        <is>
          <t>v12_quick_engine.py:541 x9</t>
        </is>
      </c>
    </row>
    <row r="17" ht="11" customHeight="1">
      <c r="A17" s="10" t="inlineStr">
        <is>
          <t>DC_HOPELESS_EXIT_ENABLED</t>
        </is>
      </c>
      <c r="B17" s="11" t="inlineStr">
        <is>
          <t>True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ez_manage.py:4572 top()</t>
        </is>
      </c>
      <c r="IL17" s="9" t="inlineStr">
        <is>
          <t>v12_quick_engine.py:541 x9</t>
        </is>
      </c>
    </row>
    <row r="18" ht="11" customHeight="1">
      <c r="A18" s="6" t="inlineStr">
        <is>
          <t>WT_PERCENTILE_EXIT_ENABLED</t>
        </is>
      </c>
      <c r="B18" s="7" t="inlineStr">
        <is>
          <t>False</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ez_manage.py:5927 top()</t>
        </is>
      </c>
      <c r="IL18" s="9" t="inlineStr">
        <is>
          <t>v12_quick_engine.py:3767 x3</t>
        </is>
      </c>
    </row>
    <row r="19" ht="11" customHeight="1">
      <c r="A19" s="10" t="inlineStr">
        <is>
          <t>WT_PERCENTILE_EXIT_ENABLED</t>
        </is>
      </c>
      <c r="B19" s="11" t="inlineStr">
        <is>
          <t>True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ez_manage.py:5927 top()</t>
        </is>
      </c>
      <c r="IL19" s="9" t="inlineStr">
        <is>
          <t>v12_quick_engine.py:3767 x3</t>
        </is>
      </c>
    </row>
    <row r="20" ht="11" customHeight="1">
      <c r="A20" s="10" t="inlineStr">
        <is>
          <t>ALL_TF_AGAINST_CLOSE_COOLDOWN_SEC</t>
        </is>
      </c>
      <c r="B20" s="11" t="inlineStr">
        <is>
          <t>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ez_manage.py:4324 top()</t>
        </is>
      </c>
      <c r="IL20" s="9" t="inlineStr">
        <is>
          <t>v12_quick_engine.py:168 x9</t>
        </is>
      </c>
    </row>
    <row r="21" ht="11" customHeight="1">
      <c r="A21" s="10" t="inlineStr">
        <is>
          <t>ALL_TF_AGAINST_CLOSE_COOLDOWN_SEC</t>
        </is>
      </c>
      <c r="B21" s="11" t="inlineStr">
        <is>
          <t>0.5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ez_manage.py:4324 top()</t>
        </is>
      </c>
      <c r="IL21" s="9" t="inlineStr">
        <is>
          <t>v12_quick_engine.py:168 x9</t>
        </is>
      </c>
    </row>
    <row r="22" ht="11" customHeight="1">
      <c r="A22" s="10" t="inlineStr">
        <is>
          <t>ALL_TF_AGAINST_CLOSE_COOLDOWN_SEC</t>
        </is>
      </c>
      <c r="B22" s="11" t="inlineStr">
        <is>
          <t>1.0</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ez_manage.py:4324 top()</t>
        </is>
      </c>
      <c r="IL22" s="9" t="inlineStr">
        <is>
          <t>v12_quick_engine.py:168 x9</t>
        </is>
      </c>
    </row>
    <row r="23" ht="11" customHeight="1">
      <c r="A23" s="10" t="inlineStr">
        <is>
          <t>ALL_TF_AGAINST_CLOSE_COOLDOWN_SEC</t>
        </is>
      </c>
      <c r="B23" s="11" t="inlineStr">
        <is>
          <t>2.0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ez_manage.py:4324 top()</t>
        </is>
      </c>
      <c r="IL23" s="9" t="inlineStr">
        <is>
          <t>v12_quick_engine.py:168 x9</t>
        </is>
      </c>
    </row>
    <row r="24" ht="11" customHeight="1">
      <c r="A24" s="6" t="inlineStr">
        <is>
          <t>ATR_TRAIL_SWEEP_ENABLED</t>
        </is>
      </c>
      <c r="B24" s="7" t="inlineStr">
        <is>
          <t>False</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ez_manage.py:5955 top()</t>
        </is>
      </c>
      <c r="IL24" s="9" t="inlineStr">
        <is>
          <t>v12_quick_engine.py:215 x7</t>
        </is>
      </c>
    </row>
    <row r="25" ht="11" customHeight="1">
      <c r="A25" s="10" t="inlineStr">
        <is>
          <t>ATR_TRAIL_SWEEP_ENABLED</t>
        </is>
      </c>
      <c r="B25" s="11" t="inlineStr">
        <is>
          <t>True</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ez_manage.py:5955 top()</t>
        </is>
      </c>
      <c r="IL25" s="9" t="inlineStr">
        <is>
          <t>v12_quick_engine.py:215 x7</t>
        </is>
      </c>
    </row>
    <row r="26" ht="11" customHeight="1">
      <c r="A26" s="10" t="inlineStr">
        <is>
          <t>BAND_ARROW_SLOPE_DEADBAND</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ez_manage.py:2954 top()</t>
        </is>
      </c>
      <c r="IL26" s="9" t="inlineStr">
        <is>
          <t>v12_quick_engine.py:263 x12</t>
        </is>
      </c>
    </row>
    <row r="27" ht="11" customHeight="1">
      <c r="A27" s="10" t="inlineStr">
        <is>
          <t>BAND_ARROW_SLOPE_DEADBAND</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ez_manage.py:2954 top()</t>
        </is>
      </c>
      <c r="IL27" s="9" t="inlineStr">
        <is>
          <t>v12_quick_engine.py:263 x12</t>
        </is>
      </c>
    </row>
    <row r="28" ht="11" customHeight="1">
      <c r="A28" s="10" t="inlineStr">
        <is>
          <t>BAND_ARROW_SLOPE_DEADBAND</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ez_manage.py:2954 top()</t>
        </is>
      </c>
      <c r="IL28" s="9" t="inlineStr">
        <is>
          <t>v12_quick_engine.py:263 x12</t>
        </is>
      </c>
    </row>
    <row r="29" ht="11" customHeight="1">
      <c r="A29" s="10" t="inlineStr">
        <is>
          <t>BAND_ARROW_SLOPE_DEADBAND</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ez_manage.py:2954 top()</t>
        </is>
      </c>
      <c r="IL29" s="9" t="inlineStr">
        <is>
          <t>v12_quick_engine.py:263 x12</t>
        </is>
      </c>
    </row>
    <row r="30" ht="11" customHeight="1">
      <c r="A30" s="6" t="inlineStr">
        <is>
          <t>BREAKEVEN_DC_FIELD_MODE</t>
        </is>
      </c>
      <c r="B30" s="7" t="inlineStr">
        <is>
          <t>DC4</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55" t="n"/>
      <c r="AM30" s="55" t="n"/>
      <c r="AN30" s="55" t="n"/>
      <c r="AO30" s="55" t="n"/>
      <c r="AP30" s="55"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ez_manage.py:4394 top()</t>
        </is>
      </c>
      <c r="IL30" s="9" t="inlineStr">
        <is>
          <t>v12_quick_engine.py:333 x13</t>
        </is>
      </c>
    </row>
    <row r="31" ht="11" customHeight="1">
      <c r="A31" s="10" t="inlineStr">
        <is>
          <t>DC_HOPELESS_EXIT_MIN_AGE_S</t>
        </is>
      </c>
      <c r="B31" s="11" t="inlineStr">
        <is>
          <t>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ez_manage.py:4573 top()</t>
        </is>
      </c>
      <c r="IL31" s="9" t="inlineStr">
        <is>
          <t>v12_quick_engine.py:547 x9</t>
        </is>
      </c>
    </row>
    <row r="32" ht="11" customHeight="1">
      <c r="A32" s="10" t="inlineStr">
        <is>
          <t>DC_HOPELESS_EXIT_MIN_AGE_S</t>
        </is>
      </c>
      <c r="B32" s="11" t="inlineStr">
        <is>
          <t>0.5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ez_manage.py:4573 top()</t>
        </is>
      </c>
      <c r="IL32" s="9" t="inlineStr">
        <is>
          <t>v12_quick_engine.py:547 x9</t>
        </is>
      </c>
    </row>
    <row r="33" ht="11" customHeight="1">
      <c r="A33" s="10" t="inlineStr">
        <is>
          <t>DC_HOPELESS_EXIT_MIN_AGE_S</t>
        </is>
      </c>
      <c r="B33" s="11" t="inlineStr">
        <is>
          <t>1.0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ez_manage.py:4573 top()</t>
        </is>
      </c>
      <c r="IL33" s="9" t="inlineStr">
        <is>
          <t>v12_quick_engine.py:547 x9</t>
        </is>
      </c>
    </row>
    <row r="34" ht="11" customHeight="1">
      <c r="A34" s="10" t="inlineStr">
        <is>
          <t>DC_HOPELESS_EXIT_MIN_AGE_S</t>
        </is>
      </c>
      <c r="B34" s="11" t="inlineStr">
        <is>
          <t>2.0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ez_manage.py:4573 top()</t>
        </is>
      </c>
      <c r="IL34" s="9" t="inlineStr">
        <is>
          <t>v12_quick_engine.py:547 x9</t>
        </is>
      </c>
    </row>
    <row r="35" ht="11" customHeight="1">
      <c r="A35" s="6" t="inlineStr">
        <is>
          <t>DYN_STRUCT_TRAIL_ENABLED</t>
        </is>
      </c>
      <c r="B35" s="7" t="inlineStr">
        <is>
          <t>False</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ez_manage.py:5979 top()</t>
        </is>
      </c>
      <c r="IL35" s="9" t="inlineStr">
        <is>
          <t>v12_quick_engine.py:865 x8</t>
        </is>
      </c>
    </row>
    <row r="36" ht="11" customHeight="1">
      <c r="A36" s="10" t="inlineStr">
        <is>
          <t>DYN_STRUCT_TRAIL_ENABLED</t>
        </is>
      </c>
      <c r="B36" s="11" t="inlineStr">
        <is>
          <t>True</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ez_manage.py:5979 top()</t>
        </is>
      </c>
      <c r="IL36" s="9" t="inlineStr">
        <is>
          <t>v12_quick_engine.py:865 x8</t>
        </is>
      </c>
    </row>
    <row r="37" ht="11" customHeight="1">
      <c r="A37" s="6" t="inlineStr">
        <is>
          <t>HLR_TOP_EXIT_ENABLED</t>
        </is>
      </c>
      <c r="B37" s="7" t="inlineStr">
        <is>
          <t>False</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ez_manage.py:4858 top()</t>
        </is>
      </c>
      <c r="IL37" s="9" t="inlineStr">
        <is>
          <t>v12_quick_engine.py:2031 x5</t>
        </is>
      </c>
    </row>
    <row r="38" ht="11" customHeight="1">
      <c r="A38" s="10" t="inlineStr">
        <is>
          <t>HLR_TOP_EXIT_ENABLED</t>
        </is>
      </c>
      <c r="B38" s="11" t="inlineStr">
        <is>
          <t>True</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ez_manage.py:4858 top()</t>
        </is>
      </c>
      <c r="IL38" s="9" t="inlineStr">
        <is>
          <t>v12_quick_engine.py:2031 x5</t>
        </is>
      </c>
    </row>
    <row r="39" ht="11" customHeight="1">
      <c r="A39" s="10" t="inlineStr">
        <is>
          <t>HTF_AGAINST_FORCE_CLOSE_CONFIRM_4H</t>
        </is>
      </c>
      <c r="B39" s="11" t="inlineStr">
        <is>
          <t>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ez_manage.py:4868 top()</t>
        </is>
      </c>
      <c r="IL39" s="9" t="inlineStr">
        <is>
          <t>v12_quick_engine.py:2039 x7</t>
        </is>
      </c>
    </row>
    <row r="40" ht="11" customHeight="1">
      <c r="A40" s="10" t="inlineStr">
        <is>
          <t>HTF_AGAINST_FORCE_CLOSE_CONFIRM_4H</t>
        </is>
      </c>
      <c r="B40" s="11" t="inlineStr">
        <is>
          <t>0.5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ez_manage.py:4868 top()</t>
        </is>
      </c>
      <c r="IL40" s="9" t="inlineStr">
        <is>
          <t>v12_quick_engine.py:2039 x7</t>
        </is>
      </c>
    </row>
    <row r="41" ht="11" customHeight="1">
      <c r="A41" s="10" t="inlineStr">
        <is>
          <t>HTF_AGAINST_FORCE_CLOSE_CONFIRM_4H</t>
        </is>
      </c>
      <c r="B41" s="11" t="inlineStr">
        <is>
          <t>1.0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ez_manage.py:4868 top()</t>
        </is>
      </c>
      <c r="IL41" s="9" t="inlineStr">
        <is>
          <t>v12_quick_engine.py:2039 x7</t>
        </is>
      </c>
    </row>
    <row r="42" ht="11" customHeight="1">
      <c r="A42" s="10" t="inlineStr">
        <is>
          <t>HTF_AGAINST_FORCE_CLOSE_CONFIRM_4H</t>
        </is>
      </c>
      <c r="B42" s="11" t="inlineStr">
        <is>
          <t>2.0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ez_manage.py:4868 top()</t>
        </is>
      </c>
      <c r="IL42" s="9" t="inlineStr">
        <is>
          <t>v12_quick_engine.py:2039 x7</t>
        </is>
      </c>
    </row>
    <row r="43" ht="11" customHeight="1">
      <c r="A43" s="6" t="inlineStr">
        <is>
          <t>HTF_AGAINST_FORCE_CLOSE_ENABLED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55" t="n"/>
      <c r="EN43" s="55" t="n"/>
      <c r="EO43" s="55" t="n"/>
      <c r="EP43" s="55" t="n"/>
      <c r="EQ43" s="55"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ez_manage.py:4869 top()</t>
        </is>
      </c>
      <c r="IL43" s="9" t="inlineStr">
        <is>
          <t>v12_quick_engine.py:2040 x3</t>
        </is>
      </c>
    </row>
    <row r="44" ht="11" customHeight="1">
      <c r="A44" s="10" t="inlineStr">
        <is>
          <t>HTF_AGAINST_FORCE_CLOSE_ENABLED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55" t="n"/>
      <c r="EN44" s="55" t="n"/>
      <c r="EO44" s="55" t="n"/>
      <c r="EP44" s="55" t="n"/>
      <c r="EQ44" s="55"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ez_manage.py:4869 top()</t>
        </is>
      </c>
      <c r="IL44" s="9" t="inlineStr">
        <is>
          <t>v12_quick_engine.py:2040 x3</t>
        </is>
      </c>
    </row>
    <row r="45" ht="11" customHeight="1">
      <c r="A45" s="6" t="inlineStr">
        <is>
          <t>HTF_EXIT_VETO_ENABLED</t>
        </is>
      </c>
      <c r="B45" s="7" t="inlineStr">
        <is>
          <t>False</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55" t="n"/>
      <c r="EN45" s="55" t="n"/>
      <c r="EO45" s="55" t="n"/>
      <c r="EP45" s="55" t="n"/>
      <c r="EQ45" s="55"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ez_manage.py:4873 top()</t>
        </is>
      </c>
      <c r="IL45" s="9" t="inlineStr">
        <is>
          <t>v12_quick_engine.py:2049 x2</t>
        </is>
      </c>
    </row>
    <row r="46" ht="11" customHeight="1">
      <c r="A46" s="10" t="inlineStr">
        <is>
          <t>HTF_EXIT_VETO_ENABLED</t>
        </is>
      </c>
      <c r="B46" s="11" t="inlineStr">
        <is>
          <t>True</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55" t="n"/>
      <c r="EN46" s="55" t="n"/>
      <c r="EO46" s="55" t="n"/>
      <c r="EP46" s="55" t="n"/>
      <c r="EQ46" s="55"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ez_manage.py:4873 top()</t>
        </is>
      </c>
      <c r="IL46" s="9" t="inlineStr">
        <is>
          <t>v12_quick_engine.py:2049 x2</t>
        </is>
      </c>
    </row>
    <row r="47" ht="11" customHeight="1">
      <c r="A47" s="10" t="inlineStr">
        <is>
          <t>HTF_EXIT_VETO_MAX_LOSS_PCT</t>
        </is>
      </c>
      <c r="B47" s="11" t="inlineStr">
        <is>
          <t>0</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55" t="n"/>
      <c r="EN47" s="55" t="n"/>
      <c r="EO47" s="55" t="n"/>
      <c r="EP47" s="55" t="n"/>
      <c r="EQ47" s="55"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55" t="n"/>
      <c r="GU47" s="55" t="n"/>
      <c r="GV47" s="55" t="n"/>
      <c r="GW47" s="55" t="n"/>
      <c r="GX47" s="55"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ez_manage.py:4874 top()</t>
        </is>
      </c>
      <c r="IL47" s="9" t="inlineStr">
        <is>
          <t>v12_quick_engine.py:2050 x5</t>
        </is>
      </c>
    </row>
    <row r="48" ht="11" customHeight="1">
      <c r="A48" s="10" t="inlineStr">
        <is>
          <t>HTF_EXIT_VETO_MAX_LOSS_PCT</t>
        </is>
      </c>
      <c r="B48" s="11" t="inlineStr">
        <is>
          <t>0.5</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55" t="n"/>
      <c r="EN48" s="55" t="n"/>
      <c r="EO48" s="55" t="n"/>
      <c r="EP48" s="55" t="n"/>
      <c r="EQ48" s="55"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55" t="n"/>
      <c r="GU48" s="55" t="n"/>
      <c r="GV48" s="55" t="n"/>
      <c r="GW48" s="55" t="n"/>
      <c r="GX48" s="55"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ez_manage.py:4874 top()</t>
        </is>
      </c>
      <c r="IL48" s="9" t="inlineStr">
        <is>
          <t>v12_quick_engine.py:2050 x5</t>
        </is>
      </c>
    </row>
    <row r="49" ht="11" customHeight="1">
      <c r="A49" s="10" t="inlineStr">
        <is>
          <t>HTF_EXIT_VETO_MAX_LOSS_PCT</t>
        </is>
      </c>
      <c r="B49" s="11" t="inlineStr">
        <is>
          <t>1.0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55" t="n"/>
      <c r="EN49" s="55" t="n"/>
      <c r="EO49" s="55" t="n"/>
      <c r="EP49" s="55" t="n"/>
      <c r="EQ49" s="55"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55" t="n"/>
      <c r="GU49" s="55" t="n"/>
      <c r="GV49" s="55" t="n"/>
      <c r="GW49" s="55" t="n"/>
      <c r="GX49" s="55"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ez_manage.py:4874 top()</t>
        </is>
      </c>
      <c r="IL49" s="9" t="inlineStr">
        <is>
          <t>v12_quick_engine.py:2050 x5</t>
        </is>
      </c>
    </row>
    <row r="50" ht="11" customHeight="1">
      <c r="A50" s="10" t="inlineStr">
        <is>
          <t>HTF_EXIT_VETO_MAX_LOSS_PCT</t>
        </is>
      </c>
      <c r="B50" s="11" t="inlineStr">
        <is>
          <t>2.0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55" t="n"/>
      <c r="EN50" s="55" t="n"/>
      <c r="EO50" s="55" t="n"/>
      <c r="EP50" s="55" t="n"/>
      <c r="EQ50" s="55"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55" t="n"/>
      <c r="GU50" s="55" t="n"/>
      <c r="GV50" s="55" t="n"/>
      <c r="GW50" s="55" t="n"/>
      <c r="GX50" s="55"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ez_manage.py:4874 top()</t>
        </is>
      </c>
      <c r="IL50" s="9" t="inlineStr">
        <is>
          <t>v12_quick_engine.py:2050 x5</t>
        </is>
      </c>
    </row>
    <row r="51" ht="11" customHeight="1">
      <c r="A51" s="10" t="inlineStr">
        <is>
          <t>HTF_EXIT_VETO_MIN_ALIGNED</t>
        </is>
      </c>
      <c r="B51" s="11" t="inlineStr">
        <is>
          <t>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55" t="n"/>
      <c r="EN51" s="55" t="n"/>
      <c r="EO51" s="55" t="n"/>
      <c r="EP51" s="55" t="n"/>
      <c r="EQ51" s="55"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ez_manage.py:4875 top()</t>
        </is>
      </c>
      <c r="IL51" s="9" t="inlineStr">
        <is>
          <t>v12_quick_engine.py:2051 x3</t>
        </is>
      </c>
    </row>
    <row r="52" ht="11" customHeight="1">
      <c r="A52" s="10" t="inlineStr">
        <is>
          <t>HTF_EXIT_VETO_MIN_ALIGNED</t>
        </is>
      </c>
      <c r="B52" s="11" t="inlineStr">
        <is>
          <t>0.5</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55" t="n"/>
      <c r="EN52" s="55" t="n"/>
      <c r="EO52" s="55" t="n"/>
      <c r="EP52" s="55" t="n"/>
      <c r="EQ52" s="55"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ez_manage.py:4875 top()</t>
        </is>
      </c>
      <c r="IL52" s="9" t="inlineStr">
        <is>
          <t>v12_quick_engine.py:2051 x3</t>
        </is>
      </c>
    </row>
    <row r="53" ht="11" customHeight="1">
      <c r="A53" s="10" t="inlineStr">
        <is>
          <t>HTF_EXIT_VETO_MIN_ALIGNED</t>
        </is>
      </c>
      <c r="B53" s="11" t="inlineStr">
        <is>
          <t>1.0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55" t="n"/>
      <c r="EN53" s="55" t="n"/>
      <c r="EO53" s="55" t="n"/>
      <c r="EP53" s="55" t="n"/>
      <c r="EQ53" s="55"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ez_manage.py:4875 top()</t>
        </is>
      </c>
      <c r="IL53" s="9" t="inlineStr">
        <is>
          <t>v12_quick_engine.py:2051 x3</t>
        </is>
      </c>
    </row>
    <row r="54" ht="11" customHeight="1">
      <c r="A54" s="10" t="inlineStr">
        <is>
          <t>HTF_EXIT_VETO_MIN_ALIGNED</t>
        </is>
      </c>
      <c r="B54" s="11" t="inlineStr">
        <is>
          <t>2.0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55" t="n"/>
      <c r="EN54" s="55" t="n"/>
      <c r="EO54" s="55" t="n"/>
      <c r="EP54" s="55" t="n"/>
      <c r="EQ54" s="55"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ez_manage.py:4875 top()</t>
        </is>
      </c>
      <c r="IL54" s="9" t="inlineStr">
        <is>
          <t>v12_quick_engine.py:2051 x3</t>
        </is>
      </c>
    </row>
    <row r="55" ht="11" customHeight="1">
      <c r="A55" s="6" t="inlineStr">
        <is>
          <t>LOSS_EXIT_STALE_PRICE_ALLOW_NEAR_BE_ENABLED</t>
        </is>
      </c>
      <c r="B55" s="7" t="inlineStr">
        <is>
          <t>False</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55" t="n"/>
      <c r="GU55" s="55" t="n"/>
      <c r="GV55" s="55" t="n"/>
      <c r="GW55" s="55" t="n"/>
      <c r="GX55" s="55"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ez_manage.py:3455 top()</t>
        </is>
      </c>
      <c r="IL55" s="9" t="inlineStr">
        <is>
          <t>v12_quick_engine.py:2169 x4</t>
        </is>
      </c>
    </row>
    <row r="56" ht="11" customHeight="1">
      <c r="A56" s="10" t="inlineStr">
        <is>
          <t>LOSS_EXIT_STALE_PRICE_ALLOW_NEAR_BE_ENABLED</t>
        </is>
      </c>
      <c r="B56" s="11" t="inlineStr">
        <is>
          <t>True</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55" t="n"/>
      <c r="GU56" s="55" t="n"/>
      <c r="GV56" s="55" t="n"/>
      <c r="GW56" s="55" t="n"/>
      <c r="GX56" s="55"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ez_manage.py:3455 top()</t>
        </is>
      </c>
      <c r="IL56" s="9" t="inlineStr">
        <is>
          <t>v12_quick_engine.py:2169 x4</t>
        </is>
      </c>
    </row>
    <row r="57" ht="11" customHeight="1">
      <c r="A57" s="6" t="inlineStr">
        <is>
          <t>LOSS_EXIT_STOP_FUNCTIONS_KILL_ENABLED</t>
        </is>
      </c>
      <c r="B57" s="7"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55" t="n"/>
      <c r="ED57" s="55" t="n"/>
      <c r="EE57" s="55" t="n"/>
      <c r="EF57" s="55" t="n"/>
      <c r="EG57" s="55"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55" t="n"/>
      <c r="GU57" s="55" t="n"/>
      <c r="GV57" s="55" t="n"/>
      <c r="GW57" s="55" t="n"/>
      <c r="GX57" s="55"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ez_manage.py:3456 top()</t>
        </is>
      </c>
      <c r="IL57" s="9" t="inlineStr">
        <is>
          <t>v12_quick_engine.py:867 x5</t>
        </is>
      </c>
    </row>
    <row r="58" ht="11" customHeight="1">
      <c r="A58" s="10" t="inlineStr">
        <is>
          <t>LOSS_EXIT_STOP_FUNCTIONS_KILL_ENABLED</t>
        </is>
      </c>
      <c r="B58" s="11"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55" t="n"/>
      <c r="ED58" s="55" t="n"/>
      <c r="EE58" s="55" t="n"/>
      <c r="EF58" s="55" t="n"/>
      <c r="EG58" s="55"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55" t="n"/>
      <c r="GU58" s="55" t="n"/>
      <c r="GV58" s="55" t="n"/>
      <c r="GW58" s="55" t="n"/>
      <c r="GX58" s="55"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ez_manage.py:3456 top()</t>
        </is>
      </c>
      <c r="IL58" s="9" t="inlineStr">
        <is>
          <t>v12_quick_engine.py:867 x5</t>
        </is>
      </c>
    </row>
    <row r="59" ht="11" customHeight="1">
      <c r="A59" s="6" t="inlineStr">
        <is>
          <t>MACD_EXIT_ENABLED</t>
        </is>
      </c>
      <c r="B59" s="7" t="inlineStr">
        <is>
          <t>False</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ez_manage.py:3496 top()</t>
        </is>
      </c>
      <c r="IL59" s="9" t="inlineStr">
        <is>
          <t>v12_quick_engine.py:2231 x2</t>
        </is>
      </c>
    </row>
    <row r="60" ht="11" customHeight="1">
      <c r="A60" s="10" t="inlineStr">
        <is>
          <t>MACD_EXIT_ENABLED</t>
        </is>
      </c>
      <c r="B60" s="11" t="inlineStr">
        <is>
          <t>True</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ez_manage.py:3496 top()</t>
        </is>
      </c>
      <c r="IL60" s="9" t="inlineStr">
        <is>
          <t>v12_quick_engine.py:2231 x2</t>
        </is>
      </c>
    </row>
    <row r="61" ht="11" customHeight="1">
      <c r="A61" s="10" t="inlineStr">
        <is>
          <t>MACD_EXIT_MIN_GAIN</t>
        </is>
      </c>
      <c r="B61" s="11" t="inlineStr">
        <is>
          <t>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55" t="n"/>
      <c r="AM61" s="55" t="n"/>
      <c r="AN61" s="55" t="n"/>
      <c r="AO61" s="55" t="n"/>
      <c r="AP61" s="55"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ez_manage.py:3497 top()</t>
        </is>
      </c>
      <c r="IL61" s="9" t="inlineStr">
        <is>
          <t>v12_quick_engine.py:2232 x2</t>
        </is>
      </c>
    </row>
    <row r="62" ht="11" customHeight="1">
      <c r="A62" s="10" t="inlineStr">
        <is>
          <t>MACD_EXIT_MIN_GAIN</t>
        </is>
      </c>
      <c r="B62" s="11" t="inlineStr">
        <is>
          <t>0.5</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55" t="n"/>
      <c r="AM62" s="55" t="n"/>
      <c r="AN62" s="55" t="n"/>
      <c r="AO62" s="55" t="n"/>
      <c r="AP62" s="55"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ez_manage.py:3497 top()</t>
        </is>
      </c>
      <c r="IL62" s="9" t="inlineStr">
        <is>
          <t>v12_quick_engine.py:2232 x2</t>
        </is>
      </c>
    </row>
    <row r="63" ht="11" customHeight="1">
      <c r="A63" s="10" t="inlineStr">
        <is>
          <t>MACD_EXIT_MIN_GAIN</t>
        </is>
      </c>
      <c r="B63" s="11" t="inlineStr">
        <is>
          <t>1.0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55" t="n"/>
      <c r="AM63" s="55" t="n"/>
      <c r="AN63" s="55" t="n"/>
      <c r="AO63" s="55" t="n"/>
      <c r="AP63" s="55"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ez_manage.py:3497 top()</t>
        </is>
      </c>
      <c r="IL63" s="9" t="inlineStr">
        <is>
          <t>v12_quick_engine.py:2232 x2</t>
        </is>
      </c>
    </row>
    <row r="64" ht="11" customHeight="1">
      <c r="A64" s="10" t="inlineStr">
        <is>
          <t>MACD_EXIT_MIN_GAIN</t>
        </is>
      </c>
      <c r="B64" s="11" t="inlineStr">
        <is>
          <t>2.0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55" t="n"/>
      <c r="AM64" s="55" t="n"/>
      <c r="AN64" s="55" t="n"/>
      <c r="AO64" s="55" t="n"/>
      <c r="AP64" s="55"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ez_manage.py:3497 top()</t>
        </is>
      </c>
      <c r="IL64" s="9" t="inlineStr">
        <is>
          <t>v12_quick_engine.py:2232 x2</t>
        </is>
      </c>
    </row>
    <row r="65" ht="11" customHeight="1">
      <c r="A65" s="10" t="inlineStr">
        <is>
          <t>MACD_EXIT_TF</t>
        </is>
      </c>
      <c r="B65" s="11" t="inlineStr">
        <is>
          <t>OFF</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ez_manage.py:3498 top()</t>
        </is>
      </c>
      <c r="IL65" s="9" t="inlineStr">
        <is>
          <t>v12_quick_engine.py:2233 x2</t>
        </is>
      </c>
    </row>
    <row r="66" ht="11" customHeight="1">
      <c r="A66" s="10" t="inlineStr">
        <is>
          <t>MACD_EXIT_TF</t>
        </is>
      </c>
      <c r="B66" s="11" t="inlineStr">
        <is>
          <t>D</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ez_manage.py:3498 top()</t>
        </is>
      </c>
      <c r="IL66" s="9" t="inlineStr">
        <is>
          <t>v12_quick_engine.py:2233 x2</t>
        </is>
      </c>
    </row>
    <row r="67" ht="11" customHeight="1">
      <c r="A67" s="10" t="inlineStr">
        <is>
          <t>MACD_EXIT_TF</t>
        </is>
      </c>
      <c r="B67" s="11" t="inlineStr">
        <is>
          <t>4h</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ez_manage.py:3498 top()</t>
        </is>
      </c>
      <c r="IL67" s="9" t="inlineStr">
        <is>
          <t>v12_quick_engine.py:2233 x2</t>
        </is>
      </c>
    </row>
    <row r="68" ht="11" customHeight="1">
      <c r="A68" s="10" t="inlineStr">
        <is>
          <t>MACD_EXIT_TF</t>
        </is>
      </c>
      <c r="B68" s="11" t="inlineStr">
        <is>
          <t>1h</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ez_manage.py:3498 top()</t>
        </is>
      </c>
      <c r="IL68" s="9" t="inlineStr">
        <is>
          <t>v12_quick_engine.py:2233 x2</t>
        </is>
      </c>
    </row>
    <row r="69" ht="11" customHeight="1">
      <c r="A69" s="6" t="inlineStr">
        <is>
          <t>MACD_EXIT_TF</t>
        </is>
      </c>
      <c r="B69" s="7" t="inlineStr">
        <is>
          <t>15m</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ez_manage.py:3498 top()</t>
        </is>
      </c>
      <c r="IL69" s="9" t="inlineStr">
        <is>
          <t>v12_quick_engine.py:2233 x2</t>
        </is>
      </c>
    </row>
    <row r="70" ht="11" customHeight="1">
      <c r="A70" s="6" t="inlineStr">
        <is>
          <t>MI_DIV_EXIT_ENABLED</t>
        </is>
      </c>
      <c r="B70" s="7" t="inlineStr">
        <is>
          <t>False</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ez_manage.py:3560 top()</t>
        </is>
      </c>
      <c r="IL70" s="9" t="inlineStr">
        <is>
          <t>v12_quick_engine.py:2329 x8</t>
        </is>
      </c>
    </row>
    <row r="71" ht="11" customHeight="1">
      <c r="A71" s="10" t="inlineStr">
        <is>
          <t>MI_DIV_EXIT_ENABLED</t>
        </is>
      </c>
      <c r="B71" s="11" t="inlineStr">
        <is>
          <t>True</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ez_manage.py:3560 top()</t>
        </is>
      </c>
      <c r="IL71" s="9" t="inlineStr">
        <is>
          <t>v12_quick_engine.py:2329 x8</t>
        </is>
      </c>
    </row>
    <row r="72" ht="11" customHeight="1">
      <c r="A72" s="6" t="inlineStr">
        <is>
          <t>MI_ENTRY_ENABLED</t>
        </is>
      </c>
      <c r="B72" s="7" t="inlineStr">
        <is>
          <t>False</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55" t="n"/>
      <c r="FJ72" s="55" t="n"/>
      <c r="FK72" s="55" t="n"/>
      <c r="FL72" s="55" t="n"/>
      <c r="FM72" s="55"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ez_manage.py:4996 top()</t>
        </is>
      </c>
      <c r="IL72" s="9" t="inlineStr">
        <is>
          <t>v12_quick_engine.py:2331 x16</t>
        </is>
      </c>
    </row>
    <row r="73" ht="11" customHeight="1">
      <c r="A73" s="10" t="inlineStr">
        <is>
          <t>MI_ENTRY_ENABLED</t>
        </is>
      </c>
      <c r="B73" s="11" t="inlineStr">
        <is>
          <t>True</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55" t="n"/>
      <c r="FJ73" s="55" t="n"/>
      <c r="FK73" s="55" t="n"/>
      <c r="FL73" s="55" t="n"/>
      <c r="FM73" s="55"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ez_manage.py:4996 top()</t>
        </is>
      </c>
      <c r="IL73" s="9" t="inlineStr">
        <is>
          <t>v12_quick_engine.py:2331 x16</t>
        </is>
      </c>
    </row>
    <row r="74" ht="11" customHeight="1">
      <c r="A74" s="10" t="inlineStr">
        <is>
          <t>MI_ENTRY_EXHAUST_BONUS</t>
        </is>
      </c>
      <c r="B74" s="11" t="inlineStr">
        <is>
          <t>4</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55" t="n"/>
      <c r="FJ74" s="55" t="n"/>
      <c r="FK74" s="55" t="n"/>
      <c r="FL74" s="55" t="n"/>
      <c r="FM74" s="55"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ez_manage.py:3561 top()</t>
        </is>
      </c>
      <c r="IL74" s="9" t="inlineStr">
        <is>
          <t>v12_quick_engine.py:2333 x8</t>
        </is>
      </c>
    </row>
    <row r="75" ht="11" customHeight="1">
      <c r="A75" s="10" t="inlineStr">
        <is>
          <t>MI_ENTRY_EXHAUST_BONUS</t>
        </is>
      </c>
      <c r="B75" s="11" t="inlineStr">
        <is>
          <t>6</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55" t="n"/>
      <c r="FJ75" s="55" t="n"/>
      <c r="FK75" s="55" t="n"/>
      <c r="FL75" s="55" t="n"/>
      <c r="FM75" s="55"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ez_manage.py:3561 top()</t>
        </is>
      </c>
      <c r="IL75" s="9" t="inlineStr">
        <is>
          <t>v12_quick_engine.py:2333 x8</t>
        </is>
      </c>
    </row>
    <row r="76" ht="11" customHeight="1">
      <c r="A76" s="6" t="inlineStr">
        <is>
          <t>MI_ENTRY_EXHAUST_BONUS</t>
        </is>
      </c>
      <c r="B76" s="7" t="inlineStr">
        <is>
          <t>8</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55" t="n"/>
      <c r="FJ76" s="55" t="n"/>
      <c r="FK76" s="55" t="n"/>
      <c r="FL76" s="55" t="n"/>
      <c r="FM76" s="55"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ez_manage.py:3561 top()</t>
        </is>
      </c>
      <c r="IL76" s="9" t="inlineStr">
        <is>
          <t>v12_quick_engine.py:2333 x8</t>
        </is>
      </c>
    </row>
    <row r="77" ht="11" customHeight="1">
      <c r="A77" s="10" t="inlineStr">
        <is>
          <t>MI_ENTRY_EXHAUST_BONUS</t>
        </is>
      </c>
      <c r="B77" s="11" t="inlineStr">
        <is>
          <t>10</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55" t="n"/>
      <c r="FJ77" s="55" t="n"/>
      <c r="FK77" s="55" t="n"/>
      <c r="FL77" s="55" t="n"/>
      <c r="FM77" s="55"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ez_manage.py:3561 top()</t>
        </is>
      </c>
      <c r="IL77" s="9" t="inlineStr">
        <is>
          <t>v12_quick_engine.py:2333 x8</t>
        </is>
      </c>
    </row>
    <row r="78" ht="11" customHeight="1">
      <c r="A78" s="10" t="inlineStr">
        <is>
          <t>MI_ENTRY_EXHAUST_BONUS</t>
        </is>
      </c>
      <c r="B78" s="11" t="inlineStr">
        <is>
          <t>12</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55" t="n"/>
      <c r="FJ78" s="55" t="n"/>
      <c r="FK78" s="55" t="n"/>
      <c r="FL78" s="55" t="n"/>
      <c r="FM78" s="55"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ez_manage.py:3561 top()</t>
        </is>
      </c>
      <c r="IL78" s="9" t="inlineStr">
        <is>
          <t>v12_quick_engine.py:2333 x8</t>
        </is>
      </c>
    </row>
    <row r="79" ht="11" customHeight="1">
      <c r="A79" s="10" t="inlineStr">
        <is>
          <t>MI_ENTRY_STRUCT_BONUS</t>
        </is>
      </c>
      <c r="B79" s="11" t="inlineStr">
        <is>
          <t>5</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55" t="n"/>
      <c r="FJ79" s="55" t="n"/>
      <c r="FK79" s="55" t="n"/>
      <c r="FL79" s="55" t="n"/>
      <c r="FM79" s="55"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ez_manage.py:3562 top()</t>
        </is>
      </c>
      <c r="IL79" s="9" t="inlineStr">
        <is>
          <t>v12_quick_engine.py:2335 x8</t>
        </is>
      </c>
    </row>
    <row r="80" ht="11" customHeight="1">
      <c r="A80" s="10" t="inlineStr">
        <is>
          <t>MI_ENTRY_STRUCT_BONUS</t>
        </is>
      </c>
      <c r="B80" s="11" t="inlineStr">
        <is>
          <t>8</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55" t="n"/>
      <c r="FJ80" s="55" t="n"/>
      <c r="FK80" s="55" t="n"/>
      <c r="FL80" s="55" t="n"/>
      <c r="FM80" s="55"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ez_manage.py:3562 top()</t>
        </is>
      </c>
      <c r="IL80" s="9" t="inlineStr">
        <is>
          <t>v12_quick_engine.py:2335 x8</t>
        </is>
      </c>
    </row>
    <row r="81" ht="11" customHeight="1">
      <c r="A81" s="6" t="inlineStr">
        <is>
          <t>MI_ENTRY_STRUCT_BONUS</t>
        </is>
      </c>
      <c r="B81" s="7" t="inlineStr">
        <is>
          <t>10</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55" t="n"/>
      <c r="FJ81" s="55" t="n"/>
      <c r="FK81" s="55" t="n"/>
      <c r="FL81" s="55" t="n"/>
      <c r="FM81" s="55"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ez_manage.py:3562 top()</t>
        </is>
      </c>
      <c r="IL81" s="9" t="inlineStr">
        <is>
          <t>v12_quick_engine.py:2335 x8</t>
        </is>
      </c>
    </row>
    <row r="82" ht="11" customHeight="1">
      <c r="A82" s="10" t="inlineStr">
        <is>
          <t>MI_ENTRY_STRUCT_BONUS</t>
        </is>
      </c>
      <c r="B82" s="11" t="inlineStr">
        <is>
          <t>12</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55" t="n"/>
      <c r="FJ82" s="55" t="n"/>
      <c r="FK82" s="55" t="n"/>
      <c r="FL82" s="55" t="n"/>
      <c r="FM82" s="55"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ez_manage.py:3562 top()</t>
        </is>
      </c>
      <c r="IL82" s="9" t="inlineStr">
        <is>
          <t>v12_quick_engine.py:2335 x8</t>
        </is>
      </c>
    </row>
    <row r="83" ht="11" customHeight="1">
      <c r="A83" s="10" t="inlineStr">
        <is>
          <t>MI_ENTRY_STRUCT_BONUS</t>
        </is>
      </c>
      <c r="B83" s="11" t="inlineStr">
        <is>
          <t>15</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55" t="n"/>
      <c r="FJ83" s="55" t="n"/>
      <c r="FK83" s="55" t="n"/>
      <c r="FL83" s="55" t="n"/>
      <c r="FM83" s="55"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ez_manage.py:3562 top()</t>
        </is>
      </c>
      <c r="IL83" s="9" t="inlineStr">
        <is>
          <t>v12_quick_engine.py:2335 x8</t>
        </is>
      </c>
    </row>
    <row r="84" ht="11" customHeight="1">
      <c r="A84" s="6" t="inlineStr">
        <is>
          <t>MI_EXHAUST_EXIT_ENABLED</t>
        </is>
      </c>
      <c r="B84" s="7" t="inlineStr">
        <is>
          <t>False</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55"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ez_manage.py:3563 top()</t>
        </is>
      </c>
      <c r="IL84" s="9" t="inlineStr">
        <is>
          <t>v12_quick_engine.py:2337 x8</t>
        </is>
      </c>
    </row>
    <row r="85" ht="11" customHeight="1">
      <c r="A85" s="10" t="inlineStr">
        <is>
          <t>MI_EXHAUST_EXIT_ENABLED</t>
        </is>
      </c>
      <c r="B85" s="11" t="inlineStr">
        <is>
          <t>True</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55"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ez_manage.py:3563 top()</t>
        </is>
      </c>
      <c r="IL85" s="9" t="inlineStr">
        <is>
          <t>v12_quick_engine.py:2337 x8</t>
        </is>
      </c>
    </row>
    <row r="86" ht="11" customHeight="1">
      <c r="A86" s="10" t="inlineStr">
        <is>
          <t>REGIME_RANGING_EXIT_GAIN_MIN</t>
        </is>
      </c>
      <c r="B86" s="11" t="inlineStr">
        <is>
          <t>0.075</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ez_manage.py:5346 top()</t>
        </is>
      </c>
      <c r="IL86" s="9" t="inlineStr">
        <is>
          <t>v12_quick_engine.py:2938 x6</t>
        </is>
      </c>
    </row>
    <row r="87" ht="11" customHeight="1">
      <c r="A87" s="10" t="inlineStr">
        <is>
          <t>REGIME_RANGING_EXIT_GAIN_MIN</t>
        </is>
      </c>
      <c r="B87" s="11" t="inlineStr">
        <is>
          <t>0.1125</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ez_manage.py:5346 top()</t>
        </is>
      </c>
      <c r="IL87" s="9" t="inlineStr">
        <is>
          <t>v12_quick_engine.py:2938 x6</t>
        </is>
      </c>
    </row>
    <row r="88" ht="11" customHeight="1">
      <c r="A88" s="6" t="inlineStr">
        <is>
          <t>REGIME_RANGING_EXIT_GAIN_MIN</t>
        </is>
      </c>
      <c r="B88" s="7" t="inlineStr">
        <is>
          <t>0.15</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ez_manage.py:5346 top()</t>
        </is>
      </c>
      <c r="IL88" s="9" t="inlineStr">
        <is>
          <t>v12_quick_engine.py:2938 x6</t>
        </is>
      </c>
    </row>
    <row r="89" ht="11" customHeight="1">
      <c r="A89" s="10" t="inlineStr">
        <is>
          <t>REGIME_RANGING_EXIT_GAIN_MIN</t>
        </is>
      </c>
      <c r="B89" s="11" t="inlineStr">
        <is>
          <t>0.1875</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ez_manage.py:5346 top()</t>
        </is>
      </c>
      <c r="IL89" s="9" t="inlineStr">
        <is>
          <t>v12_quick_engine.py:2938 x6</t>
        </is>
      </c>
    </row>
    <row r="90" ht="11" customHeight="1">
      <c r="A90" s="10" t="inlineStr">
        <is>
          <t>REGIME_RANGING_EXIT_GAIN_MIN</t>
        </is>
      </c>
      <c r="B90" s="11" t="inlineStr">
        <is>
          <t>0.225</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55" t="n"/>
      <c r="AM90" s="55" t="n"/>
      <c r="AN90" s="55" t="n"/>
      <c r="AO90" s="55" t="n"/>
      <c r="AP90" s="55"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ez_manage.py:5346 top()</t>
        </is>
      </c>
      <c r="IL90" s="9" t="inlineStr">
        <is>
          <t>v12_quick_engine.py:2938 x6</t>
        </is>
      </c>
    </row>
    <row r="91" ht="11" customHeight="1">
      <c r="A91" s="10" t="inlineStr">
        <is>
          <t>REGIME_RANGING_WT_REDUCE_FRAC_LOW</t>
        </is>
      </c>
      <c r="B91" s="11" t="inlineStr">
        <is>
          <t>0.2</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55" t="n"/>
      <c r="BL91" s="55" t="n"/>
      <c r="BM91" s="55" t="n"/>
      <c r="BN91" s="55" t="n"/>
      <c r="BO91" s="55"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ez_manage.py:5356 top()</t>
        </is>
      </c>
      <c r="IL91" s="9" t="inlineStr">
        <is>
          <t>v12_quick_engine.py:2948 x4</t>
        </is>
      </c>
    </row>
    <row r="92" ht="11" customHeight="1">
      <c r="A92" s="10" t="inlineStr">
        <is>
          <t>REGIME_RANGING_WT_REDUCE_FRAC_LOW</t>
        </is>
      </c>
      <c r="B92" s="11" t="inlineStr">
        <is>
          <t>0.3</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55" t="n"/>
      <c r="BL92" s="55" t="n"/>
      <c r="BM92" s="55" t="n"/>
      <c r="BN92" s="55" t="n"/>
      <c r="BO92" s="55"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ez_manage.py:5356 top()</t>
        </is>
      </c>
      <c r="IL92" s="9" t="inlineStr">
        <is>
          <t>v12_quick_engine.py:2948 x4</t>
        </is>
      </c>
    </row>
    <row r="93" ht="11" customHeight="1">
      <c r="A93" s="6" t="inlineStr">
        <is>
          <t>REGIME_RANGING_WT_REDUCE_FRAC_LOW</t>
        </is>
      </c>
      <c r="B93" s="7" t="inlineStr">
        <is>
          <t>0.4</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55" t="n"/>
      <c r="BL93" s="55" t="n"/>
      <c r="BM93" s="55" t="n"/>
      <c r="BN93" s="55" t="n"/>
      <c r="BO93" s="55"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ez_manage.py:5356 top()</t>
        </is>
      </c>
      <c r="IL93" s="9" t="inlineStr">
        <is>
          <t>v12_quick_engine.py:2948 x4</t>
        </is>
      </c>
    </row>
    <row r="94" ht="11" customHeight="1">
      <c r="A94" s="10" t="inlineStr">
        <is>
          <t>REGIME_RANGING_WT_REDUCE_FRAC_LOW</t>
        </is>
      </c>
      <c r="B94" s="11" t="inlineStr">
        <is>
          <t>0.5</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55" t="n"/>
      <c r="BL94" s="55" t="n"/>
      <c r="BM94" s="55" t="n"/>
      <c r="BN94" s="55" t="n"/>
      <c r="BO94" s="55"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55" t="n"/>
      <c r="DJ94" s="55" t="n"/>
      <c r="DK94" s="55" t="n"/>
      <c r="DL94" s="55" t="n"/>
      <c r="DM94" s="55"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ez_manage.py:5356 top()</t>
        </is>
      </c>
      <c r="IL94" s="9" t="inlineStr">
        <is>
          <t>v12_quick_engine.py:2948 x4</t>
        </is>
      </c>
    </row>
    <row r="95" ht="11" customHeight="1">
      <c r="A95" s="10" t="inlineStr">
        <is>
          <t>REGIME_RANGING_WT_REDUCE_FRAC_LOW</t>
        </is>
      </c>
      <c r="B95" s="11" t="inlineStr">
        <is>
          <t>0.6</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55" t="n"/>
      <c r="BL95" s="55" t="n"/>
      <c r="BM95" s="55" t="n"/>
      <c r="BN95" s="55" t="n"/>
      <c r="BO95" s="55"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55" t="n"/>
      <c r="DJ95" s="55" t="n"/>
      <c r="DK95" s="55" t="n"/>
      <c r="DL95" s="55" t="n"/>
      <c r="DM95" s="55"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ez_manage.py:5356 top()</t>
        </is>
      </c>
      <c r="IL95" s="9" t="inlineStr">
        <is>
          <t>v12_quick_engine.py:2948 x4</t>
        </is>
      </c>
    </row>
    <row r="96" ht="11" customHeight="1">
      <c r="A96" s="6" t="inlineStr">
        <is>
          <t>WT_EXHAUST_ENTRY_GATE_ENABLED</t>
        </is>
      </c>
      <c r="B96" s="7" t="inlineStr">
        <is>
          <t>False</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55" t="n"/>
      <c r="FJ96" s="55" t="n"/>
      <c r="FK96" s="55" t="n"/>
      <c r="FL96" s="55" t="n"/>
      <c r="FM96" s="55"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ez_manage.py:5914 top()</t>
        </is>
      </c>
      <c r="IL96" s="9" t="inlineStr">
        <is>
          <t>v12_quick_engine.py:3750 x2</t>
        </is>
      </c>
    </row>
    <row r="97" ht="11" customHeight="1">
      <c r="A97" s="10" t="inlineStr">
        <is>
          <t>WT_EXHAUST_ENTRY_GATE_ENABLED</t>
        </is>
      </c>
      <c r="B97" s="11" t="inlineStr">
        <is>
          <t>True</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55" t="n"/>
      <c r="FJ97" s="55" t="n"/>
      <c r="FK97" s="55" t="n"/>
      <c r="FL97" s="55" t="n"/>
      <c r="FM97" s="55"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ez_manage.py:5914 top()</t>
        </is>
      </c>
      <c r="IL97" s="9" t="inlineStr">
        <is>
          <t>v12_quick_engine.py:3750 x2</t>
        </is>
      </c>
    </row>
    <row r="98" ht="11" customHeight="1">
      <c r="A98" s="10" t="inlineStr">
        <is>
          <t>WT_EXHAUST_EXIT_MIN_GAIN_PCT</t>
        </is>
      </c>
      <c r="B98" s="11" t="inlineStr">
        <is>
          <t>0</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55" t="n"/>
      <c r="AM98" s="55" t="n"/>
      <c r="AN98" s="55" t="n"/>
      <c r="AO98" s="55" t="n"/>
      <c r="AP98" s="55"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55"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ez_manage.py:5916 top()</t>
        </is>
      </c>
      <c r="IL98" s="9" t="inlineStr">
        <is>
          <t>v12_quick_engine.py:3752 x3</t>
        </is>
      </c>
    </row>
    <row r="99" ht="11" customHeight="1">
      <c r="A99" s="10" t="inlineStr">
        <is>
          <t>WT_EXHAUST_EXIT_MIN_GAIN_PCT</t>
        </is>
      </c>
      <c r="B99" s="11" t="inlineStr">
        <is>
          <t>0.5</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55" t="n"/>
      <c r="AM99" s="55" t="n"/>
      <c r="AN99" s="55" t="n"/>
      <c r="AO99" s="55" t="n"/>
      <c r="AP99" s="55"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55"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ez_manage.py:5916 top()</t>
        </is>
      </c>
      <c r="IL99" s="9" t="inlineStr">
        <is>
          <t>v12_quick_engine.py:3752 x3</t>
        </is>
      </c>
    </row>
    <row r="100" ht="11" customHeight="1">
      <c r="A100" s="10" t="inlineStr">
        <is>
          <t>WT_EXHAUST_EXIT_MIN_GAIN_PCT</t>
        </is>
      </c>
      <c r="B100" s="11" t="inlineStr">
        <is>
          <t>1.0</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55" t="n"/>
      <c r="AM100" s="55" t="n"/>
      <c r="AN100" s="55" t="n"/>
      <c r="AO100" s="55" t="n"/>
      <c r="AP100" s="55"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55"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ez_manage.py:5916 top()</t>
        </is>
      </c>
      <c r="IL100" s="9" t="inlineStr">
        <is>
          <t>v12_quick_engine.py:3752 x3</t>
        </is>
      </c>
    </row>
    <row r="101" ht="11" customHeight="1">
      <c r="A101" s="10" t="inlineStr">
        <is>
          <t>WT_EXHAUST_EXIT_MIN_GAIN_PCT</t>
        </is>
      </c>
      <c r="B101" s="11" t="inlineStr">
        <is>
          <t>2.0</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55" t="n"/>
      <c r="AM101" s="55" t="n"/>
      <c r="AN101" s="55" t="n"/>
      <c r="AO101" s="55" t="n"/>
      <c r="AP101" s="55"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55"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ez_manage.py:5916 top()</t>
        </is>
      </c>
      <c r="IL101" s="9" t="inlineStr">
        <is>
          <t>v12_quick_engine.py:3752 x3</t>
        </is>
      </c>
    </row>
    <row r="102" ht="11" customHeight="1">
      <c r="A102" s="10" t="inlineStr">
        <is>
          <t>WT_EXHAUST_EXIT_REQUIRE_GAIN</t>
        </is>
      </c>
      <c r="B102" s="11" t="inlineStr">
        <is>
          <t>0</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55" t="n"/>
      <c r="AM102" s="55" t="n"/>
      <c r="AN102" s="55" t="n"/>
      <c r="AO102" s="55" t="n"/>
      <c r="AP102" s="55"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55"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ez_manage.py:5917 top()</t>
        </is>
      </c>
      <c r="IL102" s="9" t="inlineStr">
        <is>
          <t>v12_quick_engine.py:3753 x3</t>
        </is>
      </c>
    </row>
    <row r="103" ht="11" customHeight="1">
      <c r="A103" s="10" t="inlineStr">
        <is>
          <t>WT_EXHAUST_EXIT_REQUIRE_GAIN</t>
        </is>
      </c>
      <c r="B103" s="11" t="inlineStr">
        <is>
          <t>0.5</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55" t="n"/>
      <c r="AM103" s="55" t="n"/>
      <c r="AN103" s="55" t="n"/>
      <c r="AO103" s="55" t="n"/>
      <c r="AP103" s="55"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55"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ez_manage.py:5917 top()</t>
        </is>
      </c>
      <c r="IL103" s="9" t="inlineStr">
        <is>
          <t>v12_quick_engine.py:3753 x3</t>
        </is>
      </c>
    </row>
    <row r="104" ht="11" customHeight="1">
      <c r="A104" s="10" t="inlineStr">
        <is>
          <t>WT_EXHAUST_EXIT_REQUIRE_GAIN</t>
        </is>
      </c>
      <c r="B104" s="11" t="inlineStr">
        <is>
          <t>1.0</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55" t="n"/>
      <c r="AM104" s="55" t="n"/>
      <c r="AN104" s="55" t="n"/>
      <c r="AO104" s="55" t="n"/>
      <c r="AP104" s="55"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55"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ez_manage.py:5917 top()</t>
        </is>
      </c>
      <c r="IL104" s="9" t="inlineStr">
        <is>
          <t>v12_quick_engine.py:3753 x3</t>
        </is>
      </c>
    </row>
    <row r="105" ht="11" customHeight="1">
      <c r="A105" s="10" t="inlineStr">
        <is>
          <t>WT_EXHAUST_EXIT_REQUIRE_GAIN</t>
        </is>
      </c>
      <c r="B105" s="11" t="inlineStr">
        <is>
          <t>2.0</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55" t="n"/>
      <c r="AM105" s="55" t="n"/>
      <c r="AN105" s="55" t="n"/>
      <c r="AO105" s="55" t="n"/>
      <c r="AP105" s="55"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55"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ez_manage.py:5917 top()</t>
        </is>
      </c>
      <c r="IL105" s="9" t="inlineStr">
        <is>
          <t>v12_quick_engine.py:3753 x3</t>
        </is>
      </c>
    </row>
    <row r="106" ht="11" customHeight="1">
      <c r="A106" s="6" t="inlineStr">
        <is>
          <t>WT_PERCENTILE_ENTRY_GATE_ENABLED</t>
        </is>
      </c>
      <c r="B106" s="7" t="inlineStr">
        <is>
          <t>False</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55" t="n"/>
      <c r="FJ106" s="55" t="n"/>
      <c r="FK106" s="55" t="n"/>
      <c r="FL106" s="55" t="n"/>
      <c r="FM106" s="55"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ez_manage.py:5924 top()</t>
        </is>
      </c>
      <c r="IL106" s="9" t="inlineStr">
        <is>
          <t>v12_quick_engine.py:3764 x2</t>
        </is>
      </c>
    </row>
    <row r="107" ht="11" customHeight="1">
      <c r="A107" s="10" t="inlineStr">
        <is>
          <t>WT_PERCENTILE_ENTRY_GATE_ENABLED</t>
        </is>
      </c>
      <c r="B107" s="11" t="inlineStr">
        <is>
          <t>True</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55" t="n"/>
      <c r="FJ107" s="55" t="n"/>
      <c r="FK107" s="55" t="n"/>
      <c r="FL107" s="55" t="n"/>
      <c r="FM107" s="55"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ez_manage.py:5924 top()</t>
        </is>
      </c>
      <c r="IL107" s="9" t="inlineStr">
        <is>
          <t>v12_quick_engine.py:3764 x2</t>
        </is>
      </c>
    </row>
    <row r="108" ht="11" customHeight="1">
      <c r="A108" s="10" t="inlineStr">
        <is>
          <t>WT_PERCENTILE_ENTRY_OB_D</t>
        </is>
      </c>
      <c r="B108" s="11" t="inlineStr">
        <is>
          <t>45.0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55" t="n"/>
      <c r="FJ108" s="55" t="n"/>
      <c r="FK108" s="55" t="n"/>
      <c r="FL108" s="55" t="n"/>
      <c r="FM108" s="55"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ez_manage.py:5925 top()</t>
        </is>
      </c>
      <c r="IL108" s="9" t="inlineStr">
        <is>
          <t>v12_quick_engine.py:3765 x2</t>
        </is>
      </c>
    </row>
    <row r="109" ht="11" customHeight="1">
      <c r="A109" s="10" t="inlineStr">
        <is>
          <t>WT_PERCENTILE_ENTRY_OB_D</t>
        </is>
      </c>
      <c r="B109" s="11" t="inlineStr">
        <is>
          <t>67.5</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55" t="n"/>
      <c r="FJ109" s="55" t="n"/>
      <c r="FK109" s="55" t="n"/>
      <c r="FL109" s="55" t="n"/>
      <c r="FM109" s="55"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ez_manage.py:5925 top()</t>
        </is>
      </c>
      <c r="IL109" s="9" t="inlineStr">
        <is>
          <t>v12_quick_engine.py:3765 x2</t>
        </is>
      </c>
    </row>
    <row r="110" ht="11" customHeight="1">
      <c r="A110" s="6" t="inlineStr">
        <is>
          <t>WT_PERCENTILE_ENTRY_OB_D</t>
        </is>
      </c>
      <c r="B110" s="7" t="inlineStr">
        <is>
          <t>90.0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55" t="n"/>
      <c r="FJ110" s="55" t="n"/>
      <c r="FK110" s="55" t="n"/>
      <c r="FL110" s="55" t="n"/>
      <c r="FM110" s="55"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ez_manage.py:5925 top()</t>
        </is>
      </c>
      <c r="IL110" s="9" t="inlineStr">
        <is>
          <t>v12_quick_engine.py:3765 x2</t>
        </is>
      </c>
    </row>
    <row r="111" ht="11" customHeight="1">
      <c r="A111" s="10" t="inlineStr">
        <is>
          <t>WT_PERCENTILE_ENTRY_OB_D</t>
        </is>
      </c>
      <c r="B111" s="11" t="inlineStr">
        <is>
          <t>112.5</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55" t="n"/>
      <c r="FJ111" s="55" t="n"/>
      <c r="FK111" s="55" t="n"/>
      <c r="FL111" s="55" t="n"/>
      <c r="FM111" s="55"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ez_manage.py:5925 top()</t>
        </is>
      </c>
      <c r="IL111" s="9" t="inlineStr">
        <is>
          <t>v12_quick_engine.py:3765 x2</t>
        </is>
      </c>
    </row>
    <row r="112" ht="11" customHeight="1">
      <c r="A112" s="10" t="inlineStr">
        <is>
          <t>WT_PERCENTILE_ENTRY_OB_D</t>
        </is>
      </c>
      <c r="B112" s="11" t="inlineStr">
        <is>
          <t>135.0</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55" t="n"/>
      <c r="FJ112" s="55" t="n"/>
      <c r="FK112" s="55" t="n"/>
      <c r="FL112" s="55" t="n"/>
      <c r="FM112" s="55"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ez_manage.py:5925 top()</t>
        </is>
      </c>
      <c r="IL112" s="9" t="inlineStr">
        <is>
          <t>v12_quick_engine.py:3765 x2</t>
        </is>
      </c>
    </row>
    <row r="113" ht="11" customHeight="1">
      <c r="A113" s="10" t="inlineStr">
        <is>
          <t>WT_PERCENTILE_ENTRY_OS_D</t>
        </is>
      </c>
      <c r="B113" s="11" t="inlineStr">
        <is>
          <t>5.0</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55" t="n"/>
      <c r="FJ113" s="55" t="n"/>
      <c r="FK113" s="55" t="n"/>
      <c r="FL113" s="55" t="n"/>
      <c r="FM113" s="55"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ez_manage.py:5926 top()</t>
        </is>
      </c>
      <c r="IL113" s="9" t="inlineStr">
        <is>
          <t>v12_quick_engine.py:3766 x2</t>
        </is>
      </c>
    </row>
    <row r="114" ht="11" customHeight="1">
      <c r="A114" s="10" t="inlineStr">
        <is>
          <t>WT_PERCENTILE_ENTRY_OS_D</t>
        </is>
      </c>
      <c r="B114" s="11" t="inlineStr">
        <is>
          <t>7.5</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55" t="n"/>
      <c r="FJ114" s="55" t="n"/>
      <c r="FK114" s="55" t="n"/>
      <c r="FL114" s="55" t="n"/>
      <c r="FM114" s="55"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ez_manage.py:5926 top()</t>
        </is>
      </c>
      <c r="IL114" s="9" t="inlineStr">
        <is>
          <t>v12_quick_engine.py:3766 x2</t>
        </is>
      </c>
    </row>
    <row r="115" ht="11" customHeight="1">
      <c r="A115" s="6" t="inlineStr">
        <is>
          <t>WT_PERCENTILE_ENTRY_OS_D</t>
        </is>
      </c>
      <c r="B115" s="7" t="inlineStr">
        <is>
          <t>10.0</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55" t="n"/>
      <c r="FJ115" s="55" t="n"/>
      <c r="FK115" s="55" t="n"/>
      <c r="FL115" s="55" t="n"/>
      <c r="FM115" s="55"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ez_manage.py:5926 top()</t>
        </is>
      </c>
      <c r="IL115" s="9" t="inlineStr">
        <is>
          <t>v12_quick_engine.py:3766 x2</t>
        </is>
      </c>
    </row>
    <row r="116" ht="11" customHeight="1">
      <c r="A116" s="10" t="inlineStr">
        <is>
          <t>WT_PERCENTILE_ENTRY_OS_D</t>
        </is>
      </c>
      <c r="B116" s="11" t="inlineStr">
        <is>
          <t>12.5</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55" t="n"/>
      <c r="FJ116" s="55" t="n"/>
      <c r="FK116" s="55" t="n"/>
      <c r="FL116" s="55" t="n"/>
      <c r="FM116" s="55"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ez_manage.py:5926 top()</t>
        </is>
      </c>
      <c r="IL116" s="9" t="inlineStr">
        <is>
          <t>v12_quick_engine.py:3766 x2</t>
        </is>
      </c>
    </row>
    <row r="117" ht="11" customHeight="1">
      <c r="A117" s="10" t="inlineStr">
        <is>
          <t>WT_PERCENTILE_ENTRY_OS_D</t>
        </is>
      </c>
      <c r="B117" s="11" t="inlineStr">
        <is>
          <t>15.0</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55" t="n"/>
      <c r="FJ117" s="55" t="n"/>
      <c r="FK117" s="55" t="n"/>
      <c r="FL117" s="55" t="n"/>
      <c r="FM117" s="55"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ez_manage.py:5926 top()</t>
        </is>
      </c>
      <c r="IL117" s="9" t="inlineStr">
        <is>
          <t>v12_quick_engine.py:3766 x2</t>
        </is>
      </c>
    </row>
    <row r="118" ht="11" customHeight="1">
      <c r="A118" s="10" t="inlineStr">
        <is>
          <t>WT_PERCENTILE_EXIT_OB_4H</t>
        </is>
      </c>
      <c r="B118" s="11" t="inlineStr">
        <is>
          <t>0</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55"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ez_manage.py:5928 top()</t>
        </is>
      </c>
      <c r="IL118" s="9" t="inlineStr">
        <is>
          <t>v12_quick_engine.py:3768 x5</t>
        </is>
      </c>
    </row>
    <row r="119" ht="11" customHeight="1">
      <c r="A119" s="10" t="inlineStr">
        <is>
          <t>WT_PERCENTILE_EXIT_OB_4H</t>
        </is>
      </c>
      <c r="B119" s="11" t="inlineStr">
        <is>
          <t>0.5</t>
        </is>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55"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ez_manage.py:5928 top()</t>
        </is>
      </c>
      <c r="IL119" s="9" t="inlineStr">
        <is>
          <t>v12_quick_engine.py:3768 x5</t>
        </is>
      </c>
    </row>
    <row r="120" ht="11" customHeight="1">
      <c r="A120" s="10" t="inlineStr">
        <is>
          <t>WT_PERCENTILE_EXIT_OB_4H</t>
        </is>
      </c>
      <c r="B120" s="11" t="inlineStr">
        <is>
          <t>1.0</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55"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ez_manage.py:5928 top()</t>
        </is>
      </c>
      <c r="IL120" s="9" t="inlineStr">
        <is>
          <t>v12_quick_engine.py:3768 x5</t>
        </is>
      </c>
    </row>
    <row r="121" ht="11" customHeight="1">
      <c r="A121" s="10" t="inlineStr">
        <is>
          <t>WT_PERCENTILE_EXIT_OB_4H</t>
        </is>
      </c>
      <c r="B121" s="11" t="inlineStr">
        <is>
          <t>2.0</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55"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ez_manage.py:5928 top()</t>
        </is>
      </c>
      <c r="IL121" s="9" t="inlineStr">
        <is>
          <t>v12_quick_engine.py:3768 x5</t>
        </is>
      </c>
    </row>
    <row r="122" ht="11" customHeight="1">
      <c r="A122" s="10" t="inlineStr">
        <is>
          <t>WT_PERCENTILE_EXIT_OB_D</t>
        </is>
      </c>
      <c r="B122" s="11" t="inlineStr">
        <is>
          <t>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55"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ez_manage.py:5929 top()</t>
        </is>
      </c>
      <c r="IL122" s="9" t="inlineStr">
        <is>
          <t>v12_quick_engine.py:3769 x3</t>
        </is>
      </c>
    </row>
    <row r="123" ht="11" customHeight="1">
      <c r="A123" s="10" t="inlineStr">
        <is>
          <t>WT_PERCENTILE_EXIT_OB_D</t>
        </is>
      </c>
      <c r="B123" s="11" t="inlineStr">
        <is>
          <t>0.5</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55"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ez_manage.py:5929 top()</t>
        </is>
      </c>
      <c r="IL123" s="9" t="inlineStr">
        <is>
          <t>v12_quick_engine.py:3769 x3</t>
        </is>
      </c>
    </row>
    <row r="124" ht="11" customHeight="1">
      <c r="A124" s="10" t="inlineStr">
        <is>
          <t>WT_PERCENTILE_EXIT_OB_D</t>
        </is>
      </c>
      <c r="B124" s="11" t="inlineStr">
        <is>
          <t>1.0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55"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ez_manage.py:5929 top()</t>
        </is>
      </c>
      <c r="IL124" s="9" t="inlineStr">
        <is>
          <t>v12_quick_engine.py:3769 x3</t>
        </is>
      </c>
    </row>
    <row r="125" ht="11" customHeight="1">
      <c r="A125" s="10" t="inlineStr">
        <is>
          <t>WT_PERCENTILE_EXIT_OB_D</t>
        </is>
      </c>
      <c r="B125" s="11" t="inlineStr">
        <is>
          <t>2.0</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55"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ez_manage.py:5929 top()</t>
        </is>
      </c>
      <c r="IL125" s="9" t="inlineStr">
        <is>
          <t>v12_quick_engine.py:3769 x3</t>
        </is>
      </c>
    </row>
    <row r="126" ht="11" customHeight="1">
      <c r="A126" s="10" t="inlineStr">
        <is>
          <t>WT_PERCENTILE_EXIT_OS_4H</t>
        </is>
      </c>
      <c r="B126" s="11" t="inlineStr">
        <is>
          <t>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ez_manage.py:5930 top()</t>
        </is>
      </c>
      <c r="IL126" s="9" t="inlineStr">
        <is>
          <t>v12_quick_engine.py:3770 x5</t>
        </is>
      </c>
    </row>
    <row r="127" ht="11" customHeight="1">
      <c r="A127" s="10" t="inlineStr">
        <is>
          <t>WT_PERCENTILE_EXIT_OS_4H</t>
        </is>
      </c>
      <c r="B127" s="11" t="inlineStr">
        <is>
          <t>0.5</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ez_manage.py:5930 top()</t>
        </is>
      </c>
      <c r="IL127" s="9" t="inlineStr">
        <is>
          <t>v12_quick_engine.py:3770 x5</t>
        </is>
      </c>
    </row>
    <row r="128" ht="11" customHeight="1">
      <c r="A128" s="10" t="inlineStr">
        <is>
          <t>WT_PERCENTILE_EXIT_OS_4H</t>
        </is>
      </c>
      <c r="B128" s="11" t="inlineStr">
        <is>
          <t>1.0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ez_manage.py:5930 top()</t>
        </is>
      </c>
      <c r="IL128" s="9" t="inlineStr">
        <is>
          <t>v12_quick_engine.py:3770 x5</t>
        </is>
      </c>
    </row>
    <row r="129" ht="11" customHeight="1">
      <c r="A129" s="10" t="inlineStr">
        <is>
          <t>WT_PERCENTILE_EXIT_OS_4H</t>
        </is>
      </c>
      <c r="B129" s="11" t="inlineStr">
        <is>
          <t>2.0</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ez_manage.py:5930 top()</t>
        </is>
      </c>
      <c r="IL129" s="9" t="inlineStr">
        <is>
          <t>v12_quick_engine.py:3770 x5</t>
        </is>
      </c>
    </row>
    <row r="130" ht="11" customHeight="1">
      <c r="A130" s="10" t="inlineStr">
        <is>
          <t>WT_PERCENTILE_EXIT_OS_D</t>
        </is>
      </c>
      <c r="B130" s="11" t="inlineStr">
        <is>
          <t>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ez_manage.py:5931 top()</t>
        </is>
      </c>
      <c r="IL130" s="9" t="inlineStr">
        <is>
          <t>v12_quick_engine.py:3771 x3</t>
        </is>
      </c>
    </row>
    <row r="131" ht="11" customHeight="1">
      <c r="A131" s="10" t="inlineStr">
        <is>
          <t>WT_PERCENTILE_EXIT_OS_D</t>
        </is>
      </c>
      <c r="B131" s="11" t="inlineStr">
        <is>
          <t>0.5</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ez_manage.py:5931 top()</t>
        </is>
      </c>
      <c r="IL131" s="9" t="inlineStr">
        <is>
          <t>v12_quick_engine.py:3771 x3</t>
        </is>
      </c>
    </row>
    <row r="132" ht="11" customHeight="1">
      <c r="A132" s="10" t="inlineStr">
        <is>
          <t>WT_PERCENTILE_EXIT_OS_D</t>
        </is>
      </c>
      <c r="B132" s="11" t="inlineStr">
        <is>
          <t>1.0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ez_manage.py:5931 top()</t>
        </is>
      </c>
      <c r="IL132" s="9" t="inlineStr">
        <is>
          <t>v12_quick_engine.py:3771 x3</t>
        </is>
      </c>
    </row>
    <row r="133" ht="11" customHeight="1">
      <c r="A133" s="10" t="inlineStr">
        <is>
          <t>WT_PERCENTILE_EXIT_OS_D</t>
        </is>
      </c>
      <c r="B133" s="11" t="inlineStr">
        <is>
          <t>2.0</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ez_manage.py:5931 top()</t>
        </is>
      </c>
      <c r="IL133" s="9" t="inlineStr">
        <is>
          <t>v12_quick_engine.py:3771 x3</t>
        </is>
      </c>
    </row>
    <row r="134" ht="11" customHeight="1">
      <c r="A134" s="10" t="inlineStr">
        <is>
          <t>WT_REDUCE_FRAC_HIGH</t>
        </is>
      </c>
      <c r="B134" s="11" t="inlineStr">
        <is>
          <t>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55" t="n"/>
      <c r="BL134" s="55" t="n"/>
      <c r="BM134" s="55" t="n"/>
      <c r="BN134" s="55" t="n"/>
      <c r="BO134" s="55"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ez_manage.py:4307 top()</t>
        </is>
      </c>
      <c r="IL134" s="9" t="inlineStr">
        <is>
          <t>v12_quick_engine.py:3772 x2</t>
        </is>
      </c>
    </row>
    <row r="135" ht="11" customHeight="1">
      <c r="A135" s="10" t="inlineStr">
        <is>
          <t>WT_REDUCE_FRAC_HIGH</t>
        </is>
      </c>
      <c r="B135" s="11" t="inlineStr">
        <is>
          <t>0.5</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55" t="n"/>
      <c r="BL135" s="55" t="n"/>
      <c r="BM135" s="55" t="n"/>
      <c r="BN135" s="55" t="n"/>
      <c r="BO135" s="55"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ez_manage.py:4307 top()</t>
        </is>
      </c>
      <c r="IL135" s="9" t="inlineStr">
        <is>
          <t>v12_quick_engine.py:3772 x2</t>
        </is>
      </c>
    </row>
    <row r="136" ht="11" customHeight="1">
      <c r="A136" s="10" t="inlineStr">
        <is>
          <t>WT_REDUCE_FRAC_HIGH</t>
        </is>
      </c>
      <c r="B136" s="11" t="inlineStr">
        <is>
          <t>1.0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55" t="n"/>
      <c r="BL136" s="55" t="n"/>
      <c r="BM136" s="55" t="n"/>
      <c r="BN136" s="55" t="n"/>
      <c r="BO136" s="55"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ez_manage.py:4307 top()</t>
        </is>
      </c>
      <c r="IL136" s="9" t="inlineStr">
        <is>
          <t>v12_quick_engine.py:3772 x2</t>
        </is>
      </c>
    </row>
    <row r="137" ht="11" customHeight="1">
      <c r="A137" s="10" t="inlineStr">
        <is>
          <t>WT_REDUCE_FRAC_HIGH</t>
        </is>
      </c>
      <c r="B137" s="11" t="inlineStr">
        <is>
          <t>2.0</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55" t="n"/>
      <c r="BL137" s="55" t="n"/>
      <c r="BM137" s="55" t="n"/>
      <c r="BN137" s="55" t="n"/>
      <c r="BO137" s="55"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ez_manage.py:4307 top()</t>
        </is>
      </c>
      <c r="IL137" s="9" t="inlineStr">
        <is>
          <t>v12_quick_engine.py:3772 x2</t>
        </is>
      </c>
    </row>
    <row r="138" ht="11" customHeight="1">
      <c r="A138" s="10" t="inlineStr">
        <is>
          <t>WT_REDUCE_FRAC_LOW</t>
        </is>
      </c>
      <c r="B138" s="11" t="inlineStr">
        <is>
          <t>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55" t="n"/>
      <c r="BL138" s="55" t="n"/>
      <c r="BM138" s="55" t="n"/>
      <c r="BN138" s="55" t="n"/>
      <c r="BO138" s="55"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ez_manage.py:4308 top()</t>
        </is>
      </c>
      <c r="IL138" s="9" t="inlineStr">
        <is>
          <t>v12_quick_engine.py:2948 x10</t>
        </is>
      </c>
    </row>
    <row r="139" ht="11" customHeight="1">
      <c r="A139" s="10" t="inlineStr">
        <is>
          <t>WT_REDUCE_FRAC_LOW</t>
        </is>
      </c>
      <c r="B139" s="11" t="inlineStr">
        <is>
          <t>0.5</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55" t="n"/>
      <c r="BL139" s="55" t="n"/>
      <c r="BM139" s="55" t="n"/>
      <c r="BN139" s="55" t="n"/>
      <c r="BO139" s="55"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ez_manage.py:4308 top()</t>
        </is>
      </c>
      <c r="IL139" s="9" t="inlineStr">
        <is>
          <t>v12_quick_engine.py:2948 x10</t>
        </is>
      </c>
    </row>
    <row r="140" ht="11" customHeight="1">
      <c r="A140" s="10" t="inlineStr">
        <is>
          <t>WT_REDUCE_FRAC_LOW</t>
        </is>
      </c>
      <c r="B140" s="11" t="inlineStr">
        <is>
          <t>1.0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55" t="n"/>
      <c r="BL140" s="55" t="n"/>
      <c r="BM140" s="55" t="n"/>
      <c r="BN140" s="55" t="n"/>
      <c r="BO140" s="55"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ez_manage.py:4308 top()</t>
        </is>
      </c>
      <c r="IL140" s="9" t="inlineStr">
        <is>
          <t>v12_quick_engine.py:2948 x10</t>
        </is>
      </c>
    </row>
    <row r="141" ht="11" customHeight="1">
      <c r="A141" s="10" t="inlineStr">
        <is>
          <t>WT_REDUCE_FRAC_LOW</t>
        </is>
      </c>
      <c r="B141" s="11" t="inlineStr">
        <is>
          <t>2.0</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55" t="n"/>
      <c r="BL141" s="55" t="n"/>
      <c r="BM141" s="55" t="n"/>
      <c r="BN141" s="55" t="n"/>
      <c r="BO141" s="55"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ez_manage.py:4308 top()</t>
        </is>
      </c>
      <c r="IL141" s="9" t="inlineStr">
        <is>
          <t>v12_quick_engine.py:2948 x10</t>
        </is>
      </c>
    </row>
    <row r="142" ht="11" customHeight="1">
      <c r="A142" s="10" t="inlineStr">
        <is>
          <t>WT_REDUCE_FRAC_MED</t>
        </is>
      </c>
      <c r="B142" s="11" t="inlineStr">
        <is>
          <t>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55" t="n"/>
      <c r="BL142" s="55" t="n"/>
      <c r="BM142" s="55" t="n"/>
      <c r="BN142" s="55" t="n"/>
      <c r="BO142" s="55"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ez_manage.py:4309 top()</t>
        </is>
      </c>
      <c r="IL142" s="9" t="inlineStr">
        <is>
          <t>v12_quick_engine.py:2949 x14</t>
        </is>
      </c>
    </row>
    <row r="143" ht="11" customHeight="1">
      <c r="A143" s="10" t="inlineStr">
        <is>
          <t>WT_REDUCE_FRAC_MED</t>
        </is>
      </c>
      <c r="B143" s="11" t="inlineStr">
        <is>
          <t>0.5</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55" t="n"/>
      <c r="BL143" s="55" t="n"/>
      <c r="BM143" s="55" t="n"/>
      <c r="BN143" s="55" t="n"/>
      <c r="BO143" s="55"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ez_manage.py:4309 top()</t>
        </is>
      </c>
      <c r="IL143" s="9" t="inlineStr">
        <is>
          <t>v12_quick_engine.py:2949 x14</t>
        </is>
      </c>
    </row>
    <row r="144" ht="11" customHeight="1">
      <c r="A144" s="10" t="inlineStr">
        <is>
          <t>WT_REDUCE_FRAC_MED</t>
        </is>
      </c>
      <c r="B144" s="11" t="inlineStr">
        <is>
          <t>1.0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55" t="n"/>
      <c r="BL144" s="55" t="n"/>
      <c r="BM144" s="55" t="n"/>
      <c r="BN144" s="55" t="n"/>
      <c r="BO144" s="55"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ez_manage.py:4309 top()</t>
        </is>
      </c>
      <c r="IL144" s="9" t="inlineStr">
        <is>
          <t>v12_quick_engine.py:2949 x14</t>
        </is>
      </c>
    </row>
    <row r="145" ht="11" customHeight="1">
      <c r="A145" s="10" t="inlineStr">
        <is>
          <t>WT_REDUCE_FRAC_MED</t>
        </is>
      </c>
      <c r="B145" s="11" t="inlineStr">
        <is>
          <t>2.0</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55" t="n"/>
      <c r="BL145" s="55" t="n"/>
      <c r="BM145" s="55" t="n"/>
      <c r="BN145" s="55" t="n"/>
      <c r="BO145" s="55"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ez_manage.py:4309 top()</t>
        </is>
      </c>
      <c r="IL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G147" s="62" t="inlineStr">
        <is>
          <t>Rec</t>
        </is>
      </c>
      <c r="H147" s="62" t="inlineStr">
        <is>
          <t>Tested As</t>
        </is>
      </c>
      <c r="I147" s="62" t="inlineStr">
        <is>
          <t>Notes</t>
        </is>
      </c>
    </row>
    <row r="148">
      <c r="A148" s="63" t="inlineStr">
        <is>
          <t>ADX_RANGING_THRESHOLD</t>
        </is>
      </c>
      <c r="B148" s="56" t="inlineStr">
        <is>
          <t>20</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ADX_RANGING_THRESHOLD</t>
        </is>
      </c>
      <c r="B149" s="56" t="inlineStr">
        <is>
          <t>25</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ADX_RANGING_THRESHOLD</t>
        </is>
      </c>
      <c r="B150" s="56" t="inlineStr">
        <is>
          <t>15</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ADX_RANGING_THRESHOLD</t>
        </is>
      </c>
      <c r="B151" s="56" t="inlineStr">
        <is>
          <t>10</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BANDAID_OFF_LOSER_RECOVER_PCT</t>
        </is>
      </c>
      <c r="B152" s="56" t="inlineStr">
        <is>
          <t>0</t>
        </is>
      </c>
      <c r="C152" s="56" t="n"/>
      <c r="D152" s="56" t="inlineStr">
        <is>
          <t>AUGMENT, ENTRY, EXIT, GLOBAL_CHECK, REDUCE, STOCKS_EXIT</t>
        </is>
      </c>
      <c r="E152" s="56">
        <f>IF(G152="",E151,IF(G152&gt;0,E151+G152,E151))</f>
        <v/>
      </c>
      <c r="G152" s="56">
        <f>IFERROR(VLOOKUP($A152&amp;"="&amp;$B152,Results_Deltas!$A$2:$P$15000,5,FALSE),"")</f>
        <v/>
      </c>
      <c r="H152" s="56" t="inlineStr">
        <is>
          <t>Blanket (page end)</t>
        </is>
      </c>
    </row>
    <row r="153">
      <c r="A153" s="63" t="inlineStr">
        <is>
          <t>BANDAID_OFF_LOSER_RECOVER_PCT</t>
        </is>
      </c>
      <c r="B153" s="56" t="inlineStr">
        <is>
          <t>2.0</t>
        </is>
      </c>
      <c r="C153" s="56" t="n"/>
      <c r="D153" s="56" t="inlineStr">
        <is>
          <t>AUGMENT, ENTRY, EXIT, GLOBAL_CHECK, REDUCE, STOCKS_EXIT</t>
        </is>
      </c>
      <c r="E153" s="56">
        <f>IF(G153="",E152,IF(G153&gt;0,E152+G153,E152))</f>
        <v/>
      </c>
      <c r="G153" s="56">
        <f>IFERROR(VLOOKUP($A153&amp;"="&amp;$B153,Results_Deltas!$A$2:$P$15000,5,FALSE),"")</f>
        <v/>
      </c>
      <c r="H153" s="56" t="inlineStr">
        <is>
          <t>Blanket (page end)</t>
        </is>
      </c>
    </row>
    <row r="154">
      <c r="A154" s="63" t="inlineStr">
        <is>
          <t>BANDAID_OFF_LOSER_RECOVER_PCT</t>
        </is>
      </c>
      <c r="B154" s="56" t="inlineStr">
        <is>
          <t>1.0</t>
        </is>
      </c>
      <c r="C154" s="56" t="n"/>
      <c r="D154" s="56" t="inlineStr">
        <is>
          <t>AUGMENT, ENTRY, EXIT, GLOBAL_CHECK, REDUCE, STOCKS_EXIT</t>
        </is>
      </c>
      <c r="E154" s="56">
        <f>IF(G154="",E153,IF(G154&gt;0,E153+G154,E153))</f>
        <v/>
      </c>
      <c r="G154" s="56">
        <f>IFERROR(VLOOKUP($A154&amp;"="&amp;$B154,Results_Deltas!$A$2:$P$15000,5,FALSE),"")</f>
        <v/>
      </c>
      <c r="H154" s="56" t="inlineStr">
        <is>
          <t>Blanket (page end)</t>
        </is>
      </c>
    </row>
    <row r="155">
      <c r="A155" s="63" t="inlineStr">
        <is>
          <t>BANDAID_OFF_LOSER_RECOVER_PCT</t>
        </is>
      </c>
      <c r="B155" s="56" t="inlineStr">
        <is>
          <t>0.5</t>
        </is>
      </c>
      <c r="C155" s="56" t="n"/>
      <c r="D155" s="56" t="inlineStr">
        <is>
          <t>AUGMENT, ENTRY, EXIT, GLOBAL_CHECK, REDUCE, STOCKS_EXIT</t>
        </is>
      </c>
      <c r="E155" s="56">
        <f>IF(G155="",E154,IF(G155&gt;0,E154+G155,E154))</f>
        <v/>
      </c>
      <c r="G155" s="56">
        <f>IFERROR(VLOOKUP($A155&amp;"="&amp;$B155,Results_Deltas!$A$2:$P$15000,5,FALSE),"")</f>
        <v/>
      </c>
      <c r="H155" s="56" t="inlineStr">
        <is>
          <t>Blanket (page end)</t>
        </is>
      </c>
    </row>
    <row r="156">
      <c r="A156" s="63" t="inlineStr">
        <is>
          <t>BAND_ARROW_ENABLED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BAND_ARROW_ENABLED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COOLDOWN_LOCKS_FILTER_TF</t>
        </is>
      </c>
      <c r="B158" s="56" t="inlineStr">
        <is>
          <t>OFF</t>
        </is>
      </c>
      <c r="C158" s="56" t="n"/>
      <c r="D158" s="56" t="inlineStr">
        <is>
          <t>GLOBAL_CHECK</t>
        </is>
      </c>
      <c r="E158" s="56">
        <f>IF(G158="",E157,IF(G158&gt;0,E157+G158,E157))</f>
        <v/>
      </c>
      <c r="G158" s="56">
        <f>IFERROR(VLOOKUP($A158&amp;"="&amp;$B158,Results_Deltas!$A$2:$P$15000,5,FALSE),"")</f>
        <v/>
      </c>
      <c r="H158" s="56" t="inlineStr">
        <is>
          <t>Blanket (page end)</t>
        </is>
      </c>
    </row>
    <row r="159">
      <c r="A159" s="63" t="inlineStr">
        <is>
          <t>COOLDOWN_LOCKS_FILTER_TF</t>
        </is>
      </c>
      <c r="B159" s="56" t="inlineStr">
        <is>
          <t>D</t>
        </is>
      </c>
      <c r="C159" s="56" t="n"/>
      <c r="D159" s="56" t="inlineStr">
        <is>
          <t>GLOBAL_CHECK</t>
        </is>
      </c>
      <c r="E159" s="56">
        <f>IF(G159="",E158,IF(G159&gt;0,E158+G159,E158))</f>
        <v/>
      </c>
      <c r="G159" s="56">
        <f>IFERROR(VLOOKUP($A159&amp;"="&amp;$B159,Results_Deltas!$A$2:$P$15000,5,FALSE),"")</f>
        <v/>
      </c>
      <c r="H159" s="56" t="inlineStr">
        <is>
          <t>Blanket (page end)</t>
        </is>
      </c>
    </row>
    <row r="160">
      <c r="A160" s="63" t="inlineStr">
        <is>
          <t>COOLDOWN_LOCKS_FILTER_TF</t>
        </is>
      </c>
      <c r="B160" s="56" t="inlineStr">
        <is>
          <t>4h</t>
        </is>
      </c>
      <c r="C160" s="56" t="n"/>
      <c r="D160" s="56" t="inlineStr">
        <is>
          <t>GLOBAL_CHECK</t>
        </is>
      </c>
      <c r="E160" s="56">
        <f>IF(G160="",E159,IF(G160&gt;0,E159+G160,E159))</f>
        <v/>
      </c>
      <c r="G160" s="56">
        <f>IFERROR(VLOOKUP($A160&amp;"="&amp;$B160,Results_Deltas!$A$2:$P$15000,5,FALSE),"")</f>
        <v/>
      </c>
      <c r="H160" s="56" t="inlineStr">
        <is>
          <t>Blanket (page end)</t>
        </is>
      </c>
    </row>
    <row r="161">
      <c r="A161" s="63" t="inlineStr">
        <is>
          <t>COOLDOWN_LOCKS_FILTER_TF</t>
        </is>
      </c>
      <c r="B161" s="56" t="inlineStr">
        <is>
          <t>1h</t>
        </is>
      </c>
      <c r="C161" s="56" t="n"/>
      <c r="D161" s="56" t="inlineStr">
        <is>
          <t>GLOBAL_CHECK</t>
        </is>
      </c>
      <c r="E161" s="56">
        <f>IF(G161="",E160,IF(G161&gt;0,E160+G161,E160))</f>
        <v/>
      </c>
      <c r="G161" s="56">
        <f>IFERROR(VLOOKUP($A161&amp;"="&amp;$B161,Results_Deltas!$A$2:$P$15000,5,FALSE),"")</f>
        <v/>
      </c>
      <c r="H161" s="56" t="inlineStr">
        <is>
          <t>Blanket (page end)</t>
        </is>
      </c>
    </row>
    <row r="162">
      <c r="A162" s="63" t="inlineStr">
        <is>
          <t>COOLDOWN_LOCKS_FILTER_TF</t>
        </is>
      </c>
      <c r="B162" s="56" t="inlineStr">
        <is>
          <t>15m</t>
        </is>
      </c>
      <c r="C162" s="56" t="n"/>
      <c r="D162" s="56" t="inlineStr">
        <is>
          <t>GLOBAL_CHECK</t>
        </is>
      </c>
      <c r="E162" s="56">
        <f>IF(G162="",E161,IF(G162&gt;0,E161+G162,E161))</f>
        <v/>
      </c>
      <c r="G162" s="56">
        <f>IFERROR(VLOOKUP($A162&amp;"="&amp;$B162,Results_Deltas!$A$2:$P$15000,5,FALSE),"")</f>
        <v/>
      </c>
      <c r="H162" s="56" t="inlineStr">
        <is>
          <t>Blanket (page end)</t>
        </is>
      </c>
    </row>
    <row r="163">
      <c r="A163" s="63" t="inlineStr">
        <is>
          <t>CRYPTO_SPIKE_FADE_THRESHOLD_PCT</t>
        </is>
      </c>
      <c r="B163" s="56" t="inlineStr">
        <is>
          <t>10</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CRYPTO_SPIKE_FADE_THRESHOLD_PCT</t>
        </is>
      </c>
      <c r="B164" s="56" t="inlineStr">
        <is>
          <t>12.5</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CRYPTO_SPIKE_FADE_THRESHOLD_PCT</t>
        </is>
      </c>
      <c r="B165" s="56" t="inlineStr">
        <is>
          <t>7.5</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CRYPTO_SPIKE_FADE_THRESHOLD_PCT</t>
        </is>
      </c>
      <c r="B166" s="56" t="inlineStr">
        <is>
          <t>5</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DC_MOMENT_STRONG_THRESHOLD</t>
        </is>
      </c>
      <c r="B167" s="56" t="inlineStr">
        <is>
          <t>40</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DC_MOMENT_STRONG_THRESHOLD</t>
        </is>
      </c>
      <c r="B168" s="56" t="inlineStr">
        <is>
          <t>50</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DC_MOMENT_STRONG_THRESHOLD</t>
        </is>
      </c>
      <c r="B169" s="56" t="inlineStr">
        <is>
          <t>30</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DC_MOMENT_STRONG_THRESHOLD</t>
        </is>
      </c>
      <c r="B170" s="56" t="inlineStr">
        <is>
          <t>20</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DELTA_HTF_GATE</t>
        </is>
      </c>
      <c r="B171" s="56" t="inlineStr">
        <is>
          <t>4h</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DELTA_HTF_GATE</t>
        </is>
      </c>
      <c r="B172" s="56" t="inlineStr">
        <is>
          <t>4h_ALT</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DELTA_REENTRY_FILTER_ENABLED</t>
        </is>
      </c>
      <c r="B173" s="56" t="inlineStr">
        <is>
          <t>False</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DELTA_REENTRY_FILTER_ENABLED</t>
        </is>
      </c>
      <c r="B174" s="56" t="inlineStr">
        <is>
          <t>True</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DUP_GUARD_FILTER_TF</t>
        </is>
      </c>
      <c r="B175" s="56" t="inlineStr">
        <is>
          <t>OFF</t>
        </is>
      </c>
      <c r="C175" s="56" t="n"/>
      <c r="D175" s="56" t="inlineStr">
        <is>
          <t>GLOBAL_CHECK</t>
        </is>
      </c>
      <c r="E175" s="56">
        <f>IF(G175="",E174,IF(G175&gt;0,E174+G175,E174))</f>
        <v/>
      </c>
      <c r="G175" s="56">
        <f>IFERROR(VLOOKUP($A175&amp;"="&amp;$B175,Results_Deltas!$A$2:$P$15000,5,FALSE),"")</f>
        <v/>
      </c>
      <c r="H175" s="56" t="inlineStr">
        <is>
          <t>Blanket (page end)</t>
        </is>
      </c>
    </row>
    <row r="176">
      <c r="A176" s="63" t="inlineStr">
        <is>
          <t>DUP_GUARD_FILTER_TF</t>
        </is>
      </c>
      <c r="B176" s="56" t="inlineStr">
        <is>
          <t>D</t>
        </is>
      </c>
      <c r="C176" s="56" t="n"/>
      <c r="D176" s="56" t="inlineStr">
        <is>
          <t>GLOBAL_CHECK</t>
        </is>
      </c>
      <c r="E176" s="56">
        <f>IF(G176="",E175,IF(G176&gt;0,E175+G176,E175))</f>
        <v/>
      </c>
      <c r="G176" s="56">
        <f>IFERROR(VLOOKUP($A176&amp;"="&amp;$B176,Results_Deltas!$A$2:$P$15000,5,FALSE),"")</f>
        <v/>
      </c>
      <c r="H176" s="56" t="inlineStr">
        <is>
          <t>Blanket (page end)</t>
        </is>
      </c>
    </row>
    <row r="177">
      <c r="A177" s="63" t="inlineStr">
        <is>
          <t>DUP_GUARD_FILTER_TF</t>
        </is>
      </c>
      <c r="B177" s="56" t="inlineStr">
        <is>
          <t>4h</t>
        </is>
      </c>
      <c r="C177" s="56" t="n"/>
      <c r="D177" s="56" t="inlineStr">
        <is>
          <t>GLOBAL_CHECK</t>
        </is>
      </c>
      <c r="E177" s="56">
        <f>IF(G177="",E176,IF(G177&gt;0,E176+G177,E176))</f>
        <v/>
      </c>
      <c r="G177" s="56">
        <f>IFERROR(VLOOKUP($A177&amp;"="&amp;$B177,Results_Deltas!$A$2:$P$15000,5,FALSE),"")</f>
        <v/>
      </c>
      <c r="H177" s="56" t="inlineStr">
        <is>
          <t>Blanket (page end)</t>
        </is>
      </c>
    </row>
    <row r="178">
      <c r="A178" s="63" t="inlineStr">
        <is>
          <t>DUP_GUARD_FILTER_TF</t>
        </is>
      </c>
      <c r="B178" s="56" t="inlineStr">
        <is>
          <t>1h</t>
        </is>
      </c>
      <c r="C178" s="56" t="n"/>
      <c r="D178" s="56" t="inlineStr">
        <is>
          <t>GLOBAL_CHECK</t>
        </is>
      </c>
      <c r="E178" s="56">
        <f>IF(G178="",E177,IF(G178&gt;0,E177+G178,E177))</f>
        <v/>
      </c>
      <c r="G178" s="56">
        <f>IFERROR(VLOOKUP($A178&amp;"="&amp;$B178,Results_Deltas!$A$2:$P$15000,5,FALSE),"")</f>
        <v/>
      </c>
      <c r="H178" s="56" t="inlineStr">
        <is>
          <t>Blanket (page end)</t>
        </is>
      </c>
    </row>
    <row r="179">
      <c r="A179" s="63" t="inlineStr">
        <is>
          <t>DUP_GUARD_FILTER_TF</t>
        </is>
      </c>
      <c r="B179" s="56" t="inlineStr">
        <is>
          <t>15m</t>
        </is>
      </c>
      <c r="C179" s="56" t="n"/>
      <c r="D179" s="56" t="inlineStr">
        <is>
          <t>GLOBAL_CHECK</t>
        </is>
      </c>
      <c r="E179" s="56">
        <f>IF(G179="",E178,IF(G179&gt;0,E178+G179,E178))</f>
        <v/>
      </c>
      <c r="G179" s="56">
        <f>IFERROR(VLOOKUP($A179&amp;"="&amp;$B179,Results_Deltas!$A$2:$P$15000,5,FALSE),"")</f>
        <v/>
      </c>
      <c r="H179" s="56" t="inlineStr">
        <is>
          <t>Blanket (page end)</t>
        </is>
      </c>
    </row>
    <row r="180">
      <c r="A180" s="63" t="inlineStr">
        <is>
          <t>EMA_9_21_FILTER_MIN_TFS</t>
        </is>
      </c>
      <c r="B180" s="56" t="inlineStr">
        <is>
          <t>0</t>
        </is>
      </c>
      <c r="C180" s="56" t="n"/>
      <c r="D180" s="56" t="inlineStr">
        <is>
          <t>GLOBAL_CHECK</t>
        </is>
      </c>
      <c r="E180" s="56">
        <f>IF(G180="",E179,IF(G180&gt;0,E179+G180,E179))</f>
        <v/>
      </c>
      <c r="G180" s="56">
        <f>IFERROR(VLOOKUP($A180&amp;"="&amp;$B180,Results_Deltas!$A$2:$P$15000,5,FALSE),"")</f>
        <v/>
      </c>
      <c r="H180" s="56" t="inlineStr">
        <is>
          <t>Blanket (page end)</t>
        </is>
      </c>
    </row>
    <row r="181">
      <c r="A181" s="63" t="inlineStr">
        <is>
          <t>EMA_9_21_FILTER_MIN_TFS</t>
        </is>
      </c>
      <c r="B181" s="56" t="inlineStr">
        <is>
          <t>2</t>
        </is>
      </c>
      <c r="C181" s="56" t="n"/>
      <c r="D181" s="56" t="inlineStr">
        <is>
          <t>GLOBAL_CHECK</t>
        </is>
      </c>
      <c r="E181" s="56">
        <f>IF(G181="",E180,IF(G181&gt;0,E180+G181,E180))</f>
        <v/>
      </c>
      <c r="G181" s="56">
        <f>IFERROR(VLOOKUP($A181&amp;"="&amp;$B181,Results_Deltas!$A$2:$P$15000,5,FALSE),"")</f>
        <v/>
      </c>
      <c r="H181" s="56" t="inlineStr">
        <is>
          <t>Blanket (page end)</t>
        </is>
      </c>
    </row>
    <row r="182">
      <c r="A182" s="63" t="inlineStr">
        <is>
          <t>EMA_9_21_FILTER_MIN_TFS</t>
        </is>
      </c>
      <c r="B182" s="56" t="inlineStr">
        <is>
          <t>1</t>
        </is>
      </c>
      <c r="C182" s="56" t="n"/>
      <c r="D182" s="56" t="inlineStr">
        <is>
          <t>GLOBAL_CHECK</t>
        </is>
      </c>
      <c r="E182" s="56">
        <f>IF(G182="",E181,IF(G182&gt;0,E181+G182,E181))</f>
        <v/>
      </c>
      <c r="G182" s="56">
        <f>IFERROR(VLOOKUP($A182&amp;"="&amp;$B182,Results_Deltas!$A$2:$P$15000,5,FALSE),"")</f>
        <v/>
      </c>
      <c r="H182" s="56" t="inlineStr">
        <is>
          <t>Blanket (page end)</t>
        </is>
      </c>
    </row>
    <row r="183">
      <c r="A183" s="63" t="inlineStr">
        <is>
          <t>EMA_BLANKET_FILTER_ENABLED</t>
        </is>
      </c>
      <c r="B183" s="56" t="inlineStr">
        <is>
          <t>False</t>
        </is>
      </c>
      <c r="C183" s="56" t="n"/>
      <c r="D183" s="56" t="inlineStr">
        <is>
          <t>GLOBAL_CHECK</t>
        </is>
      </c>
      <c r="E183" s="56">
        <f>IF(G183="",E182,IF(G183&gt;0,E182+G183,E182))</f>
        <v/>
      </c>
      <c r="G183" s="56">
        <f>IFERROR(VLOOKUP($A183&amp;"="&amp;$B183,Results_Deltas!$A$2:$P$15000,5,FALSE),"")</f>
        <v/>
      </c>
      <c r="H183" s="56" t="inlineStr">
        <is>
          <t>Blanket (page end)</t>
        </is>
      </c>
    </row>
    <row r="184">
      <c r="A184" s="63" t="inlineStr">
        <is>
          <t>EMA_BLANKET_FILTER_ENABLED</t>
        </is>
      </c>
      <c r="B184" s="56" t="inlineStr">
        <is>
          <t>True</t>
        </is>
      </c>
      <c r="C184" s="56" t="n"/>
      <c r="D184" s="56" t="inlineStr">
        <is>
          <t>GLOBAL_CHECK</t>
        </is>
      </c>
      <c r="E184" s="56">
        <f>IF(G184="",E183,IF(G184&gt;0,E183+G184,E183))</f>
        <v/>
      </c>
      <c r="G184" s="56">
        <f>IFERROR(VLOOKUP($A184&amp;"="&amp;$B184,Results_Deltas!$A$2:$P$15000,5,FALSE),"")</f>
        <v/>
      </c>
      <c r="H184" s="56" t="inlineStr">
        <is>
          <t>Blanket (page end)</t>
        </is>
      </c>
    </row>
    <row r="185">
      <c r="A185" s="63" t="inlineStr">
        <is>
          <t>EMA_BLANKET_FILTER_MIN_TFS</t>
        </is>
      </c>
      <c r="B185" s="56" t="inlineStr">
        <is>
          <t>0</t>
        </is>
      </c>
      <c r="C185" s="56" t="n"/>
      <c r="D185" s="56" t="inlineStr">
        <is>
          <t>GLOBAL_CHECK</t>
        </is>
      </c>
      <c r="E185" s="56">
        <f>IF(G185="",E184,IF(G185&gt;0,E184+G185,E184))</f>
        <v/>
      </c>
      <c r="G185" s="56">
        <f>IFERROR(VLOOKUP($A185&amp;"="&amp;$B185,Results_Deltas!$A$2:$P$15000,5,FALSE),"")</f>
        <v/>
      </c>
      <c r="H185" s="56" t="inlineStr">
        <is>
          <t>Blanket (page end)</t>
        </is>
      </c>
    </row>
    <row r="186">
      <c r="A186" s="63" t="inlineStr">
        <is>
          <t>EMA_BLANKET_FILTER_MIN_TFS</t>
        </is>
      </c>
      <c r="B186" s="56" t="inlineStr">
        <is>
          <t>2</t>
        </is>
      </c>
      <c r="C186" s="56" t="n"/>
      <c r="D186" s="56" t="inlineStr">
        <is>
          <t>GLOBAL_CHECK</t>
        </is>
      </c>
      <c r="E186" s="56">
        <f>IF(G186="",E185,IF(G186&gt;0,E185+G186,E185))</f>
        <v/>
      </c>
      <c r="G186" s="56">
        <f>IFERROR(VLOOKUP($A186&amp;"="&amp;$B186,Results_Deltas!$A$2:$P$15000,5,FALSE),"")</f>
        <v/>
      </c>
      <c r="H186" s="56" t="inlineStr">
        <is>
          <t>Blanket (page end)</t>
        </is>
      </c>
    </row>
    <row r="187">
      <c r="A187" s="63" t="inlineStr">
        <is>
          <t>EMA_BLANKET_FILTER_MIN_TFS</t>
        </is>
      </c>
      <c r="B187" s="56" t="inlineStr">
        <is>
          <t>1</t>
        </is>
      </c>
      <c r="C187" s="56" t="n"/>
      <c r="D187" s="56" t="inlineStr">
        <is>
          <t>GLOBAL_CHECK</t>
        </is>
      </c>
      <c r="E187" s="56">
        <f>IF(G187="",E186,IF(G187&gt;0,E186+G187,E186))</f>
        <v/>
      </c>
      <c r="G187" s="56">
        <f>IFERROR(VLOOKUP($A187&amp;"="&amp;$B187,Results_Deltas!$A$2:$P$15000,5,FALSE),"")</f>
        <v/>
      </c>
      <c r="H187" s="56" t="inlineStr">
        <is>
          <t>Blanket (page end)</t>
        </is>
      </c>
    </row>
    <row r="188">
      <c r="A188" s="63" t="inlineStr">
        <is>
          <t>EXECUTE_NOW_SINGLE_GATE_ENFORCE</t>
        </is>
      </c>
      <c r="B188" s="56" t="inlineStr">
        <is>
          <t>0.0</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EXECUTE_NOW_SINGLE_GATE_ENFORCE</t>
        </is>
      </c>
      <c r="B189" s="56" t="inlineStr">
        <is>
          <t>0.0_ALT</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EZ_MANAGE_THROTTLER_RATE</t>
        </is>
      </c>
      <c r="B190" s="56" t="inlineStr">
        <is>
          <t>0.0</t>
        </is>
      </c>
      <c r="C190" s="56" t="n"/>
      <c r="D190" s="56" t="inlineStr">
        <is>
          <t>GLOBAL_CHECK, STOCKS_EXIT</t>
        </is>
      </c>
      <c r="E190" s="56">
        <f>IF(G190="",E189,IF(G190&gt;0,E189+G190,E189))</f>
        <v/>
      </c>
      <c r="G190" s="56">
        <f>IFERROR(VLOOKUP($A190&amp;"="&amp;$B190,Results_Deltas!$A$2:$P$15000,5,FALSE),"")</f>
        <v/>
      </c>
      <c r="H190" s="56" t="inlineStr">
        <is>
          <t>Blanket (page end)</t>
        </is>
      </c>
    </row>
    <row r="191">
      <c r="A191" s="63" t="inlineStr">
        <is>
          <t>EZ_MANAGE_THROTTLER_RATE</t>
        </is>
      </c>
      <c r="B191" s="56" t="inlineStr">
        <is>
          <t>0.0_ALT</t>
        </is>
      </c>
      <c r="C191" s="56" t="n"/>
      <c r="D191" s="56" t="inlineStr">
        <is>
          <t>GLOBAL_CHECK, STOCKS_EXIT</t>
        </is>
      </c>
      <c r="E191" s="56">
        <f>IF(G191="",E190,IF(G191&gt;0,E190+G191,E190))</f>
        <v/>
      </c>
      <c r="G191" s="56">
        <f>IFERROR(VLOOKUP($A191&amp;"="&amp;$B191,Results_Deltas!$A$2:$P$15000,5,FALSE),"")</f>
        <v/>
      </c>
      <c r="H191" s="56" t="inlineStr">
        <is>
          <t>Blanket (page end)</t>
        </is>
      </c>
    </row>
    <row r="192">
      <c r="A192" s="63" t="inlineStr">
        <is>
          <t>FG_FEAR_THRESHOLD</t>
        </is>
      </c>
      <c r="B192" s="56" t="inlineStr">
        <is>
          <t>25</t>
        </is>
      </c>
      <c r="C192" s="56" t="n"/>
      <c r="D192" s="56" t="inlineStr">
        <is>
          <t>GLOBAL_CHECK, STOCKS_EXIT</t>
        </is>
      </c>
      <c r="E192" s="56">
        <f>IF(G192="",E191,IF(G192&gt;0,E191+G192,E191))</f>
        <v/>
      </c>
      <c r="G192" s="56">
        <f>IFERROR(VLOOKUP($A192&amp;"="&amp;$B192,Results_Deltas!$A$2:$P$15000,5,FALSE),"")</f>
        <v/>
      </c>
      <c r="H192" s="56" t="inlineStr">
        <is>
          <t>Blanket (page end)</t>
        </is>
      </c>
    </row>
    <row r="193">
      <c r="A193" s="63" t="inlineStr">
        <is>
          <t>FG_FEAR_THRESHOLD</t>
        </is>
      </c>
      <c r="B193" s="56" t="inlineStr">
        <is>
          <t>31.25</t>
        </is>
      </c>
      <c r="C193" s="56" t="n"/>
      <c r="D193" s="56" t="inlineStr">
        <is>
          <t>GLOBAL_CHECK, STOCKS_EXIT</t>
        </is>
      </c>
      <c r="E193" s="56">
        <f>IF(G193="",E192,IF(G193&gt;0,E192+G193,E192))</f>
        <v/>
      </c>
      <c r="G193" s="56">
        <f>IFERROR(VLOOKUP($A193&amp;"="&amp;$B193,Results_Deltas!$A$2:$P$15000,5,FALSE),"")</f>
        <v/>
      </c>
      <c r="H193" s="56" t="inlineStr">
        <is>
          <t>Blanket (page end)</t>
        </is>
      </c>
    </row>
    <row r="194">
      <c r="A194" s="63" t="inlineStr">
        <is>
          <t>FG_FEAR_THRESHOLD</t>
        </is>
      </c>
      <c r="B194" s="56" t="inlineStr">
        <is>
          <t>18.75</t>
        </is>
      </c>
      <c r="C194" s="56" t="n"/>
      <c r="D194" s="56" t="inlineStr">
        <is>
          <t>GLOBAL_CHECK, STOCKS_EXIT</t>
        </is>
      </c>
      <c r="E194" s="56">
        <f>IF(G194="",E193,IF(G194&gt;0,E193+G194,E193))</f>
        <v/>
      </c>
      <c r="G194" s="56">
        <f>IFERROR(VLOOKUP($A194&amp;"="&amp;$B194,Results_Deltas!$A$2:$P$15000,5,FALSE),"")</f>
        <v/>
      </c>
      <c r="H194" s="56" t="inlineStr">
        <is>
          <t>Blanket (page end)</t>
        </is>
      </c>
    </row>
    <row r="195">
      <c r="A195" s="63" t="inlineStr">
        <is>
          <t>FG_FEAR_THRESHOLD</t>
        </is>
      </c>
      <c r="B195" s="56" t="inlineStr">
        <is>
          <t>12.5</t>
        </is>
      </c>
      <c r="C195" s="56" t="n"/>
      <c r="D195" s="56" t="inlineStr">
        <is>
          <t>GLOBAL_CHECK, STOCKS_EXIT</t>
        </is>
      </c>
      <c r="E195" s="56">
        <f>IF(G195="",E194,IF(G195&gt;0,E194+G195,E194))</f>
        <v/>
      </c>
      <c r="G195" s="56">
        <f>IFERROR(VLOOKUP($A195&amp;"="&amp;$B195,Results_Deltas!$A$2:$P$15000,5,FALSE),"")</f>
        <v/>
      </c>
      <c r="H195" s="56" t="inlineStr">
        <is>
          <t>Blanket (page end)</t>
        </is>
      </c>
    </row>
    <row r="196">
      <c r="A196" s="63" t="inlineStr">
        <is>
          <t>FG_GREED_THRESHOLD</t>
        </is>
      </c>
      <c r="B196" s="56" t="inlineStr">
        <is>
          <t>75</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FG_GREED_THRESHOLD</t>
        </is>
      </c>
      <c r="B197" s="56" t="inlineStr">
        <is>
          <t>93.75</t>
        </is>
      </c>
      <c r="C197" s="56" t="n"/>
      <c r="D197" s="56" t="inlineStr">
        <is>
          <t>GLOBAL_CHECK, STOCKS_EXIT</t>
        </is>
      </c>
      <c r="E197" s="56">
        <f>IF(G197="",E196,IF(G197&gt;0,E196+G197,E196))</f>
        <v/>
      </c>
      <c r="G197" s="56">
        <f>IFERROR(VLOOKUP($A197&amp;"="&amp;$B197,Results_Deltas!$A$2:$P$15000,5,FALSE),"")</f>
        <v/>
      </c>
      <c r="H197" s="56" t="inlineStr">
        <is>
          <t>Blanket (page end)</t>
        </is>
      </c>
    </row>
    <row r="198">
      <c r="A198" s="63" t="inlineStr">
        <is>
          <t>FG_GREED_THRESHOLD</t>
        </is>
      </c>
      <c r="B198" s="56" t="inlineStr">
        <is>
          <t>56.25</t>
        </is>
      </c>
      <c r="C198" s="56" t="n"/>
      <c r="D198" s="56" t="inlineStr">
        <is>
          <t>GLOBAL_CHECK, STOCKS_EXIT</t>
        </is>
      </c>
      <c r="E198" s="56">
        <f>IF(G198="",E197,IF(G198&gt;0,E197+G198,E197))</f>
        <v/>
      </c>
      <c r="G198" s="56">
        <f>IFERROR(VLOOKUP($A198&amp;"="&amp;$B198,Results_Deltas!$A$2:$P$15000,5,FALSE),"")</f>
        <v/>
      </c>
      <c r="H198" s="56" t="inlineStr">
        <is>
          <t>Blanket (page end)</t>
        </is>
      </c>
    </row>
    <row r="199">
      <c r="A199" s="63" t="inlineStr">
        <is>
          <t>FG_GREED_THRESHOLD</t>
        </is>
      </c>
      <c r="B199" s="56" t="inlineStr">
        <is>
          <t>37.5</t>
        </is>
      </c>
      <c r="C199" s="56" t="n"/>
      <c r="D199" s="56" t="inlineStr">
        <is>
          <t>GLOBAL_CHECK, STOCKS_EXIT</t>
        </is>
      </c>
      <c r="E199" s="56">
        <f>IF(G199="",E198,IF(G199&gt;0,E198+G199,E198))</f>
        <v/>
      </c>
      <c r="G199" s="56">
        <f>IFERROR(VLOOKUP($A199&amp;"="&amp;$B199,Results_Deltas!$A$2:$P$15000,5,FALSE),"")</f>
        <v/>
      </c>
      <c r="H199" s="56" t="inlineStr">
        <is>
          <t>Blanket (page end)</t>
        </is>
      </c>
    </row>
    <row r="200">
      <c r="A200" s="63" t="inlineStr">
        <is>
          <t>FUNDING_GATE_FILTER_TF</t>
        </is>
      </c>
      <c r="B200" s="56" t="inlineStr">
        <is>
          <t>OFF</t>
        </is>
      </c>
      <c r="C200" s="56" t="n"/>
      <c r="D200" s="56" t="inlineStr">
        <is>
          <t>GLOBAL_CHECK</t>
        </is>
      </c>
      <c r="E200" s="56">
        <f>IF(G200="",E199,IF(G200&gt;0,E199+G200,E199))</f>
        <v/>
      </c>
      <c r="G200" s="56">
        <f>IFERROR(VLOOKUP($A200&amp;"="&amp;$B200,Results_Deltas!$A$2:$P$15000,5,FALSE),"")</f>
        <v/>
      </c>
      <c r="H200" s="56" t="inlineStr">
        <is>
          <t>Blanket (page end)</t>
        </is>
      </c>
    </row>
    <row r="201">
      <c r="A201" s="63" t="inlineStr">
        <is>
          <t>FUNDING_GATE_FILTER_TF</t>
        </is>
      </c>
      <c r="B201" s="56" t="inlineStr">
        <is>
          <t>D</t>
        </is>
      </c>
      <c r="C201" s="56" t="n"/>
      <c r="D201" s="56" t="inlineStr">
        <is>
          <t>GLOBAL_CHECK</t>
        </is>
      </c>
      <c r="E201" s="56">
        <f>IF(G201="",E200,IF(G201&gt;0,E200+G201,E200))</f>
        <v/>
      </c>
      <c r="G201" s="56">
        <f>IFERROR(VLOOKUP($A201&amp;"="&amp;$B201,Results_Deltas!$A$2:$P$15000,5,FALSE),"")</f>
        <v/>
      </c>
      <c r="H201" s="56" t="inlineStr">
        <is>
          <t>Blanket (page end)</t>
        </is>
      </c>
    </row>
    <row r="202">
      <c r="A202" s="63" t="inlineStr">
        <is>
          <t>FUNDING_GATE_FILTER_TF</t>
        </is>
      </c>
      <c r="B202" s="56" t="inlineStr">
        <is>
          <t>4h</t>
        </is>
      </c>
      <c r="C202" s="56" t="n"/>
      <c r="D202" s="56" t="inlineStr">
        <is>
          <t>GLOBAL_CHECK</t>
        </is>
      </c>
      <c r="E202" s="56">
        <f>IF(G202="",E201,IF(G202&gt;0,E201+G202,E201))</f>
        <v/>
      </c>
      <c r="G202" s="56">
        <f>IFERROR(VLOOKUP($A202&amp;"="&amp;$B202,Results_Deltas!$A$2:$P$15000,5,FALSE),"")</f>
        <v/>
      </c>
      <c r="H202" s="56" t="inlineStr">
        <is>
          <t>Blanket (page end)</t>
        </is>
      </c>
    </row>
    <row r="203">
      <c r="A203" s="63" t="inlineStr">
        <is>
          <t>FUNDING_GATE_FILTER_TF</t>
        </is>
      </c>
      <c r="B203" s="56" t="inlineStr">
        <is>
          <t>1h</t>
        </is>
      </c>
      <c r="C203" s="56" t="n"/>
      <c r="D203" s="56" t="inlineStr">
        <is>
          <t>GLOBAL_CHECK</t>
        </is>
      </c>
      <c r="E203" s="56">
        <f>IF(G203="",E202,IF(G203&gt;0,E202+G203,E202))</f>
        <v/>
      </c>
      <c r="G203" s="56">
        <f>IFERROR(VLOOKUP($A203&amp;"="&amp;$B203,Results_Deltas!$A$2:$P$15000,5,FALSE),"")</f>
        <v/>
      </c>
      <c r="H203" s="56" t="inlineStr">
        <is>
          <t>Blanket (page end)</t>
        </is>
      </c>
    </row>
    <row r="204">
      <c r="A204" s="63" t="inlineStr">
        <is>
          <t>FUNDING_GATE_FILTER_TF</t>
        </is>
      </c>
      <c r="B204" s="56" t="inlineStr">
        <is>
          <t>15m</t>
        </is>
      </c>
      <c r="C204" s="56" t="n"/>
      <c r="D204" s="56" t="inlineStr">
        <is>
          <t>GLOBAL_CHECK</t>
        </is>
      </c>
      <c r="E204" s="56">
        <f>IF(G204="",E203,IF(G204&gt;0,E203+G204,E203))</f>
        <v/>
      </c>
      <c r="G204" s="56">
        <f>IFERROR(VLOOKUP($A204&amp;"="&amp;$B204,Results_Deltas!$A$2:$P$15000,5,FALSE),"")</f>
        <v/>
      </c>
      <c r="H204" s="56" t="inlineStr">
        <is>
          <t>Blanket (page end)</t>
        </is>
      </c>
    </row>
    <row r="205">
      <c r="A205" s="63" t="inlineStr">
        <is>
          <t>FUNDING_GATE_LONG_MAX</t>
        </is>
      </c>
      <c r="B205" s="56" t="inlineStr">
        <is>
          <t>0.0</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FUNDING_GATE_LONG_MAX</t>
        </is>
      </c>
      <c r="B206" s="56" t="inlineStr">
        <is>
          <t>0.0_ALT</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FUNDING_GATE_MTF_REQUIRED</t>
        </is>
      </c>
      <c r="B207" s="56" t="inlineStr">
        <is>
          <t>0.0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FUNDING_GATE_MTF_REQUIRED</t>
        </is>
      </c>
      <c r="B208" s="56" t="inlineStr">
        <is>
          <t>0.0_ALT</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FUNDING_GATE_SHORT_MIN</t>
        </is>
      </c>
      <c r="B209" s="56" t="inlineStr">
        <is>
          <t>0.0</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FUNDING_GATE_SHORT_MIN</t>
        </is>
      </c>
      <c r="B210" s="56" t="inlineStr">
        <is>
          <t>0.0_ALT</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GOLDEN_RULE_BASE_USD</t>
        </is>
      </c>
      <c r="B211" s="56" t="inlineStr">
        <is>
          <t>0.0</t>
        </is>
      </c>
      <c r="C211" s="56" t="n"/>
      <c r="D211" s="56" t="inlineStr">
        <is>
          <t>GLOBAL_CHECK, STOCKS_EXIT</t>
        </is>
      </c>
      <c r="E211" s="56">
        <f>IF(G211="",E210,IF(G211&gt;0,E210+G211,E210))</f>
        <v/>
      </c>
      <c r="G211" s="56">
        <f>IFERROR(VLOOKUP($A211&amp;"="&amp;$B211,Results_Deltas!$A$2:$P$15000,5,FALSE),"")</f>
        <v/>
      </c>
      <c r="H211" s="56" t="inlineStr">
        <is>
          <t>Blanket (page end)</t>
        </is>
      </c>
    </row>
    <row r="212">
      <c r="A212" s="63" t="inlineStr">
        <is>
          <t>GOLDEN_RULE_BASE_USD</t>
        </is>
      </c>
      <c r="B212" s="56" t="inlineStr">
        <is>
          <t>0.0_ALT</t>
        </is>
      </c>
      <c r="C212" s="56" t="n"/>
      <c r="D212" s="56" t="inlineStr">
        <is>
          <t>GLOBAL_CHECK, STOCKS_EXIT</t>
        </is>
      </c>
      <c r="E212" s="56">
        <f>IF(G212="",E211,IF(G212&gt;0,E211+G212,E211))</f>
        <v/>
      </c>
      <c r="G212" s="56">
        <f>IFERROR(VLOOKUP($A212&amp;"="&amp;$B212,Results_Deltas!$A$2:$P$15000,5,FALSE),"")</f>
        <v/>
      </c>
      <c r="H212" s="56" t="inlineStr">
        <is>
          <t>Blanket (page end)</t>
        </is>
      </c>
    </row>
    <row r="213">
      <c r="A213" s="63" t="inlineStr">
        <is>
          <t>GR_FILTER_ALL_ENTRIES</t>
        </is>
      </c>
      <c r="B213" s="56" t="inlineStr">
        <is>
          <t>0.0</t>
        </is>
      </c>
      <c r="C213" s="56" t="n"/>
      <c r="D213" s="56" t="inlineStr">
        <is>
          <t>GLOBAL_CHECK, STOCKS_EXIT</t>
        </is>
      </c>
      <c r="E213" s="56">
        <f>IF(G213="",E212,IF(G213&gt;0,E212+G213,E212))</f>
        <v/>
      </c>
      <c r="G213" s="56">
        <f>IFERROR(VLOOKUP($A213&amp;"="&amp;$B213,Results_Deltas!$A$2:$P$15000,5,FALSE),"")</f>
        <v/>
      </c>
      <c r="H213" s="56" t="inlineStr">
        <is>
          <t>Blanket (page end)</t>
        </is>
      </c>
    </row>
    <row r="214">
      <c r="A214" s="63" t="inlineStr">
        <is>
          <t>GR_FILTER_ALL_ENTRIES</t>
        </is>
      </c>
      <c r="B214" s="56" t="inlineStr">
        <is>
          <t>0.0_ALT</t>
        </is>
      </c>
      <c r="C214" s="56" t="n"/>
      <c r="D214" s="56" t="inlineStr">
        <is>
          <t>GLOBAL_CHECK, STOCKS_EXIT</t>
        </is>
      </c>
      <c r="E214" s="56">
        <f>IF(G214="",E213,IF(G214&gt;0,E213+G214,E213))</f>
        <v/>
      </c>
      <c r="G214" s="56">
        <f>IFERROR(VLOOKUP($A214&amp;"="&amp;$B214,Results_Deltas!$A$2:$P$15000,5,FALSE),"")</f>
        <v/>
      </c>
      <c r="H214" s="56" t="inlineStr">
        <is>
          <t>Blanket (page end)</t>
        </is>
      </c>
    </row>
    <row r="215">
      <c r="A215" s="63" t="inlineStr">
        <is>
          <t>GR_FILTER_VEC_ENABLED</t>
        </is>
      </c>
      <c r="B215" s="56" t="inlineStr">
        <is>
          <t>False</t>
        </is>
      </c>
      <c r="C215" s="56" t="n"/>
      <c r="D215" s="56" t="inlineStr">
        <is>
          <t>GLOBAL_CHECK</t>
        </is>
      </c>
      <c r="E215" s="56">
        <f>IF(G215="",E214,IF(G215&gt;0,E214+G215,E214))</f>
        <v/>
      </c>
      <c r="G215" s="56">
        <f>IFERROR(VLOOKUP($A215&amp;"="&amp;$B215,Results_Deltas!$A$2:$P$15000,5,FALSE),"")</f>
        <v/>
      </c>
      <c r="H215" s="56" t="inlineStr">
        <is>
          <t>Blanket (page end)</t>
        </is>
      </c>
    </row>
    <row r="216">
      <c r="A216" s="63" t="inlineStr">
        <is>
          <t>GR_FILTER_VEC_ENABLED</t>
        </is>
      </c>
      <c r="B216" s="56" t="inlineStr">
        <is>
          <t>True</t>
        </is>
      </c>
      <c r="C216" s="56" t="n"/>
      <c r="D216" s="56" t="inlineStr">
        <is>
          <t>GLOBAL_CHECK</t>
        </is>
      </c>
      <c r="E216" s="56">
        <f>IF(G216="",E215,IF(G216&gt;0,E215+G216,E215))</f>
        <v/>
      </c>
      <c r="G216" s="56">
        <f>IFERROR(VLOOKUP($A216&amp;"="&amp;$B216,Results_Deltas!$A$2:$P$15000,5,FALSE),"")</f>
        <v/>
      </c>
      <c r="H216" s="56" t="inlineStr">
        <is>
          <t>Blanket (page end)</t>
        </is>
      </c>
    </row>
    <row r="217">
      <c r="A217" s="63" t="inlineStr">
        <is>
          <t>GR_FILTER_VEC_MIN_TFS</t>
        </is>
      </c>
      <c r="B217" s="56" t="inlineStr">
        <is>
          <t>0</t>
        </is>
      </c>
      <c r="C217" s="56" t="n"/>
      <c r="D217" s="56" t="inlineStr">
        <is>
          <t>GLOBAL_CHECK</t>
        </is>
      </c>
      <c r="E217" s="56">
        <f>IF(G217="",E216,IF(G217&gt;0,E216+G217,E216))</f>
        <v/>
      </c>
      <c r="G217" s="56">
        <f>IFERROR(VLOOKUP($A217&amp;"="&amp;$B217,Results_Deltas!$A$2:$P$15000,5,FALSE),"")</f>
        <v/>
      </c>
      <c r="H217" s="56" t="inlineStr">
        <is>
          <t>Blanket (page end)</t>
        </is>
      </c>
    </row>
    <row r="218">
      <c r="A218" s="63" t="inlineStr">
        <is>
          <t>GR_FILTER_VEC_MIN_TFS</t>
        </is>
      </c>
      <c r="B218" s="56" t="inlineStr">
        <is>
          <t>2</t>
        </is>
      </c>
      <c r="C218" s="56" t="n"/>
      <c r="D218" s="56" t="inlineStr">
        <is>
          <t>GLOBAL_CHECK</t>
        </is>
      </c>
      <c r="E218" s="56">
        <f>IF(G218="",E217,IF(G218&gt;0,E217+G218,E217))</f>
        <v/>
      </c>
      <c r="G218" s="56">
        <f>IFERROR(VLOOKUP($A218&amp;"="&amp;$B218,Results_Deltas!$A$2:$P$15000,5,FALSE),"")</f>
        <v/>
      </c>
      <c r="H218" s="56" t="inlineStr">
        <is>
          <t>Blanket (page end)</t>
        </is>
      </c>
    </row>
    <row r="219">
      <c r="A219" s="63" t="inlineStr">
        <is>
          <t>GR_FILTER_VEC_MIN_TFS</t>
        </is>
      </c>
      <c r="B219" s="56" t="inlineStr">
        <is>
          <t>1</t>
        </is>
      </c>
      <c r="C219" s="56" t="n"/>
      <c r="D219" s="56" t="inlineStr">
        <is>
          <t>GLOBAL_CHECK</t>
        </is>
      </c>
      <c r="E219" s="56">
        <f>IF(G219="",E218,IF(G219&gt;0,E218+G219,E218))</f>
        <v/>
      </c>
      <c r="G219" s="56">
        <f>IFERROR(VLOOKUP($A219&amp;"="&amp;$B219,Results_Deltas!$A$2:$P$15000,5,FALSE),"")</f>
        <v/>
      </c>
      <c r="H219" s="56" t="inlineStr">
        <is>
          <t>Blanket (page end)</t>
        </is>
      </c>
    </row>
    <row r="220">
      <c r="A220" s="63" t="inlineStr">
        <is>
          <t>HA_WICK_QUALITY_ENABLED</t>
        </is>
      </c>
      <c r="B220" s="56" t="inlineStr">
        <is>
          <t>False</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HA_WICK_QUALITY_ENABLED</t>
        </is>
      </c>
      <c r="B221" s="56" t="inlineStr">
        <is>
          <t>True</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HA_WICK_QUALITY_SCORE</t>
        </is>
      </c>
      <c r="B222" s="56" t="inlineStr">
        <is>
          <t>15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HA_WICK_QUALITY_SCORE</t>
        </is>
      </c>
      <c r="B223" s="56" t="inlineStr">
        <is>
          <t>15_ALT</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HA_WICK_QUALITY_TF</t>
        </is>
      </c>
      <c r="B224" s="56" t="inlineStr">
        <is>
          <t>OFF</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HA_WICK_QUALITY_TF</t>
        </is>
      </c>
      <c r="B225" s="56" t="inlineStr">
        <is>
          <t>D</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HA_WICK_QUALITY_TF</t>
        </is>
      </c>
      <c r="B226" s="56" t="inlineStr">
        <is>
          <t>4h</t>
        </is>
      </c>
      <c r="C226" s="56" t="n"/>
      <c r="D226" s="56" t="inlineStr">
        <is>
          <t>ENTRY, GLOBAL_CHECK, STOCKS_EXIT</t>
        </is>
      </c>
      <c r="E226" s="56">
        <f>IF(G226="",E225,IF(G226&gt;0,E225+G226,E225))</f>
        <v/>
      </c>
      <c r="G226" s="56">
        <f>IFERROR(VLOOKUP($A226&amp;"="&amp;$B226,Results_Deltas!$A$2:$P$15000,5,FALSE),"")</f>
        <v/>
      </c>
      <c r="H226" s="56" t="inlineStr">
        <is>
          <t>Blanket (page end)</t>
        </is>
      </c>
    </row>
    <row r="227">
      <c r="A227" s="63" t="inlineStr">
        <is>
          <t>HA_WICK_QUALITY_TF</t>
        </is>
      </c>
      <c r="B227" s="56" t="inlineStr">
        <is>
          <t>1h</t>
        </is>
      </c>
      <c r="C227" s="56" t="n"/>
      <c r="D227" s="56" t="inlineStr">
        <is>
          <t>ENTRY, GLOBAL_CHECK, STOCKS_EXIT</t>
        </is>
      </c>
      <c r="E227" s="56">
        <f>IF(G227="",E226,IF(G227&gt;0,E226+G227,E226))</f>
        <v/>
      </c>
      <c r="G227" s="56">
        <f>IFERROR(VLOOKUP($A227&amp;"="&amp;$B227,Results_Deltas!$A$2:$P$15000,5,FALSE),"")</f>
        <v/>
      </c>
      <c r="H227" s="56" t="inlineStr">
        <is>
          <t>Blanket (page end)</t>
        </is>
      </c>
    </row>
    <row r="228">
      <c r="A228" s="63" t="inlineStr">
        <is>
          <t>HA_WICK_QUALITY_TF</t>
        </is>
      </c>
      <c r="B228" s="56" t="inlineStr">
        <is>
          <t>15m</t>
        </is>
      </c>
      <c r="C228" s="56" t="n"/>
      <c r="D228" s="56" t="inlineStr">
        <is>
          <t>ENTRY, GLOBAL_CHECK, STOCKS_EXIT</t>
        </is>
      </c>
      <c r="E228" s="56">
        <f>IF(G228="",E227,IF(G228&gt;0,E227+G228,E227))</f>
        <v/>
      </c>
      <c r="G228" s="56">
        <f>IFERROR(VLOOKUP($A228&amp;"="&amp;$B228,Results_Deltas!$A$2:$P$15000,5,FALSE),"")</f>
        <v/>
      </c>
      <c r="H228" s="56" t="inlineStr">
        <is>
          <t>Blanket (page end)</t>
        </is>
      </c>
    </row>
    <row r="229">
      <c r="A229" s="63" t="inlineStr">
        <is>
          <t>HLR_SMA_BAND_PCT</t>
        </is>
      </c>
      <c r="B229" s="56" t="inlineStr">
        <is>
          <t>0</t>
        </is>
      </c>
      <c r="C229" s="56" t="n"/>
      <c r="D229" s="56" t="inlineStr">
        <is>
          <t>ENTRY, GLOBAL_CHECK, STOCKS_EXIT</t>
        </is>
      </c>
      <c r="E229" s="56">
        <f>IF(G229="",E228,IF(G229&gt;0,E228+G229,E228))</f>
        <v/>
      </c>
      <c r="G229" s="56">
        <f>IFERROR(VLOOKUP($A229&amp;"="&amp;$B229,Results_Deltas!$A$2:$P$15000,5,FALSE),"")</f>
        <v/>
      </c>
      <c r="H229" s="56" t="inlineStr">
        <is>
          <t>Blanket (page end)</t>
        </is>
      </c>
    </row>
    <row r="230">
      <c r="A230" s="63" t="inlineStr">
        <is>
          <t>HLR_SMA_BAND_PCT</t>
        </is>
      </c>
      <c r="B230" s="56" t="inlineStr">
        <is>
          <t>2.0</t>
        </is>
      </c>
      <c r="C230" s="56" t="n"/>
      <c r="D230" s="56" t="inlineStr">
        <is>
          <t>ENTRY, GLOBAL_CHECK, STOCKS_EXIT</t>
        </is>
      </c>
      <c r="E230" s="56">
        <f>IF(G230="",E229,IF(G230&gt;0,E229+G230,E229))</f>
        <v/>
      </c>
      <c r="G230" s="56">
        <f>IFERROR(VLOOKUP($A230&amp;"="&amp;$B230,Results_Deltas!$A$2:$P$15000,5,FALSE),"")</f>
        <v/>
      </c>
      <c r="H230" s="56" t="inlineStr">
        <is>
          <t>Blanket (page end)</t>
        </is>
      </c>
    </row>
    <row r="231">
      <c r="A231" s="63" t="inlineStr">
        <is>
          <t>HLR_SMA_BAND_PCT</t>
        </is>
      </c>
      <c r="B231" s="56" t="inlineStr">
        <is>
          <t>1.0</t>
        </is>
      </c>
      <c r="C231" s="56" t="n"/>
      <c r="D231" s="56" t="inlineStr">
        <is>
          <t>ENTRY, GLOBAL_CHECK, STOCKS_EXIT</t>
        </is>
      </c>
      <c r="E231" s="56">
        <f>IF(G231="",E230,IF(G231&gt;0,E230+G231,E230))</f>
        <v/>
      </c>
      <c r="G231" s="56">
        <f>IFERROR(VLOOKUP($A231&amp;"="&amp;$B231,Results_Deltas!$A$2:$P$15000,5,FALSE),"")</f>
        <v/>
      </c>
      <c r="H231" s="56" t="inlineStr">
        <is>
          <t>Blanket (page end)</t>
        </is>
      </c>
    </row>
    <row r="232">
      <c r="A232" s="63" t="inlineStr">
        <is>
          <t>HLR_SMA_BAND_PCT</t>
        </is>
      </c>
      <c r="B232" s="56" t="inlineStr">
        <is>
          <t>0.5</t>
        </is>
      </c>
      <c r="C232" s="56" t="n"/>
      <c r="D232" s="56" t="inlineStr">
        <is>
          <t>ENTRY, GLOBAL_CHECK, STOCKS_EXIT</t>
        </is>
      </c>
      <c r="E232" s="56">
        <f>IF(G232="",E231,IF(G232&gt;0,E231+G232,E231))</f>
        <v/>
      </c>
      <c r="G232" s="56">
        <f>IFERROR(VLOOKUP($A232&amp;"="&amp;$B232,Results_Deltas!$A$2:$P$15000,5,FALSE),"")</f>
        <v/>
      </c>
      <c r="H232" s="56" t="inlineStr">
        <is>
          <t>Blanket (page end)</t>
        </is>
      </c>
    </row>
    <row r="233">
      <c r="A233" s="63" t="inlineStr">
        <is>
          <t>HLR_TOP_MIN_TFS</t>
        </is>
      </c>
      <c r="B233" s="56" t="inlineStr">
        <is>
          <t>0</t>
        </is>
      </c>
      <c r="C233" s="56" t="n"/>
      <c r="D233" s="56" t="inlineStr">
        <is>
          <t>GLOBAL_CHECK, REENTRY, STOCKS_EXIT</t>
        </is>
      </c>
      <c r="E233" s="56">
        <f>IF(G233="",E232,IF(G233&gt;0,E232+G233,E232))</f>
        <v/>
      </c>
      <c r="G233" s="56">
        <f>IFERROR(VLOOKUP($A233&amp;"="&amp;$B233,Results_Deltas!$A$2:$P$15000,5,FALSE),"")</f>
        <v/>
      </c>
      <c r="H233" s="56" t="inlineStr">
        <is>
          <t>Blanket (page end)</t>
        </is>
      </c>
    </row>
    <row r="234">
      <c r="A234" s="63" t="inlineStr">
        <is>
          <t>HLR_TOP_MIN_TFS</t>
        </is>
      </c>
      <c r="B234" s="56" t="inlineStr">
        <is>
          <t>2</t>
        </is>
      </c>
      <c r="C234" s="56" t="n"/>
      <c r="D234" s="56" t="inlineStr">
        <is>
          <t>GLOBAL_CHECK, REENTRY, STOCKS_EXIT</t>
        </is>
      </c>
      <c r="E234" s="56">
        <f>IF(G234="",E233,IF(G234&gt;0,E233+G234,E233))</f>
        <v/>
      </c>
      <c r="G234" s="56">
        <f>IFERROR(VLOOKUP($A234&amp;"="&amp;$B234,Results_Deltas!$A$2:$P$15000,5,FALSE),"")</f>
        <v/>
      </c>
      <c r="H234" s="56" t="inlineStr">
        <is>
          <t>Blanket (page end)</t>
        </is>
      </c>
    </row>
    <row r="235">
      <c r="A235" s="63" t="inlineStr">
        <is>
          <t>HLR_TOP_MIN_TFS</t>
        </is>
      </c>
      <c r="B235" s="56" t="inlineStr">
        <is>
          <t>1</t>
        </is>
      </c>
      <c r="C235" s="56" t="n"/>
      <c r="D235" s="56" t="inlineStr">
        <is>
          <t>GLOBAL_CHECK, REENTRY, STOCKS_EXIT</t>
        </is>
      </c>
      <c r="E235" s="56">
        <f>IF(G235="",E234,IF(G235&gt;0,E234+G235,E234))</f>
        <v/>
      </c>
      <c r="G235" s="56">
        <f>IFERROR(VLOOKUP($A235&amp;"="&amp;$B235,Results_Deltas!$A$2:$P$15000,5,FALSE),"")</f>
        <v/>
      </c>
      <c r="H235" s="56" t="inlineStr">
        <is>
          <t>Blanket (page end)</t>
        </is>
      </c>
    </row>
    <row r="236">
      <c r="A236" s="63" t="inlineStr">
        <is>
          <t>HTF4_CONF</t>
        </is>
      </c>
      <c r="B236" s="56" t="inlineStr">
        <is>
          <t>False</t>
        </is>
      </c>
      <c r="C236" s="56" t="n"/>
      <c r="D236" s="56" t="inlineStr">
        <is>
          <t>GLOBAL_CHECK, STOCKS_EXIT</t>
        </is>
      </c>
      <c r="E236" s="56">
        <f>IF(G236="",E235,IF(G236&gt;0,E235+G236,E235))</f>
        <v/>
      </c>
      <c r="G236" s="56">
        <f>IFERROR(VLOOKUP($A236&amp;"="&amp;$B236,Results_Deltas!$A$2:$P$15000,5,FALSE),"")</f>
        <v/>
      </c>
      <c r="H236" s="56" t="inlineStr">
        <is>
          <t>Blanket (page end)</t>
        </is>
      </c>
    </row>
    <row r="237">
      <c r="A237" s="63" t="inlineStr">
        <is>
          <t>HTF4_CONF</t>
        </is>
      </c>
      <c r="B237" s="56" t="inlineStr">
        <is>
          <t>False_ALT</t>
        </is>
      </c>
      <c r="C237" s="56" t="n"/>
      <c r="D237" s="56" t="inlineStr">
        <is>
          <t>GLOBAL_CHECK, STOCKS_EXIT</t>
        </is>
      </c>
      <c r="E237" s="56">
        <f>IF(G237="",E236,IF(G237&gt;0,E236+G237,E236))</f>
        <v/>
      </c>
      <c r="G237" s="56">
        <f>IFERROR(VLOOKUP($A237&amp;"="&amp;$B237,Results_Deltas!$A$2:$P$15000,5,FALSE),"")</f>
        <v/>
      </c>
      <c r="H237" s="56" t="inlineStr">
        <is>
          <t>Blanket (page end)</t>
        </is>
      </c>
    </row>
    <row r="238">
      <c r="A238" s="63" t="inlineStr">
        <is>
          <t>HTF_DIRECTION_GATE_ENABLED</t>
        </is>
      </c>
      <c r="B238" s="56" t="inlineStr">
        <is>
          <t>False</t>
        </is>
      </c>
      <c r="C238" s="56" t="n"/>
      <c r="D238" s="56" t="inlineStr">
        <is>
          <t>ENTRY, GLOBAL_CHECK, STOCKS_EXIT</t>
        </is>
      </c>
      <c r="E238" s="56">
        <f>IF(G238="",E237,IF(G238&gt;0,E237+G238,E237))</f>
        <v/>
      </c>
      <c r="G238" s="56">
        <f>IFERROR(VLOOKUP($A238&amp;"="&amp;$B238,Results_Deltas!$A$2:$P$15000,5,FALSE),"")</f>
        <v/>
      </c>
      <c r="H238" s="56" t="inlineStr">
        <is>
          <t>Blanket (page end)</t>
        </is>
      </c>
    </row>
    <row r="239">
      <c r="A239" s="63" t="inlineStr">
        <is>
          <t>HTF_DIRECTION_GATE_ENABLED</t>
        </is>
      </c>
      <c r="B239" s="56" t="inlineStr">
        <is>
          <t>True</t>
        </is>
      </c>
      <c r="C239" s="56" t="n"/>
      <c r="D239" s="56" t="inlineStr">
        <is>
          <t>ENTRY, GLOBAL_CHECK, STOCKS_EXIT</t>
        </is>
      </c>
      <c r="E239" s="56">
        <f>IF(G239="",E238,IF(G239&gt;0,E238+G239,E238))</f>
        <v/>
      </c>
      <c r="G239" s="56">
        <f>IFERROR(VLOOKUP($A239&amp;"="&amp;$B239,Results_Deltas!$A$2:$P$15000,5,FALSE),"")</f>
        <v/>
      </c>
      <c r="H239" s="56" t="inlineStr">
        <is>
          <t>Blanket (page end)</t>
        </is>
      </c>
    </row>
    <row r="240">
      <c r="A240" s="63" t="inlineStr">
        <is>
          <t>HTF_GATE_BYPASS_RZ</t>
        </is>
      </c>
      <c r="B240" s="56" t="inlineStr">
        <is>
          <t>0.0</t>
        </is>
      </c>
      <c r="C240" s="56" t="n"/>
      <c r="D240" s="56" t="inlineStr">
        <is>
          <t>ENTRY, GLOBAL_CHECK, STOCKS_EXIT</t>
        </is>
      </c>
      <c r="E240" s="56">
        <f>IF(G240="",E239,IF(G240&gt;0,E239+G240,E239))</f>
        <v/>
      </c>
      <c r="G240" s="56">
        <f>IFERROR(VLOOKUP($A240&amp;"="&amp;$B240,Results_Deltas!$A$2:$P$15000,5,FALSE),"")</f>
        <v/>
      </c>
      <c r="H240" s="56" t="inlineStr">
        <is>
          <t>Blanket (page end)</t>
        </is>
      </c>
    </row>
    <row r="241">
      <c r="A241" s="63" t="inlineStr">
        <is>
          <t>HTF_GATE_BYPASS_RZ</t>
        </is>
      </c>
      <c r="B241" s="56" t="inlineStr">
        <is>
          <t>0.0_ALT</t>
        </is>
      </c>
      <c r="C241" s="56" t="n"/>
      <c r="D241" s="56" t="inlineStr">
        <is>
          <t>ENTRY, GLOBAL_CHECK, STOCKS_EXIT</t>
        </is>
      </c>
      <c r="E241" s="56">
        <f>IF(G241="",E240,IF(G241&gt;0,E240+G241,E240))</f>
        <v/>
      </c>
      <c r="G241" s="56">
        <f>IFERROR(VLOOKUP($A241&amp;"="&amp;$B241,Results_Deltas!$A$2:$P$15000,5,FALSE),"")</f>
        <v/>
      </c>
      <c r="H241" s="56" t="inlineStr">
        <is>
          <t>Blanket (page end)</t>
        </is>
      </c>
    </row>
    <row r="242">
      <c r="A242" s="63" t="inlineStr">
        <is>
          <t>HTF_GATE_D_MANDATORY</t>
        </is>
      </c>
      <c r="B242" s="56" t="inlineStr">
        <is>
          <t>0.0</t>
        </is>
      </c>
      <c r="C242" s="56" t="n"/>
      <c r="D242" s="56" t="inlineStr">
        <is>
          <t>ENTRY, GLOBAL_CHECK, STOCKS_EXIT</t>
        </is>
      </c>
      <c r="E242" s="56">
        <f>IF(G242="",E241,IF(G242&gt;0,E241+G242,E241))</f>
        <v/>
      </c>
      <c r="G242" s="56">
        <f>IFERROR(VLOOKUP($A242&amp;"="&amp;$B242,Results_Deltas!$A$2:$P$15000,5,FALSE),"")</f>
        <v/>
      </c>
      <c r="H242" s="56" t="inlineStr">
        <is>
          <t>Blanket (page end)</t>
        </is>
      </c>
    </row>
    <row r="243">
      <c r="A243" s="63" t="inlineStr">
        <is>
          <t>HTF_GATE_D_MANDATORY</t>
        </is>
      </c>
      <c r="B243" s="56" t="inlineStr">
        <is>
          <t>0.0_ALT</t>
        </is>
      </c>
      <c r="C243" s="56" t="n"/>
      <c r="D243" s="56" t="inlineStr">
        <is>
          <t>ENTRY, GLOBAL_CHECK, STOCKS_EXIT</t>
        </is>
      </c>
      <c r="E243" s="56">
        <f>IF(G243="",E242,IF(G243&gt;0,E242+G243,E242))</f>
        <v/>
      </c>
      <c r="G243" s="56">
        <f>IFERROR(VLOOKUP($A243&amp;"="&amp;$B243,Results_Deltas!$A$2:$P$15000,5,FALSE),"")</f>
        <v/>
      </c>
      <c r="H243" s="56" t="inlineStr">
        <is>
          <t>Blanket (page end)</t>
        </is>
      </c>
    </row>
    <row r="244">
      <c r="A244" s="63" t="inlineStr">
        <is>
          <t>HTF_GATE_MIN_CONFIRMATIONS</t>
        </is>
      </c>
      <c r="B244" s="56" t="inlineStr">
        <is>
          <t>0.0</t>
        </is>
      </c>
      <c r="C244" s="56" t="n"/>
      <c r="D244" s="56" t="inlineStr">
        <is>
          <t>ENTRY, GLOBAL_CHECK, STOCKS_EXIT</t>
        </is>
      </c>
      <c r="E244" s="56">
        <f>IF(G244="",E243,IF(G244&gt;0,E243+G244,E243))</f>
        <v/>
      </c>
      <c r="G244" s="56">
        <f>IFERROR(VLOOKUP($A244&amp;"="&amp;$B244,Results_Deltas!$A$2:$P$15000,5,FALSE),"")</f>
        <v/>
      </c>
      <c r="H244" s="56" t="inlineStr">
        <is>
          <t>Blanket (page end)</t>
        </is>
      </c>
    </row>
    <row r="245">
      <c r="A245" s="63" t="inlineStr">
        <is>
          <t>HTF_GATE_MIN_CONFIRMATIONS</t>
        </is>
      </c>
      <c r="B245" s="56" t="inlineStr">
        <is>
          <t>0.0_ALT</t>
        </is>
      </c>
      <c r="C245" s="56" t="n"/>
      <c r="D245" s="56" t="inlineStr">
        <is>
          <t>ENTRY, GLOBAL_CHECK, STOCKS_EXIT</t>
        </is>
      </c>
      <c r="E245" s="56">
        <f>IF(G245="",E244,IF(G245&gt;0,E244+G245,E244))</f>
        <v/>
      </c>
      <c r="G245" s="56">
        <f>IFERROR(VLOOKUP($A245&amp;"="&amp;$B245,Results_Deltas!$A$2:$P$15000,5,FALSE),"")</f>
        <v/>
      </c>
      <c r="H245" s="56" t="inlineStr">
        <is>
          <t>Blanket (page end)</t>
        </is>
      </c>
    </row>
    <row r="246">
      <c r="A246" s="63" t="inlineStr">
        <is>
          <t>HTF_TREND_VETO_BYPASS_ENABLED</t>
        </is>
      </c>
      <c r="B246" s="56" t="inlineStr">
        <is>
          <t>False</t>
        </is>
      </c>
      <c r="C246" s="56" t="n"/>
      <c r="D246" s="56" t="inlineStr">
        <is>
          <t>GLOBAL_CHECK, STOCKS_EXIT</t>
        </is>
      </c>
      <c r="E246" s="56">
        <f>IF(G246="",E245,IF(G246&gt;0,E245+G246,E245))</f>
        <v/>
      </c>
      <c r="G246" s="56">
        <f>IFERROR(VLOOKUP($A246&amp;"="&amp;$B246,Results_Deltas!$A$2:$P$15000,5,FALSE),"")</f>
        <v/>
      </c>
      <c r="H246" s="56" t="inlineStr">
        <is>
          <t>Blanket (page end)</t>
        </is>
      </c>
    </row>
    <row r="247">
      <c r="A247" s="63" t="inlineStr">
        <is>
          <t>HTF_TREND_VETO_BYPASS_ENABLED</t>
        </is>
      </c>
      <c r="B247" s="56" t="inlineStr">
        <is>
          <t>True</t>
        </is>
      </c>
      <c r="C247" s="56" t="n"/>
      <c r="D247" s="56" t="inlineStr">
        <is>
          <t>GLOBAL_CHECK, STOCKS_EXIT</t>
        </is>
      </c>
      <c r="E247" s="56">
        <f>IF(G247="",E246,IF(G247&gt;0,E246+G247,E246))</f>
        <v/>
      </c>
      <c r="G247" s="56">
        <f>IFERROR(VLOOKUP($A247&amp;"="&amp;$B247,Results_Deltas!$A$2:$P$15000,5,FALSE),"")</f>
        <v/>
      </c>
      <c r="H247" s="56" t="inlineStr">
        <is>
          <t>Blanket (page end)</t>
        </is>
      </c>
    </row>
    <row r="248">
      <c r="A248" s="63" t="inlineStr">
        <is>
          <t>HTF_TREND_VETO_BYPASS_REASONS</t>
        </is>
      </c>
      <c r="B248" s="56" t="inlineStr">
        <is>
          <t>0.0</t>
        </is>
      </c>
      <c r="C248" s="56" t="n"/>
      <c r="D248" s="56" t="inlineStr">
        <is>
          <t>GLOBAL_CHECK, STOCKS_EXIT</t>
        </is>
      </c>
      <c r="E248" s="56">
        <f>IF(G248="",E247,IF(G248&gt;0,E247+G248,E247))</f>
        <v/>
      </c>
      <c r="G248" s="56">
        <f>IFERROR(VLOOKUP($A248&amp;"="&amp;$B248,Results_Deltas!$A$2:$P$15000,5,FALSE),"")</f>
        <v/>
      </c>
      <c r="H248" s="56" t="inlineStr">
        <is>
          <t>Blanket (page end)</t>
        </is>
      </c>
    </row>
    <row r="249">
      <c r="A249" s="63" t="inlineStr">
        <is>
          <t>HTF_TREND_VETO_BYPASS_REASONS</t>
        </is>
      </c>
      <c r="B249" s="56" t="inlineStr">
        <is>
          <t>0.0_ALT</t>
        </is>
      </c>
      <c r="C249" s="56" t="n"/>
      <c r="D249" s="56" t="inlineStr">
        <is>
          <t>GLOBAL_CHECK, STOCKS_EXIT</t>
        </is>
      </c>
      <c r="E249" s="56">
        <f>IF(G249="",E248,IF(G249&gt;0,E248+G249,E248))</f>
        <v/>
      </c>
      <c r="G249" s="56">
        <f>IFERROR(VLOOKUP($A249&amp;"="&amp;$B249,Results_Deltas!$A$2:$P$15000,5,FALSE),"")</f>
        <v/>
      </c>
      <c r="H249" s="56" t="inlineStr">
        <is>
          <t>Blanket (page end)</t>
        </is>
      </c>
    </row>
    <row r="250">
      <c r="A250" s="63" t="inlineStr">
        <is>
          <t>LEADERBOARD_FILTER</t>
        </is>
      </c>
      <c r="B250" s="56" t="inlineStr">
        <is>
          <t>False</t>
        </is>
      </c>
      <c r="C250" s="56" t="n"/>
      <c r="D250" s="56" t="inlineStr">
        <is>
          <t>AUGMENT, ENTRY, EXIT, GLOBAL_CHECK, REDUCE, STOCKS_EXIT</t>
        </is>
      </c>
      <c r="E250" s="56">
        <f>IF(G250="",E249,IF(G250&gt;0,E249+G250,E249))</f>
        <v/>
      </c>
      <c r="G250" s="56">
        <f>IFERROR(VLOOKUP($A250&amp;"="&amp;$B250,Results_Deltas!$A$2:$P$15000,5,FALSE),"")</f>
        <v/>
      </c>
      <c r="H250" s="56" t="inlineStr">
        <is>
          <t>Blanket (page end)</t>
        </is>
      </c>
    </row>
    <row r="251">
      <c r="A251" s="63" t="inlineStr">
        <is>
          <t>LEADERBOARD_FILTER</t>
        </is>
      </c>
      <c r="B251" s="56" t="inlineStr">
        <is>
          <t>False_ALT</t>
        </is>
      </c>
      <c r="C251" s="56" t="n"/>
      <c r="D251" s="56" t="inlineStr">
        <is>
          <t>AUGMENT, ENTRY, EXIT, GLOBAL_CHECK, REDUCE, STOCKS_EXIT</t>
        </is>
      </c>
      <c r="E251" s="56">
        <f>IF(G251="",E250,IF(G251&gt;0,E250+G251,E250))</f>
        <v/>
      </c>
      <c r="G251" s="56">
        <f>IFERROR(VLOOKUP($A251&amp;"="&amp;$B251,Results_Deltas!$A$2:$P$15000,5,FALSE),"")</f>
        <v/>
      </c>
      <c r="H251" s="56" t="inlineStr">
        <is>
          <t>Blanket (page end)</t>
        </is>
      </c>
    </row>
    <row r="252">
      <c r="A252" s="63" t="inlineStr">
        <is>
          <t>LH_HL_FILTER_ENABLED</t>
        </is>
      </c>
      <c r="B252" s="56" t="inlineStr">
        <is>
          <t>False</t>
        </is>
      </c>
      <c r="C252" s="56" t="n"/>
      <c r="D252" s="56" t="inlineStr">
        <is>
          <t>ENTRY, GLOBAL_CHECK, STOCKS_EXIT</t>
        </is>
      </c>
      <c r="E252" s="56">
        <f>IF(G252="",E251,IF(G252&gt;0,E251+G252,E251))</f>
        <v/>
      </c>
      <c r="G252" s="56">
        <f>IFERROR(VLOOKUP($A252&amp;"="&amp;$B252,Results_Deltas!$A$2:$P$15000,5,FALSE),"")</f>
        <v/>
      </c>
      <c r="H252" s="56" t="inlineStr">
        <is>
          <t>Blanket (page end)</t>
        </is>
      </c>
    </row>
    <row r="253">
      <c r="A253" s="63" t="inlineStr">
        <is>
          <t>LH_HL_FILTER_ENABLED</t>
        </is>
      </c>
      <c r="B253" s="56" t="inlineStr">
        <is>
          <t>True</t>
        </is>
      </c>
      <c r="C253" s="56" t="n"/>
      <c r="D253" s="56" t="inlineStr">
        <is>
          <t>ENTRY, GLOBAL_CHECK, STOCKS_EXIT</t>
        </is>
      </c>
      <c r="E253" s="56">
        <f>IF(G253="",E252,IF(G253&gt;0,E252+G253,E252))</f>
        <v/>
      </c>
      <c r="G253" s="56">
        <f>IFERROR(VLOOKUP($A253&amp;"="&amp;$B253,Results_Deltas!$A$2:$P$15000,5,FALSE),"")</f>
        <v/>
      </c>
      <c r="H253" s="56" t="inlineStr">
        <is>
          <t>Blanket (page end)</t>
        </is>
      </c>
    </row>
    <row r="254">
      <c r="A254" s="63" t="inlineStr">
        <is>
          <t>LH_HL_FILTER_MODE</t>
        </is>
      </c>
      <c r="B254" s="56" t="inlineStr">
        <is>
          <t>STRICT_2BAR</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LH_HL_FILTER_MODE</t>
        </is>
      </c>
      <c r="B255" s="56" t="inlineStr">
        <is>
          <t>STRICT_2BAR_ALT</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LH_HL_FILTER_REQUIRE_BOTH</t>
        </is>
      </c>
      <c r="B256" s="56" t="inlineStr">
        <is>
          <t>False</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LH_HL_FILTER_REQUIRE_BOTH</t>
        </is>
      </c>
      <c r="B257" s="56" t="inlineStr">
        <is>
          <t>False_ALT</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LIVE_VEC_EMERGENCY_BRAKE_ENABLED</t>
        </is>
      </c>
      <c r="B258" s="56" t="inlineStr">
        <is>
          <t>False</t>
        </is>
      </c>
      <c r="C258" s="56" t="n"/>
      <c r="D258" s="56" t="inlineStr">
        <is>
          <t>GLOBAL_CHECK, STOCKS_EXIT</t>
        </is>
      </c>
      <c r="E258" s="56">
        <f>IF(G258="",E257,IF(G258&gt;0,E257+G258,E257))</f>
        <v/>
      </c>
      <c r="G258" s="56">
        <f>IFERROR(VLOOKUP($A258&amp;"="&amp;$B258,Results_Deltas!$A$2:$P$15000,5,FALSE),"")</f>
        <v/>
      </c>
      <c r="H258" s="56" t="inlineStr">
        <is>
          <t>Blanket (page end)</t>
        </is>
      </c>
    </row>
    <row r="259">
      <c r="A259" s="63" t="inlineStr">
        <is>
          <t>LIVE_VEC_EMERGENCY_BRAKE_ENABLED</t>
        </is>
      </c>
      <c r="B259" s="56" t="inlineStr">
        <is>
          <t>True</t>
        </is>
      </c>
      <c r="C259" s="56" t="n"/>
      <c r="D259" s="56" t="inlineStr">
        <is>
          <t>GLOBAL_CHECK, STOCKS_EXIT</t>
        </is>
      </c>
      <c r="E259" s="56">
        <f>IF(G259="",E258,IF(G259&gt;0,E258+G259,E258))</f>
        <v/>
      </c>
      <c r="G259" s="56">
        <f>IFERROR(VLOOKUP($A259&amp;"="&amp;$B259,Results_Deltas!$A$2:$P$15000,5,FALSE),"")</f>
        <v/>
      </c>
      <c r="H259" s="56" t="inlineStr">
        <is>
          <t>Blanket (page end)</t>
        </is>
      </c>
    </row>
    <row r="260">
      <c r="A260" s="63" t="inlineStr">
        <is>
          <t>LR_BAND_LADDER_STOCH_EXTREME</t>
        </is>
      </c>
      <c r="B260" s="56" t="inlineStr">
        <is>
          <t>30.0</t>
        </is>
      </c>
      <c r="C260" s="56" t="n"/>
      <c r="D260" s="56" t="inlineStr">
        <is>
          <t>GLOBAL_CHECK, STOCKS_EXIT</t>
        </is>
      </c>
      <c r="E260" s="56">
        <f>IF(G260="",E259,IF(G260&gt;0,E259+G260,E259))</f>
        <v/>
      </c>
      <c r="G260" s="56">
        <f>IFERROR(VLOOKUP($A260&amp;"="&amp;$B260,Results_Deltas!$A$2:$P$15000,5,FALSE),"")</f>
        <v/>
      </c>
      <c r="H260" s="56" t="inlineStr">
        <is>
          <t>Blanket (page end)</t>
        </is>
      </c>
    </row>
    <row r="261">
      <c r="A261" s="63" t="inlineStr">
        <is>
          <t>LR_BAND_LADDER_STOCH_EXTREME</t>
        </is>
      </c>
      <c r="B261" s="56" t="inlineStr">
        <is>
          <t>30.0_ALT</t>
        </is>
      </c>
      <c r="C261" s="56" t="n"/>
      <c r="D261" s="56" t="inlineStr">
        <is>
          <t>GLOBAL_CHECK, STOCKS_EXIT</t>
        </is>
      </c>
      <c r="E261" s="56">
        <f>IF(G261="",E260,IF(G261&gt;0,E260+G261,E260))</f>
        <v/>
      </c>
      <c r="G261" s="56">
        <f>IFERROR(VLOOKUP($A261&amp;"="&amp;$B261,Results_Deltas!$A$2:$P$15000,5,FALSE),"")</f>
        <v/>
      </c>
      <c r="H261" s="56" t="inlineStr">
        <is>
          <t>Blanket (page end)</t>
        </is>
      </c>
    </row>
    <row r="262">
      <c r="A262" s="63" t="inlineStr">
        <is>
          <t>LR_BAND_LADDER_TF_BOTTOM</t>
        </is>
      </c>
      <c r="B262" s="56" t="inlineStr">
        <is>
          <t>0</t>
        </is>
      </c>
      <c r="C262" s="56" t="n"/>
      <c r="D262" s="56" t="inlineStr">
        <is>
          <t>GLOBAL_CHECK, STOCKS_EXIT</t>
        </is>
      </c>
      <c r="E262" s="56">
        <f>IF(G262="",E261,IF(G262&gt;0,E261+G262,E261))</f>
        <v/>
      </c>
      <c r="G262" s="56">
        <f>IFERROR(VLOOKUP($A262&amp;"="&amp;$B262,Results_Deltas!$A$2:$P$15000,5,FALSE),"")</f>
        <v/>
      </c>
      <c r="H262" s="56" t="inlineStr">
        <is>
          <t>Blanket (page end)</t>
        </is>
      </c>
    </row>
    <row r="263">
      <c r="A263" s="63" t="inlineStr">
        <is>
          <t>LR_BAND_LADDER_TF_BOTTOM</t>
        </is>
      </c>
      <c r="B263" s="56" t="inlineStr">
        <is>
          <t>1</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LR_BAND_LADDER_TF_TOP</t>
        </is>
      </c>
      <c r="B264" s="56" t="inlineStr">
        <is>
          <t>0</t>
        </is>
      </c>
      <c r="C264" s="56" t="n"/>
      <c r="D264" s="56" t="inlineStr">
        <is>
          <t>GLOBAL_CHECK, STOCKS_EXIT</t>
        </is>
      </c>
      <c r="E264" s="56">
        <f>IF(G264="",E263,IF(G264&gt;0,E263+G264,E263))</f>
        <v/>
      </c>
      <c r="G264" s="56">
        <f>IFERROR(VLOOKUP($A264&amp;"="&amp;$B264,Results_Deltas!$A$2:$P$15000,5,FALSE),"")</f>
        <v/>
      </c>
      <c r="H264" s="56" t="inlineStr">
        <is>
          <t>Blanket (page end)</t>
        </is>
      </c>
    </row>
    <row r="265">
      <c r="A265" s="63" t="inlineStr">
        <is>
          <t>LR_BAND_LADDER_TF_TOP</t>
        </is>
      </c>
      <c r="B265" s="56" t="inlineStr">
        <is>
          <t>1</t>
        </is>
      </c>
      <c r="C265" s="56" t="n"/>
      <c r="D265" s="56" t="inlineStr">
        <is>
          <t>GLOBAL_CHECK, STOCKS_EXIT</t>
        </is>
      </c>
      <c r="E265" s="56">
        <f>IF(G265="",E264,IF(G265&gt;0,E264+G265,E264))</f>
        <v/>
      </c>
      <c r="G265" s="56">
        <f>IFERROR(VLOOKUP($A265&amp;"="&amp;$B265,Results_Deltas!$A$2:$P$15000,5,FALSE),"")</f>
        <v/>
      </c>
      <c r="H265" s="56" t="inlineStr">
        <is>
          <t>Blanket (page end)</t>
        </is>
      </c>
    </row>
    <row r="266">
      <c r="A266" s="63" t="inlineStr">
        <is>
          <t>MANDATORY_REENTRY_WT_FILTER_MIN_TFS</t>
        </is>
      </c>
      <c r="B266" s="56" t="inlineStr">
        <is>
          <t>1</t>
        </is>
      </c>
      <c r="C266" s="56" t="n"/>
      <c r="D266" s="56" t="inlineStr">
        <is>
          <t>GLOBAL_CHECK, STOCKS_EXIT</t>
        </is>
      </c>
      <c r="E266" s="56">
        <f>IF(G266="",E265,IF(G266&gt;0,E265+G266,E265))</f>
        <v/>
      </c>
      <c r="G266" s="56">
        <f>IFERROR(VLOOKUP($A266&amp;"="&amp;$B266,Results_Deltas!$A$2:$P$15000,5,FALSE),"")</f>
        <v/>
      </c>
      <c r="H266" s="56" t="inlineStr">
        <is>
          <t>Blanket (page end)</t>
        </is>
      </c>
    </row>
    <row r="267">
      <c r="A267" s="63" t="inlineStr">
        <is>
          <t>MANDATORY_REENTRY_WT_FILTER_MIN_TFS</t>
        </is>
      </c>
      <c r="B267" s="56" t="inlineStr">
        <is>
          <t>3</t>
        </is>
      </c>
      <c r="C267" s="56" t="n"/>
      <c r="D267" s="56" t="inlineStr">
        <is>
          <t>GLOBAL_CHECK, STOCKS_EXIT</t>
        </is>
      </c>
      <c r="E267" s="56">
        <f>IF(G267="",E266,IF(G267&gt;0,E266+G267,E266))</f>
        <v/>
      </c>
      <c r="G267" s="56">
        <f>IFERROR(VLOOKUP($A267&amp;"="&amp;$B267,Results_Deltas!$A$2:$P$15000,5,FALSE),"")</f>
        <v/>
      </c>
      <c r="H267" s="56" t="inlineStr">
        <is>
          <t>Blanket (page end)</t>
        </is>
      </c>
    </row>
    <row r="268">
      <c r="A268" s="63" t="inlineStr">
        <is>
          <t>MANDATORY_REENTRY_WT_FILTER_MIN_TFS</t>
        </is>
      </c>
      <c r="B268" s="56" t="inlineStr">
        <is>
          <t>2</t>
        </is>
      </c>
      <c r="C268" s="56" t="n"/>
      <c r="D268" s="56" t="inlineStr">
        <is>
          <t>GLOBAL_CHECK, STOCKS_EXIT</t>
        </is>
      </c>
      <c r="E268" s="56">
        <f>IF(G268="",E267,IF(G268&gt;0,E267+G268,E267))</f>
        <v/>
      </c>
      <c r="G268" s="56">
        <f>IFERROR(VLOOKUP($A268&amp;"="&amp;$B268,Results_Deltas!$A$2:$P$15000,5,FALSE),"")</f>
        <v/>
      </c>
      <c r="H268" s="56" t="inlineStr">
        <is>
          <t>Blanket (page end)</t>
        </is>
      </c>
    </row>
    <row r="269">
      <c r="A269" s="63" t="inlineStr">
        <is>
          <t>MANDATORY_REENTRY_WT_FILTER_MIN_VELOCITY</t>
        </is>
      </c>
      <c r="B269" s="56" t="inlineStr">
        <is>
          <t>0.0</t>
        </is>
      </c>
      <c r="C269" s="56" t="n"/>
      <c r="D269" s="56" t="inlineStr">
        <is>
          <t>GLOBAL_CHECK, STOCKS_EXIT</t>
        </is>
      </c>
      <c r="E269" s="56">
        <f>IF(G269="",E268,IF(G269&gt;0,E268+G269,E268))</f>
        <v/>
      </c>
      <c r="G269" s="56">
        <f>IFERROR(VLOOKUP($A269&amp;"="&amp;$B269,Results_Deltas!$A$2:$P$15000,5,FALSE),"")</f>
        <v/>
      </c>
      <c r="H269" s="56" t="inlineStr">
        <is>
          <t>Blanket (page end)</t>
        </is>
      </c>
    </row>
    <row r="270">
      <c r="A270" s="63" t="inlineStr">
        <is>
          <t>MANDATORY_REENTRY_WT_FILTER_MIN_VELOCITY</t>
        </is>
      </c>
      <c r="B270" s="56" t="inlineStr">
        <is>
          <t>0.0_ALT</t>
        </is>
      </c>
      <c r="C270" s="56" t="n"/>
      <c r="D270" s="56" t="inlineStr">
        <is>
          <t>GLOBAL_CHECK, STOCKS_EXIT</t>
        </is>
      </c>
      <c r="E270" s="56">
        <f>IF(G270="",E269,IF(G270&gt;0,E269+G270,E269))</f>
        <v/>
      </c>
      <c r="G270" s="56">
        <f>IFERROR(VLOOKUP($A270&amp;"="&amp;$B270,Results_Deltas!$A$2:$P$15000,5,FALSE),"")</f>
        <v/>
      </c>
      <c r="H270" s="56" t="inlineStr">
        <is>
          <t>Blanket (page end)</t>
        </is>
      </c>
    </row>
    <row r="271">
      <c r="A271" s="63" t="inlineStr">
        <is>
          <t>MANDATORY_REENTRY_WT_FILTER_REQUIRE_FLIP</t>
        </is>
      </c>
      <c r="B271" s="56" t="inlineStr">
        <is>
          <t>False</t>
        </is>
      </c>
      <c r="C271" s="56" t="n"/>
      <c r="D271" s="56" t="inlineStr">
        <is>
          <t>GLOBAL_CHECK, STOCKS_EXIT</t>
        </is>
      </c>
      <c r="E271" s="56">
        <f>IF(G271="",E270,IF(G271&gt;0,E270+G271,E270))</f>
        <v/>
      </c>
      <c r="G271" s="56">
        <f>IFERROR(VLOOKUP($A271&amp;"="&amp;$B271,Results_Deltas!$A$2:$P$15000,5,FALSE),"")</f>
        <v/>
      </c>
      <c r="H271" s="56" t="inlineStr">
        <is>
          <t>Blanket (page end)</t>
        </is>
      </c>
    </row>
    <row r="272">
      <c r="A272" s="63" t="inlineStr">
        <is>
          <t>MANDATORY_REENTRY_WT_FILTER_REQUIRE_FLIP</t>
        </is>
      </c>
      <c r="B272" s="56" t="inlineStr">
        <is>
          <t>False_ALT</t>
        </is>
      </c>
      <c r="C272" s="56" t="n"/>
      <c r="D272" s="56" t="inlineStr">
        <is>
          <t>GLOBAL_CHECK, STOCKS_EXIT</t>
        </is>
      </c>
      <c r="E272" s="56">
        <f>IF(G272="",E271,IF(G272&gt;0,E271+G272,E271))</f>
        <v/>
      </c>
      <c r="G272" s="56">
        <f>IFERROR(VLOOKUP($A272&amp;"="&amp;$B272,Results_Deltas!$A$2:$P$15000,5,FALSE),"")</f>
        <v/>
      </c>
      <c r="H272" s="56" t="inlineStr">
        <is>
          <t>Blanket (page end)</t>
        </is>
      </c>
    </row>
    <row r="273">
      <c r="A273" s="63" t="inlineStr">
        <is>
          <t>MANDATORY_REENTRY_WT_FILTER_VELOCITY_RATIO</t>
        </is>
      </c>
      <c r="B273" s="56" t="inlineStr">
        <is>
          <t>0.90</t>
        </is>
      </c>
      <c r="C273" s="56" t="n"/>
      <c r="D273" s="56" t="inlineStr">
        <is>
          <t>GLOBAL_CHECK, STOCKS_EXIT</t>
        </is>
      </c>
      <c r="E273" s="56">
        <f>IF(G273="",E272,IF(G273&gt;0,E272+G273,E272))</f>
        <v/>
      </c>
      <c r="G273" s="56">
        <f>IFERROR(VLOOKUP($A273&amp;"="&amp;$B273,Results_Deltas!$A$2:$P$15000,5,FALSE),"")</f>
        <v/>
      </c>
      <c r="H273" s="56" t="inlineStr">
        <is>
          <t>Blanket (page end)</t>
        </is>
      </c>
    </row>
    <row r="274">
      <c r="A274" s="63" t="inlineStr">
        <is>
          <t>MANDATORY_REENTRY_WT_FILTER_VELOCITY_RATIO</t>
        </is>
      </c>
      <c r="B274" s="56" t="inlineStr">
        <is>
          <t>0.90_ALT</t>
        </is>
      </c>
      <c r="C274" s="56" t="n"/>
      <c r="D274" s="56" t="inlineStr">
        <is>
          <t>GLOBAL_CHECK, STOCKS_EXIT</t>
        </is>
      </c>
      <c r="E274" s="56">
        <f>IF(G274="",E273,IF(G274&gt;0,E273+G274,E273))</f>
        <v/>
      </c>
      <c r="G274" s="56">
        <f>IFERROR(VLOOKUP($A274&amp;"="&amp;$B274,Results_Deltas!$A$2:$P$15000,5,FALSE),"")</f>
        <v/>
      </c>
      <c r="H274" s="56" t="inlineStr">
        <is>
          <t>Blanket (page end)</t>
        </is>
      </c>
    </row>
    <row r="275">
      <c r="A275" s="63" t="inlineStr">
        <is>
          <t>MARKET_QUALITY_SCORE_ENABLED</t>
        </is>
      </c>
      <c r="B275" s="56" t="inlineStr">
        <is>
          <t>False</t>
        </is>
      </c>
      <c r="C275" s="56" t="n"/>
      <c r="D275" s="56" t="inlineStr">
        <is>
          <t>ENTRY, GLOBAL_CHECK, STOCKS_EXIT</t>
        </is>
      </c>
      <c r="E275" s="56">
        <f>IF(G275="",E274,IF(G275&gt;0,E274+G275,E274))</f>
        <v/>
      </c>
      <c r="G275" s="56">
        <f>IFERROR(VLOOKUP($A275&amp;"="&amp;$B275,Results_Deltas!$A$2:$P$15000,5,FALSE),"")</f>
        <v/>
      </c>
      <c r="H275" s="56" t="inlineStr">
        <is>
          <t>Blanket (page end)</t>
        </is>
      </c>
    </row>
    <row r="276">
      <c r="A276" s="63" t="inlineStr">
        <is>
          <t>MARKET_QUALITY_SCORE_ENABLED</t>
        </is>
      </c>
      <c r="B276" s="56" t="inlineStr">
        <is>
          <t>True</t>
        </is>
      </c>
      <c r="C276" s="56" t="n"/>
      <c r="D276" s="56" t="inlineStr">
        <is>
          <t>ENTRY, GLOBAL_CHECK, STOCKS_EXIT</t>
        </is>
      </c>
      <c r="E276" s="56">
        <f>IF(G276="",E275,IF(G276&gt;0,E275+G276,E275))</f>
        <v/>
      </c>
      <c r="G276" s="56">
        <f>IFERROR(VLOOKUP($A276&amp;"="&amp;$B276,Results_Deltas!$A$2:$P$15000,5,FALSE),"")</f>
        <v/>
      </c>
      <c r="H276" s="56" t="inlineStr">
        <is>
          <t>Blanket (page end)</t>
        </is>
      </c>
    </row>
    <row r="277">
      <c r="A277" s="63" t="inlineStr">
        <is>
          <t>MI_TF_AGREE_MIN</t>
        </is>
      </c>
      <c r="B277" s="56" t="inlineStr">
        <is>
          <t>0.0</t>
        </is>
      </c>
      <c r="C277" s="56" t="n"/>
      <c r="D277" s="56" t="inlineStr">
        <is>
          <t>ENTRY, GLOBAL_CHECK, STOCKS_EXIT</t>
        </is>
      </c>
      <c r="E277" s="56">
        <f>IF(G277="",E276,IF(G277&gt;0,E276+G277,E276))</f>
        <v/>
      </c>
      <c r="G277" s="56">
        <f>IFERROR(VLOOKUP($A277&amp;"="&amp;$B277,Results_Deltas!$A$2:$P$15000,5,FALSE),"")</f>
        <v/>
      </c>
      <c r="H277" s="56" t="inlineStr">
        <is>
          <t>Blanket (page end)</t>
        </is>
      </c>
    </row>
    <row r="278">
      <c r="A278" s="63" t="inlineStr">
        <is>
          <t>MI_TF_AGREE_MIN</t>
        </is>
      </c>
      <c r="B278" s="56" t="inlineStr">
        <is>
          <t>0.0_ALT</t>
        </is>
      </c>
      <c r="C278" s="56" t="n"/>
      <c r="D278" s="56" t="inlineStr">
        <is>
          <t>ENTRY, GLOBAL_CHECK, STOCKS_EXIT</t>
        </is>
      </c>
      <c r="E278" s="56">
        <f>IF(G278="",E277,IF(G278&gt;0,E277+G278,E277))</f>
        <v/>
      </c>
      <c r="G278" s="56">
        <f>IFERROR(VLOOKUP($A278&amp;"="&amp;$B278,Results_Deltas!$A$2:$P$15000,5,FALSE),"")</f>
        <v/>
      </c>
      <c r="H278" s="56" t="inlineStr">
        <is>
          <t>Blanket (page end)</t>
        </is>
      </c>
    </row>
    <row r="279">
      <c r="A279" s="63" t="inlineStr">
        <is>
          <t>MOVER_THRESHOLD</t>
        </is>
      </c>
      <c r="B279" s="56" t="inlineStr">
        <is>
          <t>5</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MOVER_THRESHOLD</t>
        </is>
      </c>
      <c r="B280" s="56" t="inlineStr">
        <is>
          <t>6.25</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MOVER_THRESHOLD</t>
        </is>
      </c>
      <c r="B281" s="56" t="inlineStr">
        <is>
          <t>3.75</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MOVER_THRESHOLD</t>
        </is>
      </c>
      <c r="B282" s="56" t="inlineStr">
        <is>
          <t>2.5</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MTF_FILTER_STRONG_BUY_QUICK_BYPASS</t>
        </is>
      </c>
      <c r="B283" s="56" t="inlineStr">
        <is>
          <t>0.0</t>
        </is>
      </c>
      <c r="C283" s="56" t="n"/>
      <c r="D283" s="56" t="inlineStr">
        <is>
          <t>GLOBAL_CHECK, STOCKS_EXIT</t>
        </is>
      </c>
      <c r="E283" s="56">
        <f>IF(G283="",E282,IF(G283&gt;0,E282+G283,E282))</f>
        <v/>
      </c>
      <c r="G283" s="56">
        <f>IFERROR(VLOOKUP($A283&amp;"="&amp;$B283,Results_Deltas!$A$2:$P$15000,5,FALSE),"")</f>
        <v/>
      </c>
      <c r="H283" s="56" t="inlineStr">
        <is>
          <t>Blanket (page end)</t>
        </is>
      </c>
    </row>
    <row r="284">
      <c r="A284" s="63" t="inlineStr">
        <is>
          <t>MTF_FILTER_STRONG_BUY_QUICK_BYPASS</t>
        </is>
      </c>
      <c r="B284" s="56" t="inlineStr">
        <is>
          <t>0.0_ALT</t>
        </is>
      </c>
      <c r="C284" s="56" t="n"/>
      <c r="D284" s="56" t="inlineStr">
        <is>
          <t>GLOBAL_CHECK, STOCKS_EXIT</t>
        </is>
      </c>
      <c r="E284" s="56">
        <f>IF(G284="",E283,IF(G284&gt;0,E283+G284,E283))</f>
        <v/>
      </c>
      <c r="G284" s="56">
        <f>IFERROR(VLOOKUP($A284&amp;"="&amp;$B284,Results_Deltas!$A$2:$P$15000,5,FALSE),"")</f>
        <v/>
      </c>
      <c r="H284" s="56" t="inlineStr">
        <is>
          <t>Blanket (page end)</t>
        </is>
      </c>
    </row>
    <row r="285">
      <c r="A285" s="63" t="inlineStr">
        <is>
          <t>MTF_GR_MIN_IND</t>
        </is>
      </c>
      <c r="B285" s="56" t="inlineStr">
        <is>
          <t>5</t>
        </is>
      </c>
      <c r="C285" s="56" t="n"/>
      <c r="D285" s="56" t="inlineStr">
        <is>
          <t>GLOBAL_CHECK, STOCKS_EXIT</t>
        </is>
      </c>
      <c r="E285" s="56">
        <f>IF(G285="",E284,IF(G285&gt;0,E284+G285,E284))</f>
        <v/>
      </c>
      <c r="G285" s="56">
        <f>IFERROR(VLOOKUP($A285&amp;"="&amp;$B285,Results_Deltas!$A$2:$P$15000,5,FALSE),"")</f>
        <v/>
      </c>
      <c r="H285" s="56" t="inlineStr">
        <is>
          <t>Blanket (page end)</t>
        </is>
      </c>
    </row>
    <row r="286">
      <c r="A286" s="63" t="inlineStr">
        <is>
          <t>MTF_GR_MIN_IND</t>
        </is>
      </c>
      <c r="B286" s="56" t="inlineStr">
        <is>
          <t>5_ALT</t>
        </is>
      </c>
      <c r="C286" s="56" t="n"/>
      <c r="D286" s="56" t="inlineStr">
        <is>
          <t>GLOBAL_CHECK, STOCKS_EXIT</t>
        </is>
      </c>
      <c r="E286" s="56">
        <f>IF(G286="",E285,IF(G286&gt;0,E285+G286,E285))</f>
        <v/>
      </c>
      <c r="G286" s="56">
        <f>IFERROR(VLOOKUP($A286&amp;"="&amp;$B286,Results_Deltas!$A$2:$P$15000,5,FALSE),"")</f>
        <v/>
      </c>
      <c r="H286" s="56" t="inlineStr">
        <is>
          <t>Blanket (page end)</t>
        </is>
      </c>
    </row>
    <row r="287">
      <c r="A287" s="63" t="inlineStr">
        <is>
          <t>MTS_BOTTOM_BONUS_THRESHOLD</t>
        </is>
      </c>
      <c r="B287" s="56" t="inlineStr">
        <is>
          <t>25</t>
        </is>
      </c>
      <c r="C287" s="56" t="n"/>
      <c r="D287" s="56" t="inlineStr">
        <is>
          <t>ENTRY, GLOBAL_CHECK, STOCKS_EXIT</t>
        </is>
      </c>
      <c r="E287" s="56">
        <f>IF(G287="",E286,IF(G287&gt;0,E286+G287,E286))</f>
        <v/>
      </c>
      <c r="G287" s="56">
        <f>IFERROR(VLOOKUP($A287&amp;"="&amp;$B287,Results_Deltas!$A$2:$P$15000,5,FALSE),"")</f>
        <v/>
      </c>
      <c r="H287" s="56" t="inlineStr">
        <is>
          <t>Blanket (page end)</t>
        </is>
      </c>
    </row>
    <row r="288">
      <c r="A288" s="63" t="inlineStr">
        <is>
          <t>MTS_BOTTOM_BONUS_THRESHOLD</t>
        </is>
      </c>
      <c r="B288" s="56" t="inlineStr">
        <is>
          <t>31.25</t>
        </is>
      </c>
      <c r="C288" s="56" t="n"/>
      <c r="D288" s="56" t="inlineStr">
        <is>
          <t>ENTRY, GLOBAL_CHECK, STOCKS_EXIT</t>
        </is>
      </c>
      <c r="E288" s="56">
        <f>IF(G288="",E287,IF(G288&gt;0,E287+G288,E287))</f>
        <v/>
      </c>
      <c r="G288" s="56">
        <f>IFERROR(VLOOKUP($A288&amp;"="&amp;$B288,Results_Deltas!$A$2:$P$15000,5,FALSE),"")</f>
        <v/>
      </c>
      <c r="H288" s="56" t="inlineStr">
        <is>
          <t>Blanket (page end)</t>
        </is>
      </c>
    </row>
    <row r="289">
      <c r="A289" s="63" t="inlineStr">
        <is>
          <t>MTS_BOTTOM_BONUS_THRESHOLD</t>
        </is>
      </c>
      <c r="B289" s="56" t="inlineStr">
        <is>
          <t>18.75</t>
        </is>
      </c>
      <c r="C289" s="56" t="n"/>
      <c r="D289" s="56" t="inlineStr">
        <is>
          <t>ENTRY, GLOBAL_CHECK, STOCKS_EXIT</t>
        </is>
      </c>
      <c r="E289" s="56">
        <f>IF(G289="",E288,IF(G289&gt;0,E288+G289,E288))</f>
        <v/>
      </c>
      <c r="G289" s="56">
        <f>IFERROR(VLOOKUP($A289&amp;"="&amp;$B289,Results_Deltas!$A$2:$P$15000,5,FALSE),"")</f>
        <v/>
      </c>
      <c r="H289" s="56" t="inlineStr">
        <is>
          <t>Blanket (page end)</t>
        </is>
      </c>
    </row>
    <row r="290">
      <c r="A290" s="63" t="inlineStr">
        <is>
          <t>MTS_BOTTOM_BONUS_THRESHOLD</t>
        </is>
      </c>
      <c r="B290" s="56" t="inlineStr">
        <is>
          <t>12.5</t>
        </is>
      </c>
      <c r="C290" s="56" t="n"/>
      <c r="D290" s="56" t="inlineStr">
        <is>
          <t>ENTRY, GLOBAL_CHECK, STOCKS_EXIT</t>
        </is>
      </c>
      <c r="E290" s="56">
        <f>IF(G290="",E289,IF(G290&gt;0,E289+G290,E289))</f>
        <v/>
      </c>
      <c r="G290" s="56">
        <f>IFERROR(VLOOKUP($A290&amp;"="&amp;$B290,Results_Deltas!$A$2:$P$15000,5,FALSE),"")</f>
        <v/>
      </c>
      <c r="H290" s="56" t="inlineStr">
        <is>
          <t>Blanket (page end)</t>
        </is>
      </c>
    </row>
    <row r="291">
      <c r="A291" s="63" t="inlineStr">
        <is>
          <t>MTS_BOTTOM_STRONG_THRESHOLD</t>
        </is>
      </c>
      <c r="B291" s="56" t="inlineStr">
        <is>
          <t>40</t>
        </is>
      </c>
      <c r="C291" s="56" t="n"/>
      <c r="D291" s="56" t="inlineStr">
        <is>
          <t>ENTRY, GLOBAL_CHECK, STOCKS_EXIT</t>
        </is>
      </c>
      <c r="E291" s="56">
        <f>IF(G291="",E290,IF(G291&gt;0,E290+G291,E290))</f>
        <v/>
      </c>
      <c r="G291" s="56">
        <f>IFERROR(VLOOKUP($A291&amp;"="&amp;$B291,Results_Deltas!$A$2:$P$15000,5,FALSE),"")</f>
        <v/>
      </c>
      <c r="H291" s="56" t="inlineStr">
        <is>
          <t>Blanket (page end)</t>
        </is>
      </c>
    </row>
    <row r="292">
      <c r="A292" s="63" t="inlineStr">
        <is>
          <t>MTS_BOTTOM_STRONG_THRESHOLD</t>
        </is>
      </c>
      <c r="B292" s="56" t="inlineStr">
        <is>
          <t>50</t>
        </is>
      </c>
      <c r="C292" s="56" t="n"/>
      <c r="D292" s="56" t="inlineStr">
        <is>
          <t>ENTRY, GLOBAL_CHECK, STOCKS_EXIT</t>
        </is>
      </c>
      <c r="E292" s="56">
        <f>IF(G292="",E291,IF(G292&gt;0,E291+G292,E291))</f>
        <v/>
      </c>
      <c r="G292" s="56">
        <f>IFERROR(VLOOKUP($A292&amp;"="&amp;$B292,Results_Deltas!$A$2:$P$15000,5,FALSE),"")</f>
        <v/>
      </c>
      <c r="H292" s="56" t="inlineStr">
        <is>
          <t>Blanket (page end)</t>
        </is>
      </c>
    </row>
    <row r="293">
      <c r="A293" s="63" t="inlineStr">
        <is>
          <t>MTS_BOTTOM_STRONG_THRESHOLD</t>
        </is>
      </c>
      <c r="B293" s="56" t="inlineStr">
        <is>
          <t>30</t>
        </is>
      </c>
      <c r="C293" s="56" t="n"/>
      <c r="D293" s="56" t="inlineStr">
        <is>
          <t>ENTRY, GLOBAL_CHECK, STOCKS_EXIT</t>
        </is>
      </c>
      <c r="E293" s="56">
        <f>IF(G293="",E292,IF(G293&gt;0,E292+G293,E292))</f>
        <v/>
      </c>
      <c r="G293" s="56">
        <f>IFERROR(VLOOKUP($A293&amp;"="&amp;$B293,Results_Deltas!$A$2:$P$15000,5,FALSE),"")</f>
        <v/>
      </c>
      <c r="H293" s="56" t="inlineStr">
        <is>
          <t>Blanket (page end)</t>
        </is>
      </c>
    </row>
    <row r="294">
      <c r="A294" s="63" t="inlineStr">
        <is>
          <t>MTS_BOTTOM_STRONG_THRESHOLD</t>
        </is>
      </c>
      <c r="B294" s="56" t="inlineStr">
        <is>
          <t>20</t>
        </is>
      </c>
      <c r="C294" s="56" t="n"/>
      <c r="D294" s="56" t="inlineStr">
        <is>
          <t>ENTRY, GLOBAL_CHECK, STOCKS_EXIT</t>
        </is>
      </c>
      <c r="E294" s="56">
        <f>IF(G294="",E293,IF(G294&gt;0,E293+G294,E293))</f>
        <v/>
      </c>
      <c r="G294" s="56">
        <f>IFERROR(VLOOKUP($A294&amp;"="&amp;$B294,Results_Deltas!$A$2:$P$15000,5,FALSE),"")</f>
        <v/>
      </c>
      <c r="H294" s="56" t="inlineStr">
        <is>
          <t>Blanket (page end)</t>
        </is>
      </c>
    </row>
    <row r="295">
      <c r="A295" s="63" t="inlineStr">
        <is>
          <t>MTS_GATE_ENABLED</t>
        </is>
      </c>
      <c r="B295" s="56" t="inlineStr">
        <is>
          <t>False</t>
        </is>
      </c>
      <c r="C295" s="56" t="n"/>
      <c r="D295" s="56" t="inlineStr">
        <is>
          <t>ENTRY, GLOBAL_CHECK, STOCKS_EXIT</t>
        </is>
      </c>
      <c r="E295" s="56">
        <f>IF(G295="",E294,IF(G295&gt;0,E294+G295,E294))</f>
        <v/>
      </c>
      <c r="G295" s="56">
        <f>IFERROR(VLOOKUP($A295&amp;"="&amp;$B295,Results_Deltas!$A$2:$P$15000,5,FALSE),"")</f>
        <v/>
      </c>
      <c r="H295" s="56" t="inlineStr">
        <is>
          <t>Blanket (page end)</t>
        </is>
      </c>
    </row>
    <row r="296">
      <c r="A296" s="63" t="inlineStr">
        <is>
          <t>MTS_GATE_ENABLED</t>
        </is>
      </c>
      <c r="B296" s="56" t="inlineStr">
        <is>
          <t>True</t>
        </is>
      </c>
      <c r="C296" s="56" t="n"/>
      <c r="D296" s="56" t="inlineStr">
        <is>
          <t>ENTRY, GLOBAL_CHECK, STOCKS_EXIT</t>
        </is>
      </c>
      <c r="E296" s="56">
        <f>IF(G296="",E295,IF(G296&gt;0,E295+G296,E295))</f>
        <v/>
      </c>
      <c r="G296" s="56">
        <f>IFERROR(VLOOKUP($A296&amp;"="&amp;$B296,Results_Deltas!$A$2:$P$15000,5,FALSE),"")</f>
        <v/>
      </c>
      <c r="H296" s="56" t="inlineStr">
        <is>
          <t>Blanket (page end)</t>
        </is>
      </c>
    </row>
    <row r="297">
      <c r="A297" s="63" t="inlineStr">
        <is>
          <t>NEWBORN_LOSS_KILL_GAIN_THRESHOLD_PCT</t>
        </is>
      </c>
      <c r="B297" s="56" t="inlineStr">
        <is>
          <t>0</t>
        </is>
      </c>
      <c r="C297" s="56" t="n"/>
      <c r="D297" s="56" t="inlineStr">
        <is>
          <t>AUGMENT, EXIT, GLOBAL_CHECK, REDUCE, STOCKS_EXIT</t>
        </is>
      </c>
      <c r="E297" s="56">
        <f>IF(G297="",E296,IF(G297&gt;0,E296+G297,E296))</f>
        <v/>
      </c>
      <c r="G297" s="56">
        <f>IFERROR(VLOOKUP($A297&amp;"="&amp;$B297,Results_Deltas!$A$2:$P$15000,5,FALSE),"")</f>
        <v/>
      </c>
      <c r="H297" s="56" t="inlineStr">
        <is>
          <t>Blanket (page end)</t>
        </is>
      </c>
    </row>
    <row r="298">
      <c r="A298" s="63" t="inlineStr">
        <is>
          <t>NEWBORN_LOSS_KILL_GAIN_THRESHOLD_PCT</t>
        </is>
      </c>
      <c r="B298" s="56" t="inlineStr">
        <is>
          <t>2.0</t>
        </is>
      </c>
      <c r="C298" s="56" t="n"/>
      <c r="D298" s="56" t="inlineStr">
        <is>
          <t>AUGMENT, EXIT, GLOBAL_CHECK, REDUCE, STOCKS_EXIT</t>
        </is>
      </c>
      <c r="E298" s="56">
        <f>IF(G298="",E297,IF(G298&gt;0,E297+G298,E297))</f>
        <v/>
      </c>
      <c r="G298" s="56">
        <f>IFERROR(VLOOKUP($A298&amp;"="&amp;$B298,Results_Deltas!$A$2:$P$15000,5,FALSE),"")</f>
        <v/>
      </c>
      <c r="H298" s="56" t="inlineStr">
        <is>
          <t>Blanket (page end)</t>
        </is>
      </c>
    </row>
    <row r="299">
      <c r="A299" s="63" t="inlineStr">
        <is>
          <t>NEWBORN_LOSS_KILL_GAIN_THRESHOLD_PCT</t>
        </is>
      </c>
      <c r="B299" s="56" t="inlineStr">
        <is>
          <t>1.0</t>
        </is>
      </c>
      <c r="C299" s="56" t="n"/>
      <c r="D299" s="56" t="inlineStr">
        <is>
          <t>AUGMENT, EXIT, GLOBAL_CHECK, REDUCE, STOCKS_EXIT</t>
        </is>
      </c>
      <c r="E299" s="56">
        <f>IF(G299="",E298,IF(G299&gt;0,E298+G299,E298))</f>
        <v/>
      </c>
      <c r="G299" s="56">
        <f>IFERROR(VLOOKUP($A299&amp;"="&amp;$B299,Results_Deltas!$A$2:$P$15000,5,FALSE),"")</f>
        <v/>
      </c>
      <c r="H299" s="56" t="inlineStr">
        <is>
          <t>Blanket (page end)</t>
        </is>
      </c>
    </row>
    <row r="300">
      <c r="A300" s="63" t="inlineStr">
        <is>
          <t>NEWBORN_LOSS_KILL_GAIN_THRESHOLD_PCT</t>
        </is>
      </c>
      <c r="B300" s="56" t="inlineStr">
        <is>
          <t>0.5</t>
        </is>
      </c>
      <c r="C300" s="56" t="n"/>
      <c r="D300" s="56" t="inlineStr">
        <is>
          <t>AUGMENT, EXIT, GLOBAL_CHECK, REDUCE, STOCKS_EXIT</t>
        </is>
      </c>
      <c r="E300" s="56">
        <f>IF(G300="",E299,IF(G300&gt;0,E299+G300,E299))</f>
        <v/>
      </c>
      <c r="G300" s="56">
        <f>IFERROR(VLOOKUP($A300&amp;"="&amp;$B300,Results_Deltas!$A$2:$P$15000,5,FALSE),"")</f>
        <v/>
      </c>
      <c r="H300" s="56" t="inlineStr">
        <is>
          <t>Blanket (page end)</t>
        </is>
      </c>
    </row>
    <row r="301">
      <c r="A301" s="63" t="inlineStr">
        <is>
          <t>NEWBORN_LOSS_KILL_REQUIRE_VEL_AGAINST</t>
        </is>
      </c>
      <c r="B301" s="56" t="inlineStr">
        <is>
          <t>0.0</t>
        </is>
      </c>
      <c r="C301" s="56" t="n"/>
      <c r="D301" s="56" t="inlineStr">
        <is>
          <t>AUGMENT, EXIT, GLOBAL_CHECK, REDUCE, STOCKS_EXIT</t>
        </is>
      </c>
      <c r="E301" s="56">
        <f>IF(G301="",E300,IF(G301&gt;0,E300+G301,E300))</f>
        <v/>
      </c>
      <c r="G301" s="56">
        <f>IFERROR(VLOOKUP($A301&amp;"="&amp;$B301,Results_Deltas!$A$2:$P$15000,5,FALSE),"")</f>
        <v/>
      </c>
      <c r="H301" s="56" t="inlineStr">
        <is>
          <t>Blanket (page end)</t>
        </is>
      </c>
    </row>
    <row r="302">
      <c r="A302" s="63" t="inlineStr">
        <is>
          <t>NEWBORN_LOSS_KILL_REQUIRE_VEL_AGAINST</t>
        </is>
      </c>
      <c r="B302" s="56" t="inlineStr">
        <is>
          <t>0.0_ALT</t>
        </is>
      </c>
      <c r="C302" s="56" t="n"/>
      <c r="D302" s="56" t="inlineStr">
        <is>
          <t>AUGMENT, EXIT, GLOBAL_CHECK, REDUCE, STOCKS_EXIT</t>
        </is>
      </c>
      <c r="E302" s="56">
        <f>IF(G302="",E301,IF(G302&gt;0,E301+G302,E301))</f>
        <v/>
      </c>
      <c r="G302" s="56">
        <f>IFERROR(VLOOKUP($A302&amp;"="&amp;$B302,Results_Deltas!$A$2:$P$15000,5,FALSE),"")</f>
        <v/>
      </c>
      <c r="H302" s="56" t="inlineStr">
        <is>
          <t>Blanket (page end)</t>
        </is>
      </c>
    </row>
    <row r="303">
      <c r="A303" s="63" t="inlineStr">
        <is>
          <t>NEW_POSITION_MAX_LOSS_THRESHOLD</t>
        </is>
      </c>
      <c r="B303" s="56" t="inlineStr">
        <is>
          <t>0</t>
        </is>
      </c>
      <c r="C303" s="56" t="n"/>
      <c r="D303" s="56" t="inlineStr">
        <is>
          <t>AUGMENT, EXIT, GLOBAL_CHECK, REDUCE, STOCKS_EXIT</t>
        </is>
      </c>
      <c r="E303" s="56">
        <f>IF(G303="",E302,IF(G303&gt;0,E302+G303,E302))</f>
        <v/>
      </c>
      <c r="G303" s="56">
        <f>IFERROR(VLOOKUP($A303&amp;"="&amp;$B303,Results_Deltas!$A$2:$P$15000,5,FALSE),"")</f>
        <v/>
      </c>
      <c r="H303" s="56" t="inlineStr">
        <is>
          <t>Blanket (page end)</t>
        </is>
      </c>
    </row>
    <row r="304">
      <c r="A304" s="63" t="inlineStr">
        <is>
          <t>NEW_POSITION_MAX_LOSS_THRESHOLD</t>
        </is>
      </c>
      <c r="B304" s="56" t="inlineStr">
        <is>
          <t>2.0</t>
        </is>
      </c>
      <c r="C304" s="56" t="n"/>
      <c r="D304" s="56" t="inlineStr">
        <is>
          <t>AUGMENT, EXIT, GLOBAL_CHECK, REDUCE, STOCKS_EXIT</t>
        </is>
      </c>
      <c r="E304" s="56">
        <f>IF(G304="",E303,IF(G304&gt;0,E303+G304,E303))</f>
        <v/>
      </c>
      <c r="G304" s="56">
        <f>IFERROR(VLOOKUP($A304&amp;"="&amp;$B304,Results_Deltas!$A$2:$P$15000,5,FALSE),"")</f>
        <v/>
      </c>
      <c r="H304" s="56" t="inlineStr">
        <is>
          <t>Blanket (page end)</t>
        </is>
      </c>
    </row>
    <row r="305">
      <c r="A305" s="63" t="inlineStr">
        <is>
          <t>NEW_POSITION_MAX_LOSS_THRESHOLD</t>
        </is>
      </c>
      <c r="B305" s="56" t="inlineStr">
        <is>
          <t>1.0</t>
        </is>
      </c>
      <c r="C305" s="56" t="n"/>
      <c r="D305" s="56" t="inlineStr">
        <is>
          <t>AUGMENT, EXIT, GLOBAL_CHECK, REDUCE, STOCKS_EXIT</t>
        </is>
      </c>
      <c r="E305" s="56">
        <f>IF(G305="",E304,IF(G305&gt;0,E304+G305,E304))</f>
        <v/>
      </c>
      <c r="G305" s="56">
        <f>IFERROR(VLOOKUP($A305&amp;"="&amp;$B305,Results_Deltas!$A$2:$P$15000,5,FALSE),"")</f>
        <v/>
      </c>
      <c r="H305" s="56" t="inlineStr">
        <is>
          <t>Blanket (page end)</t>
        </is>
      </c>
    </row>
    <row r="306">
      <c r="A306" s="63" t="inlineStr">
        <is>
          <t>NEW_POSITION_MAX_LOSS_THRESHOLD</t>
        </is>
      </c>
      <c r="B306" s="56" t="inlineStr">
        <is>
          <t>0.5</t>
        </is>
      </c>
      <c r="C306" s="56" t="n"/>
      <c r="D306" s="56" t="inlineStr">
        <is>
          <t>AUGMENT, EXIT, GLOBAL_CHECK, REDUCE, STOCKS_EXIT</t>
        </is>
      </c>
      <c r="E306" s="56">
        <f>IF(G306="",E305,IF(G306&gt;0,E305+G306,E305))</f>
        <v/>
      </c>
      <c r="G306" s="56">
        <f>IFERROR(VLOOKUP($A306&amp;"="&amp;$B306,Results_Deltas!$A$2:$P$15000,5,FALSE),"")</f>
        <v/>
      </c>
      <c r="H306" s="56" t="inlineStr">
        <is>
          <t>Blanket (page end)</t>
        </is>
      </c>
    </row>
    <row r="307">
      <c r="A307" s="63" t="inlineStr">
        <is>
          <t>OI_CONFIRM_ENABLED</t>
        </is>
      </c>
      <c r="B307" s="56" t="inlineStr">
        <is>
          <t>False</t>
        </is>
      </c>
      <c r="C307" s="56" t="n"/>
      <c r="D307" s="56" t="inlineStr">
        <is>
          <t>ENTRY, GLOBAL_CHECK, STOCKS_EXIT</t>
        </is>
      </c>
      <c r="E307" s="56">
        <f>IF(G307="",E306,IF(G307&gt;0,E306+G307,E306))</f>
        <v/>
      </c>
      <c r="G307" s="56">
        <f>IFERROR(VLOOKUP($A307&amp;"="&amp;$B307,Results_Deltas!$A$2:$P$15000,5,FALSE),"")</f>
        <v/>
      </c>
      <c r="H307" s="56" t="inlineStr">
        <is>
          <t>Blanket (page end)</t>
        </is>
      </c>
    </row>
    <row r="308">
      <c r="A308" s="63" t="inlineStr">
        <is>
          <t>OI_CONFIRM_ENABLED</t>
        </is>
      </c>
      <c r="B308" s="56" t="inlineStr">
        <is>
          <t>True</t>
        </is>
      </c>
      <c r="C308" s="56" t="n"/>
      <c r="D308" s="56" t="inlineStr">
        <is>
          <t>ENTRY, GLOBAL_CHECK, STOCKS_EXIT</t>
        </is>
      </c>
      <c r="E308" s="56">
        <f>IF(G308="",E307,IF(G308&gt;0,E307+G308,E307))</f>
        <v/>
      </c>
      <c r="G308" s="56">
        <f>IFERROR(VLOOKUP($A308&amp;"="&amp;$B308,Results_Deltas!$A$2:$P$15000,5,FALSE),"")</f>
        <v/>
      </c>
      <c r="H308" s="56" t="inlineStr">
        <is>
          <t>Blanket (page end)</t>
        </is>
      </c>
    </row>
    <row r="309">
      <c r="A309" s="63" t="inlineStr">
        <is>
          <t>OI_CONFIRM_MIN_CHANGE_PCT</t>
        </is>
      </c>
      <c r="B309" s="56" t="inlineStr">
        <is>
          <t>0</t>
        </is>
      </c>
      <c r="C309" s="56" t="n"/>
      <c r="D309" s="56" t="inlineStr">
        <is>
          <t>ENTRY, GLOBAL_CHECK, STOCKS_EXIT</t>
        </is>
      </c>
      <c r="E309" s="56">
        <f>IF(G309="",E308,IF(G309&gt;0,E308+G309,E308))</f>
        <v/>
      </c>
      <c r="G309" s="56">
        <f>IFERROR(VLOOKUP($A309&amp;"="&amp;$B309,Results_Deltas!$A$2:$P$15000,5,FALSE),"")</f>
        <v/>
      </c>
      <c r="H309" s="56" t="inlineStr">
        <is>
          <t>Blanket (page end)</t>
        </is>
      </c>
    </row>
    <row r="310">
      <c r="A310" s="63" t="inlineStr">
        <is>
          <t>OI_CONFIRM_MIN_CHANGE_PCT</t>
        </is>
      </c>
      <c r="B310" s="56" t="inlineStr">
        <is>
          <t>2.0</t>
        </is>
      </c>
      <c r="C310" s="56" t="n"/>
      <c r="D310" s="56" t="inlineStr">
        <is>
          <t>ENTRY, GLOBAL_CHECK, STOCKS_EXIT</t>
        </is>
      </c>
      <c r="E310" s="56">
        <f>IF(G310="",E309,IF(G310&gt;0,E309+G310,E309))</f>
        <v/>
      </c>
      <c r="G310" s="56">
        <f>IFERROR(VLOOKUP($A310&amp;"="&amp;$B310,Results_Deltas!$A$2:$P$15000,5,FALSE),"")</f>
        <v/>
      </c>
      <c r="H310" s="56" t="inlineStr">
        <is>
          <t>Blanket (page end)</t>
        </is>
      </c>
    </row>
    <row r="311">
      <c r="A311" s="63" t="inlineStr">
        <is>
          <t>OI_CONFIRM_MIN_CHANGE_PCT</t>
        </is>
      </c>
      <c r="B311" s="56" t="inlineStr">
        <is>
          <t>1.0</t>
        </is>
      </c>
      <c r="C311" s="56" t="n"/>
      <c r="D311" s="56" t="inlineStr">
        <is>
          <t>ENTRY, GLOBAL_CHECK, STOCKS_EXIT</t>
        </is>
      </c>
      <c r="E311" s="56">
        <f>IF(G311="",E310,IF(G311&gt;0,E310+G311,E310))</f>
        <v/>
      </c>
      <c r="G311" s="56">
        <f>IFERROR(VLOOKUP($A311&amp;"="&amp;$B311,Results_Deltas!$A$2:$P$15000,5,FALSE),"")</f>
        <v/>
      </c>
      <c r="H311" s="56" t="inlineStr">
        <is>
          <t>Blanket (page end)</t>
        </is>
      </c>
    </row>
    <row r="312">
      <c r="A312" s="63" t="inlineStr">
        <is>
          <t>OI_CONFIRM_MIN_CHANGE_PCT</t>
        </is>
      </c>
      <c r="B312" s="56" t="inlineStr">
        <is>
          <t>0.5</t>
        </is>
      </c>
      <c r="C312" s="56" t="n"/>
      <c r="D312" s="56" t="inlineStr">
        <is>
          <t>ENTRY, GLOBAL_CHECK, STOCKS_EXIT</t>
        </is>
      </c>
      <c r="E312" s="56">
        <f>IF(G312="",E311,IF(G312&gt;0,E311+G312,E311))</f>
        <v/>
      </c>
      <c r="G312" s="56">
        <f>IFERROR(VLOOKUP($A312&amp;"="&amp;$B312,Results_Deltas!$A$2:$P$15000,5,FALSE),"")</f>
        <v/>
      </c>
      <c r="H312" s="56" t="inlineStr">
        <is>
          <t>Blanket (page end)</t>
        </is>
      </c>
    </row>
    <row r="313">
      <c r="A313" s="63" t="inlineStr">
        <is>
          <t>OI_CONFIRM_MIN_PRICE_PCT</t>
        </is>
      </c>
      <c r="B313" s="56" t="inlineStr">
        <is>
          <t>0</t>
        </is>
      </c>
      <c r="C313" s="56" t="n"/>
      <c r="D313" s="56" t="inlineStr">
        <is>
          <t>ENTRY, GLOBAL_CHECK, STOCKS_EXIT</t>
        </is>
      </c>
      <c r="E313" s="56">
        <f>IF(G313="",E312,IF(G313&gt;0,E312+G313,E312))</f>
        <v/>
      </c>
      <c r="G313" s="56">
        <f>IFERROR(VLOOKUP($A313&amp;"="&amp;$B313,Results_Deltas!$A$2:$P$15000,5,FALSE),"")</f>
        <v/>
      </c>
      <c r="H313" s="56" t="inlineStr">
        <is>
          <t>Blanket (page end)</t>
        </is>
      </c>
    </row>
    <row r="314">
      <c r="A314" s="63" t="inlineStr">
        <is>
          <t>OI_CONFIRM_MIN_PRICE_PCT</t>
        </is>
      </c>
      <c r="B314" s="56" t="inlineStr">
        <is>
          <t>2.0</t>
        </is>
      </c>
      <c r="C314" s="56" t="n"/>
      <c r="D314" s="56" t="inlineStr">
        <is>
          <t>ENTRY, GLOBAL_CHECK, STOCKS_EXIT</t>
        </is>
      </c>
      <c r="E314" s="56">
        <f>IF(G314="",E313,IF(G314&gt;0,E313+G314,E313))</f>
        <v/>
      </c>
      <c r="G314" s="56">
        <f>IFERROR(VLOOKUP($A314&amp;"="&amp;$B314,Results_Deltas!$A$2:$P$15000,5,FALSE),"")</f>
        <v/>
      </c>
      <c r="H314" s="56" t="inlineStr">
        <is>
          <t>Blanket (page end)</t>
        </is>
      </c>
    </row>
    <row r="315">
      <c r="A315" s="63" t="inlineStr">
        <is>
          <t>OI_CONFIRM_MIN_PRICE_PCT</t>
        </is>
      </c>
      <c r="B315" s="56" t="inlineStr">
        <is>
          <t>1.0</t>
        </is>
      </c>
      <c r="C315" s="56" t="n"/>
      <c r="D315" s="56" t="inlineStr">
        <is>
          <t>ENTRY, GLOBAL_CHECK, STOCKS_EXIT</t>
        </is>
      </c>
      <c r="E315" s="56">
        <f>IF(G315="",E314,IF(G315&gt;0,E314+G315,E314))</f>
        <v/>
      </c>
      <c r="G315" s="56">
        <f>IFERROR(VLOOKUP($A315&amp;"="&amp;$B315,Results_Deltas!$A$2:$P$15000,5,FALSE),"")</f>
        <v/>
      </c>
      <c r="H315" s="56" t="inlineStr">
        <is>
          <t>Blanket (page end)</t>
        </is>
      </c>
    </row>
    <row r="316">
      <c r="A316" s="63" t="inlineStr">
        <is>
          <t>OI_CONFIRM_MIN_PRICE_PCT</t>
        </is>
      </c>
      <c r="B316" s="56" t="inlineStr">
        <is>
          <t>0.5</t>
        </is>
      </c>
      <c r="C316" s="56" t="n"/>
      <c r="D316" s="56" t="inlineStr">
        <is>
          <t>ENTRY, GLOBAL_CHECK, STOCKS_EXIT</t>
        </is>
      </c>
      <c r="E316" s="56">
        <f>IF(G316="",E315,IF(G316&gt;0,E315+G316,E315))</f>
        <v/>
      </c>
      <c r="G316" s="56">
        <f>IFERROR(VLOOKUP($A316&amp;"="&amp;$B316,Results_Deltas!$A$2:$P$15000,5,FALSE),"")</f>
        <v/>
      </c>
      <c r="H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UNIVERSAL_NOLOSS_GATE</t>
        </is>
      </c>
      <c r="B3" s="7" t="inlineStr">
        <is>
          <t>False</t>
        </is>
      </c>
      <c r="E3">
        <f>MAX('REDUCE_SIGNAL_RATER'!E:E)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55" t="n"/>
      <c r="HE3" s="55" t="n"/>
      <c r="HF3" s="55" t="n"/>
      <c r="HG3" s="55" t="n"/>
      <c r="HH3" s="55"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ez_manage.py:4233 top()</t>
        </is>
      </c>
      <c r="IL3" s="9" t="inlineStr">
        <is>
          <t>v12_quick_engine.py:837 x18</t>
        </is>
      </c>
    </row>
    <row r="4" ht="11" customHeight="1">
      <c r="A4" s="10" t="inlineStr">
        <is>
          <t>UNIVERSAL_NOLOSS_GATE</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55" t="n"/>
      <c r="HE4" s="55" t="n"/>
      <c r="HF4" s="55" t="n"/>
      <c r="HG4" s="55" t="n"/>
      <c r="HH4" s="55"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ez_manage.py:4233 top()</t>
        </is>
      </c>
      <c r="IL4" s="9" t="inlineStr">
        <is>
          <t>v12_quick_engine.py:837 x18</t>
        </is>
      </c>
    </row>
    <row r="5" ht="11" customHeight="1">
      <c r="A5" s="10" t="inlineStr">
        <is>
          <t>COUNTER_TREND_ADD_BLOCK_ENABLED</t>
        </is>
      </c>
      <c r="B5" s="11"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ez_manage.py:3055 top()</t>
        </is>
      </c>
      <c r="IL5" s="9" t="inlineStr">
        <is>
          <t>v12_quick_engine.py:1469 x2</t>
        </is>
      </c>
    </row>
    <row r="6" ht="11" customHeight="1">
      <c r="A6" s="6" t="inlineStr">
        <is>
          <t>COUNTER_TREND_ADD_BLOCK_ENABLED</t>
        </is>
      </c>
      <c r="B6" s="7"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ez_manage.py:3055 top()</t>
        </is>
      </c>
      <c r="IL6" s="9" t="inlineStr">
        <is>
          <t>v12_quick_engine.py:1469 x2</t>
        </is>
      </c>
    </row>
    <row r="7" ht="11" customHeight="1">
      <c r="A7" s="10" t="inlineStr">
        <is>
          <t>RECENT_REDUCTION_GUARD_ENABLED</t>
        </is>
      </c>
      <c r="B7" s="11" t="inlineStr">
        <is>
          <t>False</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ez_manage.py:5264 top()</t>
        </is>
      </c>
      <c r="IL7" s="9" t="inlineStr">
        <is>
          <t>v12_quick_engine.py:2806 x1</t>
        </is>
      </c>
    </row>
    <row r="8" ht="11" customHeight="1">
      <c r="A8" s="6" t="inlineStr">
        <is>
          <t>RECENT_REDUCTION_GUARD_ENABLED</t>
        </is>
      </c>
      <c r="B8" s="7" t="inlineStr">
        <is>
          <t>True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ez_manage.py:5264 top()</t>
        </is>
      </c>
      <c r="IL8" s="9" t="inlineStr">
        <is>
          <t>v12_quick_engine.py:2806 x1</t>
        </is>
      </c>
    </row>
    <row r="9" ht="11" customHeight="1">
      <c r="A9" s="6" t="inlineStr">
        <is>
          <t>ABSOLUTE_OPEN_LOCK_SEC</t>
        </is>
      </c>
      <c r="B9" s="7" t="inlineStr"/>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config only</t>
        </is>
      </c>
      <c r="IL9" s="9" t="inlineStr">
        <is>
          <t>not declared</t>
        </is>
      </c>
    </row>
    <row r="10" ht="11" customHeight="1">
      <c r="A10" s="6" t="inlineStr">
        <is>
          <t>BALANCE_FLOOR_USD</t>
        </is>
      </c>
      <c r="B10" s="7" t="inlineStr"/>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config only</t>
        </is>
      </c>
      <c r="IL10" s="9" t="inlineStr">
        <is>
          <t>not declared</t>
        </is>
      </c>
    </row>
    <row r="11" ht="11" customHeight="1">
      <c r="A11" s="6" t="inlineStr">
        <is>
          <t>BLACKLIST_SYMBOLS</t>
        </is>
      </c>
      <c r="B11" s="7" t="inlineStr">
        <is>
          <t>()</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ez_manage.py:4377 top()</t>
        </is>
      </c>
      <c r="IL11" s="9" t="inlineStr">
        <is>
          <t>v12_quick_engine.py:3798 x5</t>
        </is>
      </c>
    </row>
    <row r="12" ht="11" customHeight="1">
      <c r="A12" s="6" t="inlineStr">
        <is>
          <t>CIRCUIT_BREAKER_THRESHOLD_PCT</t>
        </is>
      </c>
      <c r="B12" s="7" t="inlineStr"/>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config only</t>
        </is>
      </c>
      <c r="IL12" s="9" t="inlineStr">
        <is>
          <t>not declared</t>
        </is>
      </c>
    </row>
    <row r="13" ht="11" customHeight="1">
      <c r="A13" s="10" t="inlineStr">
        <is>
          <t>COUNTER_TREND_SMA200_BYPASS_ENABLED</t>
        </is>
      </c>
      <c r="B13" s="11"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55" t="n"/>
      <c r="HE13" s="55" t="n"/>
      <c r="HF13" s="55" t="n"/>
      <c r="HG13" s="55" t="n"/>
      <c r="HH13" s="55"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ez_manage.py:3056 top()</t>
        </is>
      </c>
      <c r="IL13" s="9" t="inlineStr">
        <is>
          <t>v12_quick_engine.py:1470 x6</t>
        </is>
      </c>
    </row>
    <row r="14" ht="11" customHeight="1">
      <c r="A14" s="6" t="inlineStr">
        <is>
          <t>COUNTER_TREND_SMA200_BYPASS_ENABLED</t>
        </is>
      </c>
      <c r="B14" s="7"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55" t="n"/>
      <c r="HE14" s="55" t="n"/>
      <c r="HF14" s="55" t="n"/>
      <c r="HG14" s="55" t="n"/>
      <c r="HH14" s="55"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ez_manage.py:3056 top()</t>
        </is>
      </c>
      <c r="IL14" s="9" t="inlineStr">
        <is>
          <t>v12_quick_engine.py:1470 x6</t>
        </is>
      </c>
    </row>
    <row r="15" ht="11" customHeight="1">
      <c r="A15" s="10" t="inlineStr">
        <is>
          <t>EXECUTE_NOW_MAX_MARK_AGE_S</t>
        </is>
      </c>
      <c r="B15" s="11" t="inlineStr">
        <is>
          <t>30.0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ez_manage.py:4656 top()</t>
        </is>
      </c>
      <c r="IL15" s="9" t="inlineStr">
        <is>
          <t>v12_quick_engine.py:3868 x1</t>
        </is>
      </c>
    </row>
    <row r="16" ht="11" customHeight="1">
      <c r="A16" s="10" t="inlineStr">
        <is>
          <t>EXECUTE_NOW_MAX_MARK_AGE_S</t>
        </is>
      </c>
      <c r="B16" s="11" t="inlineStr">
        <is>
          <t>45.0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ez_manage.py:4656 top()</t>
        </is>
      </c>
      <c r="IL16" s="9" t="inlineStr">
        <is>
          <t>v12_quick_engine.py:3868 x1</t>
        </is>
      </c>
    </row>
    <row r="17" ht="11" customHeight="1">
      <c r="A17" s="6" t="inlineStr">
        <is>
          <t>EXECUTE_NOW_MAX_MARK_AGE_S</t>
        </is>
      </c>
      <c r="B17" s="7" t="inlineStr">
        <is>
          <t>60.0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ez_manage.py:4656 top()</t>
        </is>
      </c>
      <c r="IL17" s="9" t="inlineStr">
        <is>
          <t>v12_quick_engine.py:3868 x1</t>
        </is>
      </c>
    </row>
    <row r="18" ht="11" customHeight="1">
      <c r="A18" s="10" t="inlineStr">
        <is>
          <t>EXECUTE_NOW_MAX_MARK_AGE_S</t>
        </is>
      </c>
      <c r="B18" s="11" t="inlineStr">
        <is>
          <t>75.0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ez_manage.py:4656 top()</t>
        </is>
      </c>
      <c r="IL18" s="9" t="inlineStr">
        <is>
          <t>v12_quick_engine.py:3868 x1</t>
        </is>
      </c>
    </row>
    <row r="19" ht="11" customHeight="1">
      <c r="A19" s="10" t="inlineStr">
        <is>
          <t>EXECUTE_NOW_MAX_MARK_AGE_S</t>
        </is>
      </c>
      <c r="B19" s="11" t="inlineStr">
        <is>
          <t>90.0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ez_manage.py:4656 top()</t>
        </is>
      </c>
      <c r="IL19" s="9" t="inlineStr">
        <is>
          <t>v12_quick_engine.py:3868 x1</t>
        </is>
      </c>
    </row>
    <row r="20" ht="11" customHeight="1">
      <c r="A20" s="6" t="inlineStr">
        <is>
          <t>HARD_AUGMENT_LOCK_SEC</t>
        </is>
      </c>
      <c r="B20" s="7" t="inlineStr"/>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config only</t>
        </is>
      </c>
      <c r="IL20" s="9" t="inlineStr">
        <is>
          <t>not declared</t>
        </is>
      </c>
    </row>
    <row r="21" ht="11" customHeight="1">
      <c r="A21" s="6" t="inlineStr">
        <is>
          <t>HARD_REDUCE_LOCK_SEC</t>
        </is>
      </c>
      <c r="B21" s="7" t="inlineStr"/>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config only</t>
        </is>
      </c>
      <c r="IL21" s="9" t="inlineStr">
        <is>
          <t>not declared</t>
        </is>
      </c>
    </row>
    <row r="22" ht="11" customHeight="1">
      <c r="A22" s="10" t="inlineStr">
        <is>
          <t>OPEN_RATE_BREAKER_ENABLED</t>
        </is>
      </c>
      <c r="B22" s="11"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55" t="n"/>
      <c r="DY22" s="55" t="n"/>
      <c r="DZ22" s="55" t="n"/>
      <c r="EA22" s="55" t="n"/>
      <c r="EB22" s="55"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55" t="n"/>
      <c r="HJ22" s="55" t="n"/>
      <c r="HK22" s="55" t="n"/>
      <c r="HL22" s="55" t="n"/>
      <c r="HM22" s="55"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ez_manage.py:5141 top()</t>
        </is>
      </c>
      <c r="IL22" s="9" t="inlineStr">
        <is>
          <t>v12_quick_engine.py:2538 x1</t>
        </is>
      </c>
    </row>
    <row r="23" ht="11" customHeight="1">
      <c r="A23" s="6" t="inlineStr">
        <is>
          <t>OPEN_RATE_BREAKER_ENABLED</t>
        </is>
      </c>
      <c r="B23" s="7" t="inlineStr">
        <is>
          <t>True</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55" t="n"/>
      <c r="DY23" s="55" t="n"/>
      <c r="DZ23" s="55" t="n"/>
      <c r="EA23" s="55" t="n"/>
      <c r="EB23" s="55"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55" t="n"/>
      <c r="HJ23" s="55" t="n"/>
      <c r="HK23" s="55" t="n"/>
      <c r="HL23" s="55" t="n"/>
      <c r="HM23" s="55"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ez_manage.py:5141 top()</t>
        </is>
      </c>
      <c r="IL23" s="9" t="inlineStr">
        <is>
          <t>v12_quick_engine.py:2538 x1</t>
        </is>
      </c>
    </row>
    <row r="24" ht="11" customHeight="1">
      <c r="A24" s="10" t="inlineStr">
        <is>
          <t>OPEN_RATE_MAX</t>
        </is>
      </c>
      <c r="B24" s="11" t="inlineStr">
        <is>
          <t>15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55" t="n"/>
      <c r="DY24" s="55" t="n"/>
      <c r="DZ24" s="55" t="n"/>
      <c r="EA24" s="55" t="n"/>
      <c r="EB24" s="55"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55" t="n"/>
      <c r="HJ24" s="55" t="n"/>
      <c r="HK24" s="55" t="n"/>
      <c r="HL24" s="55" t="n"/>
      <c r="HM24" s="55"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ez_manage.py:5142 top()</t>
        </is>
      </c>
      <c r="IL24" s="9" t="inlineStr">
        <is>
          <t>v12_quick_engine.py:2539 x1</t>
        </is>
      </c>
    </row>
    <row r="25" ht="11" customHeight="1">
      <c r="A25" s="10" t="inlineStr">
        <is>
          <t>OPEN_RATE_MAX</t>
        </is>
      </c>
      <c r="B25" s="11" t="inlineStr">
        <is>
          <t>22</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55" t="n"/>
      <c r="DY25" s="55" t="n"/>
      <c r="DZ25" s="55" t="n"/>
      <c r="EA25" s="55" t="n"/>
      <c r="EB25" s="55"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55" t="n"/>
      <c r="HJ25" s="55" t="n"/>
      <c r="HK25" s="55" t="n"/>
      <c r="HL25" s="55" t="n"/>
      <c r="HM25" s="55"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ez_manage.py:5142 top()</t>
        </is>
      </c>
      <c r="IL25" s="9" t="inlineStr">
        <is>
          <t>v12_quick_engine.py:2539 x1</t>
        </is>
      </c>
    </row>
    <row r="26" ht="11" customHeight="1">
      <c r="A26" s="6" t="inlineStr">
        <is>
          <t>OPEN_RATE_MAX</t>
        </is>
      </c>
      <c r="B26" s="7" t="inlineStr">
        <is>
          <t>30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55" t="n"/>
      <c r="DY26" s="55" t="n"/>
      <c r="DZ26" s="55" t="n"/>
      <c r="EA26" s="55" t="n"/>
      <c r="EB26" s="55"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55" t="n"/>
      <c r="HJ26" s="55" t="n"/>
      <c r="HK26" s="55" t="n"/>
      <c r="HL26" s="55" t="n"/>
      <c r="HM26" s="55"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ez_manage.py:5142 top()</t>
        </is>
      </c>
      <c r="IL26" s="9" t="inlineStr">
        <is>
          <t>v12_quick_engine.py:2539 x1</t>
        </is>
      </c>
    </row>
    <row r="27" ht="11" customHeight="1">
      <c r="A27" s="10" t="inlineStr">
        <is>
          <t>OPEN_RATE_MAX</t>
        </is>
      </c>
      <c r="B27" s="11" t="inlineStr">
        <is>
          <t>38</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55" t="n"/>
      <c r="DY27" s="55" t="n"/>
      <c r="DZ27" s="55" t="n"/>
      <c r="EA27" s="55" t="n"/>
      <c r="EB27" s="55"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55" t="n"/>
      <c r="HJ27" s="55" t="n"/>
      <c r="HK27" s="55" t="n"/>
      <c r="HL27" s="55" t="n"/>
      <c r="HM27" s="55"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ez_manage.py:5142 top()</t>
        </is>
      </c>
      <c r="IL27" s="9" t="inlineStr">
        <is>
          <t>v12_quick_engine.py:2539 x1</t>
        </is>
      </c>
    </row>
    <row r="28" ht="11" customHeight="1">
      <c r="A28" s="10" t="inlineStr">
        <is>
          <t>OPEN_RATE_MAX</t>
        </is>
      </c>
      <c r="B28" s="11" t="inlineStr">
        <is>
          <t>45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55" t="n"/>
      <c r="DY28" s="55" t="n"/>
      <c r="DZ28" s="55" t="n"/>
      <c r="EA28" s="55" t="n"/>
      <c r="EB28" s="55"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55" t="n"/>
      <c r="HJ28" s="55" t="n"/>
      <c r="HK28" s="55" t="n"/>
      <c r="HL28" s="55" t="n"/>
      <c r="HM28" s="55"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ez_manage.py:5142 top()</t>
        </is>
      </c>
      <c r="IL28" s="9" t="inlineStr">
        <is>
          <t>v12_quick_engine.py:2539 x1</t>
        </is>
      </c>
    </row>
    <row r="29" ht="11" customHeight="1">
      <c r="A29" s="10" t="inlineStr">
        <is>
          <t>RECENT_REDUCTION_GUARD_WINDOW_S</t>
        </is>
      </c>
      <c r="B29" s="11" t="inlineStr">
        <is>
          <t>450.0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ez_manage.py:5266 top()</t>
        </is>
      </c>
      <c r="IL29" s="9" t="inlineStr">
        <is>
          <t>v12_quick_engine.py:4016 x1</t>
        </is>
      </c>
    </row>
    <row r="30" ht="11" customHeight="1">
      <c r="A30" s="10" t="inlineStr">
        <is>
          <t>RECENT_REDUCTION_GUARD_WINDOW_S</t>
        </is>
      </c>
      <c r="B30" s="11" t="inlineStr">
        <is>
          <t>675.0</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ez_manage.py:5266 top()</t>
        </is>
      </c>
      <c r="IL30" s="9" t="inlineStr">
        <is>
          <t>v12_quick_engine.py:4016 x1</t>
        </is>
      </c>
    </row>
    <row r="31" ht="11" customHeight="1">
      <c r="A31" s="6" t="inlineStr">
        <is>
          <t>RECENT_REDUCTION_GUARD_WINDOW_S</t>
        </is>
      </c>
      <c r="B31" s="7" t="inlineStr">
        <is>
          <t>900.0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ez_manage.py:5266 top()</t>
        </is>
      </c>
      <c r="IL31" s="9" t="inlineStr">
        <is>
          <t>v12_quick_engine.py:4016 x1</t>
        </is>
      </c>
    </row>
    <row r="32" ht="11" customHeight="1">
      <c r="A32" s="10" t="inlineStr">
        <is>
          <t>RECENT_REDUCTION_GUARD_WINDOW_S</t>
        </is>
      </c>
      <c r="B32" s="11" t="inlineStr">
        <is>
          <t>1125.0</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ez_manage.py:5266 top()</t>
        </is>
      </c>
      <c r="IL32" s="9" t="inlineStr">
        <is>
          <t>v12_quick_engine.py:4016 x1</t>
        </is>
      </c>
    </row>
    <row r="33" ht="11" customHeight="1">
      <c r="A33" s="10" t="inlineStr">
        <is>
          <t>RECENT_REDUCTION_GUARD_WINDOW_S</t>
        </is>
      </c>
      <c r="B33" s="11" t="inlineStr">
        <is>
          <t>1350.0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ez_manage.py:5266 top()</t>
        </is>
      </c>
      <c r="IL33" s="9" t="inlineStr">
        <is>
          <t>v12_quick_engine.py:4016 x1</t>
        </is>
      </c>
    </row>
    <row r="34" ht="11" customHeight="1">
      <c r="A34" s="6" t="inlineStr">
        <is>
          <t>STALE_HOLD_ENABLED</t>
        </is>
      </c>
      <c r="B34" s="7" t="inlineStr"/>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config only</t>
        </is>
      </c>
      <c r="IL34" s="9" t="inlineStr">
        <is>
          <t>not declared</t>
        </is>
      </c>
    </row>
    <row r="35" ht="11" customHeight="1">
      <c r="A35" s="10" t="inlineStr">
        <is>
          <t>TRADES_PER_SYM_PER_DAY_MAX</t>
        </is>
      </c>
      <c r="B35" s="11" t="inlineStr">
        <is>
          <t>4</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ez_manage.py:4116 top()</t>
        </is>
      </c>
      <c r="IL35" s="9" t="inlineStr">
        <is>
          <t>v12_quick_engine.py:3383 x1</t>
        </is>
      </c>
    </row>
    <row r="36" ht="11" customHeight="1">
      <c r="A36" s="10" t="inlineStr">
        <is>
          <t>TRADES_PER_SYM_PER_DAY_MAX</t>
        </is>
      </c>
      <c r="B36" s="11" t="inlineStr">
        <is>
          <t>6</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ez_manage.py:4116 top()</t>
        </is>
      </c>
      <c r="IL36" s="9" t="inlineStr">
        <is>
          <t>v12_quick_engine.py:3383 x1</t>
        </is>
      </c>
    </row>
    <row r="37" ht="11" customHeight="1">
      <c r="A37" s="6" t="inlineStr">
        <is>
          <t>TRADES_PER_SYM_PER_DAY_MAX</t>
        </is>
      </c>
      <c r="B37" s="7" t="inlineStr">
        <is>
          <t>8</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ez_manage.py:4116 top()</t>
        </is>
      </c>
      <c r="IL37" s="9" t="inlineStr">
        <is>
          <t>v12_quick_engine.py:3383 x1</t>
        </is>
      </c>
    </row>
    <row r="38" ht="11" customHeight="1">
      <c r="A38" s="10" t="inlineStr">
        <is>
          <t>TRADES_PER_SYM_PER_DAY_MAX</t>
        </is>
      </c>
      <c r="B38" s="11"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ez_manage.py:4116 top()</t>
        </is>
      </c>
      <c r="IL38" s="9" t="inlineStr">
        <is>
          <t>v12_quick_engine.py:3383 x1</t>
        </is>
      </c>
    </row>
    <row r="39" ht="11" customHeight="1">
      <c r="A39" s="10" t="inlineStr">
        <is>
          <t>TRADES_PER_SYM_PER_DAY_MAX</t>
        </is>
      </c>
      <c r="B39" s="11" t="inlineStr">
        <is>
          <t>12</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ez_manage.py:4116 top()</t>
        </is>
      </c>
      <c r="IL39" s="9" t="inlineStr">
        <is>
          <t>v12_quick_engine.py:3383 x1</t>
        </is>
      </c>
    </row>
    <row r="40" ht="11" customHeight="1">
      <c r="A40" s="6" t="inlineStr">
        <is>
          <t>UNIVERSAL_NOLOSS_BYPASS_REASONS</t>
        </is>
      </c>
      <c r="B40" s="7" t="inlineStr"/>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config only</t>
        </is>
      </c>
      <c r="IL40" s="9" t="inlineStr">
        <is>
          <t>not declared</t>
        </is>
      </c>
    </row>
    <row r="41">
      <c r="A41" t="inlineStr">
        <is>
          <t>GAP_PER_SYMBOL_AVG_THRESH_PCT</t>
        </is>
      </c>
      <c r="B41" t="inlineStr">
        <is>
          <t>0.10</t>
        </is>
      </c>
      <c r="E41">
        <f>IF(G41="",E40,IF(G41&gt;0,E40+G41,E40))</f>
        <v/>
      </c>
      <c r="G41">
        <f>IFERROR(VLOOKUP($A41&amp;"="&amp;$B41,Results_Deltas!$A$2:$P$15000,5,FALSE),"")</f>
        <v/>
      </c>
      <c r="H41">
        <f>IFERROR(VLOOKUP($A41,Results_30d_Deltas!$A$2:$H$5000,7,FALSE)-E40,"")</f>
        <v/>
      </c>
    </row>
    <row r="42">
      <c r="A42" t="inlineStr">
        <is>
          <t>GAP_PER_SYMBOL_AVG_THRESH_PCT</t>
        </is>
      </c>
      <c r="B42" t="inlineStr">
        <is>
          <t>0.30</t>
        </is>
      </c>
      <c r="E42">
        <f>IF(G42="",E41,IF(G42&gt;0,E41+G42,E41))</f>
        <v/>
      </c>
      <c r="G42">
        <f>IFERROR(VLOOKUP($A42&amp;"="&amp;$B42,Results_Deltas!$A$2:$P$15000,5,FALSE),"")</f>
        <v/>
      </c>
      <c r="H42">
        <f>IFERROR(VLOOKUP($A42,Results_30d_Deltas!$A$2:$H$5000,7,FALSE)-E41,"")</f>
        <v/>
      </c>
    </row>
    <row r="43">
      <c r="A43" t="inlineStr">
        <is>
          <t>GAP_PER_SYMBOL_AVG_THRESH_PCT</t>
        </is>
      </c>
      <c r="B43" t="inlineStr">
        <is>
          <t>0.50</t>
        </is>
      </c>
      <c r="E43">
        <f>IF(G43="",E42,IF(G43&gt;0,E42+G43,E42))</f>
        <v/>
      </c>
      <c r="G43">
        <f>IFERROR(VLOOKUP($A43&amp;"="&amp;$B43,Results_Deltas!$A$2:$P$15000,5,FALSE),"")</f>
        <v/>
      </c>
      <c r="H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G45" s="62" t="inlineStr">
        <is>
          <t>Rec</t>
        </is>
      </c>
      <c r="H45" s="62" t="inlineStr">
        <is>
          <t>Tested As</t>
        </is>
      </c>
      <c r="I45" s="62" t="inlineStr">
        <is>
          <t>Notes</t>
        </is>
      </c>
    </row>
    <row r="46">
      <c r="A46" s="63" t="inlineStr">
        <is>
          <t>ADX_RANGING_THRESHOLD</t>
        </is>
      </c>
      <c r="B46" s="56" t="inlineStr">
        <is>
          <t>20</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ADX_RANGING_THRESHOLD</t>
        </is>
      </c>
      <c r="B47" s="56" t="inlineStr">
        <is>
          <t>25</t>
        </is>
      </c>
      <c r="C47" s="56" t="n"/>
      <c r="D47" s="56" t="inlineStr">
        <is>
          <t>ENTRY, GLOBAL_CHECK, STOCKS_EXIT</t>
        </is>
      </c>
      <c r="E47" s="56">
        <f>IF(G47="",E46,IF(G47&gt;0,E46+G47,E46))</f>
        <v/>
      </c>
      <c r="G47" s="56">
        <f>IFERROR(VLOOKUP($A47&amp;"="&amp;$B47,Results_Deltas!$A$2:$P$15000,5,FALSE),"")</f>
        <v/>
      </c>
      <c r="H47" s="56" t="inlineStr">
        <is>
          <t>Blanket (page end)</t>
        </is>
      </c>
    </row>
    <row r="48">
      <c r="A48" s="63" t="inlineStr">
        <is>
          <t>ADX_RANGING_THRESHOLD</t>
        </is>
      </c>
      <c r="B48" s="56" t="inlineStr">
        <is>
          <t>15</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ADX_RANGING_THRESHOLD</t>
        </is>
      </c>
      <c r="B49" s="56" t="inlineStr">
        <is>
          <t>10</t>
        </is>
      </c>
      <c r="C49" s="56" t="n"/>
      <c r="D49" s="56" t="inlineStr">
        <is>
          <t>ENTRY, GLOBAL_CHECK, STOCKS_EXIT</t>
        </is>
      </c>
      <c r="E49" s="56">
        <f>IF(G49="",E48,IF(G49&gt;0,E48+G49,E48))</f>
        <v/>
      </c>
      <c r="G49" s="56">
        <f>IFERROR(VLOOKUP($A49&amp;"="&amp;$B49,Results_Deltas!$A$2:$P$15000,5,FALSE),"")</f>
        <v/>
      </c>
      <c r="H49" s="56" t="inlineStr">
        <is>
          <t>Blanket (page end)</t>
        </is>
      </c>
    </row>
    <row r="50">
      <c r="A50" s="63" t="inlineStr">
        <is>
          <t>BANDAID_OFF_LOSER_RECOVER_PCT</t>
        </is>
      </c>
      <c r="B50" s="56" t="inlineStr">
        <is>
          <t>0</t>
        </is>
      </c>
      <c r="C50" s="56" t="n"/>
      <c r="D50" s="56" t="inlineStr">
        <is>
          <t>AUGMENT, ENTRY, EXIT, GLOBAL_CHECK, REDUCE, STOCKS_EXIT</t>
        </is>
      </c>
      <c r="E50" s="56">
        <f>IF(G50="",E49,IF(G50&gt;0,E49+G50,E49))</f>
        <v/>
      </c>
      <c r="G50" s="56">
        <f>IFERROR(VLOOKUP($A50&amp;"="&amp;$B50,Results_Deltas!$A$2:$P$15000,5,FALSE),"")</f>
        <v/>
      </c>
      <c r="H50" s="56" t="inlineStr">
        <is>
          <t>Blanket (page end)</t>
        </is>
      </c>
    </row>
    <row r="51">
      <c r="A51" s="63" t="inlineStr">
        <is>
          <t>BANDAID_OFF_LOSER_RECOVER_PCT</t>
        </is>
      </c>
      <c r="B51" s="56" t="inlineStr">
        <is>
          <t>2.0</t>
        </is>
      </c>
      <c r="C51" s="56" t="n"/>
      <c r="D51" s="56" t="inlineStr">
        <is>
          <t>AUGMENT, ENTRY, EXIT, GLOBAL_CHECK, REDUCE, STOCKS_EXIT</t>
        </is>
      </c>
      <c r="E51" s="56">
        <f>IF(G51="",E50,IF(G51&gt;0,E50+G51,E50))</f>
        <v/>
      </c>
      <c r="G51" s="56">
        <f>IFERROR(VLOOKUP($A51&amp;"="&amp;$B51,Results_Deltas!$A$2:$P$15000,5,FALSE),"")</f>
        <v/>
      </c>
      <c r="H51" s="56" t="inlineStr">
        <is>
          <t>Blanket (page end)</t>
        </is>
      </c>
    </row>
    <row r="52">
      <c r="A52" s="63" t="inlineStr">
        <is>
          <t>BANDAID_OFF_LOSER_RECOVER_PCT</t>
        </is>
      </c>
      <c r="B52" s="56" t="inlineStr">
        <is>
          <t>1.0</t>
        </is>
      </c>
      <c r="C52" s="56" t="n"/>
      <c r="D52" s="56" t="inlineStr">
        <is>
          <t>AUGMENT, ENTRY, EXIT, GLOBAL_CHECK, REDUCE, STOCKS_EXIT</t>
        </is>
      </c>
      <c r="E52" s="56">
        <f>IF(G52="",E51,IF(G52&gt;0,E51+G52,E51))</f>
        <v/>
      </c>
      <c r="G52" s="56">
        <f>IFERROR(VLOOKUP($A52&amp;"="&amp;$B52,Results_Deltas!$A$2:$P$15000,5,FALSE),"")</f>
        <v/>
      </c>
      <c r="H52" s="56" t="inlineStr">
        <is>
          <t>Blanket (page end)</t>
        </is>
      </c>
    </row>
    <row r="53">
      <c r="A53" s="63" t="inlineStr">
        <is>
          <t>BANDAID_OFF_LOSER_RECOVER_PCT</t>
        </is>
      </c>
      <c r="B53" s="56" t="inlineStr">
        <is>
          <t>0.5</t>
        </is>
      </c>
      <c r="C53" s="56" t="n"/>
      <c r="D53" s="56" t="inlineStr">
        <is>
          <t>AUGMENT, ENTRY, EXIT, GLOBAL_CHECK, REDUCE, STOCKS_EXIT</t>
        </is>
      </c>
      <c r="E53" s="56">
        <f>IF(G53="",E52,IF(G53&gt;0,E52+G53,E52))</f>
        <v/>
      </c>
      <c r="G53" s="56">
        <f>IFERROR(VLOOKUP($A53&amp;"="&amp;$B53,Results_Deltas!$A$2:$P$15000,5,FALSE),"")</f>
        <v/>
      </c>
      <c r="H53" s="56" t="inlineStr">
        <is>
          <t>Blanket (page end)</t>
        </is>
      </c>
    </row>
    <row r="54">
      <c r="A54" s="63" t="inlineStr">
        <is>
          <t>BAND_ARROW_ENABLED</t>
        </is>
      </c>
      <c r="B54" s="56" t="inlineStr">
        <is>
          <t>False</t>
        </is>
      </c>
      <c r="C54" s="56" t="n"/>
      <c r="D54" s="56" t="inlineStr">
        <is>
          <t>GLOBAL_CHECK, STOCKS_EXIT</t>
        </is>
      </c>
      <c r="E54" s="56">
        <f>IF(G54="",E53,IF(G54&gt;0,E53+G54,E53))</f>
        <v/>
      </c>
      <c r="G54" s="56">
        <f>IFERROR(VLOOKUP($A54&amp;"="&amp;$B54,Results_Deltas!$A$2:$P$15000,5,FALSE),"")</f>
        <v/>
      </c>
      <c r="H54" s="56" t="inlineStr">
        <is>
          <t>Blanket (page end)</t>
        </is>
      </c>
    </row>
    <row r="55">
      <c r="A55" s="63" t="inlineStr">
        <is>
          <t>BAND_ARROW_ENABLED</t>
        </is>
      </c>
      <c r="B55" s="56" t="inlineStr">
        <is>
          <t>True</t>
        </is>
      </c>
      <c r="C55" s="56" t="n"/>
      <c r="D55" s="56" t="inlineStr">
        <is>
          <t>GLOBAL_CHECK, STOCKS_EXIT</t>
        </is>
      </c>
      <c r="E55" s="56">
        <f>IF(G55="",E54,IF(G55&gt;0,E54+G55,E54))</f>
        <v/>
      </c>
      <c r="G55" s="56">
        <f>IFERROR(VLOOKUP($A55&amp;"="&amp;$B55,Results_Deltas!$A$2:$P$15000,5,FALSE),"")</f>
        <v/>
      </c>
      <c r="H55" s="56" t="inlineStr">
        <is>
          <t>Blanket (page end)</t>
        </is>
      </c>
    </row>
    <row r="56">
      <c r="A56" s="63" t="inlineStr">
        <is>
          <t>COOLDOWN_LOCKS_FILTER_TF</t>
        </is>
      </c>
      <c r="B56" s="56" t="inlineStr">
        <is>
          <t>OFF</t>
        </is>
      </c>
      <c r="C56" s="56" t="n"/>
      <c r="D56" s="56" t="inlineStr">
        <is>
          <t>GLOBAL_CHECK</t>
        </is>
      </c>
      <c r="E56" s="56">
        <f>IF(G56="",E55,IF(G56&gt;0,E55+G56,E55))</f>
        <v/>
      </c>
      <c r="G56" s="56">
        <f>IFERROR(VLOOKUP($A56&amp;"="&amp;$B56,Results_Deltas!$A$2:$P$15000,5,FALSE),"")</f>
        <v/>
      </c>
      <c r="H56" s="56" t="inlineStr">
        <is>
          <t>Blanket (page end)</t>
        </is>
      </c>
    </row>
    <row r="57">
      <c r="A57" s="63" t="inlineStr">
        <is>
          <t>COOLDOWN_LOCKS_FILTER_TF</t>
        </is>
      </c>
      <c r="B57" s="56" t="inlineStr">
        <is>
          <t>D</t>
        </is>
      </c>
      <c r="C57" s="56" t="n"/>
      <c r="D57" s="56" t="inlineStr">
        <is>
          <t>GLOBAL_CHECK</t>
        </is>
      </c>
      <c r="E57" s="56">
        <f>IF(G57="",E56,IF(G57&gt;0,E56+G57,E56))</f>
        <v/>
      </c>
      <c r="G57" s="56">
        <f>IFERROR(VLOOKUP($A57&amp;"="&amp;$B57,Results_Deltas!$A$2:$P$15000,5,FALSE),"")</f>
        <v/>
      </c>
      <c r="H57" s="56" t="inlineStr">
        <is>
          <t>Blanket (page end)</t>
        </is>
      </c>
    </row>
    <row r="58">
      <c r="A58" s="63" t="inlineStr">
        <is>
          <t>COOLDOWN_LOCKS_FILTER_TF</t>
        </is>
      </c>
      <c r="B58" s="56" t="inlineStr">
        <is>
          <t>4h</t>
        </is>
      </c>
      <c r="C58" s="56" t="n"/>
      <c r="D58" s="56" t="inlineStr">
        <is>
          <t>GLOBAL_CHECK</t>
        </is>
      </c>
      <c r="E58" s="56">
        <f>IF(G58="",E57,IF(G58&gt;0,E57+G58,E57))</f>
        <v/>
      </c>
      <c r="G58" s="56">
        <f>IFERROR(VLOOKUP($A58&amp;"="&amp;$B58,Results_Deltas!$A$2:$P$15000,5,FALSE),"")</f>
        <v/>
      </c>
      <c r="H58" s="56" t="inlineStr">
        <is>
          <t>Blanket (page end)</t>
        </is>
      </c>
    </row>
    <row r="59">
      <c r="A59" s="63" t="inlineStr">
        <is>
          <t>COOLDOWN_LOCKS_FILTER_TF</t>
        </is>
      </c>
      <c r="B59" s="56" t="inlineStr">
        <is>
          <t>1h</t>
        </is>
      </c>
      <c r="C59" s="56" t="n"/>
      <c r="D59" s="56" t="inlineStr">
        <is>
          <t>GLOBAL_CHECK</t>
        </is>
      </c>
      <c r="E59" s="56">
        <f>IF(G59="",E58,IF(G59&gt;0,E58+G59,E58))</f>
        <v/>
      </c>
      <c r="G59" s="56">
        <f>IFERROR(VLOOKUP($A59&amp;"="&amp;$B59,Results_Deltas!$A$2:$P$15000,5,FALSE),"")</f>
        <v/>
      </c>
      <c r="H59" s="56" t="inlineStr">
        <is>
          <t>Blanket (page end)</t>
        </is>
      </c>
    </row>
    <row r="60">
      <c r="A60" s="63" t="inlineStr">
        <is>
          <t>COOLDOWN_LOCKS_FILTER_TF</t>
        </is>
      </c>
      <c r="B60" s="56" t="inlineStr">
        <is>
          <t>15m</t>
        </is>
      </c>
      <c r="C60" s="56" t="n"/>
      <c r="D60" s="56" t="inlineStr">
        <is>
          <t>GLOBAL_CHECK</t>
        </is>
      </c>
      <c r="E60" s="56">
        <f>IF(G60="",E59,IF(G60&gt;0,E59+G60,E59))</f>
        <v/>
      </c>
      <c r="G60" s="56">
        <f>IFERROR(VLOOKUP($A60&amp;"="&amp;$B60,Results_Deltas!$A$2:$P$15000,5,FALSE),"")</f>
        <v/>
      </c>
      <c r="H60" s="56" t="inlineStr">
        <is>
          <t>Blanket (page end)</t>
        </is>
      </c>
    </row>
    <row r="61">
      <c r="A61" s="63" t="inlineStr">
        <is>
          <t>CRYPTO_SPIKE_FADE_THRESHOLD_PCT</t>
        </is>
      </c>
      <c r="B61" s="56" t="inlineStr">
        <is>
          <t>10</t>
        </is>
      </c>
      <c r="C61" s="56" t="n"/>
      <c r="D61" s="56" t="inlineStr">
        <is>
          <t>GLOBAL_CHECK, STOCKS_EXIT</t>
        </is>
      </c>
      <c r="E61" s="56">
        <f>IF(G61="",E60,IF(G61&gt;0,E60+G61,E60))</f>
        <v/>
      </c>
      <c r="G61" s="56">
        <f>IFERROR(VLOOKUP($A61&amp;"="&amp;$B61,Results_Deltas!$A$2:$P$15000,5,FALSE),"")</f>
        <v/>
      </c>
      <c r="H61" s="56" t="inlineStr">
        <is>
          <t>Blanket (page end)</t>
        </is>
      </c>
    </row>
    <row r="62">
      <c r="A62" s="63" t="inlineStr">
        <is>
          <t>CRYPTO_SPIKE_FADE_THRESHOLD_PCT</t>
        </is>
      </c>
      <c r="B62" s="56" t="inlineStr">
        <is>
          <t>12.5</t>
        </is>
      </c>
      <c r="C62" s="56" t="n"/>
      <c r="D62" s="56" t="inlineStr">
        <is>
          <t>GLOBAL_CHECK, STOCKS_EXIT</t>
        </is>
      </c>
      <c r="E62" s="56">
        <f>IF(G62="",E61,IF(G62&gt;0,E61+G62,E61))</f>
        <v/>
      </c>
      <c r="G62" s="56">
        <f>IFERROR(VLOOKUP($A62&amp;"="&amp;$B62,Results_Deltas!$A$2:$P$15000,5,FALSE),"")</f>
        <v/>
      </c>
      <c r="H62" s="56" t="inlineStr">
        <is>
          <t>Blanket (page end)</t>
        </is>
      </c>
    </row>
    <row r="63">
      <c r="A63" s="63" t="inlineStr">
        <is>
          <t>CRYPTO_SPIKE_FADE_THRESHOLD_PCT</t>
        </is>
      </c>
      <c r="B63" s="56" t="inlineStr">
        <is>
          <t>7.5</t>
        </is>
      </c>
      <c r="C63" s="56" t="n"/>
      <c r="D63" s="56" t="inlineStr">
        <is>
          <t>GLOBAL_CHECK, STOCKS_EXIT</t>
        </is>
      </c>
      <c r="E63" s="56">
        <f>IF(G63="",E62,IF(G63&gt;0,E62+G63,E62))</f>
        <v/>
      </c>
      <c r="G63" s="56">
        <f>IFERROR(VLOOKUP($A63&amp;"="&amp;$B63,Results_Deltas!$A$2:$P$15000,5,FALSE),"")</f>
        <v/>
      </c>
      <c r="H63" s="56" t="inlineStr">
        <is>
          <t>Blanket (page end)</t>
        </is>
      </c>
    </row>
    <row r="64">
      <c r="A64" s="63" t="inlineStr">
        <is>
          <t>CRYPTO_SPIKE_FADE_THRESHOLD_PCT</t>
        </is>
      </c>
      <c r="B64" s="56" t="inlineStr">
        <is>
          <t>5</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DC_MOMENT_STRONG_THRESHOLD</t>
        </is>
      </c>
      <c r="B65" s="56" t="inlineStr">
        <is>
          <t>40</t>
        </is>
      </c>
      <c r="C65" s="56" t="n"/>
      <c r="D65" s="56" t="inlineStr">
        <is>
          <t>ENTRY, GLOBAL_CHECK, STOCKS_EXIT</t>
        </is>
      </c>
      <c r="E65" s="56">
        <f>IF(G65="",E64,IF(G65&gt;0,E64+G65,E64))</f>
        <v/>
      </c>
      <c r="G65" s="56">
        <f>IFERROR(VLOOKUP($A65&amp;"="&amp;$B65,Results_Deltas!$A$2:$P$15000,5,FALSE),"")</f>
        <v/>
      </c>
      <c r="H65" s="56" t="inlineStr">
        <is>
          <t>Blanket (page end)</t>
        </is>
      </c>
    </row>
    <row r="66">
      <c r="A66" s="63" t="inlineStr">
        <is>
          <t>DC_MOMENT_STRONG_THRESHOLD</t>
        </is>
      </c>
      <c r="B66" s="56" t="inlineStr">
        <is>
          <t>50</t>
        </is>
      </c>
      <c r="C66" s="56" t="n"/>
      <c r="D66" s="56" t="inlineStr">
        <is>
          <t>ENTRY, GLOBAL_CHECK, STOCKS_EXIT</t>
        </is>
      </c>
      <c r="E66" s="56">
        <f>IF(G66="",E65,IF(G66&gt;0,E65+G66,E65))</f>
        <v/>
      </c>
      <c r="G66" s="56">
        <f>IFERROR(VLOOKUP($A66&amp;"="&amp;$B66,Results_Deltas!$A$2:$P$15000,5,FALSE),"")</f>
        <v/>
      </c>
      <c r="H66" s="56" t="inlineStr">
        <is>
          <t>Blanket (page end)</t>
        </is>
      </c>
    </row>
    <row r="67">
      <c r="A67" s="63" t="inlineStr">
        <is>
          <t>DC_MOMENT_STRONG_THRESHOLD</t>
        </is>
      </c>
      <c r="B67" s="56" t="inlineStr">
        <is>
          <t>30</t>
        </is>
      </c>
      <c r="C67" s="56" t="n"/>
      <c r="D67" s="56" t="inlineStr">
        <is>
          <t>ENTRY, GLOBAL_CHECK, STOCKS_EXIT</t>
        </is>
      </c>
      <c r="E67" s="56">
        <f>IF(G67="",E66,IF(G67&gt;0,E66+G67,E66))</f>
        <v/>
      </c>
      <c r="G67" s="56">
        <f>IFERROR(VLOOKUP($A67&amp;"="&amp;$B67,Results_Deltas!$A$2:$P$15000,5,FALSE),"")</f>
        <v/>
      </c>
      <c r="H67" s="56" t="inlineStr">
        <is>
          <t>Blanket (page end)</t>
        </is>
      </c>
    </row>
    <row r="68">
      <c r="A68" s="63" t="inlineStr">
        <is>
          <t>DC_MOMENT_STRONG_THRESHOLD</t>
        </is>
      </c>
      <c r="B68" s="56" t="inlineStr">
        <is>
          <t>20</t>
        </is>
      </c>
      <c r="C68" s="56" t="n"/>
      <c r="D68" s="56" t="inlineStr">
        <is>
          <t>ENTRY, GLOBAL_CHECK, STOCKS_EXIT</t>
        </is>
      </c>
      <c r="E68" s="56">
        <f>IF(G68="",E67,IF(G68&gt;0,E67+G68,E67))</f>
        <v/>
      </c>
      <c r="G68" s="56">
        <f>IFERROR(VLOOKUP($A68&amp;"="&amp;$B68,Results_Deltas!$A$2:$P$15000,5,FALSE),"")</f>
        <v/>
      </c>
      <c r="H68" s="56" t="inlineStr">
        <is>
          <t>Blanket (page end)</t>
        </is>
      </c>
    </row>
    <row r="69">
      <c r="A69" s="63" t="inlineStr">
        <is>
          <t>DELTA_HTF_GATE</t>
        </is>
      </c>
      <c r="B69" s="56" t="inlineStr">
        <is>
          <t>4h</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DELTA_HTF_GATE</t>
        </is>
      </c>
      <c r="B70" s="56" t="inlineStr">
        <is>
          <t>4h_ALT</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DELTA_REENTRY_FILTER_ENABLED</t>
        </is>
      </c>
      <c r="B71" s="56" t="inlineStr">
        <is>
          <t>False</t>
        </is>
      </c>
      <c r="C71" s="56" t="n"/>
      <c r="D71" s="56" t="inlineStr">
        <is>
          <t>ENTRY, GLOBAL_CHECK, STOCKS_EXIT</t>
        </is>
      </c>
      <c r="E71" s="56">
        <f>IF(G71="",E70,IF(G71&gt;0,E70+G71,E70))</f>
        <v/>
      </c>
      <c r="G71" s="56">
        <f>IFERROR(VLOOKUP($A71&amp;"="&amp;$B71,Results_Deltas!$A$2:$P$15000,5,FALSE),"")</f>
        <v/>
      </c>
      <c r="H71" s="56" t="inlineStr">
        <is>
          <t>Blanket (page end)</t>
        </is>
      </c>
    </row>
    <row r="72">
      <c r="A72" s="63" t="inlineStr">
        <is>
          <t>DELTA_REENTRY_FILTER_ENABLED</t>
        </is>
      </c>
      <c r="B72" s="56" t="inlineStr">
        <is>
          <t>True</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DUP_GUARD_FILTER_TF</t>
        </is>
      </c>
      <c r="B73" s="56" t="inlineStr">
        <is>
          <t>OFF</t>
        </is>
      </c>
      <c r="C73" s="56" t="n"/>
      <c r="D73" s="56" t="inlineStr">
        <is>
          <t>GLOBAL_CHECK</t>
        </is>
      </c>
      <c r="E73" s="56">
        <f>IF(G73="",E72,IF(G73&gt;0,E72+G73,E72))</f>
        <v/>
      </c>
      <c r="G73" s="56">
        <f>IFERROR(VLOOKUP($A73&amp;"="&amp;$B73,Results_Deltas!$A$2:$P$15000,5,FALSE),"")</f>
        <v/>
      </c>
      <c r="H73" s="56" t="inlineStr">
        <is>
          <t>Blanket (page end)</t>
        </is>
      </c>
    </row>
    <row r="74">
      <c r="A74" s="63" t="inlineStr">
        <is>
          <t>DUP_GUARD_FILTER_TF</t>
        </is>
      </c>
      <c r="B74" s="56" t="inlineStr">
        <is>
          <t>D</t>
        </is>
      </c>
      <c r="C74" s="56" t="n"/>
      <c r="D74" s="56" t="inlineStr">
        <is>
          <t>GLOBAL_CHECK</t>
        </is>
      </c>
      <c r="E74" s="56">
        <f>IF(G74="",E73,IF(G74&gt;0,E73+G74,E73))</f>
        <v/>
      </c>
      <c r="G74" s="56">
        <f>IFERROR(VLOOKUP($A74&amp;"="&amp;$B74,Results_Deltas!$A$2:$P$15000,5,FALSE),"")</f>
        <v/>
      </c>
      <c r="H74" s="56" t="inlineStr">
        <is>
          <t>Blanket (page end)</t>
        </is>
      </c>
    </row>
    <row r="75">
      <c r="A75" s="63" t="inlineStr">
        <is>
          <t>DUP_GUARD_FILTER_TF</t>
        </is>
      </c>
      <c r="B75" s="56" t="inlineStr">
        <is>
          <t>4h</t>
        </is>
      </c>
      <c r="C75" s="56" t="n"/>
      <c r="D75" s="56" t="inlineStr">
        <is>
          <t>GLOBAL_CHECK</t>
        </is>
      </c>
      <c r="E75" s="56">
        <f>IF(G75="",E74,IF(G75&gt;0,E74+G75,E74))</f>
        <v/>
      </c>
      <c r="G75" s="56">
        <f>IFERROR(VLOOKUP($A75&amp;"="&amp;$B75,Results_Deltas!$A$2:$P$15000,5,FALSE),"")</f>
        <v/>
      </c>
      <c r="H75" s="56" t="inlineStr">
        <is>
          <t>Blanket (page end)</t>
        </is>
      </c>
    </row>
    <row r="76">
      <c r="A76" s="63" t="inlineStr">
        <is>
          <t>DUP_GUARD_FILTER_TF</t>
        </is>
      </c>
      <c r="B76" s="56" t="inlineStr">
        <is>
          <t>1h</t>
        </is>
      </c>
      <c r="C76" s="56" t="n"/>
      <c r="D76" s="56" t="inlineStr">
        <is>
          <t>GLOBAL_CHECK</t>
        </is>
      </c>
      <c r="E76" s="56">
        <f>IF(G76="",E75,IF(G76&gt;0,E75+G76,E75))</f>
        <v/>
      </c>
      <c r="G76" s="56">
        <f>IFERROR(VLOOKUP($A76&amp;"="&amp;$B76,Results_Deltas!$A$2:$P$15000,5,FALSE),"")</f>
        <v/>
      </c>
      <c r="H76" s="56" t="inlineStr">
        <is>
          <t>Blanket (page end)</t>
        </is>
      </c>
    </row>
    <row r="77">
      <c r="A77" s="63" t="inlineStr">
        <is>
          <t>DUP_GUARD_FILTER_TF</t>
        </is>
      </c>
      <c r="B77" s="56" t="inlineStr">
        <is>
          <t>15m</t>
        </is>
      </c>
      <c r="C77" s="56" t="n"/>
      <c r="D77" s="56" t="inlineStr">
        <is>
          <t>GLOBAL_CHECK</t>
        </is>
      </c>
      <c r="E77" s="56">
        <f>IF(G77="",E76,IF(G77&gt;0,E76+G77,E76))</f>
        <v/>
      </c>
      <c r="G77" s="56">
        <f>IFERROR(VLOOKUP($A77&amp;"="&amp;$B77,Results_Deltas!$A$2:$P$15000,5,FALSE),"")</f>
        <v/>
      </c>
      <c r="H77" s="56" t="inlineStr">
        <is>
          <t>Blanket (page end)</t>
        </is>
      </c>
    </row>
    <row r="78">
      <c r="A78" s="63" t="inlineStr">
        <is>
          <t>EMA_9_21_FILTER_MIN_TFS</t>
        </is>
      </c>
      <c r="B78" s="56" t="inlineStr">
        <is>
          <t>0</t>
        </is>
      </c>
      <c r="C78" s="56" t="n"/>
      <c r="D78" s="56" t="inlineStr">
        <is>
          <t>GLOBAL_CHECK</t>
        </is>
      </c>
      <c r="E78" s="56">
        <f>IF(G78="",E77,IF(G78&gt;0,E77+G78,E77))</f>
        <v/>
      </c>
      <c r="G78" s="56">
        <f>IFERROR(VLOOKUP($A78&amp;"="&amp;$B78,Results_Deltas!$A$2:$P$15000,5,FALSE),"")</f>
        <v/>
      </c>
      <c r="H78" s="56" t="inlineStr">
        <is>
          <t>Blanket (page end)</t>
        </is>
      </c>
    </row>
    <row r="79">
      <c r="A79" s="63" t="inlineStr">
        <is>
          <t>EMA_9_21_FILTER_MIN_TFS</t>
        </is>
      </c>
      <c r="B79" s="56" t="inlineStr">
        <is>
          <t>2</t>
        </is>
      </c>
      <c r="C79" s="56" t="n"/>
      <c r="D79" s="56" t="inlineStr">
        <is>
          <t>GLOBAL_CHECK</t>
        </is>
      </c>
      <c r="E79" s="56">
        <f>IF(G79="",E78,IF(G79&gt;0,E78+G79,E78))</f>
        <v/>
      </c>
      <c r="G79" s="56">
        <f>IFERROR(VLOOKUP($A79&amp;"="&amp;$B79,Results_Deltas!$A$2:$P$15000,5,FALSE),"")</f>
        <v/>
      </c>
      <c r="H79" s="56" t="inlineStr">
        <is>
          <t>Blanket (page end)</t>
        </is>
      </c>
    </row>
    <row r="80">
      <c r="A80" s="63" t="inlineStr">
        <is>
          <t>EMA_9_21_FILTER_MIN_TFS</t>
        </is>
      </c>
      <c r="B80" s="56" t="inlineStr">
        <is>
          <t>1</t>
        </is>
      </c>
      <c r="C80" s="56" t="n"/>
      <c r="D80" s="56" t="inlineStr">
        <is>
          <t>GLOBAL_CHECK</t>
        </is>
      </c>
      <c r="E80" s="56">
        <f>IF(G80="",E79,IF(G80&gt;0,E79+G80,E79))</f>
        <v/>
      </c>
      <c r="G80" s="56">
        <f>IFERROR(VLOOKUP($A80&amp;"="&amp;$B80,Results_Deltas!$A$2:$P$15000,5,FALSE),"")</f>
        <v/>
      </c>
      <c r="H80" s="56" t="inlineStr">
        <is>
          <t>Blanket (page end)</t>
        </is>
      </c>
    </row>
    <row r="81">
      <c r="A81" s="63" t="inlineStr">
        <is>
          <t>EMA_BLANKET_FILTER_ENABLED</t>
        </is>
      </c>
      <c r="B81" s="56" t="inlineStr">
        <is>
          <t>False</t>
        </is>
      </c>
      <c r="C81" s="56" t="n"/>
      <c r="D81" s="56" t="inlineStr">
        <is>
          <t>GLOBAL_CHECK</t>
        </is>
      </c>
      <c r="E81" s="56">
        <f>IF(G81="",E80,IF(G81&gt;0,E80+G81,E80))</f>
        <v/>
      </c>
      <c r="G81" s="56">
        <f>IFERROR(VLOOKUP($A81&amp;"="&amp;$B81,Results_Deltas!$A$2:$P$15000,5,FALSE),"")</f>
        <v/>
      </c>
      <c r="H81" s="56" t="inlineStr">
        <is>
          <t>Blanket (page end)</t>
        </is>
      </c>
    </row>
    <row r="82">
      <c r="A82" s="63" t="inlineStr">
        <is>
          <t>EMA_BLANKET_FILTER_ENABLED</t>
        </is>
      </c>
      <c r="B82" s="56" t="inlineStr">
        <is>
          <t>True</t>
        </is>
      </c>
      <c r="C82" s="56" t="n"/>
      <c r="D82" s="56" t="inlineStr">
        <is>
          <t>GLOBAL_CHECK</t>
        </is>
      </c>
      <c r="E82" s="56">
        <f>IF(G82="",E81,IF(G82&gt;0,E81+G82,E81))</f>
        <v/>
      </c>
      <c r="G82" s="56">
        <f>IFERROR(VLOOKUP($A82&amp;"="&amp;$B82,Results_Deltas!$A$2:$P$15000,5,FALSE),"")</f>
        <v/>
      </c>
      <c r="H82" s="56" t="inlineStr">
        <is>
          <t>Blanket (page end)</t>
        </is>
      </c>
    </row>
    <row r="83">
      <c r="A83" s="63" t="inlineStr">
        <is>
          <t>EMA_BLANKET_FILTER_MIN_TFS</t>
        </is>
      </c>
      <c r="B83" s="56" t="inlineStr">
        <is>
          <t>0</t>
        </is>
      </c>
      <c r="C83" s="56" t="n"/>
      <c r="D83" s="56" t="inlineStr">
        <is>
          <t>GLOBAL_CHECK</t>
        </is>
      </c>
      <c r="E83" s="56">
        <f>IF(G83="",E82,IF(G83&gt;0,E82+G83,E82))</f>
        <v/>
      </c>
      <c r="G83" s="56">
        <f>IFERROR(VLOOKUP($A83&amp;"="&amp;$B83,Results_Deltas!$A$2:$P$15000,5,FALSE),"")</f>
        <v/>
      </c>
      <c r="H83" s="56" t="inlineStr">
        <is>
          <t>Blanket (page end)</t>
        </is>
      </c>
    </row>
    <row r="84">
      <c r="A84" s="63" t="inlineStr">
        <is>
          <t>EMA_BLANKET_FILTER_MIN_TFS</t>
        </is>
      </c>
      <c r="B84" s="56" t="inlineStr">
        <is>
          <t>2</t>
        </is>
      </c>
      <c r="C84" s="56" t="n"/>
      <c r="D84" s="56" t="inlineStr">
        <is>
          <t>GLOBAL_CHECK</t>
        </is>
      </c>
      <c r="E84" s="56">
        <f>IF(G84="",E83,IF(G84&gt;0,E83+G84,E83))</f>
        <v/>
      </c>
      <c r="G84" s="56">
        <f>IFERROR(VLOOKUP($A84&amp;"="&amp;$B84,Results_Deltas!$A$2:$P$15000,5,FALSE),"")</f>
        <v/>
      </c>
      <c r="H84" s="56" t="inlineStr">
        <is>
          <t>Blanket (page end)</t>
        </is>
      </c>
    </row>
    <row r="85">
      <c r="A85" s="63" t="inlineStr">
        <is>
          <t>EMA_BLANKET_FILTER_MIN_TFS</t>
        </is>
      </c>
      <c r="B85" s="56" t="inlineStr">
        <is>
          <t>1</t>
        </is>
      </c>
      <c r="C85" s="56" t="n"/>
      <c r="D85" s="56" t="inlineStr">
        <is>
          <t>GLOBAL_CHECK</t>
        </is>
      </c>
      <c r="E85" s="56">
        <f>IF(G85="",E84,IF(G85&gt;0,E84+G85,E84))</f>
        <v/>
      </c>
      <c r="G85" s="56">
        <f>IFERROR(VLOOKUP($A85&amp;"="&amp;$B85,Results_Deltas!$A$2:$P$15000,5,FALSE),"")</f>
        <v/>
      </c>
      <c r="H85" s="56" t="inlineStr">
        <is>
          <t>Blanket (page end)</t>
        </is>
      </c>
    </row>
    <row r="86">
      <c r="A86" s="63" t="inlineStr">
        <is>
          <t>EXECUTE_NOW_SINGLE_GATE_ENFORCE</t>
        </is>
      </c>
      <c r="B86" s="56" t="inlineStr">
        <is>
          <t>0.0</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EXECUTE_NOW_SINGLE_GATE_ENFORCE</t>
        </is>
      </c>
      <c r="B87" s="56" t="inlineStr">
        <is>
          <t>0.0_ALT</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EZ_MANAGE_THROTTLER_RATE</t>
        </is>
      </c>
      <c r="B88" s="56" t="inlineStr">
        <is>
          <t>0.0</t>
        </is>
      </c>
      <c r="C88" s="56" t="n"/>
      <c r="D88" s="56" t="inlineStr">
        <is>
          <t>GLOBAL_CHECK, STOCKS_EXIT</t>
        </is>
      </c>
      <c r="E88" s="56">
        <f>IF(G88="",E87,IF(G88&gt;0,E87+G88,E87))</f>
        <v/>
      </c>
      <c r="G88" s="56">
        <f>IFERROR(VLOOKUP($A88&amp;"="&amp;$B88,Results_Deltas!$A$2:$P$15000,5,FALSE),"")</f>
        <v/>
      </c>
      <c r="H88" s="56" t="inlineStr">
        <is>
          <t>Blanket (page end)</t>
        </is>
      </c>
    </row>
    <row r="89">
      <c r="A89" s="63" t="inlineStr">
        <is>
          <t>EZ_MANAGE_THROTTLER_RATE</t>
        </is>
      </c>
      <c r="B89" s="56" t="inlineStr">
        <is>
          <t>0.0_ALT</t>
        </is>
      </c>
      <c r="C89" s="56" t="n"/>
      <c r="D89" s="56" t="inlineStr">
        <is>
          <t>GLOBAL_CHECK, STOCKS_EXIT</t>
        </is>
      </c>
      <c r="E89" s="56">
        <f>IF(G89="",E88,IF(G89&gt;0,E88+G89,E88))</f>
        <v/>
      </c>
      <c r="G89" s="56">
        <f>IFERROR(VLOOKUP($A89&amp;"="&amp;$B89,Results_Deltas!$A$2:$P$15000,5,FALSE),"")</f>
        <v/>
      </c>
      <c r="H89" s="56" t="inlineStr">
        <is>
          <t>Blanket (page end)</t>
        </is>
      </c>
    </row>
    <row r="90">
      <c r="A90" s="63" t="inlineStr">
        <is>
          <t>FG_FEAR_THRESHOLD</t>
        </is>
      </c>
      <c r="B90" s="56" t="inlineStr">
        <is>
          <t>25</t>
        </is>
      </c>
      <c r="C90" s="56" t="n"/>
      <c r="D90" s="56" t="inlineStr">
        <is>
          <t>GLOBAL_CHECK, STOCKS_EXIT</t>
        </is>
      </c>
      <c r="E90" s="56">
        <f>IF(G90="",E89,IF(G90&gt;0,E89+G90,E89))</f>
        <v/>
      </c>
      <c r="G90" s="56">
        <f>IFERROR(VLOOKUP($A90&amp;"="&amp;$B90,Results_Deltas!$A$2:$P$15000,5,FALSE),"")</f>
        <v/>
      </c>
      <c r="H90" s="56" t="inlineStr">
        <is>
          <t>Blanket (page end)</t>
        </is>
      </c>
    </row>
    <row r="91">
      <c r="A91" s="63" t="inlineStr">
        <is>
          <t>FG_FEAR_THRESHOLD</t>
        </is>
      </c>
      <c r="B91" s="56" t="inlineStr">
        <is>
          <t>31.25</t>
        </is>
      </c>
      <c r="C91" s="56" t="n"/>
      <c r="D91" s="56" t="inlineStr">
        <is>
          <t>GLOBAL_CHECK, STOCKS_EXIT</t>
        </is>
      </c>
      <c r="E91" s="56">
        <f>IF(G91="",E90,IF(G91&gt;0,E90+G91,E90))</f>
        <v/>
      </c>
      <c r="G91" s="56">
        <f>IFERROR(VLOOKUP($A91&amp;"="&amp;$B91,Results_Deltas!$A$2:$P$15000,5,FALSE),"")</f>
        <v/>
      </c>
      <c r="H91" s="56" t="inlineStr">
        <is>
          <t>Blanket (page end)</t>
        </is>
      </c>
    </row>
    <row r="92">
      <c r="A92" s="63" t="inlineStr">
        <is>
          <t>FG_FEAR_THRESHOLD</t>
        </is>
      </c>
      <c r="B92" s="56" t="inlineStr">
        <is>
          <t>18.75</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FG_FEAR_THRESHOLD</t>
        </is>
      </c>
      <c r="B93" s="56" t="inlineStr">
        <is>
          <t>12.5</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FG_GREED_THRESHOLD</t>
        </is>
      </c>
      <c r="B94" s="56" t="inlineStr">
        <is>
          <t>75</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FG_GREED_THRESHOLD</t>
        </is>
      </c>
      <c r="B95" s="56" t="inlineStr">
        <is>
          <t>93.75</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FG_GREED_THRESHOLD</t>
        </is>
      </c>
      <c r="B96" s="56" t="inlineStr">
        <is>
          <t>56.25</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FG_GREED_THRESHOLD</t>
        </is>
      </c>
      <c r="B97" s="56" t="inlineStr">
        <is>
          <t>37.5</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FUNDING_GATE_FILTER_TF</t>
        </is>
      </c>
      <c r="B98" s="56" t="inlineStr">
        <is>
          <t>OFF</t>
        </is>
      </c>
      <c r="C98" s="56" t="n"/>
      <c r="D98" s="56" t="inlineStr">
        <is>
          <t>GLOBAL_CHECK</t>
        </is>
      </c>
      <c r="E98" s="56">
        <f>IF(G98="",E97,IF(G98&gt;0,E97+G98,E97))</f>
        <v/>
      </c>
      <c r="G98" s="56">
        <f>IFERROR(VLOOKUP($A98&amp;"="&amp;$B98,Results_Deltas!$A$2:$P$15000,5,FALSE),"")</f>
        <v/>
      </c>
      <c r="H98" s="56" t="inlineStr">
        <is>
          <t>Blanket (page end)</t>
        </is>
      </c>
    </row>
    <row r="99">
      <c r="A99" s="63" t="inlineStr">
        <is>
          <t>FUNDING_GATE_FILTER_TF</t>
        </is>
      </c>
      <c r="B99" s="56" t="inlineStr">
        <is>
          <t>D</t>
        </is>
      </c>
      <c r="C99" s="56" t="n"/>
      <c r="D99" s="56" t="inlineStr">
        <is>
          <t>GLOBAL_CHECK</t>
        </is>
      </c>
      <c r="E99" s="56">
        <f>IF(G99="",E98,IF(G99&gt;0,E98+G99,E98))</f>
        <v/>
      </c>
      <c r="G99" s="56">
        <f>IFERROR(VLOOKUP($A99&amp;"="&amp;$B99,Results_Deltas!$A$2:$P$15000,5,FALSE),"")</f>
        <v/>
      </c>
      <c r="H99" s="56" t="inlineStr">
        <is>
          <t>Blanket (page end)</t>
        </is>
      </c>
    </row>
    <row r="100">
      <c r="A100" s="63" t="inlineStr">
        <is>
          <t>FUNDING_GATE_FILTER_TF</t>
        </is>
      </c>
      <c r="B100" s="56" t="inlineStr">
        <is>
          <t>4h</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FUNDING_GATE_FILTER_TF</t>
        </is>
      </c>
      <c r="B101" s="56" t="inlineStr">
        <is>
          <t>1h</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FUNDING_GATE_FILTER_TF</t>
        </is>
      </c>
      <c r="B102" s="56" t="inlineStr">
        <is>
          <t>15m</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FUNDING_GATE_LONG_MAX</t>
        </is>
      </c>
      <c r="B103" s="56" t="inlineStr">
        <is>
          <t>0.0</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FUNDING_GATE_LONG_MAX</t>
        </is>
      </c>
      <c r="B104" s="56" t="inlineStr">
        <is>
          <t>0.0_ALT</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FUNDING_GATE_MTF_REQUIRED</t>
        </is>
      </c>
      <c r="B105" s="56" t="inlineStr">
        <is>
          <t>0.0</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FUNDING_GATE_MTF_REQUIRED</t>
        </is>
      </c>
      <c r="B106" s="56" t="inlineStr">
        <is>
          <t>0.0_ALT</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FUNDING_GATE_SHORT_MIN</t>
        </is>
      </c>
      <c r="B107" s="56" t="inlineStr">
        <is>
          <t>0.0</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FUNDING_GATE_SHORT_MIN</t>
        </is>
      </c>
      <c r="B108" s="56" t="inlineStr">
        <is>
          <t>0.0_ALT</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GOLDEN_RULE_BASE_USD</t>
        </is>
      </c>
      <c r="B109" s="56" t="inlineStr">
        <is>
          <t>0.0</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GOLDEN_RULE_BASE_USD</t>
        </is>
      </c>
      <c r="B110" s="56" t="inlineStr">
        <is>
          <t>0.0_ALT</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GR_FILTER_ALL_ENTRIES</t>
        </is>
      </c>
      <c r="B111" s="56" t="inlineStr">
        <is>
          <t>0.0</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GR_FILTER_ALL_ENTRIES</t>
        </is>
      </c>
      <c r="B112" s="56" t="inlineStr">
        <is>
          <t>0.0_ALT</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GR_FILTER_VEC_ENABLED</t>
        </is>
      </c>
      <c r="B113" s="56" t="inlineStr">
        <is>
          <t>False</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GR_FILTER_VEC_ENABLED</t>
        </is>
      </c>
      <c r="B114" s="56" t="inlineStr">
        <is>
          <t>True</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GR_FILTER_VEC_MIN_TFS</t>
        </is>
      </c>
      <c r="B115" s="56" t="inlineStr">
        <is>
          <t>0</t>
        </is>
      </c>
      <c r="C115" s="56" t="n"/>
      <c r="D115" s="56" t="inlineStr">
        <is>
          <t>GLOBAL_CHECK</t>
        </is>
      </c>
      <c r="E115" s="56">
        <f>IF(G115="",E114,IF(G115&gt;0,E114+G115,E114))</f>
        <v/>
      </c>
      <c r="G115" s="56">
        <f>IFERROR(VLOOKUP($A115&amp;"="&amp;$B115,Results_Deltas!$A$2:$P$15000,5,FALSE),"")</f>
        <v/>
      </c>
      <c r="H115" s="56" t="inlineStr">
        <is>
          <t>Blanket (page end)</t>
        </is>
      </c>
    </row>
    <row r="116">
      <c r="A116" s="63" t="inlineStr">
        <is>
          <t>GR_FILTER_VEC_MIN_TFS</t>
        </is>
      </c>
      <c r="B116" s="56" t="inlineStr">
        <is>
          <t>2</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GR_FILTER_VEC_MIN_TFS</t>
        </is>
      </c>
      <c r="B117" s="56" t="inlineStr">
        <is>
          <t>1</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HA_WICK_QUALITY_ENABLED</t>
        </is>
      </c>
      <c r="B118" s="56" t="inlineStr">
        <is>
          <t>False</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HA_WICK_QUALITY_ENABLED</t>
        </is>
      </c>
      <c r="B119" s="56" t="inlineStr">
        <is>
          <t>True</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HA_WICK_QUALITY_SCORE</t>
        </is>
      </c>
      <c r="B120" s="56" t="inlineStr">
        <is>
          <t>15</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HA_WICK_QUALITY_SCORE</t>
        </is>
      </c>
      <c r="B121" s="56" t="inlineStr">
        <is>
          <t>15_ALT</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HA_WICK_QUALITY_TF</t>
        </is>
      </c>
      <c r="B122" s="56" t="inlineStr">
        <is>
          <t>OFF</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HA_WICK_QUALITY_TF</t>
        </is>
      </c>
      <c r="B123" s="56" t="inlineStr">
        <is>
          <t>D</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HA_WICK_QUALITY_TF</t>
        </is>
      </c>
      <c r="B124" s="56" t="inlineStr">
        <is>
          <t>4h</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HA_WICK_QUALITY_TF</t>
        </is>
      </c>
      <c r="B125" s="56" t="inlineStr">
        <is>
          <t>1h</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HA_WICK_QUALITY_TF</t>
        </is>
      </c>
      <c r="B126" s="56" t="inlineStr">
        <is>
          <t>15m</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HLR_SMA_BAND_PCT</t>
        </is>
      </c>
      <c r="B127" s="56" t="inlineStr">
        <is>
          <t>0</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HLR_SMA_BAND_PCT</t>
        </is>
      </c>
      <c r="B128" s="56" t="inlineStr">
        <is>
          <t>2.0</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HLR_SMA_BAND_PCT</t>
        </is>
      </c>
      <c r="B129" s="56" t="inlineStr">
        <is>
          <t>1.0</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HLR_SMA_BAND_PCT</t>
        </is>
      </c>
      <c r="B130" s="56" t="inlineStr">
        <is>
          <t>0.5</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HLR_TOP_MIN_TFS</t>
        </is>
      </c>
      <c r="B131" s="56" t="inlineStr">
        <is>
          <t>0</t>
        </is>
      </c>
      <c r="C131" s="56" t="n"/>
      <c r="D131" s="56" t="inlineStr">
        <is>
          <t>GLOBAL_CHECK, REENTRY, STOCKS_EXIT</t>
        </is>
      </c>
      <c r="E131" s="56">
        <f>IF(G131="",E130,IF(G131&gt;0,E130+G131,E130))</f>
        <v/>
      </c>
      <c r="G131" s="56">
        <f>IFERROR(VLOOKUP($A131&amp;"="&amp;$B131,Results_Deltas!$A$2:$P$15000,5,FALSE),"")</f>
        <v/>
      </c>
      <c r="H131" s="56" t="inlineStr">
        <is>
          <t>Blanket (page end)</t>
        </is>
      </c>
    </row>
    <row r="132">
      <c r="A132" s="63" t="inlineStr">
        <is>
          <t>HLR_TOP_MIN_TFS</t>
        </is>
      </c>
      <c r="B132" s="56" t="inlineStr">
        <is>
          <t>2</t>
        </is>
      </c>
      <c r="C132" s="56" t="n"/>
      <c r="D132" s="56" t="inlineStr">
        <is>
          <t>GLOBAL_CHECK, REENTRY, STOCKS_EXIT</t>
        </is>
      </c>
      <c r="E132" s="56">
        <f>IF(G132="",E131,IF(G132&gt;0,E131+G132,E131))</f>
        <v/>
      </c>
      <c r="G132" s="56">
        <f>IFERROR(VLOOKUP($A132&amp;"="&amp;$B132,Results_Deltas!$A$2:$P$15000,5,FALSE),"")</f>
        <v/>
      </c>
      <c r="H132" s="56" t="inlineStr">
        <is>
          <t>Blanket (page end)</t>
        </is>
      </c>
    </row>
    <row r="133">
      <c r="A133" s="63" t="inlineStr">
        <is>
          <t>HLR_TOP_MIN_TFS</t>
        </is>
      </c>
      <c r="B133" s="56" t="inlineStr">
        <is>
          <t>1</t>
        </is>
      </c>
      <c r="C133" s="56" t="n"/>
      <c r="D133" s="56" t="inlineStr">
        <is>
          <t>GLOBAL_CHECK, REENTRY, STOCKS_EXIT</t>
        </is>
      </c>
      <c r="E133" s="56">
        <f>IF(G133="",E132,IF(G133&gt;0,E132+G133,E132))</f>
        <v/>
      </c>
      <c r="G133" s="56">
        <f>IFERROR(VLOOKUP($A133&amp;"="&amp;$B133,Results_Deltas!$A$2:$P$15000,5,FALSE),"")</f>
        <v/>
      </c>
      <c r="H133" s="56" t="inlineStr">
        <is>
          <t>Blanket (page end)</t>
        </is>
      </c>
    </row>
    <row r="134">
      <c r="A134" s="63" t="inlineStr">
        <is>
          <t>HTF4_CONF</t>
        </is>
      </c>
      <c r="B134" s="56" t="inlineStr">
        <is>
          <t>False</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HTF4_CONF</t>
        </is>
      </c>
      <c r="B135" s="56" t="inlineStr">
        <is>
          <t>False_ALT</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HTF_DIRECTION_GATE_ENABLED</t>
        </is>
      </c>
      <c r="B136" s="56" t="inlineStr">
        <is>
          <t>False</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HTF_DIRECTION_GATE_ENABLED</t>
        </is>
      </c>
      <c r="B137" s="56" t="inlineStr">
        <is>
          <t>True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HTF_GATE_BYPASS_RZ</t>
        </is>
      </c>
      <c r="B138" s="56" t="inlineStr">
        <is>
          <t>0.0</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HTF_GATE_BYPASS_RZ</t>
        </is>
      </c>
      <c r="B139" s="56" t="inlineStr">
        <is>
          <t>0.0_ALT</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HTF_GATE_D_MANDATORY</t>
        </is>
      </c>
      <c r="B140" s="56" t="inlineStr">
        <is>
          <t>0.0</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HTF_GATE_D_MANDATORY</t>
        </is>
      </c>
      <c r="B141" s="56" t="inlineStr">
        <is>
          <t>0.0_ALT</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HTF_GATE_MIN_CONFIRMATIONS</t>
        </is>
      </c>
      <c r="B142" s="56" t="inlineStr">
        <is>
          <t>0.0</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HTF_GATE_MIN_CONFIRMATIONS</t>
        </is>
      </c>
      <c r="B143" s="56" t="inlineStr">
        <is>
          <t>0.0_ALT</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HTF_TREND_VETO_BYPASS_ENABLED</t>
        </is>
      </c>
      <c r="B144" s="56" t="inlineStr">
        <is>
          <t>False</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HTF_TREND_VETO_BYPASS_ENABLED</t>
        </is>
      </c>
      <c r="B145" s="56" t="inlineStr">
        <is>
          <t>True</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HTF_TREND_VETO_BYPASS_REASONS</t>
        </is>
      </c>
      <c r="B146" s="56" t="inlineStr">
        <is>
          <t>0.0</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HTF_TREND_VETO_BYPASS_REASONS</t>
        </is>
      </c>
      <c r="B147" s="56" t="inlineStr">
        <is>
          <t>0.0_ALT</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LEADERBOARD_FILTER</t>
        </is>
      </c>
      <c r="B148" s="56" t="inlineStr">
        <is>
          <t>False</t>
        </is>
      </c>
      <c r="C148" s="56" t="n"/>
      <c r="D148" s="56" t="inlineStr">
        <is>
          <t>AUGMENT, ENTRY, EXIT, GLOBAL_CHECK, REDUCE, STOCKS_EXIT</t>
        </is>
      </c>
      <c r="E148" s="56">
        <f>IF(G148="",E147,IF(G148&gt;0,E147+G148,E147))</f>
        <v/>
      </c>
      <c r="G148" s="56">
        <f>IFERROR(VLOOKUP($A148&amp;"="&amp;$B148,Results_Deltas!$A$2:$P$15000,5,FALSE),"")</f>
        <v/>
      </c>
      <c r="H148" s="56" t="inlineStr">
        <is>
          <t>Blanket (page end)</t>
        </is>
      </c>
    </row>
    <row r="149">
      <c r="A149" s="63" t="inlineStr">
        <is>
          <t>LEADERBOARD_FILTER</t>
        </is>
      </c>
      <c r="B149" s="56" t="inlineStr">
        <is>
          <t>False_ALT</t>
        </is>
      </c>
      <c r="C149" s="56" t="n"/>
      <c r="D149" s="56" t="inlineStr">
        <is>
          <t>AUGMENT, ENTRY, EXIT, GLOBAL_CHECK, REDUCE, STOCKS_EXIT</t>
        </is>
      </c>
      <c r="E149" s="56">
        <f>IF(G149="",E148,IF(G149&gt;0,E148+G149,E148))</f>
        <v/>
      </c>
      <c r="G149" s="56">
        <f>IFERROR(VLOOKUP($A149&amp;"="&amp;$B149,Results_Deltas!$A$2:$P$15000,5,FALSE),"")</f>
        <v/>
      </c>
      <c r="H149" s="56" t="inlineStr">
        <is>
          <t>Blanket (page end)</t>
        </is>
      </c>
    </row>
    <row r="150">
      <c r="A150" s="63" t="inlineStr">
        <is>
          <t>LH_HL_FILTER_ENABLED</t>
        </is>
      </c>
      <c r="B150" s="56" t="inlineStr">
        <is>
          <t>False</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LH_HL_FILTER_ENABLED</t>
        </is>
      </c>
      <c r="B151" s="56" t="inlineStr">
        <is>
          <t>True</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LH_HL_FILTER_MODE</t>
        </is>
      </c>
      <c r="B152" s="56" t="inlineStr">
        <is>
          <t>STRICT_2BAR</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LH_HL_FILTER_MODE</t>
        </is>
      </c>
      <c r="B153" s="56" t="inlineStr">
        <is>
          <t>STRICT_2BAR_ALT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LH_HL_FILTER_REQUIRE_BOTH</t>
        </is>
      </c>
      <c r="B154" s="56" t="inlineStr">
        <is>
          <t>False</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LH_HL_FILTER_REQUIRE_BOTH</t>
        </is>
      </c>
      <c r="B155" s="56" t="inlineStr">
        <is>
          <t>False_ALT</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LIVE_VEC_EMERGENCY_BRAKE_ENABLED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LIVE_VEC_EMERGENCY_BRAKE_ENABLED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LR_BAND_LADDER_STOCH_EXTREME</t>
        </is>
      </c>
      <c r="B158" s="56" t="inlineStr">
        <is>
          <t>30.0</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LR_BAND_LADDER_STOCH_EXTREME</t>
        </is>
      </c>
      <c r="B159" s="56" t="inlineStr">
        <is>
          <t>30.0_ALT</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LR_BAND_LADDER_TF_BOTTOM</t>
        </is>
      </c>
      <c r="B160" s="56" t="inlineStr">
        <is>
          <t>0</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LR_BAND_LADDER_TF_BOTTOM</t>
        </is>
      </c>
      <c r="B161" s="56" t="inlineStr">
        <is>
          <t>1</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LR_BAND_LADDER_TF_TOP</t>
        </is>
      </c>
      <c r="B162" s="56" t="inlineStr">
        <is>
          <t>0</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LR_BAND_LADDER_TF_TOP</t>
        </is>
      </c>
      <c r="B163" s="56" t="inlineStr">
        <is>
          <t>1</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MANDATORY_REENTRY_WT_FILTER_MIN_TFS</t>
        </is>
      </c>
      <c r="B164" s="56" t="inlineStr">
        <is>
          <t>1</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MANDATORY_REENTRY_WT_FILTER_MIN_TFS</t>
        </is>
      </c>
      <c r="B165" s="56" t="inlineStr">
        <is>
          <t>3</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MANDATORY_REENTRY_WT_FILTER_MIN_TFS</t>
        </is>
      </c>
      <c r="B166" s="56" t="inlineStr">
        <is>
          <t>2</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MANDATORY_REENTRY_WT_FILTER_MIN_VELOCITY</t>
        </is>
      </c>
      <c r="B167" s="56" t="inlineStr">
        <is>
          <t>0.0</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MANDATORY_REENTRY_WT_FILTER_MIN_VELOCITY</t>
        </is>
      </c>
      <c r="B168" s="56" t="inlineStr">
        <is>
          <t>0.0_ALT</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MANDATORY_REENTRY_WT_FILTER_REQUIRE_FLIP</t>
        </is>
      </c>
      <c r="B169" s="56" t="inlineStr">
        <is>
          <t>False</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MANDATORY_REENTRY_WT_FILTER_REQUIRE_FLIP</t>
        </is>
      </c>
      <c r="B170" s="56" t="inlineStr">
        <is>
          <t>False_ALT</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MANDATORY_REENTRY_WT_FILTER_VELOCITY_RATIO</t>
        </is>
      </c>
      <c r="B171" s="56" t="inlineStr">
        <is>
          <t>0.90</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MANDATORY_REENTRY_WT_FILTER_VELOCITY_RATIO</t>
        </is>
      </c>
      <c r="B172" s="56" t="inlineStr">
        <is>
          <t>0.90_ALT</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MARKET_QUALITY_SCORE_ENABLED</t>
        </is>
      </c>
      <c r="B173" s="56" t="inlineStr">
        <is>
          <t>False</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MARKET_QUALITY_SCORE_ENABLED</t>
        </is>
      </c>
      <c r="B174" s="56" t="inlineStr">
        <is>
          <t>True</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MI_TF_AGREE_MIN</t>
        </is>
      </c>
      <c r="B175" s="56" t="inlineStr">
        <is>
          <t>0.0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MI_TF_AGREE_MIN</t>
        </is>
      </c>
      <c r="B176" s="56" t="inlineStr">
        <is>
          <t>0.0_ALT</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MOVER_THRESHOLD</t>
        </is>
      </c>
      <c r="B177" s="56" t="inlineStr">
        <is>
          <t>5</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MOVER_THRESHOLD</t>
        </is>
      </c>
      <c r="B178" s="56" t="inlineStr">
        <is>
          <t>6.25</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MOVER_THRESHOLD</t>
        </is>
      </c>
      <c r="B179" s="56" t="inlineStr">
        <is>
          <t>3.75</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MOVER_THRESHOLD</t>
        </is>
      </c>
      <c r="B180" s="56" t="inlineStr">
        <is>
          <t>2.5</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MTF_FILTER_STRONG_BUY_QUICK_BYPASS</t>
        </is>
      </c>
      <c r="B181" s="56" t="inlineStr">
        <is>
          <t>0.0</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MTF_FILTER_STRONG_BUY_QUICK_BYPASS</t>
        </is>
      </c>
      <c r="B182" s="56" t="inlineStr">
        <is>
          <t>0.0_ALT</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MTF_GR_MIN_IND</t>
        </is>
      </c>
      <c r="B183" s="56" t="inlineStr">
        <is>
          <t>5</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MTF_GR_MIN_IND</t>
        </is>
      </c>
      <c r="B184" s="56" t="inlineStr">
        <is>
          <t>5_ALT</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MTS_BOTTOM_BONUS_THRESHOLD</t>
        </is>
      </c>
      <c r="B185" s="56" t="inlineStr">
        <is>
          <t>25</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MTS_BOTTOM_BONUS_THRESHOLD</t>
        </is>
      </c>
      <c r="B186" s="56" t="inlineStr">
        <is>
          <t>31.25</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MTS_BOTTOM_BONUS_THRESHOLD</t>
        </is>
      </c>
      <c r="B187" s="56" t="inlineStr">
        <is>
          <t>18.75</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MTS_BOTTOM_BONUS_THRESHOLD</t>
        </is>
      </c>
      <c r="B188" s="56" t="inlineStr">
        <is>
          <t>12.5</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MTS_BOTTOM_STRONG_THRESHOLD</t>
        </is>
      </c>
      <c r="B189" s="56" t="inlineStr">
        <is>
          <t>40</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MTS_BOTTOM_STRONG_THRESHOLD</t>
        </is>
      </c>
      <c r="B190" s="56" t="inlineStr">
        <is>
          <t>50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MTS_BOTTOM_STRONG_THRESHOLD</t>
        </is>
      </c>
      <c r="B191" s="56" t="inlineStr">
        <is>
          <t>30</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MTS_BOTTOM_STRONG_THRESHOLD</t>
        </is>
      </c>
      <c r="B192" s="56" t="inlineStr">
        <is>
          <t>20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MTS_GATE_ENABLED</t>
        </is>
      </c>
      <c r="B193" s="56" t="inlineStr">
        <is>
          <t>False</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MTS_GATE_ENABLED</t>
        </is>
      </c>
      <c r="B194" s="56" t="inlineStr">
        <is>
          <t>True</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NEWBORN_LOSS_KILL_GAIN_THRESHOLD_PCT</t>
        </is>
      </c>
      <c r="B195" s="56" t="inlineStr">
        <is>
          <t>0</t>
        </is>
      </c>
      <c r="C195" s="56" t="n"/>
      <c r="D195" s="56" t="inlineStr">
        <is>
          <t>AUGMENT, EXIT, GLOBAL_CHECK, REDUCE, STOCKS_EXIT</t>
        </is>
      </c>
      <c r="E195" s="56">
        <f>IF(G195="",E194,IF(G195&gt;0,E194+G195,E194))</f>
        <v/>
      </c>
      <c r="G195" s="56">
        <f>IFERROR(VLOOKUP($A195&amp;"="&amp;$B195,Results_Deltas!$A$2:$P$15000,5,FALSE),"")</f>
        <v/>
      </c>
      <c r="H195" s="56" t="inlineStr">
        <is>
          <t>Blanket (page end)</t>
        </is>
      </c>
    </row>
    <row r="196">
      <c r="A196" s="63" t="inlineStr">
        <is>
          <t>NEWBORN_LOSS_KILL_GAIN_THRESHOLD_PCT</t>
        </is>
      </c>
      <c r="B196" s="56" t="inlineStr">
        <is>
          <t>2.0</t>
        </is>
      </c>
      <c r="C196" s="56" t="n"/>
      <c r="D196" s="56" t="inlineStr">
        <is>
          <t>AUGMENT, EXIT, GLOBAL_CHECK, REDUCE, STOCKS_EXIT</t>
        </is>
      </c>
      <c r="E196" s="56">
        <f>IF(G196="",E195,IF(G196&gt;0,E195+G196,E195))</f>
        <v/>
      </c>
      <c r="G196" s="56">
        <f>IFERROR(VLOOKUP($A196&amp;"="&amp;$B196,Results_Deltas!$A$2:$P$15000,5,FALSE),"")</f>
        <v/>
      </c>
      <c r="H196" s="56" t="inlineStr">
        <is>
          <t>Blanket (page end)</t>
        </is>
      </c>
    </row>
    <row r="197">
      <c r="A197" s="63" t="inlineStr">
        <is>
          <t>NEWBORN_LOSS_KILL_GAIN_THRESHOLD_PCT</t>
        </is>
      </c>
      <c r="B197" s="56" t="inlineStr">
        <is>
          <t>1.0</t>
        </is>
      </c>
      <c r="C197" s="56" t="n"/>
      <c r="D197" s="56" t="inlineStr">
        <is>
          <t>AUGMENT, EXIT, GLOBAL_CHECK, REDUCE, STOCKS_EXIT</t>
        </is>
      </c>
      <c r="E197" s="56">
        <f>IF(G197="",E196,IF(G197&gt;0,E196+G197,E196))</f>
        <v/>
      </c>
      <c r="G197" s="56">
        <f>IFERROR(VLOOKUP($A197&amp;"="&amp;$B197,Results_Deltas!$A$2:$P$15000,5,FALSE),"")</f>
        <v/>
      </c>
      <c r="H197" s="56" t="inlineStr">
        <is>
          <t>Blanket (page end)</t>
        </is>
      </c>
    </row>
    <row r="198">
      <c r="A198" s="63" t="inlineStr">
        <is>
          <t>NEWBORN_LOSS_KILL_GAIN_THRESHOLD_PCT</t>
        </is>
      </c>
      <c r="B198" s="56" t="inlineStr">
        <is>
          <t>0.5</t>
        </is>
      </c>
      <c r="C198" s="56" t="n"/>
      <c r="D198" s="56" t="inlineStr">
        <is>
          <t>AUGMENT, EXIT, GLOBAL_CHECK, REDUCE, STOCKS_EXIT</t>
        </is>
      </c>
      <c r="E198" s="56">
        <f>IF(G198="",E197,IF(G198&gt;0,E197+G198,E197))</f>
        <v/>
      </c>
      <c r="G198" s="56">
        <f>IFERROR(VLOOKUP($A198&amp;"="&amp;$B198,Results_Deltas!$A$2:$P$15000,5,FALSE),"")</f>
        <v/>
      </c>
      <c r="H198" s="56" t="inlineStr">
        <is>
          <t>Blanket (page end)</t>
        </is>
      </c>
    </row>
    <row r="199">
      <c r="A199" s="63" t="inlineStr">
        <is>
          <t>NEWBORN_LOSS_KILL_REQUIRE_VEL_AGAINST</t>
        </is>
      </c>
      <c r="B199" s="56" t="inlineStr">
        <is>
          <t>0.0</t>
        </is>
      </c>
      <c r="C199" s="56" t="n"/>
      <c r="D199" s="56" t="inlineStr">
        <is>
          <t>AUGMENT, EXIT, GLOBAL_CHECK, REDUCE, STOCKS_EXIT</t>
        </is>
      </c>
      <c r="E199" s="56">
        <f>IF(G199="",E198,IF(G199&gt;0,E198+G199,E198))</f>
        <v/>
      </c>
      <c r="G199" s="56">
        <f>IFERROR(VLOOKUP($A199&amp;"="&amp;$B199,Results_Deltas!$A$2:$P$15000,5,FALSE),"")</f>
        <v/>
      </c>
      <c r="H199" s="56" t="inlineStr">
        <is>
          <t>Blanket (page end)</t>
        </is>
      </c>
    </row>
    <row r="200">
      <c r="A200" s="63" t="inlineStr">
        <is>
          <t>NEWBORN_LOSS_KILL_REQUIRE_VEL_AGAINST</t>
        </is>
      </c>
      <c r="B200" s="56" t="inlineStr">
        <is>
          <t>0.0_ALT</t>
        </is>
      </c>
      <c r="C200" s="56" t="n"/>
      <c r="D200" s="56" t="inlineStr">
        <is>
          <t>AUGMENT, EXIT, GLOBAL_CHECK, REDUCE, STOCKS_EXIT</t>
        </is>
      </c>
      <c r="E200" s="56">
        <f>IF(G200="",E199,IF(G200&gt;0,E199+G200,E199))</f>
        <v/>
      </c>
      <c r="G200" s="56">
        <f>IFERROR(VLOOKUP($A200&amp;"="&amp;$B200,Results_Deltas!$A$2:$P$15000,5,FALSE),"")</f>
        <v/>
      </c>
      <c r="H200" s="56" t="inlineStr">
        <is>
          <t>Blanket (page end)</t>
        </is>
      </c>
    </row>
    <row r="201">
      <c r="A201" s="63" t="inlineStr">
        <is>
          <t>NEW_POSITION_MAX_LOSS_THRESHOLD</t>
        </is>
      </c>
      <c r="B201" s="56" t="inlineStr">
        <is>
          <t>0</t>
        </is>
      </c>
      <c r="C201" s="56" t="n"/>
      <c r="D201" s="56" t="inlineStr">
        <is>
          <t>AUGMENT, EXIT, GLOBAL_CHECK, REDUCE, STOCKS_EXIT</t>
        </is>
      </c>
      <c r="E201" s="56">
        <f>IF(G201="",E200,IF(G201&gt;0,E200+G201,E200))</f>
        <v/>
      </c>
      <c r="G201" s="56">
        <f>IFERROR(VLOOKUP($A201&amp;"="&amp;$B201,Results_Deltas!$A$2:$P$15000,5,FALSE),"")</f>
        <v/>
      </c>
      <c r="H201" s="56" t="inlineStr">
        <is>
          <t>Blanket (page end)</t>
        </is>
      </c>
    </row>
    <row r="202">
      <c r="A202" s="63" t="inlineStr">
        <is>
          <t>NEW_POSITION_MAX_LOSS_THRESHOLD</t>
        </is>
      </c>
      <c r="B202" s="56" t="inlineStr">
        <is>
          <t>2.0</t>
        </is>
      </c>
      <c r="C202" s="56" t="n"/>
      <c r="D202" s="56" t="inlineStr">
        <is>
          <t>AUGMENT, EXIT, GLOBAL_CHECK, REDUCE, STOCKS_EXIT</t>
        </is>
      </c>
      <c r="E202" s="56">
        <f>IF(G202="",E201,IF(G202&gt;0,E201+G202,E201))</f>
        <v/>
      </c>
      <c r="G202" s="56">
        <f>IFERROR(VLOOKUP($A202&amp;"="&amp;$B202,Results_Deltas!$A$2:$P$15000,5,FALSE),"")</f>
        <v/>
      </c>
      <c r="H202" s="56" t="inlineStr">
        <is>
          <t>Blanket (page end)</t>
        </is>
      </c>
    </row>
    <row r="203">
      <c r="A203" s="63" t="inlineStr">
        <is>
          <t>NEW_POSITION_MAX_LOSS_THRESHOLD</t>
        </is>
      </c>
      <c r="B203" s="56" t="inlineStr">
        <is>
          <t>1.0</t>
        </is>
      </c>
      <c r="C203" s="56" t="n"/>
      <c r="D203" s="56" t="inlineStr">
        <is>
          <t>AUGMENT, EXIT, GLOBAL_CHECK, REDUCE, STOCKS_EXIT</t>
        </is>
      </c>
      <c r="E203" s="56">
        <f>IF(G203="",E202,IF(G203&gt;0,E202+G203,E202))</f>
        <v/>
      </c>
      <c r="G203" s="56">
        <f>IFERROR(VLOOKUP($A203&amp;"="&amp;$B203,Results_Deltas!$A$2:$P$15000,5,FALSE),"")</f>
        <v/>
      </c>
      <c r="H203" s="56" t="inlineStr">
        <is>
          <t>Blanket (page end)</t>
        </is>
      </c>
    </row>
    <row r="204">
      <c r="A204" s="63" t="inlineStr">
        <is>
          <t>NEW_POSITION_MAX_LOSS_THRESHOLD</t>
        </is>
      </c>
      <c r="B204" s="56" t="inlineStr">
        <is>
          <t>0.5</t>
        </is>
      </c>
      <c r="C204" s="56" t="n"/>
      <c r="D204" s="56" t="inlineStr">
        <is>
          <t>AUGMENT, EXIT, GLOBAL_CHECK, REDUCE, STOCKS_EXIT</t>
        </is>
      </c>
      <c r="E204" s="56">
        <f>IF(G204="",E203,IF(G204&gt;0,E203+G204,E203))</f>
        <v/>
      </c>
      <c r="G204" s="56">
        <f>IFERROR(VLOOKUP($A204&amp;"="&amp;$B204,Results_Deltas!$A$2:$P$15000,5,FALSE),"")</f>
        <v/>
      </c>
      <c r="H204" s="56" t="inlineStr">
        <is>
          <t>Blanket (page end)</t>
        </is>
      </c>
    </row>
    <row r="205">
      <c r="A205" s="63" t="inlineStr">
        <is>
          <t>OI_CONFIRM_ENABLED</t>
        </is>
      </c>
      <c r="B205" s="56" t="inlineStr">
        <is>
          <t>False</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OI_CONFIRM_ENABLED</t>
        </is>
      </c>
      <c r="B206" s="56" t="inlineStr">
        <is>
          <t>True</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OI_CONFIRM_MIN_CHANGE_PCT</t>
        </is>
      </c>
      <c r="B207" s="56" t="inlineStr">
        <is>
          <t>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OI_CONFIRM_MIN_CHANGE_PCT</t>
        </is>
      </c>
      <c r="B208" s="56" t="inlineStr">
        <is>
          <t>2.0</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OI_CONFIRM_MIN_CHANGE_PCT</t>
        </is>
      </c>
      <c r="B209" s="56" t="inlineStr">
        <is>
          <t>1.0</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OI_CONFIRM_MIN_CHANGE_PCT</t>
        </is>
      </c>
      <c r="B210" s="56" t="inlineStr">
        <is>
          <t>0.5</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OI_CONFIRM_MIN_PRICE_PCT</t>
        </is>
      </c>
      <c r="B211" s="56" t="inlineStr">
        <is>
          <t>0</t>
        </is>
      </c>
      <c r="C211" s="56" t="n"/>
      <c r="D211" s="56" t="inlineStr">
        <is>
          <t>ENTRY, GLOBAL_CHECK, STOCKS_EXIT</t>
        </is>
      </c>
      <c r="E211" s="56">
        <f>IF(G211="",E210,IF(G211&gt;0,E210+G211,E210))</f>
        <v/>
      </c>
      <c r="G211" s="56">
        <f>IFERROR(VLOOKUP($A211&amp;"="&amp;$B211,Results_Deltas!$A$2:$P$15000,5,FALSE),"")</f>
        <v/>
      </c>
      <c r="H211" s="56" t="inlineStr">
        <is>
          <t>Blanket (page end)</t>
        </is>
      </c>
    </row>
    <row r="212">
      <c r="A212" s="63" t="inlineStr">
        <is>
          <t>OI_CONFIRM_MIN_PRICE_PCT</t>
        </is>
      </c>
      <c r="B212" s="56" t="inlineStr">
        <is>
          <t>2.0</t>
        </is>
      </c>
      <c r="C212" s="56" t="n"/>
      <c r="D212" s="56" t="inlineStr">
        <is>
          <t>ENTRY, GLOBAL_CHECK, STOCKS_EXIT</t>
        </is>
      </c>
      <c r="E212" s="56">
        <f>IF(G212="",E211,IF(G212&gt;0,E211+G212,E211))</f>
        <v/>
      </c>
      <c r="G212" s="56">
        <f>IFERROR(VLOOKUP($A212&amp;"="&amp;$B212,Results_Deltas!$A$2:$P$15000,5,FALSE),"")</f>
        <v/>
      </c>
      <c r="H212" s="56" t="inlineStr">
        <is>
          <t>Blanket (page end)</t>
        </is>
      </c>
    </row>
    <row r="213">
      <c r="A213" s="63" t="inlineStr">
        <is>
          <t>OI_CONFIRM_MIN_PRICE_PCT</t>
        </is>
      </c>
      <c r="B213" s="56" t="inlineStr">
        <is>
          <t>1.0</t>
        </is>
      </c>
      <c r="C213" s="56" t="n"/>
      <c r="D213" s="56" t="inlineStr">
        <is>
          <t>ENTRY, GLOBAL_CHECK, STOCKS_EXIT</t>
        </is>
      </c>
      <c r="E213" s="56">
        <f>IF(G213="",E212,IF(G213&gt;0,E212+G213,E212))</f>
        <v/>
      </c>
      <c r="G213" s="56">
        <f>IFERROR(VLOOKUP($A213&amp;"="&amp;$B213,Results_Deltas!$A$2:$P$15000,5,FALSE),"")</f>
        <v/>
      </c>
      <c r="H213" s="56" t="inlineStr">
        <is>
          <t>Blanket (page end)</t>
        </is>
      </c>
    </row>
    <row r="214">
      <c r="A214" s="63" t="inlineStr">
        <is>
          <t>OI_CONFIRM_MIN_PRICE_PCT</t>
        </is>
      </c>
      <c r="B214" s="56" t="inlineStr">
        <is>
          <t>0.5</t>
        </is>
      </c>
      <c r="C214" s="56" t="n"/>
      <c r="D214" s="56" t="inlineStr">
        <is>
          <t>ENTRY, GLOBAL_CHECK, STOCKS_EXIT</t>
        </is>
      </c>
      <c r="E214" s="56">
        <f>IF(G214="",E213,IF(G214&gt;0,E213+G214,E213))</f>
        <v/>
      </c>
      <c r="G214" s="56">
        <f>IFERROR(VLOOKUP($A214&amp;"="&amp;$B214,Results_Deltas!$A$2:$P$15000,5,FALSE),"")</f>
        <v/>
      </c>
      <c r="H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2026-09-14T04:20:56Z</dcterms:modified>
</cp:coreProperties>
</file>