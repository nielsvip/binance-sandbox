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D</t>
        </is>
      </c>
      <c r="C7" s="26" t="n"/>
      <c r="D7" s="26" t="n"/>
      <c r="E7" s="26">
        <f>IF(G8="",E7,IF(G8&gt;0,E7+G8,E7))</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4h</t>
        </is>
      </c>
      <c r="C8" s="26" t="n"/>
      <c r="D8" s="26" t="n"/>
      <c r="E8" s="26">
        <f>IF(G9="",E8,IF(G9&gt;0,E8+G9,E8))</f>
        <v/>
      </c>
      <c r="F8" s="26" t="n"/>
      <c r="G8" s="26">
        <f>IFERROR(VLOOKUP($A9&amp;"_"&amp;$B9,Results_Deltas!$A$2:$P$15000,5,FALSE),"")</f>
        <v/>
      </c>
      <c r="H8" s="26">
        <f>IFERROR(VLOOKUP($A9,Results_30d_Deltas!$A$2:$H$5000,7,FALSE)-E8,"")</f>
        <v/>
      </c>
      <c r="I8" s="26">
        <f>IFERROR(VLOOKUP($A9,Results_30d_Deltas!$A$2:$H$5000,6,FALSE),"")</f>
        <v/>
      </c>
      <c r="J8" s="26" t="n"/>
      <c r="K8" s="26" t="n"/>
      <c r="L8" s="26"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7" t="inlineStr">
        <is>
          <t>BB_SQUEEZE_WIDTH_PERCENTILE</t>
        </is>
      </c>
      <c r="B9" s="27" t="inlineStr">
        <is>
          <t>0.2</t>
        </is>
      </c>
      <c r="C9" s="26" t="n"/>
      <c r="D9" s="26" t="n"/>
      <c r="E9" s="26">
        <f>IF(G16="",E15,IF(G16&gt;0,E15+G16,E15))</f>
        <v/>
      </c>
      <c r="F9" s="26" t="n"/>
      <c r="G9" s="26">
        <f>IFERROR(VLOOKUP($A16&amp;"_"&amp;$B16,Results_Deltas!$A$2:$P$15000,5,FALSE),"")</f>
        <v/>
      </c>
      <c r="H9" s="26">
        <f>IFERROR(VLOOKUP($A16,Results_30d_Deltas!$A$2:$H$5000,7,FALSE)-E15,"")</f>
        <v/>
      </c>
      <c r="I9" s="26">
        <f>IFERROR(VLOOKUP($A16,Results_30d_Deltas!$A$2:$H$5000,6,FALSE),"")</f>
        <v/>
      </c>
      <c r="J9" s="26" t="n"/>
      <c r="K9" s="26" t="n"/>
      <c r="L9" s="26" t="inlineStr">
        <is>
          <t>YES</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ez_manage.py:4375 top()</t>
        </is>
      </c>
      <c r="IM9" s="26" t="inlineStr">
        <is>
          <t>v12_quick_engine.py:1285 x7</t>
        </is>
      </c>
      <c r="IN9" s="26" t="n"/>
    </row>
    <row r="10" ht="10.5" customHeight="1" s="67">
      <c r="A10" s="27" t="inlineStr">
        <is>
          <t>WT_MOMENTUM_EXIT_THRESHOLD</t>
        </is>
      </c>
      <c r="B10" s="27" t="inlineStr">
        <is>
          <t>1</t>
        </is>
      </c>
      <c r="C10" s="26" t="n"/>
      <c r="D10" s="26" t="n"/>
      <c r="E10" s="26">
        <f>IF(G22="",E21,IF(G22&gt;0,E21+G22,E21))</f>
        <v/>
      </c>
      <c r="F10" s="26" t="n"/>
      <c r="G10" s="26">
        <f>IFERROR(VLOOKUP($A22&amp;"_"&amp;$B22,Results_Deltas!$A$2:$P$15000,5,FALSE),"")</f>
        <v/>
      </c>
      <c r="H10" s="26">
        <f>IFERROR(VLOOKUP($A22,Results_30d_Deltas!$A$2:$H$5000,7,FALSE)-E21,"")</f>
        <v/>
      </c>
      <c r="I10" s="26">
        <f>IFERROR(VLOOKUP($A22,Results_30d_Deltas!$A$2:$H$5000,6,FALSE),"")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4" t="n"/>
      <c r="BW10" s="34" t="n"/>
      <c r="BX10" s="34" t="n"/>
      <c r="BY10" s="34" t="n"/>
      <c r="BZ10" s="34"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4" t="n"/>
      <c r="DU10" s="34" t="n"/>
      <c r="DV10" s="34" t="n"/>
      <c r="DW10" s="34" t="n"/>
      <c r="DX10" s="34"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n"/>
      <c r="GB10" s="34" t="n"/>
      <c r="GC10" s="34" t="n"/>
      <c r="GD10" s="34" t="n"/>
      <c r="GE10" s="34"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ez_manage.py:6087 top()</t>
        </is>
      </c>
      <c r="IM10" s="26" t="inlineStr">
        <is>
          <t>v12_quick_engine.py:4293 x3</t>
        </is>
      </c>
      <c r="IN10" s="26" t="n"/>
    </row>
    <row r="11" ht="10.5" customHeight="1" s="67">
      <c r="A11" s="26" t="inlineStr">
        <is>
          <t>WT_MOMENTUM_EXIT_THRESHOLD</t>
        </is>
      </c>
      <c r="B11" s="26" t="inlineStr">
        <is>
          <t>2</t>
        </is>
      </c>
      <c r="C11" s="26" t="n"/>
      <c r="D11" s="26" t="n"/>
      <c r="E11" s="26">
        <f>IF(G23="",E22,IF(G23&gt;0,E22+G23,E22))</f>
        <v/>
      </c>
      <c r="F11" s="26" t="n"/>
      <c r="G11" s="26">
        <f>IFERROR(VLOOKUP($A23&amp;"_"&amp;$B23,Results_Deltas!$A$2:$P$15000,5,FALSE),"")</f>
        <v/>
      </c>
      <c r="H11" s="26">
        <f>IFERROR(VLOOKUP($A23,Results_30d_Deltas!$A$2:$H$5000,7,FALSE)-E22,"")</f>
        <v/>
      </c>
      <c r="I11" s="26">
        <f>IFERROR(VLOOKUP($A23,Results_30d_Deltas!$A$2:$H$5000,6,FALSE),"")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4" t="n"/>
      <c r="BW11" s="34" t="n"/>
      <c r="BX11" s="34" t="n"/>
      <c r="BY11" s="34" t="n"/>
      <c r="BZ11" s="34"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4" t="n"/>
      <c r="DU11" s="34" t="n"/>
      <c r="DV11" s="34" t="n"/>
      <c r="DW11" s="34" t="n"/>
      <c r="DX11" s="34"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n"/>
      <c r="GB11" s="34" t="n"/>
      <c r="GC11" s="34" t="n"/>
      <c r="GD11" s="34" t="n"/>
      <c r="GE11" s="34"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ez_manage.py:6087 top()</t>
        </is>
      </c>
      <c r="IM11" s="26" t="inlineStr">
        <is>
          <t>v12_quick_engine.py:4293 x3</t>
        </is>
      </c>
      <c r="IN11" s="26" t="n"/>
    </row>
    <row r="12" ht="10.5" customHeight="1" s="67">
      <c r="A12" s="39" t="inlineStr">
        <is>
          <t>DELTA_REENTRY_FILTER_ENABLED</t>
        </is>
      </c>
      <c r="B12" s="40" t="inlineStr">
        <is>
          <t>False</t>
        </is>
      </c>
      <c r="C12" s="38" t="n"/>
      <c r="D12" s="38" t="inlineStr">
        <is>
          <t>ENTRY, GLOBAL_CHECK, STOCKS_EXIT</t>
        </is>
      </c>
      <c r="E12" s="38">
        <f>IF(G57="",E56,IF(G57&gt;0,E56+G57,E56))</f>
        <v/>
      </c>
      <c r="F12" s="26" t="n"/>
      <c r="G12" s="38">
        <f>IFERROR(VLOOKUP($A57&amp;"_"&amp;$B57,Results_Deltas!$A$2:$P$15000,5,FALSE),"")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DELTA_REENTRY_FILTER_ENABLED</t>
        </is>
      </c>
      <c r="B13" s="38" t="inlineStr">
        <is>
          <t>True</t>
        </is>
      </c>
      <c r="C13" s="38" t="n"/>
      <c r="D13" s="38" t="inlineStr">
        <is>
          <t>ENTRY, GLOBAL_CHECK, STOCKS_EXIT</t>
        </is>
      </c>
      <c r="E13" s="38">
        <f>IF(G58="",E57,IF(G58&gt;0,E57+G58,E57))</f>
        <v/>
      </c>
      <c r="F13" s="26" t="n"/>
      <c r="G13" s="38">
        <f>IFERROR(VLOOKUP($A58&amp;"_"&amp;$B58,Results_Deltas!$A$2:$P$15000,5,FALSE),"")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DUP_GUARD_FILTER_TF</t>
        </is>
      </c>
      <c r="B14" s="38" t="inlineStr">
        <is>
          <t>D</t>
        </is>
      </c>
      <c r="C14" s="38" t="n"/>
      <c r="D14" s="38" t="inlineStr">
        <is>
          <t>GLOBAL_CHECK</t>
        </is>
      </c>
      <c r="E14" s="38">
        <f>IF(G60="",E59,IF(G60&gt;0,E59+G60,E59))</f>
        <v/>
      </c>
      <c r="F14" s="26" t="n"/>
      <c r="G14" s="38">
        <f>IFERROR(VLOOKUP($A60&amp;"_"&amp;$B60,Results_Deltas!$A$2:$P$15000,5,FALSE),"")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DUP_GUARD_FILTER_TF</t>
        </is>
      </c>
      <c r="B15" s="38" t="inlineStr">
        <is>
          <t>4h</t>
        </is>
      </c>
      <c r="C15" s="38" t="n"/>
      <c r="D15" s="38" t="inlineStr">
        <is>
          <t>GLOBAL_CHECK</t>
        </is>
      </c>
      <c r="E15" s="38">
        <f>IF(G61="",E60,IF(G61&gt;0,E60+G61,E60))</f>
        <v/>
      </c>
      <c r="F15" s="26" t="n"/>
      <c r="G15" s="38">
        <f>IFERROR(VLOOKUP($A61&amp;"_"&amp;$B61,Results_Deltas!$A$2:$P$15000,5,FALSE),"")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DUP_GUARD_FILTER_TF</t>
        </is>
      </c>
      <c r="B16" s="38" t="inlineStr">
        <is>
          <t>1h</t>
        </is>
      </c>
      <c r="C16" s="38" t="n"/>
      <c r="D16" s="38" t="inlineStr">
        <is>
          <t>GLOBAL_CHECK</t>
        </is>
      </c>
      <c r="E16" s="38">
        <f>IF(G62="",E61,IF(G62&gt;0,E61+G62,E61))</f>
        <v/>
      </c>
      <c r="F16" s="26" t="n"/>
      <c r="G16" s="38">
        <f>IFERROR(VLOOKUP($A62&amp;"_"&amp;$B62,Results_Deltas!$A$2:$P$15000,5,FALSE),"")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EMA_9_21_FILTER_MIN_TFS</t>
        </is>
      </c>
      <c r="B17" s="38" t="inlineStr">
        <is>
          <t>2</t>
        </is>
      </c>
      <c r="C17" s="38" t="n"/>
      <c r="D17" s="38" t="inlineStr">
        <is>
          <t>GLOBAL_CHECK</t>
        </is>
      </c>
      <c r="E17" s="38">
        <f>IF(G65="",E64,IF(G65&gt;0,E64+G65,E64))</f>
        <v/>
      </c>
      <c r="F17" s="26" t="n"/>
      <c r="G17" s="38">
        <f>IFERROR(VLOOKUP($A65&amp;"_"&amp;$B65,Results_Deltas!$A$2:$P$15000,5,FALSE),"")</f>
        <v/>
      </c>
      <c r="H17" s="38" t="inlineStr">
        <is>
          <t>Blanket (page end)</t>
        </is>
      </c>
      <c r="I17" s="26" t="n"/>
      <c r="J17" s="26" t="n"/>
      <c r="K17" s="26" t="n"/>
      <c r="L17" s="26" t="inlineStr">
        <is>
          <t>NO</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EMA_BLANKET_FILTER_ENABLED</t>
        </is>
      </c>
      <c r="B18" s="38" t="inlineStr">
        <is>
          <t>False</t>
        </is>
      </c>
      <c r="C18" s="38" t="n"/>
      <c r="D18" s="38" t="inlineStr">
        <is>
          <t>GLOBAL_CHECK</t>
        </is>
      </c>
      <c r="E18" s="38">
        <f>IF(G67="",E66,IF(G67&gt;0,E66+G67,E66))</f>
        <v/>
      </c>
      <c r="F18" s="26" t="n"/>
      <c r="G18" s="38">
        <f>IFERROR(VLOOKUP($A67&amp;"_"&amp;$B67,Results_Deltas!$A$2:$P$15000,5,FALSE),"")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FUNDING_GATE_FILTER_TF</t>
        </is>
      </c>
      <c r="B19" s="38" t="inlineStr">
        <is>
          <t>4h</t>
        </is>
      </c>
      <c r="C19" s="38" t="n"/>
      <c r="D19" s="38" t="inlineStr">
        <is>
          <t>GLOBAL_CHECK</t>
        </is>
      </c>
      <c r="E19" s="38">
        <f>IF(G86="",E85,IF(G86&gt;0,E85+G86,E85))</f>
        <v/>
      </c>
      <c r="F19" s="26" t="n"/>
      <c r="G19" s="38">
        <f>IFERROR(VLOOKUP($A86&amp;"_"&amp;$B86,Results_Deltas!$A$2:$P$15000,5,FALSE),"")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9" t="inlineStr">
        <is>
          <t>HA_WICK_QUALITY_ENABLED</t>
        </is>
      </c>
      <c r="B20" s="40" t="inlineStr">
        <is>
          <t>False</t>
        </is>
      </c>
      <c r="C20" s="38" t="n"/>
      <c r="D20" s="38" t="inlineStr">
        <is>
          <t>ENTRY, GLOBAL_CHECK, STOCKS_EXIT</t>
        </is>
      </c>
      <c r="E20" s="38">
        <f>IF(G104="",E103,IF(G104&gt;0,E103+G104,E103))</f>
        <v/>
      </c>
      <c r="F20" s="26" t="n"/>
      <c r="G20" s="38">
        <f>IFERROR(VLOOKUP($A104&amp;"_"&amp;$B104,Results_Deltas!$A$2:$P$15000,5,FALSE),"")</f>
        <v/>
      </c>
      <c r="H20" s="38" t="inlineStr">
        <is>
          <t>Blanket (page end)</t>
        </is>
      </c>
      <c r="I20" s="26" t="n"/>
      <c r="J20" s="26" t="n"/>
      <c r="K20" s="26" t="n"/>
      <c r="L20" s="26" t="inlineStr">
        <is>
          <t>YES</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HA_WICK_QUALITY_ENABLED</t>
        </is>
      </c>
      <c r="B21" s="38" t="inlineStr">
        <is>
          <t>True</t>
        </is>
      </c>
      <c r="C21" s="38" t="n"/>
      <c r="D21" s="38" t="inlineStr">
        <is>
          <t>ENTRY, GLOBAL_CHECK, STOCKS_EXIT</t>
        </is>
      </c>
      <c r="E21" s="38">
        <f>IF(G105="",E104,IF(G105&gt;0,E104+G105,E104))</f>
        <v/>
      </c>
      <c r="F21" s="26" t="n"/>
      <c r="G21" s="38">
        <f>IFERROR(VLOOKUP($A105&amp;"_"&amp;$B105,Results_Deltas!$A$2:$P$15000,5,FALSE),"")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9" t="inlineStr">
        <is>
          <t>LH_HL_FILTER_MODE</t>
        </is>
      </c>
      <c r="B22" s="40" t="inlineStr">
        <is>
          <t>STRICT_2BAR</t>
        </is>
      </c>
      <c r="C22" s="38" t="n"/>
      <c r="D22" s="38" t="inlineStr">
        <is>
          <t>ENTRY, GLOBAL_CHECK, STOCKS_EXIT</t>
        </is>
      </c>
      <c r="E22" s="38">
        <f>IF(G138="",E137,IF(G138&gt;0,E137+G138,E137))</f>
        <v/>
      </c>
      <c r="F22" s="26" t="n"/>
      <c r="G22" s="38">
        <f>IFERROR(VLOOKUP($A138&amp;"_"&amp;$B138,Results_Deltas!$A$2:$P$15000,5,FALSE),"")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LH_HL_FILTER_REQUIRE_BOTH</t>
        </is>
      </c>
      <c r="B23" s="40" t="inlineStr">
        <is>
          <t>False</t>
        </is>
      </c>
      <c r="C23" s="38" t="n"/>
      <c r="D23" s="38" t="inlineStr">
        <is>
          <t>ENTRY, GLOBAL_CHECK, STOCKS_EXIT</t>
        </is>
      </c>
      <c r="E23" s="38">
        <f>IF(G140="",E139,IF(G140&gt;0,E139+G140,E139))</f>
        <v/>
      </c>
      <c r="F23" s="26" t="n"/>
      <c r="G23" s="38">
        <f>IFERROR(VLOOKUP($A140&amp;"_"&amp;$B140,Results_Deltas!$A$2:$P$15000,5,FALSE),"")</f>
        <v/>
      </c>
      <c r="H23" s="38" t="inlineStr">
        <is>
          <t>Blanket (page end)</t>
        </is>
      </c>
      <c r="I23" s="26" t="n"/>
      <c r="J23" s="26" t="n"/>
      <c r="K23" s="26" t="n"/>
      <c r="L23" s="26" t="inlineStr">
        <is>
          <t>YES</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9" t="inlineStr">
        <is>
          <t>LIVE_VEC_EMERGENCY_BRAKE_ENABLED</t>
        </is>
      </c>
      <c r="B24" s="40" t="inlineStr">
        <is>
          <t>False</t>
        </is>
      </c>
      <c r="C24" s="38" t="n"/>
      <c r="D24" s="38" t="inlineStr">
        <is>
          <t>GLOBAL_CHECK, STOCKS_EXIT</t>
        </is>
      </c>
      <c r="E24" s="38">
        <f>IF(G142="",E141,IF(G142&gt;0,E141+G142,E141))</f>
        <v/>
      </c>
      <c r="F24" s="26" t="n"/>
      <c r="G24" s="38">
        <f>IFERROR(VLOOKUP($A142&amp;"_"&amp;$B142,Results_Deltas!$A$2:$P$15000,5,FALSE),"")</f>
        <v/>
      </c>
      <c r="H24" s="38" t="inlineStr">
        <is>
          <t>Blanket (page end)</t>
        </is>
      </c>
      <c r="I24" s="26" t="n"/>
      <c r="J24" s="26" t="n"/>
      <c r="K24" s="26" t="n"/>
      <c r="L24" s="26" t="inlineStr">
        <is>
          <t>YES</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MTS_GATE_ENABLED</t>
        </is>
      </c>
      <c r="B25" s="38" t="inlineStr">
        <is>
          <t>False</t>
        </is>
      </c>
      <c r="C25" s="38" t="n"/>
      <c r="D25" s="38" t="inlineStr">
        <is>
          <t>ENTRY, GLOBAL_CHECK, STOCKS_EXIT</t>
        </is>
      </c>
      <c r="E25" s="38">
        <f>IF(G179="",E178,IF(G179&gt;0,E178+G179,E178))</f>
        <v/>
      </c>
      <c r="F25" s="26" t="n"/>
      <c r="G25" s="38">
        <f>IFERROR(VLOOKUP($A179&amp;"_"&amp;$B179,Results_Deltas!$A$2:$P$15000,5,FALSE),"")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OI_CONFIRM_ENABLED</t>
        </is>
      </c>
      <c r="B26" s="38" t="inlineStr">
        <is>
          <t>False</t>
        </is>
      </c>
      <c r="C26" s="38" t="n"/>
      <c r="D26" s="38" t="inlineStr">
        <is>
          <t>ENTRY, GLOBAL_CHECK, STOCKS_EXIT</t>
        </is>
      </c>
      <c r="E26" s="38">
        <f>IF(G191="",E190,IF(G191&gt;0,E190+G191,E190))</f>
        <v/>
      </c>
      <c r="F26" s="26" t="n"/>
      <c r="G26" s="38">
        <f>IFERROR(VLOOKUP($A191&amp;"_"&amp;$B191,Results_Deltas!$A$2:$P$15000,5,FALSE),"")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L27" s="35" t="inlineStr">
        <is>
          <t>NO</t>
        </is>
      </c>
    </row>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7" t="inlineStr">
        <is>
          <t>STDEV_SLOPE_SIZING_D_MAX</t>
        </is>
      </c>
      <c r="B3" s="27" t="n">
        <v>10</v>
      </c>
      <c r="C3" s="26" t="n"/>
      <c r="D3" s="26" t="inlineStr">
        <is>
          <t>STDEV_LADDER</t>
        </is>
      </c>
      <c r="E3" s="26">
        <f>IF(G5="",E4,IF(G5&gt;0,E4+G5,E4))</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row>
    <row r="4">
      <c r="A4" s="27" t="inlineStr">
        <is>
          <t>STDEV_SLOPE_SIZING_4H_MAX</t>
        </is>
      </c>
      <c r="B4" s="27" t="n">
        <v>4</v>
      </c>
      <c r="C4" s="26" t="n"/>
      <c r="D4" s="26" t="inlineStr">
        <is>
          <t>STDEV_LADDER</t>
        </is>
      </c>
      <c r="E4" s="26">
        <f>IF(G6="",E5,IF(G6&gt;0,E5+G6,E5))</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STDEV_SLOPE_SIZING_1H_MAX</t>
        </is>
      </c>
      <c r="B5" s="27" t="n">
        <v>2</v>
      </c>
      <c r="C5" s="26" t="n"/>
      <c r="D5" s="26" t="inlineStr">
        <is>
          <t>STDEV_LADDER</t>
        </is>
      </c>
      <c r="E5" s="26">
        <f>IF(G7="",E6,IF(G7&gt;0,E6+G7,E6))</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row>
    <row r="6">
      <c r="A6" s="27" t="inlineStr">
        <is>
          <t>STDEV_SLOPE_LOOKBACK_D</t>
        </is>
      </c>
      <c r="B6" s="27" t="n">
        <v>180</v>
      </c>
      <c r="C6" s="26" t="n"/>
      <c r="D6" s="26" t="inlineStr">
        <is>
          <t>STDEV_LADDER</t>
        </is>
      </c>
      <c r="E6" s="26">
        <f>IF(G9="",E8,IF(G9&gt;0,E8+G9,E8))</f>
        <v/>
      </c>
      <c r="F6" s="26" t="n"/>
      <c r="G6" s="26">
        <f>IFERROR(VLOOKUP($A9&amp;"_"&amp;$B9,Results_Deltas!$A$2:$P$15000,5,FALSE),"")</f>
        <v/>
      </c>
      <c r="H6" s="26">
        <f>IFERROR(VLOOKUP($A3,Results_30d_Deltas!$A$2:$H$5000,7,FALSE)-E3,"")</f>
        <v/>
      </c>
      <c r="I6" s="26">
        <f>IFERROR(VLOOKUP($A3,Results_30d_Deltas!$A$2:$H$5000,6,FALSE),"")</f>
        <v/>
      </c>
      <c r="J6" s="26" t="n"/>
      <c r="K6" s="26" t="n"/>
      <c r="L6" s="26" t="inlineStr">
        <is>
          <t>YES</t>
        </is>
      </c>
    </row>
    <row r="7">
      <c r="A7" s="27" t="inlineStr">
        <is>
          <t>STDEV_SLOPE_LOOKBACK_4H</t>
        </is>
      </c>
      <c r="B7" s="27" t="n">
        <v>180</v>
      </c>
      <c r="C7" s="26" t="n"/>
      <c r="D7" s="26" t="inlineStr">
        <is>
          <t>STDEV_LADDER</t>
        </is>
      </c>
      <c r="E7" s="26">
        <f>IF(G10="",E9,IF(G10&gt;0,E9+G10,E9))</f>
        <v/>
      </c>
      <c r="F7" s="26" t="n"/>
      <c r="G7" s="26">
        <f>IFERROR(VLOOKUP($A10&amp;"_"&amp;$B10,Results_Deltas!$A$2:$P$15000,5,FALSE),"")</f>
        <v/>
      </c>
      <c r="H7" s="26">
        <f>IFERROR(VLOOKUP($A3,Results_30d_Deltas!$A$2:$H$5000,7,FALSE)-E3,"")</f>
        <v/>
      </c>
      <c r="I7" s="26">
        <f>IFERROR(VLOOKUP($A3,Results_30d_Deltas!$A$2:$H$5000,6,FALSE),"")</f>
        <v/>
      </c>
      <c r="J7" s="26" t="n"/>
      <c r="K7" s="26" t="n"/>
      <c r="L7" s="26" t="inlineStr">
        <is>
          <t>YES</t>
        </is>
      </c>
    </row>
    <row r="8">
      <c r="A8" s="27" t="inlineStr">
        <is>
          <t>STDEV_SLOPE_LOOKBACK_1H</t>
        </is>
      </c>
      <c r="B8" s="27" t="n">
        <v>168</v>
      </c>
      <c r="C8" s="26" t="n"/>
      <c r="D8" s="26" t="inlineStr">
        <is>
          <t>STDEV_LADDER</t>
        </is>
      </c>
      <c r="E8" s="26">
        <f>IF(G11="",E10,IF(G11&gt;0,E10+G11,E10))</f>
        <v/>
      </c>
      <c r="F8" s="26" t="n"/>
      <c r="G8" s="26">
        <f>IFERROR(VLOOKUP($A11&amp;"_"&amp;$B11,Results_Deltas!$A$2:$P$15000,5,FALSE),"")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STDEV_SLOPE_LOOKBACK_15M</t>
        </is>
      </c>
      <c r="B9" s="27" t="n">
        <v>96</v>
      </c>
      <c r="C9" s="26" t="n"/>
      <c r="D9" s="26" t="inlineStr">
        <is>
          <t>STDEV_LADDER</t>
        </is>
      </c>
      <c r="E9" s="26">
        <f>IF(G12="",E11,IF(G12&gt;0,E11+G12,E11))</f>
        <v/>
      </c>
      <c r="F9" s="26" t="n"/>
      <c r="G9" s="26">
        <f>IFERROR(VLOOKUP($A12&amp;"_"&amp;$B12,Results_Deltas!$A$2:$P$15000,5,FALSE),"")</f>
        <v/>
      </c>
      <c r="H9" s="26">
        <f>IFERROR(VLOOKUP($A3,Results_30d_Deltas!$A$2:$H$5000,7,FALSE)-E3,"")</f>
        <v/>
      </c>
      <c r="I9" s="26">
        <f>IFERROR(VLOOKUP($A3,Results_30d_Deltas!$A$2:$H$5000,6,FALSE),"")</f>
        <v/>
      </c>
      <c r="J9" s="26" t="n"/>
      <c r="K9" s="26" t="n"/>
      <c r="L9" s="26" t="inlineStr">
        <is>
          <t>YES</t>
        </is>
      </c>
    </row>
    <row r="10">
      <c r="A10" s="26" t="inlineStr">
        <is>
          <t>BAND_SLOPE_SIZING_V2_TF</t>
        </is>
      </c>
      <c r="B10" s="26" t="inlineStr">
        <is>
          <t>D</t>
        </is>
      </c>
      <c r="C10" s="26" t="n"/>
      <c r="D10" s="26" t="inlineStr">
        <is>
          <t>STDEV_LADDER</t>
        </is>
      </c>
      <c r="E10" s="26">
        <f>IF(G14="",E13,IF(G14&gt;0,E13+G14,E13))</f>
        <v/>
      </c>
      <c r="F10" s="26" t="n"/>
      <c r="G10" s="26">
        <f>IFERROR(VLOOKUP($A14&amp;"_"&amp;$B14,Results_Deltas!$A$2:$P$15000,5,FALSE),"")</f>
        <v/>
      </c>
      <c r="H10" s="26">
        <f>IFERROR(VLOOKUP($A3,Results_30d_Deltas!$A$2:$H$5000,7,FALSE)-E3,"")</f>
        <v/>
      </c>
      <c r="I10" s="26">
        <f>IFERROR(VLOOKUP($A3,Results_30d_Deltas!$A$2:$H$5000,6,FALSE),"")</f>
        <v/>
      </c>
      <c r="J10" s="26" t="n"/>
      <c r="K10" s="26" t="n"/>
      <c r="L10" s="26" t="inlineStr">
        <is>
          <t>NO</t>
        </is>
      </c>
    </row>
    <row r="11">
      <c r="A11" s="27" t="inlineStr">
        <is>
          <t>BAND_SLOPE_SIZING_V2_DEPTH_GAIN</t>
        </is>
      </c>
      <c r="B11" s="27" t="n">
        <v>1</v>
      </c>
      <c r="C11" s="26" t="n"/>
      <c r="D11" s="26" t="inlineStr">
        <is>
          <t>STDEV_LADDER</t>
        </is>
      </c>
      <c r="E11" s="26">
        <f>IF(G15="",E14,IF(G15&gt;0,E14+G15,E14))</f>
        <v/>
      </c>
      <c r="F11" s="26" t="n"/>
      <c r="G11" s="26">
        <f>IFERROR(VLOOKUP($A15&amp;"_"&amp;$B15,Results_Deltas!$A$2:$P$15000,5,FALSE),"")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STDEV_SLOPE_SIZING_MODE</t>
        </is>
      </c>
      <c r="B12" s="27" t="inlineStr">
        <is>
          <t>slope_to_top</t>
        </is>
      </c>
      <c r="C12" s="26" t="n"/>
      <c r="D12" s="26" t="inlineStr">
        <is>
          <t>STDEV_LADDER</t>
        </is>
      </c>
      <c r="E12" s="26">
        <f>IF(G18="",E17,IF(G18&gt;0,E17+G18,E17))</f>
        <v/>
      </c>
      <c r="F12" s="26" t="n"/>
      <c r="G12" s="26">
        <f>IFERROR(VLOOKUP($A18&amp;"_"&amp;$B18,Results_Deltas!$A$2:$P$15000,5,FALSE),"")</f>
        <v/>
      </c>
      <c r="H12" s="26">
        <f>IFERROR(VLOOKUP($A3,Results_30d_Deltas!$A$2:$H$5000,7,FALSE)-E3,"")</f>
        <v/>
      </c>
      <c r="I12" s="26" t="n"/>
      <c r="J12" s="26" t="n"/>
      <c r="K12" s="26" t="n"/>
      <c r="L12" s="26" t="inlineStr">
        <is>
          <t>YES</t>
        </is>
      </c>
    </row>
    <row r="13">
      <c r="A13" s="27" t="inlineStr">
        <is>
          <t>BAND_SLOPE_SIZING_V2_SLOPE_NORM_PCT_DAY</t>
        </is>
      </c>
      <c r="B13" s="27" t="n">
        <v>1</v>
      </c>
      <c r="C13" s="26" t="n"/>
      <c r="D13" s="26" t="inlineStr">
        <is>
          <t>STDEV_LADDER</t>
        </is>
      </c>
      <c r="E13" s="26">
        <f>IF(G19="",E18,IF(G19&gt;0,E18+G19,E18))</f>
        <v/>
      </c>
      <c r="F13" s="26" t="n"/>
      <c r="G13" s="26">
        <f>IFERROR(VLOOKUP($A19&amp;"_"&amp;$B19,Results_Deltas!$A$2:$P$15000,5,FALSE),"")</f>
        <v/>
      </c>
      <c r="H13" s="26">
        <f>IFERROR(VLOOKUP($A3,Results_30d_Deltas!$A$2:$H$5000,7,FALSE)-E3,"")</f>
        <v/>
      </c>
      <c r="I13" s="26" t="n"/>
      <c r="J13" s="26" t="n"/>
      <c r="K13" s="26" t="n"/>
      <c r="L13" s="26" t="inlineStr">
        <is>
          <t>YES</t>
        </is>
      </c>
    </row>
    <row r="14">
      <c r="A14" s="35" t="inlineStr">
        <is>
          <t>STDEV_SLOPE_SIZING_ENABLED</t>
        </is>
      </c>
      <c r="B14" s="35" t="b">
        <v>0</v>
      </c>
      <c r="D14" s="35" t="inlineStr">
        <is>
          <t>STDEV_LADDER</t>
        </is>
      </c>
      <c r="E14" s="35">
        <f>IF(G20="",E19,IF(G20&gt;0,E19+G20,E19))</f>
        <v/>
      </c>
      <c r="F14" s="35">
        <f>IFERROR(VLOOKUP($A20&amp;"="&amp;$B20,Results_Deltas!$A$2:$P$15000,5,FALSE),"")</f>
        <v/>
      </c>
      <c r="G14" s="35">
        <f>IFERROR(VLOOKUP($A20,Results_30d_Deltas!$A$2:$H$5000,7,FALSE)-E20,"")</f>
        <v/>
      </c>
      <c r="H14" s="35">
        <f>IFERROR(VLOOKUP($A20,Results_30d_Deltas!$A$2:$H$5000,6,FALSE),"")</f>
        <v/>
      </c>
      <c r="L14" s="35" t="inlineStr">
        <is>
          <t>NO</t>
        </is>
      </c>
    </row>
    <row r="15">
      <c r="A15" s="35" t="inlineStr">
        <is>
          <t>STDEV_SLOPE_SIZING_D_MAX</t>
        </is>
      </c>
      <c r="B15" s="35" t="n">
        <v>1</v>
      </c>
      <c r="D15" s="35" t="inlineStr">
        <is>
          <t>STDEV_LADDER</t>
        </is>
      </c>
      <c r="E15" s="35">
        <f>IF(G21="",E20,IF(G21&gt;0,E20+G21,E20))</f>
        <v/>
      </c>
      <c r="F15" s="35">
        <f>IFERROR(VLOOKUP($A21&amp;"="&amp;$B21,Results_Deltas!$A$2:$P$15000,5,FALSE),"")</f>
        <v/>
      </c>
      <c r="G15" s="35">
        <f>IFERROR(VLOOKUP($A21,Results_30d_Deltas!$A$2:$H$5000,7,FALSE)-E21,"")</f>
        <v/>
      </c>
      <c r="H15" s="35">
        <f>IFERROR(VLOOKUP($A21,Results_30d_Deltas!$A$2:$H$5000,6,FALSE),"")</f>
        <v/>
      </c>
      <c r="L15" s="35" t="inlineStr">
        <is>
          <t>NO</t>
        </is>
      </c>
    </row>
    <row r="16">
      <c r="A16" s="35" t="inlineStr">
        <is>
          <t>STDEV_SLOPE_SIZING_4H_MAX</t>
        </is>
      </c>
      <c r="B16" s="35" t="n">
        <v>1</v>
      </c>
      <c r="D16" s="35" t="inlineStr">
        <is>
          <t>STDEV_LADDER</t>
        </is>
      </c>
      <c r="E16" s="35">
        <f>IF(G22="",E21,IF(G22&gt;0,E21+G22,E21))</f>
        <v/>
      </c>
      <c r="F16" s="35">
        <f>IFERROR(VLOOKUP($A22&amp;"="&amp;$B22,Results_Deltas!$A$2:$P$15000,5,FALSE),"")</f>
        <v/>
      </c>
      <c r="G16" s="35">
        <f>IFERROR(VLOOKUP($A22,Results_30d_Deltas!$A$2:$H$5000,7,FALSE)-E22,"")</f>
        <v/>
      </c>
      <c r="H16" s="35">
        <f>IFERROR(VLOOKUP($A22,Results_30d_Deltas!$A$2:$H$5000,6,FALSE),"")</f>
        <v/>
      </c>
      <c r="L16" s="35" t="inlineStr">
        <is>
          <t>NO</t>
        </is>
      </c>
    </row>
    <row r="17">
      <c r="A17" s="35" t="inlineStr">
        <is>
          <t>STDEV_SLOPE_SIZING_1H_MAX</t>
        </is>
      </c>
      <c r="B17" s="35" t="n">
        <v>1</v>
      </c>
      <c r="D17" s="35" t="inlineStr">
        <is>
          <t>STDEV_LADDER</t>
        </is>
      </c>
      <c r="E17" s="35">
        <f>IF(G23="",E22,IF(G23&gt;0,E22+G23,E22))</f>
        <v/>
      </c>
      <c r="F17" s="35">
        <f>IFERROR(VLOOKUP($A23&amp;"="&amp;$B23,Results_Deltas!$A$2:$P$15000,5,FALSE),"")</f>
        <v/>
      </c>
      <c r="G17" s="35">
        <f>IFERROR(VLOOKUP($A23,Results_30d_Deltas!$A$2:$H$5000,7,FALSE)-E23,"")</f>
        <v/>
      </c>
      <c r="H17" s="35">
        <f>IFERROR(VLOOKUP($A23,Results_30d_Deltas!$A$2:$H$5000,6,FALSE),"")</f>
        <v/>
      </c>
      <c r="L17" s="35" t="inlineStr">
        <is>
          <t>NO</t>
        </is>
      </c>
    </row>
    <row r="18">
      <c r="A18" s="35" t="inlineStr">
        <is>
          <t>STDEV_SLOPE_SIZING_15M_MAX</t>
        </is>
      </c>
      <c r="B18" s="35" t="n">
        <v>1</v>
      </c>
      <c r="D18" s="35" t="inlineStr">
        <is>
          <t>STDEV_LADDER</t>
        </is>
      </c>
      <c r="E18" s="35">
        <f>IF(G24="",E23,IF(G24&gt;0,E23+G24,E23))</f>
        <v/>
      </c>
      <c r="F18" s="35">
        <f>IFERROR(VLOOKUP($A24&amp;"="&amp;$B24,Results_Deltas!$A$2:$P$15000,5,FALSE),"")</f>
        <v/>
      </c>
      <c r="G18" s="35">
        <f>IFERROR(VLOOKUP($A24,Results_30d_Deltas!$A$2:$H$5000,7,FALSE)-E24,"")</f>
        <v/>
      </c>
      <c r="H18" s="35">
        <f>IFERROR(VLOOKUP($A24,Results_30d_Deltas!$A$2:$H$5000,6,FALSE),"")</f>
        <v/>
      </c>
      <c r="L18" s="35" t="inlineStr">
        <is>
          <t>NO</t>
        </is>
      </c>
    </row>
    <row r="19">
      <c r="A19" s="35" t="inlineStr">
        <is>
          <t>STDEV_SLOPE_SIZING_MODE</t>
        </is>
      </c>
      <c r="B19" s="35" t="inlineStr">
        <is>
          <t>bottom_to_top</t>
        </is>
      </c>
      <c r="D19" s="35" t="inlineStr">
        <is>
          <t>STDEV_LADDER</t>
        </is>
      </c>
      <c r="E19" s="35">
        <f>IF(G25="",E24,IF(G25&gt;0,E24+G25,E24))</f>
        <v/>
      </c>
      <c r="F19" s="35">
        <f>IFERROR(VLOOKUP($A25&amp;"="&amp;$B25,Results_Deltas!$A$2:$P$15000,5,FALSE),"")</f>
        <v/>
      </c>
      <c r="G19" s="35">
        <f>IFERROR(VLOOKUP($A25,Results_30d_Deltas!$A$2:$H$5000,7,FALSE)-E25,"")</f>
        <v/>
      </c>
      <c r="H19" s="35">
        <f>IFERROR(VLOOKUP($A25,Results_30d_Deltas!$A$2:$H$5000,6,FALSE),"")</f>
        <v/>
      </c>
      <c r="L19" s="35" t="inlineStr">
        <is>
          <t>NO</t>
        </is>
      </c>
    </row>
    <row r="20">
      <c r="A20" s="35" t="inlineStr">
        <is>
          <t>BAND_SLOPE_SIZING_V2_TF</t>
        </is>
      </c>
      <c r="B20" s="35" t="inlineStr">
        <is>
          <t>4h</t>
        </is>
      </c>
      <c r="D20" s="35" t="inlineStr">
        <is>
          <t>STDEV_LADDER</t>
        </is>
      </c>
      <c r="E20" s="35">
        <f>IF(G27="",E26,IF(G27&gt;0,E26+G27,E26))</f>
        <v/>
      </c>
      <c r="F20" s="35">
        <f>IFERROR(VLOOKUP($A27&amp;"="&amp;$B27,Results_Deltas!$A$2:$P$15000,5,FALSE),"")</f>
        <v/>
      </c>
      <c r="G20" s="35">
        <f>IFERROR(VLOOKUP($A27,Results_30d_Deltas!$A$2:$H$5000,7,FALSE)-E27,"")</f>
        <v/>
      </c>
      <c r="H20" s="35">
        <f>IFERROR(VLOOKUP($A27,Results_30d_Deltas!$A$2:$H$5000,6,FALSE),"")</f>
        <v/>
      </c>
      <c r="L20" s="35" t="inlineStr">
        <is>
          <t>NO</t>
        </is>
      </c>
    </row>
    <row r="21" ht="15.75" customHeight="1" s="67">
      <c r="A21" s="35" t="inlineStr">
        <is>
          <t>BAND_SLOPE_SIZING_V2_MAX</t>
        </is>
      </c>
      <c r="B21" s="35" t="n">
        <v>1</v>
      </c>
      <c r="D21" s="35" t="inlineStr">
        <is>
          <t>STDEV_LADDER</t>
        </is>
      </c>
      <c r="E21" s="35">
        <f>IF(G28="",E27,IF(G28&gt;0,E27+G28,E27))</f>
        <v/>
      </c>
      <c r="F21" s="35">
        <f>IFERROR(VLOOKUP($A28&amp;"="&amp;$B28,Results_Deltas!$A$2:$P$15000,5,FALSE),"")</f>
        <v/>
      </c>
      <c r="G21" s="35">
        <f>IFERROR(VLOOKUP($A28,Results_30d_Deltas!$A$2:$H$5000,7,FALSE)-E28,"")</f>
        <v/>
      </c>
      <c r="H21" s="35">
        <f>IFERROR(VLOOKUP($A28,Results_30d_Deltas!$A$2:$H$5000,6,FALSE),"")</f>
        <v/>
      </c>
      <c r="L21" s="35" t="inlineStr">
        <is>
          <t>NO</t>
        </is>
      </c>
    </row>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6" t="inlineStr">
        <is>
          <t>DC_BREAKOUT_TF</t>
        </is>
      </c>
      <c r="B6" s="26" t="inlineStr">
        <is>
          <t>15m</t>
        </is>
      </c>
      <c r="C6" s="26" t="n"/>
      <c r="D6" s="26" t="n"/>
      <c r="E6" s="26" t="n"/>
      <c r="F6" s="26" t="n"/>
      <c r="G6" s="26">
        <f>IFERROR(VLOOKUP($A7&amp;"_"&amp;$B7,Results_Deltas!$A$2:$P$15000,5,FALSE),"")</f>
        <v/>
      </c>
      <c r="H6" s="26">
        <f>IFERROR(VLOOKUP($A7,Results_30d_Deltas!$A$2:$H$5000,7,FALSE)-E6,"")</f>
        <v/>
      </c>
      <c r="I6" s="26">
        <f>IFERROR(VLOOKUP($A7,Results_30d_Deltas!$A$2:$H$5000,6,FALSE),"")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RZ_BREAKOUT_ENTRY_ENABLED</t>
        </is>
      </c>
      <c r="B7" s="26" t="inlineStr">
        <is>
          <t>True</t>
        </is>
      </c>
      <c r="C7" s="26" t="n"/>
      <c r="D7" s="26" t="n"/>
      <c r="E7" s="26" t="n"/>
      <c r="F7" s="26" t="n"/>
      <c r="G7" s="26">
        <f>IFERROR(VLOOKUP($A23&amp;"_"&amp;$B23,Results_Deltas!$A$2:$P$15000,5,FALSE),"")</f>
        <v/>
      </c>
      <c r="H7" s="26">
        <f>IFERROR(VLOOKUP($A23,Results_30d_Deltas!$A$2:$H$5000,7,FALSE)-E22,"")</f>
        <v/>
      </c>
      <c r="I7" s="26">
        <f>IFERROR(VLOOKUP($A23,Results_30d_Deltas!$A$2:$H$5000,6,FALSE),"")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4" t="n"/>
      <c r="FJ7" s="34" t="n"/>
      <c r="FK7" s="34" t="n"/>
      <c r="FL7" s="34" t="n"/>
      <c r="FM7" s="34"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4" t="n"/>
      <c r="HY7" s="34" t="n"/>
      <c r="HZ7" s="34" t="n"/>
      <c r="IA7" s="34" t="n"/>
      <c r="IB7" s="34" t="n"/>
      <c r="IC7" s="34" t="n"/>
      <c r="ID7" s="34" t="n"/>
      <c r="IE7" s="34" t="n"/>
      <c r="IF7" s="34" t="n"/>
      <c r="IG7" s="34" t="n"/>
      <c r="IH7" s="34" t="n"/>
      <c r="II7" s="34" t="n"/>
      <c r="IJ7" s="26" t="n"/>
      <c r="IK7" s="26" t="inlineStr">
        <is>
          <t>ez_manage.py:5398 top()</t>
        </is>
      </c>
      <c r="IL7" s="26" t="inlineStr">
        <is>
          <t>v12_quick_engine.py:3021 x3</t>
        </is>
      </c>
      <c r="IM7" s="26" t="n"/>
    </row>
    <row r="8" ht="10.5" customHeight="1" s="67">
      <c r="A8" s="26" t="inlineStr">
        <is>
          <t>ATR_ADAPTIVE_SIZING_TARGET_PCT</t>
        </is>
      </c>
      <c r="B8" s="26" t="inlineStr">
        <is>
          <t>1.0</t>
        </is>
      </c>
      <c r="C8" s="26" t="n"/>
      <c r="D8" s="26" t="n"/>
      <c r="E8" s="26" t="n"/>
      <c r="F8" s="26" t="n"/>
      <c r="G8" s="26">
        <f>IFERROR(VLOOKUP($A24&amp;"_"&amp;$B24,Results_Deltas!$A$2:$P$15000,5,FALSE),"")</f>
        <v/>
      </c>
      <c r="H8" s="26">
        <f>IFERROR(VLOOKUP($A24,Results_30d_Deltas!$A$2:$H$5000,7,FALSE)-E23,"")</f>
        <v/>
      </c>
      <c r="I8" s="26">
        <f>IFERROR(VLOOKUP($A24,Results_30d_Deltas!$A$2:$H$5000,6,FALSE),"")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ez_manage.py:4327 top()</t>
        </is>
      </c>
      <c r="IL8" s="26" t="inlineStr">
        <is>
          <t>v12_quick_engine.py:1209 x7</t>
        </is>
      </c>
      <c r="IM8" s="26" t="n"/>
    </row>
    <row r="9" ht="10.5" customHeight="1" s="67">
      <c r="A9" s="26" t="inlineStr">
        <is>
          <t>ATR_ADAPTIVE_SIZING_TARGET_PCT</t>
        </is>
      </c>
      <c r="B9" s="26" t="inlineStr">
        <is>
          <t>2.5</t>
        </is>
      </c>
      <c r="C9" s="26" t="n"/>
      <c r="D9" s="26" t="n"/>
      <c r="E9" s="26" t="n"/>
      <c r="F9" s="26" t="n"/>
      <c r="G9" s="26">
        <f>IFERROR(VLOOKUP($A27&amp;"_"&amp;$B27,Results_Deltas!$A$2:$P$15000,5,FALSE),"")</f>
        <v/>
      </c>
      <c r="H9" s="26">
        <f>IFERROR(VLOOKUP($A27,Results_30d_Deltas!$A$2:$H$5000,7,FALSE)-E26,"")</f>
        <v/>
      </c>
      <c r="I9" s="26">
        <f>IFERROR(VLOOKUP($A27,Results_30d_Deltas!$A$2:$H$5000,6,FALSE),"")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ez_manage.py:4327 top()</t>
        </is>
      </c>
      <c r="IL9" s="26" t="inlineStr">
        <is>
          <t>v12_quick_engine.py:1209 x7</t>
        </is>
      </c>
      <c r="IM9" s="26" t="n"/>
    </row>
    <row r="10" ht="10.5" customHeight="1" s="67">
      <c r="A10" s="26" t="inlineStr">
        <is>
          <t>ENTRY_SCORE_THRESHOLD</t>
        </is>
      </c>
      <c r="B10" s="26" t="inlineStr">
        <is>
          <t>9.0</t>
        </is>
      </c>
      <c r="C10" s="26" t="n"/>
      <c r="D10" s="26" t="n"/>
      <c r="E10" s="26" t="n"/>
      <c r="F10" s="26" t="n"/>
      <c r="G10" s="26">
        <f>IFERROR(VLOOKUP($A52&amp;"_"&amp;$B52,Results_Deltas!$A$2:$P$15000,5,FALSE),"")</f>
        <v/>
      </c>
      <c r="H10" s="26">
        <f>IFERROR(VLOOKUP($A52,Results_30d_Deltas!$A$2:$H$5000,7,FALSE)-E51,"")</f>
        <v/>
      </c>
      <c r="I10" s="26">
        <f>IFERROR(VLOOKUP($A52,Results_30d_Deltas!$A$2:$H$5000,6,FALSE),"")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4" t="n"/>
      <c r="FJ10" s="34" t="n"/>
      <c r="FK10" s="34" t="n"/>
      <c r="FL10" s="34" t="n"/>
      <c r="FM10" s="34"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ez_manage.py:4644 top()</t>
        </is>
      </c>
      <c r="IL10" s="26" t="inlineStr">
        <is>
          <t>v12_quick_engine.py:3394 x9</t>
        </is>
      </c>
      <c r="IM10" s="26" t="n"/>
    </row>
    <row r="11" ht="10.5" customHeight="1" s="67">
      <c r="A11" s="26" t="inlineStr">
        <is>
          <t>REENTRY2_STOCH_CROSS_ENABLED</t>
        </is>
      </c>
      <c r="B11" s="26" t="inlineStr">
        <is>
          <t>True</t>
        </is>
      </c>
      <c r="C11" s="26" t="n"/>
      <c r="D11" s="26" t="n"/>
      <c r="E11" s="26" t="n"/>
      <c r="F11" s="26" t="n"/>
      <c r="G11" s="26">
        <f>IFERROR(VLOOKUP($A99&amp;"_"&amp;$B99,Results_Deltas!$A$2:$P$15000,5,FALSE),"")</f>
        <v/>
      </c>
      <c r="H11" s="26">
        <f>IFERROR(VLOOKUP($A99,Results_30d_Deltas!$A$2:$H$5000,7,FALSE)-E98,"")</f>
        <v/>
      </c>
      <c r="I11" s="26">
        <f>IFERROR(VLOOKUP($A99,Results_30d_Deltas!$A$2:$H$5000,6,FALSE),"")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4" t="n"/>
      <c r="AW11" s="34" t="n"/>
      <c r="AX11" s="34" t="n"/>
      <c r="AY11" s="34" t="n"/>
      <c r="AZ11" s="34"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4" t="n"/>
      <c r="HY11" s="34" t="n"/>
      <c r="HZ11" s="34" t="n"/>
      <c r="IA11" s="34" t="n"/>
      <c r="IB11" s="34" t="n"/>
      <c r="IC11" s="34" t="n"/>
      <c r="ID11" s="34" t="n"/>
      <c r="IE11" s="34" t="n"/>
      <c r="IF11" s="34" t="n"/>
      <c r="IG11" s="34" t="n"/>
      <c r="IH11" s="34" t="n"/>
      <c r="II11" s="34" t="n"/>
      <c r="IJ11" s="26" t="n"/>
      <c r="IK11" s="26" t="inlineStr">
        <is>
          <t>ez_manage.py:5285 top()</t>
        </is>
      </c>
      <c r="IL11" s="26" t="inlineStr">
        <is>
          <t>v12_quick_engine.py:2842 x10</t>
        </is>
      </c>
      <c r="IM11" s="26" t="n"/>
    </row>
    <row r="12" ht="10.5" customHeight="1" s="67">
      <c r="A12" s="27" t="inlineStr">
        <is>
          <t>REVERSE_ON_EXIT_ENABLED</t>
        </is>
      </c>
      <c r="B12" s="27" t="inlineStr">
        <is>
          <t>False</t>
        </is>
      </c>
      <c r="C12" s="26" t="n"/>
      <c r="D12" s="26" t="n"/>
      <c r="E12" s="26" t="n"/>
      <c r="F12" s="26" t="n"/>
      <c r="G12" s="26">
        <f>IFERROR(VLOOKUP($A115&amp;"_"&amp;$B115,Results_Deltas!$A$2:$P$15000,5,FALSE),"")</f>
        <v/>
      </c>
      <c r="H12" s="26">
        <f>IFERROR(VLOOKUP($A115,Results_30d_Deltas!$A$2:$H$5000,7,FALSE)-E114,"")</f>
        <v/>
      </c>
      <c r="I12" s="26">
        <f>IFERROR(VLOOKUP($A115,Results_30d_Deltas!$A$2:$H$5000,6,FALSE),"")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ez_manage.py:1219 top()</t>
        </is>
      </c>
      <c r="IL12" s="26" t="inlineStr">
        <is>
          <t>v12_quick_engine.py:1420 x3</t>
        </is>
      </c>
      <c r="IM12" s="26" t="n"/>
    </row>
    <row r="13" ht="10.5" customHeight="1" s="67">
      <c r="A13" s="26" t="inlineStr">
        <is>
          <t>REVERSE_ON_EXIT_ENABLED</t>
        </is>
      </c>
      <c r="B13" s="26" t="inlineStr">
        <is>
          <t>True</t>
        </is>
      </c>
      <c r="C13" s="26" t="n"/>
      <c r="D13" s="26" t="n"/>
      <c r="E13" s="26" t="n"/>
      <c r="F13" s="26" t="n"/>
      <c r="G13" s="26">
        <f>IFERROR(VLOOKUP($A116&amp;"_"&amp;$B116,Results_Deltas!$A$2:$P$15000,5,FALSE),"")</f>
        <v/>
      </c>
      <c r="H13" s="26">
        <f>IFERROR(VLOOKUP($A116,Results_30d_Deltas!$A$2:$H$5000,7,FALSE)-E115,"")</f>
        <v/>
      </c>
      <c r="I13" s="26">
        <f>IFERROR(VLOOKUP($A116,Results_30d_Deltas!$A$2:$H$5000,6,FALSE),"")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ez_manage.py:1219 top()</t>
        </is>
      </c>
      <c r="IL13" s="26" t="inlineStr">
        <is>
          <t>v12_quick_engine.py:1420 x3</t>
        </is>
      </c>
      <c r="IM13" s="26" t="n"/>
    </row>
    <row r="14" ht="10.5" customHeight="1" s="67">
      <c r="A14" s="26" t="inlineStr">
        <is>
          <t>SCALP_V3_K_OB_EXIT_K3M_LO</t>
        </is>
      </c>
      <c r="B14" s="26" t="inlineStr">
        <is>
          <t>1.0</t>
        </is>
      </c>
      <c r="C14" s="26" t="n"/>
      <c r="D14" s="26" t="n"/>
      <c r="E14" s="26" t="n"/>
      <c r="F14" s="26" t="n"/>
      <c r="G14" s="26">
        <f>IFERROR(VLOOKUP($A140&amp;"_"&amp;$B140,Results_Deltas!$A$2:$P$15000,5,FALSE),"")</f>
        <v/>
      </c>
      <c r="H14" s="26">
        <f>IFERROR(VLOOKUP($A140,Results_30d_Deltas!$A$2:$H$5000,7,FALSE)-E139,"")</f>
        <v/>
      </c>
      <c r="I14" s="26">
        <f>IFERROR(VLOOKUP($A140,Results_30d_Deltas!$A$2:$H$5000,6,FALSE),"")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ez_manage.py:5554 top()</t>
        </is>
      </c>
      <c r="IL14" s="26" t="inlineStr">
        <is>
          <t>v12_quick_engine.py:3182 x4</t>
        </is>
      </c>
      <c r="IM14" s="26" t="n"/>
    </row>
    <row r="15" ht="10.5" customHeight="1" s="67">
      <c r="A15" s="26" t="inlineStr">
        <is>
          <t>V8_ENTRY_ENGINE_WT_ENABLED</t>
        </is>
      </c>
      <c r="B15" s="26" t="inlineStr">
        <is>
          <t>False</t>
        </is>
      </c>
      <c r="C15" s="26" t="n"/>
      <c r="D15" s="26" t="n"/>
      <c r="E15" s="26" t="n"/>
      <c r="F15" s="26" t="n"/>
      <c r="G15" s="26">
        <f>IFERROR(VLOOKUP($A182&amp;"_"&amp;$B182,Results_Deltas!$A$2:$P$15000,5,FALSE),"")</f>
        <v/>
      </c>
      <c r="H15" s="26">
        <f>IFERROR(VLOOKUP($A182,Results_30d_Deltas!$A$2:$H$5000,7,FALSE)-E181,"")</f>
        <v/>
      </c>
      <c r="I15" s="26">
        <f>IFERROR(VLOOKUP($A182,Results_30d_Deltas!$A$2:$H$5000,6,FALSE),"")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4" t="n"/>
      <c r="FJ15" s="34" t="n"/>
      <c r="FK15" s="34" t="n"/>
      <c r="FL15" s="34" t="n"/>
      <c r="FM15" s="34"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4" t="n"/>
      <c r="HY15" s="34" t="n"/>
      <c r="HZ15" s="34" t="n"/>
      <c r="IA15" s="34" t="n"/>
      <c r="IB15" s="34" t="n"/>
      <c r="IC15" s="34" t="n"/>
      <c r="ID15" s="34" t="n"/>
      <c r="IE15" s="34" t="n"/>
      <c r="IF15" s="34" t="n"/>
      <c r="IG15" s="34" t="n"/>
      <c r="IH15" s="34" t="n"/>
      <c r="II15" s="34" t="n"/>
      <c r="IJ15" s="26" t="n"/>
      <c r="IK15" s="26" t="inlineStr">
        <is>
          <t>ez_manage.py:6074 top()</t>
        </is>
      </c>
      <c r="IL15" s="26" t="inlineStr">
        <is>
          <t>v12_quick_engine.py:4286 x4</t>
        </is>
      </c>
      <c r="IM15" s="26" t="n"/>
    </row>
    <row r="16" ht="10.5" customHeight="1" s="67">
      <c r="A16" s="37" t="inlineStr">
        <is>
          <t>HTF_TREND_VETO_BYPASS_ENABLED</t>
        </is>
      </c>
      <c r="B16" s="38" t="inlineStr">
        <is>
          <t>False</t>
        </is>
      </c>
      <c r="C16" s="38" t="n"/>
      <c r="D16" s="38" t="inlineStr">
        <is>
          <t>GLOBAL_CHECK, STOCKS_EXIT</t>
        </is>
      </c>
      <c r="E16" s="38" t="n"/>
      <c r="F16" s="26" t="n"/>
      <c r="G16" s="38">
        <f>IFERROR(VLOOKUP($A317&amp;"_"&amp;$B317,Results_Deltas!$A$2:$P$15000,5,FALSE),"")</f>
        <v/>
      </c>
      <c r="H16" s="38" t="inlineStr">
        <is>
          <t>Blanket (page end)</t>
        </is>
      </c>
      <c r="I16" s="26" t="n"/>
      <c r="J16" s="26" t="n"/>
      <c r="K16" s="26" t="n"/>
      <c r="L16" s="26" t="inlineStr">
        <is>
          <t>YES</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GR_FILTER_VEC_ENABLED</t>
        </is>
      </c>
      <c r="B3" s="27" t="inlineStr">
        <is>
          <t>False</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26" t="n"/>
      <c r="IK3" s="26" t="inlineStr">
        <is>
          <t>ez_manage.py:6003 top()</t>
        </is>
      </c>
      <c r="IL3" s="26" t="inlineStr">
        <is>
          <t>v12_quick_engine.py:4261 x2</t>
        </is>
      </c>
      <c r="IM3" s="26" t="n"/>
    </row>
    <row r="4" ht="10.5" customHeight="1" s="67">
      <c r="A4" s="26" t="inlineStr">
        <is>
          <t>GR_FILTER_VEC_ENABLED</t>
        </is>
      </c>
      <c r="B4" s="26" t="inlineStr">
        <is>
          <t>True</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26" t="n"/>
      <c r="IK4" s="26" t="inlineStr">
        <is>
          <t>ez_manage.py:6003 top()</t>
        </is>
      </c>
      <c r="IL4" s="26" t="inlineStr">
        <is>
          <t>v12_quick_engine.py:4261 x2</t>
        </is>
      </c>
      <c r="IM4" s="26" t="n"/>
    </row>
    <row r="5" ht="10.5" customHeight="1" s="67">
      <c r="A5" s="39" t="inlineStr">
        <is>
          <t>DC_MOMENT_STRONG_THRESHOLD</t>
        </is>
      </c>
      <c r="B5" s="40" t="inlineStr">
        <is>
          <t>40</t>
        </is>
      </c>
      <c r="C5" s="38" t="n"/>
      <c r="D5" s="38" t="inlineStr">
        <is>
          <t>ENTRY, GLOBAL_CHECK, STOCKS_EXIT</t>
        </is>
      </c>
      <c r="E5" s="38" t="n"/>
      <c r="F5" s="26" t="n"/>
      <c r="G5" s="38">
        <f>IFERROR(VLOOKUP($A39&amp;"_"&amp;$B39,Results_Deltas!$A$2:$P$15000,5,FALSE),"")</f>
        <v/>
      </c>
      <c r="H5" s="38" t="inlineStr">
        <is>
          <t>Blanket (page end)</t>
        </is>
      </c>
      <c r="I5" s="26" t="n"/>
      <c r="J5" s="26" t="n"/>
      <c r="K5" s="26" t="n"/>
      <c r="L5" s="26" t="inlineStr">
        <is>
          <t>YES</t>
        </is>
      </c>
      <c r="M5" s="26" t="n"/>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row>
    <row r="6" ht="10.5" customHeight="1" s="67">
      <c r="A6" s="37" t="inlineStr">
        <is>
          <t>GR_FILTER_VEC_ENABLED</t>
        </is>
      </c>
      <c r="B6" s="38" t="inlineStr">
        <is>
          <t>False</t>
        </is>
      </c>
      <c r="C6" s="38" t="n"/>
      <c r="D6" s="38" t="inlineStr">
        <is>
          <t>GLOBAL_CHECK</t>
        </is>
      </c>
      <c r="E6" s="38" t="n"/>
      <c r="F6" s="26" t="n"/>
      <c r="G6" s="38">
        <f>IFERROR(VLOOKUP($A87&amp;"_"&amp;$B87,Results_Deltas!$A$2:$P$15000,5,FALSE),"")</f>
        <v/>
      </c>
      <c r="H6" s="38" t="inlineStr">
        <is>
          <t>Blanket (page end)</t>
        </is>
      </c>
      <c r="I6" s="26" t="n"/>
      <c r="J6" s="26" t="n"/>
      <c r="K6" s="26" t="n"/>
      <c r="L6" s="26" t="inlineStr">
        <is>
          <t>YES</t>
        </is>
      </c>
      <c r="M6" s="26" t="n"/>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row>
    <row r="7" ht="10.5" customHeight="1" s="67">
      <c r="A7" s="37" t="inlineStr">
        <is>
          <t>GR_FILTER_VEC_ENABLED</t>
        </is>
      </c>
      <c r="B7" s="38" t="inlineStr">
        <is>
          <t>True</t>
        </is>
      </c>
      <c r="C7" s="38" t="n"/>
      <c r="D7" s="38" t="inlineStr">
        <is>
          <t>GLOBAL_CHECK</t>
        </is>
      </c>
      <c r="E7" s="38" t="n"/>
      <c r="F7" s="26" t="n"/>
      <c r="G7" s="38">
        <f>IFERROR(VLOOKUP($A88&amp;"_"&amp;$B88,Results_Deltas!$A$2:$P$15000,5,FALSE),"")</f>
        <v/>
      </c>
      <c r="H7" s="38" t="inlineStr">
        <is>
          <t>Blanket (page end)</t>
        </is>
      </c>
      <c r="I7" s="26" t="n"/>
      <c r="J7" s="26" t="n"/>
      <c r="K7" s="26" t="n"/>
      <c r="L7" s="26" t="inlineStr">
        <is>
          <t>NO</t>
        </is>
      </c>
      <c r="M7" s="26" t="n"/>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row>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BB_SQUEEZE_EXIT_ENABLED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ez_manage.py:6163 top()</t>
        </is>
      </c>
      <c r="IL3" s="26" t="inlineStr">
        <is>
          <t>v12_quick_engine.py:891 x4</t>
        </is>
      </c>
      <c r="IM3" s="26" t="n"/>
    </row>
    <row r="4" ht="10.5" customHeight="1" s="67">
      <c r="A4" s="26" t="inlineStr">
        <is>
          <t>E_1_WT_EXIT_USE_DELTA_ENABLED</t>
        </is>
      </c>
      <c r="B4" s="26" t="inlineStr">
        <is>
          <t>True</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4" t="n"/>
      <c r="CA4" s="34" t="n"/>
      <c r="CB4" s="34" t="n"/>
      <c r="CC4" s="34" t="n"/>
      <c r="CD4" s="34"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ez_manage.py:4699 top()</t>
        </is>
      </c>
      <c r="IL4" s="26" t="inlineStr">
        <is>
          <t>v12_quick_engine.py:1818 x7</t>
        </is>
      </c>
      <c r="IM4" s="26" t="n"/>
    </row>
    <row r="5" ht="10.5" customHeight="1" s="67">
      <c r="A5" s="27" t="inlineStr">
        <is>
          <t>RULE_B_3M_EXIT_ENABLED</t>
        </is>
      </c>
      <c r="B5" s="27" t="inlineStr">
        <is>
          <t>True</t>
        </is>
      </c>
      <c r="C5" s="26" t="n"/>
      <c r="D5" s="26" t="n"/>
      <c r="E5" s="26" t="n"/>
      <c r="F5" s="26" t="n"/>
      <c r="G5" s="26">
        <f>IFERROR(VLOOKUP($A39&amp;"_"&amp;$B39,Results_Deltas!$A$2:$P$15000,5,FALSE),"")</f>
        <v/>
      </c>
      <c r="H5" s="26">
        <f>IFERROR(VLOOKUP($A39,Results_30d_Deltas!$A$2:$H$5000,7,FALSE)-E38,"")</f>
        <v/>
      </c>
      <c r="I5" s="26">
        <f>IFERROR(VLOOKUP($A39,Results_30d_Deltas!$A$2:$H$5000,6,FALSE),"")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4" t="n"/>
      <c r="EI5" s="34" t="n"/>
      <c r="EJ5" s="34" t="n"/>
      <c r="EK5" s="34" t="n"/>
      <c r="EL5" s="34" t="n"/>
      <c r="EM5" s="34" t="n"/>
      <c r="EN5" s="34" t="n"/>
      <c r="EO5" s="34" t="n"/>
      <c r="EP5" s="34" t="n"/>
      <c r="EQ5" s="34"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ez_manage.py:5395 top()</t>
        </is>
      </c>
      <c r="IL5" s="26" t="inlineStr">
        <is>
          <t>v12_quick_engine.py:3009 x4</t>
        </is>
      </c>
      <c r="IM5" s="26" t="n"/>
    </row>
    <row r="6" ht="10.5" customHeight="1" s="67">
      <c r="A6" s="27" t="inlineStr">
        <is>
          <t>SCALP_V3_PROTECTIVE_EXIT_ENABLED</t>
        </is>
      </c>
      <c r="B6" s="27" t="inlineStr">
        <is>
          <t>True</t>
        </is>
      </c>
      <c r="C6" s="26" t="n"/>
      <c r="D6" s="26" t="n"/>
      <c r="E6" s="26" t="n"/>
      <c r="F6" s="26" t="n"/>
      <c r="G6" s="26">
        <f>IFERROR(VLOOKUP($A43&amp;"_"&amp;$B43,Results_Deltas!$A$2:$P$15000,5,FALSE),"")</f>
        <v/>
      </c>
      <c r="H6" s="26">
        <f>IFERROR(VLOOKUP($A43,Results_30d_Deltas!$A$2:$H$5000,7,FALSE)-E42,"")</f>
        <v/>
      </c>
      <c r="I6" s="26">
        <f>IFERROR(VLOOKUP($A43,Results_30d_Deltas!$A$2:$H$5000,6,FALSE),"")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ez_manage.py:5586 top()</t>
        </is>
      </c>
      <c r="IL6" s="26" t="inlineStr">
        <is>
          <t>v12_quick_engine.py:3192 x4</t>
        </is>
      </c>
      <c r="IM6" s="26" t="n"/>
    </row>
    <row r="7" ht="10.5" customHeight="1" s="67">
      <c r="A7" s="27" t="inlineStr">
        <is>
          <t>STDEV_REJECT_EXIT_TF</t>
        </is>
      </c>
      <c r="B7" s="27" t="inlineStr">
        <is>
          <t>D</t>
        </is>
      </c>
      <c r="C7" s="26" t="n"/>
      <c r="D7" s="26" t="n"/>
      <c r="E7" s="26" t="n"/>
      <c r="F7" s="26" t="n"/>
      <c r="G7" s="26">
        <f>IFERROR(VLOOKUP($A45&amp;"_"&amp;$B45,Results_Deltas!$A$2:$P$15000,5,FALSE),"")</f>
        <v/>
      </c>
      <c r="H7" s="26">
        <f>IFERROR(VLOOKUP($A45,Results_30d_Deltas!$A$2:$H$5000,7,FALSE)-E44,"")</f>
        <v/>
      </c>
      <c r="I7" s="26">
        <f>IFERROR(VLOOKUP($A45,Results_30d_Deltas!$A$2:$H$5000,6,FALSE),"")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4" t="n"/>
      <c r="GP7" s="34" t="n"/>
      <c r="GQ7" s="34" t="n"/>
      <c r="GR7" s="34" t="n"/>
      <c r="GS7" s="34"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ez_manage.py:4058 top()</t>
        </is>
      </c>
      <c r="IL7" s="26" t="inlineStr">
        <is>
          <t>v12_quick_engine.py:3298 x3</t>
        </is>
      </c>
      <c r="IM7" s="26" t="n"/>
    </row>
    <row r="8" ht="10.5" customHeight="1" s="67">
      <c r="A8" s="26" t="inlineStr">
        <is>
          <t>STDEV_REJECT_EXIT_TF</t>
        </is>
      </c>
      <c r="B8" s="26" t="inlineStr">
        <is>
          <t>1h</t>
        </is>
      </c>
      <c r="C8" s="26" t="n"/>
      <c r="D8" s="26" t="n"/>
      <c r="E8" s="26" t="n"/>
      <c r="F8" s="26" t="n"/>
      <c r="G8" s="26">
        <f>IFERROR(VLOOKUP($A47&amp;"_"&amp;$B47,Results_Deltas!$A$2:$P$15000,5,FALSE),"")</f>
        <v/>
      </c>
      <c r="H8" s="26">
        <f>IFERROR(VLOOKUP($A47,Results_30d_Deltas!$A$2:$H$5000,7,FALSE)-E46,"")</f>
        <v/>
      </c>
      <c r="I8" s="26">
        <f>IFERROR(VLOOKUP($A47,Results_30d_Deltas!$A$2:$H$5000,6,FALSE),"")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4" t="n"/>
      <c r="GP8" s="34" t="n"/>
      <c r="GQ8" s="34" t="n"/>
      <c r="GR8" s="34" t="n"/>
      <c r="GS8" s="34"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ez_manage.py:4058 top()</t>
        </is>
      </c>
      <c r="IL8" s="26" t="inlineStr">
        <is>
          <t>v12_quick_engine.py:3298 x3</t>
        </is>
      </c>
      <c r="IM8" s="26" t="n"/>
    </row>
    <row r="9" ht="10.5" customHeight="1" s="67">
      <c r="A9" s="27" t="inlineStr">
        <is>
          <t>WT_4H_VEL_EXIT_ENABLED</t>
        </is>
      </c>
      <c r="B9" s="27" t="inlineStr">
        <is>
          <t>True</t>
        </is>
      </c>
      <c r="C9" s="26" t="n"/>
      <c r="D9" s="26" t="n"/>
      <c r="E9" s="26" t="n"/>
      <c r="F9" s="26" t="n"/>
      <c r="G9" s="26">
        <f>IFERROR(VLOOKUP($A54&amp;"_"&amp;$B54,Results_Deltas!$A$2:$P$15000,5,FALSE),"")</f>
        <v/>
      </c>
      <c r="H9" s="26">
        <f>IFERROR(VLOOKUP($A54,Results_30d_Deltas!$A$2:$H$5000,7,FALSE)-E53,"")</f>
        <v/>
      </c>
      <c r="I9" s="26">
        <f>IFERROR(VLOOKUP($A54,Results_30d_Deltas!$A$2:$H$5000,6,FALSE),"")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ez_manage.py:5876 top()</t>
        </is>
      </c>
      <c r="IL9" s="26" t="inlineStr">
        <is>
          <t>v12_quick_engine.py:3695 x5</t>
        </is>
      </c>
      <c r="IM9" s="26" t="n"/>
    </row>
    <row r="10" ht="10.5" customHeight="1" s="67">
      <c r="A10" s="26" t="inlineStr">
        <is>
          <t>WT_4H_VEL_EXIT_K_EXTREME_HIGH</t>
        </is>
      </c>
      <c r="B10" s="26" t="inlineStr">
        <is>
          <t>1.0</t>
        </is>
      </c>
      <c r="C10" s="26" t="n"/>
      <c r="D10" s="26" t="n"/>
      <c r="E10" s="26" t="n"/>
      <c r="F10" s="26" t="n"/>
      <c r="G10" s="26">
        <f>IFERROR(VLOOKUP($A57&amp;"_"&amp;$B57,Results_Deltas!$A$2:$P$15000,5,FALSE),"")</f>
        <v/>
      </c>
      <c r="H10" s="26">
        <f>IFERROR(VLOOKUP($A57,Results_30d_Deltas!$A$2:$H$5000,7,FALSE)-E56,"")</f>
        <v/>
      </c>
      <c r="I10" s="26">
        <f>IFERROR(VLOOKUP($A57,Results_30d_Deltas!$A$2:$H$5000,6,FALSE),"")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ez_manage.py:5877 top()</t>
        </is>
      </c>
      <c r="IL10" s="26" t="inlineStr">
        <is>
          <t>v12_quick_engine.py:3696 x5</t>
        </is>
      </c>
      <c r="IM10" s="26" t="n"/>
    </row>
    <row r="11" ht="10.5" customHeight="1" s="67">
      <c r="A11" s="26" t="inlineStr">
        <is>
          <t>WT_4H_VEL_EXIT_K_EXTREME_LOW</t>
        </is>
      </c>
      <c r="B11" s="26" t="inlineStr">
        <is>
          <t>2.0</t>
        </is>
      </c>
      <c r="C11" s="26" t="n"/>
      <c r="D11" s="26" t="n"/>
      <c r="E11" s="26" t="n"/>
      <c r="F11" s="26" t="n"/>
      <c r="G11" s="26">
        <f>IFERROR(VLOOKUP($A62&amp;"_"&amp;$B62,Results_Deltas!$A$2:$P$15000,5,FALSE),"")</f>
        <v/>
      </c>
      <c r="H11" s="26">
        <f>IFERROR(VLOOKUP($A62,Results_30d_Deltas!$A$2:$H$5000,7,FALSE)-E61,"")</f>
        <v/>
      </c>
      <c r="I11" s="26">
        <f>IFERROR(VLOOKUP($A62,Results_30d_Deltas!$A$2:$H$5000,6,FALSE),"")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ez_manage.py:5878 top()</t>
        </is>
      </c>
      <c r="IL11" s="26" t="inlineStr">
        <is>
          <t>v12_quick_engine.py:3697 x5</t>
        </is>
      </c>
      <c r="IM11" s="26" t="n"/>
    </row>
    <row r="12" ht="10.5" customHeight="1" s="67">
      <c r="A12" s="26" t="inlineStr">
        <is>
          <t>WT_4H_VEL_EXIT_REQUIRE_PROFIT</t>
        </is>
      </c>
      <c r="B12" s="26" t="inlineStr">
        <is>
          <t>1.0</t>
        </is>
      </c>
      <c r="C12" s="26" t="n"/>
      <c r="D12" s="26" t="n"/>
      <c r="E12" s="26" t="n"/>
      <c r="F12" s="26" t="n"/>
      <c r="G12" s="26">
        <f>IFERROR(VLOOKUP($A69&amp;"_"&amp;$B69,Results_Deltas!$A$2:$P$15000,5,FALSE),"")</f>
        <v/>
      </c>
      <c r="H12" s="26">
        <f>IFERROR(VLOOKUP($A69,Results_30d_Deltas!$A$2:$H$5000,7,FALSE)-E68,"")</f>
        <v/>
      </c>
      <c r="I12" s="26">
        <f>IFERROR(VLOOKUP($A69,Results_30d_Deltas!$A$2:$H$5000,6,FALSE),"")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4" t="n"/>
      <c r="HO12" s="34" t="n"/>
      <c r="HP12" s="34" t="n"/>
      <c r="HQ12" s="34" t="n"/>
      <c r="HR12" s="34"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ez_manage.py:5881 top()</t>
        </is>
      </c>
      <c r="IL12" s="26" t="inlineStr">
        <is>
          <t>v12_quick_engine.py:3700 x5</t>
        </is>
      </c>
      <c r="IM12" s="26" t="n"/>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CHANNEL_REENTRY_STOP_ENABLED</t>
        </is>
      </c>
      <c r="B3" s="26" t="inlineStr">
        <is>
          <t>True</t>
        </is>
      </c>
      <c r="C3" s="26" t="n"/>
      <c r="D3" s="26" t="n"/>
      <c r="E3" s="26" t="n"/>
      <c r="F3" s="26" t="n"/>
      <c r="G3" s="26">
        <f>IFERROR(VLOOKUP($A9&amp;"_"&amp;$B9,Results_Deltas!$A$2:$P$15000,5,FALSE),"")</f>
        <v/>
      </c>
      <c r="H3" s="26">
        <f>IFERROR(VLOOKUP($A9,Results_30d_Deltas!$A$2:$H$5000,7,FALSE)-E8,"")</f>
        <v/>
      </c>
      <c r="I3" s="26">
        <f>IFERROR(VLOOKUP($A9,Results_30d_Deltas!$A$2:$H$5000,6,FALSE),"")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4" t="n"/>
      <c r="EE3" s="34" t="n"/>
      <c r="EF3" s="34" t="n"/>
      <c r="EG3" s="34" t="n"/>
      <c r="EH3" s="34"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ez_manage.py:5968 top()</t>
        </is>
      </c>
      <c r="IM3" s="26" t="inlineStr">
        <is>
          <t>v12_quick_engine.py:482 x8</t>
        </is>
      </c>
      <c r="IN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0.5</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BOUNCE_AUGMENT_MIN_LOSS_PCT</t>
        </is>
      </c>
      <c r="B4" s="26" t="inlineStr">
        <is>
          <t>-0.75</t>
        </is>
      </c>
      <c r="C4" s="26" t="n"/>
      <c r="D4" s="26" t="n"/>
      <c r="E4" s="26" t="n"/>
      <c r="F4" s="26" t="n"/>
      <c r="G4" s="26">
        <f>IFERROR(VLOOKUP($A8&amp;"_"&amp;$B8,Results_Deltas!$A$2:$P$15000,5,FALSE),"")</f>
        <v/>
      </c>
      <c r="H4" s="26">
        <f>IFERROR(VLOOKUP($A8,Results_30d_Deltas!$A$2:$H$5000,7,FALSE)-E7,"")</f>
        <v/>
      </c>
      <c r="I4" s="26">
        <f>IFERROR(VLOOKUP($A8,Results_30d_Deltas!$A$2:$H$5000,6,FALSE),"")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4" t="n"/>
      <c r="GU4" s="34" t="n"/>
      <c r="GV4" s="34" t="n"/>
      <c r="GW4" s="34" t="n"/>
      <c r="GX4" s="34"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ez_manage.py:4390 top()</t>
        </is>
      </c>
      <c r="IL4" s="26" t="inlineStr">
        <is>
          <t>v12_quick_engine.py:1310 x9</t>
        </is>
      </c>
      <c r="IM4" s="26" t="n"/>
    </row>
    <row r="5" ht="10.5" customHeight="1" s="67">
      <c r="A5" s="26" t="inlineStr">
        <is>
          <t>BOUNCE_AUGMENT_MIN_LOSS_PCT</t>
        </is>
      </c>
      <c r="B5" s="26" t="inlineStr">
        <is>
          <t>-0.625</t>
        </is>
      </c>
      <c r="C5" s="26" t="n"/>
      <c r="D5" s="26" t="n"/>
      <c r="E5" s="26" t="n"/>
      <c r="F5" s="26" t="n"/>
      <c r="G5" s="26">
        <f>IFERROR(VLOOKUP($A9&amp;"_"&amp;$B9,Results_Deltas!$A$2:$P$15000,5,FALSE),"")</f>
        <v/>
      </c>
      <c r="H5" s="26">
        <f>IFERROR(VLOOKUP($A9,Results_30d_Deltas!$A$2:$H$5000,7,FALSE)-E8,"")</f>
        <v/>
      </c>
      <c r="I5" s="26">
        <f>IFERROR(VLOOKUP($A9,Results_30d_Deltas!$A$2:$H$5000,6,FALSE),"")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4" t="n"/>
      <c r="GU5" s="34" t="n"/>
      <c r="GV5" s="34" t="n"/>
      <c r="GW5" s="34" t="n"/>
      <c r="GX5" s="34"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ez_manage.py:4390 top()</t>
        </is>
      </c>
      <c r="IL5" s="26" t="inlineStr">
        <is>
          <t>v12_quick_engine.py:1310 x9</t>
        </is>
      </c>
      <c r="IM5" s="26" t="n"/>
    </row>
    <row r="6" ht="10.5" customHeight="1" s="67">
      <c r="A6" s="27" t="inlineStr">
        <is>
          <t>AUGMENT_BOUNCE_MIN_GAIN_PCT</t>
        </is>
      </c>
      <c r="B6" s="27" t="inlineStr">
        <is>
          <t>0.5</t>
        </is>
      </c>
      <c r="C6" s="26" t="n"/>
      <c r="D6" s="26" t="n"/>
      <c r="E6" s="26" t="n"/>
      <c r="F6" s="26" t="n"/>
      <c r="G6" s="26">
        <f>IFERROR(VLOOKUP($A15&amp;"_"&amp;$B15,Results_Deltas!$A$2:$P$15000,5,FALSE),"")</f>
        <v/>
      </c>
      <c r="H6" s="26">
        <f>IFERROR(VLOOKUP($A15,Results_30d_Deltas!$A$2:$H$5000,7,FALSE)-E14,"")</f>
        <v/>
      </c>
      <c r="I6" s="26">
        <f>IFERROR(VLOOKUP($A15,Results_30d_Deltas!$A$2:$H$5000,6,FALSE),"")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ez_manage.py:56856 top()</t>
        </is>
      </c>
      <c r="IL6" s="26" t="inlineStr">
        <is>
          <t>v12_quick_engine.py:4872 x2</t>
        </is>
      </c>
      <c r="IM6" s="26" t="n"/>
    </row>
    <row r="7" ht="10.5" customHeight="1" s="67">
      <c r="A7" s="39" t="inlineStr">
        <is>
          <t>DELTA_REENTRY_FILTER_ENABLED</t>
        </is>
      </c>
      <c r="B7" s="40" t="inlineStr">
        <is>
          <t>False</t>
        </is>
      </c>
      <c r="C7" s="38" t="n"/>
      <c r="D7" s="38" t="inlineStr">
        <is>
          <t>ENTRY, GLOBAL_CHECK, STOCKS_EXIT</t>
        </is>
      </c>
      <c r="E7" s="38" t="n"/>
      <c r="F7" s="26" t="n"/>
      <c r="G7" s="38">
        <f>IFERROR(VLOOKUP($A52&amp;"_"&amp;$B52,Results_Deltas!$A$2:$P$15000,5,FALSE),"")</f>
        <v/>
      </c>
      <c r="H7" s="38" t="inlineStr">
        <is>
          <t>Blanket (page end)</t>
        </is>
      </c>
      <c r="I7" s="26" t="n"/>
      <c r="J7" s="26" t="n"/>
      <c r="K7" s="26" t="n"/>
      <c r="L7" s="26" t="inlineStr">
        <is>
          <t>NO</t>
        </is>
      </c>
      <c r="M7" s="26" t="n"/>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row>
    <row r="8" ht="10.5" customHeight="1" s="67">
      <c r="A8" s="37" t="inlineStr">
        <is>
          <t>DELTA_REENTRY_FILTER_ENABLED</t>
        </is>
      </c>
      <c r="B8" s="38" t="inlineStr">
        <is>
          <t>True</t>
        </is>
      </c>
      <c r="C8" s="38" t="n"/>
      <c r="D8" s="38" t="inlineStr">
        <is>
          <t>ENTRY, GLOBAL_CHECK, STOCKS_EXIT</t>
        </is>
      </c>
      <c r="E8" s="38" t="n"/>
      <c r="F8" s="26" t="n"/>
      <c r="G8" s="38">
        <f>IFERROR(VLOOKUP($A53&amp;"_"&amp;$B53,Results_Deltas!$A$2:$P$15000,5,FALSE),"")</f>
        <v/>
      </c>
      <c r="H8" s="38" t="inlineStr">
        <is>
          <t>Blanket (page end)</t>
        </is>
      </c>
      <c r="I8" s="26" t="n"/>
      <c r="J8" s="26" t="n"/>
      <c r="K8" s="26" t="n"/>
      <c r="L8" s="26" t="inlineStr">
        <is>
          <t>NO</t>
        </is>
      </c>
      <c r="M8" s="26" t="n"/>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row>
    <row r="9" ht="10.5" customHeight="1" s="67">
      <c r="A9" s="37" t="inlineStr">
        <is>
          <t>DUP_GUARD_FILTER_TF</t>
        </is>
      </c>
      <c r="B9" s="38" t="inlineStr">
        <is>
          <t>OFF</t>
        </is>
      </c>
      <c r="C9" s="38" t="n"/>
      <c r="D9" s="38" t="inlineStr">
        <is>
          <t>GLOBAL_CHECK</t>
        </is>
      </c>
      <c r="E9" s="38" t="n"/>
      <c r="F9" s="26" t="n"/>
      <c r="G9" s="38">
        <f>IFERROR(VLOOKUP($A54&amp;"_"&amp;$B54,Results_Deltas!$A$2:$P$15000,5,FALSE),"")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ht="10.5" customHeight="1" s="67">
      <c r="A10" s="37" t="inlineStr">
        <is>
          <t>EMA_9_21_FILTER_MIN_TFS</t>
        </is>
      </c>
      <c r="B10" s="38" t="inlineStr">
        <is>
          <t>0</t>
        </is>
      </c>
      <c r="C10" s="38" t="n"/>
      <c r="D10" s="38" t="inlineStr">
        <is>
          <t>GLOBAL_CHECK</t>
        </is>
      </c>
      <c r="E10" s="38" t="n"/>
      <c r="F10" s="26" t="n"/>
      <c r="G10" s="38">
        <f>IFERROR(VLOOKUP($A59&amp;"_"&amp;$B59,Results_Deltas!$A$2:$P$15000,5,FALSE),"")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NOLOSS_BYPASS_WT_5OF5_MIN_TFS</t>
        </is>
      </c>
      <c r="B3" s="26" t="n">
        <v>3</v>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ez_manage.py:5095 top()</t>
        </is>
      </c>
      <c r="IL3" s="26" t="inlineStr">
        <is>
          <t>v12_quick_engine.py:860 x7</t>
        </is>
      </c>
      <c r="IM3" s="26" t="n"/>
    </row>
    <row r="4" ht="10.5" customHeight="1" s="67">
      <c r="A4" s="37" t="inlineStr">
        <is>
          <t>DELTA_REENTRY_FILTER_ENABLED</t>
        </is>
      </c>
      <c r="B4" s="38" t="inlineStr">
        <is>
          <t>True</t>
        </is>
      </c>
      <c r="C4" s="38" t="n"/>
      <c r="D4" s="38" t="inlineStr">
        <is>
          <t>ENTRY, GLOBAL_CHECK, STOCKS_EXIT</t>
        </is>
      </c>
      <c r="E4" s="38" t="n"/>
      <c r="F4" s="26" t="n"/>
      <c r="G4" s="38">
        <f>IFERROR(VLOOKUP($A82&amp;"_"&amp;$B82,Results_Deltas!$A$2:$P$15000,5,FALSE),"")</f>
        <v/>
      </c>
      <c r="H4" s="38" t="inlineStr">
        <is>
          <t>Blanket (page end)</t>
        </is>
      </c>
      <c r="I4" s="26" t="n"/>
      <c r="J4" s="26" t="n"/>
      <c r="K4" s="26" t="n"/>
      <c r="L4" s="26" t="inlineStr">
        <is>
          <t>NO</t>
        </is>
      </c>
      <c r="M4" s="26" t="n"/>
      <c r="N4" s="26" t="n"/>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1.0</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WT_PERCENTILE_ENTRY_OB_D</t>
        </is>
      </c>
      <c r="B4" s="26" t="inlineStr">
        <is>
          <t>112.5</t>
        </is>
      </c>
      <c r="C4" s="26" t="n"/>
      <c r="D4" s="26" t="n"/>
      <c r="E4" s="26" t="n"/>
      <c r="F4" s="26" t="n"/>
      <c r="G4" s="26">
        <f>IFERROR(VLOOKUP($A111&amp;"_"&amp;$B111,Results_Deltas!$A$2:$P$15000,5,FALSE),"")</f>
        <v/>
      </c>
      <c r="H4" s="26">
        <f>IFERROR(VLOOKUP($A111,Results_30d_Deltas!$A$2:$H$5000,7,FALSE)-E110,"")</f>
        <v/>
      </c>
      <c r="I4" s="26">
        <f>IFERROR(VLOOKUP($A111,Results_30d_Deltas!$A$2:$H$5000,6,FALSE),"")</f>
        <v/>
      </c>
      <c r="J4" s="26" t="n"/>
      <c r="K4" s="26" t="n"/>
      <c r="L4" s="26"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ez_manage.py:5925 top()</t>
        </is>
      </c>
      <c r="IL4" s="26" t="inlineStr">
        <is>
          <t>v12_quick_engine.py:3765 x2</t>
        </is>
      </c>
      <c r="IM4" s="26" t="n"/>
    </row>
    <row r="5" ht="10.5" customHeight="1" s="67">
      <c r="A5" s="37" t="inlineStr">
        <is>
          <t>DUP_GUARD_FILTER_TF</t>
        </is>
      </c>
      <c r="B5" s="38" t="inlineStr">
        <is>
          <t>D</t>
        </is>
      </c>
      <c r="C5" s="38" t="n"/>
      <c r="D5" s="38" t="inlineStr">
        <is>
          <t>GLOBAL_CHECK</t>
        </is>
      </c>
      <c r="E5" s="38" t="n"/>
      <c r="F5" s="26" t="n"/>
      <c r="G5" s="38">
        <f>IFERROR(VLOOKUP($A174&amp;"_"&amp;$B174,Results_Deltas!$A$2:$P$15000,5,FALSE),"")</f>
        <v/>
      </c>
      <c r="H5" s="38" t="inlineStr">
        <is>
          <t>Blanket (page end)</t>
        </is>
      </c>
      <c r="I5" s="26" t="n"/>
      <c r="J5" s="26" t="n"/>
      <c r="K5" s="26" t="n"/>
      <c r="L5" s="26" t="inlineStr">
        <is>
          <t>NO</t>
        </is>
      </c>
      <c r="M5" s="26" t="n"/>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6" t="inlineStr">
        <is>
          <t>ABSOLUTE_OPEN_LOCK_SEC</t>
        </is>
      </c>
      <c r="B6" s="26" t="n"/>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config only</t>
        </is>
      </c>
      <c r="IL6" s="26" t="inlineStr">
        <is>
          <t>not declared</t>
        </is>
      </c>
      <c r="IM6" s="26" t="n"/>
    </row>
    <row r="7" ht="10.5" customHeight="1" s="67">
      <c r="A7" s="26" t="inlineStr">
        <is>
          <t>BALANCE_FLOOR_USD</t>
        </is>
      </c>
      <c r="B7" s="26" t="n"/>
      <c r="C7" s="26" t="n"/>
      <c r="D7" s="26" t="n"/>
      <c r="E7" s="26" t="n"/>
      <c r="F7" s="26" t="n"/>
      <c r="G7" s="26">
        <f>IFERROR(VLOOKUP($A10&amp;"_"&amp;$B10,Results_Deltas!$A$2:$P$15000,5,FALSE),"")</f>
        <v/>
      </c>
      <c r="H7" s="26">
        <f>IFERROR(VLOOKUP($A10,Results_30d_Deltas!$A$2:$H$5000,7,FALSE)-E9,"")</f>
        <v/>
      </c>
      <c r="I7" s="26">
        <f>IFERROR(VLOOKUP($A10,Results_30d_Deltas!$A$2:$H$5000,6,FALSE),"")</f>
        <v/>
      </c>
      <c r="J7" s="26" t="n"/>
      <c r="K7" s="26" t="n"/>
      <c r="L7" s="26"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config only</t>
        </is>
      </c>
      <c r="IL7" s="26" t="inlineStr">
        <is>
          <t>not declared</t>
        </is>
      </c>
      <c r="IM7" s="26" t="n"/>
    </row>
    <row r="8" ht="10.5" customHeight="1" s="67">
      <c r="A8" s="26" t="inlineStr">
        <is>
          <t>CIRCUIT_BREAKER_THRESHOLD_PCT</t>
        </is>
      </c>
      <c r="B8" s="26" t="n"/>
      <c r="C8" s="26" t="n"/>
      <c r="D8" s="26" t="n"/>
      <c r="E8" s="26" t="n"/>
      <c r="F8" s="26" t="n"/>
      <c r="G8" s="26">
        <f>IFERROR(VLOOKUP($A12&amp;"_"&amp;$B12,Results_Deltas!$A$2:$P$15000,5,FALSE),"")</f>
        <v/>
      </c>
      <c r="H8" s="26">
        <f>IFERROR(VLOOKUP($A12,Results_30d_Deltas!$A$2:$H$5000,7,FALSE)-E11,"")</f>
        <v/>
      </c>
      <c r="I8" s="26">
        <f>IFERROR(VLOOKUP($A12,Results_30d_Deltas!$A$2:$H$5000,6,FALSE),"")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config only</t>
        </is>
      </c>
      <c r="IL8" s="26" t="inlineStr">
        <is>
          <t>not declared</t>
        </is>
      </c>
      <c r="IM8" s="26" t="n"/>
    </row>
    <row r="9" ht="10.5" customHeight="1" s="67">
      <c r="A9" s="26" t="inlineStr">
        <is>
          <t>COUNTER_TREND_SMA200_BYPASS_ENABLED</t>
        </is>
      </c>
      <c r="B9" s="26" t="inlineStr">
        <is>
          <t>False</t>
        </is>
      </c>
      <c r="C9" s="26" t="n"/>
      <c r="D9" s="26" t="n"/>
      <c r="E9" s="26" t="n"/>
      <c r="F9" s="26" t="n"/>
      <c r="G9" s="26">
        <f>IFERROR(VLOOKUP($A13&amp;"_"&amp;$B13,Results_Deltas!$A$2:$P$15000,5,FALSE),"")</f>
        <v/>
      </c>
      <c r="H9" s="26">
        <f>IFERROR(VLOOKUP($A13,Results_30d_Deltas!$A$2:$H$5000,7,FALSE)-E12,"")</f>
        <v/>
      </c>
      <c r="I9" s="26">
        <f>IFERROR(VLOOKUP($A13,Results_30d_Deltas!$A$2:$H$5000,6,FALSE),"")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4" t="n"/>
      <c r="HE9" s="34" t="n"/>
      <c r="HF9" s="34" t="n"/>
      <c r="HG9" s="34" t="n"/>
      <c r="HH9" s="34"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ez_manage.py:3056 top()</t>
        </is>
      </c>
      <c r="IL9" s="26" t="inlineStr">
        <is>
          <t>v12_quick_engine.py:1470 x6</t>
        </is>
      </c>
      <c r="IM9" s="26" t="n"/>
    </row>
    <row r="10" ht="10.5" customHeight="1" s="67">
      <c r="A10" s="26" t="inlineStr">
        <is>
          <t>EXECUTE_NOW_MAX_MARK_AGE_S</t>
        </is>
      </c>
      <c r="B10" s="26" t="inlineStr">
        <is>
          <t>75.0</t>
        </is>
      </c>
      <c r="C10" s="26" t="n"/>
      <c r="D10" s="26" t="n"/>
      <c r="E10" s="26" t="n"/>
      <c r="F10" s="26" t="n"/>
      <c r="G10" s="26">
        <f>IFERROR(VLOOKUP($A18&amp;"_"&amp;$B18,Results_Deltas!$A$2:$P$15000,5,FALSE),"")</f>
        <v/>
      </c>
      <c r="H10" s="26">
        <f>IFERROR(VLOOKUP($A18,Results_30d_Deltas!$A$2:$H$5000,7,FALSE)-E17,"")</f>
        <v/>
      </c>
      <c r="I10" s="26">
        <f>IFERROR(VLOOKUP($A18,Results_30d_Deltas!$A$2:$H$5000,6,FALSE),"")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ez_manage.py:4656 top()</t>
        </is>
      </c>
      <c r="IL10" s="26" t="inlineStr">
        <is>
          <t>v12_quick_engine.py:3868 x1</t>
        </is>
      </c>
      <c r="IM10" s="26" t="n"/>
    </row>
    <row r="11" ht="10.5" customHeight="1" s="67">
      <c r="A11" s="26" t="inlineStr">
        <is>
          <t>HARD_AUGMENT_LOCK_SEC</t>
        </is>
      </c>
      <c r="B11" s="26" t="n"/>
      <c r="C11" s="26" t="n"/>
      <c r="D11" s="26" t="n"/>
      <c r="E11" s="26" t="n"/>
      <c r="F11" s="26" t="n"/>
      <c r="G11" s="26">
        <f>IFERROR(VLOOKUP($A20&amp;"_"&amp;$B20,Results_Deltas!$A$2:$P$15000,5,FALSE),"")</f>
        <v/>
      </c>
      <c r="H11" s="26">
        <f>IFERROR(VLOOKUP($A20,Results_30d_Deltas!$A$2:$H$5000,7,FALSE)-E19,"")</f>
        <v/>
      </c>
      <c r="I11" s="26">
        <f>IFERROR(VLOOKUP($A20,Results_30d_Deltas!$A$2:$H$5000,6,FALSE),"")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config only</t>
        </is>
      </c>
      <c r="IL11" s="26" t="inlineStr">
        <is>
          <t>not declared</t>
        </is>
      </c>
      <c r="IM11" s="26" t="n"/>
    </row>
    <row r="12" ht="10.5" customHeight="1" s="67">
      <c r="A12" s="26" t="inlineStr">
        <is>
          <t>HARD_REDUCE_LOCK_SEC</t>
        </is>
      </c>
      <c r="B12" s="26" t="n"/>
      <c r="C12" s="26" t="n"/>
      <c r="D12" s="26" t="n"/>
      <c r="E12" s="26" t="n"/>
      <c r="F12" s="26" t="n"/>
      <c r="G12" s="26">
        <f>IFERROR(VLOOKUP($A21&amp;"_"&amp;$B21,Results_Deltas!$A$2:$P$15000,5,FALSE),"")</f>
        <v/>
      </c>
      <c r="H12" s="26">
        <f>IFERROR(VLOOKUP($A21,Results_30d_Deltas!$A$2:$H$5000,7,FALSE)-E20,"")</f>
        <v/>
      </c>
      <c r="I12" s="26">
        <f>IFERROR(VLOOKUP($A21,Results_30d_Deltas!$A$2:$H$5000,6,FALSE),"")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OPEN_RATE_BREAKER_ENABLED</t>
        </is>
      </c>
      <c r="B13" s="26" t="inlineStr">
        <is>
          <t>False</t>
        </is>
      </c>
      <c r="C13" s="26" t="n"/>
      <c r="D13" s="26" t="n"/>
      <c r="E13" s="26" t="n"/>
      <c r="F13" s="26" t="n"/>
      <c r="G13" s="26">
        <f>IFERROR(VLOOKUP($A22&amp;"_"&amp;$B22,Results_Deltas!$A$2:$P$15000,5,FALSE),"")</f>
        <v/>
      </c>
      <c r="H13" s="26">
        <f>IFERROR(VLOOKUP($A22,Results_30d_Deltas!$A$2:$H$5000,7,FALSE)-E21,"")</f>
        <v/>
      </c>
      <c r="I13" s="26">
        <f>IFERROR(VLOOKUP($A22,Results_30d_Deltas!$A$2:$H$5000,6,FALSE),"")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ez_manage.py:5141 top()</t>
        </is>
      </c>
      <c r="IL13" s="26" t="inlineStr">
        <is>
          <t>v12_quick_engine.py:2538 x1</t>
        </is>
      </c>
      <c r="IM13" s="26" t="n"/>
    </row>
    <row r="14" ht="10.5" customHeight="1" s="67">
      <c r="A14" s="27" t="inlineStr">
        <is>
          <t>OPEN_RATE_BREAKER_ENABLED</t>
        </is>
      </c>
      <c r="B14" s="27" t="inlineStr">
        <is>
          <t>True</t>
        </is>
      </c>
      <c r="C14" s="26" t="n"/>
      <c r="D14" s="26" t="n"/>
      <c r="E14" s="26" t="n"/>
      <c r="F14" s="26" t="n"/>
      <c r="G14" s="26">
        <f>IFERROR(VLOOKUP($A23&amp;"_"&amp;$B23,Results_Deltas!$A$2:$P$15000,5,FALSE),"")</f>
        <v/>
      </c>
      <c r="H14" s="26">
        <f>IFERROR(VLOOKUP($A23,Results_30d_Deltas!$A$2:$H$5000,7,FALSE)-E22,"")</f>
        <v/>
      </c>
      <c r="I14" s="26">
        <f>IFERROR(VLOOKUP($A23,Results_30d_Deltas!$A$2:$H$5000,6,FALSE),"")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4" t="n"/>
      <c r="DY14" s="34" t="n"/>
      <c r="DZ14" s="34" t="n"/>
      <c r="EA14" s="34" t="n"/>
      <c r="EB14" s="34"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4" t="n"/>
      <c r="HJ14" s="34" t="n"/>
      <c r="HK14" s="34" t="n"/>
      <c r="HL14" s="34" t="n"/>
      <c r="HM14" s="34"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ez_manage.py:5141 top()</t>
        </is>
      </c>
      <c r="IL14" s="26" t="inlineStr">
        <is>
          <t>v12_quick_engine.py:2538 x1</t>
        </is>
      </c>
      <c r="IM14" s="26" t="n"/>
    </row>
    <row r="15" ht="10.5" customHeight="1" s="67">
      <c r="A15" s="26" t="inlineStr">
        <is>
          <t>OPEN_RATE_MAX</t>
        </is>
      </c>
      <c r="B15" s="26" t="inlineStr">
        <is>
          <t>15</t>
        </is>
      </c>
      <c r="C15" s="26" t="n"/>
      <c r="D15" s="26" t="n"/>
      <c r="E15" s="26" t="n"/>
      <c r="F15" s="26" t="n"/>
      <c r="G15" s="26">
        <f>IFERROR(VLOOKUP($A24&amp;"_"&amp;$B24,Results_Deltas!$A$2:$P$15000,5,FALSE),"")</f>
        <v/>
      </c>
      <c r="H15" s="26">
        <f>IFERROR(VLOOKUP($A24,Results_30d_Deltas!$A$2:$H$5000,7,FALSE)-E23,"")</f>
        <v/>
      </c>
      <c r="I15" s="26">
        <f>IFERROR(VLOOKUP($A24,Results_30d_Deltas!$A$2:$H$5000,6,FALSE),"")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ez_manage.py:5142 top()</t>
        </is>
      </c>
      <c r="IL15" s="26" t="inlineStr">
        <is>
          <t>v12_quick_engine.py:2539 x1</t>
        </is>
      </c>
      <c r="IM15" s="26" t="n"/>
    </row>
    <row r="16" ht="10.5" customHeight="1" s="67">
      <c r="A16" s="26" t="inlineStr">
        <is>
          <t>STALE_HOLD_ENABLED</t>
        </is>
      </c>
      <c r="B16" s="26" t="n"/>
      <c r="C16" s="26" t="n"/>
      <c r="D16" s="26" t="n"/>
      <c r="E16" s="26" t="n"/>
      <c r="F16" s="26" t="n"/>
      <c r="G16" s="26">
        <f>IFERROR(VLOOKUP($A34&amp;"_"&amp;$B34,Results_Deltas!$A$2:$P$15000,5,FALSE),"")</f>
        <v/>
      </c>
      <c r="H16" s="26">
        <f>IFERROR(VLOOKUP($A34,Results_30d_Deltas!$A$2:$H$5000,7,FALSE)-E33,"")</f>
        <v/>
      </c>
      <c r="I16" s="26">
        <f>IFERROR(VLOOKUP($A34,Results_30d_Deltas!$A$2:$H$5000,6,FALSE),"")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config only</t>
        </is>
      </c>
      <c r="IL16" s="26" t="inlineStr">
        <is>
          <t>not declared</t>
        </is>
      </c>
      <c r="IM16" s="26" t="n"/>
    </row>
    <row r="17" ht="10.5" customHeight="1" s="67">
      <c r="A17" s="26" t="inlineStr">
        <is>
          <t>UNIVERSAL_NOLOSS_BYPASS_REASONS</t>
        </is>
      </c>
      <c r="B17" s="26" t="n"/>
      <c r="C17" s="26" t="n"/>
      <c r="D17" s="26" t="n"/>
      <c r="E17" s="26" t="n"/>
      <c r="F17" s="26" t="n"/>
      <c r="G17" s="26">
        <f>IFERROR(VLOOKUP($A40&amp;"_"&amp;$B40,Results_Deltas!$A$2:$P$15000,5,FALSE),"")</f>
        <v/>
      </c>
      <c r="H17" s="26">
        <f>IFERROR(VLOOKUP($A40,Results_30d_Deltas!$A$2:$H$5000,7,FALSE)-E39,"")</f>
        <v/>
      </c>
      <c r="I17" s="26">
        <f>IFERROR(VLOOKUP($A40,Results_30d_Deltas!$A$2:$H$5000,6,FALSE),"")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config only</t>
        </is>
      </c>
      <c r="IL17" s="26" t="inlineStr">
        <is>
          <t>not declared</t>
        </is>
      </c>
      <c r="IM17" s="26" t="n"/>
    </row>
    <row r="18" ht="10.5" customHeight="1" s="67">
      <c r="A18" s="37" t="inlineStr">
        <is>
          <t>DUP_GUARD_FILTER_TF</t>
        </is>
      </c>
      <c r="B18" s="38" t="inlineStr">
        <is>
          <t>4h</t>
        </is>
      </c>
      <c r="C18" s="38" t="n"/>
      <c r="D18" s="38" t="inlineStr">
        <is>
          <t>GLOBAL_CHECK</t>
        </is>
      </c>
      <c r="E18" s="38" t="n"/>
      <c r="F18" s="26" t="n"/>
      <c r="G18" s="38">
        <f>IFERROR(VLOOKUP($A73&amp;"_"&amp;$B73,Results_Deltas!$A$2:$P$15000,5,FALSE),"")</f>
        <v/>
      </c>
      <c r="H18" s="38" t="inlineStr">
        <is>
          <t>Blanket (page end)</t>
        </is>
      </c>
      <c r="I18" s="26" t="n"/>
      <c r="J18" s="26" t="n"/>
      <c r="K18" s="26" t="n"/>
      <c r="L18" s="26" t="inlineStr">
        <is>
          <t>YES</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ht="10.5" customHeight="1" s="67">
      <c r="A19" s="37" t="inlineStr">
        <is>
          <t>GOLDEN_RULE_BASE_USD</t>
        </is>
      </c>
      <c r="B19" s="38" t="inlineStr">
        <is>
          <t>0.0</t>
        </is>
      </c>
      <c r="C19" s="38" t="n"/>
      <c r="D19" s="38" t="inlineStr">
        <is>
          <t>GLOBAL_CHECK, STOCKS_EXIT</t>
        </is>
      </c>
      <c r="E19" s="38" t="n"/>
      <c r="F19" s="26" t="n"/>
      <c r="G19" s="38">
        <f>IFERROR(VLOOKUP($A107&amp;"_"&amp;$B107,Results_Deltas!$A$2:$P$15000,5,FALSE),"")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ht="10.5" customHeight="1" s="67">
      <c r="A20" s="39" t="inlineStr">
        <is>
          <t>LH_HL_FILTER_MODE</t>
        </is>
      </c>
      <c r="B20" s="40" t="inlineStr">
        <is>
          <t>STRICT_2BAR</t>
        </is>
      </c>
      <c r="C20" s="38" t="n"/>
      <c r="D20" s="38" t="inlineStr">
        <is>
          <t>ENTRY, GLOBAL_CHECK, STOCKS_EXIT</t>
        </is>
      </c>
      <c r="E20" s="38" t="n"/>
      <c r="F20" s="26" t="n"/>
      <c r="G20" s="38">
        <f>IFERROR(VLOOKUP($A150&amp;"_"&amp;$B150,Results_Deltas!$A$2:$P$15000,5,FALSE),"")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0.5" customHeight="1" s="67">
      <c r="A21" s="39" t="inlineStr">
        <is>
          <t>LIVE_VEC_EMERGENCY_BRAKE_ENABLED</t>
        </is>
      </c>
      <c r="B21" s="40" t="inlineStr">
        <is>
          <t>False</t>
        </is>
      </c>
      <c r="C21" s="38" t="n"/>
      <c r="D21" s="38" t="inlineStr">
        <is>
          <t>GLOBAL_CHECK, STOCKS_EXIT</t>
        </is>
      </c>
      <c r="E21" s="38" t="n"/>
      <c r="F21" s="26" t="n"/>
      <c r="G21" s="38">
        <f>IFERROR(VLOOKUP($A154&amp;"_"&amp;$B154,Results_Deltas!$A$2:$P$15000,5,FALSE),"")</f>
        <v/>
      </c>
      <c r="H21" s="38" t="inlineStr">
        <is>
          <t>Blanket (page end)</t>
        </is>
      </c>
      <c r="I21" s="26" t="n"/>
      <c r="J21" s="26" t="n"/>
      <c r="K21" s="26" t="n"/>
      <c r="L21" s="26" t="inlineStr">
        <is>
          <t>YES</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0.5" customHeight="1" s="67">
      <c r="A22" s="37" t="inlineStr">
        <is>
          <t>LR_BAND_LADDER_TF_BOTTOM</t>
        </is>
      </c>
      <c r="B22" s="38" t="inlineStr">
        <is>
          <t>0</t>
        </is>
      </c>
      <c r="C22" s="38" t="n"/>
      <c r="D22" s="38" t="inlineStr">
        <is>
          <t>GLOBAL_CHECK, STOCKS_EXIT</t>
        </is>
      </c>
      <c r="E22" s="38" t="n"/>
      <c r="F22" s="26" t="n"/>
      <c r="G22" s="38">
        <f>IFERROR(VLOOKUP($A158&amp;"_"&amp;$B158,Results_Deltas!$A$2:$P$15000,5,FALSE),"")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0.5" customHeight="1" s="67">
      <c r="A23" s="39" t="inlineStr">
        <is>
          <t>MANDATORY_REENTRY_WT_FILTER_MIN_TFS</t>
        </is>
      </c>
      <c r="B23" s="40" t="inlineStr">
        <is>
          <t>1</t>
        </is>
      </c>
      <c r="C23" s="38" t="n"/>
      <c r="D23" s="38" t="inlineStr">
        <is>
          <t>GLOBAL_CHECK, STOCKS_EXIT</t>
        </is>
      </c>
      <c r="E23" s="38" t="n"/>
      <c r="F23" s="26" t="n"/>
      <c r="G23" s="38">
        <f>IFERROR(VLOOKUP($A162&amp;"_"&amp;$B162,Results_Deltas!$A$2:$P$15000,5,FALSE),"")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0.5" customHeight="1" s="67">
      <c r="A24" s="39" t="inlineStr">
        <is>
          <t>MANDATORY_REENTRY_WT_FILTER_VELOCITY_RATIO</t>
        </is>
      </c>
      <c r="B24" s="40" t="inlineStr">
        <is>
          <t>0.90</t>
        </is>
      </c>
      <c r="C24" s="38" t="n"/>
      <c r="D24" s="38" t="inlineStr">
        <is>
          <t>GLOBAL_CHECK, STOCKS_EXIT</t>
        </is>
      </c>
      <c r="E24" s="38" t="n"/>
      <c r="F24" s="26" t="n"/>
      <c r="G24" s="38">
        <f>IFERROR(VLOOKUP($A169&amp;"_"&amp;$B169,Results_Deltas!$A$2:$P$15000,5,FALSE),"")</f>
        <v/>
      </c>
      <c r="H24" s="38" t="inlineStr">
        <is>
          <t>Blanket (page end)</t>
        </is>
      </c>
      <c r="I24" s="26" t="n"/>
      <c r="J24" s="26" t="n"/>
      <c r="K24" s="26" t="n"/>
      <c r="L24" s="26" t="inlineStr">
        <is>
          <t>YES</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0.5" customHeight="1" s="67">
      <c r="A25" s="37" t="inlineStr">
        <is>
          <t>MOVER_THRESHOLD</t>
        </is>
      </c>
      <c r="B25" s="38" t="inlineStr">
        <is>
          <t>2.5</t>
        </is>
      </c>
      <c r="C25" s="38" t="n"/>
      <c r="D25" s="38" t="inlineStr">
        <is>
          <t>ENTRY, GLOBAL_CHECK, STOCKS_EXIT</t>
        </is>
      </c>
      <c r="E25" s="38" t="n"/>
      <c r="F25" s="26" t="n"/>
      <c r="G25" s="38">
        <f>IFERROR(VLOOKUP($A178&amp;"_"&amp;$B178,Results_Deltas!$A$2:$P$15000,5,FALSE),"")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0.5" customHeight="1" s="67">
      <c r="A26" s="27" t="inlineStr">
        <is>
          <t>UNIVERSAL_NOLOSS_GATE</t>
        </is>
      </c>
      <c r="B26" s="27" t="inlineStr">
        <is>
          <t>False</t>
        </is>
      </c>
      <c r="C26" s="26" t="n"/>
      <c r="D26" s="26" t="n"/>
      <c r="E26" s="26" t="n"/>
      <c r="F26" s="26" t="n"/>
      <c r="G26" s="26">
        <f>IFERROR(VLOOKUP($A213&amp;"_"&amp;$B213,Results_Deltas!$A$2:$P$15000,5,FALSE),"")</f>
        <v/>
      </c>
      <c r="H26" s="26">
        <f>IFERROR(VLOOKUP($A214,Results_30d_Deltas!$A$2:$H$5000,7,FALSE)-E3,"")</f>
        <v/>
      </c>
      <c r="I26" s="26">
        <f>IFERROR(VLOOKUP($A214,Results_30d_Deltas!$A$2:$H$5000,6,FALSE),"")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6" t="n"/>
      <c r="HE26" s="36" t="n"/>
      <c r="HF26" s="36" t="n"/>
      <c r="HG26" s="36" t="n"/>
      <c r="HH26" s="36"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ez_manage.py:4233 top()</t>
        </is>
      </c>
      <c r="IL26" s="26" t="inlineStr">
        <is>
          <t>v12_quick_engine.py:837 x18</t>
        </is>
      </c>
      <c r="IM26" s="26" t="n"/>
    </row>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2026-09-19T02:34:17Z</dcterms:created>
  <dcterms:modified xsi:type="dcterms:W3CDTF">2026-09-19T02:34:55Z</dcterms:modified>
</cp:coreProperties>
</file>