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5">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6" t="inlineStr">
        <is>
          <t>BB_SQUEEZE_WIDTH_PERCENTILE</t>
        </is>
      </c>
      <c r="B3" s="87" t="inlineStr">
        <is>
          <t>0.2</t>
        </is>
      </c>
      <c r="E3" s="0">
        <f>IF(G19="",E18,IF(G19&gt;0,E18+G19,E18))</f>
        <v/>
      </c>
      <c r="G3" s="0">
        <f>IFERROR(VLOOKUP($A19&amp;"_"&amp;$B19,Results_Deltas!$A$2:$P$15000,5,FALSE),"")</f>
        <v/>
      </c>
      <c r="H3" s="0">
        <f>IFERROR(VLOOKUP($A19,Results_30d_Deltas!$A$2:$H$5000,7,FALSE)-E18,"")</f>
        <v/>
      </c>
      <c r="I3" s="0">
        <f>IFERROR(VLOOKUP($A19,Results_30d_Deltas!$A$2:$H$5000,6,FALSE),"")</f>
        <v/>
      </c>
      <c r="L3" s="0" t="inlineStr">
        <is>
          <t>YES</t>
        </is>
      </c>
      <c r="M3" s="78" t="n">
        <v>-3.246613594524634</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ez_manage.py:4375 top()</t>
        </is>
      </c>
      <c r="IM3" s="0" t="inlineStr">
        <is>
          <t>v12_quick_engine.py:1285 x7</t>
        </is>
      </c>
    </row>
    <row r="4" ht="10.5" customHeight="1" s="67">
      <c r="A4" s="30" t="inlineStr">
        <is>
          <t>BB_SQUEEZE_WIDTH_PERCENTILE</t>
        </is>
      </c>
      <c r="B4" s="72" t="inlineStr">
        <is>
          <t>0.3</t>
        </is>
      </c>
      <c r="C4" s="30" t="n"/>
      <c r="D4" s="30" t="n"/>
      <c r="E4" s="30">
        <f>IF(G7="",E6,IF(G7&gt;0,E6+G7,E6))</f>
        <v/>
      </c>
      <c r="F4" s="30" t="n"/>
      <c r="G4" s="30">
        <f>IFERROR(VLOOKUP($A7&amp;"_"&amp;$B7,Results_Deltas!$A$2:$P$15000,5,FALSE),"")</f>
        <v/>
      </c>
      <c r="H4" s="30">
        <f>IFERROR(VLOOKUP($A7,Results_30d_Deltas!$A$2:$H$5000,7,FALSE)-E6,"")</f>
        <v/>
      </c>
      <c r="I4" s="30">
        <f>IFERROR(VLOOKUP($A7,Results_30d_Deltas!$A$2:$H$5000,6,FALSE),"")</f>
        <v/>
      </c>
      <c r="J4" s="30" t="n"/>
      <c r="K4" s="30" t="n"/>
      <c r="L4" s="30" t="inlineStr">
        <is>
          <t>NO</t>
        </is>
      </c>
      <c r="M4" s="32" t="n">
        <v>-5.163864256595058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ez_manage.py:4375 top()</t>
        </is>
      </c>
      <c r="IM4" s="30" t="inlineStr">
        <is>
          <t>v12_quick_engine.py:1285 x7</t>
        </is>
      </c>
      <c r="IN4" s="30" t="n"/>
    </row>
    <row r="5" ht="10.5" customHeight="1" s="67">
      <c r="A5" s="86" t="inlineStr">
        <is>
          <t>BB_SQUEEZE_ENTRY_ENABLED</t>
        </is>
      </c>
      <c r="B5" s="87" t="inlineStr">
        <is>
          <t>True</t>
        </is>
      </c>
      <c r="E5" s="0">
        <f>IF(G19="",E18,IF(G19&gt;0,E18+G19,E18))</f>
        <v/>
      </c>
      <c r="G5" s="0">
        <f>IFERROR(VLOOKUP($A19&amp;"_"&amp;$B19,Results_Deltas!$A$2:$P$15000,5,FALSE),"")</f>
        <v/>
      </c>
      <c r="H5" s="0">
        <f>IFERROR(VLOOKUP($A19,Results_30d_Deltas!$A$2:$H$5000,7,FALSE)-E18,"")</f>
        <v/>
      </c>
      <c r="I5" s="0">
        <f>IFERROR(VLOOKUP($A19,Results_30d_Deltas!$A$2:$H$5000,6,FALSE),"")</f>
        <v/>
      </c>
      <c r="L5" s="0" t="inlineStr">
        <is>
          <t>YES</t>
        </is>
      </c>
      <c r="M5" s="78" t="n">
        <v>-2.650397136620916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80" t="n"/>
      <c r="FK5" s="80" t="n"/>
      <c r="FL5" s="80" t="n"/>
      <c r="FM5" s="80" t="n"/>
      <c r="FN5" s="80"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80" t="n"/>
      <c r="HZ5" s="80" t="n"/>
      <c r="IA5" s="80" t="n"/>
      <c r="IB5" s="80" t="n"/>
      <c r="IC5" s="80" t="n"/>
      <c r="ID5" s="80" t="n"/>
      <c r="IE5" s="80" t="n"/>
      <c r="IF5" s="80" t="n"/>
      <c r="IG5" s="80" t="n"/>
      <c r="IH5" s="80" t="n"/>
      <c r="II5" s="80" t="n"/>
      <c r="IJ5" s="80" t="n"/>
      <c r="IL5" s="0" t="inlineStr">
        <is>
          <t>ez_manage.py:4371 top()</t>
        </is>
      </c>
      <c r="IM5" s="0" t="inlineStr">
        <is>
          <t>v12_quick_engine.py:889 x9</t>
        </is>
      </c>
    </row>
    <row r="6" ht="15.75" customHeight="1" s="67">
      <c r="A6" s="0" t="inlineStr">
        <is>
          <t>BB_SQUEEZE_ENTRY_ENABLED</t>
        </is>
      </c>
      <c r="B6" s="77" t="b">
        <v>0</v>
      </c>
      <c r="E6" s="0">
        <f>IF(G19="",E18,IF(G19&gt;0,E18+G19,E18))</f>
        <v/>
      </c>
      <c r="G6" s="0">
        <f>IFERROR(VLOOKUP($A19&amp;"_"&amp;$B19,Results_Deltas!$A$2:$P$15000,5,FALSE),"")</f>
        <v/>
      </c>
      <c r="H6" s="0">
        <f>IFERROR(VLOOKUP($A19,Results_30d_Deltas!$A$2:$H$5000,7,FALSE)-E18,"")</f>
        <v/>
      </c>
      <c r="I6" s="0">
        <f>IFERROR(VLOOKUP($A19,Results_30d_Deltas!$A$2:$H$5000,6,FALSE),"")</f>
        <v/>
      </c>
      <c r="L6" s="0" t="inlineStr">
        <is>
          <t>YES</t>
        </is>
      </c>
      <c r="M6" s="78" t="n">
        <v>-2.650397136620916</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80" t="n"/>
      <c r="FK6" s="80" t="n"/>
      <c r="FL6" s="80" t="n"/>
      <c r="FM6" s="80" t="n"/>
      <c r="FN6" s="80"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ez_manage.py:4371 top()</t>
        </is>
      </c>
      <c r="IM6" s="0" t="inlineStr">
        <is>
          <t>v12_quick_engine.py:889 x9</t>
        </is>
      </c>
    </row>
    <row r="7" ht="10.5" customHeight="1" s="67">
      <c r="A7" s="86" t="inlineStr">
        <is>
          <t>WT_MOMENTUM_EXIT_THRESHOLD</t>
        </is>
      </c>
      <c r="B7" s="87" t="inlineStr">
        <is>
          <t>2</t>
        </is>
      </c>
      <c r="E7" s="0">
        <f>IF(G15="",E14,IF(G15&gt;0,E14+G15,E14))</f>
        <v/>
      </c>
      <c r="G7" s="0">
        <f>IFERROR(VLOOKUP($A15&amp;"_"&amp;$B15,Results_Deltas!$A$2:$P$15000,5,FALSE),"")</f>
        <v/>
      </c>
      <c r="H7" s="0">
        <f>IFERROR(VLOOKUP($A15,Results_30d_Deltas!$A$2:$H$5000,7,FALSE)-E14,"")</f>
        <v/>
      </c>
      <c r="I7" s="0">
        <f>IFERROR(VLOOKUP($A15,Results_30d_Deltas!$A$2:$H$5000,6,FALSE),"")</f>
        <v/>
      </c>
      <c r="L7" s="0" t="inlineStr">
        <is>
          <t>NO</t>
        </is>
      </c>
      <c r="M7" s="78" t="n">
        <v>-3.742470648103667</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80" t="n"/>
      <c r="BW7" s="80" t="n"/>
      <c r="BX7" s="80" t="n"/>
      <c r="BY7" s="80" t="n"/>
      <c r="BZ7" s="80"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79" t="n"/>
      <c r="DP7" s="79" t="n"/>
      <c r="DQ7" s="79" t="n"/>
      <c r="DR7" s="79" t="n"/>
      <c r="DS7" s="79" t="n"/>
      <c r="DT7" s="80" t="n"/>
      <c r="DU7" s="80" t="n"/>
      <c r="DV7" s="80" t="n"/>
      <c r="DW7" s="80" t="n"/>
      <c r="DX7" s="80"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80" t="n"/>
      <c r="GB7" s="80" t="n"/>
      <c r="GC7" s="80" t="n"/>
      <c r="GD7" s="80" t="n"/>
      <c r="GE7" s="80"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J7" s="79" t="n"/>
      <c r="IL7" s="0" t="inlineStr">
        <is>
          <t>ez_manage.py:6087 top()</t>
        </is>
      </c>
      <c r="IM7" s="0" t="inlineStr">
        <is>
          <t>v12_quick_engine.py:4293 x3</t>
        </is>
      </c>
    </row>
    <row r="8" ht="10.5" customHeight="1" s="67">
      <c r="A8" s="0" t="inlineStr">
        <is>
          <t>WT_MOMENTUM_EXIT_THRESHOLD</t>
        </is>
      </c>
      <c r="B8" s="77" t="inlineStr">
        <is>
          <t>1</t>
        </is>
      </c>
      <c r="E8" s="0">
        <f>IF(G21="",E20,IF(G21&gt;0,E20+G21,E20))</f>
        <v/>
      </c>
      <c r="G8" s="0">
        <f>IFERROR(VLOOKUP($A21&amp;"_"&amp;$B21,Results_Deltas!$A$2:$P$15000,5,FALSE),"")</f>
        <v/>
      </c>
      <c r="H8" s="0">
        <f>IFERROR(VLOOKUP($A21,Results_30d_Deltas!$A$2:$H$5000,7,FALSE)-E20,"")</f>
        <v/>
      </c>
      <c r="I8" s="0">
        <f>IFERROR(VLOOKUP($A21,Results_30d_Deltas!$A$2:$H$5000,6,FALSE),"")</f>
        <v/>
      </c>
      <c r="L8" s="0" t="inlineStr">
        <is>
          <t>YES</t>
        </is>
      </c>
      <c r="M8" s="78" t="n">
        <v>-2.159324488871049</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80" t="n"/>
      <c r="BW8" s="80" t="n"/>
      <c r="BX8" s="80" t="n"/>
      <c r="BY8" s="80" t="n"/>
      <c r="BZ8" s="80"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79" t="n"/>
      <c r="DP8" s="79" t="n"/>
      <c r="DQ8" s="79" t="n"/>
      <c r="DR8" s="79" t="n"/>
      <c r="DS8" s="79" t="n"/>
      <c r="DT8" s="80" t="n"/>
      <c r="DU8" s="80" t="n"/>
      <c r="DV8" s="80" t="n"/>
      <c r="DW8" s="80" t="n"/>
      <c r="DX8" s="80"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80" t="n"/>
      <c r="GB8" s="80" t="n"/>
      <c r="GC8" s="80" t="n"/>
      <c r="GD8" s="80" t="n"/>
      <c r="GE8" s="80"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J8" s="79" t="n"/>
      <c r="IL8" s="0" t="inlineStr">
        <is>
          <t>ez_manage.py:6087 top()</t>
        </is>
      </c>
      <c r="IM8" s="0" t="inlineStr">
        <is>
          <t>v12_quick_engine.py:4293 x3</t>
        </is>
      </c>
    </row>
    <row r="9" ht="10.5" customHeight="1" s="67">
      <c r="A9" s="86" t="inlineStr">
        <is>
          <t>WT_15M_BOUNCE_OPEN_ENABLED</t>
        </is>
      </c>
      <c r="B9" s="87" t="inlineStr">
        <is>
          <t>False</t>
        </is>
      </c>
      <c r="E9" s="0">
        <f>TEMPLATE_BASELINE_METRICS!B2</f>
        <v/>
      </c>
      <c r="G9" s="0">
        <f>IFERROR(VLOOKUP($A3&amp;"="&amp;$B3,Results_Deltas!$A$2:$P$15000,5,FALSE),"")</f>
        <v/>
      </c>
      <c r="H9" s="0">
        <f>IFERROR(VLOOKUP($A3,Results_30d_Deltas!$A$2:$H$5000,7,FALSE)-E3,"")</f>
        <v/>
      </c>
      <c r="I9" s="0">
        <f>IFERROR(VLOOKUP($A3,Results_30d_Deltas!$A$2:$H$5000,6,FALSE),"")</f>
        <v/>
      </c>
      <c r="L9" s="0" t="inlineStr">
        <is>
          <t>YES</t>
        </is>
      </c>
      <c r="M9" s="78" t="n">
        <v>-11.30092950023047</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79" t="n"/>
      <c r="CA9" s="79" t="n"/>
      <c r="CB9" s="79" t="n"/>
      <c r="CC9" s="79" t="n"/>
      <c r="CD9" s="79"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80" t="n"/>
      <c r="DZ9" s="80" t="n"/>
      <c r="EA9" s="80" t="n"/>
      <c r="EB9" s="80" t="n"/>
      <c r="EC9" s="80"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79" t="n"/>
      <c r="FJ9" s="79" t="n"/>
      <c r="FK9" s="79" t="n"/>
      <c r="FL9" s="79" t="n"/>
      <c r="FM9" s="79"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79" t="n"/>
      <c r="HE9" s="79" t="n"/>
      <c r="HF9" s="79" t="n"/>
      <c r="HG9" s="79" t="n"/>
      <c r="HH9" s="79" t="n"/>
      <c r="HI9" s="79" t="n"/>
      <c r="HJ9" s="80" t="n"/>
      <c r="HK9" s="80" t="n"/>
      <c r="HL9" s="80" t="n"/>
      <c r="HM9" s="80" t="n"/>
      <c r="HN9" s="80" t="n"/>
      <c r="HO9" s="79" t="n"/>
      <c r="HP9" s="79" t="n"/>
      <c r="HQ9" s="79" t="n"/>
      <c r="HR9" s="79" t="n"/>
      <c r="HS9" s="79" t="n"/>
      <c r="HT9" s="79" t="n"/>
      <c r="HU9" s="79" t="n"/>
      <c r="HV9" s="79" t="n"/>
      <c r="HW9" s="79" t="n"/>
      <c r="HX9" s="79" t="n"/>
      <c r="HY9" s="80" t="n"/>
      <c r="HZ9" s="80" t="n"/>
      <c r="IA9" s="80" t="n"/>
      <c r="IB9" s="80" t="n"/>
      <c r="IC9" s="80" t="n"/>
      <c r="ID9" s="80" t="n"/>
      <c r="IE9" s="80" t="n"/>
      <c r="IF9" s="80" t="n"/>
      <c r="IG9" s="80" t="n"/>
      <c r="IH9" s="80" t="n"/>
      <c r="II9" s="80" t="n"/>
      <c r="IJ9" s="80" t="n"/>
      <c r="IL9" s="0" t="inlineStr">
        <is>
          <t>ez_manage.py:6076 top()</t>
        </is>
      </c>
      <c r="IM9" s="0" t="inlineStr">
        <is>
          <t>v12_quick_engine.py:4288 x7</t>
        </is>
      </c>
    </row>
    <row r="10" ht="10.5" customHeight="1" s="67">
      <c r="A10" s="0" t="inlineStr">
        <is>
          <t>WT_15M_BOUNCE_OPEN_ENABLED</t>
        </is>
      </c>
      <c r="B10" s="77" t="inlineStr">
        <is>
          <t>True</t>
        </is>
      </c>
      <c r="E10" s="0">
        <f>IF(G4="",E3,IF(G4&gt;0,E3+G4,E3))</f>
        <v/>
      </c>
      <c r="G10" s="0">
        <f>IFERROR(VLOOKUP($A4&amp;"_"&amp;$B4,Results_Deltas!$A$2:$P$15000,5,FALSE),"")</f>
        <v/>
      </c>
      <c r="H10" s="0">
        <f>IFERROR(VLOOKUP($A4,Results_30d_Deltas!$A$2:$H$5000,7,FALSE)-E3,"")</f>
        <v/>
      </c>
      <c r="I10" s="0">
        <f>IFERROR(VLOOKUP($A4,Results_30d_Deltas!$A$2:$H$5000,6,FALSE),"")</f>
        <v/>
      </c>
      <c r="L10" s="0" t="inlineStr">
        <is>
          <t>NO</t>
        </is>
      </c>
      <c r="M10" s="78" t="n">
        <v>7.071010733222724</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80" t="n"/>
      <c r="DZ10" s="80" t="n"/>
      <c r="EA10" s="80" t="n"/>
      <c r="EB10" s="80" t="n"/>
      <c r="EC10" s="80"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80" t="n"/>
      <c r="HK10" s="80" t="n"/>
      <c r="HL10" s="80" t="n"/>
      <c r="HM10" s="80" t="n"/>
      <c r="HN10" s="80" t="n"/>
      <c r="HO10" s="79" t="n"/>
      <c r="HP10" s="79" t="n"/>
      <c r="HQ10" s="79" t="n"/>
      <c r="HR10" s="79" t="n"/>
      <c r="HS10" s="79" t="n"/>
      <c r="HT10" s="79" t="n"/>
      <c r="HU10" s="79" t="n"/>
      <c r="HV10" s="79" t="n"/>
      <c r="HW10" s="79" t="n"/>
      <c r="HX10" s="79" t="n"/>
      <c r="HY10" s="80" t="n"/>
      <c r="HZ10" s="80" t="n"/>
      <c r="IA10" s="80" t="n"/>
      <c r="IB10" s="80" t="n"/>
      <c r="IC10" s="80" t="n"/>
      <c r="ID10" s="80" t="n"/>
      <c r="IE10" s="80" t="n"/>
      <c r="IF10" s="80" t="n"/>
      <c r="IG10" s="80" t="n"/>
      <c r="IH10" s="80" t="n"/>
      <c r="II10" s="80" t="n"/>
      <c r="IJ10" s="80" t="n"/>
      <c r="IL10" s="0" t="inlineStr">
        <is>
          <t>ez_manage.py:6076 top()</t>
        </is>
      </c>
      <c r="IM10" s="0" t="inlineStr">
        <is>
          <t>v12_quick_engine.py:4288 x7</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AUDIT_STATUS 2026-09-16 (4 sheets direct)</t>
        </is>
      </c>
    </row>
    <row r="3">
      <c r="A3" s="88" t="inlineStr">
        <is>
          <t>BAND_SLOPE_SIZING_V2_TF</t>
        </is>
      </c>
      <c r="B3" s="89" t="inlineStr">
        <is>
          <t>4h</t>
        </is>
      </c>
      <c r="D3" s="0" t="inlineStr">
        <is>
          <t>STDEV_LADDER</t>
        </is>
      </c>
      <c r="E3" s="0">
        <f>IF(G5="",E4,IF(G5&gt;0,E4+G5,E4))</f>
        <v/>
      </c>
      <c r="F3" s="0">
        <f>IFERROR(VLOOKUP($A5&amp;"="&amp;$B5,Results_Deltas!$A$2:$P$15000,5,FALSE),"")</f>
        <v/>
      </c>
      <c r="G3" s="0">
        <f>IFERROR(VLOOKUP($A5,Results_30d_Deltas!$A$2:$H$5000,7,FALSE)-E5,"")</f>
        <v/>
      </c>
      <c r="H3" s="0">
        <f>IFERROR(VLOOKUP($A5,Results_30d_Deltas!$A$2:$H$5000,6,FALSE),"")</f>
        <v/>
      </c>
      <c r="L3" s="0" t="inlineStr">
        <is>
          <t>NO</t>
        </is>
      </c>
      <c r="M3" s="0" t="n">
        <v>-5.302095796472655</v>
      </c>
    </row>
    <row r="4">
      <c r="A4" s="0" t="inlineStr">
        <is>
          <t>BAND_SLOPE_SIZING_V2_TF</t>
        </is>
      </c>
      <c r="B4" s="77" t="inlineStr">
        <is>
          <t>D</t>
        </is>
      </c>
      <c r="D4" s="0" t="inlineStr">
        <is>
          <t>STDEV_LADDER</t>
        </is>
      </c>
      <c r="E4" s="0">
        <f>IF(G17="",E16,IF(G17&gt;0,E16+G17,E16))</f>
        <v/>
      </c>
      <c r="G4" s="0">
        <f>IFERROR(VLOOKUP($A17&amp;"_"&amp;$B17,Results_Deltas!$A$2:$P$15000,5,FALSE),"")</f>
        <v/>
      </c>
      <c r="H4" s="0">
        <f>IFERROR(VLOOKUP($A6,Results_30d_Deltas!$A$2:$H$5000,7,FALSE)-E6,"")</f>
        <v/>
      </c>
      <c r="I4" s="0">
        <f>IFERROR(VLOOKUP($A6,Results_30d_Deltas!$A$2:$H$5000,6,FALSE),"")</f>
        <v/>
      </c>
      <c r="L4" s="0" t="inlineStr">
        <is>
          <t>NO</t>
        </is>
      </c>
      <c r="M4" s="0" t="n">
        <v>-3.2294017255381</v>
      </c>
    </row>
    <row r="5">
      <c r="A5" s="88" t="inlineStr">
        <is>
          <t>STDEV_SLOPE_SIZING_ENABLED</t>
        </is>
      </c>
      <c r="B5" s="89" t="b">
        <v>0</v>
      </c>
      <c r="D5" s="0" t="inlineStr">
        <is>
          <t>STDEV_LADDER</t>
        </is>
      </c>
      <c r="E5" s="0">
        <f>IF(G4="",E3,IF(G4&gt;0,E3+G4,E3))</f>
        <v/>
      </c>
      <c r="F5" s="0">
        <f>IFERROR(VLOOKUP($A4&amp;"="&amp;$B4,Results_Deltas!$A$2:$P$15000,5,FALSE),"")</f>
        <v/>
      </c>
      <c r="G5" s="0">
        <f>IFERROR(VLOOKUP($A4,Results_30d_Deltas!$A$2:$H$5000,7,FALSE)-E4,"")</f>
        <v/>
      </c>
      <c r="H5" s="0">
        <f>IFERROR(VLOOKUP($A4,Results_30d_Deltas!$A$2:$H$5000,6,FALSE),"")</f>
        <v/>
      </c>
      <c r="L5" s="0" t="inlineStr">
        <is>
          <t>NO</t>
        </is>
      </c>
      <c r="M5" s="0" t="n">
        <v>-6.226950790563168</v>
      </c>
    </row>
    <row r="6">
      <c r="A6" s="30" t="inlineStr">
        <is>
          <t>STDEV_SLOPE_SIZING_ENABLED</t>
        </is>
      </c>
      <c r="B6" s="72" t="b">
        <v>1</v>
      </c>
      <c r="C6" s="30" t="n"/>
      <c r="D6" s="30" t="inlineStr">
        <is>
          <t>STDEV_LADDER</t>
        </is>
      </c>
      <c r="E6" s="30">
        <f>MAX(ENTRY_REVERSAL_BOUNCE!E:E)</f>
        <v/>
      </c>
      <c r="F6" s="30" t="n"/>
      <c r="G6" s="30">
        <f>IFERROR(VLOOKUP($A29&amp;"="&amp;$B29,Results_Deltas!$A$2:$P$15000,5,FALSE),"")</f>
        <v/>
      </c>
      <c r="H6" s="30">
        <f>IFERROR(VLOOKUP($A29,Results_30d_Deltas!$A$2:$H$5000,7,FALSE)-E29,"")</f>
        <v/>
      </c>
      <c r="I6" s="30">
        <f>IFERROR(VLOOKUP($A29,Results_30d_Deltas!$A$2:$H$5000,6,FALSE),"")</f>
        <v/>
      </c>
      <c r="J6" s="30" t="n"/>
      <c r="K6" s="30" t="n"/>
      <c r="L6" s="30" t="inlineStr">
        <is>
          <t>NO</t>
        </is>
      </c>
      <c r="M6" s="0" t="n">
        <v>-1.951764637151977</v>
      </c>
    </row>
    <row r="7">
      <c r="A7" s="86" t="inlineStr">
        <is>
          <t>STDEV_SLOPE_SIZING_MODE</t>
        </is>
      </c>
      <c r="B7" s="87" t="inlineStr">
        <is>
          <t>bottom_to_top</t>
        </is>
      </c>
      <c r="D7" s="0" t="inlineStr">
        <is>
          <t>STDEV_LADDER</t>
        </is>
      </c>
      <c r="E7" s="0">
        <f>IF(G13="",E12,IF(G13&gt;0,E12+G13,E12))</f>
        <v/>
      </c>
      <c r="F7" s="0">
        <f>IFERROR(VLOOKUP($A13&amp;"="&amp;$B13,Results_Deltas!$A$2:$P$15000,5,FALSE),"")</f>
        <v/>
      </c>
      <c r="G7" s="0">
        <f>IFERROR(VLOOKUP($A13,Results_30d_Deltas!$A$2:$H$5000,7,FALSE)-E13,"")</f>
        <v/>
      </c>
      <c r="H7" s="0">
        <f>IFERROR(VLOOKUP($A13,Results_30d_Deltas!$A$2:$H$5000,6,FALSE),"")</f>
        <v/>
      </c>
      <c r="L7" s="0" t="inlineStr">
        <is>
          <t>NO</t>
        </is>
      </c>
      <c r="M7" s="0" t="n">
        <v>-4.003249814326627</v>
      </c>
    </row>
    <row r="8">
      <c r="A8" s="0" t="inlineStr">
        <is>
          <t>STDEV_SLOPE_SIZING_MODE</t>
        </is>
      </c>
      <c r="B8" s="77" t="inlineStr">
        <is>
          <t>slope_to_top</t>
        </is>
      </c>
      <c r="D8" s="0" t="inlineStr">
        <is>
          <t>STDEV_LADDER</t>
        </is>
      </c>
      <c r="E8" s="0">
        <f>IF(G19="",E18,IF(G19&gt;0,E18+G19,E18))</f>
        <v/>
      </c>
      <c r="G8" s="0">
        <f>IFERROR(VLOOKUP($A19&amp;"_"&amp;$B19,Results_Deltas!$A$2:$P$15000,5,FALSE),"")</f>
        <v/>
      </c>
      <c r="H8" s="0">
        <f>IFERROR(VLOOKUP($A4,Results_30d_Deltas!$A$2:$H$5000,7,FALSE)-E4,"")</f>
        <v/>
      </c>
      <c r="L8" s="0" t="inlineStr">
        <is>
          <t>YES</t>
        </is>
      </c>
      <c r="M8" s="0" t="n">
        <v>-2.11604496591277</v>
      </c>
    </row>
    <row r="9">
      <c r="A9" s="88" t="inlineStr">
        <is>
          <t>STDEV_BULL_SLOPE_BOOST_ENABLED</t>
        </is>
      </c>
      <c r="B9" s="88" t="inlineStr">
        <is>
          <t>False</t>
        </is>
      </c>
      <c r="C9" s="0" t="inlineStr">
        <is>
          <t>True</t>
        </is>
      </c>
    </row>
    <row r="10">
      <c r="A10" s="0" t="inlineStr">
        <is>
          <t>STDEV_BULL_SLOPE_BOOST_ENABLED</t>
        </is>
      </c>
      <c r="B10" s="0" t="b">
        <v>1</v>
      </c>
      <c r="C10" s="0" t="inlineStr">
        <is>
          <t>True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ATR_ADAPTIVE_SIZING_TARGET_PCT</t>
        </is>
      </c>
      <c r="B3" s="89" t="inlineStr">
        <is>
          <t>1.0</t>
        </is>
      </c>
      <c r="G3" s="0">
        <f>IFERROR(VLOOKUP($A21&amp;"_"&amp;$B21,Results_Deltas!$A$2:$P$15000,5,FALSE),"")</f>
        <v/>
      </c>
      <c r="H3" s="0">
        <f>IFERROR(VLOOKUP($A21,Results_30d_Deltas!$A$2:$H$5000,7,FALSE)-E20,"")</f>
        <v/>
      </c>
      <c r="I3" s="0">
        <f>IFERROR(VLOOKUP($A21,Results_30d_Deltas!$A$2:$H$5000,6,FALSE),"")</f>
        <v/>
      </c>
      <c r="L3" s="0" t="inlineStr">
        <is>
          <t>NO</t>
        </is>
      </c>
      <c r="M3" s="78" t="n">
        <v>-5.226550689935686</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ez_manage.py:4327 top()</t>
        </is>
      </c>
      <c r="IL3" s="0" t="inlineStr">
        <is>
          <t>v12_quick_engine.py:1209 x7</t>
        </is>
      </c>
    </row>
    <row r="4" ht="10.5" customHeight="1" s="67">
      <c r="A4" s="0" t="inlineStr">
        <is>
          <t>ATR_ADAPTIVE_SIZING_TARGET_PCT</t>
        </is>
      </c>
      <c r="B4" s="77" t="inlineStr">
        <is>
          <t>2.5</t>
        </is>
      </c>
      <c r="G4" s="0">
        <f>IFERROR(VLOOKUP($A27&amp;"_"&amp;$B27,Results_Deltas!$A$2:$P$15000,5,FALSE),"")</f>
        <v/>
      </c>
      <c r="H4" s="0">
        <f>IFERROR(VLOOKUP($A27,Results_30d_Deltas!$A$2:$H$5000,7,FALSE)-E26,"")</f>
        <v/>
      </c>
      <c r="I4" s="0">
        <f>IFERROR(VLOOKUP($A27,Results_30d_Deltas!$A$2:$H$5000,6,FALSE),"")</f>
        <v/>
      </c>
      <c r="L4" s="0" t="inlineStr">
        <is>
          <t>NO</t>
        </is>
      </c>
      <c r="M4" s="78" t="n">
        <v>-5.097886563060814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ez_manage.py:4327 top()</t>
        </is>
      </c>
      <c r="IL4" s="0" t="inlineStr">
        <is>
          <t>v12_quick_engine.py:1209 x7</t>
        </is>
      </c>
    </row>
    <row r="5" ht="10.5" customHeight="1" s="67">
      <c r="A5" s="86" t="inlineStr">
        <is>
          <t>ENTRY_SCORE_THRESHOLD</t>
        </is>
      </c>
      <c r="B5" s="87" t="inlineStr">
        <is>
          <t>9.0</t>
        </is>
      </c>
      <c r="G5" s="0">
        <f>IFERROR(VLOOKUP($A98&amp;"_"&amp;$B98,Results_Deltas!$A$2:$P$15000,5,FALSE),"")</f>
        <v/>
      </c>
      <c r="H5" s="0">
        <f>IFERROR(VLOOKUP($A98,Results_30d_Deltas!$A$2:$H$5000,7,FALSE)-E97,"")</f>
        <v/>
      </c>
      <c r="I5" s="0">
        <f>IFERROR(VLOOKUP($A98,Results_30d_Deltas!$A$2:$H$5000,6,FALSE),"")</f>
        <v/>
      </c>
      <c r="L5" s="0" t="inlineStr">
        <is>
          <t>NO</t>
        </is>
      </c>
      <c r="M5" s="78" t="n">
        <v>-3.647433351073238</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80" t="n"/>
      <c r="FJ5" s="80" t="n"/>
      <c r="FK5" s="80" t="n"/>
      <c r="FL5" s="80" t="n"/>
      <c r="FM5" s="80"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ez_manage.py:4644 top()</t>
        </is>
      </c>
      <c r="IL5" s="0" t="inlineStr">
        <is>
          <t>v12_quick_engine.py:3394 x9</t>
        </is>
      </c>
    </row>
    <row r="6" ht="10.5" customHeight="1" s="67">
      <c r="A6" s="30" t="inlineStr">
        <is>
          <t>ENTRY_SCORE_THRESHOLD</t>
        </is>
      </c>
      <c r="B6" s="72" t="inlineStr">
        <is>
          <t>22.5</t>
        </is>
      </c>
      <c r="C6" s="30" t="n"/>
      <c r="D6" s="30" t="n"/>
      <c r="E6" s="30" t="n"/>
      <c r="F6" s="30" t="n"/>
      <c r="G6" s="30">
        <f>IFERROR(VLOOKUP($A53&amp;"_"&amp;$B53,Results_Deltas!$A$2:$P$15000,5,FALSE),"")</f>
        <v/>
      </c>
      <c r="H6" s="30">
        <f>IFERROR(VLOOKUP($A53,Results_30d_Deltas!$A$2:$H$5000,7,FALSE)-E52,"")</f>
        <v/>
      </c>
      <c r="I6" s="30">
        <f>IFERROR(VLOOKUP($A53,Results_30d_Deltas!$A$2:$H$5000,6,FALSE),"")</f>
        <v/>
      </c>
      <c r="J6" s="30" t="n"/>
      <c r="K6" s="30" t="n"/>
      <c r="L6" s="30" t="inlineStr">
        <is>
          <t>NO</t>
        </is>
      </c>
      <c r="M6" s="33" t="n">
        <v>-4.349613793363344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ez_manage.py:4644 top()</t>
        </is>
      </c>
      <c r="IL6" s="30" t="inlineStr">
        <is>
          <t>v12_quick_engine.py:3394 x9</t>
        </is>
      </c>
      <c r="IM6" s="30" t="n"/>
    </row>
    <row r="7" ht="10.5" customHeight="1" s="67">
      <c r="A7" s="86" t="inlineStr">
        <is>
          <t>DC_BREAKOUT_TF</t>
        </is>
      </c>
      <c r="B7" s="87" t="inlineStr">
        <is>
          <t>OFF</t>
        </is>
      </c>
      <c r="G7" s="0">
        <f>IFERROR(VLOOKUP($A77&amp;"="&amp;$B77,Results_Deltas!$A$2:$P$15000,5,FALSE),"")</f>
        <v/>
      </c>
      <c r="H7" s="0">
        <f>IFERROR(VLOOKUP($A77,Results_30d_Deltas!$A$2:$H$5000,7,FALSE)-E77,"")</f>
        <v/>
      </c>
      <c r="I7" s="0">
        <f>IFERROR(VLOOKUP($A77,Results_30d_Deltas!$A$2:$H$5000,6,FALSE),"")</f>
        <v/>
      </c>
      <c r="L7" s="0" t="inlineStr">
        <is>
          <t>NO</t>
        </is>
      </c>
      <c r="M7" s="78" t="n">
        <v>-3.78214323656721</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80" t="n"/>
      <c r="AR7" s="80" t="n"/>
      <c r="AS7" s="80" t="n"/>
      <c r="AT7" s="80" t="n"/>
      <c r="AU7" s="80"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80" t="n"/>
      <c r="BQ7" s="80" t="n"/>
      <c r="BR7" s="80" t="n"/>
      <c r="BS7" s="80" t="n"/>
      <c r="BT7" s="80"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80" t="n"/>
      <c r="CZ7" s="80" t="n"/>
      <c r="DA7" s="80" t="n"/>
      <c r="DB7" s="80" t="n"/>
      <c r="DC7" s="80"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80" t="n"/>
      <c r="GA7" s="80" t="n"/>
      <c r="GB7" s="80" t="n"/>
      <c r="GC7" s="80" t="n"/>
      <c r="GD7" s="80"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ez_manage.py:3078 top()</t>
        </is>
      </c>
      <c r="IL7" s="0" t="inlineStr">
        <is>
          <t>v12_quick_engine.py:1518 x5</t>
        </is>
      </c>
    </row>
    <row r="8" ht="10.5" customHeight="1" s="67">
      <c r="A8" s="0" t="inlineStr">
        <is>
          <t>DC_BREAKOUT_TF</t>
        </is>
      </c>
      <c r="B8" s="77" t="inlineStr">
        <is>
          <t>15m</t>
        </is>
      </c>
      <c r="G8" s="0">
        <f>IFERROR(VLOOKUP($A155&amp;"_"&amp;$B155,Results_Deltas!$A$2:$P$15000,5,FALSE),"")</f>
        <v/>
      </c>
      <c r="H8" s="0">
        <f>IFERROR(VLOOKUP($A155,Results_30d_Deltas!$A$2:$H$5000,7,FALSE)-E154,"")</f>
        <v/>
      </c>
      <c r="I8" s="0">
        <f>IFERROR(VLOOKUP($A155,Results_30d_Deltas!$A$2:$H$5000,6,FALSE),"")</f>
        <v/>
      </c>
      <c r="L8" s="0" t="inlineStr">
        <is>
          <t>NO</t>
        </is>
      </c>
      <c r="M8" s="78" t="n">
        <v>-1.144552193698301</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80" t="n"/>
      <c r="AR8" s="80" t="n"/>
      <c r="AS8" s="80" t="n"/>
      <c r="AT8" s="80" t="n"/>
      <c r="AU8" s="80"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80" t="n"/>
      <c r="BQ8" s="80" t="n"/>
      <c r="BR8" s="80" t="n"/>
      <c r="BS8" s="80" t="n"/>
      <c r="BT8" s="80"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80" t="n"/>
      <c r="CZ8" s="80" t="n"/>
      <c r="DA8" s="80" t="n"/>
      <c r="DB8" s="80" t="n"/>
      <c r="DC8" s="80"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80" t="n"/>
      <c r="GA8" s="80" t="n"/>
      <c r="GB8" s="80" t="n"/>
      <c r="GC8" s="80" t="n"/>
      <c r="GD8" s="80"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ez_manage.py:3078 top()</t>
        </is>
      </c>
      <c r="IL8" s="0" t="inlineStr">
        <is>
          <t>v12_quick_engine.py:1518 x5</t>
        </is>
      </c>
    </row>
    <row r="9" ht="10.5" customHeight="1" s="67">
      <c r="A9" s="86" t="inlineStr">
        <is>
          <t>V8_ENTRY_ENGINE_WT_ENABLED</t>
        </is>
      </c>
      <c r="B9" s="87" t="inlineStr">
        <is>
          <t>False</t>
        </is>
      </c>
      <c r="G9" s="0">
        <f>IFERROR(VLOOKUP($A124&amp;"_"&amp;$B124,Results_Deltas!$A$2:$P$15000,5,FALSE),"")</f>
        <v/>
      </c>
      <c r="H9" s="0">
        <f>IFERROR(VLOOKUP($A124,Results_30d_Deltas!$A$2:$H$5000,7,FALSE)-E123,"")</f>
        <v/>
      </c>
      <c r="I9" s="0">
        <f>IFERROR(VLOOKUP($A124,Results_30d_Deltas!$A$2:$H$5000,6,FALSE),"")</f>
        <v/>
      </c>
      <c r="L9" s="0" t="inlineStr">
        <is>
          <t>NO</t>
        </is>
      </c>
      <c r="M9" s="78" t="n">
        <v>-3.771222959968467</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80" t="n"/>
      <c r="CA9" s="80" t="n"/>
      <c r="CB9" s="80" t="n"/>
      <c r="CC9" s="80" t="n"/>
      <c r="CD9" s="80"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79" t="n"/>
      <c r="DZ9" s="79" t="n"/>
      <c r="EA9" s="79" t="n"/>
      <c r="EB9" s="79" t="n"/>
      <c r="EC9" s="79"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80" t="n"/>
      <c r="FJ9" s="80" t="n"/>
      <c r="FK9" s="80" t="n"/>
      <c r="FL9" s="80" t="n"/>
      <c r="FM9" s="80"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79" t="n"/>
      <c r="HE9" s="79" t="n"/>
      <c r="HF9" s="79" t="n"/>
      <c r="HG9" s="79" t="n"/>
      <c r="HH9" s="79" t="n"/>
      <c r="HI9" s="79" t="n"/>
      <c r="HJ9" s="79" t="n"/>
      <c r="HK9" s="79" t="n"/>
      <c r="HL9" s="79" t="n"/>
      <c r="HM9" s="79" t="n"/>
      <c r="HN9" s="79" t="n"/>
      <c r="HO9" s="79" t="n"/>
      <c r="HP9" s="79" t="n"/>
      <c r="HQ9" s="79" t="n"/>
      <c r="HR9" s="79" t="n"/>
      <c r="HS9" s="79" t="n"/>
      <c r="HT9" s="79" t="n"/>
      <c r="HU9" s="79" t="n"/>
      <c r="HV9" s="79" t="n"/>
      <c r="HW9" s="79" t="n"/>
      <c r="HX9" s="80" t="n"/>
      <c r="HY9" s="80" t="n"/>
      <c r="HZ9" s="80" t="n"/>
      <c r="IA9" s="80" t="n"/>
      <c r="IB9" s="80" t="n"/>
      <c r="IC9" s="80" t="n"/>
      <c r="ID9" s="80" t="n"/>
      <c r="IE9" s="80" t="n"/>
      <c r="IF9" s="80" t="n"/>
      <c r="IG9" s="80" t="n"/>
      <c r="IH9" s="80" t="n"/>
      <c r="II9" s="80" t="n"/>
      <c r="IK9" s="0" t="inlineStr">
        <is>
          <t>ez_manage.py:6074 top()</t>
        </is>
      </c>
      <c r="IL9" s="0" t="inlineStr">
        <is>
          <t>v12_quick_engine.py:4286 x4</t>
        </is>
      </c>
    </row>
    <row r="10" ht="10.5" customHeight="1" s="67">
      <c r="A10" s="31" t="inlineStr">
        <is>
          <t>V8_ENTRY_ENGINE_WT_ENABLED</t>
        </is>
      </c>
      <c r="B10" s="72" t="inlineStr">
        <is>
          <t>True</t>
        </is>
      </c>
      <c r="C10" s="30" t="n"/>
      <c r="D10" s="30" t="n"/>
      <c r="E10" s="30" t="n"/>
      <c r="F10" s="30" t="n"/>
      <c r="G10" s="30">
        <f>IFERROR(VLOOKUP($A207&amp;"_"&amp;$B207,Results_Deltas!$A$2:$P$15000,5,FALSE),"")</f>
        <v/>
      </c>
      <c r="H10" s="30">
        <f>IFERROR(VLOOKUP($A207,Results_30d_Deltas!$A$2:$H$5000,7,FALSE)-E206,"")</f>
        <v/>
      </c>
      <c r="I10" s="30">
        <f>IFERROR(VLOOKUP($A207,Results_30d_Deltas!$A$2:$H$5000,6,FALSE),"")</f>
        <v/>
      </c>
      <c r="J10" s="30" t="n"/>
      <c r="K10" s="30" t="n"/>
      <c r="L10" s="30" t="inlineStr">
        <is>
          <t>NO</t>
        </is>
      </c>
      <c r="M10" s="33" t="n">
        <v>-0.4616453393866953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4" t="n"/>
      <c r="FJ10" s="34" t="n"/>
      <c r="FK10" s="34" t="n"/>
      <c r="FL10" s="34" t="n"/>
      <c r="FM10" s="34"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4" t="n"/>
      <c r="HY10" s="34" t="n"/>
      <c r="HZ10" s="34" t="n"/>
      <c r="IA10" s="34" t="n"/>
      <c r="IB10" s="34" t="n"/>
      <c r="IC10" s="34" t="n"/>
      <c r="ID10" s="34" t="n"/>
      <c r="IE10" s="34" t="n"/>
      <c r="IF10" s="34" t="n"/>
      <c r="IG10" s="34" t="n"/>
      <c r="IH10" s="34" t="n"/>
      <c r="II10" s="34" t="n"/>
      <c r="IJ10" s="30" t="n"/>
      <c r="IK10" s="30" t="inlineStr">
        <is>
          <t>ez_manage.py:6074 top()</t>
        </is>
      </c>
      <c r="IL10" s="30" t="inlineStr">
        <is>
          <t>v12_quick_engine.py:4286 x4</t>
        </is>
      </c>
      <c r="IM10" s="30" t="n"/>
    </row>
    <row r="11" ht="10.5" customHeight="1" s="67">
      <c r="A11" s="86" t="inlineStr">
        <is>
          <t>REVERSE_ON_EXIT_ENABLED</t>
        </is>
      </c>
      <c r="B11" s="87" t="inlineStr">
        <is>
          <t>True</t>
        </is>
      </c>
      <c r="G11" s="0">
        <f>IFERROR(VLOOKUP($A74&amp;"_"&amp;$B74,Results_Deltas!$A$2:$P$15000,5,FALSE),"")</f>
        <v/>
      </c>
      <c r="H11" s="0">
        <f>IFERROR(VLOOKUP($A74,Results_30d_Deltas!$A$2:$H$5000,7,FALSE)-E73,"")</f>
        <v/>
      </c>
      <c r="I11" s="0">
        <f>IFERROR(VLOOKUP($A74,Results_30d_Deltas!$A$2:$H$5000,6,FALSE),"")</f>
        <v/>
      </c>
      <c r="L11" s="0" t="inlineStr">
        <is>
          <t>NO</t>
        </is>
      </c>
      <c r="M11" s="78" t="n">
        <v>-3.962793853826305</v>
      </c>
      <c r="N11" s="79" t="n"/>
      <c r="O11" s="79" t="n"/>
      <c r="P11" s="79" t="n"/>
      <c r="Q11" s="79" t="n"/>
      <c r="R11" s="79" t="n"/>
      <c r="S11" s="79" t="n"/>
      <c r="T11" s="79" t="n"/>
      <c r="U11" s="79" t="n"/>
      <c r="V11" s="79" t="n"/>
      <c r="W11" s="79" t="n"/>
      <c r="X11" s="79" t="n"/>
      <c r="Y11" s="79" t="n"/>
      <c r="Z11" s="79" t="n"/>
      <c r="AA11" s="79" t="n"/>
      <c r="AB11" s="79" t="n"/>
      <c r="AC11" s="79" t="n"/>
      <c r="AD11" s="79" t="n"/>
      <c r="AE11" s="79" t="n"/>
      <c r="AF11" s="79" t="n"/>
      <c r="AG11" s="79" t="n"/>
      <c r="AH11" s="79" t="n"/>
      <c r="AI11" s="79" t="n"/>
      <c r="AJ11" s="79" t="n"/>
      <c r="AK11" s="79" t="n"/>
      <c r="AL11" s="79" t="n"/>
      <c r="AM11" s="79" t="n"/>
      <c r="AN11" s="79" t="n"/>
      <c r="AO11" s="79" t="n"/>
      <c r="AP11" s="79" t="n"/>
      <c r="AQ11" s="79" t="n"/>
      <c r="AR11" s="79" t="n"/>
      <c r="AS11" s="79" t="n"/>
      <c r="AT11" s="79" t="n"/>
      <c r="AU11" s="79" t="n"/>
      <c r="AV11" s="79" t="n"/>
      <c r="AW11" s="79" t="n"/>
      <c r="AX11" s="79" t="n"/>
      <c r="AY11" s="79" t="n"/>
      <c r="AZ11" s="79" t="n"/>
      <c r="BA11" s="79" t="n"/>
      <c r="BB11" s="79" t="n"/>
      <c r="BC11" s="79" t="n"/>
      <c r="BD11" s="79" t="n"/>
      <c r="BE11" s="79" t="n"/>
      <c r="BF11" s="79" t="n"/>
      <c r="BG11" s="79" t="n"/>
      <c r="BH11" s="79" t="n"/>
      <c r="BI11" s="79" t="n"/>
      <c r="BJ11" s="79" t="n"/>
      <c r="BK11" s="79" t="n"/>
      <c r="BL11" s="79" t="n"/>
      <c r="BM11" s="79" t="n"/>
      <c r="BN11" s="79" t="n"/>
      <c r="BO11" s="79" t="n"/>
      <c r="BP11" s="79" t="n"/>
      <c r="BQ11" s="79" t="n"/>
      <c r="BR11" s="79" t="n"/>
      <c r="BS11" s="79" t="n"/>
      <c r="BT11" s="79" t="n"/>
      <c r="BU11" s="79" t="n"/>
      <c r="BV11" s="79" t="n"/>
      <c r="BW11" s="79" t="n"/>
      <c r="BX11" s="79" t="n"/>
      <c r="BY11" s="79" t="n"/>
      <c r="BZ11" s="79" t="n"/>
      <c r="CA11" s="79" t="n"/>
      <c r="CB11" s="79" t="n"/>
      <c r="CC11" s="79" t="n"/>
      <c r="CD11" s="79" t="n"/>
      <c r="CE11" s="79" t="n"/>
      <c r="CF11" s="79" t="n"/>
      <c r="CG11" s="79" t="n"/>
      <c r="CH11" s="79" t="n"/>
      <c r="CI11" s="79" t="n"/>
      <c r="CJ11" s="79" t="n"/>
      <c r="CK11" s="79" t="n"/>
      <c r="CL11" s="79" t="n"/>
      <c r="CM11" s="79" t="n"/>
      <c r="CN11" s="79" t="n"/>
      <c r="CO11" s="79" t="n"/>
      <c r="CP11" s="79" t="n"/>
      <c r="CQ11" s="79" t="n"/>
      <c r="CR11" s="79" t="n"/>
      <c r="CS11" s="79" t="n"/>
      <c r="CT11" s="80" t="n"/>
      <c r="CU11" s="80" t="n"/>
      <c r="CV11" s="80" t="n"/>
      <c r="CW11" s="80" t="n"/>
      <c r="CX11" s="80" t="n"/>
      <c r="CY11" s="80" t="n"/>
      <c r="CZ11" s="80" t="n"/>
      <c r="DA11" s="80" t="n"/>
      <c r="DB11" s="80" t="n"/>
      <c r="DC11" s="80" t="n"/>
      <c r="DD11" s="80" t="n"/>
      <c r="DE11" s="80" t="n"/>
      <c r="DF11" s="80" t="n"/>
      <c r="DG11" s="80" t="n"/>
      <c r="DH11" s="80" t="n"/>
      <c r="DI11" s="80" t="n"/>
      <c r="DJ11" s="80" t="n"/>
      <c r="DK11" s="80" t="n"/>
      <c r="DL11" s="80" t="n"/>
      <c r="DM11" s="80" t="n"/>
      <c r="DN11" s="79" t="n"/>
      <c r="DO11" s="79" t="n"/>
      <c r="DP11" s="79" t="n"/>
      <c r="DQ11" s="79" t="n"/>
      <c r="DR11" s="79" t="n"/>
      <c r="DS11" s="79" t="n"/>
      <c r="DT11" s="79" t="n"/>
      <c r="DU11" s="79" t="n"/>
      <c r="DV11" s="79" t="n"/>
      <c r="DW11" s="79" t="n"/>
      <c r="DX11" s="79" t="n"/>
      <c r="DY11" s="79" t="n"/>
      <c r="DZ11" s="79" t="n"/>
      <c r="EA11" s="79" t="n"/>
      <c r="EB11" s="79" t="n"/>
      <c r="EC11" s="79" t="n"/>
      <c r="ED11" s="79" t="n"/>
      <c r="EE11" s="79" t="n"/>
      <c r="EF11" s="79" t="n"/>
      <c r="EG11" s="79" t="n"/>
      <c r="EH11" s="79" t="n"/>
      <c r="EI11" s="79" t="n"/>
      <c r="EJ11" s="79" t="n"/>
      <c r="EK11" s="79" t="n"/>
      <c r="EL11" s="79" t="n"/>
      <c r="EM11" s="79" t="n"/>
      <c r="EN11" s="79" t="n"/>
      <c r="EO11" s="79" t="n"/>
      <c r="EP11" s="79" t="n"/>
      <c r="EQ11" s="79" t="n"/>
      <c r="ER11" s="79" t="n"/>
      <c r="ES11" s="79" t="n"/>
      <c r="ET11" s="79" t="n"/>
      <c r="EU11" s="79" t="n"/>
      <c r="EV11" s="79" t="n"/>
      <c r="EW11" s="79" t="n"/>
      <c r="EX11" s="79" t="n"/>
      <c r="EY11" s="79" t="n"/>
      <c r="EZ11" s="79" t="n"/>
      <c r="FA11" s="79" t="n"/>
      <c r="FB11" s="79" t="n"/>
      <c r="FC11" s="79" t="n"/>
      <c r="FD11" s="79" t="n"/>
      <c r="FE11" s="79" t="n"/>
      <c r="FF11" s="79" t="n"/>
      <c r="FG11" s="79" t="n"/>
      <c r="FH11" s="79" t="n"/>
      <c r="FI11" s="79" t="n"/>
      <c r="FJ11" s="79" t="n"/>
      <c r="FK11" s="79" t="n"/>
      <c r="FL11" s="79" t="n"/>
      <c r="FM11" s="79" t="n"/>
      <c r="FN11" s="79" t="n"/>
      <c r="FO11" s="79" t="n"/>
      <c r="FP11" s="79" t="n"/>
      <c r="FQ11" s="79" t="n"/>
      <c r="FR11" s="79" t="n"/>
      <c r="FS11" s="79" t="n"/>
      <c r="FT11" s="79" t="n"/>
      <c r="FU11" s="79" t="n"/>
      <c r="FV11" s="79" t="n"/>
      <c r="FW11" s="79" t="n"/>
      <c r="FX11" s="79" t="n"/>
      <c r="FY11" s="79" t="n"/>
      <c r="FZ11" s="79" t="n"/>
      <c r="GA11" s="79" t="n"/>
      <c r="GB11" s="79" t="n"/>
      <c r="GC11" s="79" t="n"/>
      <c r="GD11" s="79" t="n"/>
      <c r="GE11" s="79" t="n"/>
      <c r="GF11" s="79" t="n"/>
      <c r="GG11" s="79" t="n"/>
      <c r="GH11" s="79" t="n"/>
      <c r="GI11" s="79" t="n"/>
      <c r="GJ11" s="79" t="n"/>
      <c r="GK11" s="79" t="n"/>
      <c r="GL11" s="79" t="n"/>
      <c r="GM11" s="79" t="n"/>
      <c r="GN11" s="79" t="n"/>
      <c r="GO11" s="79" t="n"/>
      <c r="GP11" s="79" t="n"/>
      <c r="GQ11" s="79" t="n"/>
      <c r="GR11" s="79" t="n"/>
      <c r="GS11" s="79" t="n"/>
      <c r="GT11" s="79" t="n"/>
      <c r="GU11" s="79" t="n"/>
      <c r="GV11" s="79" t="n"/>
      <c r="GW11" s="79" t="n"/>
      <c r="GX11" s="79" t="n"/>
      <c r="GY11" s="79" t="n"/>
      <c r="GZ11" s="79" t="n"/>
      <c r="HA11" s="79" t="n"/>
      <c r="HB11" s="79" t="n"/>
      <c r="HC11" s="79" t="n"/>
      <c r="HD11" s="79" t="n"/>
      <c r="HE11" s="79" t="n"/>
      <c r="HF11" s="79" t="n"/>
      <c r="HG11" s="79" t="n"/>
      <c r="HH11" s="79" t="n"/>
      <c r="HI11" s="79" t="n"/>
      <c r="HJ11" s="79" t="n"/>
      <c r="HK11" s="79" t="n"/>
      <c r="HL11" s="79" t="n"/>
      <c r="HM11" s="79" t="n"/>
      <c r="HN11" s="79" t="n"/>
      <c r="HO11" s="79" t="n"/>
      <c r="HP11" s="79" t="n"/>
      <c r="HQ11" s="79" t="n"/>
      <c r="HR11" s="79" t="n"/>
      <c r="HS11" s="79" t="n"/>
      <c r="HT11" s="79" t="n"/>
      <c r="HU11" s="79" t="n"/>
      <c r="HV11" s="79" t="n"/>
      <c r="HW11" s="79" t="n"/>
      <c r="HX11" s="80" t="n"/>
      <c r="HY11" s="80" t="n"/>
      <c r="HZ11" s="80" t="n"/>
      <c r="IA11" s="80" t="n"/>
      <c r="IB11" s="80" t="n"/>
      <c r="IC11" s="80" t="n"/>
      <c r="ID11" s="80" t="n"/>
      <c r="IE11" s="80" t="n"/>
      <c r="IF11" s="80" t="n"/>
      <c r="IG11" s="80" t="n"/>
      <c r="IH11" s="80" t="n"/>
      <c r="II11" s="80" t="n"/>
      <c r="IK11" s="0" t="inlineStr">
        <is>
          <t>ez_manage.py:1219 top()</t>
        </is>
      </c>
      <c r="IL11" s="0" t="inlineStr">
        <is>
          <t>v12_quick_engine.py:1420 x3</t>
        </is>
      </c>
    </row>
    <row r="12" ht="10.5" customHeight="1" s="67">
      <c r="A12" s="0" t="inlineStr">
        <is>
          <t>REVERSE_ON_EXIT_ENABLED</t>
        </is>
      </c>
      <c r="B12" s="77" t="inlineStr">
        <is>
          <t>False</t>
        </is>
      </c>
      <c r="G12" s="0">
        <f>IFERROR(VLOOKUP($A175&amp;"_"&amp;$B175,Results_Deltas!$A$2:$P$15000,5,FALSE),"")</f>
        <v/>
      </c>
      <c r="H12" s="0">
        <f>IFERROR(VLOOKUP($A175,Results_30d_Deltas!$A$2:$H$5000,7,FALSE)-E174,"")</f>
        <v/>
      </c>
      <c r="I12" s="0">
        <f>IFERROR(VLOOKUP($A175,Results_30d_Deltas!$A$2:$H$5000,6,FALSE),"")</f>
        <v/>
      </c>
      <c r="L12" s="0" t="inlineStr">
        <is>
          <t>YES</t>
        </is>
      </c>
      <c r="M12" s="78" t="n">
        <v>-0.3949269625441762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80" t="n"/>
      <c r="CU12" s="80" t="n"/>
      <c r="CV12" s="80" t="n"/>
      <c r="CW12" s="80" t="n"/>
      <c r="CX12" s="80" t="n"/>
      <c r="CY12" s="80" t="n"/>
      <c r="CZ12" s="80" t="n"/>
      <c r="DA12" s="80" t="n"/>
      <c r="DB12" s="80" t="n"/>
      <c r="DC12" s="80" t="n"/>
      <c r="DD12" s="80" t="n"/>
      <c r="DE12" s="80" t="n"/>
      <c r="DF12" s="80" t="n"/>
      <c r="DG12" s="80" t="n"/>
      <c r="DH12" s="80" t="n"/>
      <c r="DI12" s="80" t="n"/>
      <c r="DJ12" s="80" t="n"/>
      <c r="DK12" s="80" t="n"/>
      <c r="DL12" s="80" t="n"/>
      <c r="DM12" s="80"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79" t="n"/>
      <c r="HJ12" s="79" t="n"/>
      <c r="HK12" s="79" t="n"/>
      <c r="HL12" s="79" t="n"/>
      <c r="HM12" s="79" t="n"/>
      <c r="HN12" s="79" t="n"/>
      <c r="HO12" s="79" t="n"/>
      <c r="HP12" s="79" t="n"/>
      <c r="HQ12" s="79" t="n"/>
      <c r="HR12" s="79" t="n"/>
      <c r="HS12" s="79" t="n"/>
      <c r="HT12" s="79" t="n"/>
      <c r="HU12" s="79" t="n"/>
      <c r="HV12" s="79" t="n"/>
      <c r="HW12" s="79" t="n"/>
      <c r="HX12" s="80" t="n"/>
      <c r="HY12" s="80" t="n"/>
      <c r="HZ12" s="80" t="n"/>
      <c r="IA12" s="80" t="n"/>
      <c r="IB12" s="80" t="n"/>
      <c r="IC12" s="80" t="n"/>
      <c r="ID12" s="80" t="n"/>
      <c r="IE12" s="80" t="n"/>
      <c r="IF12" s="80" t="n"/>
      <c r="IG12" s="80" t="n"/>
      <c r="IH12" s="80" t="n"/>
      <c r="II12" s="80" t="n"/>
      <c r="IK12" s="0" t="inlineStr">
        <is>
          <t>ez_manage.py:1219 top()</t>
        </is>
      </c>
      <c r="IL12" s="0" t="inlineStr">
        <is>
          <t>v12_quick_engine.py:1420 x3</t>
        </is>
      </c>
    </row>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88" t="inlineStr">
        <is>
          <t>DC_BREAK_WAIT_WT15_CLOSE_ENABLED</t>
        </is>
      </c>
      <c r="B3" s="88"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9"/>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86" t="inlineStr">
        <is>
          <t>STDEV_REJECT_EXIT_TF</t>
        </is>
      </c>
      <c r="B3" s="86" t="inlineStr">
        <is>
          <t>D</t>
        </is>
      </c>
      <c r="G3" s="0">
        <f>IFERROR(VLOOKUP($A45&amp;"_"&amp;$B45,Results_Deltas!$A$2:$P$15000,5,FALSE),"")</f>
        <v/>
      </c>
      <c r="H3" s="0">
        <f>IFERROR(VLOOKUP($A45,Results_30d_Deltas!$A$2:$H$5000,7,FALSE)-E44,"")</f>
        <v/>
      </c>
      <c r="I3" s="0">
        <f>IFERROR(VLOOKUP($A45,Results_30d_Deltas!$A$2:$H$5000,6,FALSE),"")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80" t="n"/>
      <c r="GP3" s="80" t="n"/>
      <c r="GQ3" s="80" t="n"/>
      <c r="GR3" s="80" t="n"/>
      <c r="GS3" s="80"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ez_manage.py:4058 top()</t>
        </is>
      </c>
      <c r="IL3" s="0" t="inlineStr">
        <is>
          <t>v12_quick_engine.py:3298 x3</t>
        </is>
      </c>
    </row>
    <row r="4">
      <c r="A4" s="0" t="inlineStr">
        <is>
          <t>STDEV_REJECT_EXIT_TF</t>
        </is>
      </c>
      <c r="B4" s="0" t="inlineStr">
        <is>
          <t>1h</t>
        </is>
      </c>
      <c r="G4" s="0">
        <f>IFERROR(VLOOKUP($A47&amp;"_"&amp;$B47,Results_Deltas!$A$2:$P$15000,5,FALSE),"")</f>
        <v/>
      </c>
      <c r="H4" s="0">
        <f>IFERROR(VLOOKUP($A47,Results_30d_Deltas!$A$2:$H$5000,7,FALSE)-E46,"")</f>
        <v/>
      </c>
      <c r="I4" s="0">
        <f>IFERROR(VLOOKUP($A47,Results_30d_Deltas!$A$2:$H$5000,6,FALSE),"")</f>
        <v/>
      </c>
      <c r="L4" s="0" t="inlineStr">
        <is>
          <t>NO</t>
        </is>
      </c>
      <c r="M4" s="79" t="n"/>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80" t="n"/>
      <c r="GP4" s="80" t="n"/>
      <c r="GQ4" s="80" t="n"/>
      <c r="GR4" s="80" t="n"/>
      <c r="GS4" s="80"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ez_manage.py:4058 top()</t>
        </is>
      </c>
      <c r="IL4" s="0" t="inlineStr">
        <is>
          <t>v12_quick_engine.py:3298 x3</t>
        </is>
      </c>
    </row>
    <row r="5">
      <c r="A5" s="88" t="inlineStr">
        <is>
          <t>BULL_HOLD_EXIT_DELAY_BARS</t>
        </is>
      </c>
      <c r="B5" s="88" t="inlineStr">
        <is>
          <t>0</t>
        </is>
      </c>
      <c r="C5" s="0" t="inlineStr">
        <is>
          <t>24</t>
        </is>
      </c>
    </row>
    <row r="6">
      <c r="A6" s="0" t="inlineStr">
        <is>
          <t>BULL_HOLD_EXIT_DELAY_BARS</t>
        </is>
      </c>
      <c r="B6" s="0" t="inlineStr">
        <is>
          <t>0</t>
        </is>
      </c>
      <c r="C6" s="0" t="inlineStr">
        <is>
          <t>48</t>
        </is>
      </c>
    </row>
    <row r="7">
      <c r="A7" s="0" t="inlineStr">
        <is>
          <t>BULL_HOLD_EXIT_DELAY_BARS</t>
        </is>
      </c>
      <c r="B7" s="0" t="inlineStr">
        <is>
          <t>1</t>
        </is>
      </c>
      <c r="C7" s="0" t="inlineStr">
        <is>
          <t>24</t>
        </is>
      </c>
    </row>
    <row r="8">
      <c r="A8" s="88" t="inlineStr">
        <is>
          <t>WT_15M_LH_WAIT_EXIT_ENABLED</t>
        </is>
      </c>
      <c r="B8" s="88" t="inlineStr">
        <is>
          <t>False</t>
        </is>
      </c>
      <c r="D8" s="0" t="inlineStr">
        <is>
          <t>WT_WAIT</t>
        </is>
      </c>
      <c r="E8" s="0">
        <f>IF(G259="",E258,IF(G259&gt;0,E258+G259,E258))</f>
        <v/>
      </c>
      <c r="F8" s="0">
        <f>IFERROR(VLOOKUP($A259&amp;"_"&amp;$B259,Results_Deltas!$A$2:$P$15000,5,FALSE),"")</f>
        <v/>
      </c>
      <c r="G8" s="0">
        <f>IFERROR(VLOOKUP($A259&amp;"_"&amp;$B259,Results_Deltas!$A$2:$P$15000,5,FALSE),"")</f>
        <v/>
      </c>
    </row>
    <row r="9">
      <c r="A9" s="88" t="inlineStr">
        <is>
          <t>WT_DIVERGENCE_VV_SHORT_EXIT_ENABLED</t>
        </is>
      </c>
      <c r="B9" s="88" t="inlineStr">
        <is>
          <t>False</t>
        </is>
      </c>
      <c r="D9" s="0" t="inlineStr">
        <is>
          <t>WT_WAIT</t>
        </is>
      </c>
      <c r="E9" s="0">
        <f>IF(G260="",E259,IF(G260&gt;0,E259+G260,E259))</f>
        <v/>
      </c>
      <c r="F9" s="0">
        <f>IFERROR(VLOOKUP($A260&amp;"_"&amp;$B260,Results_Deltas!$A$2:$P$15000,5,FALSE),"")</f>
        <v/>
      </c>
      <c r="G9" s="0">
        <f>IFERROR(VLOOKUP($A260&amp;"_"&amp;$B260,Results_Deltas!$A$2:$P$15000,5,FALSE),"")</f>
        <v/>
      </c>
    </row>
    <row r="10">
      <c r="A10" s="88" t="inlineStr">
        <is>
          <t>EXIT_BLOCKER_REQUIRE_LH_LL_ENABLED</t>
        </is>
      </c>
      <c r="B10" s="8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c r="A11" s="0" t="inlineStr">
        <is>
          <t>WT_15M_LH_WAIT_EXIT_ENABLED</t>
        </is>
      </c>
      <c r="B11" s="0" t="b">
        <v>1</v>
      </c>
      <c r="D11" s="0" t="inlineStr">
        <is>
          <t>WT_WAIT</t>
        </is>
      </c>
      <c r="E11" s="0">
        <f>IF(G259="",E258,IF(G259&gt;0,E258+G259,E258))</f>
        <v/>
      </c>
      <c r="F11" s="0">
        <f>IFERROR(VLOOKUP($A259&amp;"_"&amp;$B259,Results_Deltas!$A$2:$P$15000,5,FALSE),"")</f>
        <v/>
      </c>
      <c r="G11" s="0">
        <f>IFERROR(VLOOKUP($A259&amp;"_"&amp;$B259,Results_Deltas!$A$2:$P$15000,5,FALSE),"")</f>
        <v/>
      </c>
    </row>
    <row r="12">
      <c r="A12" s="0" t="inlineStr">
        <is>
          <t>WT_DIVERGENCE_VV_SHORT_EXIT_ENABLED</t>
        </is>
      </c>
      <c r="B12" s="0" t="b">
        <v>1</v>
      </c>
      <c r="D12" s="0" t="inlineStr">
        <is>
          <t>WT_WAIT</t>
        </is>
      </c>
      <c r="E12" s="0">
        <f>IF(G260="",E259,IF(G260&gt;0,E259+G260,E259))</f>
        <v/>
      </c>
      <c r="F12" s="0">
        <f>IFERROR(VLOOKUP($A260&amp;"_"&amp;$B260,Results_Deltas!$A$2:$P$15000,5,FALSE),"")</f>
        <v/>
      </c>
      <c r="G12" s="0">
        <f>IFERROR(VLOOKUP($A260&amp;"_"&amp;$B260,Results_Deltas!$A$2:$P$15000,5,FALSE),"")</f>
        <v/>
      </c>
    </row>
    <row r="13">
      <c r="A13" s="0" t="inlineStr">
        <is>
          <t>EXIT_BLOCKER_REQUIRE_LH_LL_ENABLED</t>
        </is>
      </c>
      <c r="B13" s="0" t="b">
        <v>1</v>
      </c>
      <c r="D13" s="0" t="inlineStr">
        <is>
          <t>EXIT_BLOCKER</t>
        </is>
      </c>
      <c r="E13" s="0">
        <f>IF(G261="",E260,IF(G261&gt;0,E260+G261,E260))</f>
        <v/>
      </c>
      <c r="F13" s="0">
        <f>IFERROR(VLOOKUP($A261&amp;"_"&amp;$B261,Results_Deltas!$A$2:$P$15000,5,FALSE),"")</f>
        <v/>
      </c>
      <c r="G13" s="0">
        <f>IFERROR(VLOOKUP($A261&amp;"_"&amp;$B261,Results_Deltas!$A$2:$P$15000,5,FALSE),"")</f>
        <v/>
      </c>
    </row>
    <row r="14">
      <c r="A14" s="88" t="inlineStr">
        <is>
          <t>WT_4H_VEL_EXIT_K_EXTREME_LOW</t>
        </is>
      </c>
      <c r="B14" s="88" t="inlineStr">
        <is>
          <t>2.0</t>
        </is>
      </c>
      <c r="G14" s="0">
        <f>IFERROR(VLOOKUP($A62&amp;"_"&amp;$B62,Results_Deltas!$A$2:$P$15000,5,FALSE),"")</f>
        <v/>
      </c>
      <c r="H14" s="0">
        <f>IFERROR(VLOOKUP($A62,Results_30d_Deltas!$A$2:$H$5000,7,FALSE)-E61,"")</f>
        <v/>
      </c>
      <c r="I14" s="0">
        <f>IFERROR(VLOOKUP($A62,Results_30d_Deltas!$A$2:$H$5000,6,FALSE),"")</f>
        <v/>
      </c>
      <c r="L14" s="0" t="inlineStr">
        <is>
          <t>NO</t>
        </is>
      </c>
      <c r="M14" s="79" t="n"/>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79" t="n"/>
      <c r="DO14" s="79" t="n"/>
      <c r="DP14" s="79" t="n"/>
      <c r="DQ14" s="79" t="n"/>
      <c r="DR14" s="79" t="n"/>
      <c r="DS14" s="79" t="n"/>
      <c r="DT14" s="79" t="n"/>
      <c r="DU14" s="79" t="n"/>
      <c r="DV14" s="79" t="n"/>
      <c r="DW14" s="79" t="n"/>
      <c r="DX14" s="79" t="n"/>
      <c r="DY14" s="79" t="n"/>
      <c r="DZ14" s="79" t="n"/>
      <c r="EA14" s="79" t="n"/>
      <c r="EB14" s="79"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79" t="n"/>
      <c r="HE14" s="79" t="n"/>
      <c r="HF14" s="79" t="n"/>
      <c r="HG14" s="79" t="n"/>
      <c r="HH14" s="79" t="n"/>
      <c r="HI14" s="79" t="n"/>
      <c r="HJ14" s="79" t="n"/>
      <c r="HK14" s="79" t="n"/>
      <c r="HL14" s="79" t="n"/>
      <c r="HM14" s="79"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ez_manage.py:5878 top()</t>
        </is>
      </c>
      <c r="IL14" s="0" t="inlineStr">
        <is>
          <t>v12_quick_engine.py:3697 x5</t>
        </is>
      </c>
    </row>
    <row r="15">
      <c r="A15" s="30" t="inlineStr">
        <is>
          <t>WT_4H_VEL_EXIT_K_EXTREME_LOW</t>
        </is>
      </c>
      <c r="B15" s="30" t="inlineStr">
        <is>
          <t>0</t>
        </is>
      </c>
      <c r="C15" s="30" t="n"/>
      <c r="D15" s="30" t="n"/>
      <c r="E15" s="30" t="n"/>
      <c r="F15" s="30" t="n"/>
      <c r="G15" s="30">
        <f>IFERROR(VLOOKUP($A59&amp;"_"&amp;$B59,Results_Deltas!$A$2:$P$15000,5,FALSE),"")</f>
        <v/>
      </c>
      <c r="H15" s="30">
        <f>IFERROR(VLOOKUP($A59,Results_30d_Deltas!$A$2:$H$5000,7,FALSE)-E58,"")</f>
        <v/>
      </c>
      <c r="I15" s="30">
        <f>IFERROR(VLOOKUP($A59,Results_30d_Deltas!$A$2:$H$5000,6,FALSE),"")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ez_manage.py:5878 top()</t>
        </is>
      </c>
      <c r="IL15" s="30" t="inlineStr">
        <is>
          <t>v12_quick_engine.py:3697 x5</t>
        </is>
      </c>
      <c r="IM15" s="30" t="n"/>
    </row>
    <row r="16">
      <c r="A16" s="88" t="inlineStr">
        <is>
          <t>WT_4H_VEL_EXIT_K_EXTREME_HIGH</t>
        </is>
      </c>
      <c r="B16" s="88" t="inlineStr">
        <is>
          <t>1.0</t>
        </is>
      </c>
      <c r="G16" s="0">
        <f>IFERROR(VLOOKUP($A57&amp;"_"&amp;$B57,Results_Deltas!$A$2:$P$15000,5,FALSE),"")</f>
        <v/>
      </c>
      <c r="H16" s="0">
        <f>IFERROR(VLOOKUP($A57,Results_30d_Deltas!$A$2:$H$5000,7,FALSE)-E56,"")</f>
        <v/>
      </c>
      <c r="I16" s="0">
        <f>IFERROR(VLOOKUP($A57,Results_30d_Deltas!$A$2:$H$5000,6,FALSE),"")</f>
        <v/>
      </c>
      <c r="L16" s="0" t="inlineStr">
        <is>
          <t>NO</t>
        </is>
      </c>
      <c r="M16" s="79" t="n"/>
      <c r="N16" s="79" t="n"/>
      <c r="O16" s="79" t="n"/>
      <c r="P16" s="79" t="n"/>
      <c r="Q16" s="79" t="n"/>
      <c r="R16" s="79" t="n"/>
      <c r="S16" s="79" t="n"/>
      <c r="T16" s="79" t="n"/>
      <c r="U16" s="79" t="n"/>
      <c r="V16" s="79" t="n"/>
      <c r="W16" s="79" t="n"/>
      <c r="X16" s="79" t="n"/>
      <c r="Y16" s="79" t="n"/>
      <c r="Z16" s="79" t="n"/>
      <c r="AA16" s="79" t="n"/>
      <c r="AB16" s="79" t="n"/>
      <c r="AC16" s="79" t="n"/>
      <c r="AD16" s="79" t="n"/>
      <c r="AE16" s="79" t="n"/>
      <c r="AF16" s="79" t="n"/>
      <c r="AG16" s="79" t="n"/>
      <c r="AH16" s="79" t="n"/>
      <c r="AI16" s="79" t="n"/>
      <c r="AJ16" s="79" t="n"/>
      <c r="AK16" s="79" t="n"/>
      <c r="AL16" s="79" t="n"/>
      <c r="AM16" s="79" t="n"/>
      <c r="AN16" s="79" t="n"/>
      <c r="AO16" s="79" t="n"/>
      <c r="AP16" s="79" t="n"/>
      <c r="AQ16" s="79" t="n"/>
      <c r="AR16" s="79" t="n"/>
      <c r="AS16" s="79" t="n"/>
      <c r="AT16" s="79" t="n"/>
      <c r="AU16" s="79" t="n"/>
      <c r="AV16" s="79" t="n"/>
      <c r="AW16" s="79" t="n"/>
      <c r="AX16" s="79" t="n"/>
      <c r="AY16" s="79" t="n"/>
      <c r="AZ16" s="79" t="n"/>
      <c r="BA16" s="79" t="n"/>
      <c r="BB16" s="79" t="n"/>
      <c r="BC16" s="79" t="n"/>
      <c r="BD16" s="79" t="n"/>
      <c r="BE16" s="79" t="n"/>
      <c r="BF16" s="79" t="n"/>
      <c r="BG16" s="79" t="n"/>
      <c r="BH16" s="79" t="n"/>
      <c r="BI16" s="79" t="n"/>
      <c r="BJ16" s="79" t="n"/>
      <c r="BK16" s="79" t="n"/>
      <c r="BL16" s="79" t="n"/>
      <c r="BM16" s="79" t="n"/>
      <c r="BN16" s="79" t="n"/>
      <c r="BO16" s="79" t="n"/>
      <c r="BP16" s="79" t="n"/>
      <c r="BQ16" s="79" t="n"/>
      <c r="BR16" s="79" t="n"/>
      <c r="BS16" s="79" t="n"/>
      <c r="BT16" s="79" t="n"/>
      <c r="BU16" s="79" t="n"/>
      <c r="BV16" s="79" t="n"/>
      <c r="BW16" s="79" t="n"/>
      <c r="BX16" s="79" t="n"/>
      <c r="BY16" s="79" t="n"/>
      <c r="BZ16" s="79" t="n"/>
      <c r="CA16" s="79" t="n"/>
      <c r="CB16" s="79" t="n"/>
      <c r="CC16" s="79" t="n"/>
      <c r="CD16" s="79" t="n"/>
      <c r="CE16" s="79" t="n"/>
      <c r="CF16" s="79" t="n"/>
      <c r="CG16" s="79" t="n"/>
      <c r="CH16" s="79" t="n"/>
      <c r="CI16" s="79" t="n"/>
      <c r="CJ16" s="79" t="n"/>
      <c r="CK16" s="79" t="n"/>
      <c r="CL16" s="79" t="n"/>
      <c r="CM16" s="79" t="n"/>
      <c r="CN16" s="79" t="n"/>
      <c r="CO16" s="79" t="n"/>
      <c r="CP16" s="79" t="n"/>
      <c r="CQ16" s="79" t="n"/>
      <c r="CR16" s="79" t="n"/>
      <c r="CS16" s="79" t="n"/>
      <c r="CT16" s="80" t="n"/>
      <c r="CU16" s="80" t="n"/>
      <c r="CV16" s="80" t="n"/>
      <c r="CW16" s="80" t="n"/>
      <c r="CX16" s="80" t="n"/>
      <c r="CY16" s="80" t="n"/>
      <c r="CZ16" s="80" t="n"/>
      <c r="DA16" s="80" t="n"/>
      <c r="DB16" s="80" t="n"/>
      <c r="DC16" s="80" t="n"/>
      <c r="DD16" s="80" t="n"/>
      <c r="DE16" s="80" t="n"/>
      <c r="DF16" s="80" t="n"/>
      <c r="DG16" s="80" t="n"/>
      <c r="DH16" s="80" t="n"/>
      <c r="DI16" s="80" t="n"/>
      <c r="DJ16" s="80" t="n"/>
      <c r="DK16" s="80" t="n"/>
      <c r="DL16" s="80" t="n"/>
      <c r="DM16" s="80" t="n"/>
      <c r="DN16" s="79" t="n"/>
      <c r="DO16" s="79" t="n"/>
      <c r="DP16" s="79" t="n"/>
      <c r="DQ16" s="79" t="n"/>
      <c r="DR16" s="79" t="n"/>
      <c r="DS16" s="79" t="n"/>
      <c r="DT16" s="79" t="n"/>
      <c r="DU16" s="79" t="n"/>
      <c r="DV16" s="79" t="n"/>
      <c r="DW16" s="79" t="n"/>
      <c r="DX16" s="79" t="n"/>
      <c r="DY16" s="79" t="n"/>
      <c r="DZ16" s="79" t="n"/>
      <c r="EA16" s="79" t="n"/>
      <c r="EB16" s="79" t="n"/>
      <c r="EC16" s="79" t="n"/>
      <c r="ED16" s="79" t="n"/>
      <c r="EE16" s="79" t="n"/>
      <c r="EF16" s="79" t="n"/>
      <c r="EG16" s="79" t="n"/>
      <c r="EH16" s="79" t="n"/>
      <c r="EI16" s="79" t="n"/>
      <c r="EJ16" s="79" t="n"/>
      <c r="EK16" s="79" t="n"/>
      <c r="EL16" s="79" t="n"/>
      <c r="EM16" s="79" t="n"/>
      <c r="EN16" s="79" t="n"/>
      <c r="EO16" s="79" t="n"/>
      <c r="EP16" s="79" t="n"/>
      <c r="EQ16" s="79" t="n"/>
      <c r="ER16" s="79" t="n"/>
      <c r="ES16" s="79" t="n"/>
      <c r="ET16" s="79" t="n"/>
      <c r="EU16" s="79" t="n"/>
      <c r="EV16" s="79" t="n"/>
      <c r="EW16" s="79" t="n"/>
      <c r="EX16" s="79" t="n"/>
      <c r="EY16" s="79" t="n"/>
      <c r="EZ16" s="79" t="n"/>
      <c r="FA16" s="79" t="n"/>
      <c r="FB16" s="79" t="n"/>
      <c r="FC16" s="79" t="n"/>
      <c r="FD16" s="79" t="n"/>
      <c r="FE16" s="79" t="n"/>
      <c r="FF16" s="79" t="n"/>
      <c r="FG16" s="79" t="n"/>
      <c r="FH16" s="79" t="n"/>
      <c r="FI16" s="79" t="n"/>
      <c r="FJ16" s="79" t="n"/>
      <c r="FK16" s="79" t="n"/>
      <c r="FL16" s="79" t="n"/>
      <c r="FM16" s="79" t="n"/>
      <c r="FN16" s="79" t="n"/>
      <c r="FO16" s="79" t="n"/>
      <c r="FP16" s="79" t="n"/>
      <c r="FQ16" s="79" t="n"/>
      <c r="FR16" s="79" t="n"/>
      <c r="FS16" s="79" t="n"/>
      <c r="FT16" s="79" t="n"/>
      <c r="FU16" s="79" t="n"/>
      <c r="FV16" s="79" t="n"/>
      <c r="FW16" s="79" t="n"/>
      <c r="FX16" s="79" t="n"/>
      <c r="FY16" s="79" t="n"/>
      <c r="FZ16" s="79" t="n"/>
      <c r="GA16" s="79" t="n"/>
      <c r="GB16" s="79" t="n"/>
      <c r="GC16" s="79" t="n"/>
      <c r="GD16" s="79" t="n"/>
      <c r="GE16" s="79" t="n"/>
      <c r="GF16" s="79" t="n"/>
      <c r="GG16" s="79" t="n"/>
      <c r="GH16" s="79" t="n"/>
      <c r="GI16" s="79" t="n"/>
      <c r="GJ16" s="79" t="n"/>
      <c r="GK16" s="79" t="n"/>
      <c r="GL16" s="79" t="n"/>
      <c r="GM16" s="79" t="n"/>
      <c r="GN16" s="79" t="n"/>
      <c r="GO16" s="79" t="n"/>
      <c r="GP16" s="79" t="n"/>
      <c r="GQ16" s="79" t="n"/>
      <c r="GR16" s="79" t="n"/>
      <c r="GS16" s="79" t="n"/>
      <c r="GT16" s="79" t="n"/>
      <c r="GU16" s="79" t="n"/>
      <c r="GV16" s="79" t="n"/>
      <c r="GW16" s="79" t="n"/>
      <c r="GX16" s="79" t="n"/>
      <c r="GY16" s="79" t="n"/>
      <c r="GZ16" s="79" t="n"/>
      <c r="HA16" s="79" t="n"/>
      <c r="HB16" s="79" t="n"/>
      <c r="HC16" s="79" t="n"/>
      <c r="HD16" s="79" t="n"/>
      <c r="HE16" s="79" t="n"/>
      <c r="HF16" s="79" t="n"/>
      <c r="HG16" s="79" t="n"/>
      <c r="HH16" s="79" t="n"/>
      <c r="HI16" s="79" t="n"/>
      <c r="HJ16" s="79" t="n"/>
      <c r="HK16" s="79" t="n"/>
      <c r="HL16" s="79" t="n"/>
      <c r="HM16" s="79" t="n"/>
      <c r="HN16" s="79" t="n"/>
      <c r="HO16" s="79" t="n"/>
      <c r="HP16" s="79" t="n"/>
      <c r="HQ16" s="79" t="n"/>
      <c r="HR16" s="79" t="n"/>
      <c r="HS16" s="79" t="n"/>
      <c r="HT16" s="79" t="n"/>
      <c r="HU16" s="79" t="n"/>
      <c r="HV16" s="79" t="n"/>
      <c r="HW16" s="79" t="n"/>
      <c r="HX16" s="79" t="n"/>
      <c r="HY16" s="79" t="n"/>
      <c r="HZ16" s="79" t="n"/>
      <c r="IA16" s="79" t="n"/>
      <c r="IB16" s="79" t="n"/>
      <c r="IC16" s="79" t="n"/>
      <c r="ID16" s="79" t="n"/>
      <c r="IE16" s="79" t="n"/>
      <c r="IF16" s="79" t="n"/>
      <c r="IG16" s="79" t="n"/>
      <c r="IH16" s="79" t="n"/>
      <c r="II16" s="79" t="n"/>
      <c r="IK16" s="0" t="inlineStr">
        <is>
          <t>ez_manage.py:5877 top()</t>
        </is>
      </c>
      <c r="IL16" s="0" t="inlineStr">
        <is>
          <t>v12_quick_engine.py:3696 x5</t>
        </is>
      </c>
    </row>
    <row r="17">
      <c r="A17" s="30" t="inlineStr">
        <is>
          <t>WT_4H_VEL_EXIT_K_EXTREME_HIGH</t>
        </is>
      </c>
      <c r="B17" s="30" t="inlineStr">
        <is>
          <t>0</t>
        </is>
      </c>
      <c r="C17" s="30" t="n"/>
      <c r="D17" s="30" t="n"/>
      <c r="E17" s="30" t="n"/>
      <c r="F17" s="30" t="n"/>
      <c r="G17" s="30">
        <f>IFERROR(VLOOKUP($A55&amp;"_"&amp;$B55,Results_Deltas!$A$2:$P$15000,5,FALSE),"")</f>
        <v/>
      </c>
      <c r="H17" s="30">
        <f>IFERROR(VLOOKUP($A55,Results_30d_Deltas!$A$2:$H$5000,7,FALSE)-E54,"")</f>
        <v/>
      </c>
      <c r="I17" s="30">
        <f>IFERROR(VLOOKUP($A55,Results_30d_Deltas!$A$2:$H$5000,6,FALSE),"")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ez_manage.py:5877 top()</t>
        </is>
      </c>
      <c r="IL17" s="30" t="inlineStr">
        <is>
          <t>v12_quick_engine.py:3696 x5</t>
        </is>
      </c>
      <c r="IM17" s="30" t="n"/>
    </row>
    <row r="18">
      <c r="A18" s="86" t="inlineStr">
        <is>
          <t>E_1_WT_EXIT_USE_DELTA_ENABLED</t>
        </is>
      </c>
      <c r="B18" s="86" t="inlineStr">
        <is>
          <t>True</t>
        </is>
      </c>
      <c r="G18" s="0">
        <f>IFERROR(VLOOKUP($A14&amp;"_"&amp;$B14,Results_Deltas!$A$2:$P$15000,5,FALSE),"")</f>
        <v/>
      </c>
      <c r="H18" s="0">
        <f>IFERROR(VLOOKUP($A14,Results_30d_Deltas!$A$2:$H$5000,7,FALSE)-E13,"")</f>
        <v/>
      </c>
      <c r="I18" s="0">
        <f>IFERROR(VLOOKUP($A14,Results_30d_Deltas!$A$2:$H$5000,6,FALSE),"")</f>
        <v/>
      </c>
      <c r="L18" s="0" t="inlineStr">
        <is>
          <t>NO</t>
        </is>
      </c>
      <c r="M18" s="79" t="n"/>
      <c r="N18" s="79" t="n"/>
      <c r="O18" s="79" t="n"/>
      <c r="P18" s="79" t="n"/>
      <c r="Q18" s="79" t="n"/>
      <c r="R18" s="79" t="n"/>
      <c r="S18" s="79" t="n"/>
      <c r="T18" s="79" t="n"/>
      <c r="U18" s="79" t="n"/>
      <c r="V18" s="79" t="n"/>
      <c r="W18" s="79" t="n"/>
      <c r="X18" s="79" t="n"/>
      <c r="Y18" s="79" t="n"/>
      <c r="Z18" s="79" t="n"/>
      <c r="AA18" s="79" t="n"/>
      <c r="AB18" s="79" t="n"/>
      <c r="AC18" s="79" t="n"/>
      <c r="AD18" s="79" t="n"/>
      <c r="AE18" s="79" t="n"/>
      <c r="AF18" s="79" t="n"/>
      <c r="AG18" s="79" t="n"/>
      <c r="AH18" s="79" t="n"/>
      <c r="AI18" s="79" t="n"/>
      <c r="AJ18" s="79" t="n"/>
      <c r="AK18" s="79" t="n"/>
      <c r="AL18" s="79" t="n"/>
      <c r="AM18" s="79" t="n"/>
      <c r="AN18" s="79" t="n"/>
      <c r="AO18" s="79" t="n"/>
      <c r="AP18" s="79" t="n"/>
      <c r="AQ18" s="79" t="n"/>
      <c r="AR18" s="79" t="n"/>
      <c r="AS18" s="79" t="n"/>
      <c r="AT18" s="79" t="n"/>
      <c r="AU18" s="79" t="n"/>
      <c r="AV18" s="79" t="n"/>
      <c r="AW18" s="79" t="n"/>
      <c r="AX18" s="79" t="n"/>
      <c r="AY18" s="79" t="n"/>
      <c r="AZ18" s="79" t="n"/>
      <c r="BA18" s="79" t="n"/>
      <c r="BB18" s="79" t="n"/>
      <c r="BC18" s="79" t="n"/>
      <c r="BD18" s="79" t="n"/>
      <c r="BE18" s="79" t="n"/>
      <c r="BF18" s="79" t="n"/>
      <c r="BG18" s="79" t="n"/>
      <c r="BH18" s="79" t="n"/>
      <c r="BI18" s="79" t="n"/>
      <c r="BJ18" s="79" t="n"/>
      <c r="BK18" s="79" t="n"/>
      <c r="BL18" s="79" t="n"/>
      <c r="BM18" s="79" t="n"/>
      <c r="BN18" s="79" t="n"/>
      <c r="BO18" s="79" t="n"/>
      <c r="BP18" s="79" t="n"/>
      <c r="BQ18" s="79" t="n"/>
      <c r="BR18" s="79" t="n"/>
      <c r="BS18" s="79" t="n"/>
      <c r="BT18" s="79" t="n"/>
      <c r="BU18" s="79" t="n"/>
      <c r="BV18" s="79" t="n"/>
      <c r="BW18" s="79" t="n"/>
      <c r="BX18" s="79" t="n"/>
      <c r="BY18" s="79" t="n"/>
      <c r="BZ18" s="80" t="n"/>
      <c r="CA18" s="80" t="n"/>
      <c r="CB18" s="80" t="n"/>
      <c r="CC18" s="80" t="n"/>
      <c r="CD18" s="80" t="n"/>
      <c r="CE18" s="79" t="n"/>
      <c r="CF18" s="79" t="n"/>
      <c r="CG18" s="79" t="n"/>
      <c r="CH18" s="79" t="n"/>
      <c r="CI18" s="79" t="n"/>
      <c r="CJ18" s="79" t="n"/>
      <c r="CK18" s="79" t="n"/>
      <c r="CL18" s="79" t="n"/>
      <c r="CM18" s="79" t="n"/>
      <c r="CN18" s="79" t="n"/>
      <c r="CO18" s="79" t="n"/>
      <c r="CP18" s="79" t="n"/>
      <c r="CQ18" s="79" t="n"/>
      <c r="CR18" s="79" t="n"/>
      <c r="CS18" s="79" t="n"/>
      <c r="CT18" s="80" t="n"/>
      <c r="CU18" s="80" t="n"/>
      <c r="CV18" s="80" t="n"/>
      <c r="CW18" s="80" t="n"/>
      <c r="CX18" s="80" t="n"/>
      <c r="CY18" s="80" t="n"/>
      <c r="CZ18" s="80" t="n"/>
      <c r="DA18" s="80" t="n"/>
      <c r="DB18" s="80" t="n"/>
      <c r="DC18" s="80" t="n"/>
      <c r="DD18" s="80" t="n"/>
      <c r="DE18" s="80" t="n"/>
      <c r="DF18" s="80" t="n"/>
      <c r="DG18" s="80" t="n"/>
      <c r="DH18" s="80" t="n"/>
      <c r="DI18" s="80" t="n"/>
      <c r="DJ18" s="80" t="n"/>
      <c r="DK18" s="80" t="n"/>
      <c r="DL18" s="80" t="n"/>
      <c r="DM18" s="80" t="n"/>
      <c r="DN18" s="79" t="n"/>
      <c r="DO18" s="79" t="n"/>
      <c r="DP18" s="79" t="n"/>
      <c r="DQ18" s="79" t="n"/>
      <c r="DR18" s="79" t="n"/>
      <c r="DS18" s="79" t="n"/>
      <c r="DT18" s="79" t="n"/>
      <c r="DU18" s="79" t="n"/>
      <c r="DV18" s="79" t="n"/>
      <c r="DW18" s="79" t="n"/>
      <c r="DX18" s="79" t="n"/>
      <c r="DY18" s="79" t="n"/>
      <c r="DZ18" s="79" t="n"/>
      <c r="EA18" s="79" t="n"/>
      <c r="EB18" s="79" t="n"/>
      <c r="EC18" s="79" t="n"/>
      <c r="ED18" s="79" t="n"/>
      <c r="EE18" s="79" t="n"/>
      <c r="EF18" s="79" t="n"/>
      <c r="EG18" s="79" t="n"/>
      <c r="EH18" s="79" t="n"/>
      <c r="EI18" s="79" t="n"/>
      <c r="EJ18" s="79" t="n"/>
      <c r="EK18" s="79" t="n"/>
      <c r="EL18" s="79" t="n"/>
      <c r="EM18" s="79" t="n"/>
      <c r="EN18" s="79" t="n"/>
      <c r="EO18" s="79" t="n"/>
      <c r="EP18" s="79" t="n"/>
      <c r="EQ18" s="79" t="n"/>
      <c r="ER18" s="79" t="n"/>
      <c r="ES18" s="79" t="n"/>
      <c r="ET18" s="79" t="n"/>
      <c r="EU18" s="79" t="n"/>
      <c r="EV18" s="79" t="n"/>
      <c r="EW18" s="79" t="n"/>
      <c r="EX18" s="79" t="n"/>
      <c r="EY18" s="79" t="n"/>
      <c r="EZ18" s="79" t="n"/>
      <c r="FA18" s="79" t="n"/>
      <c r="FB18" s="79" t="n"/>
      <c r="FC18" s="79" t="n"/>
      <c r="FD18" s="79" t="n"/>
      <c r="FE18" s="79" t="n"/>
      <c r="FF18" s="79" t="n"/>
      <c r="FG18" s="79" t="n"/>
      <c r="FH18" s="79" t="n"/>
      <c r="FI18" s="79" t="n"/>
      <c r="FJ18" s="79" t="n"/>
      <c r="FK18" s="79" t="n"/>
      <c r="FL18" s="79" t="n"/>
      <c r="FM18" s="79" t="n"/>
      <c r="FN18" s="79" t="n"/>
      <c r="FO18" s="79" t="n"/>
      <c r="FP18" s="79" t="n"/>
      <c r="FQ18" s="79" t="n"/>
      <c r="FR18" s="79" t="n"/>
      <c r="FS18" s="79" t="n"/>
      <c r="FT18" s="79" t="n"/>
      <c r="FU18" s="79" t="n"/>
      <c r="FV18" s="79" t="n"/>
      <c r="FW18" s="79" t="n"/>
      <c r="FX18" s="79" t="n"/>
      <c r="FY18" s="79" t="n"/>
      <c r="FZ18" s="79" t="n"/>
      <c r="GA18" s="79" t="n"/>
      <c r="GB18" s="79" t="n"/>
      <c r="GC18" s="79" t="n"/>
      <c r="GD18" s="79" t="n"/>
      <c r="GE18" s="79" t="n"/>
      <c r="GF18" s="79" t="n"/>
      <c r="GG18" s="79" t="n"/>
      <c r="GH18" s="79" t="n"/>
      <c r="GI18" s="79" t="n"/>
      <c r="GJ18" s="79" t="n"/>
      <c r="GK18" s="79" t="n"/>
      <c r="GL18" s="79" t="n"/>
      <c r="GM18" s="79" t="n"/>
      <c r="GN18" s="79" t="n"/>
      <c r="GO18" s="79" t="n"/>
      <c r="GP18" s="79" t="n"/>
      <c r="GQ18" s="79" t="n"/>
      <c r="GR18" s="79" t="n"/>
      <c r="GS18" s="79" t="n"/>
      <c r="GT18" s="79" t="n"/>
      <c r="GU18" s="79" t="n"/>
      <c r="GV18" s="79" t="n"/>
      <c r="GW18" s="79" t="n"/>
      <c r="GX18" s="79" t="n"/>
      <c r="GY18" s="79" t="n"/>
      <c r="GZ18" s="79" t="n"/>
      <c r="HA18" s="79" t="n"/>
      <c r="HB18" s="79" t="n"/>
      <c r="HC18" s="79" t="n"/>
      <c r="HD18" s="79" t="n"/>
      <c r="HE18" s="79" t="n"/>
      <c r="HF18" s="79" t="n"/>
      <c r="HG18" s="79" t="n"/>
      <c r="HH18" s="79" t="n"/>
      <c r="HI18" s="79" t="n"/>
      <c r="HJ18" s="79" t="n"/>
      <c r="HK18" s="79" t="n"/>
      <c r="HL18" s="79" t="n"/>
      <c r="HM18" s="79" t="n"/>
      <c r="HN18" s="79" t="n"/>
      <c r="HO18" s="79" t="n"/>
      <c r="HP18" s="79" t="n"/>
      <c r="HQ18" s="79" t="n"/>
      <c r="HR18" s="79" t="n"/>
      <c r="HS18" s="79" t="n"/>
      <c r="HT18" s="79" t="n"/>
      <c r="HU18" s="79" t="n"/>
      <c r="HV18" s="79" t="n"/>
      <c r="HW18" s="79" t="n"/>
      <c r="HX18" s="79" t="n"/>
      <c r="HY18" s="79" t="n"/>
      <c r="HZ18" s="79" t="n"/>
      <c r="IA18" s="79" t="n"/>
      <c r="IB18" s="79" t="n"/>
      <c r="IC18" s="79" t="n"/>
      <c r="ID18" s="79" t="n"/>
      <c r="IE18" s="79" t="n"/>
      <c r="IF18" s="79" t="n"/>
      <c r="IG18" s="79" t="n"/>
      <c r="IH18" s="79" t="n"/>
      <c r="II18" s="79" t="n"/>
      <c r="IK18" s="0" t="inlineStr">
        <is>
          <t>ez_manage.py:4699 top()</t>
        </is>
      </c>
      <c r="IL18" s="0" t="inlineStr">
        <is>
          <t>v12_quick_engine.py:1818 x7</t>
        </is>
      </c>
    </row>
    <row r="19">
      <c r="A19" s="31" t="inlineStr">
        <is>
          <t>E_1_WT_EXIT_USE_DELTA_ENABLED</t>
        </is>
      </c>
      <c r="B19" s="31" t="inlineStr">
        <is>
          <t>False</t>
        </is>
      </c>
      <c r="C19" s="30" t="n"/>
      <c r="D19" s="30" t="n"/>
      <c r="E19" s="30" t="n"/>
      <c r="F19" s="30" t="n"/>
      <c r="G19" s="30">
        <f>IFERROR(VLOOKUP($A13&amp;"_"&amp;$B13,Results_Deltas!$A$2:$P$15000,5,FALSE),"")</f>
        <v/>
      </c>
      <c r="H19" s="30">
        <f>IFERROR(VLOOKUP($A13,Results_30d_Deltas!$A$2:$H$5000,7,FALSE)-E12,"")</f>
        <v/>
      </c>
      <c r="I19" s="30">
        <f>IFERROR(VLOOKUP($A13,Results_30d_Deltas!$A$2:$H$5000,6,FALSE),"")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4" t="n"/>
      <c r="CA19" s="34" t="n"/>
      <c r="CB19" s="34" t="n"/>
      <c r="CC19" s="34" t="n"/>
      <c r="CD19" s="34"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ez_manage.py:4699 top()</t>
        </is>
      </c>
      <c r="IL19" s="30" t="inlineStr">
        <is>
          <t>v12_quick_engine.py:1818 x7</t>
        </is>
      </c>
      <c r="IM19" s="30" t="n"/>
    </row>
    <row r="20">
      <c r="A20" s="88" t="inlineStr">
        <is>
          <t>WT_4H_VEL_EXIT_REQUIRE_PROFIT</t>
        </is>
      </c>
      <c r="B20" s="88" t="inlineStr">
        <is>
          <t>1.0</t>
        </is>
      </c>
      <c r="G20" s="0">
        <f>IFERROR(VLOOKUP($A69&amp;"_"&amp;$B69,Results_Deltas!$A$2:$P$15000,5,FALSE),"")</f>
        <v/>
      </c>
      <c r="H20" s="0">
        <f>IFERROR(VLOOKUP($A69,Results_30d_Deltas!$A$2:$H$5000,7,FALSE)-E68,"")</f>
        <v/>
      </c>
      <c r="I20" s="0">
        <f>IFERROR(VLOOKUP($A69,Results_30d_Deltas!$A$2:$H$5000,6,FALSE),"")</f>
        <v/>
      </c>
      <c r="L20" s="0" t="inlineStr">
        <is>
          <t>NO</t>
        </is>
      </c>
      <c r="M20" s="79" t="n"/>
      <c r="N20" s="79" t="n"/>
      <c r="O20" s="79" t="n"/>
      <c r="P20" s="79" t="n"/>
      <c r="Q20" s="79" t="n"/>
      <c r="R20" s="79" t="n"/>
      <c r="S20" s="79" t="n"/>
      <c r="T20" s="79" t="n"/>
      <c r="U20" s="79" t="n"/>
      <c r="V20" s="79" t="n"/>
      <c r="W20" s="79" t="n"/>
      <c r="X20" s="79" t="n"/>
      <c r="Y20" s="79" t="n"/>
      <c r="Z20" s="79" t="n"/>
      <c r="AA20" s="79" t="n"/>
      <c r="AB20" s="79" t="n"/>
      <c r="AC20" s="79" t="n"/>
      <c r="AD20" s="79" t="n"/>
      <c r="AE20" s="79" t="n"/>
      <c r="AF20" s="79" t="n"/>
      <c r="AG20" s="79" t="n"/>
      <c r="AH20" s="79" t="n"/>
      <c r="AI20" s="79" t="n"/>
      <c r="AJ20" s="79" t="n"/>
      <c r="AK20" s="79" t="n"/>
      <c r="AL20" s="79" t="n"/>
      <c r="AM20" s="79" t="n"/>
      <c r="AN20" s="79" t="n"/>
      <c r="AO20" s="79" t="n"/>
      <c r="AP20" s="79" t="n"/>
      <c r="AQ20" s="79" t="n"/>
      <c r="AR20" s="79" t="n"/>
      <c r="AS20" s="79" t="n"/>
      <c r="AT20" s="79" t="n"/>
      <c r="AU20" s="79" t="n"/>
      <c r="AV20" s="79" t="n"/>
      <c r="AW20" s="79" t="n"/>
      <c r="AX20" s="79" t="n"/>
      <c r="AY20" s="79" t="n"/>
      <c r="AZ20" s="79" t="n"/>
      <c r="BA20" s="79" t="n"/>
      <c r="BB20" s="79" t="n"/>
      <c r="BC20" s="79" t="n"/>
      <c r="BD20" s="79" t="n"/>
      <c r="BE20" s="79" t="n"/>
      <c r="BF20" s="79" t="n"/>
      <c r="BG20" s="79" t="n"/>
      <c r="BH20" s="79" t="n"/>
      <c r="BI20" s="79" t="n"/>
      <c r="BJ20" s="79" t="n"/>
      <c r="BK20" s="79" t="n"/>
      <c r="BL20" s="79" t="n"/>
      <c r="BM20" s="79" t="n"/>
      <c r="BN20" s="79" t="n"/>
      <c r="BO20" s="79" t="n"/>
      <c r="BP20" s="79" t="n"/>
      <c r="BQ20" s="79" t="n"/>
      <c r="BR20" s="79" t="n"/>
      <c r="BS20" s="79" t="n"/>
      <c r="BT20" s="79" t="n"/>
      <c r="BU20" s="79" t="n"/>
      <c r="BV20" s="79" t="n"/>
      <c r="BW20" s="79" t="n"/>
      <c r="BX20" s="79" t="n"/>
      <c r="BY20" s="79" t="n"/>
      <c r="BZ20" s="79" t="n"/>
      <c r="CA20" s="79" t="n"/>
      <c r="CB20" s="79" t="n"/>
      <c r="CC20" s="79" t="n"/>
      <c r="CD20" s="79" t="n"/>
      <c r="CE20" s="79" t="n"/>
      <c r="CF20" s="79" t="n"/>
      <c r="CG20" s="79" t="n"/>
      <c r="CH20" s="79" t="n"/>
      <c r="CI20" s="79" t="n"/>
      <c r="CJ20" s="79" t="n"/>
      <c r="CK20" s="79" t="n"/>
      <c r="CL20" s="79" t="n"/>
      <c r="CM20" s="79" t="n"/>
      <c r="CN20" s="79" t="n"/>
      <c r="CO20" s="79" t="n"/>
      <c r="CP20" s="79" t="n"/>
      <c r="CQ20" s="79" t="n"/>
      <c r="CR20" s="79" t="n"/>
      <c r="CS20" s="79" t="n"/>
      <c r="CT20" s="80" t="n"/>
      <c r="CU20" s="80" t="n"/>
      <c r="CV20" s="80" t="n"/>
      <c r="CW20" s="80" t="n"/>
      <c r="CX20" s="80" t="n"/>
      <c r="CY20" s="80" t="n"/>
      <c r="CZ20" s="80" t="n"/>
      <c r="DA20" s="80" t="n"/>
      <c r="DB20" s="80" t="n"/>
      <c r="DC20" s="80" t="n"/>
      <c r="DD20" s="80" t="n"/>
      <c r="DE20" s="80" t="n"/>
      <c r="DF20" s="80" t="n"/>
      <c r="DG20" s="80" t="n"/>
      <c r="DH20" s="80" t="n"/>
      <c r="DI20" s="80" t="n"/>
      <c r="DJ20" s="80" t="n"/>
      <c r="DK20" s="80" t="n"/>
      <c r="DL20" s="80" t="n"/>
      <c r="DM20" s="80" t="n"/>
      <c r="DN20" s="79" t="n"/>
      <c r="DO20" s="79" t="n"/>
      <c r="DP20" s="79" t="n"/>
      <c r="DQ20" s="79" t="n"/>
      <c r="DR20" s="79" t="n"/>
      <c r="DS20" s="79" t="n"/>
      <c r="DT20" s="79" t="n"/>
      <c r="DU20" s="79" t="n"/>
      <c r="DV20" s="79" t="n"/>
      <c r="DW20" s="79" t="n"/>
      <c r="DX20" s="79" t="n"/>
      <c r="DY20" s="79" t="n"/>
      <c r="DZ20" s="79" t="n"/>
      <c r="EA20" s="79" t="n"/>
      <c r="EB20" s="79" t="n"/>
      <c r="EC20" s="79" t="n"/>
      <c r="ED20" s="79" t="n"/>
      <c r="EE20" s="79" t="n"/>
      <c r="EF20" s="79" t="n"/>
      <c r="EG20" s="79" t="n"/>
      <c r="EH20" s="79" t="n"/>
      <c r="EI20" s="79" t="n"/>
      <c r="EJ20" s="79" t="n"/>
      <c r="EK20" s="79" t="n"/>
      <c r="EL20" s="79" t="n"/>
      <c r="EM20" s="79" t="n"/>
      <c r="EN20" s="79" t="n"/>
      <c r="EO20" s="79" t="n"/>
      <c r="EP20" s="79" t="n"/>
      <c r="EQ20" s="79" t="n"/>
      <c r="ER20" s="79" t="n"/>
      <c r="ES20" s="79" t="n"/>
      <c r="ET20" s="79" t="n"/>
      <c r="EU20" s="79" t="n"/>
      <c r="EV20" s="79" t="n"/>
      <c r="EW20" s="79" t="n"/>
      <c r="EX20" s="79" t="n"/>
      <c r="EY20" s="79" t="n"/>
      <c r="EZ20" s="79" t="n"/>
      <c r="FA20" s="79" t="n"/>
      <c r="FB20" s="79" t="n"/>
      <c r="FC20" s="79" t="n"/>
      <c r="FD20" s="79" t="n"/>
      <c r="FE20" s="79" t="n"/>
      <c r="FF20" s="79" t="n"/>
      <c r="FG20" s="79" t="n"/>
      <c r="FH20" s="79" t="n"/>
      <c r="FI20" s="79" t="n"/>
      <c r="FJ20" s="79" t="n"/>
      <c r="FK20" s="79" t="n"/>
      <c r="FL20" s="79" t="n"/>
      <c r="FM20" s="79" t="n"/>
      <c r="FN20" s="79" t="n"/>
      <c r="FO20" s="79" t="n"/>
      <c r="FP20" s="79" t="n"/>
      <c r="FQ20" s="79" t="n"/>
      <c r="FR20" s="79" t="n"/>
      <c r="FS20" s="79" t="n"/>
      <c r="FT20" s="79" t="n"/>
      <c r="FU20" s="79" t="n"/>
      <c r="FV20" s="79" t="n"/>
      <c r="FW20" s="79" t="n"/>
      <c r="FX20" s="79" t="n"/>
      <c r="FY20" s="79" t="n"/>
      <c r="FZ20" s="79" t="n"/>
      <c r="GA20" s="79" t="n"/>
      <c r="GB20" s="79" t="n"/>
      <c r="GC20" s="79" t="n"/>
      <c r="GD20" s="79" t="n"/>
      <c r="GE20" s="79" t="n"/>
      <c r="GF20" s="79" t="n"/>
      <c r="GG20" s="79" t="n"/>
      <c r="GH20" s="79" t="n"/>
      <c r="GI20" s="79" t="n"/>
      <c r="GJ20" s="79" t="n"/>
      <c r="GK20" s="79" t="n"/>
      <c r="GL20" s="79" t="n"/>
      <c r="GM20" s="79" t="n"/>
      <c r="GN20" s="79" t="n"/>
      <c r="GO20" s="79" t="n"/>
      <c r="GP20" s="79" t="n"/>
      <c r="GQ20" s="79" t="n"/>
      <c r="GR20" s="79" t="n"/>
      <c r="GS20" s="79" t="n"/>
      <c r="GT20" s="79" t="n"/>
      <c r="GU20" s="79" t="n"/>
      <c r="GV20" s="79" t="n"/>
      <c r="GW20" s="79" t="n"/>
      <c r="GX20" s="79" t="n"/>
      <c r="GY20" s="79" t="n"/>
      <c r="GZ20" s="79" t="n"/>
      <c r="HA20" s="79" t="n"/>
      <c r="HB20" s="79" t="n"/>
      <c r="HC20" s="79" t="n"/>
      <c r="HD20" s="79" t="n"/>
      <c r="HE20" s="79" t="n"/>
      <c r="HF20" s="79" t="n"/>
      <c r="HG20" s="79" t="n"/>
      <c r="HH20" s="79" t="n"/>
      <c r="HI20" s="79" t="n"/>
      <c r="HJ20" s="79" t="n"/>
      <c r="HK20" s="79" t="n"/>
      <c r="HL20" s="79" t="n"/>
      <c r="HM20" s="79" t="n"/>
      <c r="HN20" s="80" t="n"/>
      <c r="HO20" s="80" t="n"/>
      <c r="HP20" s="80" t="n"/>
      <c r="HQ20" s="80" t="n"/>
      <c r="HR20" s="80" t="n"/>
      <c r="HS20" s="79" t="n"/>
      <c r="HT20" s="79" t="n"/>
      <c r="HU20" s="79" t="n"/>
      <c r="HV20" s="79" t="n"/>
      <c r="HW20" s="79" t="n"/>
      <c r="HX20" s="79" t="n"/>
      <c r="HY20" s="79" t="n"/>
      <c r="HZ20" s="79" t="n"/>
      <c r="IA20" s="79" t="n"/>
      <c r="IB20" s="79" t="n"/>
      <c r="IC20" s="79" t="n"/>
      <c r="ID20" s="79" t="n"/>
      <c r="IE20" s="79" t="n"/>
      <c r="IF20" s="79" t="n"/>
      <c r="IG20" s="79" t="n"/>
      <c r="IH20" s="79" t="n"/>
      <c r="II20" s="79" t="n"/>
      <c r="IK20" s="0" t="inlineStr">
        <is>
          <t>ez_manage.py:5881 top()</t>
        </is>
      </c>
      <c r="IL20" s="0" t="inlineStr">
        <is>
          <t>v12_quick_engine.py:3700 x5</t>
        </is>
      </c>
    </row>
    <row r="21">
      <c r="A21" s="30" t="inlineStr">
        <is>
          <t>WT_4H_VEL_EXIT_REQUIRE_PROFIT</t>
        </is>
      </c>
      <c r="B21" s="30" t="inlineStr">
        <is>
          <t>0</t>
        </is>
      </c>
      <c r="C21" s="30" t="n"/>
      <c r="D21" s="30" t="n"/>
      <c r="E21" s="30" t="n"/>
      <c r="F21" s="30" t="n"/>
      <c r="G21" s="30">
        <f>IFERROR(VLOOKUP($A67&amp;"_"&amp;$B67,Results_Deltas!$A$2:$P$15000,5,FALSE),"")</f>
        <v/>
      </c>
      <c r="H21" s="30">
        <f>IFERROR(VLOOKUP($A67,Results_30d_Deltas!$A$2:$H$5000,7,FALSE)-E66,"")</f>
        <v/>
      </c>
      <c r="I21" s="30">
        <f>IFERROR(VLOOKUP($A67,Results_30d_Deltas!$A$2:$H$5000,6,FALSE),"")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ez_manage.py:5881 top()</t>
        </is>
      </c>
      <c r="IL21" s="30" t="inlineStr">
        <is>
          <t>v12_quick_engine.py:3700 x5</t>
        </is>
      </c>
      <c r="IM21" s="30" t="n"/>
    </row>
    <row r="22">
      <c r="A22" s="88" t="inlineStr">
        <is>
          <t>BB_SQUEEZE_EXIT_ENABLED</t>
        </is>
      </c>
      <c r="B22" s="88" t="inlineStr">
        <is>
          <t>True</t>
        </is>
      </c>
      <c r="G22" s="0">
        <f>IFERROR(VLOOKUP($A6&amp;"_"&amp;$B6,Results_Deltas!$A$2:$P$15000,5,FALSE),"")</f>
        <v/>
      </c>
      <c r="H22" s="0">
        <f>IFERROR(VLOOKUP($A6,Results_30d_Deltas!$A$2:$H$5000,7,FALSE)-E5,"")</f>
        <v/>
      </c>
      <c r="I22" s="0">
        <f>IFERROR(VLOOKUP($A6,Results_30d_Deltas!$A$2:$H$5000,6,FALSE),"")</f>
        <v/>
      </c>
      <c r="L22" s="0" t="inlineStr">
        <is>
          <t>NO</t>
        </is>
      </c>
      <c r="M22" s="79" t="n"/>
      <c r="N22" s="79" t="n"/>
      <c r="O22" s="79" t="n"/>
      <c r="P22" s="79" t="n"/>
      <c r="Q22" s="79" t="n"/>
      <c r="R22" s="79" t="n"/>
      <c r="S22" s="79" t="n"/>
      <c r="T22" s="79" t="n"/>
      <c r="U22" s="79" t="n"/>
      <c r="V22" s="79" t="n"/>
      <c r="W22" s="79" t="n"/>
      <c r="X22" s="79" t="n"/>
      <c r="Y22" s="79" t="n"/>
      <c r="Z22" s="79" t="n"/>
      <c r="AA22" s="79" t="n"/>
      <c r="AB22" s="79" t="n"/>
      <c r="AC22" s="79" t="n"/>
      <c r="AD22" s="79" t="n"/>
      <c r="AE22" s="79" t="n"/>
      <c r="AF22" s="79" t="n"/>
      <c r="AG22" s="79" t="n"/>
      <c r="AH22" s="79" t="n"/>
      <c r="AI22" s="79" t="n"/>
      <c r="AJ22" s="79" t="n"/>
      <c r="AK22" s="79" t="n"/>
      <c r="AL22" s="79" t="n"/>
      <c r="AM22" s="79" t="n"/>
      <c r="AN22" s="79" t="n"/>
      <c r="AO22" s="79" t="n"/>
      <c r="AP22" s="79" t="n"/>
      <c r="AQ22" s="79" t="n"/>
      <c r="AR22" s="79" t="n"/>
      <c r="AS22" s="79" t="n"/>
      <c r="AT22" s="79" t="n"/>
      <c r="AU22" s="79" t="n"/>
      <c r="AV22" s="79" t="n"/>
      <c r="AW22" s="79" t="n"/>
      <c r="AX22" s="79" t="n"/>
      <c r="AY22" s="79" t="n"/>
      <c r="AZ22" s="79" t="n"/>
      <c r="BA22" s="79" t="n"/>
      <c r="BB22" s="79" t="n"/>
      <c r="BC22" s="79" t="n"/>
      <c r="BD22" s="79" t="n"/>
      <c r="BE22" s="79" t="n"/>
      <c r="BF22" s="79" t="n"/>
      <c r="BG22" s="79" t="n"/>
      <c r="BH22" s="79" t="n"/>
      <c r="BI22" s="79" t="n"/>
      <c r="BJ22" s="79" t="n"/>
      <c r="BK22" s="79" t="n"/>
      <c r="BL22" s="79" t="n"/>
      <c r="BM22" s="79" t="n"/>
      <c r="BN22" s="79" t="n"/>
      <c r="BO22" s="79" t="n"/>
      <c r="BP22" s="79" t="n"/>
      <c r="BQ22" s="79" t="n"/>
      <c r="BR22" s="79" t="n"/>
      <c r="BS22" s="79" t="n"/>
      <c r="BT22" s="79" t="n"/>
      <c r="BU22" s="79" t="n"/>
      <c r="BV22" s="79" t="n"/>
      <c r="BW22" s="79" t="n"/>
      <c r="BX22" s="79" t="n"/>
      <c r="BY22" s="79" t="n"/>
      <c r="BZ22" s="79" t="n"/>
      <c r="CA22" s="79" t="n"/>
      <c r="CB22" s="79" t="n"/>
      <c r="CC22" s="79" t="n"/>
      <c r="CD22" s="79" t="n"/>
      <c r="CE22" s="79" t="n"/>
      <c r="CF22" s="79" t="n"/>
      <c r="CG22" s="79" t="n"/>
      <c r="CH22" s="79" t="n"/>
      <c r="CI22" s="79" t="n"/>
      <c r="CJ22" s="79" t="n"/>
      <c r="CK22" s="79" t="n"/>
      <c r="CL22" s="79" t="n"/>
      <c r="CM22" s="79" t="n"/>
      <c r="CN22" s="79" t="n"/>
      <c r="CO22" s="79" t="n"/>
      <c r="CP22" s="79" t="n"/>
      <c r="CQ22" s="79" t="n"/>
      <c r="CR22" s="79" t="n"/>
      <c r="CS22" s="79" t="n"/>
      <c r="CT22" s="80" t="n"/>
      <c r="CU22" s="80" t="n"/>
      <c r="CV22" s="80" t="n"/>
      <c r="CW22" s="80" t="n"/>
      <c r="CX22" s="80" t="n"/>
      <c r="CY22" s="80" t="n"/>
      <c r="CZ22" s="80" t="n"/>
      <c r="DA22" s="80" t="n"/>
      <c r="DB22" s="80" t="n"/>
      <c r="DC22" s="80" t="n"/>
      <c r="DD22" s="80" t="n"/>
      <c r="DE22" s="80" t="n"/>
      <c r="DF22" s="80" t="n"/>
      <c r="DG22" s="80" t="n"/>
      <c r="DH22" s="80" t="n"/>
      <c r="DI22" s="80" t="n"/>
      <c r="DJ22" s="80" t="n"/>
      <c r="DK22" s="80" t="n"/>
      <c r="DL22" s="80" t="n"/>
      <c r="DM22" s="80" t="n"/>
      <c r="DN22" s="79" t="n"/>
      <c r="DO22" s="79" t="n"/>
      <c r="DP22" s="79" t="n"/>
      <c r="DQ22" s="79" t="n"/>
      <c r="DR22" s="79" t="n"/>
      <c r="DS22" s="79" t="n"/>
      <c r="DT22" s="79" t="n"/>
      <c r="DU22" s="79" t="n"/>
      <c r="DV22" s="79" t="n"/>
      <c r="DW22" s="79" t="n"/>
      <c r="DX22" s="79" t="n"/>
      <c r="DY22" s="79" t="n"/>
      <c r="DZ22" s="79" t="n"/>
      <c r="EA22" s="79" t="n"/>
      <c r="EB22" s="79" t="n"/>
      <c r="EC22" s="79" t="n"/>
      <c r="ED22" s="79" t="n"/>
      <c r="EE22" s="79" t="n"/>
      <c r="EF22" s="79" t="n"/>
      <c r="EG22" s="79" t="n"/>
      <c r="EH22" s="79" t="n"/>
      <c r="EI22" s="79" t="n"/>
      <c r="EJ22" s="79" t="n"/>
      <c r="EK22" s="79" t="n"/>
      <c r="EL22" s="79" t="n"/>
      <c r="EM22" s="79" t="n"/>
      <c r="EN22" s="79" t="n"/>
      <c r="EO22" s="79" t="n"/>
      <c r="EP22" s="79" t="n"/>
      <c r="EQ22" s="79" t="n"/>
      <c r="ER22" s="79" t="n"/>
      <c r="ES22" s="79" t="n"/>
      <c r="ET22" s="79" t="n"/>
      <c r="EU22" s="79" t="n"/>
      <c r="EV22" s="79" t="n"/>
      <c r="EW22" s="79" t="n"/>
      <c r="EX22" s="79" t="n"/>
      <c r="EY22" s="79" t="n"/>
      <c r="EZ22" s="79" t="n"/>
      <c r="FA22" s="79" t="n"/>
      <c r="FB22" s="79" t="n"/>
      <c r="FC22" s="79" t="n"/>
      <c r="FD22" s="79" t="n"/>
      <c r="FE22" s="79" t="n"/>
      <c r="FF22" s="79" t="n"/>
      <c r="FG22" s="79" t="n"/>
      <c r="FH22" s="79" t="n"/>
      <c r="FI22" s="79" t="n"/>
      <c r="FJ22" s="79" t="n"/>
      <c r="FK22" s="79" t="n"/>
      <c r="FL22" s="79" t="n"/>
      <c r="FM22" s="79" t="n"/>
      <c r="FN22" s="79" t="n"/>
      <c r="FO22" s="79" t="n"/>
      <c r="FP22" s="79" t="n"/>
      <c r="FQ22" s="79" t="n"/>
      <c r="FR22" s="79" t="n"/>
      <c r="FS22" s="79" t="n"/>
      <c r="FT22" s="79" t="n"/>
      <c r="FU22" s="79" t="n"/>
      <c r="FV22" s="79" t="n"/>
      <c r="FW22" s="79" t="n"/>
      <c r="FX22" s="79" t="n"/>
      <c r="FY22" s="79" t="n"/>
      <c r="FZ22" s="79" t="n"/>
      <c r="GA22" s="79" t="n"/>
      <c r="GB22" s="79" t="n"/>
      <c r="GC22" s="79" t="n"/>
      <c r="GD22" s="79" t="n"/>
      <c r="GE22" s="79" t="n"/>
      <c r="GF22" s="79" t="n"/>
      <c r="GG22" s="79" t="n"/>
      <c r="GH22" s="79" t="n"/>
      <c r="GI22" s="79" t="n"/>
      <c r="GJ22" s="79" t="n"/>
      <c r="GK22" s="79" t="n"/>
      <c r="GL22" s="79" t="n"/>
      <c r="GM22" s="79" t="n"/>
      <c r="GN22" s="79" t="n"/>
      <c r="GO22" s="79" t="n"/>
      <c r="GP22" s="79" t="n"/>
      <c r="GQ22" s="79" t="n"/>
      <c r="GR22" s="79" t="n"/>
      <c r="GS22" s="79" t="n"/>
      <c r="GT22" s="79" t="n"/>
      <c r="GU22" s="79" t="n"/>
      <c r="GV22" s="79" t="n"/>
      <c r="GW22" s="79" t="n"/>
      <c r="GX22" s="79" t="n"/>
      <c r="GY22" s="79" t="n"/>
      <c r="GZ22" s="79" t="n"/>
      <c r="HA22" s="79" t="n"/>
      <c r="HB22" s="79" t="n"/>
      <c r="HC22" s="79" t="n"/>
      <c r="HD22" s="79" t="n"/>
      <c r="HE22" s="79" t="n"/>
      <c r="HF22" s="79" t="n"/>
      <c r="HG22" s="79" t="n"/>
      <c r="HH22" s="79" t="n"/>
      <c r="HI22" s="79" t="n"/>
      <c r="HJ22" s="79" t="n"/>
      <c r="HK22" s="79" t="n"/>
      <c r="HL22" s="79" t="n"/>
      <c r="HM22" s="79" t="n"/>
      <c r="HN22" s="79" t="n"/>
      <c r="HO22" s="79" t="n"/>
      <c r="HP22" s="79" t="n"/>
      <c r="HQ22" s="79" t="n"/>
      <c r="HR22" s="79" t="n"/>
      <c r="HS22" s="79" t="n"/>
      <c r="HT22" s="79" t="n"/>
      <c r="HU22" s="79" t="n"/>
      <c r="HV22" s="79" t="n"/>
      <c r="HW22" s="79" t="n"/>
      <c r="HX22" s="79" t="n"/>
      <c r="HY22" s="79" t="n"/>
      <c r="HZ22" s="79" t="n"/>
      <c r="IA22" s="79" t="n"/>
      <c r="IB22" s="79" t="n"/>
      <c r="IC22" s="79" t="n"/>
      <c r="ID22" s="79" t="n"/>
      <c r="IE22" s="79" t="n"/>
      <c r="IF22" s="79" t="n"/>
      <c r="IG22" s="79" t="n"/>
      <c r="IH22" s="79" t="n"/>
      <c r="II22" s="79" t="n"/>
      <c r="IK22" s="0" t="inlineStr">
        <is>
          <t>ez_manage.py:6163 top()</t>
        </is>
      </c>
      <c r="IL22" s="0" t="inlineStr">
        <is>
          <t>v12_quick_engine.py:891 x4</t>
        </is>
      </c>
    </row>
    <row r="23">
      <c r="A23" s="30" t="inlineStr">
        <is>
          <t>BB_SQUEEZE_EXIT_ENABLED</t>
        </is>
      </c>
      <c r="B23" s="30" t="inlineStr">
        <is>
          <t>False</t>
        </is>
      </c>
      <c r="C23" s="30" t="n"/>
      <c r="D23" s="30" t="n"/>
      <c r="E23" s="30" t="n"/>
      <c r="F23" s="30" t="n"/>
      <c r="G23" s="30">
        <f>IFERROR(VLOOKUP($A5&amp;"_"&amp;$B5,Results_Deltas!$A$2:$P$15000,5,FALSE),"")</f>
        <v/>
      </c>
      <c r="H23" s="30">
        <f>IFERROR(VLOOKUP($A5,Results_30d_Deltas!$A$2:$H$5000,7,FALSE)-E4,"")</f>
        <v/>
      </c>
      <c r="I23" s="30">
        <f>IFERROR(VLOOKUP($A5,Results_30d_Deltas!$A$2:$H$5000,6,FALSE),"")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ez_manage.py:6163 top()</t>
        </is>
      </c>
      <c r="IL23" s="30" t="inlineStr">
        <is>
          <t>v12_quick_engine.py:891 x4</t>
        </is>
      </c>
      <c r="IM23" s="30" t="n"/>
    </row>
    <row r="24">
      <c r="A24" s="86" t="inlineStr">
        <is>
          <t>WT_4H_VEL_EXIT_ENABLED</t>
        </is>
      </c>
      <c r="B24" s="86" t="inlineStr">
        <is>
          <t>True</t>
        </is>
      </c>
      <c r="G24" s="0">
        <f>IFERROR(VLOOKUP($A54&amp;"_"&amp;$B54,Results_Deltas!$A$2:$P$15000,5,FALSE),"")</f>
        <v/>
      </c>
      <c r="H24" s="0">
        <f>IFERROR(VLOOKUP($A54,Results_30d_Deltas!$A$2:$H$5000,7,FALSE)-E53,"")</f>
        <v/>
      </c>
      <c r="I24" s="0">
        <f>IFERROR(VLOOKUP($A54,Results_30d_Deltas!$A$2:$H$5000,6,FALSE),"")</f>
        <v/>
      </c>
      <c r="L24" s="0" t="inlineStr">
        <is>
          <t>NO</t>
        </is>
      </c>
      <c r="M24" s="79" t="n"/>
      <c r="N24" s="79" t="n"/>
      <c r="O24" s="79" t="n"/>
      <c r="P24" s="79" t="n"/>
      <c r="Q24" s="79" t="n"/>
      <c r="R24" s="79" t="n"/>
      <c r="S24" s="79" t="n"/>
      <c r="T24" s="79" t="n"/>
      <c r="U24" s="79" t="n"/>
      <c r="V24" s="79" t="n"/>
      <c r="W24" s="79" t="n"/>
      <c r="X24" s="79" t="n"/>
      <c r="Y24" s="79" t="n"/>
      <c r="Z24" s="79" t="n"/>
      <c r="AA24" s="79" t="n"/>
      <c r="AB24" s="79" t="n"/>
      <c r="AC24" s="79" t="n"/>
      <c r="AD24" s="79" t="n"/>
      <c r="AE24" s="79" t="n"/>
      <c r="AF24" s="79" t="n"/>
      <c r="AG24" s="79" t="n"/>
      <c r="AH24" s="79" t="n"/>
      <c r="AI24" s="79" t="n"/>
      <c r="AJ24" s="79" t="n"/>
      <c r="AK24" s="79" t="n"/>
      <c r="AL24" s="79" t="n"/>
      <c r="AM24" s="79" t="n"/>
      <c r="AN24" s="79" t="n"/>
      <c r="AO24" s="79" t="n"/>
      <c r="AP24" s="79" t="n"/>
      <c r="AQ24" s="79" t="n"/>
      <c r="AR24" s="79" t="n"/>
      <c r="AS24" s="79" t="n"/>
      <c r="AT24" s="79" t="n"/>
      <c r="AU24" s="79" t="n"/>
      <c r="AV24" s="79" t="n"/>
      <c r="AW24" s="79" t="n"/>
      <c r="AX24" s="79" t="n"/>
      <c r="AY24" s="79" t="n"/>
      <c r="AZ24" s="79" t="n"/>
      <c r="BA24" s="79" t="n"/>
      <c r="BB24" s="79" t="n"/>
      <c r="BC24" s="79" t="n"/>
      <c r="BD24" s="79" t="n"/>
      <c r="BE24" s="79" t="n"/>
      <c r="BF24" s="79" t="n"/>
      <c r="BG24" s="79" t="n"/>
      <c r="BH24" s="79" t="n"/>
      <c r="BI24" s="79" t="n"/>
      <c r="BJ24" s="79" t="n"/>
      <c r="BK24" s="79" t="n"/>
      <c r="BL24" s="79" t="n"/>
      <c r="BM24" s="79" t="n"/>
      <c r="BN24" s="79" t="n"/>
      <c r="BO24" s="79" t="n"/>
      <c r="BP24" s="79" t="n"/>
      <c r="BQ24" s="79" t="n"/>
      <c r="BR24" s="79" t="n"/>
      <c r="BS24" s="79" t="n"/>
      <c r="BT24" s="79" t="n"/>
      <c r="BU24" s="79" t="n"/>
      <c r="BV24" s="79" t="n"/>
      <c r="BW24" s="79" t="n"/>
      <c r="BX24" s="79" t="n"/>
      <c r="BY24" s="79" t="n"/>
      <c r="BZ24" s="79" t="n"/>
      <c r="CA24" s="79" t="n"/>
      <c r="CB24" s="79" t="n"/>
      <c r="CC24" s="79" t="n"/>
      <c r="CD24" s="79" t="n"/>
      <c r="CE24" s="79" t="n"/>
      <c r="CF24" s="79" t="n"/>
      <c r="CG24" s="79" t="n"/>
      <c r="CH24" s="79" t="n"/>
      <c r="CI24" s="79" t="n"/>
      <c r="CJ24" s="79" t="n"/>
      <c r="CK24" s="79" t="n"/>
      <c r="CL24" s="79" t="n"/>
      <c r="CM24" s="79" t="n"/>
      <c r="CN24" s="79" t="n"/>
      <c r="CO24" s="79" t="n"/>
      <c r="CP24" s="79" t="n"/>
      <c r="CQ24" s="79" t="n"/>
      <c r="CR24" s="79" t="n"/>
      <c r="CS24" s="79" t="n"/>
      <c r="CT24" s="80" t="n"/>
      <c r="CU24" s="80" t="n"/>
      <c r="CV24" s="80" t="n"/>
      <c r="CW24" s="80" t="n"/>
      <c r="CX24" s="80" t="n"/>
      <c r="CY24" s="80" t="n"/>
      <c r="CZ24" s="80" t="n"/>
      <c r="DA24" s="80" t="n"/>
      <c r="DB24" s="80" t="n"/>
      <c r="DC24" s="80" t="n"/>
      <c r="DD24" s="80" t="n"/>
      <c r="DE24" s="80" t="n"/>
      <c r="DF24" s="80" t="n"/>
      <c r="DG24" s="80" t="n"/>
      <c r="DH24" s="80" t="n"/>
      <c r="DI24" s="80" t="n"/>
      <c r="DJ24" s="80" t="n"/>
      <c r="DK24" s="80" t="n"/>
      <c r="DL24" s="80" t="n"/>
      <c r="DM24" s="80" t="n"/>
      <c r="DN24" s="79" t="n"/>
      <c r="DO24" s="79" t="n"/>
      <c r="DP24" s="79" t="n"/>
      <c r="DQ24" s="79" t="n"/>
      <c r="DR24" s="79" t="n"/>
      <c r="DS24" s="79" t="n"/>
      <c r="DT24" s="79" t="n"/>
      <c r="DU24" s="79" t="n"/>
      <c r="DV24" s="79" t="n"/>
      <c r="DW24" s="79" t="n"/>
      <c r="DX24" s="79" t="n"/>
      <c r="DY24" s="79" t="n"/>
      <c r="DZ24" s="79" t="n"/>
      <c r="EA24" s="79" t="n"/>
      <c r="EB24" s="79" t="n"/>
      <c r="EC24" s="79" t="n"/>
      <c r="ED24" s="79" t="n"/>
      <c r="EE24" s="79" t="n"/>
      <c r="EF24" s="79" t="n"/>
      <c r="EG24" s="79" t="n"/>
      <c r="EH24" s="79" t="n"/>
      <c r="EI24" s="79" t="n"/>
      <c r="EJ24" s="79" t="n"/>
      <c r="EK24" s="79" t="n"/>
      <c r="EL24" s="79" t="n"/>
      <c r="EM24" s="79" t="n"/>
      <c r="EN24" s="79" t="n"/>
      <c r="EO24" s="79" t="n"/>
      <c r="EP24" s="79" t="n"/>
      <c r="EQ24" s="79" t="n"/>
      <c r="ER24" s="79" t="n"/>
      <c r="ES24" s="79" t="n"/>
      <c r="ET24" s="79" t="n"/>
      <c r="EU24" s="79" t="n"/>
      <c r="EV24" s="79" t="n"/>
      <c r="EW24" s="79" t="n"/>
      <c r="EX24" s="79" t="n"/>
      <c r="EY24" s="79" t="n"/>
      <c r="EZ24" s="79" t="n"/>
      <c r="FA24" s="79" t="n"/>
      <c r="FB24" s="79" t="n"/>
      <c r="FC24" s="79" t="n"/>
      <c r="FD24" s="79" t="n"/>
      <c r="FE24" s="79" t="n"/>
      <c r="FF24" s="79" t="n"/>
      <c r="FG24" s="79" t="n"/>
      <c r="FH24" s="79" t="n"/>
      <c r="FI24" s="79" t="n"/>
      <c r="FJ24" s="79" t="n"/>
      <c r="FK24" s="79" t="n"/>
      <c r="FL24" s="79" t="n"/>
      <c r="FM24" s="79" t="n"/>
      <c r="FN24" s="79" t="n"/>
      <c r="FO24" s="79" t="n"/>
      <c r="FP24" s="79" t="n"/>
      <c r="FQ24" s="79" t="n"/>
      <c r="FR24" s="79" t="n"/>
      <c r="FS24" s="79" t="n"/>
      <c r="FT24" s="79" t="n"/>
      <c r="FU24" s="79" t="n"/>
      <c r="FV24" s="79" t="n"/>
      <c r="FW24" s="79" t="n"/>
      <c r="FX24" s="79" t="n"/>
      <c r="FY24" s="79" t="n"/>
      <c r="FZ24" s="79" t="n"/>
      <c r="GA24" s="79" t="n"/>
      <c r="GB24" s="79" t="n"/>
      <c r="GC24" s="79" t="n"/>
      <c r="GD24" s="79" t="n"/>
      <c r="GE24" s="79" t="n"/>
      <c r="GF24" s="79" t="n"/>
      <c r="GG24" s="79" t="n"/>
      <c r="GH24" s="79" t="n"/>
      <c r="GI24" s="79" t="n"/>
      <c r="GJ24" s="79" t="n"/>
      <c r="GK24" s="79" t="n"/>
      <c r="GL24" s="79" t="n"/>
      <c r="GM24" s="79" t="n"/>
      <c r="GN24" s="79" t="n"/>
      <c r="GO24" s="79" t="n"/>
      <c r="GP24" s="79" t="n"/>
      <c r="GQ24" s="79" t="n"/>
      <c r="GR24" s="79" t="n"/>
      <c r="GS24" s="79" t="n"/>
      <c r="GT24" s="79" t="n"/>
      <c r="GU24" s="79" t="n"/>
      <c r="GV24" s="79" t="n"/>
      <c r="GW24" s="79" t="n"/>
      <c r="GX24" s="79" t="n"/>
      <c r="GY24" s="79" t="n"/>
      <c r="GZ24" s="79" t="n"/>
      <c r="HA24" s="79" t="n"/>
      <c r="HB24" s="79" t="n"/>
      <c r="HC24" s="79" t="n"/>
      <c r="HD24" s="79" t="n"/>
      <c r="HE24" s="79" t="n"/>
      <c r="HF24" s="79" t="n"/>
      <c r="HG24" s="79" t="n"/>
      <c r="HH24" s="79" t="n"/>
      <c r="HI24" s="79" t="n"/>
      <c r="HJ24" s="79" t="n"/>
      <c r="HK24" s="79" t="n"/>
      <c r="HL24" s="79" t="n"/>
      <c r="HM24" s="79" t="n"/>
      <c r="HN24" s="79" t="n"/>
      <c r="HO24" s="79" t="n"/>
      <c r="HP24" s="79" t="n"/>
      <c r="HQ24" s="79" t="n"/>
      <c r="HR24" s="79" t="n"/>
      <c r="HS24" s="79" t="n"/>
      <c r="HT24" s="79" t="n"/>
      <c r="HU24" s="79" t="n"/>
      <c r="HV24" s="79" t="n"/>
      <c r="HW24" s="79" t="n"/>
      <c r="HX24" s="79" t="n"/>
      <c r="HY24" s="79" t="n"/>
      <c r="HZ24" s="79" t="n"/>
      <c r="IA24" s="79" t="n"/>
      <c r="IB24" s="79" t="n"/>
      <c r="IC24" s="79" t="n"/>
      <c r="ID24" s="79" t="n"/>
      <c r="IE24" s="79" t="n"/>
      <c r="IF24" s="79" t="n"/>
      <c r="IG24" s="79" t="n"/>
      <c r="IH24" s="79" t="n"/>
      <c r="II24" s="79" t="n"/>
      <c r="IK24" s="0" t="inlineStr">
        <is>
          <t>ez_manage.py:5876 top()</t>
        </is>
      </c>
      <c r="IL24" s="0" t="inlineStr">
        <is>
          <t>v12_quick_engine.py:3695 x5</t>
        </is>
      </c>
    </row>
    <row r="25">
      <c r="A25" s="30" t="inlineStr">
        <is>
          <t>WT_4H_VEL_EXIT_ENABLED</t>
        </is>
      </c>
      <c r="B25" s="30" t="inlineStr">
        <is>
          <t>False</t>
        </is>
      </c>
      <c r="C25" s="30" t="n"/>
      <c r="D25" s="30" t="n"/>
      <c r="E25" s="30" t="n"/>
      <c r="F25" s="30" t="n"/>
      <c r="G25" s="30">
        <f>IFERROR(VLOOKUP($A53&amp;"_"&amp;$B53,Results_Deltas!$A$2:$P$15000,5,FALSE),"")</f>
        <v/>
      </c>
      <c r="H25" s="30">
        <f>IFERROR(VLOOKUP($A53,Results_30d_Deltas!$A$2:$H$5000,7,FALSE)-E52,"")</f>
        <v/>
      </c>
      <c r="I25" s="30">
        <f>IFERROR(VLOOKUP($A53,Results_30d_Deltas!$A$2:$H$5000,6,FALSE),"")</f>
        <v/>
      </c>
      <c r="J25" s="30" t="n"/>
      <c r="K25" s="30" t="n"/>
      <c r="L25" s="30" t="inlineStr">
        <is>
          <t>YES</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ez_manage.py:5876 top()</t>
        </is>
      </c>
      <c r="IL25" s="30" t="inlineStr">
        <is>
          <t>v12_quick_engine.py:3695 x5</t>
        </is>
      </c>
      <c r="IM25" s="30" t="n"/>
    </row>
    <row r="26">
      <c r="A26" s="86" t="inlineStr">
        <is>
          <t>SCALP_V3_PROTECTIVE_EXIT_ENABLED</t>
        </is>
      </c>
      <c r="B26" s="86" t="inlineStr">
        <is>
          <t>True</t>
        </is>
      </c>
      <c r="G26" s="0">
        <f>IFERROR(VLOOKUP($A43&amp;"_"&amp;$B43,Results_Deltas!$A$2:$P$15000,5,FALSE),"")</f>
        <v/>
      </c>
      <c r="H26" s="0">
        <f>IFERROR(VLOOKUP($A43,Results_30d_Deltas!$A$2:$H$5000,7,FALSE)-E42,"")</f>
        <v/>
      </c>
      <c r="I26" s="0">
        <f>IFERROR(VLOOKUP($A43,Results_30d_Deltas!$A$2:$H$5000,6,FALSE),"")</f>
        <v/>
      </c>
      <c r="L26" s="0" t="inlineStr">
        <is>
          <t>NO</t>
        </is>
      </c>
      <c r="M26" s="79" t="n"/>
      <c r="N26" s="79" t="n"/>
      <c r="O26" s="79" t="n"/>
      <c r="P26" s="79" t="n"/>
      <c r="Q26" s="79" t="n"/>
      <c r="R26" s="79" t="n"/>
      <c r="S26" s="79" t="n"/>
      <c r="T26" s="79" t="n"/>
      <c r="U26" s="79" t="n"/>
      <c r="V26" s="79" t="n"/>
      <c r="W26" s="79" t="n"/>
      <c r="X26" s="79" t="n"/>
      <c r="Y26" s="79" t="n"/>
      <c r="Z26" s="79" t="n"/>
      <c r="AA26" s="79" t="n"/>
      <c r="AB26" s="79" t="n"/>
      <c r="AC26" s="79" t="n"/>
      <c r="AD26" s="79" t="n"/>
      <c r="AE26" s="79" t="n"/>
      <c r="AF26" s="79" t="n"/>
      <c r="AG26" s="79" t="n"/>
      <c r="AH26" s="79" t="n"/>
      <c r="AI26" s="79" t="n"/>
      <c r="AJ26" s="79" t="n"/>
      <c r="AK26" s="79" t="n"/>
      <c r="AL26" s="79" t="n"/>
      <c r="AM26" s="79" t="n"/>
      <c r="AN26" s="79" t="n"/>
      <c r="AO26" s="79" t="n"/>
      <c r="AP26" s="79" t="n"/>
      <c r="AQ26" s="79" t="n"/>
      <c r="AR26" s="79" t="n"/>
      <c r="AS26" s="79" t="n"/>
      <c r="AT26" s="79" t="n"/>
      <c r="AU26" s="79" t="n"/>
      <c r="AV26" s="79" t="n"/>
      <c r="AW26" s="79" t="n"/>
      <c r="AX26" s="79" t="n"/>
      <c r="AY26" s="79" t="n"/>
      <c r="AZ26" s="79" t="n"/>
      <c r="BA26" s="79" t="n"/>
      <c r="BB26" s="79" t="n"/>
      <c r="BC26" s="79" t="n"/>
      <c r="BD26" s="79" t="n"/>
      <c r="BE26" s="79" t="n"/>
      <c r="BF26" s="79" t="n"/>
      <c r="BG26" s="79" t="n"/>
      <c r="BH26" s="79" t="n"/>
      <c r="BI26" s="79" t="n"/>
      <c r="BJ26" s="79" t="n"/>
      <c r="BK26" s="79" t="n"/>
      <c r="BL26" s="79" t="n"/>
      <c r="BM26" s="79" t="n"/>
      <c r="BN26" s="79" t="n"/>
      <c r="BO26" s="79" t="n"/>
      <c r="BP26" s="79" t="n"/>
      <c r="BQ26" s="79" t="n"/>
      <c r="BR26" s="79" t="n"/>
      <c r="BS26" s="79" t="n"/>
      <c r="BT26" s="79" t="n"/>
      <c r="BU26" s="79" t="n"/>
      <c r="BV26" s="79" t="n"/>
      <c r="BW26" s="79" t="n"/>
      <c r="BX26" s="79" t="n"/>
      <c r="BY26" s="79" t="n"/>
      <c r="BZ26" s="79" t="n"/>
      <c r="CA26" s="79" t="n"/>
      <c r="CB26" s="79" t="n"/>
      <c r="CC26" s="79" t="n"/>
      <c r="CD26" s="79" t="n"/>
      <c r="CE26" s="79" t="n"/>
      <c r="CF26" s="79" t="n"/>
      <c r="CG26" s="79" t="n"/>
      <c r="CH26" s="79" t="n"/>
      <c r="CI26" s="79" t="n"/>
      <c r="CJ26" s="79" t="n"/>
      <c r="CK26" s="79" t="n"/>
      <c r="CL26" s="79" t="n"/>
      <c r="CM26" s="79" t="n"/>
      <c r="CN26" s="79" t="n"/>
      <c r="CO26" s="79" t="n"/>
      <c r="CP26" s="79" t="n"/>
      <c r="CQ26" s="79" t="n"/>
      <c r="CR26" s="79" t="n"/>
      <c r="CS26" s="79" t="n"/>
      <c r="CT26" s="80" t="n"/>
      <c r="CU26" s="80" t="n"/>
      <c r="CV26" s="80" t="n"/>
      <c r="CW26" s="80" t="n"/>
      <c r="CX26" s="80" t="n"/>
      <c r="CY26" s="80" t="n"/>
      <c r="CZ26" s="80" t="n"/>
      <c r="DA26" s="80" t="n"/>
      <c r="DB26" s="80" t="n"/>
      <c r="DC26" s="80" t="n"/>
      <c r="DD26" s="80" t="n"/>
      <c r="DE26" s="80" t="n"/>
      <c r="DF26" s="80" t="n"/>
      <c r="DG26" s="80" t="n"/>
      <c r="DH26" s="80" t="n"/>
      <c r="DI26" s="80" t="n"/>
      <c r="DJ26" s="80" t="n"/>
      <c r="DK26" s="80" t="n"/>
      <c r="DL26" s="80" t="n"/>
      <c r="DM26" s="80" t="n"/>
      <c r="DN26" s="79" t="n"/>
      <c r="DO26" s="79" t="n"/>
      <c r="DP26" s="79" t="n"/>
      <c r="DQ26" s="79" t="n"/>
      <c r="DR26" s="79" t="n"/>
      <c r="DS26" s="79" t="n"/>
      <c r="DT26" s="79" t="n"/>
      <c r="DU26" s="79" t="n"/>
      <c r="DV26" s="79" t="n"/>
      <c r="DW26" s="79" t="n"/>
      <c r="DX26" s="79" t="n"/>
      <c r="DY26" s="79" t="n"/>
      <c r="DZ26" s="79" t="n"/>
      <c r="EA26" s="79" t="n"/>
      <c r="EB26" s="79" t="n"/>
      <c r="EC26" s="79" t="n"/>
      <c r="ED26" s="79" t="n"/>
      <c r="EE26" s="79" t="n"/>
      <c r="EF26" s="79" t="n"/>
      <c r="EG26" s="79" t="n"/>
      <c r="EH26" s="79" t="n"/>
      <c r="EI26" s="79" t="n"/>
      <c r="EJ26" s="79" t="n"/>
      <c r="EK26" s="79" t="n"/>
      <c r="EL26" s="79" t="n"/>
      <c r="EM26" s="79" t="n"/>
      <c r="EN26" s="79" t="n"/>
      <c r="EO26" s="79" t="n"/>
      <c r="EP26" s="79" t="n"/>
      <c r="EQ26" s="79" t="n"/>
      <c r="ER26" s="79" t="n"/>
      <c r="ES26" s="79" t="n"/>
      <c r="ET26" s="79" t="n"/>
      <c r="EU26" s="79" t="n"/>
      <c r="EV26" s="79" t="n"/>
      <c r="EW26" s="79" t="n"/>
      <c r="EX26" s="79" t="n"/>
      <c r="EY26" s="79" t="n"/>
      <c r="EZ26" s="79" t="n"/>
      <c r="FA26" s="79" t="n"/>
      <c r="FB26" s="79" t="n"/>
      <c r="FC26" s="79" t="n"/>
      <c r="FD26" s="79" t="n"/>
      <c r="FE26" s="79" t="n"/>
      <c r="FF26" s="79" t="n"/>
      <c r="FG26" s="79" t="n"/>
      <c r="FH26" s="79" t="n"/>
      <c r="FI26" s="79" t="n"/>
      <c r="FJ26" s="79" t="n"/>
      <c r="FK26" s="79" t="n"/>
      <c r="FL26" s="79" t="n"/>
      <c r="FM26" s="79" t="n"/>
      <c r="FN26" s="79" t="n"/>
      <c r="FO26" s="79" t="n"/>
      <c r="FP26" s="79" t="n"/>
      <c r="FQ26" s="79" t="n"/>
      <c r="FR26" s="79" t="n"/>
      <c r="FS26" s="79" t="n"/>
      <c r="FT26" s="79" t="n"/>
      <c r="FU26" s="79" t="n"/>
      <c r="FV26" s="79" t="n"/>
      <c r="FW26" s="79" t="n"/>
      <c r="FX26" s="79" t="n"/>
      <c r="FY26" s="79" t="n"/>
      <c r="FZ26" s="79" t="n"/>
      <c r="GA26" s="79" t="n"/>
      <c r="GB26" s="79" t="n"/>
      <c r="GC26" s="79" t="n"/>
      <c r="GD26" s="79" t="n"/>
      <c r="GE26" s="79" t="n"/>
      <c r="GF26" s="79" t="n"/>
      <c r="GG26" s="79" t="n"/>
      <c r="GH26" s="79" t="n"/>
      <c r="GI26" s="79" t="n"/>
      <c r="GJ26" s="79" t="n"/>
      <c r="GK26" s="79" t="n"/>
      <c r="GL26" s="79" t="n"/>
      <c r="GM26" s="79" t="n"/>
      <c r="GN26" s="79" t="n"/>
      <c r="GO26" s="79" t="n"/>
      <c r="GP26" s="79" t="n"/>
      <c r="GQ26" s="79" t="n"/>
      <c r="GR26" s="79" t="n"/>
      <c r="GS26" s="79" t="n"/>
      <c r="GT26" s="79" t="n"/>
      <c r="GU26" s="79" t="n"/>
      <c r="GV26" s="79" t="n"/>
      <c r="GW26" s="79" t="n"/>
      <c r="GX26" s="79" t="n"/>
      <c r="GY26" s="79" t="n"/>
      <c r="GZ26" s="79" t="n"/>
      <c r="HA26" s="79" t="n"/>
      <c r="HB26" s="79" t="n"/>
      <c r="HC26" s="79" t="n"/>
      <c r="HD26" s="79" t="n"/>
      <c r="HE26" s="79" t="n"/>
      <c r="HF26" s="79" t="n"/>
      <c r="HG26" s="79" t="n"/>
      <c r="HH26" s="79" t="n"/>
      <c r="HI26" s="79" t="n"/>
      <c r="HJ26" s="79" t="n"/>
      <c r="HK26" s="79" t="n"/>
      <c r="HL26" s="79" t="n"/>
      <c r="HM26" s="79" t="n"/>
      <c r="HN26" s="79" t="n"/>
      <c r="HO26" s="79" t="n"/>
      <c r="HP26" s="79" t="n"/>
      <c r="HQ26" s="79" t="n"/>
      <c r="HR26" s="79" t="n"/>
      <c r="HS26" s="79" t="n"/>
      <c r="HT26" s="79" t="n"/>
      <c r="HU26" s="79" t="n"/>
      <c r="HV26" s="79" t="n"/>
      <c r="HW26" s="79" t="n"/>
      <c r="HX26" s="79" t="n"/>
      <c r="HY26" s="79" t="n"/>
      <c r="HZ26" s="79" t="n"/>
      <c r="IA26" s="79" t="n"/>
      <c r="IB26" s="79" t="n"/>
      <c r="IC26" s="79" t="n"/>
      <c r="ID26" s="79" t="n"/>
      <c r="IE26" s="79" t="n"/>
      <c r="IF26" s="79" t="n"/>
      <c r="IG26" s="79" t="n"/>
      <c r="IH26" s="79" t="n"/>
      <c r="II26" s="79" t="n"/>
      <c r="IK26" s="0" t="inlineStr">
        <is>
          <t>ez_manage.py:5586 top()</t>
        </is>
      </c>
      <c r="IL26" s="0" t="inlineStr">
        <is>
          <t>v12_quick_engine.py:3192 x4</t>
        </is>
      </c>
    </row>
    <row r="27">
      <c r="A27" s="30" t="inlineStr">
        <is>
          <t>SCALP_V3_PROTECTIVE_EXIT_ENABLED</t>
        </is>
      </c>
      <c r="B27" s="30" t="inlineStr">
        <is>
          <t>False</t>
        </is>
      </c>
      <c r="C27" s="30" t="n"/>
      <c r="D27" s="30" t="n"/>
      <c r="E27" s="30" t="n"/>
      <c r="F27" s="30" t="n"/>
      <c r="G27" s="30">
        <f>IFERROR(VLOOKUP($A42&amp;"_"&amp;$B42,Results_Deltas!$A$2:$P$15000,5,FALSE),"")</f>
        <v/>
      </c>
      <c r="H27" s="30">
        <f>IFERROR(VLOOKUP($A42,Results_30d_Deltas!$A$2:$H$5000,7,FALSE)-E41,"")</f>
        <v/>
      </c>
      <c r="I27" s="30">
        <f>IFERROR(VLOOKUP($A42,Results_30d_Deltas!$A$2:$H$5000,6,FALSE),"")</f>
        <v/>
      </c>
      <c r="J27" s="30" t="n"/>
      <c r="K27" s="30" t="n"/>
      <c r="L27" s="30" t="inlineStr">
        <is>
          <t>YES</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ez_manage.py:5586 top()</t>
        </is>
      </c>
      <c r="IL27" s="30" t="inlineStr">
        <is>
          <t>v12_quick_engine.py:3192 x4</t>
        </is>
      </c>
      <c r="IM27" s="30" t="n"/>
    </row>
    <row r="28">
      <c r="A28" s="86" t="inlineStr">
        <is>
          <t>RULE_B_3M_EXIT_ENABLED</t>
        </is>
      </c>
      <c r="B28" s="86" t="inlineStr">
        <is>
          <t>True</t>
        </is>
      </c>
      <c r="G28" s="0">
        <f>IFERROR(VLOOKUP($A39&amp;"_"&amp;$B39,Results_Deltas!$A$2:$P$15000,5,FALSE),"")</f>
        <v/>
      </c>
      <c r="H28" s="0">
        <f>IFERROR(VLOOKUP($A39,Results_30d_Deltas!$A$2:$H$5000,7,FALSE)-E38,"")</f>
        <v/>
      </c>
      <c r="I28" s="0">
        <f>IFERROR(VLOOKUP($A39,Results_30d_Deltas!$A$2:$H$5000,6,FALSE),"")</f>
        <v/>
      </c>
      <c r="L28" s="0" t="inlineStr">
        <is>
          <t>NO</t>
        </is>
      </c>
      <c r="M28" s="79" t="n"/>
      <c r="N28" s="79" t="n"/>
      <c r="O28" s="79" t="n"/>
      <c r="P28" s="79" t="n"/>
      <c r="Q28" s="79" t="n"/>
      <c r="R28" s="79" t="n"/>
      <c r="S28" s="79" t="n"/>
      <c r="T28" s="79" t="n"/>
      <c r="U28" s="79" t="n"/>
      <c r="V28" s="79" t="n"/>
      <c r="W28" s="79" t="n"/>
      <c r="X28" s="79" t="n"/>
      <c r="Y28" s="79" t="n"/>
      <c r="Z28" s="79" t="n"/>
      <c r="AA28" s="79" t="n"/>
      <c r="AB28" s="79" t="n"/>
      <c r="AC28" s="79" t="n"/>
      <c r="AD28" s="79" t="n"/>
      <c r="AE28" s="79" t="n"/>
      <c r="AF28" s="79" t="n"/>
      <c r="AG28" s="79" t="n"/>
      <c r="AH28" s="79" t="n"/>
      <c r="AI28" s="79" t="n"/>
      <c r="AJ28" s="79" t="n"/>
      <c r="AK28" s="79" t="n"/>
      <c r="AL28" s="79" t="n"/>
      <c r="AM28" s="79" t="n"/>
      <c r="AN28" s="79" t="n"/>
      <c r="AO28" s="79" t="n"/>
      <c r="AP28" s="79" t="n"/>
      <c r="AQ28" s="79" t="n"/>
      <c r="AR28" s="79" t="n"/>
      <c r="AS28" s="79" t="n"/>
      <c r="AT28" s="79" t="n"/>
      <c r="AU28" s="79" t="n"/>
      <c r="AV28" s="79" t="n"/>
      <c r="AW28" s="79" t="n"/>
      <c r="AX28" s="79" t="n"/>
      <c r="AY28" s="79" t="n"/>
      <c r="AZ28" s="79" t="n"/>
      <c r="BA28" s="79" t="n"/>
      <c r="BB28" s="79" t="n"/>
      <c r="BC28" s="79" t="n"/>
      <c r="BD28" s="79" t="n"/>
      <c r="BE28" s="79" t="n"/>
      <c r="BF28" s="79" t="n"/>
      <c r="BG28" s="79" t="n"/>
      <c r="BH28" s="79" t="n"/>
      <c r="BI28" s="79" t="n"/>
      <c r="BJ28" s="79" t="n"/>
      <c r="BK28" s="79" t="n"/>
      <c r="BL28" s="79" t="n"/>
      <c r="BM28" s="79" t="n"/>
      <c r="BN28" s="79" t="n"/>
      <c r="BO28" s="79" t="n"/>
      <c r="BP28" s="79" t="n"/>
      <c r="BQ28" s="79" t="n"/>
      <c r="BR28" s="79" t="n"/>
      <c r="BS28" s="79" t="n"/>
      <c r="BT28" s="79" t="n"/>
      <c r="BU28" s="79" t="n"/>
      <c r="BV28" s="79" t="n"/>
      <c r="BW28" s="79" t="n"/>
      <c r="BX28" s="79" t="n"/>
      <c r="BY28" s="79" t="n"/>
      <c r="BZ28" s="79" t="n"/>
      <c r="CA28" s="79" t="n"/>
      <c r="CB28" s="79" t="n"/>
      <c r="CC28" s="79" t="n"/>
      <c r="CD28" s="79" t="n"/>
      <c r="CE28" s="79" t="n"/>
      <c r="CF28" s="79" t="n"/>
      <c r="CG28" s="79" t="n"/>
      <c r="CH28" s="79" t="n"/>
      <c r="CI28" s="79" t="n"/>
      <c r="CJ28" s="79" t="n"/>
      <c r="CK28" s="79" t="n"/>
      <c r="CL28" s="79" t="n"/>
      <c r="CM28" s="79" t="n"/>
      <c r="CN28" s="79" t="n"/>
      <c r="CO28" s="79" t="n"/>
      <c r="CP28" s="79" t="n"/>
      <c r="CQ28" s="79" t="n"/>
      <c r="CR28" s="79" t="n"/>
      <c r="CS28" s="79" t="n"/>
      <c r="CT28" s="80" t="n"/>
      <c r="CU28" s="80" t="n"/>
      <c r="CV28" s="80" t="n"/>
      <c r="CW28" s="80" t="n"/>
      <c r="CX28" s="80" t="n"/>
      <c r="CY28" s="80" t="n"/>
      <c r="CZ28" s="80" t="n"/>
      <c r="DA28" s="80" t="n"/>
      <c r="DB28" s="80" t="n"/>
      <c r="DC28" s="80" t="n"/>
      <c r="DD28" s="80" t="n"/>
      <c r="DE28" s="80" t="n"/>
      <c r="DF28" s="80" t="n"/>
      <c r="DG28" s="80" t="n"/>
      <c r="DH28" s="80" t="n"/>
      <c r="DI28" s="80" t="n"/>
      <c r="DJ28" s="80" t="n"/>
      <c r="DK28" s="80" t="n"/>
      <c r="DL28" s="80" t="n"/>
      <c r="DM28" s="80" t="n"/>
      <c r="DN28" s="79" t="n"/>
      <c r="DO28" s="79" t="n"/>
      <c r="DP28" s="79" t="n"/>
      <c r="DQ28" s="79" t="n"/>
      <c r="DR28" s="79" t="n"/>
      <c r="DS28" s="79" t="n"/>
      <c r="DT28" s="79" t="n"/>
      <c r="DU28" s="79" t="n"/>
      <c r="DV28" s="79" t="n"/>
      <c r="DW28" s="79" t="n"/>
      <c r="DX28" s="79" t="n"/>
      <c r="DY28" s="79" t="n"/>
      <c r="DZ28" s="79" t="n"/>
      <c r="EA28" s="79" t="n"/>
      <c r="EB28" s="79" t="n"/>
      <c r="EC28" s="79" t="n"/>
      <c r="ED28" s="79" t="n"/>
      <c r="EE28" s="79" t="n"/>
      <c r="EF28" s="79" t="n"/>
      <c r="EG28" s="79" t="n"/>
      <c r="EH28" s="80" t="n"/>
      <c r="EI28" s="80" t="n"/>
      <c r="EJ28" s="80" t="n"/>
      <c r="EK28" s="80" t="n"/>
      <c r="EL28" s="80" t="n"/>
      <c r="EM28" s="80" t="n"/>
      <c r="EN28" s="80" t="n"/>
      <c r="EO28" s="80" t="n"/>
      <c r="EP28" s="80" t="n"/>
      <c r="EQ28" s="80" t="n"/>
      <c r="ER28" s="79" t="n"/>
      <c r="ES28" s="79" t="n"/>
      <c r="ET28" s="79" t="n"/>
      <c r="EU28" s="79" t="n"/>
      <c r="EV28" s="79" t="n"/>
      <c r="EW28" s="79" t="n"/>
      <c r="EX28" s="79" t="n"/>
      <c r="EY28" s="79" t="n"/>
      <c r="EZ28" s="79" t="n"/>
      <c r="FA28" s="79" t="n"/>
      <c r="FB28" s="79" t="n"/>
      <c r="FC28" s="79" t="n"/>
      <c r="FD28" s="79" t="n"/>
      <c r="FE28" s="79" t="n"/>
      <c r="FF28" s="79" t="n"/>
      <c r="FG28" s="79" t="n"/>
      <c r="FH28" s="79" t="n"/>
      <c r="FI28" s="79" t="n"/>
      <c r="FJ28" s="79" t="n"/>
      <c r="FK28" s="79" t="n"/>
      <c r="FL28" s="79" t="n"/>
      <c r="FM28" s="79" t="n"/>
      <c r="FN28" s="79" t="n"/>
      <c r="FO28" s="79" t="n"/>
      <c r="FP28" s="79" t="n"/>
      <c r="FQ28" s="79" t="n"/>
      <c r="FR28" s="79" t="n"/>
      <c r="FS28" s="79" t="n"/>
      <c r="FT28" s="79" t="n"/>
      <c r="FU28" s="79" t="n"/>
      <c r="FV28" s="79" t="n"/>
      <c r="FW28" s="79" t="n"/>
      <c r="FX28" s="79" t="n"/>
      <c r="FY28" s="79" t="n"/>
      <c r="FZ28" s="79" t="n"/>
      <c r="GA28" s="79" t="n"/>
      <c r="GB28" s="79" t="n"/>
      <c r="GC28" s="79" t="n"/>
      <c r="GD28" s="79" t="n"/>
      <c r="GE28" s="79" t="n"/>
      <c r="GF28" s="79" t="n"/>
      <c r="GG28" s="79" t="n"/>
      <c r="GH28" s="79" t="n"/>
      <c r="GI28" s="79" t="n"/>
      <c r="GJ28" s="79" t="n"/>
      <c r="GK28" s="79" t="n"/>
      <c r="GL28" s="79" t="n"/>
      <c r="GM28" s="79" t="n"/>
      <c r="GN28" s="79" t="n"/>
      <c r="GO28" s="79" t="n"/>
      <c r="GP28" s="79" t="n"/>
      <c r="GQ28" s="79" t="n"/>
      <c r="GR28" s="79" t="n"/>
      <c r="GS28" s="79" t="n"/>
      <c r="GT28" s="79" t="n"/>
      <c r="GU28" s="79" t="n"/>
      <c r="GV28" s="79" t="n"/>
      <c r="GW28" s="79" t="n"/>
      <c r="GX28" s="79" t="n"/>
      <c r="GY28" s="79" t="n"/>
      <c r="GZ28" s="79" t="n"/>
      <c r="HA28" s="79" t="n"/>
      <c r="HB28" s="79" t="n"/>
      <c r="HC28" s="79" t="n"/>
      <c r="HD28" s="79" t="n"/>
      <c r="HE28" s="79" t="n"/>
      <c r="HF28" s="79" t="n"/>
      <c r="HG28" s="79" t="n"/>
      <c r="HH28" s="79" t="n"/>
      <c r="HI28" s="79" t="n"/>
      <c r="HJ28" s="79" t="n"/>
      <c r="HK28" s="79" t="n"/>
      <c r="HL28" s="79" t="n"/>
      <c r="HM28" s="79" t="n"/>
      <c r="HN28" s="79" t="n"/>
      <c r="HO28" s="79" t="n"/>
      <c r="HP28" s="79" t="n"/>
      <c r="HQ28" s="79" t="n"/>
      <c r="HR28" s="79" t="n"/>
      <c r="HS28" s="79" t="n"/>
      <c r="HT28" s="79" t="n"/>
      <c r="HU28" s="79" t="n"/>
      <c r="HV28" s="79" t="n"/>
      <c r="HW28" s="79" t="n"/>
      <c r="HX28" s="79" t="n"/>
      <c r="HY28" s="79" t="n"/>
      <c r="HZ28" s="79" t="n"/>
      <c r="IA28" s="79" t="n"/>
      <c r="IB28" s="79" t="n"/>
      <c r="IC28" s="79" t="n"/>
      <c r="ID28" s="79" t="n"/>
      <c r="IE28" s="79" t="n"/>
      <c r="IF28" s="79" t="n"/>
      <c r="IG28" s="79" t="n"/>
      <c r="IH28" s="79" t="n"/>
      <c r="II28" s="79" t="n"/>
      <c r="IK28" s="0" t="inlineStr">
        <is>
          <t>ez_manage.py:5395 top()</t>
        </is>
      </c>
      <c r="IL28" s="0" t="inlineStr">
        <is>
          <t>v12_quick_engine.py:3009 x4</t>
        </is>
      </c>
    </row>
    <row r="29">
      <c r="A29" s="30" t="inlineStr">
        <is>
          <t>RULE_B_3M_EXIT_ENABLED</t>
        </is>
      </c>
      <c r="B29" s="30" t="inlineStr">
        <is>
          <t>False</t>
        </is>
      </c>
      <c r="C29" s="30" t="n"/>
      <c r="D29" s="30" t="n"/>
      <c r="E29" s="30" t="n"/>
      <c r="F29" s="30" t="n"/>
      <c r="G29" s="30">
        <f>IFERROR(VLOOKUP($A38&amp;"_"&amp;$B38,Results_Deltas!$A$2:$P$15000,5,FALSE),"")</f>
        <v/>
      </c>
      <c r="H29" s="30">
        <f>IFERROR(VLOOKUP($A38,Results_30d_Deltas!$A$2:$H$5000,7,FALSE)-E37,"")</f>
        <v/>
      </c>
      <c r="I29" s="30">
        <f>IFERROR(VLOOKUP($A38,Results_30d_Deltas!$A$2:$H$5000,6,FALSE),"")</f>
        <v/>
      </c>
      <c r="J29" s="30" t="n"/>
      <c r="K29" s="30" t="n"/>
      <c r="L29" s="30" t="inlineStr">
        <is>
          <t>YES</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4" t="n"/>
      <c r="EI29" s="34" t="n"/>
      <c r="EJ29" s="34" t="n"/>
      <c r="EK29" s="34" t="n"/>
      <c r="EL29" s="34" t="n"/>
      <c r="EM29" s="34" t="n"/>
      <c r="EN29" s="34" t="n"/>
      <c r="EO29" s="34" t="n"/>
      <c r="EP29" s="34" t="n"/>
      <c r="EQ29" s="34"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ez_manage.py:5395 top()</t>
        </is>
      </c>
      <c r="IL29" s="30" t="inlineStr">
        <is>
          <t>v12_quick_engine.py:3009 x4</t>
        </is>
      </c>
      <c r="IM29" s="30" t="n"/>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t="inlineStr">
        <is>
          <t>HARDCODED_RALLY_REENTRY_ENABLED</t>
        </is>
      </c>
      <c r="B3" s="94" t="inlineStr">
        <is>
          <t>True</t>
        </is>
      </c>
      <c r="C3" t="inlineStr">
        <is>
          <t>True</t>
        </is>
      </c>
      <c r="D3" t="inlineStr">
        <is>
          <t>ALWAYS_TESTED</t>
        </is>
      </c>
    </row>
    <row r="4" ht="10.5" customHeight="1" s="67">
      <c r="A4" t="inlineStr">
        <is>
          <t>HARDCODED_RALLY_REENTRY_ENABLED</t>
        </is>
      </c>
      <c r="B4" s="94" t="inlineStr">
        <is>
          <t>True</t>
        </is>
      </c>
      <c r="C4" t="inlineStr">
        <is>
          <t>False</t>
        </is>
      </c>
      <c r="D4" t="inlineStr">
        <is>
          <t>ALWAYS_TESTED</t>
        </is>
      </c>
    </row>
    <row r="5" ht="10.5" customHeight="1" s="67">
      <c r="A5" t="inlineStr">
        <is>
          <t>HARDCODED_RALLY_REENTRY_BYPASS_COOLDOWN</t>
        </is>
      </c>
      <c r="B5" s="94" t="inlineStr">
        <is>
          <t>True</t>
        </is>
      </c>
      <c r="C5" t="inlineStr">
        <is>
          <t>True</t>
        </is>
      </c>
      <c r="D5" t="inlineStr">
        <is>
          <t>ALWAYS_TESTED</t>
        </is>
      </c>
    </row>
    <row r="6" ht="10.5" customHeight="1" s="67">
      <c r="A6" t="inlineStr">
        <is>
          <t>HARDCODED_RALLY_REENTRY_BYPASS_COOLDOWN</t>
        </is>
      </c>
      <c r="B6" s="94" t="inlineStr">
        <is>
          <t>True</t>
        </is>
      </c>
      <c r="C6" t="inlineStr">
        <is>
          <t>False</t>
        </is>
      </c>
      <c r="D6" t="inlineStr">
        <is>
          <t>ALWAYS_TESTED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6" t="inlineStr">
        <is>
          <t>CHANNEL_REENTRY_STOP_ENABLED</t>
        </is>
      </c>
      <c r="B3" s="87" t="inlineStr">
        <is>
          <t>True</t>
        </is>
      </c>
      <c r="G3" s="0">
        <f>IFERROR(VLOOKUP($A22&amp;"_"&amp;$B22,Results_Deltas!$A$2:$P$15000,5,FALSE),"")</f>
        <v/>
      </c>
      <c r="H3" s="0">
        <f>IFERROR(VLOOKUP($A22,Results_30d_Deltas!$A$2:$H$5000,7,FALSE)-E21,"")</f>
        <v/>
      </c>
      <c r="I3" s="0">
        <f>IFERROR(VLOOKUP($A22,Results_30d_Deltas!$A$2:$H$5000,6,FALSE),"")</f>
        <v/>
      </c>
      <c r="L3" s="0" t="inlineStr">
        <is>
          <t>NO</t>
        </is>
      </c>
      <c r="M3" s="78" t="n">
        <v>-2.093686938119209</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80" t="n"/>
      <c r="EE3" s="80" t="n"/>
      <c r="EF3" s="80" t="n"/>
      <c r="EG3" s="80" t="n"/>
      <c r="EH3" s="80"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80" t="n"/>
      <c r="FU3" s="80"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ez_manage.py:5968 top()</t>
        </is>
      </c>
      <c r="IM3" s="0" t="inlineStr">
        <is>
          <t>v12_quick_engine.py:482 x8</t>
        </is>
      </c>
    </row>
    <row r="4" ht="10.5" customHeight="1" s="67">
      <c r="A4" s="31" t="inlineStr">
        <is>
          <t>CHANNEL_REENTRY_STOP_ENABLED</t>
        </is>
      </c>
      <c r="B4" s="72" t="inlineStr">
        <is>
          <t>False</t>
        </is>
      </c>
      <c r="C4" s="30" t="n"/>
      <c r="D4" s="30" t="n"/>
      <c r="E4" s="30" t="n"/>
      <c r="F4" s="30" t="n"/>
      <c r="G4" s="30">
        <f>IFERROR(VLOOKUP($A38&amp;"_"&amp;$B38,Results_Deltas!$A$2:$P$15000,5,FALSE),"")</f>
        <v/>
      </c>
      <c r="H4" s="30">
        <f>IFERROR(VLOOKUP($A38,Results_30d_Deltas!$A$2:$H$5000,7,FALSE)-E37,"")</f>
        <v/>
      </c>
      <c r="I4" s="30">
        <f>IFERROR(VLOOKUP($A38,Results_30d_Deltas!$A$2:$H$5000,6,FALSE),"")</f>
        <v/>
      </c>
      <c r="J4" s="30" t="n"/>
      <c r="K4" s="30" t="n"/>
      <c r="L4" s="30" t="inlineStr">
        <is>
          <t>YES</t>
        </is>
      </c>
      <c r="M4" s="32" t="n">
        <v>-0.2266956549683738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4" t="n"/>
      <c r="EE4" s="34" t="n"/>
      <c r="EF4" s="34" t="n"/>
      <c r="EG4" s="34" t="n"/>
      <c r="EH4" s="34"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ez_manage.py:5968 top()</t>
        </is>
      </c>
      <c r="IM4" s="30" t="inlineStr">
        <is>
          <t>v12_quick_engine.py:482 x8</t>
        </is>
      </c>
      <c r="IN4" s="30" t="n"/>
    </row>
    <row r="5" ht="10.5" customHeight="1" s="67">
      <c r="A5" t="inlineStr">
        <is>
          <t>HARDCODED_RALLY_REENTRY_ENABLED</t>
        </is>
      </c>
      <c r="B5" s="94" t="inlineStr">
        <is>
          <t>True</t>
        </is>
      </c>
      <c r="C5" t="inlineStr">
        <is>
          <t>True</t>
        </is>
      </c>
      <c r="D5" t="inlineStr">
        <is>
          <t>ALWAYS_TESTED</t>
        </is>
      </c>
    </row>
    <row r="6" ht="10.5" customHeight="1" s="67">
      <c r="A6" t="inlineStr">
        <is>
          <t>HARDCODED_RALLY_REENTRY_ENABLED</t>
        </is>
      </c>
      <c r="B6" s="94" t="inlineStr">
        <is>
          <t>True</t>
        </is>
      </c>
      <c r="C6" t="inlineStr">
        <is>
          <t>False</t>
        </is>
      </c>
      <c r="D6" t="inlineStr">
        <is>
          <t>ALWAYS_TESTED</t>
        </is>
      </c>
    </row>
    <row r="7" ht="10.5" customHeight="1" s="67">
      <c r="A7" t="inlineStr">
        <is>
          <t>HARDCODED_RALLY_REENTRY_BYPASS_COOLDOWN</t>
        </is>
      </c>
      <c r="B7" s="94" t="inlineStr">
        <is>
          <t>True</t>
        </is>
      </c>
      <c r="C7" t="inlineStr">
        <is>
          <t>True</t>
        </is>
      </c>
      <c r="D7" t="inlineStr">
        <is>
          <t>ALWAYS_TESTED</t>
        </is>
      </c>
    </row>
    <row r="8" ht="10.5" customHeight="1" s="67">
      <c r="A8" t="inlineStr">
        <is>
          <t>HARDCODED_RALLY_REENTRY_BYPASS_COOLDOWN</t>
        </is>
      </c>
      <c r="B8" s="94" t="inlineStr">
        <is>
          <t>True</t>
        </is>
      </c>
      <c r="C8" t="inlineStr">
        <is>
          <t>False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AUGMENT_MIN_GAIN_PCT</t>
        </is>
      </c>
      <c r="B3" s="89" t="inlineStr">
        <is>
          <t>0.5</t>
        </is>
      </c>
      <c r="G3" s="0">
        <f>IFERROR(VLOOKUP($A24&amp;"_"&amp;$B24,Results_Deltas!$A$2:$P$15000,5,FALSE),"")</f>
        <v/>
      </c>
      <c r="H3" s="0">
        <f>IFERROR(VLOOKUP($A24,Results_30d_Deltas!$A$2:$H$5000,7,FALSE)-E23,"")</f>
        <v/>
      </c>
      <c r="I3" s="0">
        <f>IFERROR(VLOOKUP($A24,Results_30d_Deltas!$A$2:$H$5000,6,FALSE),"")</f>
        <v/>
      </c>
      <c r="L3" s="0" t="inlineStr">
        <is>
          <t>NO</t>
        </is>
      </c>
      <c r="M3" s="78" t="n">
        <v>-0.8687196370388788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80" t="n"/>
      <c r="AM3" s="80" t="n"/>
      <c r="AN3" s="80" t="n"/>
      <c r="AO3" s="80" t="n"/>
      <c r="AP3" s="80"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ez_manage.py:30417 top()</t>
        </is>
      </c>
      <c r="IL3" s="0" t="inlineStr">
        <is>
          <t>v12_quick_engine.py:4874 x5</t>
        </is>
      </c>
    </row>
    <row r="4" ht="10.5" customHeight="1" s="67">
      <c r="A4" s="30" t="inlineStr">
        <is>
          <t>AUGMENT_MIN_GAIN_PCT</t>
        </is>
      </c>
      <c r="B4" s="72" t="inlineStr">
        <is>
          <t>0.625</t>
        </is>
      </c>
      <c r="C4" s="30" t="n"/>
      <c r="D4" s="30" t="n"/>
      <c r="E4" s="30" t="n"/>
      <c r="F4" s="30" t="n"/>
      <c r="G4" s="30">
        <f>IFERROR(VLOOKUP($A3&amp;"_"&amp;$B3,Results_Deltas!$A$2:$P$15000,5,FALSE),"")</f>
        <v/>
      </c>
      <c r="H4" s="30">
        <f>IFERROR(VLOOKUP($A3,Results_30d_Deltas!$A$2:$H$5000,7,FALSE)-E2,"")</f>
        <v/>
      </c>
      <c r="I4" s="30">
        <f>IFERROR(VLOOKUP($A3,Results_30d_Deltas!$A$2:$H$5000,6,FALSE),"")</f>
        <v/>
      </c>
      <c r="J4" s="30" t="n"/>
      <c r="K4" s="30" t="n"/>
      <c r="L4" s="30" t="inlineStr">
        <is>
          <t>NO</t>
        </is>
      </c>
      <c r="M4" s="33" t="n">
        <v>-13.42652636923615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86" t="inlineStr">
        <is>
          <t>AUGMENT_BOUNCE_MIN_GAIN_PCT</t>
        </is>
      </c>
      <c r="B5" s="87" t="inlineStr">
        <is>
          <t>0.5</t>
        </is>
      </c>
      <c r="G5" s="0">
        <f>IFERROR(VLOOKUP($A25&amp;"_"&amp;$B25,Results_Deltas!$A$2:$P$15000,5,FALSE),"")</f>
        <v/>
      </c>
      <c r="H5" s="0">
        <f>IFERROR(VLOOKUP($A25,Results_30d_Deltas!$A$2:$H$5000,7,FALSE)-E24,"")</f>
        <v/>
      </c>
      <c r="I5" s="0">
        <f>IFERROR(VLOOKUP($A25,Results_30d_Deltas!$A$2:$H$5000,6,FALSE),"")</f>
        <v/>
      </c>
      <c r="L5" s="0" t="inlineStr">
        <is>
          <t>YES</t>
        </is>
      </c>
      <c r="M5" s="78" t="n">
        <v>-0.86784638372116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ez_manage.py:56856 top()</t>
        </is>
      </c>
      <c r="IL5" s="0" t="inlineStr">
        <is>
          <t>v12_quick_engine.py:4872 x2</t>
        </is>
      </c>
    </row>
    <row r="6" ht="10.5" customHeight="1" s="67">
      <c r="A6" s="30" t="inlineStr">
        <is>
          <t>AUGMENT_BOUNCE_MIN_GAIN_PCT</t>
        </is>
      </c>
      <c r="B6" s="72" t="inlineStr">
        <is>
          <t>0.75</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-12.90822535833354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ez_manage.py:56856 top()</t>
        </is>
      </c>
      <c r="IL6" s="30" t="inlineStr">
        <is>
          <t>v12_quick_engine.py:4872 x2</t>
        </is>
      </c>
      <c r="IM6" s="30" t="n"/>
    </row>
    <row r="7" ht="10.5" customHeight="1" s="67">
      <c r="A7" s="86" t="inlineStr">
        <is>
          <t>BOUNCE_AUGMENT_MIN_LOSS_PCT</t>
        </is>
      </c>
      <c r="B7" s="87" t="inlineStr">
        <is>
          <t>-0.625</t>
        </is>
      </c>
      <c r="G7" s="0">
        <f>IFERROR(VLOOKUP($A20&amp;"_"&amp;$B20,Results_Deltas!$A$2:$P$15000,5,FALSE),"")</f>
        <v/>
      </c>
      <c r="H7" s="0">
        <f>IFERROR(VLOOKUP($A20,Results_30d_Deltas!$A$2:$H$5000,7,FALSE)-E19,"")</f>
        <v/>
      </c>
      <c r="I7" s="0">
        <f>IFERROR(VLOOKUP($A20,Results_30d_Deltas!$A$2:$H$5000,6,FALSE),"")</f>
        <v/>
      </c>
      <c r="L7" s="0" t="inlineStr">
        <is>
          <t>NO</t>
        </is>
      </c>
      <c r="M7" s="78" t="n">
        <v>-2.060599099951949</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80" t="n"/>
      <c r="GU7" s="80" t="n"/>
      <c r="GV7" s="80" t="n"/>
      <c r="GW7" s="80" t="n"/>
      <c r="GX7" s="80"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ez_manage.py:4390 top()</t>
        </is>
      </c>
      <c r="IL7" s="0" t="inlineStr">
        <is>
          <t>v12_quick_engine.py:1310 x9</t>
        </is>
      </c>
    </row>
    <row r="8" ht="10.5" customHeight="1" s="67">
      <c r="A8" s="30" t="inlineStr">
        <is>
          <t>BOUNCE_AUGMENT_MIN_LOSS_PCT</t>
        </is>
      </c>
      <c r="B8" s="72" t="inlineStr">
        <is>
          <t>-0.375</t>
        </is>
      </c>
      <c r="C8" s="30" t="n"/>
      <c r="D8" s="30" t="n"/>
      <c r="E8" s="30" t="n"/>
      <c r="F8" s="30" t="n"/>
      <c r="G8" s="30">
        <f>IFERROR(VLOOKUP($A17&amp;"_"&amp;$B17,Results_Deltas!$A$2:$P$15000,5,FALSE),"")</f>
        <v/>
      </c>
      <c r="H8" s="30">
        <f>IFERROR(VLOOKUP($A17,Results_30d_Deltas!$A$2:$H$5000,7,FALSE)-E16,"")</f>
        <v/>
      </c>
      <c r="I8" s="30">
        <f>IFERROR(VLOOKUP($A17,Results_30d_Deltas!$A$2:$H$5000,6,FALSE),"")</f>
        <v/>
      </c>
      <c r="J8" s="30" t="n"/>
      <c r="K8" s="30" t="n"/>
      <c r="L8" s="30" t="inlineStr">
        <is>
          <t>NO</t>
        </is>
      </c>
      <c r="M8" s="33" t="n">
        <v>-2.282738528007072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ez_manage.py:4390 top()</t>
        </is>
      </c>
      <c r="IL8" s="30" t="inlineStr">
        <is>
          <t>v12_quick_engine.py:1310 x9</t>
        </is>
      </c>
      <c r="IM8" s="30" t="n"/>
    </row>
    <row r="9" ht="10.5" customHeight="1" s="67">
      <c r="A9" s="88" t="inlineStr">
        <is>
          <t>AUGMENT_BULL_KILL_ENABLED</t>
        </is>
      </c>
      <c r="B9" s="88" t="inlineStr">
        <is>
          <t>False</t>
        </is>
      </c>
      <c r="C9" s="0" t="inlineStr">
        <is>
          <t>True</t>
        </is>
      </c>
    </row>
    <row r="10" ht="10.5" customHeight="1" s="67">
      <c r="A10" s="0" t="inlineStr">
        <is>
          <t>AUGMENT_BULL_KILL_ENABLED</t>
        </is>
      </c>
      <c r="B10" s="0" t="b">
        <v>1</v>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MAX_AUGMENTS_PER_POSITION</t>
        </is>
      </c>
      <c r="B3" s="89" t="inlineStr">
        <is>
          <t>5</t>
        </is>
      </c>
      <c r="G3" s="0">
        <f>IFERROR(VLOOKUP($A13&amp;"_"&amp;$B13,Results_Deltas!$A$2:$P$15000,5,FALSE),"")</f>
        <v/>
      </c>
      <c r="H3" s="0">
        <f>IFERROR(VLOOKUP($A13,Results_30d_Deltas!$A$2:$H$5000,7,FALSE)-E12,"")</f>
        <v/>
      </c>
      <c r="I3" s="0">
        <f>IFERROR(VLOOKUP($A13,Results_30d_Deltas!$A$2:$H$5000,6,FALSE),"")</f>
        <v/>
      </c>
      <c r="L3" s="0" t="inlineStr">
        <is>
          <t>NO</t>
        </is>
      </c>
      <c r="M3" s="78" t="n">
        <v>-2.727188947662457</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ez_manage.py:3521 top()</t>
        </is>
      </c>
      <c r="IL3" s="0" t="inlineStr">
        <is>
          <t>v12_quick_engine.py:2267 x7</t>
        </is>
      </c>
    </row>
    <row r="4" ht="10.5" customHeight="1" s="67">
      <c r="A4" s="0" t="inlineStr">
        <is>
          <t>MAX_AUGMENTS_PER_POSITION</t>
        </is>
      </c>
      <c r="B4" s="77" t="inlineStr">
        <is>
          <t>2</t>
        </is>
      </c>
      <c r="G4" s="0">
        <f>IFERROR(VLOOKUP($A14&amp;"_"&amp;$B14,Results_Deltas!$A$2:$P$15000,5,FALSE),"")</f>
        <v/>
      </c>
      <c r="H4" s="0">
        <f>IFERROR(VLOOKUP($A14,Results_30d_Deltas!$A$2:$H$5000,7,FALSE)-E13,"")</f>
        <v/>
      </c>
      <c r="I4" s="0">
        <f>IFERROR(VLOOKUP($A14,Results_30d_Deltas!$A$2:$H$5000,6,FALSE),"")</f>
        <v/>
      </c>
      <c r="L4" s="0" t="inlineStr">
        <is>
          <t>NO</t>
        </is>
      </c>
      <c r="M4" s="78" t="n">
        <v>-2.664335480041505</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ez_manage.py:3521 top()</t>
        </is>
      </c>
      <c r="IL4" s="0" t="inlineStr">
        <is>
          <t>v12_quick_engine.py:2267 x7</t>
        </is>
      </c>
    </row>
    <row r="5" ht="10.5" customHeight="1" s="67">
      <c r="A5" s="0" t="inlineStr">
        <is>
          <t>MAX_AUGMENTS_PER_POSITION</t>
        </is>
      </c>
      <c r="B5" s="77" t="inlineStr">
        <is>
          <t>1</t>
        </is>
      </c>
      <c r="G5" s="0">
        <f>IFERROR(VLOOKUP($A20&amp;"_"&amp;$B20,Results_Deltas!$A$2:$P$15000,5,FALSE),"")</f>
        <v/>
      </c>
      <c r="H5" s="0">
        <f>IFERROR(VLOOKUP($A20,Results_30d_Deltas!$A$2:$H$5000,7,FALSE)-E19,"")</f>
        <v/>
      </c>
      <c r="I5" s="0">
        <f>IFERROR(VLOOKUP($A20,Results_30d_Deltas!$A$2:$H$5000,6,FALSE),"")</f>
        <v/>
      </c>
      <c r="L5" s="0" t="inlineStr">
        <is>
          <t>NO</t>
        </is>
      </c>
      <c r="M5" s="78" t="n">
        <v>-2.428130097538838</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ez_manage.py:3521 top()</t>
        </is>
      </c>
      <c r="IL5" s="0" t="inlineStr">
        <is>
          <t>v12_quick_engine.py:2267 x7</t>
        </is>
      </c>
    </row>
    <row r="6" ht="10.5" customHeight="1" s="67">
      <c r="A6" s="0" t="inlineStr">
        <is>
          <t>MAX_AUGMENTS_PER_POSITION</t>
        </is>
      </c>
      <c r="B6" s="77" t="inlineStr">
        <is>
          <t>0</t>
        </is>
      </c>
      <c r="G6" s="0">
        <f>IFERROR(VLOOKUP($A39&amp;"_"&amp;$B39,Results_Deltas!$A$2:$P$15000,5,FALSE),"")</f>
        <v/>
      </c>
      <c r="H6" s="0">
        <f>IFERROR(VLOOKUP($A39,Results_30d_Deltas!$A$2:$H$5000,7,FALSE)-E38,"")</f>
        <v/>
      </c>
      <c r="I6" s="0">
        <f>IFERROR(VLOOKUP($A39,Results_30d_Deltas!$A$2:$H$5000,6,FALSE),"")</f>
        <v/>
      </c>
      <c r="L6" s="0" t="inlineStr">
        <is>
          <t>NO</t>
        </is>
      </c>
      <c r="M6" s="78" t="n">
        <v>-0.699311460845238</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ez_manage.py:3521 top()</t>
        </is>
      </c>
      <c r="IL6" s="0" t="inlineStr">
        <is>
          <t>v12_quick_engine.py:2267 x7</t>
        </is>
      </c>
    </row>
    <row r="7" ht="10.5" customHeight="1" s="67">
      <c r="A7" s="0" t="inlineStr">
        <is>
          <t>MAX_AUGMENTS_PER_POSITION</t>
        </is>
      </c>
      <c r="B7" s="77" t="inlineStr">
        <is>
          <t>999999</t>
        </is>
      </c>
      <c r="C7" s="0" t="inlineStr">
        <is>
          <t>0</t>
        </is>
      </c>
      <c r="L7" s="0" t="inlineStr">
        <is>
          <t>NO</t>
        </is>
      </c>
      <c r="M7" s="79" t="n">
        <v>-0.699311460845238</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ez_manage.py:3521 top()</t>
        </is>
      </c>
      <c r="IL7" s="0" t="inlineStr">
        <is>
          <t>v12_quick_engine.py:2267 x7</t>
        </is>
      </c>
    </row>
    <row r="8" ht="10.5" customHeight="1" s="67">
      <c r="A8" s="0" t="inlineStr">
        <is>
          <t>MAX_AUGMENTS_PER_POSITION</t>
        </is>
      </c>
      <c r="B8" s="77" t="inlineStr">
        <is>
          <t>10</t>
        </is>
      </c>
      <c r="C8" s="0" t="n"/>
      <c r="L8" s="0" t="inlineStr">
        <is>
          <t>NO</t>
        </is>
      </c>
      <c r="M8" s="79" t="n">
        <v>-0.699311460845238</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ez_manage.py:3521 top()</t>
        </is>
      </c>
      <c r="IL8" s="0" t="inlineStr">
        <is>
          <t>v12_quick_engine.py:2267 x7</t>
        </is>
      </c>
    </row>
    <row r="9" ht="10.5" customHeight="1" s="67">
      <c r="A9" s="88" t="inlineStr">
        <is>
          <t>AUGMENT_BULL_KILL_ENABLED</t>
        </is>
      </c>
      <c r="B9" s="88" t="inlineStr">
        <is>
          <t>False</t>
        </is>
      </c>
      <c r="C9" s="0" t="inlineStr">
        <is>
          <t>True</t>
        </is>
      </c>
    </row>
    <row r="10" ht="10.5" customHeight="1" s="67">
      <c r="A10" s="0" t="inlineStr">
        <is>
          <t>AUGMENT_BULL_KILL_ENABLED</t>
        </is>
      </c>
      <c r="B10" s="0" t="b">
        <v>1</v>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6" t="inlineStr">
        <is>
          <t>WT_PERCENTILE_ENTRY_OB_D</t>
        </is>
      </c>
      <c r="B3" s="87" t="inlineStr">
        <is>
          <t>112.5</t>
        </is>
      </c>
      <c r="G3" s="0">
        <f>IFERROR(VLOOKUP($A30&amp;"_"&amp;$B30,Results_Deltas!$A$2:$P$15000,5,FALSE),"")</f>
        <v/>
      </c>
      <c r="H3" s="0">
        <f>IFERROR(VLOOKUP($A30,Results_30d_Deltas!$A$2:$H$5000,7,FALSE)-E29,"")</f>
        <v/>
      </c>
      <c r="I3" s="0">
        <f>IFERROR(VLOOKUP($A30,Results_30d_Deltas!$A$2:$H$5000,6,FALSE),"")</f>
        <v/>
      </c>
      <c r="L3" s="0" t="inlineStr">
        <is>
          <t>YES</t>
        </is>
      </c>
      <c r="M3" s="78" t="n">
        <v>-2.915219023489065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80" t="n"/>
      <c r="FJ3" s="80" t="n"/>
      <c r="FK3" s="80" t="n"/>
      <c r="FL3" s="80" t="n"/>
      <c r="FM3" s="80"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ez_manage.py:5925 top()</t>
        </is>
      </c>
      <c r="IL3" s="0" t="inlineStr">
        <is>
          <t>v12_quick_engine.py:3765 x2</t>
        </is>
      </c>
    </row>
    <row r="4" ht="10.5" customHeight="1" s="67">
      <c r="A4" s="30" t="inlineStr">
        <is>
          <t>WT_PERCENTILE_ENTRY_OB_D</t>
        </is>
      </c>
      <c r="B4" s="72" t="inlineStr">
        <is>
          <t>67.5</t>
        </is>
      </c>
      <c r="C4" s="30" t="n"/>
      <c r="D4" s="30" t="n"/>
      <c r="E4" s="30" t="n"/>
      <c r="F4" s="30" t="n"/>
      <c r="G4" s="30">
        <f>IFERROR(VLOOKUP($A19&amp;"_"&amp;$B19,Results_Deltas!$A$2:$P$15000,5,FALSE),"")</f>
        <v/>
      </c>
      <c r="H4" s="30">
        <f>IFERROR(VLOOKUP($A19,Results_30d_Deltas!$A$2:$H$5000,7,FALSE)-E18,"")</f>
        <v/>
      </c>
      <c r="I4" s="30">
        <f>IFERROR(VLOOKUP($A19,Results_30d_Deltas!$A$2:$H$5000,6,FALSE),"")</f>
        <v/>
      </c>
      <c r="J4" s="30" t="n"/>
      <c r="K4" s="30" t="n"/>
      <c r="L4" s="30" t="inlineStr">
        <is>
          <t>NO</t>
        </is>
      </c>
      <c r="M4" s="33" t="n">
        <v>-3.154690532395625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ez_manage.py:5925 top()</t>
        </is>
      </c>
      <c r="IL4" s="30" t="inlineStr">
        <is>
          <t>v12_quick_engine.py:3765 x2</t>
        </is>
      </c>
      <c r="IM4" s="30" t="n"/>
    </row>
    <row r="5" ht="10.5" customHeight="1" s="67">
      <c r="A5" s="88" t="inlineStr">
        <is>
          <t>QUICK_REDUCE_TECHNICAL_ONLY</t>
        </is>
      </c>
      <c r="B5" s="89" t="inlineStr">
        <is>
          <t>1.0</t>
        </is>
      </c>
      <c r="G5" s="0">
        <f>IFERROR(VLOOKUP($A104&amp;"_"&amp;$B104,Results_Deltas!$A$2:$P$15000,5,FALSE),"")</f>
        <v/>
      </c>
      <c r="H5" s="0">
        <f>IFERROR(VLOOKUP($A104,Results_30d_Deltas!$A$2:$H$5000,7,FALSE)-E103,"")</f>
        <v/>
      </c>
      <c r="I5" s="0">
        <f>IFERROR(VLOOKUP($A104,Results_30d_Deltas!$A$2:$H$5000,6,FALSE),"")</f>
        <v/>
      </c>
      <c r="L5" s="0" t="inlineStr">
        <is>
          <t>NO</t>
        </is>
      </c>
      <c r="M5" s="78" t="n">
        <v>-1.330701692355234</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80" t="n"/>
      <c r="BL5" s="80" t="n"/>
      <c r="BM5" s="80" t="n"/>
      <c r="BN5" s="80" t="n"/>
      <c r="BO5" s="80"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80" t="n"/>
      <c r="DJ5" s="80" t="n"/>
      <c r="DK5" s="80" t="n"/>
      <c r="DL5" s="80" t="n"/>
      <c r="DM5" s="80"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80" t="n"/>
      <c r="FO5" s="80" t="n"/>
      <c r="FP5" s="80" t="n"/>
      <c r="FQ5" s="80" t="n"/>
      <c r="FR5" s="80"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ez_manage.py:5218 top()</t>
        </is>
      </c>
      <c r="IL5" s="0" t="inlineStr">
        <is>
          <t>v12_quick_engine.py:2747 x2</t>
        </is>
      </c>
    </row>
    <row r="6" ht="10.5" customHeight="1" s="67">
      <c r="A6" s="30" t="inlineStr">
        <is>
          <t>QUICK_REDUCE_TECHNICAL_ONLY</t>
        </is>
      </c>
      <c r="B6" s="72" t="inlineStr">
        <is>
          <t>2.0</t>
        </is>
      </c>
      <c r="C6" s="30" t="n"/>
      <c r="D6" s="30" t="n"/>
      <c r="E6" s="30" t="n"/>
      <c r="F6" s="30" t="n"/>
      <c r="G6" s="30">
        <f>IFERROR(VLOOKUP($A80&amp;"_"&amp;$B80,Results_Deltas!$A$2:$P$15000,5,FALSE),"")</f>
        <v/>
      </c>
      <c r="H6" s="30">
        <f>IFERROR(VLOOKUP($A80,Results_30d_Deltas!$A$2:$H$5000,7,FALSE)-E79,"")</f>
        <v/>
      </c>
      <c r="I6" s="30">
        <f>IFERROR(VLOOKUP($A80,Results_30d_Deltas!$A$2:$H$5000,6,FALSE),"")</f>
        <v/>
      </c>
      <c r="J6" s="30" t="n"/>
      <c r="K6" s="30" t="n"/>
      <c r="L6" s="30" t="inlineStr">
        <is>
          <t>NO</t>
        </is>
      </c>
      <c r="M6" s="33" t="n">
        <v>-2.008642685499031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ez_manage.py:5218 top()</t>
        </is>
      </c>
      <c r="IL6" s="30" t="inlineStr">
        <is>
          <t>v12_quick_engine.py:2747 x2</t>
        </is>
      </c>
      <c r="IM6" s="30" t="n"/>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6" t="inlineStr">
        <is>
          <t>EXECUTE_NOW_MAX_MARK_AGE_S</t>
        </is>
      </c>
      <c r="B3" s="87" t="inlineStr">
        <is>
          <t>75.0</t>
        </is>
      </c>
      <c r="G3" s="0">
        <f>IFERROR(VLOOKUP($A18&amp;"_"&amp;$B18,Results_Deltas!$A$2:$P$15000,5,FALSE),"")</f>
        <v/>
      </c>
      <c r="H3" s="0">
        <f>IFERROR(VLOOKUP($A18,Results_30d_Deltas!$A$2:$H$5000,7,FALSE)-E17,"")</f>
        <v/>
      </c>
      <c r="I3" s="0">
        <f>IFERROR(VLOOKUP($A18,Results_30d_Deltas!$A$2:$H$5000,6,FALSE),"")</f>
        <v/>
      </c>
      <c r="L3" s="0" t="inlineStr">
        <is>
          <t>NO</t>
        </is>
      </c>
      <c r="M3" s="78" t="n">
        <v>-2.357541555795288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ez_manage.py:4656 top()</t>
        </is>
      </c>
      <c r="IL3" s="0" t="inlineStr">
        <is>
          <t>v12_quick_engine.py:3868 x1</t>
        </is>
      </c>
    </row>
    <row r="4" ht="10.5" customHeight="1" s="67">
      <c r="A4" s="30" t="inlineStr">
        <is>
          <t>EXECUTE_NOW_MAX_MARK_AGE_S</t>
        </is>
      </c>
      <c r="B4" s="72" t="inlineStr">
        <is>
          <t>45.0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-3.022863941467785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ez_manage.py:4656 top()</t>
        </is>
      </c>
      <c r="IL4" s="30" t="inlineStr">
        <is>
          <t>v12_quick_engine.py:3868 x1</t>
        </is>
      </c>
      <c r="IM4" s="30" t="n"/>
    </row>
    <row r="5" ht="10.5" customHeight="1" s="67">
      <c r="A5" s="86" t="inlineStr">
        <is>
          <t>COUNTER_TREND_ADD_BLOCK_ENABLED</t>
        </is>
      </c>
      <c r="B5" s="87" t="inlineStr">
        <is>
          <t>False</t>
        </is>
      </c>
      <c r="G5" s="0">
        <f>IFERROR(VLOOKUP($A19&amp;"_"&amp;$B19,Results_Deltas!$A$2:$P$15000,5,FALSE),"")</f>
        <v/>
      </c>
      <c r="H5" s="0">
        <f>IFERROR(VLOOKUP($A19,Results_30d_Deltas!$A$2:$H$5000,7,FALSE)-E18,"")</f>
        <v/>
      </c>
      <c r="I5" s="0">
        <f>IFERROR(VLOOKUP($A19,Results_30d_Deltas!$A$2:$H$5000,6,FALSE),"")</f>
        <v/>
      </c>
      <c r="L5" s="0" t="inlineStr">
        <is>
          <t>NO</t>
        </is>
      </c>
      <c r="M5" s="78" t="n">
        <v>-2.102136099799269</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ez_manage.py:3055 top()</t>
        </is>
      </c>
      <c r="IL5" s="0" t="inlineStr">
        <is>
          <t>v12_quick_engine.py:1469 x2</t>
        </is>
      </c>
    </row>
    <row r="6" ht="10.5" customHeight="1" s="67">
      <c r="A6" s="31" t="inlineStr">
        <is>
          <t>COUNTER_TREND_ADD_BLOCK_ENABLED</t>
        </is>
      </c>
      <c r="B6" s="72" t="inlineStr">
        <is>
          <t>True</t>
        </is>
      </c>
      <c r="C6" s="30" t="n"/>
      <c r="D6" s="30" t="n"/>
      <c r="E6" s="30" t="n"/>
      <c r="F6" s="30" t="n"/>
      <c r="G6" s="30">
        <f>IFERROR(VLOOKUP($A34&amp;"_"&amp;$B34,Results_Deltas!$A$2:$P$15000,5,FALSE),"")</f>
        <v/>
      </c>
      <c r="H6" s="30">
        <f>IFERROR(VLOOKUP($A34,Results_30d_Deltas!$A$2:$H$5000,7,FALSE)-E33,"")</f>
        <v/>
      </c>
      <c r="I6" s="30">
        <f>IFERROR(VLOOKUP($A34,Results_30d_Deltas!$A$2:$H$5000,6,FALSE),"")</f>
        <v/>
      </c>
      <c r="J6" s="30" t="n"/>
      <c r="K6" s="30" t="n"/>
      <c r="L6" s="30" t="inlineStr">
        <is>
          <t>YES</t>
        </is>
      </c>
      <c r="M6" s="33" t="n">
        <v>-0.2010767896850408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ez_manage.py:3055 top()</t>
        </is>
      </c>
      <c r="IL6" s="30" t="inlineStr">
        <is>
          <t>v12_quick_engine.py:1469 x2</t>
        </is>
      </c>
      <c r="IM6" s="30" t="n"/>
    </row>
    <row r="7" ht="10.5" customHeight="1" s="67">
      <c r="A7" s="86" t="inlineStr">
        <is>
          <t>UNIVERSAL_NOLOSS_GATE</t>
        </is>
      </c>
      <c r="B7" s="87" t="inlineStr">
        <is>
          <t>True</t>
        </is>
      </c>
      <c r="G7" s="0">
        <f>IFERROR(VLOOKUP($A24&amp;"_"&amp;$B24,Results_Deltas!$A$2:$P$15000,5,FALSE),"")</f>
        <v/>
      </c>
      <c r="H7" s="0">
        <f>IFERROR(VLOOKUP($A24,Results_30d_Deltas!$A$2:$H$5000,7,FALSE)-E23,"")</f>
        <v/>
      </c>
      <c r="I7" s="0">
        <f>IFERROR(VLOOKUP($A24,Results_30d_Deltas!$A$2:$H$5000,6,FALSE),"")</f>
        <v/>
      </c>
      <c r="L7" s="0" t="inlineStr">
        <is>
          <t>NO</t>
        </is>
      </c>
      <c r="M7" s="78" t="n">
        <v>-1.400646119139731</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80" t="n"/>
      <c r="HE7" s="80" t="n"/>
      <c r="HF7" s="80" t="n"/>
      <c r="HG7" s="80" t="n"/>
      <c r="HH7" s="80"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ez_manage.py:4233 top()</t>
        </is>
      </c>
      <c r="IL7" s="0" t="inlineStr">
        <is>
          <t>v12_quick_engine.py:837 x18</t>
        </is>
      </c>
    </row>
    <row r="8" ht="10.5" customHeight="1" s="67">
      <c r="A8" s="0" t="inlineStr">
        <is>
          <t>UNIVERSAL_NOLOSS_GATE</t>
        </is>
      </c>
      <c r="B8" s="77" t="inlineStr">
        <is>
          <t>False</t>
        </is>
      </c>
      <c r="G8" s="0">
        <f>IFERROR(VLOOKUP($A36&amp;"="&amp;$B36,Results_Deltas!$A$2:$P$15000,5,FALSE),"")</f>
        <v/>
      </c>
      <c r="H8" s="0">
        <f>IFERROR(VLOOKUP($A36,Results_30d_Deltas!$A$2:$H$5000,7,FALSE)-E36,"")</f>
        <v/>
      </c>
      <c r="I8" s="0">
        <f>IFERROR(VLOOKUP($A36,Results_30d_Deltas!$A$2:$H$5000,6,FALSE),"")</f>
        <v/>
      </c>
      <c r="L8" s="0" t="inlineStr">
        <is>
          <t>YES</t>
        </is>
      </c>
      <c r="M8" s="78" t="n">
        <v>0.05033770428357402</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80" t="n"/>
      <c r="HE8" s="80" t="n"/>
      <c r="HF8" s="80" t="n"/>
      <c r="HG8" s="80" t="n"/>
      <c r="HH8" s="80"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ez_manage.py:4233 top()</t>
        </is>
      </c>
      <c r="IL8" s="0" t="inlineStr">
        <is>
          <t>v12_quick_engine.py:837 x18</t>
        </is>
      </c>
    </row>
    <row r="9" ht="10.5" customHeight="1" s="67">
      <c r="A9" s="0" t="inlineStr">
        <is>
          <t>UNIVERSAL_NOLOSS_GATE</t>
        </is>
      </c>
      <c r="B9" s="77" t="inlineStr">
        <is>
          <t>False</t>
        </is>
      </c>
      <c r="G9" s="0">
        <f>IFERROR(VLOOKUP($A55&amp;"_"&amp;$B55,Results_Deltas!$A$2:$P$15000,5,FALSE),"")</f>
        <v/>
      </c>
      <c r="H9" s="0">
        <f>IFERROR(VLOOKUP($A56,Results_30d_Deltas!$A$2:$H$5000,7,FALSE)-E-155,"")</f>
        <v/>
      </c>
      <c r="I9" s="0">
        <f>IFERROR(VLOOKUP($A56,Results_30d_Deltas!$A$2:$H$5000,6,FALSE),"")</f>
        <v/>
      </c>
      <c r="L9" s="0" t="inlineStr">
        <is>
          <t>YES</t>
        </is>
      </c>
      <c r="M9" s="78" t="n">
        <v>0.05033770428357402</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79" t="n"/>
      <c r="CA9" s="79" t="n"/>
      <c r="CB9" s="79" t="n"/>
      <c r="CC9" s="79" t="n"/>
      <c r="CD9" s="79"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79" t="n"/>
      <c r="DZ9" s="79" t="n"/>
      <c r="EA9" s="79" t="n"/>
      <c r="EB9" s="79" t="n"/>
      <c r="EC9" s="79"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79" t="n"/>
      <c r="FJ9" s="79" t="n"/>
      <c r="FK9" s="79" t="n"/>
      <c r="FL9" s="79" t="n"/>
      <c r="FM9" s="79"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80" t="n"/>
      <c r="HE9" s="80" t="n"/>
      <c r="HF9" s="80" t="n"/>
      <c r="HG9" s="80" t="n"/>
      <c r="HH9" s="80" t="n"/>
      <c r="HI9" s="79" t="n"/>
      <c r="HJ9" s="79" t="n"/>
      <c r="HK9" s="79" t="n"/>
      <c r="HL9" s="79" t="n"/>
      <c r="HM9" s="79" t="n"/>
      <c r="HN9" s="79" t="n"/>
      <c r="HO9" s="79" t="n"/>
      <c r="HP9" s="79" t="n"/>
      <c r="HQ9" s="79" t="n"/>
      <c r="HR9" s="79" t="n"/>
      <c r="HS9" s="79" t="n"/>
      <c r="HT9" s="79" t="n"/>
      <c r="HU9" s="79" t="n"/>
      <c r="HV9" s="79" t="n"/>
      <c r="HW9" s="79" t="n"/>
      <c r="HX9" s="79" t="n"/>
      <c r="HY9" s="79" t="n"/>
      <c r="HZ9" s="79" t="n"/>
      <c r="IA9" s="79" t="n"/>
      <c r="IB9" s="79" t="n"/>
      <c r="IC9" s="79" t="n"/>
      <c r="ID9" s="79" t="n"/>
      <c r="IE9" s="79" t="n"/>
      <c r="IF9" s="79" t="n"/>
      <c r="IG9" s="79" t="n"/>
      <c r="IH9" s="79" t="n"/>
      <c r="II9" s="79" t="n"/>
      <c r="IK9" s="0" t="inlineStr">
        <is>
          <t>ez_manage.py:4233 top()</t>
        </is>
      </c>
      <c r="IL9" s="0" t="inlineStr">
        <is>
          <t>v12_quick_engine.py:837 x18</t>
        </is>
      </c>
    </row>
    <row r="10" ht="10.5" customHeight="1" s="67">
      <c r="A10" s="86" t="inlineStr">
        <is>
          <t>COUNTER_TREND_SMA200_BYPASS_ENABLED</t>
        </is>
      </c>
      <c r="B10" s="87" t="inlineStr">
        <is>
          <t>False</t>
        </is>
      </c>
      <c r="G10" s="0">
        <f>IFERROR(VLOOKUP($A28&amp;"_"&amp;$B28,Results_Deltas!$A$2:$P$15000,5,FALSE),"")</f>
        <v/>
      </c>
      <c r="H10" s="0">
        <f>IFERROR(VLOOKUP($A28,Results_30d_Deltas!$A$2:$H$5000,7,FALSE)-E27,"")</f>
        <v/>
      </c>
      <c r="I10" s="0">
        <f>IFERROR(VLOOKUP($A28,Results_30d_Deltas!$A$2:$H$5000,6,FALSE),"")</f>
        <v/>
      </c>
      <c r="L10" s="0" t="inlineStr">
        <is>
          <t>NO</t>
        </is>
      </c>
      <c r="M10" s="78" t="n">
        <v>-1.288245093233959</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80" t="n"/>
      <c r="HE10" s="80" t="n"/>
      <c r="HF10" s="80" t="n"/>
      <c r="HG10" s="80" t="n"/>
      <c r="HH10" s="80" t="n"/>
      <c r="HI10" s="79" t="n"/>
      <c r="HJ10" s="79" t="n"/>
      <c r="HK10" s="79" t="n"/>
      <c r="HL10" s="79" t="n"/>
      <c r="HM10" s="79" t="n"/>
      <c r="HN10" s="79" t="n"/>
      <c r="HO10" s="79" t="n"/>
      <c r="HP10" s="79" t="n"/>
      <c r="HQ10" s="79" t="n"/>
      <c r="HR10" s="79" t="n"/>
      <c r="HS10" s="79" t="n"/>
      <c r="HT10" s="79" t="n"/>
      <c r="HU10" s="79" t="n"/>
      <c r="HV10" s="79" t="n"/>
      <c r="HW10" s="79" t="n"/>
      <c r="HX10" s="79" t="n"/>
      <c r="HY10" s="79" t="n"/>
      <c r="HZ10" s="79" t="n"/>
      <c r="IA10" s="79" t="n"/>
      <c r="IB10" s="79" t="n"/>
      <c r="IC10" s="79" t="n"/>
      <c r="ID10" s="79" t="n"/>
      <c r="IE10" s="79" t="n"/>
      <c r="IF10" s="79" t="n"/>
      <c r="IG10" s="79" t="n"/>
      <c r="IH10" s="79" t="n"/>
      <c r="II10" s="79" t="n"/>
      <c r="IK10" s="0" t="inlineStr">
        <is>
          <t>ez_manage.py:3056 top()</t>
        </is>
      </c>
      <c r="IL10" s="0" t="inlineStr">
        <is>
          <t>v12_quick_engine.py:1470 x6</t>
        </is>
      </c>
    </row>
    <row r="11" ht="10.5" customHeight="1" s="67">
      <c r="A11" s="31" t="inlineStr">
        <is>
          <t>COUNTER_TREND_SMA200_BYPASS_ENABLED</t>
        </is>
      </c>
      <c r="B11" s="72" t="inlineStr">
        <is>
          <t>True</t>
        </is>
      </c>
      <c r="C11" s="30" t="n"/>
      <c r="D11" s="30" t="n"/>
      <c r="E11" s="30" t="n"/>
      <c r="F11" s="30" t="n"/>
      <c r="G11" s="30">
        <f>IFERROR(VLOOKUP($A36&amp;"_"&amp;$B36,Results_Deltas!$A$2:$P$15000,5,FALSE),"")</f>
        <v/>
      </c>
      <c r="H11" s="30">
        <f>IFERROR(VLOOKUP($A36,Results_30d_Deltas!$A$2:$H$5000,7,FALSE)-E35,"")</f>
        <v/>
      </c>
      <c r="I11" s="30">
        <f>IFERROR(VLOOKUP($A36,Results_30d_Deltas!$A$2:$H$5000,6,FALSE),"")</f>
        <v/>
      </c>
      <c r="J11" s="30" t="n"/>
      <c r="K11" s="30" t="n"/>
      <c r="L11" s="30" t="inlineStr">
        <is>
          <t>YES</t>
        </is>
      </c>
      <c r="M11" s="33" t="n">
        <v>-0.2529634818940776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4" t="n"/>
      <c r="HE11" s="34" t="n"/>
      <c r="HF11" s="34" t="n"/>
      <c r="HG11" s="34" t="n"/>
      <c r="HH11" s="34"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ez_manage.py:3056 top()</t>
        </is>
      </c>
      <c r="IL11" s="30" t="inlineStr">
        <is>
          <t>v12_quick_engine.py:1470 x6</t>
        </is>
      </c>
      <c r="IM11" s="30" t="n"/>
    </row>
    <row r="12" ht="10.5" customHeight="1" s="67">
      <c r="A12" s="86" t="inlineStr">
        <is>
          <t>OPEN_RATE_BREAKER_ENABLED</t>
        </is>
      </c>
      <c r="B12" s="87" t="inlineStr">
        <is>
          <t>False</t>
        </is>
      </c>
      <c r="G12" s="0">
        <f>IFERROR(VLOOKUP($A25&amp;"_"&amp;$B25,Results_Deltas!$A$2:$P$15000,5,FALSE),"")</f>
        <v/>
      </c>
      <c r="H12" s="0">
        <f>IFERROR(VLOOKUP($A25,Results_30d_Deltas!$A$2:$H$5000,7,FALSE)-E24,"")</f>
        <v/>
      </c>
      <c r="I12" s="0">
        <f>IFERROR(VLOOKUP($A25,Results_30d_Deltas!$A$2:$H$5000,6,FALSE),"")</f>
        <v/>
      </c>
      <c r="L12" s="0" t="inlineStr">
        <is>
          <t>NO</t>
        </is>
      </c>
      <c r="M12" s="78" t="n">
        <v>-1.648363718523859</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80" t="n"/>
      <c r="DY12" s="80" t="n"/>
      <c r="DZ12" s="80" t="n"/>
      <c r="EA12" s="80" t="n"/>
      <c r="EB12" s="80"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80" t="n"/>
      <c r="HJ12" s="80" t="n"/>
      <c r="HK12" s="80" t="n"/>
      <c r="HL12" s="80" t="n"/>
      <c r="HM12" s="80"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K12" s="0" t="inlineStr">
        <is>
          <t>ez_manage.py:5141 top()</t>
        </is>
      </c>
      <c r="IL12" s="0" t="inlineStr">
        <is>
          <t>v12_quick_engine.py:2538 x1</t>
        </is>
      </c>
    </row>
    <row r="13" ht="10.5" customHeight="1" s="67">
      <c r="A13" s="0" t="inlineStr">
        <is>
          <t>OPEN_RATE_BREAKER_ENABLED</t>
        </is>
      </c>
      <c r="B13" s="77" t="inlineStr">
        <is>
          <t>True</t>
        </is>
      </c>
      <c r="G13" s="0">
        <f>IFERROR(VLOOKUP($A37&amp;"_"&amp;$B37,Results_Deltas!$A$2:$P$15000,5,FALSE),"")</f>
        <v/>
      </c>
      <c r="H13" s="0">
        <f>IFERROR(VLOOKUP($A37,Results_30d_Deltas!$A$2:$H$5000,7,FALSE)-E36,"")</f>
        <v/>
      </c>
      <c r="I13" s="0">
        <f>IFERROR(VLOOKUP($A37,Results_30d_Deltas!$A$2:$H$5000,6,FALSE),"")</f>
        <v/>
      </c>
      <c r="L13" s="0" t="inlineStr">
        <is>
          <t>YES</t>
        </is>
      </c>
      <c r="M13" s="78" t="n">
        <v>-0.2602864272339891</v>
      </c>
      <c r="N13" s="79" t="n"/>
      <c r="O13" s="79" t="n"/>
      <c r="P13" s="79" t="n"/>
      <c r="Q13" s="79" t="n"/>
      <c r="R13" s="79" t="n"/>
      <c r="S13" s="79" t="n"/>
      <c r="T13" s="79" t="n"/>
      <c r="U13" s="79" t="n"/>
      <c r="V13" s="79" t="n"/>
      <c r="W13" s="79" t="n"/>
      <c r="X13" s="79" t="n"/>
      <c r="Y13" s="79" t="n"/>
      <c r="Z13" s="79" t="n"/>
      <c r="AA13" s="79" t="n"/>
      <c r="AB13" s="79" t="n"/>
      <c r="AC13" s="79" t="n"/>
      <c r="AD13" s="79" t="n"/>
      <c r="AE13" s="79" t="n"/>
      <c r="AF13" s="79" t="n"/>
      <c r="AG13" s="79" t="n"/>
      <c r="AH13" s="79" t="n"/>
      <c r="AI13" s="79" t="n"/>
      <c r="AJ13" s="79" t="n"/>
      <c r="AK13" s="79" t="n"/>
      <c r="AL13" s="79" t="n"/>
      <c r="AM13" s="79" t="n"/>
      <c r="AN13" s="79" t="n"/>
      <c r="AO13" s="79" t="n"/>
      <c r="AP13" s="79" t="n"/>
      <c r="AQ13" s="79" t="n"/>
      <c r="AR13" s="79" t="n"/>
      <c r="AS13" s="79" t="n"/>
      <c r="AT13" s="79" t="n"/>
      <c r="AU13" s="79" t="n"/>
      <c r="AV13" s="79" t="n"/>
      <c r="AW13" s="79" t="n"/>
      <c r="AX13" s="79" t="n"/>
      <c r="AY13" s="79" t="n"/>
      <c r="AZ13" s="79" t="n"/>
      <c r="BA13" s="79" t="n"/>
      <c r="BB13" s="79" t="n"/>
      <c r="BC13" s="79" t="n"/>
      <c r="BD13" s="79" t="n"/>
      <c r="BE13" s="79" t="n"/>
      <c r="BF13" s="79" t="n"/>
      <c r="BG13" s="79" t="n"/>
      <c r="BH13" s="79" t="n"/>
      <c r="BI13" s="79" t="n"/>
      <c r="BJ13" s="79" t="n"/>
      <c r="BK13" s="79" t="n"/>
      <c r="BL13" s="79" t="n"/>
      <c r="BM13" s="79" t="n"/>
      <c r="BN13" s="79" t="n"/>
      <c r="BO13" s="79" t="n"/>
      <c r="BP13" s="79" t="n"/>
      <c r="BQ13" s="79" t="n"/>
      <c r="BR13" s="79" t="n"/>
      <c r="BS13" s="79" t="n"/>
      <c r="BT13" s="79" t="n"/>
      <c r="BU13" s="79" t="n"/>
      <c r="BV13" s="79" t="n"/>
      <c r="BW13" s="79" t="n"/>
      <c r="BX13" s="79" t="n"/>
      <c r="BY13" s="79" t="n"/>
      <c r="BZ13" s="79" t="n"/>
      <c r="CA13" s="79" t="n"/>
      <c r="CB13" s="79" t="n"/>
      <c r="CC13" s="79" t="n"/>
      <c r="CD13" s="79" t="n"/>
      <c r="CE13" s="79" t="n"/>
      <c r="CF13" s="79" t="n"/>
      <c r="CG13" s="79" t="n"/>
      <c r="CH13" s="79" t="n"/>
      <c r="CI13" s="79" t="n"/>
      <c r="CJ13" s="79" t="n"/>
      <c r="CK13" s="79" t="n"/>
      <c r="CL13" s="79" t="n"/>
      <c r="CM13" s="79" t="n"/>
      <c r="CN13" s="79" t="n"/>
      <c r="CO13" s="79" t="n"/>
      <c r="CP13" s="79" t="n"/>
      <c r="CQ13" s="79" t="n"/>
      <c r="CR13" s="79" t="n"/>
      <c r="CS13" s="79" t="n"/>
      <c r="CT13" s="79" t="n"/>
      <c r="CU13" s="79" t="n"/>
      <c r="CV13" s="79" t="n"/>
      <c r="CW13" s="79" t="n"/>
      <c r="CX13" s="79" t="n"/>
      <c r="CY13" s="79" t="n"/>
      <c r="CZ13" s="79" t="n"/>
      <c r="DA13" s="79" t="n"/>
      <c r="DB13" s="79" t="n"/>
      <c r="DC13" s="79" t="n"/>
      <c r="DD13" s="79" t="n"/>
      <c r="DE13" s="79" t="n"/>
      <c r="DF13" s="79" t="n"/>
      <c r="DG13" s="79" t="n"/>
      <c r="DH13" s="79" t="n"/>
      <c r="DI13" s="79" t="n"/>
      <c r="DJ13" s="79" t="n"/>
      <c r="DK13" s="79" t="n"/>
      <c r="DL13" s="79" t="n"/>
      <c r="DM13" s="79" t="n"/>
      <c r="DN13" s="79" t="n"/>
      <c r="DO13" s="79" t="n"/>
      <c r="DP13" s="79" t="n"/>
      <c r="DQ13" s="79" t="n"/>
      <c r="DR13" s="79" t="n"/>
      <c r="DS13" s="79" t="n"/>
      <c r="DT13" s="79" t="n"/>
      <c r="DU13" s="79" t="n"/>
      <c r="DV13" s="79" t="n"/>
      <c r="DW13" s="79" t="n"/>
      <c r="DX13" s="80" t="n"/>
      <c r="DY13" s="80" t="n"/>
      <c r="DZ13" s="80" t="n"/>
      <c r="EA13" s="80" t="n"/>
      <c r="EB13" s="80" t="n"/>
      <c r="EC13" s="79" t="n"/>
      <c r="ED13" s="79" t="n"/>
      <c r="EE13" s="79" t="n"/>
      <c r="EF13" s="79" t="n"/>
      <c r="EG13" s="79" t="n"/>
      <c r="EH13" s="79" t="n"/>
      <c r="EI13" s="79" t="n"/>
      <c r="EJ13" s="79" t="n"/>
      <c r="EK13" s="79" t="n"/>
      <c r="EL13" s="79" t="n"/>
      <c r="EM13" s="79" t="n"/>
      <c r="EN13" s="79" t="n"/>
      <c r="EO13" s="79" t="n"/>
      <c r="EP13" s="79" t="n"/>
      <c r="EQ13" s="79" t="n"/>
      <c r="ER13" s="79" t="n"/>
      <c r="ES13" s="79" t="n"/>
      <c r="ET13" s="79" t="n"/>
      <c r="EU13" s="79" t="n"/>
      <c r="EV13" s="79" t="n"/>
      <c r="EW13" s="79" t="n"/>
      <c r="EX13" s="79" t="n"/>
      <c r="EY13" s="79" t="n"/>
      <c r="EZ13" s="79" t="n"/>
      <c r="FA13" s="79" t="n"/>
      <c r="FB13" s="79" t="n"/>
      <c r="FC13" s="79" t="n"/>
      <c r="FD13" s="79" t="n"/>
      <c r="FE13" s="79" t="n"/>
      <c r="FF13" s="79" t="n"/>
      <c r="FG13" s="79" t="n"/>
      <c r="FH13" s="79" t="n"/>
      <c r="FI13" s="79" t="n"/>
      <c r="FJ13" s="79" t="n"/>
      <c r="FK13" s="79" t="n"/>
      <c r="FL13" s="79" t="n"/>
      <c r="FM13" s="79" t="n"/>
      <c r="FN13" s="79" t="n"/>
      <c r="FO13" s="79" t="n"/>
      <c r="FP13" s="79" t="n"/>
      <c r="FQ13" s="79" t="n"/>
      <c r="FR13" s="79" t="n"/>
      <c r="FS13" s="79" t="n"/>
      <c r="FT13" s="79" t="n"/>
      <c r="FU13" s="79" t="n"/>
      <c r="FV13" s="79" t="n"/>
      <c r="FW13" s="79" t="n"/>
      <c r="FX13" s="79" t="n"/>
      <c r="FY13" s="79" t="n"/>
      <c r="FZ13" s="79" t="n"/>
      <c r="GA13" s="79" t="n"/>
      <c r="GB13" s="79" t="n"/>
      <c r="GC13" s="79" t="n"/>
      <c r="GD13" s="79" t="n"/>
      <c r="GE13" s="79" t="n"/>
      <c r="GF13" s="79" t="n"/>
      <c r="GG13" s="79" t="n"/>
      <c r="GH13" s="79" t="n"/>
      <c r="GI13" s="79" t="n"/>
      <c r="GJ13" s="79" t="n"/>
      <c r="GK13" s="79" t="n"/>
      <c r="GL13" s="79" t="n"/>
      <c r="GM13" s="79" t="n"/>
      <c r="GN13" s="79" t="n"/>
      <c r="GO13" s="79" t="n"/>
      <c r="GP13" s="79" t="n"/>
      <c r="GQ13" s="79" t="n"/>
      <c r="GR13" s="79" t="n"/>
      <c r="GS13" s="79" t="n"/>
      <c r="GT13" s="79" t="n"/>
      <c r="GU13" s="79" t="n"/>
      <c r="GV13" s="79" t="n"/>
      <c r="GW13" s="79" t="n"/>
      <c r="GX13" s="79" t="n"/>
      <c r="GY13" s="79" t="n"/>
      <c r="GZ13" s="79" t="n"/>
      <c r="HA13" s="79" t="n"/>
      <c r="HB13" s="79" t="n"/>
      <c r="HC13" s="79" t="n"/>
      <c r="HD13" s="79" t="n"/>
      <c r="HE13" s="79" t="n"/>
      <c r="HF13" s="79" t="n"/>
      <c r="HG13" s="79" t="n"/>
      <c r="HH13" s="79" t="n"/>
      <c r="HI13" s="80" t="n"/>
      <c r="HJ13" s="80" t="n"/>
      <c r="HK13" s="80" t="n"/>
      <c r="HL13" s="80" t="n"/>
      <c r="HM13" s="80" t="n"/>
      <c r="HN13" s="79" t="n"/>
      <c r="HO13" s="79" t="n"/>
      <c r="HP13" s="79" t="n"/>
      <c r="HQ13" s="79" t="n"/>
      <c r="HR13" s="79" t="n"/>
      <c r="HS13" s="79" t="n"/>
      <c r="HT13" s="79" t="n"/>
      <c r="HU13" s="79" t="n"/>
      <c r="HV13" s="79" t="n"/>
      <c r="HW13" s="79" t="n"/>
      <c r="HX13" s="79" t="n"/>
      <c r="HY13" s="79" t="n"/>
      <c r="HZ13" s="79" t="n"/>
      <c r="IA13" s="79" t="n"/>
      <c r="IB13" s="79" t="n"/>
      <c r="IC13" s="79" t="n"/>
      <c r="ID13" s="79" t="n"/>
      <c r="IE13" s="79" t="n"/>
      <c r="IF13" s="79" t="n"/>
      <c r="IG13" s="79" t="n"/>
      <c r="IH13" s="79" t="n"/>
      <c r="II13" s="79" t="n"/>
      <c r="IK13" s="0" t="inlineStr">
        <is>
          <t>ez_manage.py:5141 top()</t>
        </is>
      </c>
      <c r="IL13" s="0" t="inlineStr">
        <is>
          <t>v12_quick_engine.py:2538 x1</t>
        </is>
      </c>
    </row>
    <row r="14" ht="10.5" customHeight="1" s="67">
      <c r="A14" s="86" t="inlineStr">
        <is>
          <t>OPEN_RATE_MAX</t>
        </is>
      </c>
      <c r="B14" s="87" t="inlineStr">
        <is>
          <t>15</t>
        </is>
      </c>
      <c r="G14" s="0">
        <f>IFERROR(VLOOKUP($A26&amp;"_"&amp;$B26,Results_Deltas!$A$2:$P$15000,5,FALSE),"")</f>
        <v/>
      </c>
      <c r="H14" s="0">
        <f>IFERROR(VLOOKUP($A26,Results_30d_Deltas!$A$2:$H$5000,7,FALSE)-E25,"")</f>
        <v/>
      </c>
      <c r="I14" s="0">
        <f>IFERROR(VLOOKUP($A26,Results_30d_Deltas!$A$2:$H$5000,6,FALSE),"")</f>
        <v/>
      </c>
      <c r="L14" s="0" t="inlineStr">
        <is>
          <t>NO</t>
        </is>
      </c>
      <c r="M14" s="78" t="n">
        <v>-1.521968831913449</v>
      </c>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79" t="n"/>
      <c r="CU14" s="79" t="n"/>
      <c r="CV14" s="79" t="n"/>
      <c r="CW14" s="79"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9" t="n"/>
      <c r="DS14" s="79" t="n"/>
      <c r="DT14" s="79" t="n"/>
      <c r="DU14" s="79" t="n"/>
      <c r="DV14" s="79" t="n"/>
      <c r="DW14" s="79" t="n"/>
      <c r="DX14" s="80" t="n"/>
      <c r="DY14" s="80" t="n"/>
      <c r="DZ14" s="80" t="n"/>
      <c r="EA14" s="80" t="n"/>
      <c r="EB14" s="80"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79" t="n"/>
      <c r="HE14" s="79" t="n"/>
      <c r="HF14" s="79" t="n"/>
      <c r="HG14" s="79" t="n"/>
      <c r="HH14" s="79" t="n"/>
      <c r="HI14" s="80" t="n"/>
      <c r="HJ14" s="80" t="n"/>
      <c r="HK14" s="80" t="n"/>
      <c r="HL14" s="80" t="n"/>
      <c r="HM14" s="80"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ez_manage.py:5142 top()</t>
        </is>
      </c>
      <c r="IL14" s="0" t="inlineStr">
        <is>
          <t>v12_quick_engine.py:2539 x1</t>
        </is>
      </c>
    </row>
    <row r="15" ht="10.5" customHeight="1" s="67">
      <c r="A15" s="30" t="inlineStr">
        <is>
          <t>OPEN_RATE_MAX</t>
        </is>
      </c>
      <c r="B15" s="72" t="inlineStr">
        <is>
          <t>45</t>
        </is>
      </c>
      <c r="C15" s="30" t="n"/>
      <c r="D15" s="30" t="n"/>
      <c r="E15" s="30" t="n"/>
      <c r="F15" s="30" t="n"/>
      <c r="G15" s="30">
        <f>IFERROR(VLOOKUP($A27&amp;"_"&amp;$B27,Results_Deltas!$A$2:$P$15000,5,FALSE),"")</f>
        <v/>
      </c>
      <c r="H15" s="30">
        <f>IFERROR(VLOOKUP($A27,Results_30d_Deltas!$A$2:$H$5000,7,FALSE)-E26,"")</f>
        <v/>
      </c>
      <c r="I15" s="30">
        <f>IFERROR(VLOOKUP($A27,Results_30d_Deltas!$A$2:$H$5000,6,FALSE),"")</f>
        <v/>
      </c>
      <c r="J15" s="30" t="n"/>
      <c r="K15" s="30" t="n"/>
      <c r="L15" s="30" t="inlineStr">
        <is>
          <t>NO</t>
        </is>
      </c>
      <c r="M15" s="33" t="n">
        <v>-1.444537838354645</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4" t="n"/>
      <c r="DY15" s="34" t="n"/>
      <c r="DZ15" s="34" t="n"/>
      <c r="EA15" s="34" t="n"/>
      <c r="EB15" s="34"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4" t="n"/>
      <c r="HJ15" s="34" t="n"/>
      <c r="HK15" s="34" t="n"/>
      <c r="HL15" s="34" t="n"/>
      <c r="HM15" s="34"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ez_manage.py:5142 top()</t>
        </is>
      </c>
      <c r="IL15" s="30" t="inlineStr">
        <is>
          <t>v12_quick_engine.py:2539 x1</t>
        </is>
      </c>
      <c r="IM15" s="30" t="n"/>
    </row>
    <row r="16" ht="10.5" customHeight="1" s="67">
      <c r="A16" t="inlineStr">
        <is>
          <t>HARDCODED_RALLY_REENTRY_ENABLED</t>
        </is>
      </c>
      <c r="B16" s="94" t="inlineStr">
        <is>
          <t>True</t>
        </is>
      </c>
      <c r="C16" t="inlineStr">
        <is>
          <t>True</t>
        </is>
      </c>
      <c r="D16" t="inlineStr">
        <is>
          <t>ALWAYS_TESTED</t>
        </is>
      </c>
    </row>
    <row r="17" ht="10.5" customHeight="1" s="67">
      <c r="A17" t="inlineStr">
        <is>
          <t>HARDCODED_RALLY_REENTRY_ENABLED</t>
        </is>
      </c>
      <c r="B17" s="94" t="inlineStr">
        <is>
          <t>True</t>
        </is>
      </c>
      <c r="C17" t="inlineStr">
        <is>
          <t>False</t>
        </is>
      </c>
      <c r="D17" t="inlineStr">
        <is>
          <t>ALWAYS_TESTED</t>
        </is>
      </c>
    </row>
    <row r="18" ht="10.5" customHeight="1" s="67">
      <c r="A18" t="inlineStr">
        <is>
          <t>HARDCODED_RALLY_REENTRY_BYPASS_COOLDOWN</t>
        </is>
      </c>
      <c r="B18" s="94" t="inlineStr">
        <is>
          <t>True</t>
        </is>
      </c>
      <c r="C18" t="inlineStr">
        <is>
          <t>True</t>
        </is>
      </c>
      <c r="D18" t="inlineStr">
        <is>
          <t>ALWAYS_TESTED</t>
        </is>
      </c>
    </row>
    <row r="19" ht="10.5" customHeight="1" s="67">
      <c r="A19" t="inlineStr">
        <is>
          <t>HARDCODED_RALLY_REENTRY_BYPASS_COOLDOWN</t>
        </is>
      </c>
      <c r="B19" s="94" t="inlineStr">
        <is>
          <t>True</t>
        </is>
      </c>
      <c r="C19" t="inlineStr">
        <is>
          <t>False</t>
        </is>
      </c>
      <c r="D19" t="inlineStr">
        <is>
          <t>ALWAYS_TESTED</t>
        </is>
      </c>
    </row>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0" t="n">
        <v>1</v>
      </c>
      <c r="B3" s="90" t="inlineStr">
        <is>
          <t>ADX_RANGING_THRESHOLD</t>
        </is>
      </c>
      <c r="C3" s="0" t="inlineStr">
        <is>
          <t>25</t>
        </is>
      </c>
      <c r="D3" s="81" t="inlineStr">
        <is>
          <t>Threshold/gate: ADX_RANGING_THRESHOLD — _adx_thresh = float(getattr(config, "ADX_RANGING_THRESHOLD", 20.0)) | ex: `_adx_thresh = float(getattr(config, "ADX_RANGING_THRESHOLD", 20.0))`</t>
        </is>
      </c>
      <c r="E3" s="81" t="inlineStr">
        <is>
          <t>ENTRY, GLOBAL_CHECK, STOCKS_EXIT</t>
        </is>
      </c>
      <c r="F3" s="81" t="inlineStr">
        <is>
          <t>ENTRY, GLOBAL_CHECK, STOCKS_EXIT</t>
        </is>
      </c>
      <c r="G3" s="81" t="inlineStr">
        <is>
          <t>ADX_RANGING_THRESHOLD</t>
        </is>
      </c>
      <c r="H3" s="81" t="inlineStr">
        <is>
          <t>GENERAL</t>
        </is>
      </c>
      <c r="I3" s="81" t="inlineStr">
        <is>
          <t>LIVE — wired</t>
        </is>
      </c>
      <c r="J3" s="8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1" t="n">
        <v>1</v>
      </c>
      <c r="B4" s="81" t="inlineStr">
        <is>
          <t>ADX_RANGING_THRESHOLD</t>
        </is>
      </c>
      <c r="C4" s="0" t="inlineStr">
        <is>
          <t>15</t>
        </is>
      </c>
      <c r="D4" s="81" t="inlineStr">
        <is>
          <t>Threshold/gate: ADX_RANGING_THRESHOLD — _adx_thresh = float(getattr(config, "ADX_RANGING_THRESHOLD", 20.0)) | ex: `_adx_thresh = float(getattr(config, "ADX_RANGING_THRESHOLD", 20.0))`</t>
        </is>
      </c>
      <c r="E4" s="81" t="inlineStr">
        <is>
          <t>ENTRY, GLOBAL_CHECK, STOCKS_EXIT</t>
        </is>
      </c>
      <c r="F4" s="81" t="inlineStr">
        <is>
          <t>ENTRY, GLOBAL_CHECK, STOCKS_EXIT</t>
        </is>
      </c>
      <c r="G4" s="81" t="inlineStr">
        <is>
          <t>ADX_RANGING_THRESHOLD</t>
        </is>
      </c>
      <c r="H4" s="81" t="inlineStr">
        <is>
          <t>GENERAL</t>
        </is>
      </c>
      <c r="I4" s="81" t="inlineStr">
        <is>
          <t>LIVE — wired</t>
        </is>
      </c>
      <c r="J4" s="8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1" t="n">
        <v>1</v>
      </c>
      <c r="B5" s="81" t="inlineStr">
        <is>
          <t>ADX_RANGING_THRESHOLD</t>
        </is>
      </c>
      <c r="C5" s="0" t="inlineStr">
        <is>
          <t>10</t>
        </is>
      </c>
      <c r="D5" s="81" t="inlineStr">
        <is>
          <t>Threshold/gate: ADX_RANGING_THRESHOLD — _adx_thresh = float(getattr(config, "ADX_RANGING_THRESHOLD", 20.0)) | ex: `_adx_thresh = float(getattr(config, "ADX_RANGING_THRESHOLD", 20.0))`</t>
        </is>
      </c>
      <c r="E5" s="81" t="inlineStr">
        <is>
          <t>ENTRY, GLOBAL_CHECK, STOCKS_EXIT</t>
        </is>
      </c>
      <c r="F5" s="81" t="inlineStr">
        <is>
          <t>ENTRY, GLOBAL_CHECK, STOCKS_EXIT</t>
        </is>
      </c>
      <c r="G5" s="81" t="inlineStr">
        <is>
          <t>ADX_RANGING_THRESHOLD</t>
        </is>
      </c>
      <c r="H5" s="81" t="inlineStr">
        <is>
          <t>GENERAL</t>
        </is>
      </c>
      <c r="I5" s="81" t="inlineStr">
        <is>
          <t>LIVE — wired</t>
        </is>
      </c>
      <c r="J5" s="8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1" t="n">
        <v>2</v>
      </c>
      <c r="B6" s="91"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0" t="n">
        <v>3</v>
      </c>
      <c r="B11" s="90" t="inlineStr">
        <is>
          <t>BANDAID_OFF_LOSER_RECOVER_PCT</t>
        </is>
      </c>
      <c r="C11" s="0" t="inlineStr">
        <is>
          <t>0</t>
        </is>
      </c>
      <c r="D11" s="81" t="inlineStr">
        <is>
          <t>Threshold/gate: BANDAID_OFF_LOSER_RECOVER_PCT — 'AUG_COOLDOWN_S', 'AVAILABLE_IPS', 'BACKUP_KLINES_CACHE', 'BANDAID_OFF_LOSER_RECOVER_PCT', 'BAND_FILE', 'BASE_TF', | ex: `'AUG_COOLDOWN_S', 'AVAILABLE_IPS', 'BACKUP_KLINES_CACHE', 'BANDAID_OFF_LOSER_REC`</t>
        </is>
      </c>
      <c r="E11" s="81" t="inlineStr">
        <is>
          <t>AUGMENT, ENTRY, EXIT, GLOBAL_CHECK, REDUCE, STOCKS_EXIT</t>
        </is>
      </c>
      <c r="F11" s="81" t="inlineStr">
        <is>
          <t>AUGMENT, ENTRY, EXIT, GLOBAL_CHECK, REDUCE, STOCKS_EXIT</t>
        </is>
      </c>
      <c r="G11" s="81" t="inlineStr">
        <is>
          <t>BANDAID_OFF_LOSER_RECOVER_PCT</t>
        </is>
      </c>
      <c r="H11" s="81" t="inlineStr">
        <is>
          <t>GENERAL</t>
        </is>
      </c>
      <c r="I11" s="81" t="inlineStr">
        <is>
          <t>LIVE — wired</t>
        </is>
      </c>
      <c r="J11" s="8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1" t="n">
        <v>3</v>
      </c>
      <c r="B12" s="81" t="inlineStr">
        <is>
          <t>BANDAID_OFF_LOSER_RECOVER_PCT</t>
        </is>
      </c>
      <c r="C12" s="0" t="inlineStr">
        <is>
          <t>2.0</t>
        </is>
      </c>
      <c r="D12" s="81" t="inlineStr">
        <is>
          <t>Threshold/gate: BANDAID_OFF_LOSER_RECOVER_PCT — 'AUG_COOLDOWN_S', 'AVAILABLE_IPS', 'BACKUP_KLINES_CACHE', 'BANDAID_OFF_LOSER_RECOVER_PCT', 'BAND_FILE', 'BASE_TF', | ex: `'AUG_COOLDOWN_S', 'AVAILABLE_IPS', 'BACKUP_KLINES_CACHE', 'BANDAID_OFF_LOSER_REC`</t>
        </is>
      </c>
      <c r="E12" s="81" t="inlineStr">
        <is>
          <t>AUGMENT, ENTRY, EXIT, GLOBAL_CHECK, REDUCE, STOCKS_EXIT</t>
        </is>
      </c>
      <c r="F12" s="81" t="inlineStr">
        <is>
          <t>AUGMENT, ENTRY, EXIT, GLOBAL_CHECK, REDUCE, STOCKS_EXIT</t>
        </is>
      </c>
      <c r="G12" s="81" t="inlineStr">
        <is>
          <t>BANDAID_OFF_LOSER_RECOVER_PCT</t>
        </is>
      </c>
      <c r="H12" s="81" t="inlineStr">
        <is>
          <t>GENERAL</t>
        </is>
      </c>
      <c r="I12" s="81" t="inlineStr">
        <is>
          <t>LIVE — wired</t>
        </is>
      </c>
      <c r="J12" s="8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1" t="n">
        <v>3</v>
      </c>
      <c r="B13" s="81" t="inlineStr">
        <is>
          <t>BANDAID_OFF_LOSER_RECOVER_PCT</t>
        </is>
      </c>
      <c r="C13" s="0" t="inlineStr">
        <is>
          <t>1.0</t>
        </is>
      </c>
      <c r="D13" s="81" t="inlineStr">
        <is>
          <t>Threshold/gate: BANDAID_OFF_LOSER_RECOVER_PCT — 'AUG_COOLDOWN_S', 'AVAILABLE_IPS', 'BACKUP_KLINES_CACHE', 'BANDAID_OFF_LOSER_RECOVER_PCT', 'BAND_FILE', 'BASE_TF', | ex: `'AUG_COOLDOWN_S', 'AVAILABLE_IPS', 'BACKUP_KLINES_CACHE', 'BANDAID_OFF_LOSER_REC`</t>
        </is>
      </c>
      <c r="E13" s="81" t="inlineStr">
        <is>
          <t>AUGMENT, ENTRY, EXIT, GLOBAL_CHECK, REDUCE, STOCKS_EXIT</t>
        </is>
      </c>
      <c r="F13" s="81" t="inlineStr">
        <is>
          <t>AUGMENT, ENTRY, EXIT, GLOBAL_CHECK, REDUCE, STOCKS_EXIT</t>
        </is>
      </c>
      <c r="G13" s="81" t="inlineStr">
        <is>
          <t>BANDAID_OFF_LOSER_RECOVER_PCT</t>
        </is>
      </c>
      <c r="H13" s="81" t="inlineStr">
        <is>
          <t>GENERAL</t>
        </is>
      </c>
      <c r="I13" s="81" t="inlineStr">
        <is>
          <t>LIVE — wired</t>
        </is>
      </c>
      <c r="J13" s="8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1" t="n">
        <v>3</v>
      </c>
      <c r="B14" s="81" t="inlineStr">
        <is>
          <t>BANDAID_OFF_LOSER_RECOVER_PCT</t>
        </is>
      </c>
      <c r="C14" s="0" t="inlineStr">
        <is>
          <t>0.5</t>
        </is>
      </c>
      <c r="D14" s="81" t="inlineStr">
        <is>
          <t>Threshold/gate: BANDAID_OFF_LOSER_RECOVER_PCT — 'AUG_COOLDOWN_S', 'AVAILABLE_IPS', 'BACKUP_KLINES_CACHE', 'BANDAID_OFF_LOSER_RECOVER_PCT', 'BAND_FILE', 'BASE_TF', | ex: `'AUG_COOLDOWN_S', 'AVAILABLE_IPS', 'BACKUP_KLINES_CACHE', 'BANDAID_OFF_LOSER_REC`</t>
        </is>
      </c>
      <c r="E14" s="81" t="inlineStr">
        <is>
          <t>AUGMENT, ENTRY, EXIT, GLOBAL_CHECK, REDUCE, STOCKS_EXIT</t>
        </is>
      </c>
      <c r="F14" s="81" t="inlineStr">
        <is>
          <t>AUGMENT, ENTRY, EXIT, GLOBAL_CHECK, REDUCE, STOCKS_EXIT</t>
        </is>
      </c>
      <c r="G14" s="81" t="inlineStr">
        <is>
          <t>BANDAID_OFF_LOSER_RECOVER_PCT</t>
        </is>
      </c>
      <c r="H14" s="81" t="inlineStr">
        <is>
          <t>GENERAL</t>
        </is>
      </c>
      <c r="I14" s="81" t="inlineStr">
        <is>
          <t>LIVE — wired</t>
        </is>
      </c>
      <c r="J14" s="8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0" t="n">
        <v>4</v>
      </c>
      <c r="B15" s="90" t="inlineStr">
        <is>
          <t>BAND_ARROW_ENABLED</t>
        </is>
      </c>
      <c r="C15" s="0" t="inlineStr">
        <is>
          <t>False</t>
        </is>
      </c>
      <c r="D15" s="81" t="inlineStr">
        <is>
          <t>Enables BAND+ARROW confluence entry (Donchian/BB + WT arrow). When OFF, that entry path is skipped. | Live read: `_EXHAUSTIVE_FILTER_LIST_LIVE = ['ADAPTIVE_REGIME_DC_BREAKDOWN_THRESHOLD', 'ADAPT`</t>
        </is>
      </c>
      <c r="E15" s="81" t="inlineStr">
        <is>
          <t>GLOBAL_CHECK, STOCKS_EXIT</t>
        </is>
      </c>
      <c r="F15" s="81" t="inlineStr">
        <is>
          <t>GLOBAL_CHECK, STOCKS_EXIT</t>
        </is>
      </c>
      <c r="G15" s="81" t="inlineStr">
        <is>
          <t>BAND_ARROW_ENABLED</t>
        </is>
      </c>
      <c r="H15" s="81" t="inlineStr">
        <is>
          <t>GENERAL</t>
        </is>
      </c>
      <c r="I15" s="81" t="inlineStr">
        <is>
          <t>LIVE — wired</t>
        </is>
      </c>
      <c r="J15" s="8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1" t="n">
        <v>4</v>
      </c>
      <c r="B16" s="81" t="inlineStr">
        <is>
          <t>BAND_ARROW_ENABLED</t>
        </is>
      </c>
      <c r="C16" s="0" t="inlineStr">
        <is>
          <t>True</t>
        </is>
      </c>
      <c r="D16" s="81" t="inlineStr">
        <is>
          <t>Enables BAND+ARROW confluence entry (Donchian/BB + WT arrow). When OFF, that entry path is skipped. | Live read: `_EXHAUSTIVE_FILTER_LIST_LIVE = ['ADAPTIVE_REGIME_DC_BREAKDOWN_THRESHOLD', 'ADAPT`</t>
        </is>
      </c>
      <c r="E16" s="81" t="inlineStr">
        <is>
          <t>GLOBAL_CHECK, STOCKS_EXIT</t>
        </is>
      </c>
      <c r="F16" s="81" t="inlineStr">
        <is>
          <t>GLOBAL_CHECK, STOCKS_EXIT</t>
        </is>
      </c>
      <c r="G16" s="81" t="inlineStr">
        <is>
          <t>BAND_ARROW_ENABLED</t>
        </is>
      </c>
      <c r="H16" s="81" t="inlineStr">
        <is>
          <t>GENERAL</t>
        </is>
      </c>
      <c r="I16" s="81" t="inlineStr">
        <is>
          <t>LIVE — wired</t>
        </is>
      </c>
      <c r="J16" s="8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1" t="n">
        <v>5</v>
      </c>
      <c r="B17" s="91"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1" t="n">
        <v>6</v>
      </c>
      <c r="B22" s="91"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1" t="n">
        <v>7</v>
      </c>
      <c r="B27" s="91"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1" t="n">
        <v>8</v>
      </c>
      <c r="B32" s="91"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1" t="n">
        <v>9</v>
      </c>
      <c r="B37" s="91"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1" t="n">
        <v>10</v>
      </c>
      <c r="B42" s="91"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2" t="n">
        <v>11</v>
      </c>
      <c r="B47" s="92" t="inlineStr">
        <is>
          <t>BTC_ACCEL_RAMP_REQUIRE_POSITIVE</t>
        </is>
      </c>
      <c r="C47" s="0" t="inlineStr">
        <is>
          <t>0.0</t>
        </is>
      </c>
      <c r="D47" s="83"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3" t="inlineStr">
        <is>
          <t>UNIVERSAL (ex-BTC) — ENTRY/EXIT/REENTRY</t>
        </is>
      </c>
      <c r="F47" s="83" t="inlineStr">
        <is>
          <t>UNIVERSAL (ex-BTC) — ENTRY/EXIT/REENTRY</t>
        </is>
      </c>
      <c r="G47" s="83" t="inlineStr">
        <is>
          <t>Accel ramp (UNIVERSAL) — UNIVERSAL</t>
        </is>
      </c>
      <c r="H47" s="83" t="inlineStr">
        <is>
          <t>GENERAL</t>
        </is>
      </c>
      <c r="I47" s="83" t="inlineStr">
        <is>
          <t>LIVE — UNIVERSAL (ex-BTC)</t>
        </is>
      </c>
      <c r="J47" s="83"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3" t="n">
        <v>11</v>
      </c>
      <c r="B48" s="83" t="inlineStr">
        <is>
          <t>BTC_ACCEL_RAMP_REQUIRE_POSITIVE</t>
        </is>
      </c>
      <c r="C48" s="0" t="inlineStr">
        <is>
          <t>0.0_ALT</t>
        </is>
      </c>
      <c r="D48" s="83"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3" t="inlineStr">
        <is>
          <t>UNIVERSAL (ex-BTC) — ENTRY/EXIT/REENTRY</t>
        </is>
      </c>
      <c r="F48" s="83" t="inlineStr">
        <is>
          <t>UNIVERSAL (ex-BTC) — ENTRY/EXIT/REENTRY</t>
        </is>
      </c>
      <c r="G48" s="83" t="inlineStr">
        <is>
          <t>Accel ramp (UNIVERSAL) — UNIVERSAL</t>
        </is>
      </c>
      <c r="H48" s="83" t="inlineStr">
        <is>
          <t>GENERAL</t>
        </is>
      </c>
      <c r="I48" s="83" t="inlineStr">
        <is>
          <t>LIVE — UNIVERSAL (ex-BTC)</t>
        </is>
      </c>
      <c r="J48" s="83"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2" t="n">
        <v>12</v>
      </c>
      <c r="B49" s="92" t="inlineStr">
        <is>
          <t>BTC_DEDICATED_FILTER_TF</t>
        </is>
      </c>
      <c r="C49" s="0" t="inlineStr">
        <is>
          <t>OFF</t>
        </is>
      </c>
      <c r="D49" s="83" t="inlineStr">
        <is>
          <t>UNIVERSAL gate (BTCUSDC/BTCUSDT) — requires dedicated BTC momentum alignment. | Live read: `_EXHAUSTIVE_FILTER_LIST_LIVE = ['ADAPTIVE_REGIME_DC_BREAKDOWN_THRESHOLD', 'ADAPT` | UNIVERSAL per 2026-08-28 — applies to ALL symbols, not BTC-only.</t>
        </is>
      </c>
      <c r="E49" s="83" t="inlineStr">
        <is>
          <t>UNIVERSAL (ex-BTC) — ENTRY/EXIT/REENTRY</t>
        </is>
      </c>
      <c r="F49" s="83" t="inlineStr">
        <is>
          <t>UNIVERSAL (ex-BTC) — ENTRY/EXIT/REENTRY</t>
        </is>
      </c>
      <c r="G49" s="83" t="inlineStr">
        <is>
          <t>Dedicated (UNIVERSAL) — UNIVERSAL</t>
        </is>
      </c>
      <c r="H49" s="83" t="inlineStr">
        <is>
          <t>SPECIFIC — only gated switches</t>
        </is>
      </c>
      <c r="I49" s="83" t="inlineStr">
        <is>
          <t>LIVE — UNIVERSAL (ex-BTC)</t>
        </is>
      </c>
      <c r="J49" s="83"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3" t="n">
        <v>12</v>
      </c>
      <c r="B50" s="83" t="inlineStr">
        <is>
          <t>BTC_DEDICATED_FILTER_TF</t>
        </is>
      </c>
      <c r="C50" s="0" t="inlineStr">
        <is>
          <t>D</t>
        </is>
      </c>
      <c r="D50" s="83" t="inlineStr">
        <is>
          <t>UNIVERSAL gate (BTCUSDC/BTCUSDT) — requires dedicated BTC momentum alignment. | Live read: `_EXHAUSTIVE_FILTER_LIST_LIVE = ['ADAPTIVE_REGIME_DC_BREAKDOWN_THRESHOLD', 'ADAPT` | UNIVERSAL per 2026-08-28 — applies to ALL symbols, not BTC-only.</t>
        </is>
      </c>
      <c r="E50" s="83" t="inlineStr">
        <is>
          <t>UNIVERSAL (ex-BTC) — ENTRY/EXIT/REENTRY</t>
        </is>
      </c>
      <c r="F50" s="83" t="inlineStr">
        <is>
          <t>UNIVERSAL (ex-BTC) — ENTRY/EXIT/REENTRY</t>
        </is>
      </c>
      <c r="G50" s="83" t="inlineStr">
        <is>
          <t>Dedicated (UNIVERSAL) — UNIVERSAL</t>
        </is>
      </c>
      <c r="H50" s="83" t="inlineStr">
        <is>
          <t>SPECIFIC — only gated switches</t>
        </is>
      </c>
      <c r="I50" s="83" t="inlineStr">
        <is>
          <t>LIVE — UNIVERSAL (ex-BTC)</t>
        </is>
      </c>
      <c r="J50" s="83"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3" t="n">
        <v>12</v>
      </c>
      <c r="B51" s="83" t="inlineStr">
        <is>
          <t>BTC_DEDICATED_FILTER_TF</t>
        </is>
      </c>
      <c r="C51" s="0" t="inlineStr">
        <is>
          <t>4h</t>
        </is>
      </c>
      <c r="D51" s="83" t="inlineStr">
        <is>
          <t>UNIVERSAL gate (BTCUSDC/BTCUSDT) — requires dedicated BTC momentum alignment. | Live read: `_EXHAUSTIVE_FILTER_LIST_LIVE = ['ADAPTIVE_REGIME_DC_BREAKDOWN_THRESHOLD', 'ADAPT` | UNIVERSAL per 2026-08-28 — applies to ALL symbols, not BTC-only.</t>
        </is>
      </c>
      <c r="E51" s="83" t="inlineStr">
        <is>
          <t>UNIVERSAL (ex-BTC) — ENTRY/EXIT/REENTRY</t>
        </is>
      </c>
      <c r="F51" s="83" t="inlineStr">
        <is>
          <t>UNIVERSAL (ex-BTC) — ENTRY/EXIT/REENTRY</t>
        </is>
      </c>
      <c r="G51" s="83" t="inlineStr">
        <is>
          <t>Dedicated (UNIVERSAL) — UNIVERSAL</t>
        </is>
      </c>
      <c r="H51" s="83" t="inlineStr">
        <is>
          <t>SPECIFIC — only gated switches</t>
        </is>
      </c>
      <c r="I51" s="83" t="inlineStr">
        <is>
          <t>LIVE — UNIVERSAL (ex-BTC)</t>
        </is>
      </c>
      <c r="J51" s="83"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3" t="n">
        <v>12</v>
      </c>
      <c r="B52" s="83" t="inlineStr">
        <is>
          <t>BTC_DEDICATED_FILTER_TF</t>
        </is>
      </c>
      <c r="C52" s="0" t="inlineStr">
        <is>
          <t>1h</t>
        </is>
      </c>
      <c r="D52" s="83" t="inlineStr">
        <is>
          <t>UNIVERSAL gate (BTCUSDC/BTCUSDT) — requires dedicated BTC momentum alignment. | Live read: `_EXHAUSTIVE_FILTER_LIST_LIVE = ['ADAPTIVE_REGIME_DC_BREAKDOWN_THRESHOLD', 'ADAPT` | UNIVERSAL per 2026-08-28 — applies to ALL symbols, not BTC-only.</t>
        </is>
      </c>
      <c r="E52" s="83" t="inlineStr">
        <is>
          <t>UNIVERSAL (ex-BTC) — ENTRY/EXIT/REENTRY</t>
        </is>
      </c>
      <c r="F52" s="83" t="inlineStr">
        <is>
          <t>UNIVERSAL (ex-BTC) — ENTRY/EXIT/REENTRY</t>
        </is>
      </c>
      <c r="G52" s="83" t="inlineStr">
        <is>
          <t>Dedicated (UNIVERSAL) — UNIVERSAL</t>
        </is>
      </c>
      <c r="H52" s="83" t="inlineStr">
        <is>
          <t>SPECIFIC — only gated switches</t>
        </is>
      </c>
      <c r="I52" s="83" t="inlineStr">
        <is>
          <t>LIVE — UNIVERSAL (ex-BTC)</t>
        </is>
      </c>
      <c r="J52" s="83"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3" t="n">
        <v>12</v>
      </c>
      <c r="B53" s="83" t="inlineStr">
        <is>
          <t>BTC_DEDICATED_FILTER_TF</t>
        </is>
      </c>
      <c r="C53" s="0" t="inlineStr">
        <is>
          <t>15m</t>
        </is>
      </c>
      <c r="D53" s="83" t="inlineStr">
        <is>
          <t>UNIVERSAL gate (BTCUSDC/BTCUSDT) — requires dedicated BTC momentum alignment. | Live read: `_EXHAUSTIVE_FILTER_LIST_LIVE = ['ADAPTIVE_REGIME_DC_BREAKDOWN_THRESHOLD', 'ADAPT` | UNIVERSAL per 2026-08-28 — applies to ALL symbols, not BTC-only.</t>
        </is>
      </c>
      <c r="E53" s="83" t="inlineStr">
        <is>
          <t>UNIVERSAL (ex-BTC) — ENTRY/EXIT/REENTRY</t>
        </is>
      </c>
      <c r="F53" s="83" t="inlineStr">
        <is>
          <t>UNIVERSAL (ex-BTC) — ENTRY/EXIT/REENTRY</t>
        </is>
      </c>
      <c r="G53" s="83" t="inlineStr">
        <is>
          <t>Dedicated (UNIVERSAL) — UNIVERSAL</t>
        </is>
      </c>
      <c r="H53" s="83" t="inlineStr">
        <is>
          <t>SPECIFIC — only gated switches</t>
        </is>
      </c>
      <c r="I53" s="83" t="inlineStr">
        <is>
          <t>LIVE — UNIVERSAL (ex-BTC)</t>
        </is>
      </c>
      <c r="J53" s="83"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2" t="n">
        <v>13</v>
      </c>
      <c r="B54" s="92" t="inlineStr">
        <is>
          <t>BTC_HARD_BLOCK_OTHER_ACCOUNTS</t>
        </is>
      </c>
      <c r="C54" s="0" t="inlineStr">
        <is>
          <t>0.0</t>
        </is>
      </c>
      <c r="D54" s="83" t="inlineStr">
        <is>
          <t>Global kill: when BTC regime is adverse, blocks non-BTC accounts. | Live read: `_EXHAUSTIVE_FILTER_LIST_LIVE = ['ADAPTIVE_REGIME_DC_BREAKDOWN_THRESHOLD', 'ADAPT` | UNIVERSAL per 2026-08-28 — applies to ALL symbols, not BTC-only.</t>
        </is>
      </c>
      <c r="E54" s="83" t="inlineStr">
        <is>
          <t>UNIVERSAL (ex-BTC) — ENTRY/EXIT/REENTRY</t>
        </is>
      </c>
      <c r="F54" s="83" t="inlineStr">
        <is>
          <t>UNIVERSAL (ex-BTC) — ENTRY/EXIT/REENTRY</t>
        </is>
      </c>
      <c r="G54" s="83" t="inlineStr">
        <is>
          <t>Global block (UNIVERSAL) — UNIVERSAL</t>
        </is>
      </c>
      <c r="H54" s="83" t="inlineStr">
        <is>
          <t>GENERAL</t>
        </is>
      </c>
      <c r="I54" s="83" t="inlineStr">
        <is>
          <t>LIVE — UNIVERSAL (ex-BTC)</t>
        </is>
      </c>
      <c r="J54" s="83"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3" t="n">
        <v>13</v>
      </c>
      <c r="B55" s="83" t="inlineStr">
        <is>
          <t>BTC_HARD_BLOCK_OTHER_ACCOUNTS</t>
        </is>
      </c>
      <c r="C55" s="0" t="inlineStr">
        <is>
          <t>0.0_ALT</t>
        </is>
      </c>
      <c r="D55" s="83" t="inlineStr">
        <is>
          <t>Global kill: when BTC regime is adverse, blocks non-BTC accounts. | Live read: `_EXHAUSTIVE_FILTER_LIST_LIVE = ['ADAPTIVE_REGIME_DC_BREAKDOWN_THRESHOLD', 'ADAPT` | UNIVERSAL per 2026-08-28 — applies to ALL symbols, not BTC-only.</t>
        </is>
      </c>
      <c r="E55" s="83" t="inlineStr">
        <is>
          <t>UNIVERSAL (ex-BTC) — ENTRY/EXIT/REENTRY</t>
        </is>
      </c>
      <c r="F55" s="83" t="inlineStr">
        <is>
          <t>UNIVERSAL (ex-BTC) — ENTRY/EXIT/REENTRY</t>
        </is>
      </c>
      <c r="G55" s="83" t="inlineStr">
        <is>
          <t>Global block (UNIVERSAL) — UNIVERSAL</t>
        </is>
      </c>
      <c r="H55" s="83" t="inlineStr">
        <is>
          <t>GENERAL</t>
        </is>
      </c>
      <c r="I55" s="83" t="inlineStr">
        <is>
          <t>LIVE — UNIVERSAL (ex-BTC)</t>
        </is>
      </c>
      <c r="J55" s="83"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2" t="n">
        <v>14</v>
      </c>
      <c r="B56" s="92" t="inlineStr">
        <is>
          <t>BTC_ROUND_BANDS_EACH_SIDE</t>
        </is>
      </c>
      <c r="C56" s="0" t="inlineStr">
        <is>
          <t>0.0</t>
        </is>
      </c>
      <c r="D56" s="83" t="inlineStr">
        <is>
          <t>Risk shape: round bands per side for BTC sizing. | Live read: `_EXHAUSTIVE_FILTER_LIST_LIVE = ['ADAPTIVE_REGIME_DC_BREAKDOWN_THRESHOLD', 'ADAPT` | UNIVERSAL per 2026-08-28 — applies to ALL symbols, not BTC-only.</t>
        </is>
      </c>
      <c r="E56" s="83" t="inlineStr">
        <is>
          <t>UNIVERSAL (ex-BTC) — ENTRY/EXIT/REENTRY</t>
        </is>
      </c>
      <c r="F56" s="83" t="inlineStr">
        <is>
          <t>UNIVERSAL (ex-BTC) — ENTRY/EXIT/REENTRY</t>
        </is>
      </c>
      <c r="G56" s="83" t="inlineStr">
        <is>
          <t>Band sizing (UNIVERSAL) — UNIVERSAL</t>
        </is>
      </c>
      <c r="H56" s="83" t="inlineStr">
        <is>
          <t>GENERAL</t>
        </is>
      </c>
      <c r="I56" s="83" t="inlineStr">
        <is>
          <t>LIVE — UNIVERSAL (ex-BTC)</t>
        </is>
      </c>
      <c r="J56" s="83"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3" t="n">
        <v>14</v>
      </c>
      <c r="B57" s="83" t="inlineStr">
        <is>
          <t>BTC_ROUND_BANDS_EACH_SIDE</t>
        </is>
      </c>
      <c r="C57" s="0" t="inlineStr">
        <is>
          <t>0.0_ALT</t>
        </is>
      </c>
      <c r="D57" s="83" t="inlineStr">
        <is>
          <t>Risk shape: round bands per side for BTC sizing. | Live read: `_EXHAUSTIVE_FILTER_LIST_LIVE = ['ADAPTIVE_REGIME_DC_BREAKDOWN_THRESHOLD', 'ADAPT` | UNIVERSAL per 2026-08-28 — applies to ALL symbols, not BTC-only.</t>
        </is>
      </c>
      <c r="E57" s="83" t="inlineStr">
        <is>
          <t>UNIVERSAL (ex-BTC) — ENTRY/EXIT/REENTRY</t>
        </is>
      </c>
      <c r="F57" s="83" t="inlineStr">
        <is>
          <t>UNIVERSAL (ex-BTC) — ENTRY/EXIT/REENTRY</t>
        </is>
      </c>
      <c r="G57" s="83" t="inlineStr">
        <is>
          <t>Band sizing (UNIVERSAL) — UNIVERSAL</t>
        </is>
      </c>
      <c r="H57" s="83" t="inlineStr">
        <is>
          <t>GENERAL</t>
        </is>
      </c>
      <c r="I57" s="83" t="inlineStr">
        <is>
          <t>LIVE — UNIVERSAL (ex-BTC)</t>
        </is>
      </c>
      <c r="J57" s="83"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1" t="n">
        <v>15</v>
      </c>
      <c r="B58" s="91"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1" t="n">
        <v>16</v>
      </c>
      <c r="B63" s="91"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1" t="n">
        <v>17</v>
      </c>
      <c r="B68" s="91"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0" t="n">
        <v>18</v>
      </c>
      <c r="B73" s="90" t="inlineStr">
        <is>
          <t>COOLDOWN_LOCKS_FILTER_TF</t>
        </is>
      </c>
      <c r="C73" s="0" t="inlineStr">
        <is>
          <t>OFF</t>
        </is>
      </c>
      <c r="D73" s="81" t="inlineStr">
        <is>
          <t>Cooldown lockout after recent trade on FILTER_TF. | Live read: `EAT_TRIGGER', 'ADAPTIVE_REGIME_LOOKBACK_DAYS', 'ADAPTIVE_REGIME_MIN_SIGNALS', 'A`</t>
        </is>
      </c>
      <c r="E73" s="81" t="inlineStr">
        <is>
          <t>GLOBAL_CHECK</t>
        </is>
      </c>
      <c r="F73" s="81" t="inlineStr">
        <is>
          <t>GLOBAL_CHECK</t>
        </is>
      </c>
      <c r="G73" s="81" t="inlineStr">
        <is>
          <t>COOLDOWN_LOCKS</t>
        </is>
      </c>
      <c r="H73" s="81" t="inlineStr">
        <is>
          <t>GENERAL — uniform</t>
        </is>
      </c>
      <c r="I73" s="81" t="inlineStr">
        <is>
          <t>LIVE — wired</t>
        </is>
      </c>
      <c r="J73" s="8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1" t="n">
        <v>18</v>
      </c>
      <c r="B74" s="81" t="inlineStr">
        <is>
          <t>COOLDOWN_LOCKS_FILTER_TF</t>
        </is>
      </c>
      <c r="C74" s="0" t="inlineStr">
        <is>
          <t>D</t>
        </is>
      </c>
      <c r="D74" s="81" t="inlineStr">
        <is>
          <t>Cooldown lockout after recent trade on FILTER_TF. | Live read: `EAT_TRIGGER', 'ADAPTIVE_REGIME_LOOKBACK_DAYS', 'ADAPTIVE_REGIME_MIN_SIGNALS', 'A`</t>
        </is>
      </c>
      <c r="E74" s="81" t="inlineStr">
        <is>
          <t>GLOBAL_CHECK</t>
        </is>
      </c>
      <c r="F74" s="81" t="inlineStr">
        <is>
          <t>GLOBAL_CHECK</t>
        </is>
      </c>
      <c r="G74" s="81" t="inlineStr">
        <is>
          <t>COOLDOWN_LOCKS</t>
        </is>
      </c>
      <c r="H74" s="81" t="inlineStr">
        <is>
          <t>GENERAL — uniform</t>
        </is>
      </c>
      <c r="I74" s="81" t="inlineStr">
        <is>
          <t>LIVE — wired</t>
        </is>
      </c>
      <c r="J74" s="8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1" t="n">
        <v>18</v>
      </c>
      <c r="B75" s="81" t="inlineStr">
        <is>
          <t>COOLDOWN_LOCKS_FILTER_TF</t>
        </is>
      </c>
      <c r="C75" s="0" t="inlineStr">
        <is>
          <t>4h</t>
        </is>
      </c>
      <c r="D75" s="81" t="inlineStr">
        <is>
          <t>Cooldown lockout after recent trade on FILTER_TF. | Live read: `EAT_TRIGGER', 'ADAPTIVE_REGIME_LOOKBACK_DAYS', 'ADAPTIVE_REGIME_MIN_SIGNALS', 'A`</t>
        </is>
      </c>
      <c r="E75" s="81" t="inlineStr">
        <is>
          <t>GLOBAL_CHECK</t>
        </is>
      </c>
      <c r="F75" s="81" t="inlineStr">
        <is>
          <t>GLOBAL_CHECK</t>
        </is>
      </c>
      <c r="G75" s="81" t="inlineStr">
        <is>
          <t>COOLDOWN_LOCKS</t>
        </is>
      </c>
      <c r="H75" s="81" t="inlineStr">
        <is>
          <t>GENERAL — uniform</t>
        </is>
      </c>
      <c r="I75" s="81" t="inlineStr">
        <is>
          <t>LIVE — wired</t>
        </is>
      </c>
      <c r="J75" s="8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1" t="n">
        <v>18</v>
      </c>
      <c r="B76" s="81" t="inlineStr">
        <is>
          <t>COOLDOWN_LOCKS_FILTER_TF</t>
        </is>
      </c>
      <c r="C76" s="0" t="inlineStr">
        <is>
          <t>1h</t>
        </is>
      </c>
      <c r="D76" s="81" t="inlineStr">
        <is>
          <t>Cooldown lockout after recent trade on FILTER_TF. | Live read: `EAT_TRIGGER', 'ADAPTIVE_REGIME_LOOKBACK_DAYS', 'ADAPTIVE_REGIME_MIN_SIGNALS', 'A`</t>
        </is>
      </c>
      <c r="E76" s="81" t="inlineStr">
        <is>
          <t>GLOBAL_CHECK</t>
        </is>
      </c>
      <c r="F76" s="81" t="inlineStr">
        <is>
          <t>GLOBAL_CHECK</t>
        </is>
      </c>
      <c r="G76" s="81" t="inlineStr">
        <is>
          <t>COOLDOWN_LOCKS</t>
        </is>
      </c>
      <c r="H76" s="81" t="inlineStr">
        <is>
          <t>GENERAL — uniform</t>
        </is>
      </c>
      <c r="I76" s="81" t="inlineStr">
        <is>
          <t>LIVE — wired</t>
        </is>
      </c>
      <c r="J76" s="8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1" t="n">
        <v>18</v>
      </c>
      <c r="B77" s="81" t="inlineStr">
        <is>
          <t>COOLDOWN_LOCKS_FILTER_TF</t>
        </is>
      </c>
      <c r="C77" s="0" t="inlineStr">
        <is>
          <t>15m</t>
        </is>
      </c>
      <c r="D77" s="81" t="inlineStr">
        <is>
          <t>Cooldown lockout after recent trade on FILTER_TF. | Live read: `EAT_TRIGGER', 'ADAPTIVE_REGIME_LOOKBACK_DAYS', 'ADAPTIVE_REGIME_MIN_SIGNALS', 'A`</t>
        </is>
      </c>
      <c r="E77" s="81" t="inlineStr">
        <is>
          <t>GLOBAL_CHECK</t>
        </is>
      </c>
      <c r="F77" s="81" t="inlineStr">
        <is>
          <t>GLOBAL_CHECK</t>
        </is>
      </c>
      <c r="G77" s="81" t="inlineStr">
        <is>
          <t>COOLDOWN_LOCKS</t>
        </is>
      </c>
      <c r="H77" s="81" t="inlineStr">
        <is>
          <t>GENERAL — uniform</t>
        </is>
      </c>
      <c r="I77" s="81" t="inlineStr">
        <is>
          <t>LIVE — wired</t>
        </is>
      </c>
      <c r="J77" s="8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0" t="n">
        <v>19</v>
      </c>
      <c r="B78" s="90" t="inlineStr">
        <is>
          <t>CRYPTO_SPIKE_FADE_THRESHOLD_PCT</t>
        </is>
      </c>
      <c r="C78" s="0" t="inlineStr">
        <is>
          <t>10</t>
        </is>
      </c>
      <c r="D78" s="81" t="inlineStr">
        <is>
          <t>Blocks entries after crypto spike &gt; threshold (fade the spike). | Live read: `ME_LOOKBACK_DAYS', 'ADAPTIVE_REGIME_MIN_SIGNALS', 'ADAPTIVE_REGIME_NPZ_CACHE_HOU`</t>
        </is>
      </c>
      <c r="E78" s="81" t="inlineStr">
        <is>
          <t>GLOBAL_CHECK, STOCKS_EXIT</t>
        </is>
      </c>
      <c r="F78" s="81" t="inlineStr">
        <is>
          <t>GLOBAL_CHECK, STOCKS_EXIT</t>
        </is>
      </c>
      <c r="G78" s="81" t="inlineStr">
        <is>
          <t>CRYPTO_SPIKE_FADE_THRESHOLD_PCT</t>
        </is>
      </c>
      <c r="H78" s="81" t="inlineStr">
        <is>
          <t>GENERAL</t>
        </is>
      </c>
      <c r="I78" s="81" t="inlineStr">
        <is>
          <t>LIVE — wired</t>
        </is>
      </c>
      <c r="J78" s="8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1" t="n">
        <v>19</v>
      </c>
      <c r="B79" s="81" t="inlineStr">
        <is>
          <t>CRYPTO_SPIKE_FADE_THRESHOLD_PCT</t>
        </is>
      </c>
      <c r="C79" s="0" t="inlineStr">
        <is>
          <t>12.5</t>
        </is>
      </c>
      <c r="D79" s="81" t="inlineStr">
        <is>
          <t>Blocks entries after crypto spike &gt; threshold (fade the spike). | Live read: `ME_LOOKBACK_DAYS', 'ADAPTIVE_REGIME_MIN_SIGNALS', 'ADAPTIVE_REGIME_NPZ_CACHE_HOU`</t>
        </is>
      </c>
      <c r="E79" s="81" t="inlineStr">
        <is>
          <t>GLOBAL_CHECK, STOCKS_EXIT</t>
        </is>
      </c>
      <c r="F79" s="81" t="inlineStr">
        <is>
          <t>GLOBAL_CHECK, STOCKS_EXIT</t>
        </is>
      </c>
      <c r="G79" s="81" t="inlineStr">
        <is>
          <t>CRYPTO_SPIKE_FADE_THRESHOLD_PCT</t>
        </is>
      </c>
      <c r="H79" s="81" t="inlineStr">
        <is>
          <t>GENERAL</t>
        </is>
      </c>
      <c r="I79" s="81" t="inlineStr">
        <is>
          <t>LIVE — wired</t>
        </is>
      </c>
      <c r="J79" s="8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1" t="n">
        <v>19</v>
      </c>
      <c r="B80" s="81" t="inlineStr">
        <is>
          <t>CRYPTO_SPIKE_FADE_THRESHOLD_PCT</t>
        </is>
      </c>
      <c r="C80" s="0" t="inlineStr">
        <is>
          <t>7.5</t>
        </is>
      </c>
      <c r="D80" s="81" t="inlineStr">
        <is>
          <t>Blocks entries after crypto spike &gt; threshold (fade the spike). | Live read: `ME_LOOKBACK_DAYS', 'ADAPTIVE_REGIME_MIN_SIGNALS', 'ADAPTIVE_REGIME_NPZ_CACHE_HOU`</t>
        </is>
      </c>
      <c r="E80" s="81" t="inlineStr">
        <is>
          <t>GLOBAL_CHECK, STOCKS_EXIT</t>
        </is>
      </c>
      <c r="F80" s="81" t="inlineStr">
        <is>
          <t>GLOBAL_CHECK, STOCKS_EXIT</t>
        </is>
      </c>
      <c r="G80" s="81" t="inlineStr">
        <is>
          <t>CRYPTO_SPIKE_FADE_THRESHOLD_PCT</t>
        </is>
      </c>
      <c r="H80" s="81" t="inlineStr">
        <is>
          <t>GENERAL</t>
        </is>
      </c>
      <c r="I80" s="81" t="inlineStr">
        <is>
          <t>LIVE — wired</t>
        </is>
      </c>
      <c r="J80" s="8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1" t="n">
        <v>19</v>
      </c>
      <c r="B81" s="81" t="inlineStr">
        <is>
          <t>CRYPTO_SPIKE_FADE_THRESHOLD_PCT</t>
        </is>
      </c>
      <c r="C81" s="0" t="inlineStr">
        <is>
          <t>5</t>
        </is>
      </c>
      <c r="D81" s="81" t="inlineStr">
        <is>
          <t>Blocks entries after crypto spike &gt; threshold (fade the spike). | Live read: `ME_LOOKBACK_DAYS', 'ADAPTIVE_REGIME_MIN_SIGNALS', 'ADAPTIVE_REGIME_NPZ_CACHE_HOU`</t>
        </is>
      </c>
      <c r="E81" s="81" t="inlineStr">
        <is>
          <t>GLOBAL_CHECK, STOCKS_EXIT</t>
        </is>
      </c>
      <c r="F81" s="81" t="inlineStr">
        <is>
          <t>GLOBAL_CHECK, STOCKS_EXIT</t>
        </is>
      </c>
      <c r="G81" s="81" t="inlineStr">
        <is>
          <t>CRYPTO_SPIKE_FADE_THRESHOLD_PCT</t>
        </is>
      </c>
      <c r="H81" s="81" t="inlineStr">
        <is>
          <t>GENERAL</t>
        </is>
      </c>
      <c r="I81" s="81" t="inlineStr">
        <is>
          <t>LIVE — wired</t>
        </is>
      </c>
      <c r="J81" s="8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1" t="n">
        <v>20</v>
      </c>
      <c r="B82" s="91"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1" t="n">
        <v>21</v>
      </c>
      <c r="B87" s="91"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1" t="n">
        <v>22</v>
      </c>
      <c r="B92" s="91"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0" t="n">
        <v>23</v>
      </c>
      <c r="B97" s="90" t="inlineStr">
        <is>
          <t>DC_MOMENT_STRONG_THRESHOLD</t>
        </is>
      </c>
      <c r="C97" s="0" t="inlineStr">
        <is>
          <t>40</t>
        </is>
      </c>
      <c r="D97" s="81" t="inlineStr">
        <is>
          <t>Threshold for strong momentum regime (DC momentum). | Live read: `ROW_ENABLED', 'BAR_PATTERNS_FILTER_TF', 'BB_PULLBACK_GATE_FILTER_TF', 'BB_PULLBA`</t>
        </is>
      </c>
      <c r="E97" s="81" t="inlineStr">
        <is>
          <t>ENTRY, GLOBAL_CHECK, STOCKS_EXIT</t>
        </is>
      </c>
      <c r="F97" s="81" t="inlineStr">
        <is>
          <t>ENTRY, GLOBAL_CHECK, STOCKS_EXIT</t>
        </is>
      </c>
      <c r="G97" s="81" t="inlineStr">
        <is>
          <t>DC_MOMENT_STRONG_THRESHOLD</t>
        </is>
      </c>
      <c r="H97" s="81" t="inlineStr">
        <is>
          <t>GENERAL</t>
        </is>
      </c>
      <c r="I97" s="81" t="inlineStr">
        <is>
          <t>LIVE — wired</t>
        </is>
      </c>
      <c r="J97" s="8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1" t="n">
        <v>23</v>
      </c>
      <c r="B98" s="81" t="inlineStr">
        <is>
          <t>DC_MOMENT_STRONG_THRESHOLD</t>
        </is>
      </c>
      <c r="C98" s="0" t="inlineStr">
        <is>
          <t>50</t>
        </is>
      </c>
      <c r="D98" s="81" t="inlineStr">
        <is>
          <t>Threshold for strong momentum regime (DC momentum). | Live read: `ROW_ENABLED', 'BAR_PATTERNS_FILTER_TF', 'BB_PULLBACK_GATE_FILTER_TF', 'BB_PULLBA`</t>
        </is>
      </c>
      <c r="E98" s="81" t="inlineStr">
        <is>
          <t>ENTRY, GLOBAL_CHECK, STOCKS_EXIT</t>
        </is>
      </c>
      <c r="F98" s="81" t="inlineStr">
        <is>
          <t>ENTRY, GLOBAL_CHECK, STOCKS_EXIT</t>
        </is>
      </c>
      <c r="G98" s="81" t="inlineStr">
        <is>
          <t>DC_MOMENT_STRONG_THRESHOLD</t>
        </is>
      </c>
      <c r="H98" s="81" t="inlineStr">
        <is>
          <t>GENERAL</t>
        </is>
      </c>
      <c r="I98" s="81" t="inlineStr">
        <is>
          <t>LIVE — wired</t>
        </is>
      </c>
      <c r="J98" s="8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1" t="n">
        <v>23</v>
      </c>
      <c r="B99" s="81" t="inlineStr">
        <is>
          <t>DC_MOMENT_STRONG_THRESHOLD</t>
        </is>
      </c>
      <c r="C99" s="0" t="inlineStr">
        <is>
          <t>30</t>
        </is>
      </c>
      <c r="D99" s="81" t="inlineStr">
        <is>
          <t>Threshold for strong momentum regime (DC momentum). | Live read: `ROW_ENABLED', 'BAR_PATTERNS_FILTER_TF', 'BB_PULLBACK_GATE_FILTER_TF', 'BB_PULLBA`</t>
        </is>
      </c>
      <c r="E99" s="81" t="inlineStr">
        <is>
          <t>ENTRY, GLOBAL_CHECK, STOCKS_EXIT</t>
        </is>
      </c>
      <c r="F99" s="81" t="inlineStr">
        <is>
          <t>ENTRY, GLOBAL_CHECK, STOCKS_EXIT</t>
        </is>
      </c>
      <c r="G99" s="81" t="inlineStr">
        <is>
          <t>DC_MOMENT_STRONG_THRESHOLD</t>
        </is>
      </c>
      <c r="H99" s="81" t="inlineStr">
        <is>
          <t>GENERAL</t>
        </is>
      </c>
      <c r="I99" s="81" t="inlineStr">
        <is>
          <t>LIVE — wired</t>
        </is>
      </c>
      <c r="J99" s="8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1" t="n">
        <v>23</v>
      </c>
      <c r="B100" s="81" t="inlineStr">
        <is>
          <t>DC_MOMENT_STRONG_THRESHOLD</t>
        </is>
      </c>
      <c r="C100" s="0" t="inlineStr">
        <is>
          <t>20</t>
        </is>
      </c>
      <c r="D100" s="81" t="inlineStr">
        <is>
          <t>Threshold for strong momentum regime (DC momentum). | Live read: `ROW_ENABLED', 'BAR_PATTERNS_FILTER_TF', 'BB_PULLBACK_GATE_FILTER_TF', 'BB_PULLBA`</t>
        </is>
      </c>
      <c r="E100" s="81" t="inlineStr">
        <is>
          <t>ENTRY, GLOBAL_CHECK, STOCKS_EXIT</t>
        </is>
      </c>
      <c r="F100" s="81" t="inlineStr">
        <is>
          <t>ENTRY, GLOBAL_CHECK, STOCKS_EXIT</t>
        </is>
      </c>
      <c r="G100" s="81" t="inlineStr">
        <is>
          <t>DC_MOMENT_STRONG_THRESHOLD</t>
        </is>
      </c>
      <c r="H100" s="81" t="inlineStr">
        <is>
          <t>GENERAL</t>
        </is>
      </c>
      <c r="I100" s="81" t="inlineStr">
        <is>
          <t>LIVE — wired</t>
        </is>
      </c>
      <c r="J100" s="8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1" t="n">
        <v>24</v>
      </c>
      <c r="B101" s="91"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0" t="n">
        <v>25</v>
      </c>
      <c r="B106" s="90" t="inlineStr">
        <is>
          <t>DELTA_HTF_GATE</t>
        </is>
      </c>
      <c r="C106" s="0" t="inlineStr">
        <is>
          <t>4h</t>
        </is>
      </c>
      <c r="D106" s="81" t="inlineStr">
        <is>
          <t>Delta HTF alignment gate (requires HTF delta agreement). | Live read: `N_TFS', 'BB_RECOVERY_FILTER_TF', 'BTC_DEDICATED_FILTER_TF', 'BTC_DIVERGENCE_REQU`</t>
        </is>
      </c>
      <c r="E106" s="81" t="inlineStr">
        <is>
          <t>ENTRY, GLOBAL_CHECK, STOCKS_EXIT</t>
        </is>
      </c>
      <c r="F106" s="81" t="inlineStr">
        <is>
          <t>ENTRY, GLOBAL_CHECK, STOCKS_EXIT</t>
        </is>
      </c>
      <c r="G106" s="81" t="inlineStr">
        <is>
          <t>DELTA_HTF_GATE</t>
        </is>
      </c>
      <c r="H106" s="81" t="inlineStr">
        <is>
          <t>GENERAL</t>
        </is>
      </c>
      <c r="I106" s="81" t="inlineStr">
        <is>
          <t>LIVE — wired</t>
        </is>
      </c>
      <c r="J106" s="8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1" t="n">
        <v>25</v>
      </c>
      <c r="B107" s="81" t="inlineStr">
        <is>
          <t>DELTA_HTF_GATE</t>
        </is>
      </c>
      <c r="C107" s="0" t="inlineStr">
        <is>
          <t>4h_ALT</t>
        </is>
      </c>
      <c r="D107" s="81" t="inlineStr">
        <is>
          <t>Delta HTF alignment gate (requires HTF delta agreement). | Live read: `N_TFS', 'BB_RECOVERY_FILTER_TF', 'BTC_DEDICATED_FILTER_TF', 'BTC_DIVERGENCE_REQU`</t>
        </is>
      </c>
      <c r="E107" s="81" t="inlineStr">
        <is>
          <t>ENTRY, GLOBAL_CHECK, STOCKS_EXIT</t>
        </is>
      </c>
      <c r="F107" s="81" t="inlineStr">
        <is>
          <t>ENTRY, GLOBAL_CHECK, STOCKS_EXIT</t>
        </is>
      </c>
      <c r="G107" s="81" t="inlineStr">
        <is>
          <t>DELTA_HTF_GATE</t>
        </is>
      </c>
      <c r="H107" s="81" t="inlineStr">
        <is>
          <t>GENERAL</t>
        </is>
      </c>
      <c r="I107" s="81" t="inlineStr">
        <is>
          <t>LIVE — wired</t>
        </is>
      </c>
      <c r="J107" s="8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0" t="n">
        <v>26</v>
      </c>
      <c r="B108" s="90" t="inlineStr">
        <is>
          <t>DELTA_REENTRY_FILTER_ENABLED</t>
        </is>
      </c>
      <c r="C108" s="0" t="inlineStr">
        <is>
          <t>False</t>
        </is>
      </c>
      <c r="D108" s="81" t="inlineStr">
        <is>
          <t>When OFF, disables delta-based reentry gating. | Live read: `Y_REQUIRE_TREND', 'BTC_ENTRY_PRIMARY_REQUIRE_ACCEL_RAMP', 'BTC_ENTRY_PRIMARY_REQ`</t>
        </is>
      </c>
      <c r="E108" s="81" t="inlineStr">
        <is>
          <t>ENTRY, GLOBAL_CHECK, STOCKS_EXIT</t>
        </is>
      </c>
      <c r="F108" s="81" t="inlineStr">
        <is>
          <t>ENTRY, GLOBAL_CHECK, STOCKS_EXIT</t>
        </is>
      </c>
      <c r="G108" s="81" t="inlineStr">
        <is>
          <t>DELTA_REENTRY_FILTER_ENABLED</t>
        </is>
      </c>
      <c r="H108" s="81" t="inlineStr">
        <is>
          <t>GENERAL</t>
        </is>
      </c>
      <c r="I108" s="81" t="inlineStr">
        <is>
          <t>LIVE — wired</t>
        </is>
      </c>
      <c r="J108" s="8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1" t="n">
        <v>26</v>
      </c>
      <c r="B109" s="81" t="inlineStr">
        <is>
          <t>DELTA_REENTRY_FILTER_ENABLED</t>
        </is>
      </c>
      <c r="C109" s="0" t="inlineStr">
        <is>
          <t>True</t>
        </is>
      </c>
      <c r="D109" s="81" t="inlineStr">
        <is>
          <t>When OFF, disables delta-based reentry gating. | Live read: `Y_REQUIRE_TREND', 'BTC_ENTRY_PRIMARY_REQUIRE_ACCEL_RAMP', 'BTC_ENTRY_PRIMARY_REQ`</t>
        </is>
      </c>
      <c r="E109" s="81" t="inlineStr">
        <is>
          <t>ENTRY, GLOBAL_CHECK, STOCKS_EXIT</t>
        </is>
      </c>
      <c r="F109" s="81" t="inlineStr">
        <is>
          <t>ENTRY, GLOBAL_CHECK, STOCKS_EXIT</t>
        </is>
      </c>
      <c r="G109" s="81" t="inlineStr">
        <is>
          <t>DELTA_REENTRY_FILTER_ENABLED</t>
        </is>
      </c>
      <c r="H109" s="81" t="inlineStr">
        <is>
          <t>GENERAL</t>
        </is>
      </c>
      <c r="I109" s="81" t="inlineStr">
        <is>
          <t>LIVE — wired</t>
        </is>
      </c>
      <c r="J109" s="8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0" t="n">
        <v>27</v>
      </c>
      <c r="B110" s="90" t="inlineStr">
        <is>
          <t>DUP_GUARD_FILTER_TF</t>
        </is>
      </c>
      <c r="C110" s="0" t="inlineStr">
        <is>
          <t>OFF</t>
        </is>
      </c>
      <c r="D110" s="81" t="inlineStr">
        <is>
          <t>Duplicate guard — prevents re-entering same signal on FILTER_TF. | Live read: `DIVERGENCE_REQUIRE_D_CONFIRM_BARS', 'BTC_HARD_BLOCK_OTHER_ACCOUNTS', 'BTC_REGIME`</t>
        </is>
      </c>
      <c r="E110" s="81" t="inlineStr">
        <is>
          <t>GLOBAL_CHECK</t>
        </is>
      </c>
      <c r="F110" s="81" t="inlineStr">
        <is>
          <t>GLOBAL_CHECK</t>
        </is>
      </c>
      <c r="G110" s="81" t="inlineStr">
        <is>
          <t>DUP_GUARD</t>
        </is>
      </c>
      <c r="H110" s="81" t="inlineStr">
        <is>
          <t>GENERAL — uniform</t>
        </is>
      </c>
      <c r="I110" s="81" t="inlineStr">
        <is>
          <t>LIVE — wired</t>
        </is>
      </c>
      <c r="J110" s="8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1" t="n">
        <v>27</v>
      </c>
      <c r="B111" s="81" t="inlineStr">
        <is>
          <t>DUP_GUARD_FILTER_TF</t>
        </is>
      </c>
      <c r="C111" s="0" t="inlineStr">
        <is>
          <t>D</t>
        </is>
      </c>
      <c r="D111" s="81" t="inlineStr">
        <is>
          <t>Duplicate guard — prevents re-entering same signal on FILTER_TF. | Live read: `DIVERGENCE_REQUIRE_D_CONFIRM_BARS', 'BTC_HARD_BLOCK_OTHER_ACCOUNTS', 'BTC_REGIME`</t>
        </is>
      </c>
      <c r="E111" s="81" t="inlineStr">
        <is>
          <t>GLOBAL_CHECK</t>
        </is>
      </c>
      <c r="F111" s="81" t="inlineStr">
        <is>
          <t>GLOBAL_CHECK</t>
        </is>
      </c>
      <c r="G111" s="81" t="inlineStr">
        <is>
          <t>DUP_GUARD</t>
        </is>
      </c>
      <c r="H111" s="81" t="inlineStr">
        <is>
          <t>GENERAL — uniform</t>
        </is>
      </c>
      <c r="I111" s="81" t="inlineStr">
        <is>
          <t>LIVE — wired</t>
        </is>
      </c>
      <c r="J111" s="8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1" t="n">
        <v>27</v>
      </c>
      <c r="B112" s="81" t="inlineStr">
        <is>
          <t>DUP_GUARD_FILTER_TF</t>
        </is>
      </c>
      <c r="C112" s="0" t="inlineStr">
        <is>
          <t>4h</t>
        </is>
      </c>
      <c r="D112" s="81" t="inlineStr">
        <is>
          <t>Duplicate guard — prevents re-entering same signal on FILTER_TF. | Live read: `DIVERGENCE_REQUIRE_D_CONFIRM_BARS', 'BTC_HARD_BLOCK_OTHER_ACCOUNTS', 'BTC_REGIME`</t>
        </is>
      </c>
      <c r="E112" s="81" t="inlineStr">
        <is>
          <t>GLOBAL_CHECK</t>
        </is>
      </c>
      <c r="F112" s="81" t="inlineStr">
        <is>
          <t>GLOBAL_CHECK</t>
        </is>
      </c>
      <c r="G112" s="81" t="inlineStr">
        <is>
          <t>DUP_GUARD</t>
        </is>
      </c>
      <c r="H112" s="81" t="inlineStr">
        <is>
          <t>GENERAL — uniform</t>
        </is>
      </c>
      <c r="I112" s="81" t="inlineStr">
        <is>
          <t>LIVE — wired</t>
        </is>
      </c>
      <c r="J112" s="8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1" t="n">
        <v>27</v>
      </c>
      <c r="B113" s="81" t="inlineStr">
        <is>
          <t>DUP_GUARD_FILTER_TF</t>
        </is>
      </c>
      <c r="C113" s="0" t="inlineStr">
        <is>
          <t>1h</t>
        </is>
      </c>
      <c r="D113" s="81" t="inlineStr">
        <is>
          <t>Duplicate guard — prevents re-entering same signal on FILTER_TF. | Live read: `DIVERGENCE_REQUIRE_D_CONFIRM_BARS', 'BTC_HARD_BLOCK_OTHER_ACCOUNTS', 'BTC_REGIME`</t>
        </is>
      </c>
      <c r="E113" s="81" t="inlineStr">
        <is>
          <t>GLOBAL_CHECK</t>
        </is>
      </c>
      <c r="F113" s="81" t="inlineStr">
        <is>
          <t>GLOBAL_CHECK</t>
        </is>
      </c>
      <c r="G113" s="81" t="inlineStr">
        <is>
          <t>DUP_GUARD</t>
        </is>
      </c>
      <c r="H113" s="81" t="inlineStr">
        <is>
          <t>GENERAL — uniform</t>
        </is>
      </c>
      <c r="I113" s="81" t="inlineStr">
        <is>
          <t>LIVE — wired</t>
        </is>
      </c>
      <c r="J113" s="8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1" t="n">
        <v>27</v>
      </c>
      <c r="B114" s="81" t="inlineStr">
        <is>
          <t>DUP_GUARD_FILTER_TF</t>
        </is>
      </c>
      <c r="C114" s="0" t="inlineStr">
        <is>
          <t>15m</t>
        </is>
      </c>
      <c r="D114" s="81" t="inlineStr">
        <is>
          <t>Duplicate guard — prevents re-entering same signal on FILTER_TF. | Live read: `DIVERGENCE_REQUIRE_D_CONFIRM_BARS', 'BTC_HARD_BLOCK_OTHER_ACCOUNTS', 'BTC_REGIME`</t>
        </is>
      </c>
      <c r="E114" s="81" t="inlineStr">
        <is>
          <t>GLOBAL_CHECK</t>
        </is>
      </c>
      <c r="F114" s="81" t="inlineStr">
        <is>
          <t>GLOBAL_CHECK</t>
        </is>
      </c>
      <c r="G114" s="81" t="inlineStr">
        <is>
          <t>DUP_GUARD</t>
        </is>
      </c>
      <c r="H114" s="81" t="inlineStr">
        <is>
          <t>GENERAL — uniform</t>
        </is>
      </c>
      <c r="I114" s="81" t="inlineStr">
        <is>
          <t>LIVE — wired</t>
        </is>
      </c>
      <c r="J114" s="8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3" t="n">
        <v>28</v>
      </c>
      <c r="B115" s="93" t="inlineStr">
        <is>
          <t>E2E_REPLAY_VALIDATOR_FILTER_TF</t>
        </is>
      </c>
      <c r="C115" s="0" t="inlineStr">
        <is>
          <t>OFF</t>
        </is>
      </c>
      <c r="D115" s="84" t="inlineStr">
        <is>
          <t>Dead/misnamed filter — no read in ez_manage/ez_positions_quick/tradier_manage. Appears 0x; likely legacy or typo.</t>
        </is>
      </c>
      <c r="E115" s="84" t="inlineStr">
        <is>
          <t>DEAD</t>
        </is>
      </c>
      <c r="F115" s="84" t="inlineStr">
        <is>
          <t>DEAD</t>
        </is>
      </c>
      <c r="G115" s="84" t="inlineStr">
        <is>
          <t>E2E_REPLAY_VALIDATOR</t>
        </is>
      </c>
      <c r="H115" s="84" t="inlineStr">
        <is>
          <t>SPECIFIC — only gated switches</t>
        </is>
      </c>
      <c r="I115" s="84" t="inlineStr">
        <is>
          <t>DEAD — REMOVE</t>
        </is>
      </c>
      <c r="J115" s="85"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4" t="n">
        <v>28</v>
      </c>
      <c r="B116" s="84" t="inlineStr">
        <is>
          <t>E2E_REPLAY_VALIDATOR_FILTER_TF</t>
        </is>
      </c>
      <c r="C116" s="0" t="inlineStr">
        <is>
          <t>D</t>
        </is>
      </c>
      <c r="D116" s="84" t="inlineStr">
        <is>
          <t>Dead/misnamed filter — no read in ez_manage/ez_positions_quick/tradier_manage. Appears 0x; likely legacy or typo.</t>
        </is>
      </c>
      <c r="E116" s="84" t="inlineStr">
        <is>
          <t>DEAD</t>
        </is>
      </c>
      <c r="F116" s="84" t="inlineStr">
        <is>
          <t>DEAD</t>
        </is>
      </c>
      <c r="G116" s="84" t="inlineStr">
        <is>
          <t>E2E_REPLAY_VALIDATOR</t>
        </is>
      </c>
      <c r="H116" s="84" t="inlineStr">
        <is>
          <t>SPECIFIC — only gated switches</t>
        </is>
      </c>
      <c r="I116" s="84" t="inlineStr">
        <is>
          <t>DEAD — REMOVE</t>
        </is>
      </c>
      <c r="J116" s="85"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4" t="n">
        <v>28</v>
      </c>
      <c r="B117" s="84" t="inlineStr">
        <is>
          <t>E2E_REPLAY_VALIDATOR_FILTER_TF</t>
        </is>
      </c>
      <c r="C117" s="0" t="inlineStr">
        <is>
          <t>4h</t>
        </is>
      </c>
      <c r="D117" s="84" t="inlineStr">
        <is>
          <t>Dead/misnamed filter — no read in ez_manage/ez_positions_quick/tradier_manage. Appears 0x; likely legacy or typo.</t>
        </is>
      </c>
      <c r="E117" s="84" t="inlineStr">
        <is>
          <t>DEAD</t>
        </is>
      </c>
      <c r="F117" s="84" t="inlineStr">
        <is>
          <t>DEAD</t>
        </is>
      </c>
      <c r="G117" s="84" t="inlineStr">
        <is>
          <t>E2E_REPLAY_VALIDATOR</t>
        </is>
      </c>
      <c r="H117" s="84" t="inlineStr">
        <is>
          <t>SPECIFIC — only gated switches</t>
        </is>
      </c>
      <c r="I117" s="84" t="inlineStr">
        <is>
          <t>DEAD — REMOVE</t>
        </is>
      </c>
      <c r="J117" s="85"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4" t="n">
        <v>28</v>
      </c>
      <c r="B118" s="84" t="inlineStr">
        <is>
          <t>E2E_REPLAY_VALIDATOR_FILTER_TF</t>
        </is>
      </c>
      <c r="C118" s="0" t="inlineStr">
        <is>
          <t>1h</t>
        </is>
      </c>
      <c r="D118" s="84" t="inlineStr">
        <is>
          <t>Dead/misnamed filter — no read in ez_manage/ez_positions_quick/tradier_manage. Appears 0x; likely legacy or typo.</t>
        </is>
      </c>
      <c r="E118" s="84" t="inlineStr">
        <is>
          <t>DEAD</t>
        </is>
      </c>
      <c r="F118" s="84" t="inlineStr">
        <is>
          <t>DEAD</t>
        </is>
      </c>
      <c r="G118" s="84" t="inlineStr">
        <is>
          <t>E2E_REPLAY_VALIDATOR</t>
        </is>
      </c>
      <c r="H118" s="84" t="inlineStr">
        <is>
          <t>SPECIFIC — only gated switches</t>
        </is>
      </c>
      <c r="I118" s="84" t="inlineStr">
        <is>
          <t>DEAD — REMOVE</t>
        </is>
      </c>
      <c r="J118" s="85"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4" t="n">
        <v>28</v>
      </c>
      <c r="B119" s="84" t="inlineStr">
        <is>
          <t>E2E_REPLAY_VALIDATOR_FILTER_TF</t>
        </is>
      </c>
      <c r="C119" s="0" t="inlineStr">
        <is>
          <t>15m</t>
        </is>
      </c>
      <c r="D119" s="84" t="inlineStr">
        <is>
          <t>Dead/misnamed filter — no read in ez_manage/ez_positions_quick/tradier_manage. Appears 0x; likely legacy or typo.</t>
        </is>
      </c>
      <c r="E119" s="84" t="inlineStr">
        <is>
          <t>DEAD</t>
        </is>
      </c>
      <c r="F119" s="84" t="inlineStr">
        <is>
          <t>DEAD</t>
        </is>
      </c>
      <c r="G119" s="84" t="inlineStr">
        <is>
          <t>E2E_REPLAY_VALIDATOR</t>
        </is>
      </c>
      <c r="H119" s="84" t="inlineStr">
        <is>
          <t>SPECIFIC — only gated switches</t>
        </is>
      </c>
      <c r="I119" s="84" t="inlineStr">
        <is>
          <t>DEAD — REMOVE</t>
        </is>
      </c>
      <c r="J119" s="85"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1" t="n">
        <v>29</v>
      </c>
      <c r="B120" s="91"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0" t="n">
        <v>30</v>
      </c>
      <c r="B125" s="90" t="inlineStr">
        <is>
          <t>EMA_9_21_FILTER_MIN_TFS</t>
        </is>
      </c>
      <c r="C125" s="0" t="inlineStr">
        <is>
          <t>0</t>
        </is>
      </c>
      <c r="D125" s="81" t="inlineStr">
        <is>
          <t>Threshold/gate: EMA_9_21_FILTER_MIN_TFS — OTHER_ACCOUNTS', 'BTC_REGIME_PAUSE_ENABLED', 'BTC_REVERSE_REQUIRE_HTF_ALIGNED', 'BTC_ROUND_BANDS_EACH_SIDE', 'BT_WT_CROS | ex: `OTHER_ACCOUNTS', 'BTC_REGIME_PAUSE_ENABLED', 'BTC_REVERSE_REQUIRE_HTF_ALIGNED', `</t>
        </is>
      </c>
      <c r="E125" s="81" t="inlineStr">
        <is>
          <t>GLOBAL_CHECK</t>
        </is>
      </c>
      <c r="F125" s="81" t="inlineStr">
        <is>
          <t>GLOBAL_CHECK</t>
        </is>
      </c>
      <c r="G125" s="81" t="inlineStr">
        <is>
          <t>EMA_9_21_FILTER_MIN_TFS</t>
        </is>
      </c>
      <c r="H125" s="81" t="inlineStr">
        <is>
          <t>GENERAL</t>
        </is>
      </c>
      <c r="I125" s="81" t="inlineStr">
        <is>
          <t>LIVE — wired</t>
        </is>
      </c>
      <c r="J125" s="8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1" t="n">
        <v>30</v>
      </c>
      <c r="B126" s="81" t="inlineStr">
        <is>
          <t>EMA_9_21_FILTER_MIN_TFS</t>
        </is>
      </c>
      <c r="C126" s="0" t="inlineStr">
        <is>
          <t>2</t>
        </is>
      </c>
      <c r="D126" s="81" t="inlineStr">
        <is>
          <t>Threshold/gate: EMA_9_21_FILTER_MIN_TFS — OTHER_ACCOUNTS', 'BTC_REGIME_PAUSE_ENABLED', 'BTC_REVERSE_REQUIRE_HTF_ALIGNED', 'BTC_ROUND_BANDS_EACH_SIDE', 'BT_WT_CROS | ex: `OTHER_ACCOUNTS', 'BTC_REGIME_PAUSE_ENABLED', 'BTC_REVERSE_REQUIRE_HTF_ALIGNED', `</t>
        </is>
      </c>
      <c r="E126" s="81" t="inlineStr">
        <is>
          <t>GLOBAL_CHECK</t>
        </is>
      </c>
      <c r="F126" s="81" t="inlineStr">
        <is>
          <t>GLOBAL_CHECK</t>
        </is>
      </c>
      <c r="G126" s="81" t="inlineStr">
        <is>
          <t>EMA_9_21_FILTER_MIN_TFS</t>
        </is>
      </c>
      <c r="H126" s="81" t="inlineStr">
        <is>
          <t>GENERAL</t>
        </is>
      </c>
      <c r="I126" s="81" t="inlineStr">
        <is>
          <t>LIVE — wired</t>
        </is>
      </c>
      <c r="J126" s="8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1" t="n">
        <v>30</v>
      </c>
      <c r="B127" s="81" t="inlineStr">
        <is>
          <t>EMA_9_21_FILTER_MIN_TFS</t>
        </is>
      </c>
      <c r="C127" s="0" t="inlineStr">
        <is>
          <t>1</t>
        </is>
      </c>
      <c r="D127" s="81" t="inlineStr">
        <is>
          <t>Threshold/gate: EMA_9_21_FILTER_MIN_TFS — OTHER_ACCOUNTS', 'BTC_REGIME_PAUSE_ENABLED', 'BTC_REVERSE_REQUIRE_HTF_ALIGNED', 'BTC_ROUND_BANDS_EACH_SIDE', 'BT_WT_CROS | ex: `OTHER_ACCOUNTS', 'BTC_REGIME_PAUSE_ENABLED', 'BTC_REVERSE_REQUIRE_HTF_ALIGNED', `</t>
        </is>
      </c>
      <c r="E127" s="81" t="inlineStr">
        <is>
          <t>GLOBAL_CHECK</t>
        </is>
      </c>
      <c r="F127" s="81" t="inlineStr">
        <is>
          <t>GLOBAL_CHECK</t>
        </is>
      </c>
      <c r="G127" s="81" t="inlineStr">
        <is>
          <t>EMA_9_21_FILTER_MIN_TFS</t>
        </is>
      </c>
      <c r="H127" s="81" t="inlineStr">
        <is>
          <t>GENERAL</t>
        </is>
      </c>
      <c r="I127" s="81" t="inlineStr">
        <is>
          <t>LIVE — wired</t>
        </is>
      </c>
      <c r="J127" s="8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0" t="n">
        <v>31</v>
      </c>
      <c r="B128" s="90" t="inlineStr">
        <is>
          <t>EMA_BLANKET_FILTER_ENABLED</t>
        </is>
      </c>
      <c r="C128" s="0" t="inlineStr">
        <is>
          <t>False</t>
        </is>
      </c>
      <c r="D128" s="81" t="inlineStr">
        <is>
          <t>Blanket EMA filter (price above/below EMA blanket). | Live read: `E_PAUSE_ENABLED', 'BTC_REVERSE_REQUIRE_HTF_ALIGNED', 'BTC_ROUND_BANDS_EACH_SIDE'`</t>
        </is>
      </c>
      <c r="E128" s="81" t="inlineStr">
        <is>
          <t>GLOBAL_CHECK</t>
        </is>
      </c>
      <c r="F128" s="81" t="inlineStr">
        <is>
          <t>GLOBAL_CHECK</t>
        </is>
      </c>
      <c r="G128" s="81" t="inlineStr">
        <is>
          <t>EMA_BLANKET_FILTER_ENABLED</t>
        </is>
      </c>
      <c r="H128" s="81" t="inlineStr">
        <is>
          <t>GENERAL</t>
        </is>
      </c>
      <c r="I128" s="81" t="inlineStr">
        <is>
          <t>LIVE — wired</t>
        </is>
      </c>
      <c r="J128" s="8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1" t="n">
        <v>31</v>
      </c>
      <c r="B129" s="81" t="inlineStr">
        <is>
          <t>EMA_BLANKET_FILTER_ENABLED</t>
        </is>
      </c>
      <c r="C129" s="0" t="inlineStr">
        <is>
          <t>True</t>
        </is>
      </c>
      <c r="D129" s="81" t="inlineStr">
        <is>
          <t>Blanket EMA filter (price above/below EMA blanket). | Live read: `E_PAUSE_ENABLED', 'BTC_REVERSE_REQUIRE_HTF_ALIGNED', 'BTC_ROUND_BANDS_EACH_SIDE'`</t>
        </is>
      </c>
      <c r="E129" s="81" t="inlineStr">
        <is>
          <t>GLOBAL_CHECK</t>
        </is>
      </c>
      <c r="F129" s="81" t="inlineStr">
        <is>
          <t>GLOBAL_CHECK</t>
        </is>
      </c>
      <c r="G129" s="81" t="inlineStr">
        <is>
          <t>EMA_BLANKET_FILTER_ENABLED</t>
        </is>
      </c>
      <c r="H129" s="81" t="inlineStr">
        <is>
          <t>GENERAL</t>
        </is>
      </c>
      <c r="I129" s="81" t="inlineStr">
        <is>
          <t>LIVE — wired</t>
        </is>
      </c>
      <c r="J129" s="8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1" t="n">
        <v>32</v>
      </c>
      <c r="B130" s="91"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0" t="n">
        <v>33</v>
      </c>
      <c r="B135" s="90" t="inlineStr">
        <is>
          <t>EMA_BLANKET_FILTER_MIN_TFS</t>
        </is>
      </c>
      <c r="C135" s="0" t="inlineStr">
        <is>
          <t>0</t>
        </is>
      </c>
      <c r="D135" s="81" t="inlineStr">
        <is>
          <t>Threshold/gate: EMA_BLANKET_FILTER_MIN_TFS — D_BANDS_EACH_SIDE', 'BT_WT_CROSS_LADDER_FILTER_TF', 'CIRCUIT_SHARPE_GATES_ENABLED', 'CIRCUIT_SHARPE_GATES_FILTER_TF', 'C | ex: `D_BANDS_EACH_SIDE', 'BT_WT_CROSS_LADDER_FILTER_TF', 'CIRCUIT_SHARPE_GATES_ENABLE`</t>
        </is>
      </c>
      <c r="E135" s="81" t="inlineStr">
        <is>
          <t>GLOBAL_CHECK</t>
        </is>
      </c>
      <c r="F135" s="81" t="inlineStr">
        <is>
          <t>GLOBAL_CHECK</t>
        </is>
      </c>
      <c r="G135" s="81" t="inlineStr">
        <is>
          <t>EMA_BLANKET_FILTER_MIN_TFS</t>
        </is>
      </c>
      <c r="H135" s="81" t="inlineStr">
        <is>
          <t>GENERAL</t>
        </is>
      </c>
      <c r="I135" s="81" t="inlineStr">
        <is>
          <t>LIVE — wired</t>
        </is>
      </c>
      <c r="J135" s="8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1" t="n">
        <v>33</v>
      </c>
      <c r="B136" s="81" t="inlineStr">
        <is>
          <t>EMA_BLANKET_FILTER_MIN_TFS</t>
        </is>
      </c>
      <c r="C136" s="0" t="inlineStr">
        <is>
          <t>2</t>
        </is>
      </c>
      <c r="D136" s="81" t="inlineStr">
        <is>
          <t>Threshold/gate: EMA_BLANKET_FILTER_MIN_TFS — D_BANDS_EACH_SIDE', 'BT_WT_CROSS_LADDER_FILTER_TF', 'CIRCUIT_SHARPE_GATES_ENABLED', 'CIRCUIT_SHARPE_GATES_FILTER_TF', 'C | ex: `D_BANDS_EACH_SIDE', 'BT_WT_CROSS_LADDER_FILTER_TF', 'CIRCUIT_SHARPE_GATES_ENABLE`</t>
        </is>
      </c>
      <c r="E136" s="81" t="inlineStr">
        <is>
          <t>GLOBAL_CHECK</t>
        </is>
      </c>
      <c r="F136" s="81" t="inlineStr">
        <is>
          <t>GLOBAL_CHECK</t>
        </is>
      </c>
      <c r="G136" s="81" t="inlineStr">
        <is>
          <t>EMA_BLANKET_FILTER_MIN_TFS</t>
        </is>
      </c>
      <c r="H136" s="81" t="inlineStr">
        <is>
          <t>GENERAL</t>
        </is>
      </c>
      <c r="I136" s="81" t="inlineStr">
        <is>
          <t>LIVE — wired</t>
        </is>
      </c>
      <c r="J136" s="8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1" t="n">
        <v>33</v>
      </c>
      <c r="B137" s="81" t="inlineStr">
        <is>
          <t>EMA_BLANKET_FILTER_MIN_TFS</t>
        </is>
      </c>
      <c r="C137" s="0" t="inlineStr">
        <is>
          <t>1</t>
        </is>
      </c>
      <c r="D137" s="81" t="inlineStr">
        <is>
          <t>Threshold/gate: EMA_BLANKET_FILTER_MIN_TFS — D_BANDS_EACH_SIDE', 'BT_WT_CROSS_LADDER_FILTER_TF', 'CIRCUIT_SHARPE_GATES_ENABLED', 'CIRCUIT_SHARPE_GATES_FILTER_TF', 'C | ex: `D_BANDS_EACH_SIDE', 'BT_WT_CROSS_LADDER_FILTER_TF', 'CIRCUIT_SHARPE_GATES_ENABLE`</t>
        </is>
      </c>
      <c r="E137" s="81" t="inlineStr">
        <is>
          <t>GLOBAL_CHECK</t>
        </is>
      </c>
      <c r="F137" s="81" t="inlineStr">
        <is>
          <t>GLOBAL_CHECK</t>
        </is>
      </c>
      <c r="G137" s="81" t="inlineStr">
        <is>
          <t>EMA_BLANKET_FILTER_MIN_TFS</t>
        </is>
      </c>
      <c r="H137" s="81" t="inlineStr">
        <is>
          <t>GENERAL</t>
        </is>
      </c>
      <c r="I137" s="81" t="inlineStr">
        <is>
          <t>LIVE — wired</t>
        </is>
      </c>
      <c r="J137" s="8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1" t="n">
        <v>34</v>
      </c>
      <c r="B138" s="91"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0" t="n">
        <v>35</v>
      </c>
      <c r="B143" s="90" t="inlineStr">
        <is>
          <t>EXECUTE_NOW_SINGLE_GATE_ENFORCE</t>
        </is>
      </c>
      <c r="C143" s="0" t="inlineStr">
        <is>
          <t>0.0</t>
        </is>
      </c>
      <c r="D143" s="81" t="inlineStr">
        <is>
          <t>Enforces single-gate through execute_now (THE ONLY gate). | Live read: `'EXECUTE_NOW_SINGLE_GATE_ENFORCE', 'EXECUTE_NOW_WIRE_TRIPWIRE_MAX_LAG_S', 'EXECU`</t>
        </is>
      </c>
      <c r="E143" s="81" t="inlineStr">
        <is>
          <t>ENTRY, GLOBAL_CHECK, STOCKS_EXIT</t>
        </is>
      </c>
      <c r="F143" s="81" t="inlineStr">
        <is>
          <t>ENTRY, GLOBAL_CHECK, STOCKS_EXIT</t>
        </is>
      </c>
      <c r="G143" s="81" t="inlineStr">
        <is>
          <t>EXECUTE_NOW_SINGLE_GATE_ENFORCE</t>
        </is>
      </c>
      <c r="H143" s="81" t="inlineStr">
        <is>
          <t>GENERAL</t>
        </is>
      </c>
      <c r="I143" s="81" t="inlineStr">
        <is>
          <t>LIVE — wired</t>
        </is>
      </c>
      <c r="J143" s="8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1" t="n">
        <v>35</v>
      </c>
      <c r="B144" s="81" t="inlineStr">
        <is>
          <t>EXECUTE_NOW_SINGLE_GATE_ENFORCE</t>
        </is>
      </c>
      <c r="C144" s="0" t="inlineStr">
        <is>
          <t>0.0_ALT</t>
        </is>
      </c>
      <c r="D144" s="81" t="inlineStr">
        <is>
          <t>Enforces single-gate through execute_now (THE ONLY gate). | Live read: `'EXECUTE_NOW_SINGLE_GATE_ENFORCE', 'EXECUTE_NOW_WIRE_TRIPWIRE_MAX_LAG_S', 'EXECU`</t>
        </is>
      </c>
      <c r="E144" s="81" t="inlineStr">
        <is>
          <t>ENTRY, GLOBAL_CHECK, STOCKS_EXIT</t>
        </is>
      </c>
      <c r="F144" s="81" t="inlineStr">
        <is>
          <t>ENTRY, GLOBAL_CHECK, STOCKS_EXIT</t>
        </is>
      </c>
      <c r="G144" s="81" t="inlineStr">
        <is>
          <t>EXECUTE_NOW_SINGLE_GATE_ENFORCE</t>
        </is>
      </c>
      <c r="H144" s="81" t="inlineStr">
        <is>
          <t>GENERAL</t>
        </is>
      </c>
      <c r="I144" s="81" t="inlineStr">
        <is>
          <t>LIVE — wired</t>
        </is>
      </c>
      <c r="J144" s="8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3" t="n">
        <v>36</v>
      </c>
      <c r="B145" s="93" t="inlineStr">
        <is>
          <t>EXHAUSTION_EXIT_FILTER_TF</t>
        </is>
      </c>
      <c r="C145" s="0" t="inlineStr">
        <is>
          <t>OFF</t>
        </is>
      </c>
      <c r="D145" s="84" t="inlineStr">
        <is>
          <t>Dead/misnamed filter — no read in ez_manage/ez_positions_quick/tradier_manage. Appears 0x; likely legacy or typo.</t>
        </is>
      </c>
      <c r="E145" s="84" t="inlineStr">
        <is>
          <t>DEAD</t>
        </is>
      </c>
      <c r="F145" s="84" t="inlineStr">
        <is>
          <t>DEAD</t>
        </is>
      </c>
      <c r="G145" s="84" t="inlineStr">
        <is>
          <t>EXHAUSTION_EXIT</t>
        </is>
      </c>
      <c r="H145" s="84" t="inlineStr">
        <is>
          <t>SPECIFIC — only gated switches</t>
        </is>
      </c>
      <c r="I145" s="84" t="inlineStr">
        <is>
          <t>DEAD — REMOVE</t>
        </is>
      </c>
      <c r="J145" s="85"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4" t="n">
        <v>36</v>
      </c>
      <c r="B146" s="84" t="inlineStr">
        <is>
          <t>EXHAUSTION_EXIT_FILTER_TF</t>
        </is>
      </c>
      <c r="C146" s="0" t="inlineStr">
        <is>
          <t>D</t>
        </is>
      </c>
      <c r="D146" s="84" t="inlineStr">
        <is>
          <t>Dead/misnamed filter — no read in ez_manage/ez_positions_quick/tradier_manage. Appears 0x; likely legacy or typo.</t>
        </is>
      </c>
      <c r="E146" s="84" t="inlineStr">
        <is>
          <t>DEAD</t>
        </is>
      </c>
      <c r="F146" s="84" t="inlineStr">
        <is>
          <t>DEAD</t>
        </is>
      </c>
      <c r="G146" s="84" t="inlineStr">
        <is>
          <t>EXHAUSTION_EXIT</t>
        </is>
      </c>
      <c r="H146" s="84" t="inlineStr">
        <is>
          <t>SPECIFIC — only gated switches</t>
        </is>
      </c>
      <c r="I146" s="84" t="inlineStr">
        <is>
          <t>DEAD — REMOVE</t>
        </is>
      </c>
      <c r="J146" s="85"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4" t="n">
        <v>36</v>
      </c>
      <c r="B147" s="84" t="inlineStr">
        <is>
          <t>EXHAUSTION_EXIT_FILTER_TF</t>
        </is>
      </c>
      <c r="C147" s="0" t="inlineStr">
        <is>
          <t>4h</t>
        </is>
      </c>
      <c r="D147" s="84" t="inlineStr">
        <is>
          <t>Dead/misnamed filter — no read in ez_manage/ez_positions_quick/tradier_manage. Appears 0x; likely legacy or typo.</t>
        </is>
      </c>
      <c r="E147" s="84" t="inlineStr">
        <is>
          <t>DEAD</t>
        </is>
      </c>
      <c r="F147" s="84" t="inlineStr">
        <is>
          <t>DEAD</t>
        </is>
      </c>
      <c r="G147" s="84" t="inlineStr">
        <is>
          <t>EXHAUSTION_EXIT</t>
        </is>
      </c>
      <c r="H147" s="84" t="inlineStr">
        <is>
          <t>SPECIFIC — only gated switches</t>
        </is>
      </c>
      <c r="I147" s="84" t="inlineStr">
        <is>
          <t>DEAD — REMOVE</t>
        </is>
      </c>
      <c r="J147" s="85"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4" t="n">
        <v>36</v>
      </c>
      <c r="B148" s="84" t="inlineStr">
        <is>
          <t>EXHAUSTION_EXIT_FILTER_TF</t>
        </is>
      </c>
      <c r="C148" s="0" t="inlineStr">
        <is>
          <t>1h</t>
        </is>
      </c>
      <c r="D148" s="84" t="inlineStr">
        <is>
          <t>Dead/misnamed filter — no read in ez_manage/ez_positions_quick/tradier_manage. Appears 0x; likely legacy or typo.</t>
        </is>
      </c>
      <c r="E148" s="84" t="inlineStr">
        <is>
          <t>DEAD</t>
        </is>
      </c>
      <c r="F148" s="84" t="inlineStr">
        <is>
          <t>DEAD</t>
        </is>
      </c>
      <c r="G148" s="84" t="inlineStr">
        <is>
          <t>EXHAUSTION_EXIT</t>
        </is>
      </c>
      <c r="H148" s="84" t="inlineStr">
        <is>
          <t>SPECIFIC — only gated switches</t>
        </is>
      </c>
      <c r="I148" s="84" t="inlineStr">
        <is>
          <t>DEAD — REMOVE</t>
        </is>
      </c>
      <c r="J148" s="85"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4" t="n">
        <v>36</v>
      </c>
      <c r="B149" s="84" t="inlineStr">
        <is>
          <t>EXHAUSTION_EXIT_FILTER_TF</t>
        </is>
      </c>
      <c r="C149" s="0" t="inlineStr">
        <is>
          <t>15m</t>
        </is>
      </c>
      <c r="D149" s="84" t="inlineStr">
        <is>
          <t>Dead/misnamed filter — no read in ez_manage/ez_positions_quick/tradier_manage. Appears 0x; likely legacy or typo.</t>
        </is>
      </c>
      <c r="E149" s="84" t="inlineStr">
        <is>
          <t>DEAD</t>
        </is>
      </c>
      <c r="F149" s="84" t="inlineStr">
        <is>
          <t>DEAD</t>
        </is>
      </c>
      <c r="G149" s="84" t="inlineStr">
        <is>
          <t>EXHAUSTION_EXIT</t>
        </is>
      </c>
      <c r="H149" s="84" t="inlineStr">
        <is>
          <t>SPECIFIC — only gated switches</t>
        </is>
      </c>
      <c r="I149" s="84" t="inlineStr">
        <is>
          <t>DEAD — REMOVE</t>
        </is>
      </c>
      <c r="J149" s="85"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1" t="n">
        <v>37</v>
      </c>
      <c r="B150" s="91"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1" t="n">
        <v>38</v>
      </c>
      <c r="B155" s="91"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1" t="n">
        <v>39</v>
      </c>
      <c r="B160" s="91"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1" t="n">
        <v>40</v>
      </c>
      <c r="B165" s="91"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0" t="n">
        <v>41</v>
      </c>
      <c r="B170" s="90" t="inlineStr">
        <is>
          <t>EZ_MANAGE_THROTTLER_RATE</t>
        </is>
      </c>
      <c r="C170" s="0" t="inlineStr">
        <is>
          <t>0.0</t>
        </is>
      </c>
      <c r="D170" s="81" t="inlineStr">
        <is>
          <t>Throttler: max decisions per second for ez_manage loop. | Live read: `'EZ_KLINES_SEMAPHORE', 'EZ_MANAGE_CONCURRENCY_LIMIT', 'EZ_MANAGE_MAKER_SEMAPHORE`</t>
        </is>
      </c>
      <c r="E170" s="81" t="inlineStr">
        <is>
          <t>GLOBAL_CHECK, STOCKS_EXIT</t>
        </is>
      </c>
      <c r="F170" s="81" t="inlineStr">
        <is>
          <t>GLOBAL_CHECK, STOCKS_EXIT</t>
        </is>
      </c>
      <c r="G170" s="81" t="inlineStr">
        <is>
          <t>EZ_MANAGE_THROTTLER_RATE</t>
        </is>
      </c>
      <c r="H170" s="81" t="inlineStr">
        <is>
          <t>GENERAL</t>
        </is>
      </c>
      <c r="I170" s="81" t="inlineStr">
        <is>
          <t>LIVE — wired</t>
        </is>
      </c>
      <c r="J170" s="8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1" t="n">
        <v>41</v>
      </c>
      <c r="B171" s="81" t="inlineStr">
        <is>
          <t>EZ_MANAGE_THROTTLER_RATE</t>
        </is>
      </c>
      <c r="C171" s="0" t="inlineStr">
        <is>
          <t>0.0_ALT</t>
        </is>
      </c>
      <c r="D171" s="81" t="inlineStr">
        <is>
          <t>Throttler: max decisions per second for ez_manage loop. | Live read: `'EZ_KLINES_SEMAPHORE', 'EZ_MANAGE_CONCURRENCY_LIMIT', 'EZ_MANAGE_MAKER_SEMAPHORE`</t>
        </is>
      </c>
      <c r="E171" s="81" t="inlineStr">
        <is>
          <t>GLOBAL_CHECK, STOCKS_EXIT</t>
        </is>
      </c>
      <c r="F171" s="81" t="inlineStr">
        <is>
          <t>GLOBAL_CHECK, STOCKS_EXIT</t>
        </is>
      </c>
      <c r="G171" s="81" t="inlineStr">
        <is>
          <t>EZ_MANAGE_THROTTLER_RATE</t>
        </is>
      </c>
      <c r="H171" s="81" t="inlineStr">
        <is>
          <t>GENERAL</t>
        </is>
      </c>
      <c r="I171" s="81" t="inlineStr">
        <is>
          <t>LIVE — wired</t>
        </is>
      </c>
      <c r="J171" s="8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1" t="n">
        <v>42</v>
      </c>
      <c r="B172" s="91"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0" t="n">
        <v>43</v>
      </c>
      <c r="B177" s="90" t="inlineStr">
        <is>
          <t>FG_FEAR_THRESHOLD</t>
        </is>
      </c>
      <c r="C177" s="0" t="inlineStr">
        <is>
          <t>25</t>
        </is>
      </c>
      <c r="D177" s="81" t="inlineStr">
        <is>
          <t>Fear/Greed index fear threshold. | Live read: `'CIRCUIT_SHARPE_GATES_FILTER_TF', 'CIRCUIT_SHARPE_GATES_MIN_TFS', 'COOLDOWN_LOCK`</t>
        </is>
      </c>
      <c r="E177" s="81" t="inlineStr">
        <is>
          <t>GLOBAL_CHECK, STOCKS_EXIT</t>
        </is>
      </c>
      <c r="F177" s="81" t="inlineStr">
        <is>
          <t>GLOBAL_CHECK, STOCKS_EXIT</t>
        </is>
      </c>
      <c r="G177" s="81" t="inlineStr">
        <is>
          <t>FG_FEAR_THRESHOLD</t>
        </is>
      </c>
      <c r="H177" s="81" t="inlineStr">
        <is>
          <t>GENERAL</t>
        </is>
      </c>
      <c r="I177" s="81" t="inlineStr">
        <is>
          <t>LIVE — wired</t>
        </is>
      </c>
      <c r="J177" s="8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1" t="n">
        <v>43</v>
      </c>
      <c r="B178" s="81" t="inlineStr">
        <is>
          <t>FG_FEAR_THRESHOLD</t>
        </is>
      </c>
      <c r="C178" s="0" t="inlineStr">
        <is>
          <t>31.25</t>
        </is>
      </c>
      <c r="D178" s="81" t="inlineStr">
        <is>
          <t>Fear/Greed index fear threshold. | Live read: `'CIRCUIT_SHARPE_GATES_FILTER_TF', 'CIRCUIT_SHARPE_GATES_MIN_TFS', 'COOLDOWN_LOCK`</t>
        </is>
      </c>
      <c r="E178" s="81" t="inlineStr">
        <is>
          <t>GLOBAL_CHECK, STOCKS_EXIT</t>
        </is>
      </c>
      <c r="F178" s="81" t="inlineStr">
        <is>
          <t>GLOBAL_CHECK, STOCKS_EXIT</t>
        </is>
      </c>
      <c r="G178" s="81" t="inlineStr">
        <is>
          <t>FG_FEAR_THRESHOLD</t>
        </is>
      </c>
      <c r="H178" s="81" t="inlineStr">
        <is>
          <t>GENERAL</t>
        </is>
      </c>
      <c r="I178" s="81" t="inlineStr">
        <is>
          <t>LIVE — wired</t>
        </is>
      </c>
      <c r="J178" s="8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1" t="n">
        <v>43</v>
      </c>
      <c r="B179" s="81" t="inlineStr">
        <is>
          <t>FG_FEAR_THRESHOLD</t>
        </is>
      </c>
      <c r="C179" s="0" t="inlineStr">
        <is>
          <t>18.75</t>
        </is>
      </c>
      <c r="D179" s="81" t="inlineStr">
        <is>
          <t>Fear/Greed index fear threshold. | Live read: `'CIRCUIT_SHARPE_GATES_FILTER_TF', 'CIRCUIT_SHARPE_GATES_MIN_TFS', 'COOLDOWN_LOCK`</t>
        </is>
      </c>
      <c r="E179" s="81" t="inlineStr">
        <is>
          <t>GLOBAL_CHECK, STOCKS_EXIT</t>
        </is>
      </c>
      <c r="F179" s="81" t="inlineStr">
        <is>
          <t>GLOBAL_CHECK, STOCKS_EXIT</t>
        </is>
      </c>
      <c r="G179" s="81" t="inlineStr">
        <is>
          <t>FG_FEAR_THRESHOLD</t>
        </is>
      </c>
      <c r="H179" s="81" t="inlineStr">
        <is>
          <t>GENERAL</t>
        </is>
      </c>
      <c r="I179" s="81" t="inlineStr">
        <is>
          <t>LIVE — wired</t>
        </is>
      </c>
      <c r="J179" s="8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1" t="n">
        <v>43</v>
      </c>
      <c r="B180" s="81" t="inlineStr">
        <is>
          <t>FG_FEAR_THRESHOLD</t>
        </is>
      </c>
      <c r="C180" s="0" t="inlineStr">
        <is>
          <t>12.5</t>
        </is>
      </c>
      <c r="D180" s="81" t="inlineStr">
        <is>
          <t>Fear/Greed index fear threshold. | Live read: `'CIRCUIT_SHARPE_GATES_FILTER_TF', 'CIRCUIT_SHARPE_GATES_MIN_TFS', 'COOLDOWN_LOCK`</t>
        </is>
      </c>
      <c r="E180" s="81" t="inlineStr">
        <is>
          <t>GLOBAL_CHECK, STOCKS_EXIT</t>
        </is>
      </c>
      <c r="F180" s="81" t="inlineStr">
        <is>
          <t>GLOBAL_CHECK, STOCKS_EXIT</t>
        </is>
      </c>
      <c r="G180" s="81" t="inlineStr">
        <is>
          <t>FG_FEAR_THRESHOLD</t>
        </is>
      </c>
      <c r="H180" s="81" t="inlineStr">
        <is>
          <t>GENERAL</t>
        </is>
      </c>
      <c r="I180" s="81" t="inlineStr">
        <is>
          <t>LIVE — wired</t>
        </is>
      </c>
      <c r="J180" s="8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0" t="n">
        <v>44</v>
      </c>
      <c r="B181" s="90" t="inlineStr">
        <is>
          <t>FG_GREED_THRESHOLD</t>
        </is>
      </c>
      <c r="C181" s="0" t="inlineStr">
        <is>
          <t>75</t>
        </is>
      </c>
      <c r="D181" s="81" t="inlineStr">
        <is>
          <t>Fear/Greed greed threshold. | Live read: `S_FILTER_TF', 'CIRCUIT_SHARPE_GATES_MIN_TFS', 'COOLDOWN_LOCKS_FILTER_TF', 'CRYPT`</t>
        </is>
      </c>
      <c r="E181" s="81" t="inlineStr">
        <is>
          <t>GLOBAL_CHECK, STOCKS_EXIT</t>
        </is>
      </c>
      <c r="F181" s="81" t="inlineStr">
        <is>
          <t>GLOBAL_CHECK, STOCKS_EXIT</t>
        </is>
      </c>
      <c r="G181" s="81" t="inlineStr">
        <is>
          <t>FG_GREED_THRESHOLD</t>
        </is>
      </c>
      <c r="H181" s="81" t="inlineStr">
        <is>
          <t>GENERAL</t>
        </is>
      </c>
      <c r="I181" s="81" t="inlineStr">
        <is>
          <t>LIVE — wired</t>
        </is>
      </c>
      <c r="J181" s="8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1" t="n">
        <v>44</v>
      </c>
      <c r="B182" s="81" t="inlineStr">
        <is>
          <t>FG_GREED_THRESHOLD</t>
        </is>
      </c>
      <c r="C182" s="0" t="inlineStr">
        <is>
          <t>93.75</t>
        </is>
      </c>
      <c r="D182" s="81" t="inlineStr">
        <is>
          <t>Fear/Greed greed threshold. | Live read: `S_FILTER_TF', 'CIRCUIT_SHARPE_GATES_MIN_TFS', 'COOLDOWN_LOCKS_FILTER_TF', 'CRYPT`</t>
        </is>
      </c>
      <c r="E182" s="81" t="inlineStr">
        <is>
          <t>GLOBAL_CHECK, STOCKS_EXIT</t>
        </is>
      </c>
      <c r="F182" s="81" t="inlineStr">
        <is>
          <t>GLOBAL_CHECK, STOCKS_EXIT</t>
        </is>
      </c>
      <c r="G182" s="81" t="inlineStr">
        <is>
          <t>FG_GREED_THRESHOLD</t>
        </is>
      </c>
      <c r="H182" s="81" t="inlineStr">
        <is>
          <t>GENERAL</t>
        </is>
      </c>
      <c r="I182" s="81" t="inlineStr">
        <is>
          <t>LIVE — wired</t>
        </is>
      </c>
      <c r="J182" s="8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1" t="n">
        <v>44</v>
      </c>
      <c r="B183" s="81" t="inlineStr">
        <is>
          <t>FG_GREED_THRESHOLD</t>
        </is>
      </c>
      <c r="C183" s="0" t="inlineStr">
        <is>
          <t>56.25</t>
        </is>
      </c>
      <c r="D183" s="81" t="inlineStr">
        <is>
          <t>Fear/Greed greed threshold. | Live read: `S_FILTER_TF', 'CIRCUIT_SHARPE_GATES_MIN_TFS', 'COOLDOWN_LOCKS_FILTER_TF', 'CRYPT`</t>
        </is>
      </c>
      <c r="E183" s="81" t="inlineStr">
        <is>
          <t>GLOBAL_CHECK, STOCKS_EXIT</t>
        </is>
      </c>
      <c r="F183" s="81" t="inlineStr">
        <is>
          <t>GLOBAL_CHECK, STOCKS_EXIT</t>
        </is>
      </c>
      <c r="G183" s="81" t="inlineStr">
        <is>
          <t>FG_GREED_THRESHOLD</t>
        </is>
      </c>
      <c r="H183" s="81" t="inlineStr">
        <is>
          <t>GENERAL</t>
        </is>
      </c>
      <c r="I183" s="81" t="inlineStr">
        <is>
          <t>LIVE — wired</t>
        </is>
      </c>
      <c r="J183" s="8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1" t="n">
        <v>44</v>
      </c>
      <c r="B184" s="81" t="inlineStr">
        <is>
          <t>FG_GREED_THRESHOLD</t>
        </is>
      </c>
      <c r="C184" s="0" t="inlineStr">
        <is>
          <t>37.5</t>
        </is>
      </c>
      <c r="D184" s="81" t="inlineStr">
        <is>
          <t>Fear/Greed greed threshold. | Live read: `S_FILTER_TF', 'CIRCUIT_SHARPE_GATES_MIN_TFS', 'COOLDOWN_LOCKS_FILTER_TF', 'CRYPT`</t>
        </is>
      </c>
      <c r="E184" s="81" t="inlineStr">
        <is>
          <t>GLOBAL_CHECK, STOCKS_EXIT</t>
        </is>
      </c>
      <c r="F184" s="81" t="inlineStr">
        <is>
          <t>GLOBAL_CHECK, STOCKS_EXIT</t>
        </is>
      </c>
      <c r="G184" s="81" t="inlineStr">
        <is>
          <t>FG_GREED_THRESHOLD</t>
        </is>
      </c>
      <c r="H184" s="81" t="inlineStr">
        <is>
          <t>GENERAL</t>
        </is>
      </c>
      <c r="I184" s="81" t="inlineStr">
        <is>
          <t>LIVE — wired</t>
        </is>
      </c>
      <c r="J184" s="8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1" t="n">
        <v>45</v>
      </c>
      <c r="B185" s="91"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1" t="n">
        <v>46</v>
      </c>
      <c r="B190" s="91"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1" t="n">
        <v>47</v>
      </c>
      <c r="B195" s="91"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0" t="n">
        <v>48</v>
      </c>
      <c r="B200" s="90" t="inlineStr">
        <is>
          <t>FUNDING_GATE_FILTER_TF</t>
        </is>
      </c>
      <c r="C200" s="0" t="inlineStr">
        <is>
          <t>OFF</t>
        </is>
      </c>
      <c r="D200" s="81" t="inlineStr">
        <is>
          <t>Funding rate gate on FILTER_TF (perp funding). | Live read: `COOLDOWN_LOCKS_FILTER_TF', 'CRYPTO_SPIKE_FADE_THRESHOLD_PCT', 'DC_BREAK_FILTER_T`</t>
        </is>
      </c>
      <c r="E200" s="81" t="inlineStr">
        <is>
          <t>GLOBAL_CHECK</t>
        </is>
      </c>
      <c r="F200" s="81" t="inlineStr">
        <is>
          <t>GLOBAL_CHECK</t>
        </is>
      </c>
      <c r="G200" s="81" t="inlineStr">
        <is>
          <t>Funding gate</t>
        </is>
      </c>
      <c r="H200" s="81" t="inlineStr">
        <is>
          <t>GENERAL — uniform</t>
        </is>
      </c>
      <c r="I200" s="81" t="inlineStr">
        <is>
          <t>LIVE — wired</t>
        </is>
      </c>
      <c r="J200" s="8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1" t="n">
        <v>48</v>
      </c>
      <c r="B201" s="81" t="inlineStr">
        <is>
          <t>FUNDING_GATE_FILTER_TF</t>
        </is>
      </c>
      <c r="C201" s="0" t="inlineStr">
        <is>
          <t>D</t>
        </is>
      </c>
      <c r="D201" s="81" t="inlineStr">
        <is>
          <t>Funding rate gate on FILTER_TF (perp funding). | Live read: `COOLDOWN_LOCKS_FILTER_TF', 'CRYPTO_SPIKE_FADE_THRESHOLD_PCT', 'DC_BREAK_FILTER_T`</t>
        </is>
      </c>
      <c r="E201" s="81" t="inlineStr">
        <is>
          <t>GLOBAL_CHECK</t>
        </is>
      </c>
      <c r="F201" s="81" t="inlineStr">
        <is>
          <t>GLOBAL_CHECK</t>
        </is>
      </c>
      <c r="G201" s="81" t="inlineStr">
        <is>
          <t>Funding gate</t>
        </is>
      </c>
      <c r="H201" s="81" t="inlineStr">
        <is>
          <t>GENERAL — uniform</t>
        </is>
      </c>
      <c r="I201" s="81" t="inlineStr">
        <is>
          <t>LIVE — wired</t>
        </is>
      </c>
      <c r="J201" s="8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1" t="n">
        <v>48</v>
      </c>
      <c r="B202" s="81" t="inlineStr">
        <is>
          <t>FUNDING_GATE_FILTER_TF</t>
        </is>
      </c>
      <c r="C202" s="0" t="inlineStr">
        <is>
          <t>4h</t>
        </is>
      </c>
      <c r="D202" s="81" t="inlineStr">
        <is>
          <t>Funding rate gate on FILTER_TF (perp funding). | Live read: `COOLDOWN_LOCKS_FILTER_TF', 'CRYPTO_SPIKE_FADE_THRESHOLD_PCT', 'DC_BREAK_FILTER_T`</t>
        </is>
      </c>
      <c r="E202" s="81" t="inlineStr">
        <is>
          <t>GLOBAL_CHECK</t>
        </is>
      </c>
      <c r="F202" s="81" t="inlineStr">
        <is>
          <t>GLOBAL_CHECK</t>
        </is>
      </c>
      <c r="G202" s="81" t="inlineStr">
        <is>
          <t>Funding gate</t>
        </is>
      </c>
      <c r="H202" s="81" t="inlineStr">
        <is>
          <t>GENERAL — uniform</t>
        </is>
      </c>
      <c r="I202" s="81" t="inlineStr">
        <is>
          <t>LIVE — wired</t>
        </is>
      </c>
      <c r="J202" s="8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1" t="n">
        <v>48</v>
      </c>
      <c r="B203" s="81" t="inlineStr">
        <is>
          <t>FUNDING_GATE_FILTER_TF</t>
        </is>
      </c>
      <c r="C203" s="0" t="inlineStr">
        <is>
          <t>1h</t>
        </is>
      </c>
      <c r="D203" s="81" t="inlineStr">
        <is>
          <t>Funding rate gate on FILTER_TF (perp funding). | Live read: `COOLDOWN_LOCKS_FILTER_TF', 'CRYPTO_SPIKE_FADE_THRESHOLD_PCT', 'DC_BREAK_FILTER_T`</t>
        </is>
      </c>
      <c r="E203" s="81" t="inlineStr">
        <is>
          <t>GLOBAL_CHECK</t>
        </is>
      </c>
      <c r="F203" s="81" t="inlineStr">
        <is>
          <t>GLOBAL_CHECK</t>
        </is>
      </c>
      <c r="G203" s="81" t="inlineStr">
        <is>
          <t>Funding gate</t>
        </is>
      </c>
      <c r="H203" s="81" t="inlineStr">
        <is>
          <t>GENERAL — uniform</t>
        </is>
      </c>
      <c r="I203" s="81" t="inlineStr">
        <is>
          <t>LIVE — wired</t>
        </is>
      </c>
      <c r="J203" s="8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1" t="n">
        <v>48</v>
      </c>
      <c r="B204" s="81" t="inlineStr">
        <is>
          <t>FUNDING_GATE_FILTER_TF</t>
        </is>
      </c>
      <c r="C204" s="0" t="inlineStr">
        <is>
          <t>15m</t>
        </is>
      </c>
      <c r="D204" s="81" t="inlineStr">
        <is>
          <t>Funding rate gate on FILTER_TF (perp funding). | Live read: `COOLDOWN_LOCKS_FILTER_TF', 'CRYPTO_SPIKE_FADE_THRESHOLD_PCT', 'DC_BREAK_FILTER_T`</t>
        </is>
      </c>
      <c r="E204" s="81" t="inlineStr">
        <is>
          <t>GLOBAL_CHECK</t>
        </is>
      </c>
      <c r="F204" s="81" t="inlineStr">
        <is>
          <t>GLOBAL_CHECK</t>
        </is>
      </c>
      <c r="G204" s="81" t="inlineStr">
        <is>
          <t>Funding gate</t>
        </is>
      </c>
      <c r="H204" s="81" t="inlineStr">
        <is>
          <t>GENERAL — uniform</t>
        </is>
      </c>
      <c r="I204" s="81" t="inlineStr">
        <is>
          <t>LIVE — wired</t>
        </is>
      </c>
      <c r="J204" s="8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0" t="n">
        <v>49</v>
      </c>
      <c r="B205" s="90" t="inlineStr">
        <is>
          <t>FUNDING_GATE_LONG_MAX</t>
        </is>
      </c>
      <c r="C205" s="0" t="inlineStr">
        <is>
          <t>0.0</t>
        </is>
      </c>
      <c r="D205" s="81" t="inlineStr">
        <is>
          <t>Max funding to allow longs (above blocks longs). | Live read: `LED', 'ENTRY_VOL_SPIKE_LOOKBACK', 'ENTRY_VOL_SPIKE_RATIO', 'ENTRY_WILLR_ENABLED'`</t>
        </is>
      </c>
      <c r="E205" s="81" t="inlineStr">
        <is>
          <t>ENTRY, GLOBAL_CHECK, STOCKS_EXIT</t>
        </is>
      </c>
      <c r="F205" s="81" t="inlineStr">
        <is>
          <t>ENTRY, GLOBAL_CHECK, STOCKS_EXIT</t>
        </is>
      </c>
      <c r="G205" s="81" t="inlineStr">
        <is>
          <t>Funding gate</t>
        </is>
      </c>
      <c r="H205" s="81" t="inlineStr">
        <is>
          <t>GENERAL — uniform</t>
        </is>
      </c>
      <c r="I205" s="81" t="inlineStr">
        <is>
          <t>LIVE — wired</t>
        </is>
      </c>
      <c r="J205" s="8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1" t="n">
        <v>49</v>
      </c>
      <c r="B206" s="81" t="inlineStr">
        <is>
          <t>FUNDING_GATE_LONG_MAX</t>
        </is>
      </c>
      <c r="C206" s="0" t="inlineStr">
        <is>
          <t>0.0_ALT</t>
        </is>
      </c>
      <c r="D206" s="81" t="inlineStr">
        <is>
          <t>Max funding to allow longs (above blocks longs). | Live read: `LED', 'ENTRY_VOL_SPIKE_LOOKBACK', 'ENTRY_VOL_SPIKE_RATIO', 'ENTRY_WILLR_ENABLED'`</t>
        </is>
      </c>
      <c r="E206" s="81" t="inlineStr">
        <is>
          <t>ENTRY, GLOBAL_CHECK, STOCKS_EXIT</t>
        </is>
      </c>
      <c r="F206" s="81" t="inlineStr">
        <is>
          <t>ENTRY, GLOBAL_CHECK, STOCKS_EXIT</t>
        </is>
      </c>
      <c r="G206" s="81" t="inlineStr">
        <is>
          <t>Funding gate</t>
        </is>
      </c>
      <c r="H206" s="81" t="inlineStr">
        <is>
          <t>GENERAL — uniform</t>
        </is>
      </c>
      <c r="I206" s="81" t="inlineStr">
        <is>
          <t>LIVE — wired</t>
        </is>
      </c>
      <c r="J206" s="8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0" t="n">
        <v>50</v>
      </c>
      <c r="B207" s="90" t="inlineStr">
        <is>
          <t>FUNDING_GATE_MTF_REQUIRED</t>
        </is>
      </c>
      <c r="C207" s="0" t="inlineStr">
        <is>
          <t>0.0</t>
        </is>
      </c>
      <c r="D207" s="81" t="inlineStr">
        <is>
          <t>Requires funding gate on N TFs. | Live read: `RY_WILLR_ENABLED', 'ENTRY_WILLR_LOOKBACK', 'ENTRY_WILLR_OB_THRESHOLD', 'ENTRY_WI`</t>
        </is>
      </c>
      <c r="E207" s="81" t="inlineStr">
        <is>
          <t>ENTRY, GLOBAL_CHECK, STOCKS_EXIT</t>
        </is>
      </c>
      <c r="F207" s="81" t="inlineStr">
        <is>
          <t>ENTRY, GLOBAL_CHECK, STOCKS_EXIT</t>
        </is>
      </c>
      <c r="G207" s="81" t="inlineStr">
        <is>
          <t>Funding gate</t>
        </is>
      </c>
      <c r="H207" s="81" t="inlineStr">
        <is>
          <t>GENERAL — uniform</t>
        </is>
      </c>
      <c r="I207" s="81" t="inlineStr">
        <is>
          <t>LIVE — wired</t>
        </is>
      </c>
      <c r="J207" s="8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1" t="n">
        <v>50</v>
      </c>
      <c r="B208" s="81" t="inlineStr">
        <is>
          <t>FUNDING_GATE_MTF_REQUIRED</t>
        </is>
      </c>
      <c r="C208" s="0" t="inlineStr">
        <is>
          <t>0.0_ALT</t>
        </is>
      </c>
      <c r="D208" s="81" t="inlineStr">
        <is>
          <t>Requires funding gate on N TFs. | Live read: `RY_WILLR_ENABLED', 'ENTRY_WILLR_LOOKBACK', 'ENTRY_WILLR_OB_THRESHOLD', 'ENTRY_WI`</t>
        </is>
      </c>
      <c r="E208" s="81" t="inlineStr">
        <is>
          <t>ENTRY, GLOBAL_CHECK, STOCKS_EXIT</t>
        </is>
      </c>
      <c r="F208" s="81" t="inlineStr">
        <is>
          <t>ENTRY, GLOBAL_CHECK, STOCKS_EXIT</t>
        </is>
      </c>
      <c r="G208" s="81" t="inlineStr">
        <is>
          <t>Funding gate</t>
        </is>
      </c>
      <c r="H208" s="81" t="inlineStr">
        <is>
          <t>GENERAL — uniform</t>
        </is>
      </c>
      <c r="I208" s="81" t="inlineStr">
        <is>
          <t>LIVE — wired</t>
        </is>
      </c>
      <c r="J208" s="8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0" t="n">
        <v>51</v>
      </c>
      <c r="B209" s="90" t="inlineStr">
        <is>
          <t>FUNDING_GATE_SHORT_MIN</t>
        </is>
      </c>
      <c r="C209" s="0" t="inlineStr">
        <is>
          <t>0.0</t>
        </is>
      </c>
      <c r="D209" s="81" t="inlineStr">
        <is>
          <t>Min funding to allow shorts. | Live read: `', 'ENTRY_WILLR_OS_THRESHOLD', 'ENTRY_WILLR_THRESHOLD', 'ENTRY_WT_CROSS_EVENT_EN`</t>
        </is>
      </c>
      <c r="E209" s="81" t="inlineStr">
        <is>
          <t>ENTRY, GLOBAL_CHECK, STOCKS_EXIT</t>
        </is>
      </c>
      <c r="F209" s="81" t="inlineStr">
        <is>
          <t>ENTRY, GLOBAL_CHECK, STOCKS_EXIT</t>
        </is>
      </c>
      <c r="G209" s="81" t="inlineStr">
        <is>
          <t>Funding gate</t>
        </is>
      </c>
      <c r="H209" s="81" t="inlineStr">
        <is>
          <t>GENERAL — uniform</t>
        </is>
      </c>
      <c r="I209" s="81" t="inlineStr">
        <is>
          <t>LIVE — wired</t>
        </is>
      </c>
      <c r="J209" s="8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1" t="n">
        <v>51</v>
      </c>
      <c r="B210" s="81" t="inlineStr">
        <is>
          <t>FUNDING_GATE_SHORT_MIN</t>
        </is>
      </c>
      <c r="C210" s="0" t="inlineStr">
        <is>
          <t>0.0_ALT</t>
        </is>
      </c>
      <c r="D210" s="81" t="inlineStr">
        <is>
          <t>Min funding to allow shorts. | Live read: `', 'ENTRY_WILLR_OS_THRESHOLD', 'ENTRY_WILLR_THRESHOLD', 'ENTRY_WT_CROSS_EVENT_EN`</t>
        </is>
      </c>
      <c r="E210" s="81" t="inlineStr">
        <is>
          <t>ENTRY, GLOBAL_CHECK, STOCKS_EXIT</t>
        </is>
      </c>
      <c r="F210" s="81" t="inlineStr">
        <is>
          <t>ENTRY, GLOBAL_CHECK, STOCKS_EXIT</t>
        </is>
      </c>
      <c r="G210" s="81" t="inlineStr">
        <is>
          <t>Funding gate</t>
        </is>
      </c>
      <c r="H210" s="81" t="inlineStr">
        <is>
          <t>GENERAL — uniform</t>
        </is>
      </c>
      <c r="I210" s="81" t="inlineStr">
        <is>
          <t>LIVE — wired</t>
        </is>
      </c>
      <c r="J210" s="8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0" t="n">
        <v>52</v>
      </c>
      <c r="B211" s="90" t="inlineStr">
        <is>
          <t>GOLDEN_RULE_BASE_USD</t>
        </is>
      </c>
      <c r="C211" s="0" t="inlineStr">
        <is>
          <t>0.0</t>
        </is>
      </c>
      <c r="D211" s="81" t="inlineStr">
        <is>
          <t>Golden Rule base notional USD. | Live read: `RY_WT_CROSS_EVENT_ENABLED', 'ENTRY_WT_CROSS_LOOKBACK', 'FIRST_OPEN_THROTTLE_ENAB`</t>
        </is>
      </c>
      <c r="E211" s="81" t="inlineStr">
        <is>
          <t>GLOBAL_CHECK, STOCKS_EXIT</t>
        </is>
      </c>
      <c r="F211" s="81" t="inlineStr">
        <is>
          <t>GLOBAL_CHECK, STOCKS_EXIT</t>
        </is>
      </c>
      <c r="G211" s="81" t="inlineStr">
        <is>
          <t>GOLDEN_RULE_BASE_USD</t>
        </is>
      </c>
      <c r="H211" s="81" t="inlineStr">
        <is>
          <t>GENERAL</t>
        </is>
      </c>
      <c r="I211" s="81" t="inlineStr">
        <is>
          <t>LIVE — wired</t>
        </is>
      </c>
      <c r="J211" s="8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1" t="n">
        <v>52</v>
      </c>
      <c r="B212" s="81" t="inlineStr">
        <is>
          <t>GOLDEN_RULE_BASE_USD</t>
        </is>
      </c>
      <c r="C212" s="0" t="inlineStr">
        <is>
          <t>0.0_ALT</t>
        </is>
      </c>
      <c r="D212" s="81" t="inlineStr">
        <is>
          <t>Golden Rule base notional USD. | Live read: `RY_WT_CROSS_EVENT_ENABLED', 'ENTRY_WT_CROSS_LOOKBACK', 'FIRST_OPEN_THROTTLE_ENAB`</t>
        </is>
      </c>
      <c r="E212" s="81" t="inlineStr">
        <is>
          <t>GLOBAL_CHECK, STOCKS_EXIT</t>
        </is>
      </c>
      <c r="F212" s="81" t="inlineStr">
        <is>
          <t>GLOBAL_CHECK, STOCKS_EXIT</t>
        </is>
      </c>
      <c r="G212" s="81" t="inlineStr">
        <is>
          <t>GOLDEN_RULE_BASE_USD</t>
        </is>
      </c>
      <c r="H212" s="81" t="inlineStr">
        <is>
          <t>GENERAL</t>
        </is>
      </c>
      <c r="I212" s="81" t="inlineStr">
        <is>
          <t>LIVE — wired</t>
        </is>
      </c>
      <c r="J212" s="8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1" t="n">
        <v>53</v>
      </c>
      <c r="B213" s="91"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1" t="n">
        <v>54</v>
      </c>
      <c r="B218" s="91"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0" t="n">
        <v>55</v>
      </c>
      <c r="B223" s="90" t="inlineStr">
        <is>
          <t>GR_FILTER_ALL_ENTRIES</t>
        </is>
      </c>
      <c r="C223" s="0" t="inlineStr">
        <is>
          <t>0.0</t>
        </is>
      </c>
      <c r="D223" s="81" t="inlineStr">
        <is>
          <t>When True, Golden Rule filters ALL entries (otherwise only breakouts). | Live read: `G_GATE_MTF_REQUIRED', 'FUNDING_GATE_MTF_SHORT_MAX_BEAR_TFS', 'FUNDING_GATE_SHORT`</t>
        </is>
      </c>
      <c r="E223" s="81" t="inlineStr">
        <is>
          <t>GLOBAL_CHECK, STOCKS_EXIT</t>
        </is>
      </c>
      <c r="F223" s="81" t="inlineStr">
        <is>
          <t>GLOBAL_CHECK, STOCKS_EXIT</t>
        </is>
      </c>
      <c r="G223" s="81" t="inlineStr">
        <is>
          <t>GR_FILTER_ALL_ENTRIES</t>
        </is>
      </c>
      <c r="H223" s="81" t="inlineStr">
        <is>
          <t>GENERAL — uniform</t>
        </is>
      </c>
      <c r="I223" s="81" t="inlineStr">
        <is>
          <t>LIVE — wired</t>
        </is>
      </c>
      <c r="J223" s="8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1" t="n">
        <v>55</v>
      </c>
      <c r="B224" s="81" t="inlineStr">
        <is>
          <t>GR_FILTER_ALL_ENTRIES</t>
        </is>
      </c>
      <c r="C224" s="0" t="inlineStr">
        <is>
          <t>0.0_ALT</t>
        </is>
      </c>
      <c r="D224" s="81" t="inlineStr">
        <is>
          <t>When True, Golden Rule filters ALL entries (otherwise only breakouts). | Live read: `G_GATE_MTF_REQUIRED', 'FUNDING_GATE_MTF_SHORT_MAX_BEAR_TFS', 'FUNDING_GATE_SHORT`</t>
        </is>
      </c>
      <c r="E224" s="81" t="inlineStr">
        <is>
          <t>GLOBAL_CHECK, STOCKS_EXIT</t>
        </is>
      </c>
      <c r="F224" s="81" t="inlineStr">
        <is>
          <t>GLOBAL_CHECK, STOCKS_EXIT</t>
        </is>
      </c>
      <c r="G224" s="81" t="inlineStr">
        <is>
          <t>GR_FILTER_ALL_ENTRIES</t>
        </is>
      </c>
      <c r="H224" s="81" t="inlineStr">
        <is>
          <t>GENERAL — uniform</t>
        </is>
      </c>
      <c r="I224" s="81" t="inlineStr">
        <is>
          <t>LIVE — wired</t>
        </is>
      </c>
      <c r="J224" s="8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0" t="n">
        <v>56</v>
      </c>
      <c r="B225" s="90" t="inlineStr">
        <is>
          <t>GR_FILTER_VEC_ENABLED</t>
        </is>
      </c>
      <c r="C225" s="0" t="inlineStr">
        <is>
          <t>False</t>
        </is>
      </c>
      <c r="D225" s="81" t="inlineStr">
        <is>
          <t>Vector Golden Rule filter enabled. | Live read: `C_MOMENTUM_BOTA_SCORER_FILTER_TF', 'DC_MOMENT_STRONG_THRESHOLD', 'DELTA_ENGINE_F`</t>
        </is>
      </c>
      <c r="E225" s="81" t="inlineStr">
        <is>
          <t>GLOBAL_CHECK</t>
        </is>
      </c>
      <c r="F225" s="81" t="inlineStr">
        <is>
          <t>GLOBAL_CHECK</t>
        </is>
      </c>
      <c r="G225" s="81" t="inlineStr">
        <is>
          <t>GR_FILTER_VEC_ENABLED</t>
        </is>
      </c>
      <c r="H225" s="81" t="inlineStr">
        <is>
          <t>GENERAL</t>
        </is>
      </c>
      <c r="I225" s="81" t="inlineStr">
        <is>
          <t>LIVE — wired</t>
        </is>
      </c>
      <c r="J225" s="8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1" t="n">
        <v>56</v>
      </c>
      <c r="B226" s="81" t="inlineStr">
        <is>
          <t>GR_FILTER_VEC_ENABLED</t>
        </is>
      </c>
      <c r="C226" s="0" t="inlineStr">
        <is>
          <t>True</t>
        </is>
      </c>
      <c r="D226" s="81" t="inlineStr">
        <is>
          <t>Vector Golden Rule filter enabled. | Live read: `C_MOMENTUM_BOTA_SCORER_FILTER_TF', 'DC_MOMENT_STRONG_THRESHOLD', 'DELTA_ENGINE_F`</t>
        </is>
      </c>
      <c r="E226" s="81" t="inlineStr">
        <is>
          <t>GLOBAL_CHECK</t>
        </is>
      </c>
      <c r="F226" s="81" t="inlineStr">
        <is>
          <t>GLOBAL_CHECK</t>
        </is>
      </c>
      <c r="G226" s="81" t="inlineStr">
        <is>
          <t>GR_FILTER_VEC_ENABLED</t>
        </is>
      </c>
      <c r="H226" s="81" t="inlineStr">
        <is>
          <t>GENERAL</t>
        </is>
      </c>
      <c r="I226" s="81" t="inlineStr">
        <is>
          <t>LIVE — wired</t>
        </is>
      </c>
      <c r="J226" s="8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1" t="n">
        <v>57</v>
      </c>
      <c r="B227" s="91"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0" t="n">
        <v>58</v>
      </c>
      <c r="B232" s="90" t="inlineStr">
        <is>
          <t>GR_FILTER_VEC_MIN_TFS</t>
        </is>
      </c>
      <c r="C232" s="0" t="inlineStr">
        <is>
          <t>0</t>
        </is>
      </c>
      <c r="D232" s="81" t="inlineStr">
        <is>
          <t>Threshold/gate: GR_FILTER_VEC_MIN_TFS — _THRESHOLD', 'DELTA_ENGINE_FILTER_TF', 'DELTA_GATE_DIRECTION_FAVORABLE', 'DELTA_HTF_GATE', 'DELTA_LT_HTF_GATE', 'DELTA_O | ex: `_THRESHOLD', 'DELTA_ENGINE_FILTER_TF', 'DELTA_GATE_DIRECTION_FAVORABLE', 'DELTA_`</t>
        </is>
      </c>
      <c r="E232" s="81" t="inlineStr">
        <is>
          <t>GLOBAL_CHECK</t>
        </is>
      </c>
      <c r="F232" s="81" t="inlineStr">
        <is>
          <t>GLOBAL_CHECK</t>
        </is>
      </c>
      <c r="G232" s="81" t="inlineStr">
        <is>
          <t>GR_FILTER_VEC_MIN_TFS</t>
        </is>
      </c>
      <c r="H232" s="81" t="inlineStr">
        <is>
          <t>GENERAL</t>
        </is>
      </c>
      <c r="I232" s="81" t="inlineStr">
        <is>
          <t>LIVE — wired</t>
        </is>
      </c>
      <c r="J232" s="8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1" t="n">
        <v>58</v>
      </c>
      <c r="B233" s="81" t="inlineStr">
        <is>
          <t>GR_FILTER_VEC_MIN_TFS</t>
        </is>
      </c>
      <c r="C233" s="0" t="inlineStr">
        <is>
          <t>2</t>
        </is>
      </c>
      <c r="D233" s="81" t="inlineStr">
        <is>
          <t>Threshold/gate: GR_FILTER_VEC_MIN_TFS — _THRESHOLD', 'DELTA_ENGINE_FILTER_TF', 'DELTA_GATE_DIRECTION_FAVORABLE', 'DELTA_HTF_GATE', 'DELTA_LT_HTF_GATE', 'DELTA_O | ex: `_THRESHOLD', 'DELTA_ENGINE_FILTER_TF', 'DELTA_GATE_DIRECTION_FAVORABLE', 'DELTA_`</t>
        </is>
      </c>
      <c r="E233" s="81" t="inlineStr">
        <is>
          <t>GLOBAL_CHECK</t>
        </is>
      </c>
      <c r="F233" s="81" t="inlineStr">
        <is>
          <t>GLOBAL_CHECK</t>
        </is>
      </c>
      <c r="G233" s="81" t="inlineStr">
        <is>
          <t>GR_FILTER_VEC_MIN_TFS</t>
        </is>
      </c>
      <c r="H233" s="81" t="inlineStr">
        <is>
          <t>GENERAL</t>
        </is>
      </c>
      <c r="I233" s="81" t="inlineStr">
        <is>
          <t>LIVE — wired</t>
        </is>
      </c>
      <c r="J233" s="8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1" t="n">
        <v>58</v>
      </c>
      <c r="B234" s="81" t="inlineStr">
        <is>
          <t>GR_FILTER_VEC_MIN_TFS</t>
        </is>
      </c>
      <c r="C234" s="0" t="inlineStr">
        <is>
          <t>1</t>
        </is>
      </c>
      <c r="D234" s="81" t="inlineStr">
        <is>
          <t>Threshold/gate: GR_FILTER_VEC_MIN_TFS — _THRESHOLD', 'DELTA_ENGINE_FILTER_TF', 'DELTA_GATE_DIRECTION_FAVORABLE', 'DELTA_HTF_GATE', 'DELTA_LT_HTF_GATE', 'DELTA_O | ex: `_THRESHOLD', 'DELTA_ENGINE_FILTER_TF', 'DELTA_GATE_DIRECTION_FAVORABLE', 'DELTA_`</t>
        </is>
      </c>
      <c r="E234" s="81" t="inlineStr">
        <is>
          <t>GLOBAL_CHECK</t>
        </is>
      </c>
      <c r="F234" s="81" t="inlineStr">
        <is>
          <t>GLOBAL_CHECK</t>
        </is>
      </c>
      <c r="G234" s="81" t="inlineStr">
        <is>
          <t>GR_FILTER_VEC_MIN_TFS</t>
        </is>
      </c>
      <c r="H234" s="81" t="inlineStr">
        <is>
          <t>GENERAL</t>
        </is>
      </c>
      <c r="I234" s="81" t="inlineStr">
        <is>
          <t>LIVE — wired</t>
        </is>
      </c>
      <c r="J234" s="8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1" t="n">
        <v>59</v>
      </c>
      <c r="B235" s="91"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1" t="n">
        <v>60</v>
      </c>
      <c r="B240" s="91"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0" t="n">
        <v>61</v>
      </c>
      <c r="B245" s="90" t="inlineStr">
        <is>
          <t>HA_WICK_QUALITY_ENABLED</t>
        </is>
      </c>
      <c r="C245" s="0" t="inlineStr">
        <is>
          <t>False</t>
        </is>
      </c>
      <c r="D245" s="81" t="inlineStr">
        <is>
          <t>HA wick quality gate enabled (Heikin-Ashi). | Live read: `BLED', 'DC_BREAKOUT_TF', 'DELTA_ENTRY_MIN_TF', 'DELTA_EXIT_MANDATORY_REENTRY_ENA`</t>
        </is>
      </c>
      <c r="E245" s="81" t="inlineStr">
        <is>
          <t>ENTRY, GLOBAL_CHECK, STOCKS_EXIT</t>
        </is>
      </c>
      <c r="F245" s="81" t="inlineStr">
        <is>
          <t>ENTRY, GLOBAL_CHECK, STOCKS_EXIT</t>
        </is>
      </c>
      <c r="G245" s="81" t="inlineStr">
        <is>
          <t>HA_WICK_QUALITY_ENABLED</t>
        </is>
      </c>
      <c r="H245" s="81" t="inlineStr">
        <is>
          <t>GENERAL</t>
        </is>
      </c>
      <c r="I245" s="81" t="inlineStr">
        <is>
          <t>LIVE — wired</t>
        </is>
      </c>
      <c r="J245" s="8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1" t="n">
        <v>61</v>
      </c>
      <c r="B246" s="81" t="inlineStr">
        <is>
          <t>HA_WICK_QUALITY_ENABLED</t>
        </is>
      </c>
      <c r="C246" s="0" t="inlineStr">
        <is>
          <t>True</t>
        </is>
      </c>
      <c r="D246" s="81" t="inlineStr">
        <is>
          <t>HA wick quality gate enabled (Heikin-Ashi). | Live read: `BLED', 'DC_BREAKOUT_TF', 'DELTA_ENTRY_MIN_TF', 'DELTA_EXIT_MANDATORY_REENTRY_ENA`</t>
        </is>
      </c>
      <c r="E246" s="81" t="inlineStr">
        <is>
          <t>ENTRY, GLOBAL_CHECK, STOCKS_EXIT</t>
        </is>
      </c>
      <c r="F246" s="81" t="inlineStr">
        <is>
          <t>ENTRY, GLOBAL_CHECK, STOCKS_EXIT</t>
        </is>
      </c>
      <c r="G246" s="81" t="inlineStr">
        <is>
          <t>HA_WICK_QUALITY_ENABLED</t>
        </is>
      </c>
      <c r="H246" s="81" t="inlineStr">
        <is>
          <t>GENERAL</t>
        </is>
      </c>
      <c r="I246" s="81" t="inlineStr">
        <is>
          <t>LIVE — wired</t>
        </is>
      </c>
      <c r="J246" s="8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0" t="n">
        <v>62</v>
      </c>
      <c r="B247" s="90" t="inlineStr">
        <is>
          <t>HA_WICK_QUALITY_SCORE</t>
        </is>
      </c>
      <c r="C247" s="0" t="inlineStr">
        <is>
          <t>15</t>
        </is>
      </c>
      <c r="D247" s="81" t="inlineStr">
        <is>
          <t>Threshold/gate: HA_WICK_QUALITY_SCORE — RULE_BASE_USD', 'GOLDEN_RULE_BB_15M_ENABLED', 'GOLDEN_RULE_BB_1H_ENABLED', 'GOLDEN_RULE_BB_4H_ENABLED', 'GOLDEN_RULE_BB_ | ex: `RULE_BASE_USD', 'GOLDEN_RULE_BB_15M_ENABLED', 'GOLDEN_RULE_BB_1H_ENABLED', 'GOLD`</t>
        </is>
      </c>
      <c r="E247" s="81" t="inlineStr">
        <is>
          <t>ENTRY, GLOBAL_CHECK, STOCKS_EXIT</t>
        </is>
      </c>
      <c r="F247" s="81" t="inlineStr">
        <is>
          <t>ENTRY, GLOBAL_CHECK, STOCKS_EXIT</t>
        </is>
      </c>
      <c r="G247" s="81" t="inlineStr">
        <is>
          <t>HA_WICK_QUALITY_SCORE</t>
        </is>
      </c>
      <c r="H247" s="81" t="inlineStr">
        <is>
          <t>GENERAL</t>
        </is>
      </c>
      <c r="I247" s="81" t="inlineStr">
        <is>
          <t>LIVE — wired</t>
        </is>
      </c>
      <c r="J247" s="8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1" t="n">
        <v>62</v>
      </c>
      <c r="B248" s="81" t="inlineStr">
        <is>
          <t>HA_WICK_QUALITY_SCORE</t>
        </is>
      </c>
      <c r="C248" s="0" t="inlineStr">
        <is>
          <t>15_ALT</t>
        </is>
      </c>
      <c r="D248" s="81" t="inlineStr">
        <is>
          <t>Threshold/gate: HA_WICK_QUALITY_SCORE — RULE_BASE_USD', 'GOLDEN_RULE_BB_15M_ENABLED', 'GOLDEN_RULE_BB_1H_ENABLED', 'GOLDEN_RULE_BB_4H_ENABLED', 'GOLDEN_RULE_BB_ | ex: `RULE_BASE_USD', 'GOLDEN_RULE_BB_15M_ENABLED', 'GOLDEN_RULE_BB_1H_ENABLED', 'GOLD`</t>
        </is>
      </c>
      <c r="E248" s="81" t="inlineStr">
        <is>
          <t>ENTRY, GLOBAL_CHECK, STOCKS_EXIT</t>
        </is>
      </c>
      <c r="F248" s="81" t="inlineStr">
        <is>
          <t>ENTRY, GLOBAL_CHECK, STOCKS_EXIT</t>
        </is>
      </c>
      <c r="G248" s="81" t="inlineStr">
        <is>
          <t>HA_WICK_QUALITY_SCORE</t>
        </is>
      </c>
      <c r="H248" s="81" t="inlineStr">
        <is>
          <t>GENERAL</t>
        </is>
      </c>
      <c r="I248" s="81" t="inlineStr">
        <is>
          <t>LIVE — wired</t>
        </is>
      </c>
      <c r="J248" s="8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0" t="n">
        <v>63</v>
      </c>
      <c r="B249" s="90" t="inlineStr">
        <is>
          <t>HA_WICK_QUALITY_TF</t>
        </is>
      </c>
      <c r="C249" s="0" t="inlineStr">
        <is>
          <t>OFF</t>
        </is>
      </c>
      <c r="D249" s="81" t="inlineStr">
        <is>
          <t>Threshold/gate: HA_WICK_QUALITY_TF — ELTA_ENTRY_MIN_TF', 'DELTA_EXIT_MANDATORY_REENTRY_ENABLED', 'DELTA_REENTRY_FILTER_ENABLED', 'DIRECTION_FAVORABLE_REENTRY | ex: `ELTA_ENTRY_MIN_TF', 'DELTA_EXIT_MANDATORY_REENTRY_ENABLED', 'DELTA_REENTRY_FILTE`</t>
        </is>
      </c>
      <c r="E249" s="81" t="inlineStr">
        <is>
          <t>ENTRY, GLOBAL_CHECK, STOCKS_EXIT</t>
        </is>
      </c>
      <c r="F249" s="81" t="inlineStr">
        <is>
          <t>ENTRY, GLOBAL_CHECK, STOCKS_EXIT</t>
        </is>
      </c>
      <c r="G249" s="81" t="inlineStr">
        <is>
          <t>HA_WICK_QUALITY_TF</t>
        </is>
      </c>
      <c r="H249" s="81" t="inlineStr">
        <is>
          <t>GENERAL</t>
        </is>
      </c>
      <c r="I249" s="81" t="inlineStr">
        <is>
          <t>LIVE — wired</t>
        </is>
      </c>
      <c r="J249" s="8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1" t="n">
        <v>63</v>
      </c>
      <c r="B250" s="81" t="inlineStr">
        <is>
          <t>HA_WICK_QUALITY_TF</t>
        </is>
      </c>
      <c r="C250" s="0" t="inlineStr">
        <is>
          <t>D</t>
        </is>
      </c>
      <c r="D250" s="81" t="inlineStr">
        <is>
          <t>Threshold/gate: HA_WICK_QUALITY_TF — ELTA_ENTRY_MIN_TF', 'DELTA_EXIT_MANDATORY_REENTRY_ENABLED', 'DELTA_REENTRY_FILTER_ENABLED', 'DIRECTION_FAVORABLE_REENTRY | ex: `ELTA_ENTRY_MIN_TF', 'DELTA_EXIT_MANDATORY_REENTRY_ENABLED', 'DELTA_REENTRY_FILTE`</t>
        </is>
      </c>
      <c r="E250" s="81" t="inlineStr">
        <is>
          <t>ENTRY, GLOBAL_CHECK, STOCKS_EXIT</t>
        </is>
      </c>
      <c r="F250" s="81" t="inlineStr">
        <is>
          <t>ENTRY, GLOBAL_CHECK, STOCKS_EXIT</t>
        </is>
      </c>
      <c r="G250" s="81" t="inlineStr">
        <is>
          <t>HA_WICK_QUALITY_TF</t>
        </is>
      </c>
      <c r="H250" s="81" t="inlineStr">
        <is>
          <t>GENERAL</t>
        </is>
      </c>
      <c r="I250" s="81" t="inlineStr">
        <is>
          <t>LIVE — wired</t>
        </is>
      </c>
      <c r="J250" s="8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1" t="n">
        <v>63</v>
      </c>
      <c r="B251" s="81" t="inlineStr">
        <is>
          <t>HA_WICK_QUALITY_TF</t>
        </is>
      </c>
      <c r="C251" s="0" t="inlineStr">
        <is>
          <t>4h</t>
        </is>
      </c>
      <c r="D251" s="81" t="inlineStr">
        <is>
          <t>Threshold/gate: HA_WICK_QUALITY_TF — ELTA_ENTRY_MIN_TF', 'DELTA_EXIT_MANDATORY_REENTRY_ENABLED', 'DELTA_REENTRY_FILTER_ENABLED', 'DIRECTION_FAVORABLE_REENTRY | ex: `ELTA_ENTRY_MIN_TF', 'DELTA_EXIT_MANDATORY_REENTRY_ENABLED', 'DELTA_REENTRY_FILTE`</t>
        </is>
      </c>
      <c r="E251" s="81" t="inlineStr">
        <is>
          <t>ENTRY, GLOBAL_CHECK, STOCKS_EXIT</t>
        </is>
      </c>
      <c r="F251" s="81" t="inlineStr">
        <is>
          <t>ENTRY, GLOBAL_CHECK, STOCKS_EXIT</t>
        </is>
      </c>
      <c r="G251" s="81" t="inlineStr">
        <is>
          <t>HA_WICK_QUALITY_TF</t>
        </is>
      </c>
      <c r="H251" s="81" t="inlineStr">
        <is>
          <t>GENERAL</t>
        </is>
      </c>
      <c r="I251" s="81" t="inlineStr">
        <is>
          <t>LIVE — wired</t>
        </is>
      </c>
      <c r="J251" s="8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1" t="n">
        <v>63</v>
      </c>
      <c r="B252" s="81" t="inlineStr">
        <is>
          <t>HA_WICK_QUALITY_TF</t>
        </is>
      </c>
      <c r="C252" s="0" t="inlineStr">
        <is>
          <t>1h</t>
        </is>
      </c>
      <c r="D252" s="81" t="inlineStr">
        <is>
          <t>Threshold/gate: HA_WICK_QUALITY_TF — ELTA_ENTRY_MIN_TF', 'DELTA_EXIT_MANDATORY_REENTRY_ENABLED', 'DELTA_REENTRY_FILTER_ENABLED', 'DIRECTION_FAVORABLE_REENTRY | ex: `ELTA_ENTRY_MIN_TF', 'DELTA_EXIT_MANDATORY_REENTRY_ENABLED', 'DELTA_REENTRY_FILTE`</t>
        </is>
      </c>
      <c r="E252" s="81" t="inlineStr">
        <is>
          <t>ENTRY, GLOBAL_CHECK, STOCKS_EXIT</t>
        </is>
      </c>
      <c r="F252" s="81" t="inlineStr">
        <is>
          <t>ENTRY, GLOBAL_CHECK, STOCKS_EXIT</t>
        </is>
      </c>
      <c r="G252" s="81" t="inlineStr">
        <is>
          <t>HA_WICK_QUALITY_TF</t>
        </is>
      </c>
      <c r="H252" s="81" t="inlineStr">
        <is>
          <t>GENERAL</t>
        </is>
      </c>
      <c r="I252" s="81" t="inlineStr">
        <is>
          <t>LIVE — wired</t>
        </is>
      </c>
      <c r="J252" s="8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1" t="n">
        <v>63</v>
      </c>
      <c r="B253" s="81" t="inlineStr">
        <is>
          <t>HA_WICK_QUALITY_TF</t>
        </is>
      </c>
      <c r="C253" s="0" t="inlineStr">
        <is>
          <t>15m</t>
        </is>
      </c>
      <c r="D253" s="81" t="inlineStr">
        <is>
          <t>Threshold/gate: HA_WICK_QUALITY_TF — ELTA_ENTRY_MIN_TF', 'DELTA_EXIT_MANDATORY_REENTRY_ENABLED', 'DELTA_REENTRY_FILTER_ENABLED', 'DIRECTION_FAVORABLE_REENTRY | ex: `ELTA_ENTRY_MIN_TF', 'DELTA_EXIT_MANDATORY_REENTRY_ENABLED', 'DELTA_REENTRY_FILTE`</t>
        </is>
      </c>
      <c r="E253" s="81" t="inlineStr">
        <is>
          <t>ENTRY, GLOBAL_CHECK, STOCKS_EXIT</t>
        </is>
      </c>
      <c r="F253" s="81" t="inlineStr">
        <is>
          <t>ENTRY, GLOBAL_CHECK, STOCKS_EXIT</t>
        </is>
      </c>
      <c r="G253" s="81" t="inlineStr">
        <is>
          <t>HA_WICK_QUALITY_TF</t>
        </is>
      </c>
      <c r="H253" s="81" t="inlineStr">
        <is>
          <t>GENERAL</t>
        </is>
      </c>
      <c r="I253" s="81" t="inlineStr">
        <is>
          <t>LIVE — wired</t>
        </is>
      </c>
      <c r="J253" s="8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0" t="n">
        <v>64</v>
      </c>
      <c r="B254" s="90" t="inlineStr">
        <is>
          <t>HLR_SMA_BAND_PCT</t>
        </is>
      </c>
      <c r="C254" s="0" t="inlineStr">
        <is>
          <t>0</t>
        </is>
      </c>
      <c r="D254" s="81" t="inlineStr">
        <is>
          <t>HLR band pct around SMA. | Live read: `'HLR_REENTRY_MULT_1H', 'HLR_REENTRY_MULT_4H', 'HLR_REENTRY_MULT_D', 'HLR_REENTRY`</t>
        </is>
      </c>
      <c r="E254" s="81" t="inlineStr">
        <is>
          <t>ENTRY, GLOBAL_CHECK, STOCKS_EXIT</t>
        </is>
      </c>
      <c r="F254" s="81" t="inlineStr">
        <is>
          <t>ENTRY, GLOBAL_CHECK, STOCKS_EXIT</t>
        </is>
      </c>
      <c r="G254" s="81" t="inlineStr">
        <is>
          <t>HLR_SMA_BAND_PCT</t>
        </is>
      </c>
      <c r="H254" s="81" t="inlineStr">
        <is>
          <t>GENERAL</t>
        </is>
      </c>
      <c r="I254" s="81" t="inlineStr">
        <is>
          <t>LIVE — wired</t>
        </is>
      </c>
      <c r="J254" s="8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1" t="n">
        <v>64</v>
      </c>
      <c r="B255" s="81" t="inlineStr">
        <is>
          <t>HLR_SMA_BAND_PCT</t>
        </is>
      </c>
      <c r="C255" s="0" t="inlineStr">
        <is>
          <t>2.0</t>
        </is>
      </c>
      <c r="D255" s="81" t="inlineStr">
        <is>
          <t>HLR band pct around SMA. | Live read: `'HLR_REENTRY_MULT_1H', 'HLR_REENTRY_MULT_4H', 'HLR_REENTRY_MULT_D', 'HLR_REENTRY`</t>
        </is>
      </c>
      <c r="E255" s="81" t="inlineStr">
        <is>
          <t>ENTRY, GLOBAL_CHECK, STOCKS_EXIT</t>
        </is>
      </c>
      <c r="F255" s="81" t="inlineStr">
        <is>
          <t>ENTRY, GLOBAL_CHECK, STOCKS_EXIT</t>
        </is>
      </c>
      <c r="G255" s="81" t="inlineStr">
        <is>
          <t>HLR_SMA_BAND_PCT</t>
        </is>
      </c>
      <c r="H255" s="81" t="inlineStr">
        <is>
          <t>GENERAL</t>
        </is>
      </c>
      <c r="I255" s="81" t="inlineStr">
        <is>
          <t>LIVE — wired</t>
        </is>
      </c>
      <c r="J255" s="8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1" t="n">
        <v>64</v>
      </c>
      <c r="B256" s="81" t="inlineStr">
        <is>
          <t>HLR_SMA_BAND_PCT</t>
        </is>
      </c>
      <c r="C256" s="0" t="inlineStr">
        <is>
          <t>1.0</t>
        </is>
      </c>
      <c r="D256" s="81" t="inlineStr">
        <is>
          <t>HLR band pct around SMA. | Live read: `'HLR_REENTRY_MULT_1H', 'HLR_REENTRY_MULT_4H', 'HLR_REENTRY_MULT_D', 'HLR_REENTRY`</t>
        </is>
      </c>
      <c r="E256" s="81" t="inlineStr">
        <is>
          <t>ENTRY, GLOBAL_CHECK, STOCKS_EXIT</t>
        </is>
      </c>
      <c r="F256" s="81" t="inlineStr">
        <is>
          <t>ENTRY, GLOBAL_CHECK, STOCKS_EXIT</t>
        </is>
      </c>
      <c r="G256" s="81" t="inlineStr">
        <is>
          <t>HLR_SMA_BAND_PCT</t>
        </is>
      </c>
      <c r="H256" s="81" t="inlineStr">
        <is>
          <t>GENERAL</t>
        </is>
      </c>
      <c r="I256" s="81" t="inlineStr">
        <is>
          <t>LIVE — wired</t>
        </is>
      </c>
      <c r="J256" s="8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1" t="n">
        <v>64</v>
      </c>
      <c r="B257" s="81" t="inlineStr">
        <is>
          <t>HLR_SMA_BAND_PCT</t>
        </is>
      </c>
      <c r="C257" s="0" t="inlineStr">
        <is>
          <t>0.5</t>
        </is>
      </c>
      <c r="D257" s="81" t="inlineStr">
        <is>
          <t>HLR band pct around SMA. | Live read: `'HLR_REENTRY_MULT_1H', 'HLR_REENTRY_MULT_4H', 'HLR_REENTRY_MULT_D', 'HLR_REENTRY`</t>
        </is>
      </c>
      <c r="E257" s="81" t="inlineStr">
        <is>
          <t>ENTRY, GLOBAL_CHECK, STOCKS_EXIT</t>
        </is>
      </c>
      <c r="F257" s="81" t="inlineStr">
        <is>
          <t>ENTRY, GLOBAL_CHECK, STOCKS_EXIT</t>
        </is>
      </c>
      <c r="G257" s="81" t="inlineStr">
        <is>
          <t>HLR_SMA_BAND_PCT</t>
        </is>
      </c>
      <c r="H257" s="81" t="inlineStr">
        <is>
          <t>GENERAL</t>
        </is>
      </c>
      <c r="I257" s="81" t="inlineStr">
        <is>
          <t>LIVE — wired</t>
        </is>
      </c>
      <c r="J257" s="8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0" t="n">
        <v>65</v>
      </c>
      <c r="B258" s="90" t="inlineStr">
        <is>
          <t>HLR_TOP_MIN_TFS</t>
        </is>
      </c>
      <c r="C258" s="0" t="inlineStr">
        <is>
          <t>0</t>
        </is>
      </c>
      <c r="D258" s="81" t="inlineStr">
        <is>
          <t>Min TFs for HLR top confirmation. | Live read: `'HLR_TOP_EXIT_ENABLED', 'HLR_TOP_MIN_GAIN_PCT', 'HLR_TOP_MIN_TFS', 'HLR_TOP_VEL_`</t>
        </is>
      </c>
      <c r="E258" s="81" t="inlineStr">
        <is>
          <t>GLOBAL_CHECK, REENTRY, STOCKS_EXIT</t>
        </is>
      </c>
      <c r="F258" s="81" t="inlineStr">
        <is>
          <t>GLOBAL_CHECK, REENTRY, STOCKS_EXIT</t>
        </is>
      </c>
      <c r="G258" s="81" t="inlineStr">
        <is>
          <t>HLR_TOP_MIN_TFS</t>
        </is>
      </c>
      <c r="H258" s="81" t="inlineStr">
        <is>
          <t>GENERAL</t>
        </is>
      </c>
      <c r="I258" s="81" t="inlineStr">
        <is>
          <t>LIVE — wired</t>
        </is>
      </c>
      <c r="J258" s="8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1" t="n">
        <v>65</v>
      </c>
      <c r="B259" s="81" t="inlineStr">
        <is>
          <t>HLR_TOP_MIN_TFS</t>
        </is>
      </c>
      <c r="C259" s="0" t="inlineStr">
        <is>
          <t>2</t>
        </is>
      </c>
      <c r="D259" s="81" t="inlineStr">
        <is>
          <t>Min TFs for HLR top confirmation. | Live read: `'HLR_TOP_EXIT_ENABLED', 'HLR_TOP_MIN_GAIN_PCT', 'HLR_TOP_MIN_TFS', 'HLR_TOP_VEL_`</t>
        </is>
      </c>
      <c r="E259" s="81" t="inlineStr">
        <is>
          <t>GLOBAL_CHECK, REENTRY, STOCKS_EXIT</t>
        </is>
      </c>
      <c r="F259" s="81" t="inlineStr">
        <is>
          <t>GLOBAL_CHECK, REENTRY, STOCKS_EXIT</t>
        </is>
      </c>
      <c r="G259" s="81" t="inlineStr">
        <is>
          <t>HLR_TOP_MIN_TFS</t>
        </is>
      </c>
      <c r="H259" s="81" t="inlineStr">
        <is>
          <t>GENERAL</t>
        </is>
      </c>
      <c r="I259" s="81" t="inlineStr">
        <is>
          <t>LIVE — wired</t>
        </is>
      </c>
      <c r="J259" s="8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1" t="n">
        <v>65</v>
      </c>
      <c r="B260" s="81" t="inlineStr">
        <is>
          <t>HLR_TOP_MIN_TFS</t>
        </is>
      </c>
      <c r="C260" s="0" t="inlineStr">
        <is>
          <t>1</t>
        </is>
      </c>
      <c r="D260" s="81" t="inlineStr">
        <is>
          <t>Min TFs for HLR top confirmation. | Live read: `'HLR_TOP_EXIT_ENABLED', 'HLR_TOP_MIN_GAIN_PCT', 'HLR_TOP_MIN_TFS', 'HLR_TOP_VEL_`</t>
        </is>
      </c>
      <c r="E260" s="81" t="inlineStr">
        <is>
          <t>GLOBAL_CHECK, REENTRY, STOCKS_EXIT</t>
        </is>
      </c>
      <c r="F260" s="81" t="inlineStr">
        <is>
          <t>GLOBAL_CHECK, REENTRY, STOCKS_EXIT</t>
        </is>
      </c>
      <c r="G260" s="81" t="inlineStr">
        <is>
          <t>HLR_TOP_MIN_TFS</t>
        </is>
      </c>
      <c r="H260" s="81" t="inlineStr">
        <is>
          <t>GENERAL</t>
        </is>
      </c>
      <c r="I260" s="81" t="inlineStr">
        <is>
          <t>LIVE — wired</t>
        </is>
      </c>
      <c r="J260" s="8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0" t="n">
        <v>66</v>
      </c>
      <c r="B261" s="90" t="inlineStr">
        <is>
          <t>HTF4_CONF</t>
        </is>
      </c>
      <c r="C261" s="0" t="inlineStr">
        <is>
          <t>False</t>
        </is>
      </c>
      <c r="D261" s="81" t="inlineStr">
        <is>
          <t>HTF 4h confirmation threshold. | Live read: `ILTER_TF', 'EMA_9_21_FILTER_FILTER_TF', 'EMA_9_21_FILTER_MIN_TFS', 'EMA_BLANKET_`</t>
        </is>
      </c>
      <c r="E261" s="81" t="inlineStr">
        <is>
          <t>GLOBAL_CHECK, STOCKS_EXIT</t>
        </is>
      </c>
      <c r="F261" s="81" t="inlineStr">
        <is>
          <t>GLOBAL_CHECK, STOCKS_EXIT</t>
        </is>
      </c>
      <c r="G261" s="81" t="inlineStr">
        <is>
          <t>HTF4_CONF</t>
        </is>
      </c>
      <c r="H261" s="81" t="inlineStr">
        <is>
          <t>GENERAL — uniform</t>
        </is>
      </c>
      <c r="I261" s="81" t="inlineStr">
        <is>
          <t>LIVE — wired</t>
        </is>
      </c>
      <c r="J261" s="8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1" t="n">
        <v>66</v>
      </c>
      <c r="B262" s="81" t="inlineStr">
        <is>
          <t>HTF4_CONF</t>
        </is>
      </c>
      <c r="C262" s="0" t="inlineStr">
        <is>
          <t>False_ALT</t>
        </is>
      </c>
      <c r="D262" s="81" t="inlineStr">
        <is>
          <t>HTF 4h confirmation threshold. | Live read: `ILTER_TF', 'EMA_9_21_FILTER_FILTER_TF', 'EMA_9_21_FILTER_MIN_TFS', 'EMA_BLANKET_`</t>
        </is>
      </c>
      <c r="E262" s="81" t="inlineStr">
        <is>
          <t>GLOBAL_CHECK, STOCKS_EXIT</t>
        </is>
      </c>
      <c r="F262" s="81" t="inlineStr">
        <is>
          <t>GLOBAL_CHECK, STOCKS_EXIT</t>
        </is>
      </c>
      <c r="G262" s="81" t="inlineStr">
        <is>
          <t>HTF4_CONF</t>
        </is>
      </c>
      <c r="H262" s="81" t="inlineStr">
        <is>
          <t>GENERAL — uniform</t>
        </is>
      </c>
      <c r="I262" s="81" t="inlineStr">
        <is>
          <t>LIVE — wired</t>
        </is>
      </c>
      <c r="J262" s="8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0" t="n">
        <v>67</v>
      </c>
      <c r="B263" s="90" t="inlineStr">
        <is>
          <t>HTF_DIRECTION_GATE_ENABLED</t>
        </is>
      </c>
      <c r="C263" s="0" t="inlineStr">
        <is>
          <t>False</t>
        </is>
      </c>
      <c r="D263" s="81" t="inlineStr">
        <is>
          <t>HTF direction gate (requires HTF trend alignment). | Live read: `NABLED', 'GOLDEN_RULE_BB_D_ENABLED', 'GOLDEN_RULE_BB_W_ENABLED', 'GOLDEN_RULE_DC`</t>
        </is>
      </c>
      <c r="E263" s="81" t="inlineStr">
        <is>
          <t>ENTRY, GLOBAL_CHECK, STOCKS_EXIT</t>
        </is>
      </c>
      <c r="F263" s="81" t="inlineStr">
        <is>
          <t>ENTRY, GLOBAL_CHECK, STOCKS_EXIT</t>
        </is>
      </c>
      <c r="G263" s="81" t="inlineStr">
        <is>
          <t>HTF direction</t>
        </is>
      </c>
      <c r="H263" s="81" t="inlineStr">
        <is>
          <t>GENERAL — uniform</t>
        </is>
      </c>
      <c r="I263" s="81" t="inlineStr">
        <is>
          <t>LIVE — wired</t>
        </is>
      </c>
      <c r="J263" s="8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1" t="n">
        <v>67</v>
      </c>
      <c r="B264" s="81" t="inlineStr">
        <is>
          <t>HTF_DIRECTION_GATE_ENABLED</t>
        </is>
      </c>
      <c r="C264" s="0" t="inlineStr">
        <is>
          <t>True</t>
        </is>
      </c>
      <c r="D264" s="81" t="inlineStr">
        <is>
          <t>HTF direction gate (requires HTF trend alignment). | Live read: `NABLED', 'GOLDEN_RULE_BB_D_ENABLED', 'GOLDEN_RULE_BB_W_ENABLED', 'GOLDEN_RULE_DC`</t>
        </is>
      </c>
      <c r="E264" s="81" t="inlineStr">
        <is>
          <t>ENTRY, GLOBAL_CHECK, STOCKS_EXIT</t>
        </is>
      </c>
      <c r="F264" s="81" t="inlineStr">
        <is>
          <t>ENTRY, GLOBAL_CHECK, STOCKS_EXIT</t>
        </is>
      </c>
      <c r="G264" s="81" t="inlineStr">
        <is>
          <t>HTF direction</t>
        </is>
      </c>
      <c r="H264" s="81" t="inlineStr">
        <is>
          <t>GENERAL — uniform</t>
        </is>
      </c>
      <c r="I264" s="81" t="inlineStr">
        <is>
          <t>LIVE — wired</t>
        </is>
      </c>
      <c r="J264" s="8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0" t="n">
        <v>68</v>
      </c>
      <c r="B265" s="90" t="inlineStr">
        <is>
          <t>HTF_GATE_BYPASS_RZ</t>
        </is>
      </c>
      <c r="C265" s="0" t="inlineStr">
        <is>
          <t>0.0</t>
        </is>
      </c>
      <c r="D265" s="81" t="inlineStr">
        <is>
          <t>Threshold/gate: HTF_GATE_BYPASS_RZ — NABLED', 'GOLDEN_RULE_DC_15M_ENABLED', 'GOLDEN_RULE_DC_1H_ENABLED', 'GOLDEN_RULE_DC_4H_ENABLED', 'GOLDEN_RULE_DC_D_ENABL | ex: `NABLED', 'GOLDEN_RULE_DC_15M_ENABLED', 'GOLDEN_RULE_DC_1H_ENABLED', 'GOLDEN_RULE`</t>
        </is>
      </c>
      <c r="E265" s="81" t="inlineStr">
        <is>
          <t>ENTRY, GLOBAL_CHECK, STOCKS_EXIT</t>
        </is>
      </c>
      <c r="F265" s="81" t="inlineStr">
        <is>
          <t>ENTRY, GLOBAL_CHECK, STOCKS_EXIT</t>
        </is>
      </c>
      <c r="G265" s="81" t="inlineStr">
        <is>
          <t>HTF_GATE_BYPASS_RZ</t>
        </is>
      </c>
      <c r="H265" s="81" t="inlineStr">
        <is>
          <t>GENERAL — uniform</t>
        </is>
      </c>
      <c r="I265" s="81" t="inlineStr">
        <is>
          <t>LIVE — wired</t>
        </is>
      </c>
      <c r="J265" s="8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1" t="n">
        <v>68</v>
      </c>
      <c r="B266" s="81" t="inlineStr">
        <is>
          <t>HTF_GATE_BYPASS_RZ</t>
        </is>
      </c>
      <c r="C266" s="0" t="inlineStr">
        <is>
          <t>0.0_ALT</t>
        </is>
      </c>
      <c r="D266" s="81" t="inlineStr">
        <is>
          <t>Threshold/gate: HTF_GATE_BYPASS_RZ — NABLED', 'GOLDEN_RULE_DC_15M_ENABLED', 'GOLDEN_RULE_DC_1H_ENABLED', 'GOLDEN_RULE_DC_4H_ENABLED', 'GOLDEN_RULE_DC_D_ENABL | ex: `NABLED', 'GOLDEN_RULE_DC_15M_ENABLED', 'GOLDEN_RULE_DC_1H_ENABLED', 'GOLDEN_RULE`</t>
        </is>
      </c>
      <c r="E266" s="81" t="inlineStr">
        <is>
          <t>ENTRY, GLOBAL_CHECK, STOCKS_EXIT</t>
        </is>
      </c>
      <c r="F266" s="81" t="inlineStr">
        <is>
          <t>ENTRY, GLOBAL_CHECK, STOCKS_EXIT</t>
        </is>
      </c>
      <c r="G266" s="81" t="inlineStr">
        <is>
          <t>HTF_GATE_BYPASS_RZ</t>
        </is>
      </c>
      <c r="H266" s="81" t="inlineStr">
        <is>
          <t>GENERAL — uniform</t>
        </is>
      </c>
      <c r="I266" s="81" t="inlineStr">
        <is>
          <t>LIVE — wired</t>
        </is>
      </c>
      <c r="J266" s="8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0" t="n">
        <v>69</v>
      </c>
      <c r="B267" s="90" t="inlineStr">
        <is>
          <t>HTF_GATE_D_MANDATORY</t>
        </is>
      </c>
      <c r="C267" s="0" t="inlineStr">
        <is>
          <t>0.0</t>
        </is>
      </c>
      <c r="D267" s="81" t="inlineStr">
        <is>
          <t>Threshold/gate: HTF_GATE_D_MANDATORY — DC_15M_ENABLED', 'GOLDEN_RULE_DC_1H_ENABLED', 'GOLDEN_RULE_DC_4H_ENABLED', 'GOLDEN_RULE_DC_D_ENABLED', 'GOLDEN_RULE_DC_W | ex: `DC_15M_ENABLED', 'GOLDEN_RULE_DC_1H_ENABLED', 'GOLDEN_RULE_DC_4H_ENABLED', 'GOLD`</t>
        </is>
      </c>
      <c r="E267" s="81" t="inlineStr">
        <is>
          <t>ENTRY, GLOBAL_CHECK, STOCKS_EXIT</t>
        </is>
      </c>
      <c r="F267" s="81" t="inlineStr">
        <is>
          <t>ENTRY, GLOBAL_CHECK, STOCKS_EXIT</t>
        </is>
      </c>
      <c r="G267" s="81" t="inlineStr">
        <is>
          <t>HTF_GATE_D_MANDATORY</t>
        </is>
      </c>
      <c r="H267" s="81" t="inlineStr">
        <is>
          <t>GENERAL — uniform</t>
        </is>
      </c>
      <c r="I267" s="81" t="inlineStr">
        <is>
          <t>LIVE — wired</t>
        </is>
      </c>
      <c r="J267" s="8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1" t="n">
        <v>69</v>
      </c>
      <c r="B268" s="81" t="inlineStr">
        <is>
          <t>HTF_GATE_D_MANDATORY</t>
        </is>
      </c>
      <c r="C268" s="0" t="inlineStr">
        <is>
          <t>0.0_ALT</t>
        </is>
      </c>
      <c r="D268" s="81" t="inlineStr">
        <is>
          <t>Threshold/gate: HTF_GATE_D_MANDATORY — DC_15M_ENABLED', 'GOLDEN_RULE_DC_1H_ENABLED', 'GOLDEN_RULE_DC_4H_ENABLED', 'GOLDEN_RULE_DC_D_ENABLED', 'GOLDEN_RULE_DC_W | ex: `DC_15M_ENABLED', 'GOLDEN_RULE_DC_1H_ENABLED', 'GOLDEN_RULE_DC_4H_ENABLED', 'GOLD`</t>
        </is>
      </c>
      <c r="E268" s="81" t="inlineStr">
        <is>
          <t>ENTRY, GLOBAL_CHECK, STOCKS_EXIT</t>
        </is>
      </c>
      <c r="F268" s="81" t="inlineStr">
        <is>
          <t>ENTRY, GLOBAL_CHECK, STOCKS_EXIT</t>
        </is>
      </c>
      <c r="G268" s="81" t="inlineStr">
        <is>
          <t>HTF_GATE_D_MANDATORY</t>
        </is>
      </c>
      <c r="H268" s="81" t="inlineStr">
        <is>
          <t>GENERAL — uniform</t>
        </is>
      </c>
      <c r="I268" s="81" t="inlineStr">
        <is>
          <t>LIVE — wired</t>
        </is>
      </c>
      <c r="J268" s="8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0" t="n">
        <v>70</v>
      </c>
      <c r="B269" s="90" t="inlineStr">
        <is>
          <t>HTF_GATE_MIN_CONFIRMATIONS</t>
        </is>
      </c>
      <c r="C269" s="0" t="inlineStr">
        <is>
          <t>0.0</t>
        </is>
      </c>
      <c r="D269" s="81" t="inlineStr">
        <is>
          <t>Threshold/gate: HTF_GATE_MIN_CONFIRMATIONS — _RULE_DC_1H_ENABLED', 'GOLDEN_RULE_DC_4H_ENABLED', 'GOLDEN_RULE_DC_D_ENABLED', 'GOLDEN_RULE_DC_W_ENABLED', 'GOLDEN_RULE_ | ex: `_RULE_DC_1H_ENABLED', 'GOLDEN_RULE_DC_4H_ENABLED', 'GOLDEN_RULE_DC_D_ENABLED', '`</t>
        </is>
      </c>
      <c r="E269" s="81" t="inlineStr">
        <is>
          <t>ENTRY, GLOBAL_CHECK, STOCKS_EXIT</t>
        </is>
      </c>
      <c r="F269" s="81" t="inlineStr">
        <is>
          <t>ENTRY, GLOBAL_CHECK, STOCKS_EXIT</t>
        </is>
      </c>
      <c r="G269" s="81" t="inlineStr">
        <is>
          <t>HTF_GATE_MIN_CONFIRMATIONS</t>
        </is>
      </c>
      <c r="H269" s="81" t="inlineStr">
        <is>
          <t>GENERAL — uniform</t>
        </is>
      </c>
      <c r="I269" s="81" t="inlineStr">
        <is>
          <t>LIVE — wired</t>
        </is>
      </c>
      <c r="J269" s="8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1" t="n">
        <v>70</v>
      </c>
      <c r="B270" s="81" t="inlineStr">
        <is>
          <t>HTF_GATE_MIN_CONFIRMATIONS</t>
        </is>
      </c>
      <c r="C270" s="0" t="inlineStr">
        <is>
          <t>0.0_ALT</t>
        </is>
      </c>
      <c r="D270" s="81" t="inlineStr">
        <is>
          <t>Threshold/gate: HTF_GATE_MIN_CONFIRMATIONS — _RULE_DC_1H_ENABLED', 'GOLDEN_RULE_DC_4H_ENABLED', 'GOLDEN_RULE_DC_D_ENABLED', 'GOLDEN_RULE_DC_W_ENABLED', 'GOLDEN_RULE_ | ex: `_RULE_DC_1H_ENABLED', 'GOLDEN_RULE_DC_4H_ENABLED', 'GOLDEN_RULE_DC_D_ENABLED', '`</t>
        </is>
      </c>
      <c r="E270" s="81" t="inlineStr">
        <is>
          <t>ENTRY, GLOBAL_CHECK, STOCKS_EXIT</t>
        </is>
      </c>
      <c r="F270" s="81" t="inlineStr">
        <is>
          <t>ENTRY, GLOBAL_CHECK, STOCKS_EXIT</t>
        </is>
      </c>
      <c r="G270" s="81" t="inlineStr">
        <is>
          <t>HTF_GATE_MIN_CONFIRMATIONS</t>
        </is>
      </c>
      <c r="H270" s="81" t="inlineStr">
        <is>
          <t>GENERAL — uniform</t>
        </is>
      </c>
      <c r="I270" s="81" t="inlineStr">
        <is>
          <t>LIVE — wired</t>
        </is>
      </c>
      <c r="J270" s="8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0" t="n">
        <v>71</v>
      </c>
      <c r="B271" s="90" t="inlineStr">
        <is>
          <t>HTF_TREND_VETO_BYPASS_ENABLED</t>
        </is>
      </c>
      <c r="C271" s="0" t="inlineStr">
        <is>
          <t>False</t>
        </is>
      </c>
      <c r="D271" s="81" t="inlineStr">
        <is>
          <t>Threshold/gate: HTF_TREND_VETO_BYPASS_ENABLED — TF', 'FG_FEAR_THRESHOLD', 'FG_GREED_THRESHOLD', 'FH_MOMENTUM_FILTER_TF', 'FUNDING_GATE_FILTER_TF', 'FUNDING_GATE_MIN_TFS | ex: `TF', 'FG_FEAR_THRESHOLD', 'FG_GREED_THRESHOLD', 'FH_MOMENTUM_FILTER_TF', 'FUNDIN`</t>
        </is>
      </c>
      <c r="E271" s="81" t="inlineStr">
        <is>
          <t>GLOBAL_CHECK, STOCKS_EXIT</t>
        </is>
      </c>
      <c r="F271" s="81" t="inlineStr">
        <is>
          <t>GLOBAL_CHECK, STOCKS_EXIT</t>
        </is>
      </c>
      <c r="G271" s="81" t="inlineStr">
        <is>
          <t>HTF_TREND_VETO_BYPASS_ENABLED</t>
        </is>
      </c>
      <c r="H271" s="81" t="inlineStr">
        <is>
          <t>GENERAL</t>
        </is>
      </c>
      <c r="I271" s="81" t="inlineStr">
        <is>
          <t>LIVE — wired</t>
        </is>
      </c>
      <c r="J271" s="8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1" t="n">
        <v>71</v>
      </c>
      <c r="B272" s="81" t="inlineStr">
        <is>
          <t>HTF_TREND_VETO_BYPASS_ENABLED</t>
        </is>
      </c>
      <c r="C272" s="0" t="inlineStr">
        <is>
          <t>True</t>
        </is>
      </c>
      <c r="D272" s="81" t="inlineStr">
        <is>
          <t>Threshold/gate: HTF_TREND_VETO_BYPASS_ENABLED — TF', 'FG_FEAR_THRESHOLD', 'FG_GREED_THRESHOLD', 'FH_MOMENTUM_FILTER_TF', 'FUNDING_GATE_FILTER_TF', 'FUNDING_GATE_MIN_TFS | ex: `TF', 'FG_FEAR_THRESHOLD', 'FG_GREED_THRESHOLD', 'FH_MOMENTUM_FILTER_TF', 'FUNDIN`</t>
        </is>
      </c>
      <c r="E272" s="81" t="inlineStr">
        <is>
          <t>GLOBAL_CHECK, STOCKS_EXIT</t>
        </is>
      </c>
      <c r="F272" s="81" t="inlineStr">
        <is>
          <t>GLOBAL_CHECK, STOCKS_EXIT</t>
        </is>
      </c>
      <c r="G272" s="81" t="inlineStr">
        <is>
          <t>HTF_TREND_VETO_BYPASS_ENABLED</t>
        </is>
      </c>
      <c r="H272" s="81" t="inlineStr">
        <is>
          <t>GENERAL</t>
        </is>
      </c>
      <c r="I272" s="81" t="inlineStr">
        <is>
          <t>LIVE — wired</t>
        </is>
      </c>
      <c r="J272" s="8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0" t="n">
        <v>72</v>
      </c>
      <c r="B273" s="90" t="inlineStr">
        <is>
          <t>HTF_TREND_VETO_BYPASS_REASONS</t>
        </is>
      </c>
      <c r="C273" s="0" t="inlineStr">
        <is>
          <t>0.0</t>
        </is>
      </c>
      <c r="D273" s="81" t="inlineStr">
        <is>
          <t>Threshold/gate: HTF_TREND_VETO_BYPASS_REASONS — ED_THRESHOLD', 'FH_MOMENTUM_FILTER_TF', 'FUNDING_GATE_FILTER_TF', 'FUNDING_GATE_MIN_TFS', 'GOLDEN_RULE_ENFORCE_FILTER_TF | ex: `ED_THRESHOLD', 'FH_MOMENTUM_FILTER_TF', 'FUNDING_GATE_FILTER_TF', 'FUNDING_GATE_`</t>
        </is>
      </c>
      <c r="E273" s="81" t="inlineStr">
        <is>
          <t>GLOBAL_CHECK, STOCKS_EXIT</t>
        </is>
      </c>
      <c r="F273" s="81" t="inlineStr">
        <is>
          <t>GLOBAL_CHECK, STOCKS_EXIT</t>
        </is>
      </c>
      <c r="G273" s="81" t="inlineStr">
        <is>
          <t>HTF_TREND_VETO_BYPASS_REASONS</t>
        </is>
      </c>
      <c r="H273" s="81" t="inlineStr">
        <is>
          <t>GENERAL</t>
        </is>
      </c>
      <c r="I273" s="81" t="inlineStr">
        <is>
          <t>LIVE — wired</t>
        </is>
      </c>
      <c r="J273" s="8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1" t="n">
        <v>72</v>
      </c>
      <c r="B274" s="81" t="inlineStr">
        <is>
          <t>HTF_TREND_VETO_BYPASS_REASONS</t>
        </is>
      </c>
      <c r="C274" s="0" t="inlineStr">
        <is>
          <t>0.0_ALT</t>
        </is>
      </c>
      <c r="D274" s="81" t="inlineStr">
        <is>
          <t>Threshold/gate: HTF_TREND_VETO_BYPASS_REASONS — ED_THRESHOLD', 'FH_MOMENTUM_FILTER_TF', 'FUNDING_GATE_FILTER_TF', 'FUNDING_GATE_MIN_TFS', 'GOLDEN_RULE_ENFORCE_FILTER_TF | ex: `ED_THRESHOLD', 'FH_MOMENTUM_FILTER_TF', 'FUNDING_GATE_FILTER_TF', 'FUNDING_GATE_`</t>
        </is>
      </c>
      <c r="E274" s="81" t="inlineStr">
        <is>
          <t>GLOBAL_CHECK, STOCKS_EXIT</t>
        </is>
      </c>
      <c r="F274" s="81" t="inlineStr">
        <is>
          <t>GLOBAL_CHECK, STOCKS_EXIT</t>
        </is>
      </c>
      <c r="G274" s="81" t="inlineStr">
        <is>
          <t>HTF_TREND_VETO_BYPASS_REASONS</t>
        </is>
      </c>
      <c r="H274" s="81" t="inlineStr">
        <is>
          <t>GENERAL</t>
        </is>
      </c>
      <c r="I274" s="81" t="inlineStr">
        <is>
          <t>LIVE — wired</t>
        </is>
      </c>
      <c r="J274" s="8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3" t="n">
        <v>73</v>
      </c>
      <c r="B275" s="93" t="inlineStr">
        <is>
          <t>KILLER_KNOB_FINDER_FILTER_TF</t>
        </is>
      </c>
      <c r="C275" s="0" t="inlineStr">
        <is>
          <t>OFF</t>
        </is>
      </c>
      <c r="D275" s="84" t="inlineStr">
        <is>
          <t>Dead/misnamed filter — no read in ez_manage/ez_positions_quick/tradier_manage. Appears 0x; likely legacy or typo.</t>
        </is>
      </c>
      <c r="E275" s="84" t="inlineStr">
        <is>
          <t>DEAD</t>
        </is>
      </c>
      <c r="F275" s="84" t="inlineStr">
        <is>
          <t>DEAD</t>
        </is>
      </c>
      <c r="G275" s="84" t="inlineStr">
        <is>
          <t>KILLER_KNOB_FINDER</t>
        </is>
      </c>
      <c r="H275" s="84" t="inlineStr">
        <is>
          <t>SPECIFIC — only gated switches</t>
        </is>
      </c>
      <c r="I275" s="84" t="inlineStr">
        <is>
          <t>DEAD — REMOVE</t>
        </is>
      </c>
      <c r="J275" s="85"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4" t="n">
        <v>73</v>
      </c>
      <c r="B276" s="84" t="inlineStr">
        <is>
          <t>KILLER_KNOB_FINDER_FILTER_TF</t>
        </is>
      </c>
      <c r="C276" s="0" t="inlineStr">
        <is>
          <t>D</t>
        </is>
      </c>
      <c r="D276" s="84" t="inlineStr">
        <is>
          <t>Dead/misnamed filter — no read in ez_manage/ez_positions_quick/tradier_manage. Appears 0x; likely legacy or typo.</t>
        </is>
      </c>
      <c r="E276" s="84" t="inlineStr">
        <is>
          <t>DEAD</t>
        </is>
      </c>
      <c r="F276" s="84" t="inlineStr">
        <is>
          <t>DEAD</t>
        </is>
      </c>
      <c r="G276" s="84" t="inlineStr">
        <is>
          <t>KILLER_KNOB_FINDER</t>
        </is>
      </c>
      <c r="H276" s="84" t="inlineStr">
        <is>
          <t>SPECIFIC — only gated switches</t>
        </is>
      </c>
      <c r="I276" s="84" t="inlineStr">
        <is>
          <t>DEAD — REMOVE</t>
        </is>
      </c>
      <c r="J276" s="85"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4" t="n">
        <v>73</v>
      </c>
      <c r="B277" s="84" t="inlineStr">
        <is>
          <t>KILLER_KNOB_FINDER_FILTER_TF</t>
        </is>
      </c>
      <c r="C277" s="0" t="inlineStr">
        <is>
          <t>4h</t>
        </is>
      </c>
      <c r="D277" s="84" t="inlineStr">
        <is>
          <t>Dead/misnamed filter — no read in ez_manage/ez_positions_quick/tradier_manage. Appears 0x; likely legacy or typo.</t>
        </is>
      </c>
      <c r="E277" s="84" t="inlineStr">
        <is>
          <t>DEAD</t>
        </is>
      </c>
      <c r="F277" s="84" t="inlineStr">
        <is>
          <t>DEAD</t>
        </is>
      </c>
      <c r="G277" s="84" t="inlineStr">
        <is>
          <t>KILLER_KNOB_FINDER</t>
        </is>
      </c>
      <c r="H277" s="84" t="inlineStr">
        <is>
          <t>SPECIFIC — only gated switches</t>
        </is>
      </c>
      <c r="I277" s="84" t="inlineStr">
        <is>
          <t>DEAD — REMOVE</t>
        </is>
      </c>
      <c r="J277" s="85"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4" t="n">
        <v>73</v>
      </c>
      <c r="B278" s="84" t="inlineStr">
        <is>
          <t>KILLER_KNOB_FINDER_FILTER_TF</t>
        </is>
      </c>
      <c r="C278" s="0" t="inlineStr">
        <is>
          <t>1h</t>
        </is>
      </c>
      <c r="D278" s="84" t="inlineStr">
        <is>
          <t>Dead/misnamed filter — no read in ez_manage/ez_positions_quick/tradier_manage. Appears 0x; likely legacy or typo.</t>
        </is>
      </c>
      <c r="E278" s="84" t="inlineStr">
        <is>
          <t>DEAD</t>
        </is>
      </c>
      <c r="F278" s="84" t="inlineStr">
        <is>
          <t>DEAD</t>
        </is>
      </c>
      <c r="G278" s="84" t="inlineStr">
        <is>
          <t>KILLER_KNOB_FINDER</t>
        </is>
      </c>
      <c r="H278" s="84" t="inlineStr">
        <is>
          <t>SPECIFIC — only gated switches</t>
        </is>
      </c>
      <c r="I278" s="84" t="inlineStr">
        <is>
          <t>DEAD — REMOVE</t>
        </is>
      </c>
      <c r="J278" s="85"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4" t="n">
        <v>73</v>
      </c>
      <c r="B279" s="84" t="inlineStr">
        <is>
          <t>KILLER_KNOB_FINDER_FILTER_TF</t>
        </is>
      </c>
      <c r="C279" s="0" t="inlineStr">
        <is>
          <t>15m</t>
        </is>
      </c>
      <c r="D279" s="84" t="inlineStr">
        <is>
          <t>Dead/misnamed filter — no read in ez_manage/ez_positions_quick/tradier_manage. Appears 0x; likely legacy or typo.</t>
        </is>
      </c>
      <c r="E279" s="84" t="inlineStr">
        <is>
          <t>DEAD</t>
        </is>
      </c>
      <c r="F279" s="84" t="inlineStr">
        <is>
          <t>DEAD</t>
        </is>
      </c>
      <c r="G279" s="84" t="inlineStr">
        <is>
          <t>KILLER_KNOB_FINDER</t>
        </is>
      </c>
      <c r="H279" s="84" t="inlineStr">
        <is>
          <t>SPECIFIC — only gated switches</t>
        </is>
      </c>
      <c r="I279" s="84" t="inlineStr">
        <is>
          <t>DEAD — REMOVE</t>
        </is>
      </c>
      <c r="J279" s="85"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0" t="n">
        <v>74</v>
      </c>
      <c r="B280" s="90" t="inlineStr">
        <is>
          <t>LEADERBOARD_FILTER</t>
        </is>
      </c>
      <c r="C280" s="0" t="inlineStr">
        <is>
          <t>False</t>
        </is>
      </c>
      <c r="D280" s="81" t="inlineStr">
        <is>
          <t>Leaderboard regime filter (top-N symbols). | Live read: `ILTER_TF', 'FUNDING_GATE_MIN_TFS', 'GOLDEN_RULE_ENFORCE_FILTER_TF', 'GOLDEN_RULE`</t>
        </is>
      </c>
      <c r="E280" s="81" t="inlineStr">
        <is>
          <t>AUGMENT, ENTRY, EXIT, GLOBAL_CHECK, REDUCE, STOCKS_EXIT</t>
        </is>
      </c>
      <c r="F280" s="81" t="inlineStr">
        <is>
          <t>AUGMENT, ENTRY, EXIT, GLOBAL_CHECK, REDUCE, STOCKS_EXIT</t>
        </is>
      </c>
      <c r="G280" s="81" t="inlineStr">
        <is>
          <t>Leaderboard</t>
        </is>
      </c>
      <c r="H280" s="81" t="inlineStr">
        <is>
          <t>GENERAL — uniform</t>
        </is>
      </c>
      <c r="I280" s="81" t="inlineStr">
        <is>
          <t>LIVE — wired</t>
        </is>
      </c>
      <c r="J280" s="8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1" t="n">
        <v>74</v>
      </c>
      <c r="B281" s="81" t="inlineStr">
        <is>
          <t>LEADERBOARD_FILTER</t>
        </is>
      </c>
      <c r="C281" s="0" t="inlineStr">
        <is>
          <t>False_ALT</t>
        </is>
      </c>
      <c r="D281" s="81" t="inlineStr">
        <is>
          <t>Leaderboard regime filter (top-N symbols). | Live read: `ILTER_TF', 'FUNDING_GATE_MIN_TFS', 'GOLDEN_RULE_ENFORCE_FILTER_TF', 'GOLDEN_RULE`</t>
        </is>
      </c>
      <c r="E281" s="81" t="inlineStr">
        <is>
          <t>AUGMENT, ENTRY, EXIT, GLOBAL_CHECK, REDUCE, STOCKS_EXIT</t>
        </is>
      </c>
      <c r="F281" s="81" t="inlineStr">
        <is>
          <t>AUGMENT, ENTRY, EXIT, GLOBAL_CHECK, REDUCE, STOCKS_EXIT</t>
        </is>
      </c>
      <c r="G281" s="81" t="inlineStr">
        <is>
          <t>Leaderboard</t>
        </is>
      </c>
      <c r="H281" s="81" t="inlineStr">
        <is>
          <t>GENERAL — uniform</t>
        </is>
      </c>
      <c r="I281" s="81" t="inlineStr">
        <is>
          <t>LIVE — wired</t>
        </is>
      </c>
      <c r="J281" s="8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0" t="n">
        <v>75</v>
      </c>
      <c r="B282" s="90" t="inlineStr">
        <is>
          <t>LH_HL_FILTER_ENABLED</t>
        </is>
      </c>
      <c r="C282" s="0" t="inlineStr">
        <is>
          <t>False</t>
        </is>
      </c>
      <c r="D282" s="81" t="inlineStr">
        <is>
          <t>Lower-high / Higher-low structure filter (SMA200D replacement). | Live read: `N_RULE_ENTRY_TF_LIST', 'GOLDEN_RULE_MULT_15M', 'GOLDEN_RULE_MULT_1H', 'GOLDEN_RU`</t>
        </is>
      </c>
      <c r="E282" s="81" t="inlineStr">
        <is>
          <t>ENTRY, GLOBAL_CHECK, STOCKS_EXIT</t>
        </is>
      </c>
      <c r="F282" s="81" t="inlineStr">
        <is>
          <t>ENTRY, GLOBAL_CHECK, STOCKS_EXIT</t>
        </is>
      </c>
      <c r="G282" s="81" t="inlineStr">
        <is>
          <t>LH/HL filter</t>
        </is>
      </c>
      <c r="H282" s="81" t="inlineStr">
        <is>
          <t>GENERAL</t>
        </is>
      </c>
      <c r="I282" s="81" t="inlineStr">
        <is>
          <t>LIVE — wired</t>
        </is>
      </c>
      <c r="J282" s="8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1" t="n">
        <v>75</v>
      </c>
      <c r="B283" s="81" t="inlineStr">
        <is>
          <t>LH_HL_FILTER_ENABLED</t>
        </is>
      </c>
      <c r="C283" s="0" t="inlineStr">
        <is>
          <t>True</t>
        </is>
      </c>
      <c r="D283" s="81" t="inlineStr">
        <is>
          <t>Lower-high / Higher-low structure filter (SMA200D replacement). | Live read: `N_RULE_ENTRY_TF_LIST', 'GOLDEN_RULE_MULT_15M', 'GOLDEN_RULE_MULT_1H', 'GOLDEN_RU`</t>
        </is>
      </c>
      <c r="E283" s="81" t="inlineStr">
        <is>
          <t>ENTRY, GLOBAL_CHECK, STOCKS_EXIT</t>
        </is>
      </c>
      <c r="F283" s="81" t="inlineStr">
        <is>
          <t>ENTRY, GLOBAL_CHECK, STOCKS_EXIT</t>
        </is>
      </c>
      <c r="G283" s="81" t="inlineStr">
        <is>
          <t>LH/HL filter</t>
        </is>
      </c>
      <c r="H283" s="81" t="inlineStr">
        <is>
          <t>GENERAL</t>
        </is>
      </c>
      <c r="I283" s="81" t="inlineStr">
        <is>
          <t>LIVE — wired</t>
        </is>
      </c>
      <c r="J283" s="8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0" t="n">
        <v>76</v>
      </c>
      <c r="B284" s="90" t="inlineStr">
        <is>
          <t>LH_HL_FILTER_MODE</t>
        </is>
      </c>
      <c r="C284" s="0" t="inlineStr">
        <is>
          <t>STRICT_2BAR</t>
        </is>
      </c>
      <c r="D284" s="81" t="inlineStr">
        <is>
          <t>Threshold/gate: LH_HL_FILTER_MODE — _MULT_1H', 'GOLDEN_RULE_MULT_4H', 'GOLDEN_RULE_MULT_D', 'GOLDEN_RULE_MULT_W', 'GR_FILTER_ALL_ENTRIES', 'GR_OPEN_COOLDOWN | ex: `_MULT_1H', 'GOLDEN_RULE_MULT_4H', 'GOLDEN_RULE_MULT_D', 'GOLDEN_RULE_MULT_W', 'G`</t>
        </is>
      </c>
      <c r="E284" s="81" t="inlineStr">
        <is>
          <t>ENTRY, GLOBAL_CHECK, STOCKS_EXIT</t>
        </is>
      </c>
      <c r="F284" s="81" t="inlineStr">
        <is>
          <t>ENTRY, GLOBAL_CHECK, STOCKS_EXIT</t>
        </is>
      </c>
      <c r="G284" s="81" t="inlineStr">
        <is>
          <t>LH/HL filter</t>
        </is>
      </c>
      <c r="H284" s="81" t="inlineStr">
        <is>
          <t>GENERAL</t>
        </is>
      </c>
      <c r="I284" s="81" t="inlineStr">
        <is>
          <t>LIVE — wired</t>
        </is>
      </c>
      <c r="J284" s="8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1" t="n">
        <v>76</v>
      </c>
      <c r="B285" s="81" t="inlineStr">
        <is>
          <t>LH_HL_FILTER_MODE</t>
        </is>
      </c>
      <c r="C285" s="0" t="inlineStr">
        <is>
          <t>STRICT_2BAR_ALT</t>
        </is>
      </c>
      <c r="D285" s="81" t="inlineStr">
        <is>
          <t>Threshold/gate: LH_HL_FILTER_MODE — _MULT_1H', 'GOLDEN_RULE_MULT_4H', 'GOLDEN_RULE_MULT_D', 'GOLDEN_RULE_MULT_W', 'GR_FILTER_ALL_ENTRIES', 'GR_OPEN_COOLDOWN | ex: `_MULT_1H', 'GOLDEN_RULE_MULT_4H', 'GOLDEN_RULE_MULT_D', 'GOLDEN_RULE_MULT_W', 'G`</t>
        </is>
      </c>
      <c r="E285" s="81" t="inlineStr">
        <is>
          <t>ENTRY, GLOBAL_CHECK, STOCKS_EXIT</t>
        </is>
      </c>
      <c r="F285" s="81" t="inlineStr">
        <is>
          <t>ENTRY, GLOBAL_CHECK, STOCKS_EXIT</t>
        </is>
      </c>
      <c r="G285" s="81" t="inlineStr">
        <is>
          <t>LH/HL filter</t>
        </is>
      </c>
      <c r="H285" s="81" t="inlineStr">
        <is>
          <t>GENERAL</t>
        </is>
      </c>
      <c r="I285" s="81" t="inlineStr">
        <is>
          <t>LIVE — wired</t>
        </is>
      </c>
      <c r="J285" s="8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0" t="n">
        <v>77</v>
      </c>
      <c r="B286" s="90" t="inlineStr">
        <is>
          <t>LH_HL_FILTER_REQUIRE_BOTH</t>
        </is>
      </c>
      <c r="C286" s="0" t="inlineStr">
        <is>
          <t>False</t>
        </is>
      </c>
      <c r="D286" s="81" t="inlineStr">
        <is>
          <t>Threshold/gate: LH_HL_FILTER_REQUIRE_BOTH — LE_MULT_4H', 'GOLDEN_RULE_MULT_D', 'GOLDEN_RULE_MULT_W', 'GR_FILTER_ALL_ENTRIES', 'GR_OPEN_COOLDOWN_S', 'GR_TOTAL_VOTE_S | ex: `LE_MULT_4H', 'GOLDEN_RULE_MULT_D', 'GOLDEN_RULE_MULT_W', 'GR_FILTER_ALL_ENTRIES'`</t>
        </is>
      </c>
      <c r="E286" s="81" t="inlineStr">
        <is>
          <t>ENTRY, GLOBAL_CHECK, STOCKS_EXIT</t>
        </is>
      </c>
      <c r="F286" s="81" t="inlineStr">
        <is>
          <t>ENTRY, GLOBAL_CHECK, STOCKS_EXIT</t>
        </is>
      </c>
      <c r="G286" s="81" t="inlineStr">
        <is>
          <t>LH/HL filter</t>
        </is>
      </c>
      <c r="H286" s="81" t="inlineStr">
        <is>
          <t>GENERAL</t>
        </is>
      </c>
      <c r="I286" s="81" t="inlineStr">
        <is>
          <t>LIVE — wired</t>
        </is>
      </c>
      <c r="J286" s="8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1" t="n">
        <v>77</v>
      </c>
      <c r="B287" s="81" t="inlineStr">
        <is>
          <t>LH_HL_FILTER_REQUIRE_BOTH</t>
        </is>
      </c>
      <c r="C287" s="0" t="inlineStr">
        <is>
          <t>False_ALT</t>
        </is>
      </c>
      <c r="D287" s="81" t="inlineStr">
        <is>
          <t>Threshold/gate: LH_HL_FILTER_REQUIRE_BOTH — LE_MULT_4H', 'GOLDEN_RULE_MULT_D', 'GOLDEN_RULE_MULT_W', 'GR_FILTER_ALL_ENTRIES', 'GR_OPEN_COOLDOWN_S', 'GR_TOTAL_VOTE_S | ex: `LE_MULT_4H', 'GOLDEN_RULE_MULT_D', 'GOLDEN_RULE_MULT_W', 'GR_FILTER_ALL_ENTRIES'`</t>
        </is>
      </c>
      <c r="E287" s="81" t="inlineStr">
        <is>
          <t>ENTRY, GLOBAL_CHECK, STOCKS_EXIT</t>
        </is>
      </c>
      <c r="F287" s="81" t="inlineStr">
        <is>
          <t>ENTRY, GLOBAL_CHECK, STOCKS_EXIT</t>
        </is>
      </c>
      <c r="G287" s="81" t="inlineStr">
        <is>
          <t>LH/HL filter</t>
        </is>
      </c>
      <c r="H287" s="81" t="inlineStr">
        <is>
          <t>GENERAL</t>
        </is>
      </c>
      <c r="I287" s="81" t="inlineStr">
        <is>
          <t>LIVE — wired</t>
        </is>
      </c>
      <c r="J287" s="8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1" t="n">
        <v>78</v>
      </c>
      <c r="B288" s="91"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1" t="n">
        <v>79</v>
      </c>
      <c r="B290" s="91"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1" t="n">
        <v>80</v>
      </c>
      <c r="B295" s="91"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0" t="n">
        <v>81</v>
      </c>
      <c r="B300" s="90" t="inlineStr">
        <is>
          <t>LIVE_VEC_EMERGENCY_BRAKE_ENABLED</t>
        </is>
      </c>
      <c r="C300" s="0" t="inlineStr">
        <is>
          <t>False</t>
        </is>
      </c>
      <c r="D300" s="81" t="inlineStr">
        <is>
          <t>Emergency brake enabled in live vector path. | Live read: `ER_TF', 'GOLDEN_RULE_HTF_VOTE_FILTER_TF', 'GR_FILTER_VEC_ENABLED', 'GR_FILTER_VE`</t>
        </is>
      </c>
      <c r="E300" s="81" t="inlineStr">
        <is>
          <t>GLOBAL_CHECK, STOCKS_EXIT</t>
        </is>
      </c>
      <c r="F300" s="81" t="inlineStr">
        <is>
          <t>GLOBAL_CHECK, STOCKS_EXIT</t>
        </is>
      </c>
      <c r="G300" s="81" t="inlineStr">
        <is>
          <t>LIVE_VEC_EMERGENCY_BRAKE_ENABLED</t>
        </is>
      </c>
      <c r="H300" s="81" t="inlineStr">
        <is>
          <t>GENERAL</t>
        </is>
      </c>
      <c r="I300" s="81" t="inlineStr">
        <is>
          <t>LIVE — wired</t>
        </is>
      </c>
      <c r="J300" s="8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1" t="n">
        <v>81</v>
      </c>
      <c r="B301" s="81" t="inlineStr">
        <is>
          <t>LIVE_VEC_EMERGENCY_BRAKE_ENABLED</t>
        </is>
      </c>
      <c r="C301" s="0" t="inlineStr">
        <is>
          <t>True</t>
        </is>
      </c>
      <c r="D301" s="81" t="inlineStr">
        <is>
          <t>Emergency brake enabled in live vector path. | Live read: `ER_TF', 'GOLDEN_RULE_HTF_VOTE_FILTER_TF', 'GR_FILTER_VEC_ENABLED', 'GR_FILTER_VE`</t>
        </is>
      </c>
      <c r="E301" s="81" t="inlineStr">
        <is>
          <t>GLOBAL_CHECK, STOCKS_EXIT</t>
        </is>
      </c>
      <c r="F301" s="81" t="inlineStr">
        <is>
          <t>GLOBAL_CHECK, STOCKS_EXIT</t>
        </is>
      </c>
      <c r="G301" s="81" t="inlineStr">
        <is>
          <t>LIVE_VEC_EMERGENCY_BRAKE_ENABLED</t>
        </is>
      </c>
      <c r="H301" s="81" t="inlineStr">
        <is>
          <t>GENERAL</t>
        </is>
      </c>
      <c r="I301" s="81" t="inlineStr">
        <is>
          <t>LIVE — wired</t>
        </is>
      </c>
      <c r="J301" s="8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0" t="n">
        <v>82</v>
      </c>
      <c r="B302" s="90" t="inlineStr">
        <is>
          <t>LR_BAND_LADDER_STOCH_EXTREME</t>
        </is>
      </c>
      <c r="C302" s="0" t="inlineStr">
        <is>
          <t>30.0</t>
        </is>
      </c>
      <c r="D302" s="81" t="inlineStr">
        <is>
          <t>Threshold/gate: LR_BAND_LADDER_STOCH_EXTREME — _TF', 'GR_FILTER_VEC_ENABLED', 'GR_FILTER_VEC_FILTER_TF', 'GR_FILTER_VEC_MIN_TFS', 'GR_V5_HTF_MIN_ALIGN', 'GR_V5_LTF_MIN | ex: `_TF', 'GR_FILTER_VEC_ENABLED', 'GR_FILTER_VEC_FILTER_TF', 'GR_FILTER_VEC_MIN_TFS`</t>
        </is>
      </c>
      <c r="E302" s="81" t="inlineStr">
        <is>
          <t>GLOBAL_CHECK, STOCKS_EXIT</t>
        </is>
      </c>
      <c r="F302" s="81" t="inlineStr">
        <is>
          <t>GLOBAL_CHECK, STOCKS_EXIT</t>
        </is>
      </c>
      <c r="G302" s="81" t="inlineStr">
        <is>
          <t>LR_BAND_LADDER_STOCH_EXTREME</t>
        </is>
      </c>
      <c r="H302" s="81" t="inlineStr">
        <is>
          <t>GENERAL</t>
        </is>
      </c>
      <c r="I302" s="81" t="inlineStr">
        <is>
          <t>LIVE — wired</t>
        </is>
      </c>
      <c r="J302" s="8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1" t="n">
        <v>82</v>
      </c>
      <c r="B303" s="81" t="inlineStr">
        <is>
          <t>LR_BAND_LADDER_STOCH_EXTREME</t>
        </is>
      </c>
      <c r="C303" s="0" t="inlineStr">
        <is>
          <t>30.0_ALT</t>
        </is>
      </c>
      <c r="D303" s="81" t="inlineStr">
        <is>
          <t>Threshold/gate: LR_BAND_LADDER_STOCH_EXTREME — _TF', 'GR_FILTER_VEC_ENABLED', 'GR_FILTER_VEC_FILTER_TF', 'GR_FILTER_VEC_MIN_TFS', 'GR_V5_HTF_MIN_ALIGN', 'GR_V5_LTF_MIN | ex: `_TF', 'GR_FILTER_VEC_ENABLED', 'GR_FILTER_VEC_FILTER_TF', 'GR_FILTER_VEC_MIN_TFS`</t>
        </is>
      </c>
      <c r="E303" s="81" t="inlineStr">
        <is>
          <t>GLOBAL_CHECK, STOCKS_EXIT</t>
        </is>
      </c>
      <c r="F303" s="81" t="inlineStr">
        <is>
          <t>GLOBAL_CHECK, STOCKS_EXIT</t>
        </is>
      </c>
      <c r="G303" s="81" t="inlineStr">
        <is>
          <t>LR_BAND_LADDER_STOCH_EXTREME</t>
        </is>
      </c>
      <c r="H303" s="81" t="inlineStr">
        <is>
          <t>GENERAL</t>
        </is>
      </c>
      <c r="I303" s="81" t="inlineStr">
        <is>
          <t>LIVE — wired</t>
        </is>
      </c>
      <c r="J303" s="8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0" t="n">
        <v>83</v>
      </c>
      <c r="B304" s="90" t="inlineStr">
        <is>
          <t>LR_BAND_LADDER_TF_BOTTOM</t>
        </is>
      </c>
      <c r="C304" s="0" t="inlineStr">
        <is>
          <t>0</t>
        </is>
      </c>
      <c r="D304" s="81" t="inlineStr">
        <is>
          <t>Threshold/gate: LR_BAND_LADDER_TF_BOTTOM — GR_FILTER_VEC_FILTER_TF', 'GR_FILTER_VEC_MIN_TFS', 'GR_V5_HTF_MIN_ALIGN', 'GR_V5_LTF_MIN_ALIGN', 'GR_V5_STATE_FILTER_TF' | ex: `GR_FILTER_VEC_FILTER_TF', 'GR_FILTER_VEC_MIN_TFS', 'GR_V5_HTF_MIN_ALIGN', 'GR_V5`</t>
        </is>
      </c>
      <c r="E304" s="81" t="inlineStr">
        <is>
          <t>GLOBAL_CHECK, STOCKS_EXIT</t>
        </is>
      </c>
      <c r="F304" s="81" t="inlineStr">
        <is>
          <t>GLOBAL_CHECK, STOCKS_EXIT</t>
        </is>
      </c>
      <c r="G304" s="81" t="inlineStr">
        <is>
          <t>LR_BAND_LADDER_TF_BOTTOM</t>
        </is>
      </c>
      <c r="H304" s="81" t="inlineStr">
        <is>
          <t>GENERAL</t>
        </is>
      </c>
      <c r="I304" s="81" t="inlineStr">
        <is>
          <t>LIVE — wired</t>
        </is>
      </c>
      <c r="J304" s="8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1" t="n">
        <v>83</v>
      </c>
      <c r="B305" s="81" t="inlineStr">
        <is>
          <t>LR_BAND_LADDER_TF_BOTTOM</t>
        </is>
      </c>
      <c r="C305" s="0" t="inlineStr">
        <is>
          <t>1</t>
        </is>
      </c>
      <c r="D305" s="81" t="inlineStr">
        <is>
          <t>Threshold/gate: LR_BAND_LADDER_TF_BOTTOM — GR_FILTER_VEC_FILTER_TF', 'GR_FILTER_VEC_MIN_TFS', 'GR_V5_HTF_MIN_ALIGN', 'GR_V5_LTF_MIN_ALIGN', 'GR_V5_STATE_FILTER_TF' | ex: `GR_FILTER_VEC_FILTER_TF', 'GR_FILTER_VEC_MIN_TFS', 'GR_V5_HTF_MIN_ALIGN', 'GR_V5`</t>
        </is>
      </c>
      <c r="E305" s="81" t="inlineStr">
        <is>
          <t>GLOBAL_CHECK, STOCKS_EXIT</t>
        </is>
      </c>
      <c r="F305" s="81" t="inlineStr">
        <is>
          <t>GLOBAL_CHECK, STOCKS_EXIT</t>
        </is>
      </c>
      <c r="G305" s="81" t="inlineStr">
        <is>
          <t>LR_BAND_LADDER_TF_BOTTOM</t>
        </is>
      </c>
      <c r="H305" s="81" t="inlineStr">
        <is>
          <t>GENERAL</t>
        </is>
      </c>
      <c r="I305" s="81" t="inlineStr">
        <is>
          <t>LIVE — wired</t>
        </is>
      </c>
      <c r="J305" s="8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0" t="n">
        <v>84</v>
      </c>
      <c r="B306" s="90" t="inlineStr">
        <is>
          <t>LR_BAND_LADDER_TF_TOP</t>
        </is>
      </c>
      <c r="C306" s="0" t="inlineStr">
        <is>
          <t>0</t>
        </is>
      </c>
      <c r="D306" s="81" t="inlineStr">
        <is>
          <t>Threshold/gate: LR_BAND_LADDER_TF_TOP — R_FILTER_VEC_MIN_TFS', 'GR_V5_HTF_MIN_ALIGN', 'GR_V5_LTF_MIN_ALIGN', 'GR_V5_STATE_FILTER_TF', 'HAIKU_WINNER_FILTER_TF',  | ex: `R_FILTER_VEC_MIN_TFS', 'GR_V5_HTF_MIN_ALIGN', 'GR_V5_LTF_MIN_ALIGN', 'GR_V5_STAT`</t>
        </is>
      </c>
      <c r="E306" s="81" t="inlineStr">
        <is>
          <t>GLOBAL_CHECK, STOCKS_EXIT</t>
        </is>
      </c>
      <c r="F306" s="81" t="inlineStr">
        <is>
          <t>GLOBAL_CHECK, STOCKS_EXIT</t>
        </is>
      </c>
      <c r="G306" s="81" t="inlineStr">
        <is>
          <t>LR_BAND_LADDER_TF_TOP</t>
        </is>
      </c>
      <c r="H306" s="81" t="inlineStr">
        <is>
          <t>GENERAL</t>
        </is>
      </c>
      <c r="I306" s="81" t="inlineStr">
        <is>
          <t>LIVE — wired</t>
        </is>
      </c>
      <c r="J306" s="8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1" t="n">
        <v>84</v>
      </c>
      <c r="B307" s="81" t="inlineStr">
        <is>
          <t>LR_BAND_LADDER_TF_TOP</t>
        </is>
      </c>
      <c r="C307" s="0" t="inlineStr">
        <is>
          <t>1</t>
        </is>
      </c>
      <c r="D307" s="81" t="inlineStr">
        <is>
          <t>Threshold/gate: LR_BAND_LADDER_TF_TOP — R_FILTER_VEC_MIN_TFS', 'GR_V5_HTF_MIN_ALIGN', 'GR_V5_LTF_MIN_ALIGN', 'GR_V5_STATE_FILTER_TF', 'HAIKU_WINNER_FILTER_TF',  | ex: `R_FILTER_VEC_MIN_TFS', 'GR_V5_HTF_MIN_ALIGN', 'GR_V5_LTF_MIN_ALIGN', 'GR_V5_STAT`</t>
        </is>
      </c>
      <c r="E307" s="81" t="inlineStr">
        <is>
          <t>GLOBAL_CHECK, STOCKS_EXIT</t>
        </is>
      </c>
      <c r="F307" s="81" t="inlineStr">
        <is>
          <t>GLOBAL_CHECK, STOCKS_EXIT</t>
        </is>
      </c>
      <c r="G307" s="81" t="inlineStr">
        <is>
          <t>LR_BAND_LADDER_TF_TOP</t>
        </is>
      </c>
      <c r="H307" s="81" t="inlineStr">
        <is>
          <t>GENERAL</t>
        </is>
      </c>
      <c r="I307" s="81" t="inlineStr">
        <is>
          <t>LIVE — wired</t>
        </is>
      </c>
      <c r="J307" s="8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0" t="n">
        <v>85</v>
      </c>
      <c r="B308" s="90" t="inlineStr">
        <is>
          <t>MANDATORY_REENTRY_WT_FILTER_MIN_TFS</t>
        </is>
      </c>
      <c r="C308" s="0" t="inlineStr">
        <is>
          <t>1</t>
        </is>
      </c>
      <c r="D308" s="8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1" t="inlineStr">
        <is>
          <t>GLOBAL_CHECK, STOCKS_EXIT</t>
        </is>
      </c>
      <c r="F308" s="81" t="inlineStr">
        <is>
          <t>GLOBAL_CHECK, STOCKS_EXIT</t>
        </is>
      </c>
      <c r="G308" s="81" t="inlineStr">
        <is>
          <t>MANDATORY_REENTRY_WT_FILTER_MIN_</t>
        </is>
      </c>
      <c r="H308" s="81" t="inlineStr">
        <is>
          <t>GENERAL</t>
        </is>
      </c>
      <c r="I308" s="81" t="inlineStr">
        <is>
          <t>LIVE — wired</t>
        </is>
      </c>
      <c r="J308" s="8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1" t="n">
        <v>85</v>
      </c>
      <c r="B309" s="81" t="inlineStr">
        <is>
          <t>MANDATORY_REENTRY_WT_FILTER_MIN_TFS</t>
        </is>
      </c>
      <c r="C309" s="0" t="inlineStr">
        <is>
          <t>3</t>
        </is>
      </c>
      <c r="D309" s="8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1" t="inlineStr">
        <is>
          <t>GLOBAL_CHECK, STOCKS_EXIT</t>
        </is>
      </c>
      <c r="F309" s="81" t="inlineStr">
        <is>
          <t>GLOBAL_CHECK, STOCKS_EXIT</t>
        </is>
      </c>
      <c r="G309" s="81" t="inlineStr">
        <is>
          <t>MANDATORY_REENTRY_WT_FILTER_MIN_</t>
        </is>
      </c>
      <c r="H309" s="81" t="inlineStr">
        <is>
          <t>GENERAL</t>
        </is>
      </c>
      <c r="I309" s="81" t="inlineStr">
        <is>
          <t>LIVE — wired</t>
        </is>
      </c>
      <c r="J309" s="8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1" t="n">
        <v>85</v>
      </c>
      <c r="B310" s="81" t="inlineStr">
        <is>
          <t>MANDATORY_REENTRY_WT_FILTER_MIN_TFS</t>
        </is>
      </c>
      <c r="C310" s="0" t="inlineStr">
        <is>
          <t>2</t>
        </is>
      </c>
      <c r="D310" s="8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1" t="inlineStr">
        <is>
          <t>GLOBAL_CHECK, STOCKS_EXIT</t>
        </is>
      </c>
      <c r="F310" s="81" t="inlineStr">
        <is>
          <t>GLOBAL_CHECK, STOCKS_EXIT</t>
        </is>
      </c>
      <c r="G310" s="81" t="inlineStr">
        <is>
          <t>MANDATORY_REENTRY_WT_FILTER_MIN_</t>
        </is>
      </c>
      <c r="H310" s="81" t="inlineStr">
        <is>
          <t>GENERAL</t>
        </is>
      </c>
      <c r="I310" s="81" t="inlineStr">
        <is>
          <t>LIVE — wired</t>
        </is>
      </c>
      <c r="J310" s="8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0" t="n">
        <v>86</v>
      </c>
      <c r="B311" s="90" t="inlineStr">
        <is>
          <t>MANDATORY_REENTRY_WT_FILTER_MIN_VELOCITY</t>
        </is>
      </c>
      <c r="C311" s="0" t="inlineStr">
        <is>
          <t>0.0</t>
        </is>
      </c>
      <c r="D311" s="81" t="inlineStr">
        <is>
          <t>Threshold/gate: MANDATORY_REENTRY_WT_FILTER_MIN_VELOCITY — D', 'GUARANTEED_REENTRY_DELTA_GATE_ENABLED', 'GUARANTEED_REENTRY_K_FAVORABLE_HIGH', 'GUARANTEED_REENTRY_K_FAVORABLE_LOW' | ex: `D', 'GUARANTEED_REENTRY_DELTA_GATE_ENABLED', 'GUARANTEED_REENTRY_K_FAVORABLE_HIG`</t>
        </is>
      </c>
      <c r="E311" s="81" t="inlineStr">
        <is>
          <t>GLOBAL_CHECK, STOCKS_EXIT</t>
        </is>
      </c>
      <c r="F311" s="81" t="inlineStr">
        <is>
          <t>GLOBAL_CHECK, STOCKS_EXIT</t>
        </is>
      </c>
      <c r="G311" s="81" t="inlineStr">
        <is>
          <t>MANDATORY_REENTRY_WT_FILTER_MIN_</t>
        </is>
      </c>
      <c r="H311" s="81" t="inlineStr">
        <is>
          <t>GENERAL</t>
        </is>
      </c>
      <c r="I311" s="81" t="inlineStr">
        <is>
          <t>LIVE — wired</t>
        </is>
      </c>
      <c r="J311" s="8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1" t="n">
        <v>86</v>
      </c>
      <c r="B312" s="81" t="inlineStr">
        <is>
          <t>MANDATORY_REENTRY_WT_FILTER_MIN_VELOCITY</t>
        </is>
      </c>
      <c r="C312" s="0" t="inlineStr">
        <is>
          <t>0.0_ALT</t>
        </is>
      </c>
      <c r="D312" s="81" t="inlineStr">
        <is>
          <t>Threshold/gate: MANDATORY_REENTRY_WT_FILTER_MIN_VELOCITY — D', 'GUARANTEED_REENTRY_DELTA_GATE_ENABLED', 'GUARANTEED_REENTRY_K_FAVORABLE_HIGH', 'GUARANTEED_REENTRY_K_FAVORABLE_LOW' | ex: `D', 'GUARANTEED_REENTRY_DELTA_GATE_ENABLED', 'GUARANTEED_REENTRY_K_FAVORABLE_HIG`</t>
        </is>
      </c>
      <c r="E312" s="81" t="inlineStr">
        <is>
          <t>GLOBAL_CHECK, STOCKS_EXIT</t>
        </is>
      </c>
      <c r="F312" s="81" t="inlineStr">
        <is>
          <t>GLOBAL_CHECK, STOCKS_EXIT</t>
        </is>
      </c>
      <c r="G312" s="81" t="inlineStr">
        <is>
          <t>MANDATORY_REENTRY_WT_FILTER_MIN_</t>
        </is>
      </c>
      <c r="H312" s="81" t="inlineStr">
        <is>
          <t>GENERAL</t>
        </is>
      </c>
      <c r="I312" s="81" t="inlineStr">
        <is>
          <t>LIVE — wired</t>
        </is>
      </c>
      <c r="J312" s="8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0" t="n">
        <v>87</v>
      </c>
      <c r="B313" s="90" t="inlineStr">
        <is>
          <t>MANDATORY_REENTRY_WT_FILTER_REQUIRE_FLIP</t>
        </is>
      </c>
      <c r="C313" s="0" t="inlineStr">
        <is>
          <t>False</t>
        </is>
      </c>
      <c r="D313" s="81" t="inlineStr">
        <is>
          <t>Threshold/gate: MANDATORY_REENTRY_WT_FILTER_REQUIRE_FLIP — 'GUARANTEED_REENTRY_K_FAVORABLE_HIGH', 'GUARANTEED_REENTRY_K_FAVORABLE_LOW', 'GUARANTEED_REENTRY_K_HIGH_BLOCK', 'GUARANT | ex: `'GUARANTEED_REENTRY_K_FAVORABLE_HIGH', 'GUARANTEED_REENTRY_K_FAVORABLE_LOW', 'GU`</t>
        </is>
      </c>
      <c r="E313" s="81" t="inlineStr">
        <is>
          <t>GLOBAL_CHECK, STOCKS_EXIT</t>
        </is>
      </c>
      <c r="F313" s="81" t="inlineStr">
        <is>
          <t>GLOBAL_CHECK, STOCKS_EXIT</t>
        </is>
      </c>
      <c r="G313" s="81" t="inlineStr">
        <is>
          <t>MANDATORY_REENTRY_WT_FILTER_REQU</t>
        </is>
      </c>
      <c r="H313" s="81" t="inlineStr">
        <is>
          <t>GENERAL</t>
        </is>
      </c>
      <c r="I313" s="81" t="inlineStr">
        <is>
          <t>LIVE — wired</t>
        </is>
      </c>
      <c r="J313" s="8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1" t="n">
        <v>87</v>
      </c>
      <c r="B314" s="81" t="inlineStr">
        <is>
          <t>MANDATORY_REENTRY_WT_FILTER_REQUIRE_FLIP</t>
        </is>
      </c>
      <c r="C314" s="0" t="inlineStr">
        <is>
          <t>False_ALT</t>
        </is>
      </c>
      <c r="D314" s="81" t="inlineStr">
        <is>
          <t>Threshold/gate: MANDATORY_REENTRY_WT_FILTER_REQUIRE_FLIP — 'GUARANTEED_REENTRY_K_FAVORABLE_HIGH', 'GUARANTEED_REENTRY_K_FAVORABLE_LOW', 'GUARANTEED_REENTRY_K_HIGH_BLOCK', 'GUARANT | ex: `'GUARANTEED_REENTRY_K_FAVORABLE_HIGH', 'GUARANTEED_REENTRY_K_FAVORABLE_LOW', 'GU`</t>
        </is>
      </c>
      <c r="E314" s="81" t="inlineStr">
        <is>
          <t>GLOBAL_CHECK, STOCKS_EXIT</t>
        </is>
      </c>
      <c r="F314" s="81" t="inlineStr">
        <is>
          <t>GLOBAL_CHECK, STOCKS_EXIT</t>
        </is>
      </c>
      <c r="G314" s="81" t="inlineStr">
        <is>
          <t>MANDATORY_REENTRY_WT_FILTER_REQU</t>
        </is>
      </c>
      <c r="H314" s="81" t="inlineStr">
        <is>
          <t>GENERAL</t>
        </is>
      </c>
      <c r="I314" s="81" t="inlineStr">
        <is>
          <t>LIVE — wired</t>
        </is>
      </c>
      <c r="J314" s="8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1" t="n">
        <v>88</v>
      </c>
      <c r="B315" s="91"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0" t="n">
        <v>89</v>
      </c>
      <c r="B317" s="90" t="inlineStr">
        <is>
          <t>MANDATORY_REENTRY_WT_FILTER_VELOCITY_RATIO</t>
        </is>
      </c>
      <c r="C317" s="0" t="inlineStr">
        <is>
          <t>0.90</t>
        </is>
      </c>
      <c r="D317" s="8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1" t="inlineStr">
        <is>
          <t>GLOBAL_CHECK, STOCKS_EXIT</t>
        </is>
      </c>
      <c r="F317" s="81" t="inlineStr">
        <is>
          <t>GLOBAL_CHECK, STOCKS_EXIT</t>
        </is>
      </c>
      <c r="G317" s="81" t="inlineStr">
        <is>
          <t>MANDATORY_REENTRY_WT_FILTER_VELO</t>
        </is>
      </c>
      <c r="H317" s="81" t="inlineStr">
        <is>
          <t>GENERAL</t>
        </is>
      </c>
      <c r="I317" s="81" t="inlineStr">
        <is>
          <t>LIVE — wired</t>
        </is>
      </c>
      <c r="J317" s="8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1" t="n">
        <v>89</v>
      </c>
      <c r="B318" s="81" t="inlineStr">
        <is>
          <t>MANDATORY_REENTRY_WT_FILTER_VELOCITY_RATIO</t>
        </is>
      </c>
      <c r="C318" s="0" t="inlineStr">
        <is>
          <t>0.90_ALT</t>
        </is>
      </c>
      <c r="D318" s="8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1" t="inlineStr">
        <is>
          <t>GLOBAL_CHECK, STOCKS_EXIT</t>
        </is>
      </c>
      <c r="F318" s="81" t="inlineStr">
        <is>
          <t>GLOBAL_CHECK, STOCKS_EXIT</t>
        </is>
      </c>
      <c r="G318" s="81" t="inlineStr">
        <is>
          <t>MANDATORY_REENTRY_WT_FILTER_VELO</t>
        </is>
      </c>
      <c r="H318" s="81" t="inlineStr">
        <is>
          <t>GENERAL</t>
        </is>
      </c>
      <c r="I318" s="81" t="inlineStr">
        <is>
          <t>LIVE — wired</t>
        </is>
      </c>
      <c r="J318" s="8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0" t="n">
        <v>90</v>
      </c>
      <c r="B319" s="90" t="inlineStr">
        <is>
          <t>MARKET_QUALITY_SCORE_ENABLED</t>
        </is>
      </c>
      <c r="C319" s="0" t="inlineStr">
        <is>
          <t>False</t>
        </is>
      </c>
      <c r="D319" s="81" t="inlineStr">
        <is>
          <t>Market quality score gate (choppiness). | Live read: `'MARKET_QUALITY_SCORE_ENABLED_TRADIER', 'MARK_PRICE_MAX_STALENESS', 'MAX_ALLOWED`</t>
        </is>
      </c>
      <c r="E319" s="81" t="inlineStr">
        <is>
          <t>ENTRY, GLOBAL_CHECK, STOCKS_EXIT</t>
        </is>
      </c>
      <c r="F319" s="81" t="inlineStr">
        <is>
          <t>ENTRY, GLOBAL_CHECK, STOCKS_EXIT</t>
        </is>
      </c>
      <c r="G319" s="81" t="inlineStr">
        <is>
          <t>MARKET_QUALITY_SCORE_ENABLED</t>
        </is>
      </c>
      <c r="H319" s="81" t="inlineStr">
        <is>
          <t>GENERAL — uniform</t>
        </is>
      </c>
      <c r="I319" s="81" t="inlineStr">
        <is>
          <t>LIVE — wired</t>
        </is>
      </c>
      <c r="J319" s="8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1" t="n">
        <v>90</v>
      </c>
      <c r="B320" s="81" t="inlineStr">
        <is>
          <t>MARKET_QUALITY_SCORE_ENABLED</t>
        </is>
      </c>
      <c r="C320" s="0" t="inlineStr">
        <is>
          <t>True</t>
        </is>
      </c>
      <c r="D320" s="81" t="inlineStr">
        <is>
          <t>Market quality score gate (choppiness). | Live read: `'MARKET_QUALITY_SCORE_ENABLED_TRADIER', 'MARK_PRICE_MAX_STALENESS', 'MAX_ALLOWED`</t>
        </is>
      </c>
      <c r="E320" s="81" t="inlineStr">
        <is>
          <t>ENTRY, GLOBAL_CHECK, STOCKS_EXIT</t>
        </is>
      </c>
      <c r="F320" s="81" t="inlineStr">
        <is>
          <t>ENTRY, GLOBAL_CHECK, STOCKS_EXIT</t>
        </is>
      </c>
      <c r="G320" s="81" t="inlineStr">
        <is>
          <t>MARKET_QUALITY_SCORE_ENABLED</t>
        </is>
      </c>
      <c r="H320" s="81" t="inlineStr">
        <is>
          <t>GENERAL — uniform</t>
        </is>
      </c>
      <c r="I320" s="81" t="inlineStr">
        <is>
          <t>LIVE — wired</t>
        </is>
      </c>
      <c r="J320" s="8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0" t="n">
        <v>91</v>
      </c>
      <c r="B321" s="90" t="inlineStr">
        <is>
          <t>MI_TF_AGREE_MIN</t>
        </is>
      </c>
      <c r="C321" s="0" t="inlineStr">
        <is>
          <t>0.0</t>
        </is>
      </c>
      <c r="D321" s="81" t="inlineStr">
        <is>
          <t>Market internals: min TFs agreeing. | Live read: `STATE_FILTER_TF', 'HAIKU_WINNER_FILTER_TF', 'HOUR_OF_DAY_GATE_ENABLED', 'HTF4_CO`</t>
        </is>
      </c>
      <c r="E321" s="81" t="inlineStr">
        <is>
          <t>ENTRY, GLOBAL_CHECK, STOCKS_EXIT</t>
        </is>
      </c>
      <c r="F321" s="81" t="inlineStr">
        <is>
          <t>ENTRY, GLOBAL_CHECK, STOCKS_EXIT</t>
        </is>
      </c>
      <c r="G321" s="81" t="inlineStr">
        <is>
          <t>MI_TF_AGREE_MIN</t>
        </is>
      </c>
      <c r="H321" s="81" t="inlineStr">
        <is>
          <t>GENERAL</t>
        </is>
      </c>
      <c r="I321" s="81" t="inlineStr">
        <is>
          <t>LIVE — wired</t>
        </is>
      </c>
      <c r="J321" s="8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1" t="n">
        <v>91</v>
      </c>
      <c r="B322" s="81" t="inlineStr">
        <is>
          <t>MI_TF_AGREE_MIN</t>
        </is>
      </c>
      <c r="C322" s="0" t="inlineStr">
        <is>
          <t>0.0_ALT</t>
        </is>
      </c>
      <c r="D322" s="81" t="inlineStr">
        <is>
          <t>Market internals: min TFs agreeing. | Live read: `STATE_FILTER_TF', 'HAIKU_WINNER_FILTER_TF', 'HOUR_OF_DAY_GATE_ENABLED', 'HTF4_CO`</t>
        </is>
      </c>
      <c r="E322" s="81" t="inlineStr">
        <is>
          <t>ENTRY, GLOBAL_CHECK, STOCKS_EXIT</t>
        </is>
      </c>
      <c r="F322" s="81" t="inlineStr">
        <is>
          <t>ENTRY, GLOBAL_CHECK, STOCKS_EXIT</t>
        </is>
      </c>
      <c r="G322" s="81" t="inlineStr">
        <is>
          <t>MI_TF_AGREE_MIN</t>
        </is>
      </c>
      <c r="H322" s="81" t="inlineStr">
        <is>
          <t>GENERAL</t>
        </is>
      </c>
      <c r="I322" s="81" t="inlineStr">
        <is>
          <t>LIVE — wired</t>
        </is>
      </c>
      <c r="J322" s="8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1" t="n">
        <v>92</v>
      </c>
      <c r="B323" s="91"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1" t="n">
        <v>93</v>
      </c>
      <c r="B328" s="91"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0" t="n">
        <v>94</v>
      </c>
      <c r="B333" s="90" t="inlineStr">
        <is>
          <t>MOVER_THRESHOLD</t>
        </is>
      </c>
      <c r="C333" s="0" t="inlineStr">
        <is>
          <t>5</t>
        </is>
      </c>
      <c r="D333" s="81" t="inlineStr">
        <is>
          <t>Mover threshold (volatility). | Live read: `_ = getattr(config, "MOVER_THRESHOLD", None)`</t>
        </is>
      </c>
      <c r="E333" s="81" t="inlineStr">
        <is>
          <t>ENTRY, GLOBAL_CHECK, STOCKS_EXIT</t>
        </is>
      </c>
      <c r="F333" s="81" t="inlineStr">
        <is>
          <t>ENTRY, GLOBAL_CHECK, STOCKS_EXIT</t>
        </is>
      </c>
      <c r="G333" s="81" t="inlineStr">
        <is>
          <t>MOVER_THRESHOLD</t>
        </is>
      </c>
      <c r="H333" s="81" t="inlineStr">
        <is>
          <t>GENERAL</t>
        </is>
      </c>
      <c r="I333" s="81" t="inlineStr">
        <is>
          <t>LIVE — wired</t>
        </is>
      </c>
      <c r="J333" s="8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1" t="n">
        <v>94</v>
      </c>
      <c r="B334" s="81" t="inlineStr">
        <is>
          <t>MOVER_THRESHOLD</t>
        </is>
      </c>
      <c r="C334" s="0" t="inlineStr">
        <is>
          <t>6.25</t>
        </is>
      </c>
      <c r="D334" s="81" t="inlineStr">
        <is>
          <t>Mover threshold (volatility). | Live read: `_ = getattr(config, "MOVER_THRESHOLD", None)`</t>
        </is>
      </c>
      <c r="E334" s="81" t="inlineStr">
        <is>
          <t>ENTRY, GLOBAL_CHECK, STOCKS_EXIT</t>
        </is>
      </c>
      <c r="F334" s="81" t="inlineStr">
        <is>
          <t>ENTRY, GLOBAL_CHECK, STOCKS_EXIT</t>
        </is>
      </c>
      <c r="G334" s="81" t="inlineStr">
        <is>
          <t>MOVER_THRESHOLD</t>
        </is>
      </c>
      <c r="H334" s="81" t="inlineStr">
        <is>
          <t>GENERAL</t>
        </is>
      </c>
      <c r="I334" s="81" t="inlineStr">
        <is>
          <t>LIVE — wired</t>
        </is>
      </c>
      <c r="J334" s="8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1" t="n">
        <v>94</v>
      </c>
      <c r="B335" s="81" t="inlineStr">
        <is>
          <t>MOVER_THRESHOLD</t>
        </is>
      </c>
      <c r="C335" s="0" t="inlineStr">
        <is>
          <t>3.75</t>
        </is>
      </c>
      <c r="D335" s="81" t="inlineStr">
        <is>
          <t>Mover threshold (volatility). | Live read: `_ = getattr(config, "MOVER_THRESHOLD", None)`</t>
        </is>
      </c>
      <c r="E335" s="81" t="inlineStr">
        <is>
          <t>ENTRY, GLOBAL_CHECK, STOCKS_EXIT</t>
        </is>
      </c>
      <c r="F335" s="81" t="inlineStr">
        <is>
          <t>ENTRY, GLOBAL_CHECK, STOCKS_EXIT</t>
        </is>
      </c>
      <c r="G335" s="81" t="inlineStr">
        <is>
          <t>MOVER_THRESHOLD</t>
        </is>
      </c>
      <c r="H335" s="81" t="inlineStr">
        <is>
          <t>GENERAL</t>
        </is>
      </c>
      <c r="I335" s="81" t="inlineStr">
        <is>
          <t>LIVE — wired</t>
        </is>
      </c>
      <c r="J335" s="8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1" t="n">
        <v>94</v>
      </c>
      <c r="B336" s="81" t="inlineStr">
        <is>
          <t>MOVER_THRESHOLD</t>
        </is>
      </c>
      <c r="C336" s="0" t="inlineStr">
        <is>
          <t>2.5</t>
        </is>
      </c>
      <c r="D336" s="81" t="inlineStr">
        <is>
          <t>Mover threshold (volatility). | Live read: `_ = getattr(config, "MOVER_THRESHOLD", None)`</t>
        </is>
      </c>
      <c r="E336" s="81" t="inlineStr">
        <is>
          <t>ENTRY, GLOBAL_CHECK, STOCKS_EXIT</t>
        </is>
      </c>
      <c r="F336" s="81" t="inlineStr">
        <is>
          <t>ENTRY, GLOBAL_CHECK, STOCKS_EXIT</t>
        </is>
      </c>
      <c r="G336" s="81" t="inlineStr">
        <is>
          <t>MOVER_THRESHOLD</t>
        </is>
      </c>
      <c r="H336" s="81" t="inlineStr">
        <is>
          <t>GENERAL</t>
        </is>
      </c>
      <c r="I336" s="81" t="inlineStr">
        <is>
          <t>LIVE — wired</t>
        </is>
      </c>
      <c r="J336" s="8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1" t="n">
        <v>95</v>
      </c>
      <c r="B337" s="91"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1" t="n">
        <v>96</v>
      </c>
      <c r="B342" s="91"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1" t="n">
        <v>97</v>
      </c>
      <c r="B347" s="91"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0" t="n">
        <v>98</v>
      </c>
      <c r="B352" s="90" t="inlineStr">
        <is>
          <t>MTF_FILTER_STRONG_BUY_QUICK_BYPASS</t>
        </is>
      </c>
      <c r="C352" s="0" t="inlineStr">
        <is>
          <t>0.0</t>
        </is>
      </c>
      <c r="D352" s="81" t="inlineStr">
        <is>
          <t>Bypasses MTF filter for strong buys in quick path. | Live read: `ABLED', 'LH_HL_FILTER_ENABLED', 'LH_HL_FILTER_HEDGE_GATE_ENABLED', 'LH_HL_FILTER`</t>
        </is>
      </c>
      <c r="E352" s="81" t="inlineStr">
        <is>
          <t>GLOBAL_CHECK, STOCKS_EXIT</t>
        </is>
      </c>
      <c r="F352" s="81" t="inlineStr">
        <is>
          <t>GLOBAL_CHECK, STOCKS_EXIT</t>
        </is>
      </c>
      <c r="G352" s="81" t="inlineStr">
        <is>
          <t>MTF_FILTER_STRONG_BUY_QUICK_BYPA</t>
        </is>
      </c>
      <c r="H352" s="81" t="inlineStr">
        <is>
          <t>GENERAL</t>
        </is>
      </c>
      <c r="I352" s="81" t="inlineStr">
        <is>
          <t>LIVE — wired</t>
        </is>
      </c>
      <c r="J352" s="8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1" t="n">
        <v>98</v>
      </c>
      <c r="B353" s="81" t="inlineStr">
        <is>
          <t>MTF_FILTER_STRONG_BUY_QUICK_BYPASS</t>
        </is>
      </c>
      <c r="C353" s="0" t="inlineStr">
        <is>
          <t>0.0_ALT</t>
        </is>
      </c>
      <c r="D353" s="81" t="inlineStr">
        <is>
          <t>Bypasses MTF filter for strong buys in quick path. | Live read: `ABLED', 'LH_HL_FILTER_ENABLED', 'LH_HL_FILTER_HEDGE_GATE_ENABLED', 'LH_HL_FILTER`</t>
        </is>
      </c>
      <c r="E353" s="81" t="inlineStr">
        <is>
          <t>GLOBAL_CHECK, STOCKS_EXIT</t>
        </is>
      </c>
      <c r="F353" s="81" t="inlineStr">
        <is>
          <t>GLOBAL_CHECK, STOCKS_EXIT</t>
        </is>
      </c>
      <c r="G353" s="81" t="inlineStr">
        <is>
          <t>MTF_FILTER_STRONG_BUY_QUICK_BYPA</t>
        </is>
      </c>
      <c r="H353" s="81" t="inlineStr">
        <is>
          <t>GENERAL</t>
        </is>
      </c>
      <c r="I353" s="81" t="inlineStr">
        <is>
          <t>LIVE — wired</t>
        </is>
      </c>
      <c r="J353" s="8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0" t="n">
        <v>99</v>
      </c>
      <c r="B354" s="90" t="inlineStr">
        <is>
          <t>MTF_GR_MIN_IND</t>
        </is>
      </c>
      <c r="C354" s="0" t="inlineStr">
        <is>
          <t>5</t>
        </is>
      </c>
      <c r="D354" s="81" t="inlineStr">
        <is>
          <t>Threshold/gate: MTF_GR_MIN_IND — _FILTER_HEDGE_GATE_ENABLED', 'LH_HL_FILTER_MODE', 'LH_HL_FILTER_REQUIRE_BOTH', 'LH_HL_FILTER_TF_REQ', 'LIVE_ENTRY_ENGINE | ex: `_FILTER_HEDGE_GATE_ENABLED', 'LH_HL_FILTER_MODE', 'LH_HL_FILTER_REQUIRE_BOTH', '`</t>
        </is>
      </c>
      <c r="E354" s="81" t="inlineStr">
        <is>
          <t>GLOBAL_CHECK, STOCKS_EXIT</t>
        </is>
      </c>
      <c r="F354" s="81" t="inlineStr">
        <is>
          <t>GLOBAL_CHECK, STOCKS_EXIT</t>
        </is>
      </c>
      <c r="G354" s="81" t="inlineStr">
        <is>
          <t>MTF_GR_MIN_IND</t>
        </is>
      </c>
      <c r="H354" s="81" t="inlineStr">
        <is>
          <t>GENERAL</t>
        </is>
      </c>
      <c r="I354" s="81" t="inlineStr">
        <is>
          <t>LIVE — wired</t>
        </is>
      </c>
      <c r="J354" s="8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1" t="n">
        <v>99</v>
      </c>
      <c r="B355" s="81" t="inlineStr">
        <is>
          <t>MTF_GR_MIN_IND</t>
        </is>
      </c>
      <c r="C355" s="0" t="inlineStr">
        <is>
          <t>5_ALT</t>
        </is>
      </c>
      <c r="D355" s="81" t="inlineStr">
        <is>
          <t>Threshold/gate: MTF_GR_MIN_IND — _FILTER_HEDGE_GATE_ENABLED', 'LH_HL_FILTER_MODE', 'LH_HL_FILTER_REQUIRE_BOTH', 'LH_HL_FILTER_TF_REQ', 'LIVE_ENTRY_ENGINE | ex: `_FILTER_HEDGE_GATE_ENABLED', 'LH_HL_FILTER_MODE', 'LH_HL_FILTER_REQUIRE_BOTH', '`</t>
        </is>
      </c>
      <c r="E355" s="81" t="inlineStr">
        <is>
          <t>GLOBAL_CHECK, STOCKS_EXIT</t>
        </is>
      </c>
      <c r="F355" s="81" t="inlineStr">
        <is>
          <t>GLOBAL_CHECK, STOCKS_EXIT</t>
        </is>
      </c>
      <c r="G355" s="81" t="inlineStr">
        <is>
          <t>MTF_GR_MIN_IND</t>
        </is>
      </c>
      <c r="H355" s="81" t="inlineStr">
        <is>
          <t>GENERAL</t>
        </is>
      </c>
      <c r="I355" s="81" t="inlineStr">
        <is>
          <t>LIVE — wired</t>
        </is>
      </c>
      <c r="J355" s="8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0" t="n">
        <v>100</v>
      </c>
      <c r="B356" s="90" t="inlineStr">
        <is>
          <t>MTS_BOTTOM_BONUS_THRESHOLD</t>
        </is>
      </c>
      <c r="C356" s="0" t="inlineStr">
        <is>
          <t>25</t>
        </is>
      </c>
      <c r="D356" s="81" t="inlineStr">
        <is>
          <t>MTS bottom bonus threshold. | Live read: `F_REGIME_SIZE_CAP', 'HTF_REGIME_TF', 'HTF_REGIME_VOL_TARGET', 'HTF_TREND_VETO_BY`</t>
        </is>
      </c>
      <c r="E356" s="81" t="inlineStr">
        <is>
          <t>ENTRY, GLOBAL_CHECK, STOCKS_EXIT</t>
        </is>
      </c>
      <c r="F356" s="81" t="inlineStr">
        <is>
          <t>ENTRY, GLOBAL_CHECK, STOCKS_EXIT</t>
        </is>
      </c>
      <c r="G356" s="81" t="inlineStr">
        <is>
          <t>MTS_BOTTOM_BONUS_THRESHOLD</t>
        </is>
      </c>
      <c r="H356" s="81" t="inlineStr">
        <is>
          <t>GENERAL</t>
        </is>
      </c>
      <c r="I356" s="81" t="inlineStr">
        <is>
          <t>LIVE — wired</t>
        </is>
      </c>
      <c r="J356" s="8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1" t="n">
        <v>100</v>
      </c>
      <c r="B357" s="81" t="inlineStr">
        <is>
          <t>MTS_BOTTOM_BONUS_THRESHOLD</t>
        </is>
      </c>
      <c r="C357" s="0" t="inlineStr">
        <is>
          <t>31.25</t>
        </is>
      </c>
      <c r="D357" s="81" t="inlineStr">
        <is>
          <t>MTS bottom bonus threshold. | Live read: `F_REGIME_SIZE_CAP', 'HTF_REGIME_TF', 'HTF_REGIME_VOL_TARGET', 'HTF_TREND_VETO_BY`</t>
        </is>
      </c>
      <c r="E357" s="81" t="inlineStr">
        <is>
          <t>ENTRY, GLOBAL_CHECK, STOCKS_EXIT</t>
        </is>
      </c>
      <c r="F357" s="81" t="inlineStr">
        <is>
          <t>ENTRY, GLOBAL_CHECK, STOCKS_EXIT</t>
        </is>
      </c>
      <c r="G357" s="81" t="inlineStr">
        <is>
          <t>MTS_BOTTOM_BONUS_THRESHOLD</t>
        </is>
      </c>
      <c r="H357" s="81" t="inlineStr">
        <is>
          <t>GENERAL</t>
        </is>
      </c>
      <c r="I357" s="81" t="inlineStr">
        <is>
          <t>LIVE — wired</t>
        </is>
      </c>
      <c r="J357" s="8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1" t="n">
        <v>100</v>
      </c>
      <c r="B358" s="81" t="inlineStr">
        <is>
          <t>MTS_BOTTOM_BONUS_THRESHOLD</t>
        </is>
      </c>
      <c r="C358" s="0" t="inlineStr">
        <is>
          <t>18.75</t>
        </is>
      </c>
      <c r="D358" s="81" t="inlineStr">
        <is>
          <t>MTS bottom bonus threshold. | Live read: `F_REGIME_SIZE_CAP', 'HTF_REGIME_TF', 'HTF_REGIME_VOL_TARGET', 'HTF_TREND_VETO_BY`</t>
        </is>
      </c>
      <c r="E358" s="81" t="inlineStr">
        <is>
          <t>ENTRY, GLOBAL_CHECK, STOCKS_EXIT</t>
        </is>
      </c>
      <c r="F358" s="81" t="inlineStr">
        <is>
          <t>ENTRY, GLOBAL_CHECK, STOCKS_EXIT</t>
        </is>
      </c>
      <c r="G358" s="81" t="inlineStr">
        <is>
          <t>MTS_BOTTOM_BONUS_THRESHOLD</t>
        </is>
      </c>
      <c r="H358" s="81" t="inlineStr">
        <is>
          <t>GENERAL</t>
        </is>
      </c>
      <c r="I358" s="81" t="inlineStr">
        <is>
          <t>LIVE — wired</t>
        </is>
      </c>
      <c r="J358" s="8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1" t="n">
        <v>100</v>
      </c>
      <c r="B359" s="81" t="inlineStr">
        <is>
          <t>MTS_BOTTOM_BONUS_THRESHOLD</t>
        </is>
      </c>
      <c r="C359" s="0" t="inlineStr">
        <is>
          <t>12.5</t>
        </is>
      </c>
      <c r="D359" s="81" t="inlineStr">
        <is>
          <t>MTS bottom bonus threshold. | Live read: `F_REGIME_SIZE_CAP', 'HTF_REGIME_TF', 'HTF_REGIME_VOL_TARGET', 'HTF_TREND_VETO_BY`</t>
        </is>
      </c>
      <c r="E359" s="81" t="inlineStr">
        <is>
          <t>ENTRY, GLOBAL_CHECK, STOCKS_EXIT</t>
        </is>
      </c>
      <c r="F359" s="81" t="inlineStr">
        <is>
          <t>ENTRY, GLOBAL_CHECK, STOCKS_EXIT</t>
        </is>
      </c>
      <c r="G359" s="81" t="inlineStr">
        <is>
          <t>MTS_BOTTOM_BONUS_THRESHOLD</t>
        </is>
      </c>
      <c r="H359" s="81" t="inlineStr">
        <is>
          <t>GENERAL</t>
        </is>
      </c>
      <c r="I359" s="81" t="inlineStr">
        <is>
          <t>LIVE — wired</t>
        </is>
      </c>
      <c r="J359" s="8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0" t="n">
        <v>101</v>
      </c>
      <c r="B360" s="90" t="inlineStr">
        <is>
          <t>MTS_BOTTOM_STRONG_THRESHOLD</t>
        </is>
      </c>
      <c r="C360" s="0" t="inlineStr">
        <is>
          <t>40</t>
        </is>
      </c>
      <c r="D360" s="81" t="inlineStr">
        <is>
          <t>Threshold/gate: MTS_BOTTOM_STRONG_THRESHOLD — E_TF', 'HTF_REGIME_VOL_TARGET', 'HTF_TREND_VETO_BYPASS_ENABLED', 'HTF_TREND_VETO_BYPASS_REASONS', 'HTF_W_M_ALIGN_GATE',  | ex: `E_TF', 'HTF_REGIME_VOL_TARGET', 'HTF_TREND_VETO_BYPASS_ENABLED', 'HTF_TREND_VETO`</t>
        </is>
      </c>
      <c r="E360" s="81" t="inlineStr">
        <is>
          <t>ENTRY, GLOBAL_CHECK, STOCKS_EXIT</t>
        </is>
      </c>
      <c r="F360" s="81" t="inlineStr">
        <is>
          <t>ENTRY, GLOBAL_CHECK, STOCKS_EXIT</t>
        </is>
      </c>
      <c r="G360" s="81" t="inlineStr">
        <is>
          <t>MTS_BOTTOM_STRONG_THRESHOLD</t>
        </is>
      </c>
      <c r="H360" s="81" t="inlineStr">
        <is>
          <t>GENERAL</t>
        </is>
      </c>
      <c r="I360" s="81" t="inlineStr">
        <is>
          <t>LIVE — wired</t>
        </is>
      </c>
      <c r="J360" s="8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1" t="n">
        <v>101</v>
      </c>
      <c r="B361" s="81" t="inlineStr">
        <is>
          <t>MTS_BOTTOM_STRONG_THRESHOLD</t>
        </is>
      </c>
      <c r="C361" s="0" t="inlineStr">
        <is>
          <t>50</t>
        </is>
      </c>
      <c r="D361" s="81" t="inlineStr">
        <is>
          <t>Threshold/gate: MTS_BOTTOM_STRONG_THRESHOLD — E_TF', 'HTF_REGIME_VOL_TARGET', 'HTF_TREND_VETO_BYPASS_ENABLED', 'HTF_TREND_VETO_BYPASS_REASONS', 'HTF_W_M_ALIGN_GATE',  | ex: `E_TF', 'HTF_REGIME_VOL_TARGET', 'HTF_TREND_VETO_BYPASS_ENABLED', 'HTF_TREND_VETO`</t>
        </is>
      </c>
      <c r="E361" s="81" t="inlineStr">
        <is>
          <t>ENTRY, GLOBAL_CHECK, STOCKS_EXIT</t>
        </is>
      </c>
      <c r="F361" s="81" t="inlineStr">
        <is>
          <t>ENTRY, GLOBAL_CHECK, STOCKS_EXIT</t>
        </is>
      </c>
      <c r="G361" s="81" t="inlineStr">
        <is>
          <t>MTS_BOTTOM_STRONG_THRESHOLD</t>
        </is>
      </c>
      <c r="H361" s="81" t="inlineStr">
        <is>
          <t>GENERAL</t>
        </is>
      </c>
      <c r="I361" s="81" t="inlineStr">
        <is>
          <t>LIVE — wired</t>
        </is>
      </c>
      <c r="J361" s="8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1" t="n">
        <v>101</v>
      </c>
      <c r="B362" s="81" t="inlineStr">
        <is>
          <t>MTS_BOTTOM_STRONG_THRESHOLD</t>
        </is>
      </c>
      <c r="C362" s="0" t="inlineStr">
        <is>
          <t>30</t>
        </is>
      </c>
      <c r="D362" s="81" t="inlineStr">
        <is>
          <t>Threshold/gate: MTS_BOTTOM_STRONG_THRESHOLD — E_TF', 'HTF_REGIME_VOL_TARGET', 'HTF_TREND_VETO_BYPASS_ENABLED', 'HTF_TREND_VETO_BYPASS_REASONS', 'HTF_W_M_ALIGN_GATE',  | ex: `E_TF', 'HTF_REGIME_VOL_TARGET', 'HTF_TREND_VETO_BYPASS_ENABLED', 'HTF_TREND_VETO`</t>
        </is>
      </c>
      <c r="E362" s="81" t="inlineStr">
        <is>
          <t>ENTRY, GLOBAL_CHECK, STOCKS_EXIT</t>
        </is>
      </c>
      <c r="F362" s="81" t="inlineStr">
        <is>
          <t>ENTRY, GLOBAL_CHECK, STOCKS_EXIT</t>
        </is>
      </c>
      <c r="G362" s="81" t="inlineStr">
        <is>
          <t>MTS_BOTTOM_STRONG_THRESHOLD</t>
        </is>
      </c>
      <c r="H362" s="81" t="inlineStr">
        <is>
          <t>GENERAL</t>
        </is>
      </c>
      <c r="I362" s="81" t="inlineStr">
        <is>
          <t>LIVE — wired</t>
        </is>
      </c>
      <c r="J362" s="8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1" t="n">
        <v>101</v>
      </c>
      <c r="B363" s="81" t="inlineStr">
        <is>
          <t>MTS_BOTTOM_STRONG_THRESHOLD</t>
        </is>
      </c>
      <c r="C363" s="0" t="inlineStr">
        <is>
          <t>20</t>
        </is>
      </c>
      <c r="D363" s="81" t="inlineStr">
        <is>
          <t>Threshold/gate: MTS_BOTTOM_STRONG_THRESHOLD — E_TF', 'HTF_REGIME_VOL_TARGET', 'HTF_TREND_VETO_BYPASS_ENABLED', 'HTF_TREND_VETO_BYPASS_REASONS', 'HTF_W_M_ALIGN_GATE',  | ex: `E_TF', 'HTF_REGIME_VOL_TARGET', 'HTF_TREND_VETO_BYPASS_ENABLED', 'HTF_TREND_VETO`</t>
        </is>
      </c>
      <c r="E363" s="81" t="inlineStr">
        <is>
          <t>ENTRY, GLOBAL_CHECK, STOCKS_EXIT</t>
        </is>
      </c>
      <c r="F363" s="81" t="inlineStr">
        <is>
          <t>ENTRY, GLOBAL_CHECK, STOCKS_EXIT</t>
        </is>
      </c>
      <c r="G363" s="81" t="inlineStr">
        <is>
          <t>MTS_BOTTOM_STRONG_THRESHOLD</t>
        </is>
      </c>
      <c r="H363" s="81" t="inlineStr">
        <is>
          <t>GENERAL</t>
        </is>
      </c>
      <c r="I363" s="81" t="inlineStr">
        <is>
          <t>LIVE — wired</t>
        </is>
      </c>
      <c r="J363" s="8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0" t="n">
        <v>102</v>
      </c>
      <c r="B364" s="90" t="inlineStr">
        <is>
          <t>MTS_GATE_ENABLED</t>
        </is>
      </c>
      <c r="C364" s="0" t="inlineStr">
        <is>
          <t>False</t>
        </is>
      </c>
      <c r="D364" s="81" t="inlineStr">
        <is>
          <t>MTS (Mayer) gate enabled. | Live read: `'HTF_TREND_VETO_BYPASS_ENABLED', 'HTF_TREND_VETO_BYPASS_REASONS', 'HTF_W_M_ALIGN`</t>
        </is>
      </c>
      <c r="E364" s="81" t="inlineStr">
        <is>
          <t>ENTRY, GLOBAL_CHECK, STOCKS_EXIT</t>
        </is>
      </c>
      <c r="F364" s="81" t="inlineStr">
        <is>
          <t>ENTRY, GLOBAL_CHECK, STOCKS_EXIT</t>
        </is>
      </c>
      <c r="G364" s="81" t="inlineStr">
        <is>
          <t>MTS_GATE_ENABLED</t>
        </is>
      </c>
      <c r="H364" s="81" t="inlineStr">
        <is>
          <t>GENERAL</t>
        </is>
      </c>
      <c r="I364" s="81" t="inlineStr">
        <is>
          <t>LIVE — wired</t>
        </is>
      </c>
      <c r="J364" s="8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1" t="n">
        <v>102</v>
      </c>
      <c r="B365" s="81" t="inlineStr">
        <is>
          <t>MTS_GATE_ENABLED</t>
        </is>
      </c>
      <c r="C365" s="0" t="inlineStr">
        <is>
          <t>True</t>
        </is>
      </c>
      <c r="D365" s="81" t="inlineStr">
        <is>
          <t>MTS (Mayer) gate enabled. | Live read: `'HTF_TREND_VETO_BYPASS_ENABLED', 'HTF_TREND_VETO_BYPASS_REASONS', 'HTF_W_M_ALIGN`</t>
        </is>
      </c>
      <c r="E365" s="81" t="inlineStr">
        <is>
          <t>ENTRY, GLOBAL_CHECK, STOCKS_EXIT</t>
        </is>
      </c>
      <c r="F365" s="81" t="inlineStr">
        <is>
          <t>ENTRY, GLOBAL_CHECK, STOCKS_EXIT</t>
        </is>
      </c>
      <c r="G365" s="81" t="inlineStr">
        <is>
          <t>MTS_GATE_ENABLED</t>
        </is>
      </c>
      <c r="H365" s="81" t="inlineStr">
        <is>
          <t>GENERAL</t>
        </is>
      </c>
      <c r="I365" s="81" t="inlineStr">
        <is>
          <t>LIVE — wired</t>
        </is>
      </c>
      <c r="J365" s="8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1" t="n">
        <v>103</v>
      </c>
      <c r="B366" s="91"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0" t="n">
        <v>104</v>
      </c>
      <c r="B371" s="90" t="inlineStr">
        <is>
          <t>NEWBORN_LOSS_KILL_GAIN_THRESHOLD_PCT</t>
        </is>
      </c>
      <c r="C371" s="0" t="inlineStr">
        <is>
          <t>0</t>
        </is>
      </c>
      <c r="D371" s="81" t="inlineStr">
        <is>
          <t>Threshold/gate: NEWBORN_LOSS_KILL_GAIN_THRESHOLD_PCT — _PCT', 'MANDATORY_HEDGE_HARD_THRESHOLD_PCT', 'MANDATORY_HEDGE_ON_NEGATIVE_ENABLED', 'MIN_TFS_AGREE_EXIT', 'MI_DIV_EXIT_E | ex: `_PCT', 'MANDATORY_HEDGE_HARD_THRESHOLD_PCT', 'MANDATORY_HEDGE_ON_NEGATIVE_ENABLE`</t>
        </is>
      </c>
      <c r="E371" s="81" t="inlineStr">
        <is>
          <t>AUGMENT, EXIT, GLOBAL_CHECK, REDUCE, STOCKS_EXIT</t>
        </is>
      </c>
      <c r="F371" s="81" t="inlineStr">
        <is>
          <t>AUGMENT, EXIT, GLOBAL_CHECK, REDUCE, STOCKS_EXIT</t>
        </is>
      </c>
      <c r="G371" s="81" t="inlineStr">
        <is>
          <t>NEWBORN_LOSS_KILL_GAIN_THRESHOLD</t>
        </is>
      </c>
      <c r="H371" s="81" t="inlineStr">
        <is>
          <t>GENERAL</t>
        </is>
      </c>
      <c r="I371" s="81" t="inlineStr">
        <is>
          <t>LIVE — wired</t>
        </is>
      </c>
      <c r="J371" s="8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1" t="n">
        <v>104</v>
      </c>
      <c r="B372" s="81" t="inlineStr">
        <is>
          <t>NEWBORN_LOSS_KILL_GAIN_THRESHOLD_PCT</t>
        </is>
      </c>
      <c r="C372" s="0" t="inlineStr">
        <is>
          <t>2.0</t>
        </is>
      </c>
      <c r="D372" s="81" t="inlineStr">
        <is>
          <t>Threshold/gate: NEWBORN_LOSS_KILL_GAIN_THRESHOLD_PCT — _PCT', 'MANDATORY_HEDGE_HARD_THRESHOLD_PCT', 'MANDATORY_HEDGE_ON_NEGATIVE_ENABLED', 'MIN_TFS_AGREE_EXIT', 'MI_DIV_EXIT_E | ex: `_PCT', 'MANDATORY_HEDGE_HARD_THRESHOLD_PCT', 'MANDATORY_HEDGE_ON_NEGATIVE_ENABLE`</t>
        </is>
      </c>
      <c r="E372" s="81" t="inlineStr">
        <is>
          <t>AUGMENT, EXIT, GLOBAL_CHECK, REDUCE, STOCKS_EXIT</t>
        </is>
      </c>
      <c r="F372" s="81" t="inlineStr">
        <is>
          <t>AUGMENT, EXIT, GLOBAL_CHECK, REDUCE, STOCKS_EXIT</t>
        </is>
      </c>
      <c r="G372" s="81" t="inlineStr">
        <is>
          <t>NEWBORN_LOSS_KILL_GAIN_THRESHOLD</t>
        </is>
      </c>
      <c r="H372" s="81" t="inlineStr">
        <is>
          <t>GENERAL</t>
        </is>
      </c>
      <c r="I372" s="81" t="inlineStr">
        <is>
          <t>LIVE — wired</t>
        </is>
      </c>
      <c r="J372" s="8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1" t="n">
        <v>104</v>
      </c>
      <c r="B373" s="81" t="inlineStr">
        <is>
          <t>NEWBORN_LOSS_KILL_GAIN_THRESHOLD_PCT</t>
        </is>
      </c>
      <c r="C373" s="0" t="inlineStr">
        <is>
          <t>1.0</t>
        </is>
      </c>
      <c r="D373" s="81" t="inlineStr">
        <is>
          <t>Threshold/gate: NEWBORN_LOSS_KILL_GAIN_THRESHOLD_PCT — _PCT', 'MANDATORY_HEDGE_HARD_THRESHOLD_PCT', 'MANDATORY_HEDGE_ON_NEGATIVE_ENABLED', 'MIN_TFS_AGREE_EXIT', 'MI_DIV_EXIT_E | ex: `_PCT', 'MANDATORY_HEDGE_HARD_THRESHOLD_PCT', 'MANDATORY_HEDGE_ON_NEGATIVE_ENABLE`</t>
        </is>
      </c>
      <c r="E373" s="81" t="inlineStr">
        <is>
          <t>AUGMENT, EXIT, GLOBAL_CHECK, REDUCE, STOCKS_EXIT</t>
        </is>
      </c>
      <c r="F373" s="81" t="inlineStr">
        <is>
          <t>AUGMENT, EXIT, GLOBAL_CHECK, REDUCE, STOCKS_EXIT</t>
        </is>
      </c>
      <c r="G373" s="81" t="inlineStr">
        <is>
          <t>NEWBORN_LOSS_KILL_GAIN_THRESHOLD</t>
        </is>
      </c>
      <c r="H373" s="81" t="inlineStr">
        <is>
          <t>GENERAL</t>
        </is>
      </c>
      <c r="I373" s="81" t="inlineStr">
        <is>
          <t>LIVE — wired</t>
        </is>
      </c>
      <c r="J373" s="8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1" t="n">
        <v>104</v>
      </c>
      <c r="B374" s="81" t="inlineStr">
        <is>
          <t>NEWBORN_LOSS_KILL_GAIN_THRESHOLD_PCT</t>
        </is>
      </c>
      <c r="C374" s="0" t="inlineStr">
        <is>
          <t>0.5</t>
        </is>
      </c>
      <c r="D374" s="81" t="inlineStr">
        <is>
          <t>Threshold/gate: NEWBORN_LOSS_KILL_GAIN_THRESHOLD_PCT — _PCT', 'MANDATORY_HEDGE_HARD_THRESHOLD_PCT', 'MANDATORY_HEDGE_ON_NEGATIVE_ENABLED', 'MIN_TFS_AGREE_EXIT', 'MI_DIV_EXIT_E | ex: `_PCT', 'MANDATORY_HEDGE_HARD_THRESHOLD_PCT', 'MANDATORY_HEDGE_ON_NEGATIVE_ENABLE`</t>
        </is>
      </c>
      <c r="E374" s="81" t="inlineStr">
        <is>
          <t>AUGMENT, EXIT, GLOBAL_CHECK, REDUCE, STOCKS_EXIT</t>
        </is>
      </c>
      <c r="F374" s="81" t="inlineStr">
        <is>
          <t>AUGMENT, EXIT, GLOBAL_CHECK, REDUCE, STOCKS_EXIT</t>
        </is>
      </c>
      <c r="G374" s="81" t="inlineStr">
        <is>
          <t>NEWBORN_LOSS_KILL_GAIN_THRESHOLD</t>
        </is>
      </c>
      <c r="H374" s="81" t="inlineStr">
        <is>
          <t>GENERAL</t>
        </is>
      </c>
      <c r="I374" s="81" t="inlineStr">
        <is>
          <t>LIVE — wired</t>
        </is>
      </c>
      <c r="J374" s="8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0" t="n">
        <v>105</v>
      </c>
      <c r="B375" s="90" t="inlineStr">
        <is>
          <t>NEWBORN_LOSS_KILL_REQUIRE_VEL_AGAINST</t>
        </is>
      </c>
      <c r="C375" s="0" t="inlineStr">
        <is>
          <t>0.0</t>
        </is>
      </c>
      <c r="D375" s="81" t="inlineStr">
        <is>
          <t>Threshold/gate: NEWBORN_LOSS_KILL_REQUIRE_VEL_AGAINST — CT', 'MANDATORY_HEDGE_ON_NEGATIVE_ENABLED', 'MIN_TFS_AGREE_EXIT', 'MI_DIV_EXIT_ENABLED', 'MI_EXHAUST_EXIT_ENABLED', 'MI_ | ex: `CT', 'MANDATORY_HEDGE_ON_NEGATIVE_ENABLED', 'MIN_TFS_AGREE_EXIT', 'MI_DIV_EXIT_E`</t>
        </is>
      </c>
      <c r="E375" s="81" t="inlineStr">
        <is>
          <t>AUGMENT, EXIT, GLOBAL_CHECK, REDUCE, STOCKS_EXIT</t>
        </is>
      </c>
      <c r="F375" s="81" t="inlineStr">
        <is>
          <t>AUGMENT, EXIT, GLOBAL_CHECK, REDUCE, STOCKS_EXIT</t>
        </is>
      </c>
      <c r="G375" s="81" t="inlineStr">
        <is>
          <t>NEWBORN_LOSS_KILL_REQUIRE_VEL_AG</t>
        </is>
      </c>
      <c r="H375" s="81" t="inlineStr">
        <is>
          <t>GENERAL</t>
        </is>
      </c>
      <c r="I375" s="81" t="inlineStr">
        <is>
          <t>LIVE — wired</t>
        </is>
      </c>
      <c r="J375" s="8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1" t="n">
        <v>105</v>
      </c>
      <c r="B376" s="81" t="inlineStr">
        <is>
          <t>NEWBORN_LOSS_KILL_REQUIRE_VEL_AGAINST</t>
        </is>
      </c>
      <c r="C376" s="0" t="inlineStr">
        <is>
          <t>0.0_ALT</t>
        </is>
      </c>
      <c r="D376" s="81" t="inlineStr">
        <is>
          <t>Threshold/gate: NEWBORN_LOSS_KILL_REQUIRE_VEL_AGAINST — CT', 'MANDATORY_HEDGE_ON_NEGATIVE_ENABLED', 'MIN_TFS_AGREE_EXIT', 'MI_DIV_EXIT_ENABLED', 'MI_EXHAUST_EXIT_ENABLED', 'MI_ | ex: `CT', 'MANDATORY_HEDGE_ON_NEGATIVE_ENABLED', 'MIN_TFS_AGREE_EXIT', 'MI_DIV_EXIT_E`</t>
        </is>
      </c>
      <c r="E376" s="81" t="inlineStr">
        <is>
          <t>AUGMENT, EXIT, GLOBAL_CHECK, REDUCE, STOCKS_EXIT</t>
        </is>
      </c>
      <c r="F376" s="81" t="inlineStr">
        <is>
          <t>AUGMENT, EXIT, GLOBAL_CHECK, REDUCE, STOCKS_EXIT</t>
        </is>
      </c>
      <c r="G376" s="81" t="inlineStr">
        <is>
          <t>NEWBORN_LOSS_KILL_REQUIRE_VEL_AG</t>
        </is>
      </c>
      <c r="H376" s="81" t="inlineStr">
        <is>
          <t>GENERAL</t>
        </is>
      </c>
      <c r="I376" s="81" t="inlineStr">
        <is>
          <t>LIVE — wired</t>
        </is>
      </c>
      <c r="J376" s="8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1" t="n">
        <v>106</v>
      </c>
      <c r="B377" s="91"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0" t="n">
        <v>107</v>
      </c>
      <c r="B382" s="90" t="inlineStr">
        <is>
          <t>NEW_POSITION_MAX_LOSS_THRESHOLD</t>
        </is>
      </c>
      <c r="C382" s="0" t="inlineStr">
        <is>
          <t>0</t>
        </is>
      </c>
      <c r="D382" s="81" t="inlineStr">
        <is>
          <t>Threshold/gate: NEW_POSITION_MAX_LOSS_THRESHOLD — _EXHAUSTIVE_REDUCE_LIST_LIVE = ['DC_BREACH_REDUCE_ENABLED', 'DC_BREACH_REDUCE_FILTER_TF', 'DC_BREACH_REDUCE_MIN_TFS', 'D | ex: `_EXHAUSTIVE_REDUCE_LIST_LIVE = ['DC_BREACH_REDUCE_ENABLED', 'DC_BREACH_REDUCE_FI`</t>
        </is>
      </c>
      <c r="E382" s="81" t="inlineStr">
        <is>
          <t>AUGMENT, EXIT, GLOBAL_CHECK, REDUCE, STOCKS_EXIT</t>
        </is>
      </c>
      <c r="F382" s="81" t="inlineStr">
        <is>
          <t>AUGMENT, EXIT, GLOBAL_CHECK, REDUCE, STOCKS_EXIT</t>
        </is>
      </c>
      <c r="G382" s="81" t="inlineStr">
        <is>
          <t>NEW_POSITION_MAX_LOSS_THRESHOLD</t>
        </is>
      </c>
      <c r="H382" s="81" t="inlineStr">
        <is>
          <t>GENERAL</t>
        </is>
      </c>
      <c r="I382" s="81" t="inlineStr">
        <is>
          <t>LIVE — wired</t>
        </is>
      </c>
      <c r="J382" s="8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1" t="n">
        <v>107</v>
      </c>
      <c r="B383" s="81" t="inlineStr">
        <is>
          <t>NEW_POSITION_MAX_LOSS_THRESHOLD</t>
        </is>
      </c>
      <c r="C383" s="0" t="inlineStr">
        <is>
          <t>2.0</t>
        </is>
      </c>
      <c r="D383" s="81" t="inlineStr">
        <is>
          <t>Threshold/gate: NEW_POSITION_MAX_LOSS_THRESHOLD — _EXHAUSTIVE_REDUCE_LIST_LIVE = ['DC_BREACH_REDUCE_ENABLED', 'DC_BREACH_REDUCE_FILTER_TF', 'DC_BREACH_REDUCE_MIN_TFS', 'D | ex: `_EXHAUSTIVE_REDUCE_LIST_LIVE = ['DC_BREACH_REDUCE_ENABLED', 'DC_BREACH_REDUCE_FI`</t>
        </is>
      </c>
      <c r="E383" s="81" t="inlineStr">
        <is>
          <t>AUGMENT, EXIT, GLOBAL_CHECK, REDUCE, STOCKS_EXIT</t>
        </is>
      </c>
      <c r="F383" s="81" t="inlineStr">
        <is>
          <t>AUGMENT, EXIT, GLOBAL_CHECK, REDUCE, STOCKS_EXIT</t>
        </is>
      </c>
      <c r="G383" s="81" t="inlineStr">
        <is>
          <t>NEW_POSITION_MAX_LOSS_THRESHOLD</t>
        </is>
      </c>
      <c r="H383" s="81" t="inlineStr">
        <is>
          <t>GENERAL</t>
        </is>
      </c>
      <c r="I383" s="81" t="inlineStr">
        <is>
          <t>LIVE — wired</t>
        </is>
      </c>
      <c r="J383" s="8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1" t="n">
        <v>107</v>
      </c>
      <c r="B384" s="81" t="inlineStr">
        <is>
          <t>NEW_POSITION_MAX_LOSS_THRESHOLD</t>
        </is>
      </c>
      <c r="C384" s="0" t="inlineStr">
        <is>
          <t>1.0</t>
        </is>
      </c>
      <c r="D384" s="81" t="inlineStr">
        <is>
          <t>Threshold/gate: NEW_POSITION_MAX_LOSS_THRESHOLD — _EXHAUSTIVE_REDUCE_LIST_LIVE = ['DC_BREACH_REDUCE_ENABLED', 'DC_BREACH_REDUCE_FILTER_TF', 'DC_BREACH_REDUCE_MIN_TFS', 'D | ex: `_EXHAUSTIVE_REDUCE_LIST_LIVE = ['DC_BREACH_REDUCE_ENABLED', 'DC_BREACH_REDUCE_FI`</t>
        </is>
      </c>
      <c r="E384" s="81" t="inlineStr">
        <is>
          <t>AUGMENT, EXIT, GLOBAL_CHECK, REDUCE, STOCKS_EXIT</t>
        </is>
      </c>
      <c r="F384" s="81" t="inlineStr">
        <is>
          <t>AUGMENT, EXIT, GLOBAL_CHECK, REDUCE, STOCKS_EXIT</t>
        </is>
      </c>
      <c r="G384" s="81" t="inlineStr">
        <is>
          <t>NEW_POSITION_MAX_LOSS_THRESHOLD</t>
        </is>
      </c>
      <c r="H384" s="81" t="inlineStr">
        <is>
          <t>GENERAL</t>
        </is>
      </c>
      <c r="I384" s="81" t="inlineStr">
        <is>
          <t>LIVE — wired</t>
        </is>
      </c>
      <c r="J384" s="8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1" t="n">
        <v>107</v>
      </c>
      <c r="B385" s="81" t="inlineStr">
        <is>
          <t>NEW_POSITION_MAX_LOSS_THRESHOLD</t>
        </is>
      </c>
      <c r="C385" s="0" t="inlineStr">
        <is>
          <t>0.5</t>
        </is>
      </c>
      <c r="D385" s="81" t="inlineStr">
        <is>
          <t>Threshold/gate: NEW_POSITION_MAX_LOSS_THRESHOLD — _EXHAUSTIVE_REDUCE_LIST_LIVE = ['DC_BREACH_REDUCE_ENABLED', 'DC_BREACH_REDUCE_FILTER_TF', 'DC_BREACH_REDUCE_MIN_TFS', 'D | ex: `_EXHAUSTIVE_REDUCE_LIST_LIVE = ['DC_BREACH_REDUCE_ENABLED', 'DC_BREACH_REDUCE_FI`</t>
        </is>
      </c>
      <c r="E385" s="81" t="inlineStr">
        <is>
          <t>AUGMENT, EXIT, GLOBAL_CHECK, REDUCE, STOCKS_EXIT</t>
        </is>
      </c>
      <c r="F385" s="81" t="inlineStr">
        <is>
          <t>AUGMENT, EXIT, GLOBAL_CHECK, REDUCE, STOCKS_EXIT</t>
        </is>
      </c>
      <c r="G385" s="81" t="inlineStr">
        <is>
          <t>NEW_POSITION_MAX_LOSS_THRESHOLD</t>
        </is>
      </c>
      <c r="H385" s="81" t="inlineStr">
        <is>
          <t>GENERAL</t>
        </is>
      </c>
      <c r="I385" s="81" t="inlineStr">
        <is>
          <t>LIVE — wired</t>
        </is>
      </c>
      <c r="J385" s="8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1" t="n">
        <v>108</v>
      </c>
      <c r="B386" s="91"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0" t="n">
        <v>109</v>
      </c>
      <c r="B391" s="90" t="inlineStr">
        <is>
          <t>OI_CONFIRM_ENABLED</t>
        </is>
      </c>
      <c r="C391" s="0" t="inlineStr">
        <is>
          <t>False</t>
        </is>
      </c>
      <c r="D391" s="81" t="inlineStr">
        <is>
          <t>Open Interest confirmation enabled. | Live read: `N_GATE', 'LEADERBOARD_FILTER', 'LIVE_ONLY_SIGNALS_BATCH5_FILTER_TF', 'LIVE_VEC_E`</t>
        </is>
      </c>
      <c r="E391" s="81" t="inlineStr">
        <is>
          <t>ENTRY, GLOBAL_CHECK, STOCKS_EXIT</t>
        </is>
      </c>
      <c r="F391" s="81" t="inlineStr">
        <is>
          <t>ENTRY, GLOBAL_CHECK, STOCKS_EXIT</t>
        </is>
      </c>
      <c r="G391" s="81" t="inlineStr">
        <is>
          <t>OI_CONFIRM_ENABLED</t>
        </is>
      </c>
      <c r="H391" s="81" t="inlineStr">
        <is>
          <t>GENERAL</t>
        </is>
      </c>
      <c r="I391" s="81" t="inlineStr">
        <is>
          <t>LIVE — wired</t>
        </is>
      </c>
      <c r="J391" s="8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1" t="n">
        <v>109</v>
      </c>
      <c r="B392" s="81" t="inlineStr">
        <is>
          <t>OI_CONFIRM_ENABLED</t>
        </is>
      </c>
      <c r="C392" s="0" t="inlineStr">
        <is>
          <t>True</t>
        </is>
      </c>
      <c r="D392" s="81" t="inlineStr">
        <is>
          <t>Open Interest confirmation enabled. | Live read: `N_GATE', 'LEADERBOARD_FILTER', 'LIVE_ONLY_SIGNALS_BATCH5_FILTER_TF', 'LIVE_VEC_E`</t>
        </is>
      </c>
      <c r="E392" s="81" t="inlineStr">
        <is>
          <t>ENTRY, GLOBAL_CHECK, STOCKS_EXIT</t>
        </is>
      </c>
      <c r="F392" s="81" t="inlineStr">
        <is>
          <t>ENTRY, GLOBAL_CHECK, STOCKS_EXIT</t>
        </is>
      </c>
      <c r="G392" s="81" t="inlineStr">
        <is>
          <t>OI_CONFIRM_ENABLED</t>
        </is>
      </c>
      <c r="H392" s="81" t="inlineStr">
        <is>
          <t>GENERAL</t>
        </is>
      </c>
      <c r="I392" s="81" t="inlineStr">
        <is>
          <t>LIVE — wired</t>
        </is>
      </c>
      <c r="J392" s="8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0" t="n">
        <v>110</v>
      </c>
      <c r="B393" s="90" t="inlineStr">
        <is>
          <t>OI_CONFIRM_MIN_CHANGE_PCT</t>
        </is>
      </c>
      <c r="C393" s="0" t="inlineStr">
        <is>
          <t>0</t>
        </is>
      </c>
      <c r="D393" s="81" t="inlineStr">
        <is>
          <t>Threshold/gate: OI_CONFIRM_MIN_CHANGE_PCT — FILTER', 'LIVE_ONLY_SIGNALS_BATCH5_FILTER_TF', 'LIVE_VEC_EMERGENCY_BRAKE_ENABLED', 'LR_BAND_LADDER_STOCH_EXTREME', 'LR_B | ex: `FILTER', 'LIVE_ONLY_SIGNALS_BATCH5_FILTER_TF', 'LIVE_VEC_EMERGENCY_BRAKE_ENABLED`</t>
        </is>
      </c>
      <c r="E393" s="81" t="inlineStr">
        <is>
          <t>ENTRY, GLOBAL_CHECK, STOCKS_EXIT</t>
        </is>
      </c>
      <c r="F393" s="81" t="inlineStr">
        <is>
          <t>ENTRY, GLOBAL_CHECK, STOCKS_EXIT</t>
        </is>
      </c>
      <c r="G393" s="81" t="inlineStr">
        <is>
          <t>OI_CONFIRM_MIN_CHANGE_PCT</t>
        </is>
      </c>
      <c r="H393" s="81" t="inlineStr">
        <is>
          <t>GENERAL</t>
        </is>
      </c>
      <c r="I393" s="81" t="inlineStr">
        <is>
          <t>LIVE — wired</t>
        </is>
      </c>
      <c r="J393" s="8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1" t="n">
        <v>110</v>
      </c>
      <c r="B394" s="81" t="inlineStr">
        <is>
          <t>OI_CONFIRM_MIN_CHANGE_PCT</t>
        </is>
      </c>
      <c r="C394" s="0" t="inlineStr">
        <is>
          <t>2.0</t>
        </is>
      </c>
      <c r="D394" s="81" t="inlineStr">
        <is>
          <t>Threshold/gate: OI_CONFIRM_MIN_CHANGE_PCT — FILTER', 'LIVE_ONLY_SIGNALS_BATCH5_FILTER_TF', 'LIVE_VEC_EMERGENCY_BRAKE_ENABLED', 'LR_BAND_LADDER_STOCH_EXTREME', 'LR_B | ex: `FILTER', 'LIVE_ONLY_SIGNALS_BATCH5_FILTER_TF', 'LIVE_VEC_EMERGENCY_BRAKE_ENABLED`</t>
        </is>
      </c>
      <c r="E394" s="81" t="inlineStr">
        <is>
          <t>ENTRY, GLOBAL_CHECK, STOCKS_EXIT</t>
        </is>
      </c>
      <c r="F394" s="81" t="inlineStr">
        <is>
          <t>ENTRY, GLOBAL_CHECK, STOCKS_EXIT</t>
        </is>
      </c>
      <c r="G394" s="81" t="inlineStr">
        <is>
          <t>OI_CONFIRM_MIN_CHANGE_PCT</t>
        </is>
      </c>
      <c r="H394" s="81" t="inlineStr">
        <is>
          <t>GENERAL</t>
        </is>
      </c>
      <c r="I394" s="81" t="inlineStr">
        <is>
          <t>LIVE — wired</t>
        </is>
      </c>
      <c r="J394" s="8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1" t="n">
        <v>110</v>
      </c>
      <c r="B395" s="81" t="inlineStr">
        <is>
          <t>OI_CONFIRM_MIN_CHANGE_PCT</t>
        </is>
      </c>
      <c r="C395" s="0" t="inlineStr">
        <is>
          <t>1.0</t>
        </is>
      </c>
      <c r="D395" s="81" t="inlineStr">
        <is>
          <t>Threshold/gate: OI_CONFIRM_MIN_CHANGE_PCT — FILTER', 'LIVE_ONLY_SIGNALS_BATCH5_FILTER_TF', 'LIVE_VEC_EMERGENCY_BRAKE_ENABLED', 'LR_BAND_LADDER_STOCH_EXTREME', 'LR_B | ex: `FILTER', 'LIVE_ONLY_SIGNALS_BATCH5_FILTER_TF', 'LIVE_VEC_EMERGENCY_BRAKE_ENABLED`</t>
        </is>
      </c>
      <c r="E395" s="81" t="inlineStr">
        <is>
          <t>ENTRY, GLOBAL_CHECK, STOCKS_EXIT</t>
        </is>
      </c>
      <c r="F395" s="81" t="inlineStr">
        <is>
          <t>ENTRY, GLOBAL_CHECK, STOCKS_EXIT</t>
        </is>
      </c>
      <c r="G395" s="81" t="inlineStr">
        <is>
          <t>OI_CONFIRM_MIN_CHANGE_PCT</t>
        </is>
      </c>
      <c r="H395" s="81" t="inlineStr">
        <is>
          <t>GENERAL</t>
        </is>
      </c>
      <c r="I395" s="81" t="inlineStr">
        <is>
          <t>LIVE — wired</t>
        </is>
      </c>
      <c r="J395" s="8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1" t="n">
        <v>110</v>
      </c>
      <c r="B396" s="81" t="inlineStr">
        <is>
          <t>OI_CONFIRM_MIN_CHANGE_PCT</t>
        </is>
      </c>
      <c r="C396" s="0" t="inlineStr">
        <is>
          <t>0.5</t>
        </is>
      </c>
      <c r="D396" s="81" t="inlineStr">
        <is>
          <t>Threshold/gate: OI_CONFIRM_MIN_CHANGE_PCT — FILTER', 'LIVE_ONLY_SIGNALS_BATCH5_FILTER_TF', 'LIVE_VEC_EMERGENCY_BRAKE_ENABLED', 'LR_BAND_LADDER_STOCH_EXTREME', 'LR_B | ex: `FILTER', 'LIVE_ONLY_SIGNALS_BATCH5_FILTER_TF', 'LIVE_VEC_EMERGENCY_BRAKE_ENABLED`</t>
        </is>
      </c>
      <c r="E396" s="81" t="inlineStr">
        <is>
          <t>ENTRY, GLOBAL_CHECK, STOCKS_EXIT</t>
        </is>
      </c>
      <c r="F396" s="81" t="inlineStr">
        <is>
          <t>ENTRY, GLOBAL_CHECK, STOCKS_EXIT</t>
        </is>
      </c>
      <c r="G396" s="81" t="inlineStr">
        <is>
          <t>OI_CONFIRM_MIN_CHANGE_PCT</t>
        </is>
      </c>
      <c r="H396" s="81" t="inlineStr">
        <is>
          <t>GENERAL</t>
        </is>
      </c>
      <c r="I396" s="81" t="inlineStr">
        <is>
          <t>LIVE — wired</t>
        </is>
      </c>
      <c r="J396" s="8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0" t="n">
        <v>111</v>
      </c>
      <c r="B397" s="90" t="inlineStr">
        <is>
          <t>OI_CONFIRM_MIN_PRICE_PCT</t>
        </is>
      </c>
      <c r="C397" s="0" t="inlineStr">
        <is>
          <t>0</t>
        </is>
      </c>
      <c r="D397" s="81" t="inlineStr">
        <is>
          <t>Threshold/gate: OI_CONFIRM_MIN_PRICE_PCT — ATCH5_FILTER_TF', 'LIVE_VEC_EMERGENCY_BRAKE_ENABLED', 'LR_BAND_LADDER_STOCH_EXTREME', 'LR_BAND_LADDER_TF_BOTTOM', 'LR_BA | ex: `ATCH5_FILTER_TF', 'LIVE_VEC_EMERGENCY_BRAKE_ENABLED', 'LR_BAND_LADDER_STOCH_EXTR`</t>
        </is>
      </c>
      <c r="E397" s="81" t="inlineStr">
        <is>
          <t>ENTRY, GLOBAL_CHECK, STOCKS_EXIT</t>
        </is>
      </c>
      <c r="F397" s="81" t="inlineStr">
        <is>
          <t>ENTRY, GLOBAL_CHECK, STOCKS_EXIT</t>
        </is>
      </c>
      <c r="G397" s="81" t="inlineStr">
        <is>
          <t>OI_CONFIRM_MIN_PRICE_PCT</t>
        </is>
      </c>
      <c r="H397" s="81" t="inlineStr">
        <is>
          <t>GENERAL</t>
        </is>
      </c>
      <c r="I397" s="81" t="inlineStr">
        <is>
          <t>LIVE — wired</t>
        </is>
      </c>
      <c r="J397" s="8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1" t="n">
        <v>111</v>
      </c>
      <c r="B398" s="81" t="inlineStr">
        <is>
          <t>OI_CONFIRM_MIN_PRICE_PCT</t>
        </is>
      </c>
      <c r="C398" s="0" t="inlineStr">
        <is>
          <t>2.0</t>
        </is>
      </c>
      <c r="D398" s="81" t="inlineStr">
        <is>
          <t>Threshold/gate: OI_CONFIRM_MIN_PRICE_PCT — ATCH5_FILTER_TF', 'LIVE_VEC_EMERGENCY_BRAKE_ENABLED', 'LR_BAND_LADDER_STOCH_EXTREME', 'LR_BAND_LADDER_TF_BOTTOM', 'LR_BA | ex: `ATCH5_FILTER_TF', 'LIVE_VEC_EMERGENCY_BRAKE_ENABLED', 'LR_BAND_LADDER_STOCH_EXTR`</t>
        </is>
      </c>
      <c r="E398" s="81" t="inlineStr">
        <is>
          <t>ENTRY, GLOBAL_CHECK, STOCKS_EXIT</t>
        </is>
      </c>
      <c r="F398" s="81" t="inlineStr">
        <is>
          <t>ENTRY, GLOBAL_CHECK, STOCKS_EXIT</t>
        </is>
      </c>
      <c r="G398" s="81" t="inlineStr">
        <is>
          <t>OI_CONFIRM_MIN_PRICE_PCT</t>
        </is>
      </c>
      <c r="H398" s="81" t="inlineStr">
        <is>
          <t>GENERAL</t>
        </is>
      </c>
      <c r="I398" s="81" t="inlineStr">
        <is>
          <t>LIVE — wired</t>
        </is>
      </c>
      <c r="J398" s="8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1" t="n">
        <v>111</v>
      </c>
      <c r="B399" s="81" t="inlineStr">
        <is>
          <t>OI_CONFIRM_MIN_PRICE_PCT</t>
        </is>
      </c>
      <c r="C399" s="0" t="inlineStr">
        <is>
          <t>1.0</t>
        </is>
      </c>
      <c r="D399" s="81" t="inlineStr">
        <is>
          <t>Threshold/gate: OI_CONFIRM_MIN_PRICE_PCT — ATCH5_FILTER_TF', 'LIVE_VEC_EMERGENCY_BRAKE_ENABLED', 'LR_BAND_LADDER_STOCH_EXTREME', 'LR_BAND_LADDER_TF_BOTTOM', 'LR_BA | ex: `ATCH5_FILTER_TF', 'LIVE_VEC_EMERGENCY_BRAKE_ENABLED', 'LR_BAND_LADDER_STOCH_EXTR`</t>
        </is>
      </c>
      <c r="E399" s="81" t="inlineStr">
        <is>
          <t>ENTRY, GLOBAL_CHECK, STOCKS_EXIT</t>
        </is>
      </c>
      <c r="F399" s="81" t="inlineStr">
        <is>
          <t>ENTRY, GLOBAL_CHECK, STOCKS_EXIT</t>
        </is>
      </c>
      <c r="G399" s="81" t="inlineStr">
        <is>
          <t>OI_CONFIRM_MIN_PRICE_PCT</t>
        </is>
      </c>
      <c r="H399" s="81" t="inlineStr">
        <is>
          <t>GENERAL</t>
        </is>
      </c>
      <c r="I399" s="81" t="inlineStr">
        <is>
          <t>LIVE — wired</t>
        </is>
      </c>
      <c r="J399" s="8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1" t="n">
        <v>111</v>
      </c>
      <c r="B400" s="81" t="inlineStr">
        <is>
          <t>OI_CONFIRM_MIN_PRICE_PCT</t>
        </is>
      </c>
      <c r="C400" s="0" t="inlineStr">
        <is>
          <t>0.5</t>
        </is>
      </c>
      <c r="D400" s="81" t="inlineStr">
        <is>
          <t>Threshold/gate: OI_CONFIRM_MIN_PRICE_PCT — ATCH5_FILTER_TF', 'LIVE_VEC_EMERGENCY_BRAKE_ENABLED', 'LR_BAND_LADDER_STOCH_EXTREME', 'LR_BAND_LADDER_TF_BOTTOM', 'LR_BA | ex: `ATCH5_FILTER_TF', 'LIVE_VEC_EMERGENCY_BRAKE_ENABLED', 'LR_BAND_LADDER_STOCH_EXTR`</t>
        </is>
      </c>
      <c r="E400" s="81" t="inlineStr">
        <is>
          <t>ENTRY, GLOBAL_CHECK, STOCKS_EXIT</t>
        </is>
      </c>
      <c r="F400" s="81" t="inlineStr">
        <is>
          <t>ENTRY, GLOBAL_CHECK, STOCKS_EXIT</t>
        </is>
      </c>
      <c r="G400" s="81" t="inlineStr">
        <is>
          <t>OI_CONFIRM_MIN_PRICE_PCT</t>
        </is>
      </c>
      <c r="H400" s="81" t="inlineStr">
        <is>
          <t>GENERAL</t>
        </is>
      </c>
      <c r="I400" s="81" t="inlineStr">
        <is>
          <t>LIVE — wired</t>
        </is>
      </c>
      <c r="J400" s="8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1" t="n">
        <v>112</v>
      </c>
      <c r="B401" s="91"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1" t="n">
        <v>113</v>
      </c>
      <c r="B406" s="91"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1" t="n">
        <v>114</v>
      </c>
      <c r="B411" s="91"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88" t="n">
        <v>421</v>
      </c>
      <c r="B416" s="8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88" t="n">
        <v>422</v>
      </c>
      <c r="B417" s="8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88" t="n">
        <v>423</v>
      </c>
      <c r="B418" s="8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88" t="n">
        <v>424</v>
      </c>
      <c r="B419" s="8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88" t="n">
        <v>425</v>
      </c>
      <c r="B420" s="8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88" t="n">
        <v>426</v>
      </c>
      <c r="B421" s="8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88" t="n">
        <v>427</v>
      </c>
      <c r="B422" s="8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88" t="n">
        <v>428</v>
      </c>
      <c r="B423" s="8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88" t="n">
        <v>429</v>
      </c>
      <c r="B424" s="8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88" t="n">
        <v>430</v>
      </c>
      <c r="B425" s="8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88" t="n">
        <v>431</v>
      </c>
      <c r="B426" s="8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88" t="n">
        <v>432</v>
      </c>
      <c r="B427" s="8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88" t="inlineStr">
        <is>
          <t>STDEV_SLOPE_SIZING_ENABLED</t>
        </is>
      </c>
      <c r="B428" s="88" t="inlineStr">
        <is>
          <t>STDEV_SLOPE_SIZING</t>
        </is>
      </c>
      <c r="C428" s="0" t="inlineStr">
        <is>
          <t>STDEV_DAILY_6MO</t>
        </is>
      </c>
      <c r="D428" s="0" t="inlineStr">
        <is>
          <t>STDEV_LADDER</t>
        </is>
      </c>
      <c r="E428" s="0" t="inlineStr">
        <is>
          <t>1x top -&gt; 10x slope/bottom D, 4x 4h, 2x 1h stdev 2.5</t>
        </is>
      </c>
    </row>
    <row r="429" ht="15.75" customHeight="1" s="67">
      <c r="A429" s="88" t="inlineStr">
        <is>
          <t>STDEV_BAND_MULTIPLIER</t>
        </is>
      </c>
      <c r="B429" s="88" t="inlineStr">
        <is>
          <t>STDEV_SLOPE_SIZING</t>
        </is>
      </c>
      <c r="C429" s="0" t="inlineStr">
        <is>
          <t>STDEV_DAILY_6MO</t>
        </is>
      </c>
      <c r="D429" s="0" t="inlineStr">
        <is>
          <t>STDEV_LADDER</t>
        </is>
      </c>
      <c r="E429" s="0" t="inlineStr">
        <is>
          <t>1x top -&gt; 10x slope/bottom D, 4x 4h, 2x 1h stdev 2.5</t>
        </is>
      </c>
    </row>
    <row r="430" ht="15.75" customHeight="1" s="67">
      <c r="A430" s="88" t="inlineStr">
        <is>
          <t>STDEV_SLOPE_SIZING_D_MAX</t>
        </is>
      </c>
      <c r="B430" s="88" t="inlineStr">
        <is>
          <t>STDEV_SLOPE_SIZING</t>
        </is>
      </c>
      <c r="C430" s="0" t="inlineStr">
        <is>
          <t>STDEV_DAILY_6MO</t>
        </is>
      </c>
      <c r="D430" s="0" t="inlineStr">
        <is>
          <t>STDEV_LADDER</t>
        </is>
      </c>
      <c r="E430" s="0" t="inlineStr">
        <is>
          <t>1x top -&gt; 10x slope/bottom D, 4x 4h, 2x 1h stdev 2.5</t>
        </is>
      </c>
    </row>
    <row r="431" ht="15.75" customHeight="1" s="67">
      <c r="A431" s="88" t="inlineStr">
        <is>
          <t>STDEV_SLOPE_SIZING_4H_MAX</t>
        </is>
      </c>
      <c r="B431" s="88" t="inlineStr">
        <is>
          <t>STDEV_SLOPE_SIZING</t>
        </is>
      </c>
      <c r="C431" s="0" t="inlineStr">
        <is>
          <t>STDEV_DAILY_6MO</t>
        </is>
      </c>
      <c r="D431" s="0" t="inlineStr">
        <is>
          <t>STDEV_LADDER</t>
        </is>
      </c>
      <c r="E431" s="0" t="inlineStr">
        <is>
          <t>1x top -&gt; 10x slope/bottom D, 4x 4h, 2x 1h stdev 2.5</t>
        </is>
      </c>
    </row>
    <row r="432" ht="15.75" customHeight="1" s="67">
      <c r="A432" s="88" t="inlineStr">
        <is>
          <t>STDEV_SLOPE_SIZING_1H_MAX</t>
        </is>
      </c>
      <c r="B432" s="88" t="inlineStr">
        <is>
          <t>STDEV_SLOPE_SIZING</t>
        </is>
      </c>
      <c r="C432" s="0" t="inlineStr">
        <is>
          <t>STDEV_DAILY_6MO</t>
        </is>
      </c>
      <c r="D432" s="0" t="inlineStr">
        <is>
          <t>STDEV_LADDER</t>
        </is>
      </c>
      <c r="E432" s="0" t="inlineStr">
        <is>
          <t>1x top -&gt; 10x slope/bottom D, 4x 4h, 2x 1h stdev 2.5</t>
        </is>
      </c>
    </row>
    <row r="433" ht="15.75" customHeight="1" s="67">
      <c r="A433" s="88" t="inlineStr">
        <is>
          <t>STDEV_SLOPE_SIZING_15M_MAX</t>
        </is>
      </c>
      <c r="B433" s="88" t="inlineStr">
        <is>
          <t>STDEV_SLOPE_SIZING</t>
        </is>
      </c>
      <c r="C433" s="0" t="inlineStr">
        <is>
          <t>STDEV_DAILY_6MO</t>
        </is>
      </c>
      <c r="D433" s="0" t="inlineStr">
        <is>
          <t>STDEV_LADDER</t>
        </is>
      </c>
      <c r="E433" s="0" t="inlineStr">
        <is>
          <t>1x top -&gt; 10x slope/bottom D, 4x 4h, 2x 1h stdev 2.5</t>
        </is>
      </c>
    </row>
    <row r="434" ht="15.75" customHeight="1" s="67">
      <c r="A434" s="88" t="inlineStr">
        <is>
          <t>STDEV_SLOPE_LOOKBACK_D</t>
        </is>
      </c>
      <c r="B434" s="88" t="inlineStr">
        <is>
          <t>STDEV_SLOPE_SIZING</t>
        </is>
      </c>
      <c r="C434" s="0" t="inlineStr">
        <is>
          <t>STDEV_DAILY_6MO</t>
        </is>
      </c>
      <c r="D434" s="0" t="inlineStr">
        <is>
          <t>STDEV_LADDER</t>
        </is>
      </c>
      <c r="E434" s="0" t="inlineStr">
        <is>
          <t>1x top -&gt; 10x slope/bottom D, 4x 4h, 2x 1h stdev 2.5</t>
        </is>
      </c>
    </row>
    <row r="435" ht="15.75" customHeight="1" s="67">
      <c r="A435" s="88" t="inlineStr">
        <is>
          <t>STDEV_SLOPE_LOOKBACK_4H</t>
        </is>
      </c>
      <c r="B435" s="88" t="inlineStr">
        <is>
          <t>STDEV_SLOPE_SIZING</t>
        </is>
      </c>
      <c r="C435" s="0" t="inlineStr">
        <is>
          <t>STDEV_DAILY_6MO</t>
        </is>
      </c>
      <c r="D435" s="0" t="inlineStr">
        <is>
          <t>STDEV_LADDER</t>
        </is>
      </c>
      <c r="E435" s="0" t="inlineStr">
        <is>
          <t>1x top -&gt; 10x slope/bottom D, 4x 4h, 2x 1h stdev 2.5</t>
        </is>
      </c>
    </row>
    <row r="436" ht="15.75" customHeight="1" s="67">
      <c r="A436" s="88" t="inlineStr">
        <is>
          <t>STDEV_SLOPE_LOOKBACK_1H</t>
        </is>
      </c>
      <c r="B436" s="88" t="inlineStr">
        <is>
          <t>STDEV_SLOPE_SIZING</t>
        </is>
      </c>
      <c r="C436" s="0" t="inlineStr">
        <is>
          <t>STDEV_DAILY_6MO</t>
        </is>
      </c>
      <c r="D436" s="0" t="inlineStr">
        <is>
          <t>STDEV_LADDER</t>
        </is>
      </c>
      <c r="E436" s="0" t="inlineStr">
        <is>
          <t>1x top -&gt; 10x slope/bottom D, 4x 4h, 2x 1h stdev 2.5</t>
        </is>
      </c>
    </row>
    <row r="437" ht="15.75" customHeight="1" s="67">
      <c r="A437" s="88" t="inlineStr">
        <is>
          <t>STDEV_SLOPE_LOOKBACK_15M</t>
        </is>
      </c>
      <c r="B437" s="88" t="inlineStr">
        <is>
          <t>STDEV_SLOPE_SIZING</t>
        </is>
      </c>
      <c r="C437" s="0" t="inlineStr">
        <is>
          <t>STDEV_DAILY_6MO</t>
        </is>
      </c>
      <c r="D437" s="0" t="inlineStr">
        <is>
          <t>STDEV_LADDER</t>
        </is>
      </c>
      <c r="E437" s="0" t="inlineStr">
        <is>
          <t>1x top -&gt; 10x slope/bottom D, 4x 4h, 2x 1h stdev 2.5</t>
        </is>
      </c>
    </row>
    <row r="438" ht="15.75" customHeight="1" s="67">
      <c r="A438" s="88" t="inlineStr">
        <is>
          <t>BAND_SLOPE_SIZING_V2_ENABLED</t>
        </is>
      </c>
      <c r="B438" s="88" t="inlineStr">
        <is>
          <t>STDEV_SLOPE_SIZING</t>
        </is>
      </c>
      <c r="C438" s="0" t="inlineStr">
        <is>
          <t>STDEV_DAILY_6MO</t>
        </is>
      </c>
      <c r="D438" s="0" t="inlineStr">
        <is>
          <t>STDEV_LADDER</t>
        </is>
      </c>
      <c r="E438" s="0" t="inlineStr">
        <is>
          <t>1x top -&gt; 10x slope/bottom D, 4x 4h, 2x 1h stdev 2.5</t>
        </is>
      </c>
    </row>
    <row r="439" ht="15.75" customHeight="1" s="67">
      <c r="A439" s="88" t="inlineStr">
        <is>
          <t>BAND_SLOPE_SIZING_V2_TF</t>
        </is>
      </c>
      <c r="B439" s="88" t="inlineStr">
        <is>
          <t>STDEV_SLOPE_SIZING</t>
        </is>
      </c>
      <c r="C439" s="0" t="inlineStr">
        <is>
          <t>STDEV_DAILY_6MO</t>
        </is>
      </c>
      <c r="D439" s="0" t="inlineStr">
        <is>
          <t>STDEV_LADDER</t>
        </is>
      </c>
      <c r="E439" s="0" t="inlineStr">
        <is>
          <t>1x top -&gt; 10x slope/bottom D, 4x 4h, 2x 1h stdev 2.5</t>
        </is>
      </c>
    </row>
    <row r="440" ht="15.75" customHeight="1" s="67">
      <c r="A440" s="88" t="inlineStr">
        <is>
          <t>BAND_SLOPE_SIZING_V2_DEPTH_GAIN</t>
        </is>
      </c>
      <c r="B440" s="88" t="inlineStr">
        <is>
          <t>STDEV_SLOPE_SIZING</t>
        </is>
      </c>
      <c r="C440" s="0" t="inlineStr">
        <is>
          <t>STDEV_DAILY_6MO</t>
        </is>
      </c>
      <c r="D440" s="0" t="inlineStr">
        <is>
          <t>STDEV_LADDER</t>
        </is>
      </c>
      <c r="E440" s="0" t="inlineStr">
        <is>
          <t>1x top -&gt; 10x slope/bottom D, 4x 4h, 2x 1h stdev 2.5</t>
        </is>
      </c>
    </row>
    <row r="441" ht="15.75" customHeight="1" s="67">
      <c r="A441" s="88" t="inlineStr">
        <is>
          <t>BAND_SLOPE_SIZING_V2_MIN</t>
        </is>
      </c>
      <c r="B441" s="88" t="inlineStr">
        <is>
          <t>STDEV_SLOPE_SIZING</t>
        </is>
      </c>
      <c r="C441" s="0" t="inlineStr">
        <is>
          <t>STDEV_DAILY_6MO</t>
        </is>
      </c>
      <c r="D441" s="0" t="inlineStr">
        <is>
          <t>STDEV_LADDER</t>
        </is>
      </c>
      <c r="E441" s="0" t="inlineStr">
        <is>
          <t>1x top -&gt; 10x slope/bottom D, 4x 4h, 2x 1h stdev 2.5</t>
        </is>
      </c>
    </row>
    <row r="442" ht="15.75" customHeight="1" s="67">
      <c r="A442" s="88" t="inlineStr">
        <is>
          <t>BAND_SLOPE_SIZING_V2_MAX</t>
        </is>
      </c>
      <c r="B442" s="88"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88" t="inlineStr">
        <is>
          <t>AAPL_LONG</t>
        </is>
      </c>
      <c r="B3" s="88" t="inlineStr">
        <is>
          <t>OK</t>
        </is>
      </c>
      <c r="C3" s="0" t="n">
        <v>-6.6311</v>
      </c>
      <c r="D3" s="0" t="n">
        <v>-0.2557</v>
      </c>
      <c r="E3" s="0" t="n">
        <v>41</v>
      </c>
      <c r="F3" s="0">
        <f>IFERROR(VLOOKUP($A3,Results_30d_Deltas!$A$2:$H$5000,8,FALSE)-E2,"")</f>
        <v/>
      </c>
      <c r="G3" s="0">
        <f>IFERROR(VLOOKUP($A3,Results_30d_Deltas!$A$2:$H$5000,7,FALSE)-E2,"")</f>
        <v/>
      </c>
      <c r="K3" s="0">
        <f>IF(B3=C3,"YES","NO")</f>
        <v/>
      </c>
    </row>
    <row r="4">
      <c r="A4" s="88" t="inlineStr">
        <is>
          <t>AAPL_SHORT</t>
        </is>
      </c>
      <c r="B4" s="88" t="inlineStr">
        <is>
          <t>OK</t>
        </is>
      </c>
      <c r="C4" s="0" t="n">
        <v>1.3858</v>
      </c>
      <c r="D4" s="0" t="n">
        <v>0.0498</v>
      </c>
      <c r="E4" s="0" t="n">
        <v>43</v>
      </c>
      <c r="F4" s="0">
        <f>IFERROR(VLOOKUP($A4,Results_30d_Deltas!$A$2:$H$5000,8,FALSE)-E3,"")</f>
        <v/>
      </c>
      <c r="G4" s="0">
        <f>IFERROR(VLOOKUP($A4,Results_30d_Deltas!$A$2:$H$5000,7,FALSE)-E3,"")</f>
        <v/>
      </c>
      <c r="K4" s="0">
        <f>IF(B4=C4,"YES","NO")</f>
        <v/>
      </c>
    </row>
    <row r="5">
      <c r="A5" s="88" t="inlineStr">
        <is>
          <t>MU_LONG</t>
        </is>
      </c>
      <c r="B5" s="88" t="inlineStr">
        <is>
          <t>OK</t>
        </is>
      </c>
      <c r="C5" s="0" t="n">
        <v>-0.3971</v>
      </c>
      <c r="D5" s="0" t="n">
        <v>-0.0038</v>
      </c>
      <c r="E5" s="0" t="n">
        <v>123</v>
      </c>
      <c r="F5" s="0">
        <f>IFERROR(VLOOKUP($A5,Results_30d_Deltas!$A$2:$H$5000,8,FALSE)-E4,"")</f>
        <v/>
      </c>
      <c r="G5" s="0">
        <f>IFERROR(VLOOKUP($A5,Results_30d_Deltas!$A$2:$H$5000,7,FALSE)-E4,"")</f>
        <v/>
      </c>
      <c r="K5" s="0">
        <f>IF(B5=C5,"YES","NO")</f>
        <v/>
      </c>
    </row>
    <row r="6">
      <c r="A6" s="88" t="inlineStr">
        <is>
          <t>MU_SHORT</t>
        </is>
      </c>
      <c r="B6" s="88" t="inlineStr">
        <is>
          <t>OK</t>
        </is>
      </c>
      <c r="C6" s="0" t="n">
        <v>10.1335</v>
      </c>
      <c r="D6" s="0" t="n">
        <v>0.0824</v>
      </c>
      <c r="E6" s="0" t="n">
        <v>121</v>
      </c>
      <c r="F6" s="0">
        <f>IFERROR(VLOOKUP($A6,Results_30d_Deltas!$A$2:$H$5000,8,FALSE)-E5,"")</f>
        <v/>
      </c>
      <c r="G6" s="0">
        <f>IFERROR(VLOOKUP($A6,Results_30d_Deltas!$A$2:$H$5000,7,FALSE)-E5,"")</f>
        <v/>
      </c>
      <c r="K6" s="0">
        <f>IF(B6=C6,"YES","NO")</f>
        <v/>
      </c>
    </row>
    <row r="7">
      <c r="A7" s="88" t="inlineStr">
        <is>
          <t>MSFT_LONG</t>
        </is>
      </c>
      <c r="B7" s="88" t="inlineStr">
        <is>
          <t>NO_NPZ</t>
        </is>
      </c>
      <c r="F7" s="0">
        <f>IFERROR(VLOOKUP($A7,Results_30d_Deltas!$A$2:$H$5000,8,FALSE)-E6,"")</f>
        <v/>
      </c>
      <c r="G7" s="0">
        <f>IFERROR(VLOOKUP($A7,Results_30d_Deltas!$A$2:$H$5000,7,FALSE)-E6,"")</f>
        <v/>
      </c>
      <c r="K7" s="0">
        <f>IF(B7=C7,"YES","NO")</f>
        <v/>
      </c>
    </row>
    <row r="8">
      <c r="A8" s="88" t="inlineStr">
        <is>
          <t>MSFT_SHORT</t>
        </is>
      </c>
      <c r="B8" s="88" t="inlineStr">
        <is>
          <t>NO_NPZ</t>
        </is>
      </c>
      <c r="F8" s="0">
        <f>IFERROR(VLOOKUP($A8,Results_30d_Deltas!$A$2:$H$5000,8,FALSE)-E7,"")</f>
        <v/>
      </c>
      <c r="G8" s="0">
        <f>IFERROR(VLOOKUP($A8,Results_30d_Deltas!$A$2:$H$5000,7,FALSE)-E7,"")</f>
        <v/>
      </c>
      <c r="K8" s="0">
        <f>IF(B8=C8,"YES","NO")</f>
        <v/>
      </c>
    </row>
    <row r="9">
      <c r="A9" s="88" t="inlineStr">
        <is>
          <t>TSLA_LONG</t>
        </is>
      </c>
      <c r="B9" s="88" t="inlineStr">
        <is>
          <t>NO_NPZ</t>
        </is>
      </c>
      <c r="F9" s="0">
        <f>IFERROR(VLOOKUP($A9,Results_30d_Deltas!$A$2:$H$5000,8,FALSE)-E8,"")</f>
        <v/>
      </c>
      <c r="G9" s="0">
        <f>IFERROR(VLOOKUP($A9,Results_30d_Deltas!$A$2:$H$5000,7,FALSE)-E8,"")</f>
        <v/>
      </c>
      <c r="K9" s="0">
        <f>IF(B9=C9,"YES","NO")</f>
        <v/>
      </c>
    </row>
    <row r="10">
      <c r="A10" s="88" t="inlineStr">
        <is>
          <t>TSLA_SHORT</t>
        </is>
      </c>
      <c r="B10" s="88" t="inlineStr">
        <is>
          <t>NO_NPZ</t>
        </is>
      </c>
      <c r="F10" s="0">
        <f>IFERROR(VLOOKUP($A10,Results_30d_Deltas!$A$2:$H$5000,8,FALSE)-E9,"")</f>
        <v/>
      </c>
      <c r="G10" s="0">
        <f>IFERROR(VLOOKUP($A10,Results_30d_Deltas!$A$2:$H$5000,7,FALSE)-E9,"")</f>
        <v/>
      </c>
      <c r="K10" s="0">
        <f>IF(B10=C10,"YES","NO")</f>
        <v/>
      </c>
    </row>
    <row r="11">
      <c r="A11" s="88" t="inlineStr">
        <is>
          <t>BTC_LONG</t>
        </is>
      </c>
      <c r="B11" s="88" t="inlineStr">
        <is>
          <t>NO_NPZ</t>
        </is>
      </c>
      <c r="F11" s="0">
        <f>IFERROR(VLOOKUP($A11,Results_30d_Deltas!$A$2:$H$5000,8,FALSE)-E10,"")</f>
        <v/>
      </c>
      <c r="G11" s="0">
        <f>IFERROR(VLOOKUP($A11,Results_30d_Deltas!$A$2:$H$5000,7,FALSE)-E10,"")</f>
        <v/>
      </c>
      <c r="K11" s="0">
        <f>IF(B11=C11,"YES","NO")</f>
        <v/>
      </c>
    </row>
    <row r="12">
      <c r="A12" s="88" t="inlineStr">
        <is>
          <t>BTC_SHORT</t>
        </is>
      </c>
      <c r="B12" s="88" t="inlineStr">
        <is>
          <t>NO_NPZ</t>
        </is>
      </c>
      <c r="F12" s="0">
        <f>IFERROR(VLOOKUP($A12,Results_30d_Deltas!$A$2:$H$5000,8,FALSE)-E11,"")</f>
        <v/>
      </c>
      <c r="G12" s="0">
        <f>IFERROR(VLOOKUP($A12,Results_30d_Deltas!$A$2:$H$5000,7,FALSE)-E11,"")</f>
        <v/>
      </c>
      <c r="K12" s="0">
        <f>IF(B12=C12,"YES","NO")</f>
        <v/>
      </c>
    </row>
    <row r="13">
      <c r="A13" s="88" t="inlineStr">
        <is>
          <t>ETH_LONG</t>
        </is>
      </c>
      <c r="B13" s="88" t="inlineStr">
        <is>
          <t>NO_NPZ</t>
        </is>
      </c>
      <c r="F13" s="0">
        <f>IFERROR(VLOOKUP($A13,Results_30d_Deltas!$A$2:$H$5000,8,FALSE)-E12,"")</f>
        <v/>
      </c>
      <c r="G13" s="0">
        <f>IFERROR(VLOOKUP($A13,Results_30d_Deltas!$A$2:$H$5000,7,FALSE)-E12,"")</f>
        <v/>
      </c>
      <c r="K13" s="0">
        <f>IF(B13=C13,"YES","NO")</f>
        <v/>
      </c>
    </row>
    <row r="14">
      <c r="A14" s="88" t="inlineStr">
        <is>
          <t>ETH_SHORT</t>
        </is>
      </c>
      <c r="B14" s="8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88" t="inlineStr">
        <is>
          <t>TRADIER_DC_DAYTRADE_MAX_HOLD_MINUTES</t>
        </is>
      </c>
      <c r="B3" s="88" t="inlineStr">
        <is>
          <t>0</t>
        </is>
      </c>
      <c r="D3" s="0" t="inlineStr">
        <is>
          <t>DAYTRADE</t>
        </is>
      </c>
      <c r="E3" s="0">
        <f>IF(G3="",E2,IF(G3&gt;0,E2+G3,E2))</f>
        <v/>
      </c>
      <c r="F3" s="0">
        <f>IFERROR(VLOOKUP($A3&amp;"_"&amp;$B3,Results_Deltas!$A$2:$P$15000,5,FALSE),"")</f>
        <v/>
      </c>
      <c r="G3" s="0">
        <f>IFERROR(VLOOKUP($A3&amp;"_"&amp;$B3,Results_Deltas!$A$2:$P$15000,5,FALSE),"")</f>
        <v/>
      </c>
    </row>
    <row r="4">
      <c r="A4" s="88" t="inlineStr">
        <is>
          <t>TRADIER_DC_DAYTRADE_REQUIRE_1H_EXPANSION</t>
        </is>
      </c>
      <c r="B4" s="88" t="inlineStr">
        <is>
          <t>True</t>
        </is>
      </c>
      <c r="D4" s="0" t="inlineStr">
        <is>
          <t>DAYTRADE</t>
        </is>
      </c>
      <c r="E4" s="0">
        <f>IF(G4="",E3,IF(G4&gt;0,E3+G4,E3))</f>
        <v/>
      </c>
      <c r="F4" s="0">
        <f>IFERROR(VLOOKUP($A4&amp;"_"&amp;$B4,Results_Deltas!$A$2:$P$15000,5,FALSE),"")</f>
        <v/>
      </c>
      <c r="G4" s="0">
        <f>IFERROR(VLOOKUP($A4&amp;"_"&amp;$B4,Results_Deltas!$A$2:$P$15000,5,FALSE),"")</f>
        <v/>
      </c>
    </row>
    <row r="5">
      <c r="A5" s="88" t="inlineStr">
        <is>
          <t>TRADIER_DC_DAYTRADE_STOP_PCT</t>
        </is>
      </c>
      <c r="B5" s="88" t="inlineStr">
        <is>
          <t>0.005</t>
        </is>
      </c>
      <c r="D5" s="0" t="inlineStr">
        <is>
          <t>DAYTRADE</t>
        </is>
      </c>
      <c r="E5" s="0">
        <f>IF(G5="",E4,IF(G5&gt;0,E4+G5,E4))</f>
        <v/>
      </c>
      <c r="F5" s="0">
        <f>IFERROR(VLOOKUP($A5&amp;"_"&amp;$B5,Results_Deltas!$A$2:$P$15000,5,FALSE),"")</f>
        <v/>
      </c>
      <c r="G5" s="0">
        <f>IFERROR(VLOOKUP($A5&amp;"_"&amp;$B5,Results_Deltas!$A$2:$P$15000,5,FALSE),"")</f>
        <v/>
      </c>
    </row>
    <row r="6">
      <c r="A6" s="88" t="inlineStr">
        <is>
          <t>DC_DAYTRADE_ENABLED</t>
        </is>
      </c>
      <c r="B6" s="88" t="inlineStr">
        <is>
          <t>False</t>
        </is>
      </c>
      <c r="D6" s="0" t="inlineStr">
        <is>
          <t>DAYTRADE</t>
        </is>
      </c>
      <c r="E6" s="0">
        <f>IF(G6="",E5,IF(G6&gt;0,E5+G6,E5))</f>
        <v/>
      </c>
      <c r="F6" s="0">
        <f>IFERROR(VLOOKUP($A6&amp;"_"&amp;$B6,Results_Deltas!$A$2:$P$15000,5,FALSE),"")</f>
        <v/>
      </c>
      <c r="G6" s="0">
        <f>IFERROR(VLOOKUP($A6&amp;"_"&amp;$B6,Results_Deltas!$A$2:$P$15000,5,FALSE),"")</f>
        <v/>
      </c>
    </row>
    <row r="7">
      <c r="A7" s="88" t="inlineStr">
        <is>
          <t>DC_DAYTRADE_MAX_HOLD_MINUTES</t>
        </is>
      </c>
      <c r="B7" s="88" t="inlineStr">
        <is>
          <t>0</t>
        </is>
      </c>
      <c r="D7" s="0" t="inlineStr">
        <is>
          <t>DAYTRADE</t>
        </is>
      </c>
      <c r="E7" s="0">
        <f>IF(G7="",E6,IF(G7&gt;0,E6+G7,E6))</f>
        <v/>
      </c>
      <c r="F7" s="0">
        <f>IFERROR(VLOOKUP($A7&amp;"_"&amp;$B7,Results_Deltas!$A$2:$P$15000,5,FALSE),"")</f>
        <v/>
      </c>
      <c r="G7" s="0">
        <f>IFERROR(VLOOKUP($A7&amp;"_"&amp;$B7,Results_Deltas!$A$2:$P$15000,5,FALSE),"")</f>
        <v/>
      </c>
    </row>
    <row r="8">
      <c r="A8" s="88" t="inlineStr">
        <is>
          <t>DC_DAYTRADE_STOP_PCT</t>
        </is>
      </c>
      <c r="B8" s="88" t="inlineStr">
        <is>
          <t>0.015</t>
        </is>
      </c>
      <c r="D8" s="0" t="inlineStr">
        <is>
          <t>DAYTRADE</t>
        </is>
      </c>
      <c r="E8" s="0">
        <f>IF(G8="",E7,IF(G8&gt;0,E7+G8,E7))</f>
        <v/>
      </c>
      <c r="F8" s="0">
        <f>IFERROR(VLOOKUP($A8&amp;"_"&amp;$B8,Results_Deltas!$A$2:$P$15000,5,FALSE),"")</f>
        <v/>
      </c>
      <c r="G8" s="0">
        <f>IFERROR(VLOOKUP($A8&amp;"_"&amp;$B8,Results_Deltas!$A$2:$P$15000,5,FALSE),"")</f>
        <v/>
      </c>
    </row>
    <row r="9">
      <c r="A9" s="88" t="inlineStr">
        <is>
          <t>WT_TECHNICAL_WAIT_LOWER_HIGH_ONLY</t>
        </is>
      </c>
      <c r="B9" s="8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2026-09-18T23:04:26Z</dcterms:modified>
</cp:coreProperties>
</file>